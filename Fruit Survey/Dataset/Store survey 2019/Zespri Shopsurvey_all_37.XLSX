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7週\"/>
    </mc:Choice>
  </mc:AlternateContent>
  <xr:revisionPtr revIDLastSave="0" documentId="13_ncr:1_{A7CE4D28-465D-4FB0-AB4F-DA729B20A832}" xr6:coauthVersionLast="44" xr6:coauthVersionMax="44" xr10:uidLastSave="{00000000-0000-0000-0000-000000000000}"/>
  <bookViews>
    <workbookView xWindow="-120" yWindow="-120" windowWidth="29040" windowHeight="15840" activeTab="7"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miyagi!$A$1:$BA$372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03" i="24" l="1"/>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2" i="18" l="1"/>
  <c r="T371" i="18"/>
  <c r="T370" i="18"/>
  <c r="T369" i="18"/>
  <c r="T368" i="18"/>
  <c r="T367" i="18"/>
  <c r="T366" i="18"/>
  <c r="T365" i="18"/>
  <c r="T364" i="18"/>
  <c r="T363" i="18"/>
  <c r="T362" i="18"/>
  <c r="T361" i="18"/>
  <c r="T360" i="18"/>
  <c r="T359" i="18"/>
  <c r="T358" i="18"/>
  <c r="T357" i="18"/>
  <c r="T356" i="18"/>
  <c r="T355" i="18"/>
  <c r="T354" i="18"/>
  <c r="T353" i="18"/>
  <c r="T352" i="18"/>
  <c r="V352" i="18" s="1"/>
  <c r="T351" i="18"/>
  <c r="V351" i="18" s="1"/>
  <c r="T350" i="18"/>
  <c r="V350" i="18" s="1"/>
  <c r="T349" i="18"/>
  <c r="V349" i="18" s="1"/>
  <c r="V348" i="18"/>
  <c r="T348" i="18"/>
  <c r="T347" i="18"/>
  <c r="V347" i="18" s="1"/>
  <c r="T346" i="18"/>
  <c r="V346" i="18" s="1"/>
  <c r="T345" i="18"/>
  <c r="V345" i="18" s="1"/>
  <c r="T344" i="18"/>
  <c r="V344" i="18" s="1"/>
  <c r="Q344" i="18"/>
  <c r="T343" i="18"/>
  <c r="V343" i="18" s="1"/>
  <c r="Q343" i="18"/>
  <c r="T342" i="18"/>
  <c r="V342" i="18" s="1"/>
  <c r="Q342" i="18"/>
  <c r="T341" i="18"/>
  <c r="V341" i="18" s="1"/>
  <c r="Q341" i="18"/>
  <c r="T340" i="18"/>
  <c r="V340" i="18" s="1"/>
  <c r="Q340" i="18"/>
  <c r="T339" i="18"/>
  <c r="V339" i="18" s="1"/>
  <c r="Q339" i="18"/>
  <c r="T338" i="18"/>
  <c r="V338" i="18" s="1"/>
  <c r="Q338" i="18"/>
  <c r="T337" i="18"/>
  <c r="V337" i="18" s="1"/>
  <c r="Q337" i="18"/>
  <c r="T336" i="18"/>
  <c r="V336" i="18" s="1"/>
  <c r="Q336" i="18"/>
  <c r="T335" i="18"/>
  <c r="V335" i="18" s="1"/>
  <c r="Q335" i="18"/>
  <c r="T334" i="18"/>
  <c r="V334" i="18" s="1"/>
  <c r="Q334" i="18"/>
  <c r="T333" i="18"/>
  <c r="V333" i="18" s="1"/>
  <c r="Q333" i="18"/>
  <c r="T332" i="18"/>
  <c r="V332" i="18" s="1"/>
  <c r="Q332" i="18"/>
  <c r="T331" i="18"/>
  <c r="V331" i="18" s="1"/>
  <c r="Q331" i="18"/>
  <c r="T330" i="18"/>
  <c r="V330" i="18" s="1"/>
  <c r="Q330" i="18"/>
  <c r="T329" i="18"/>
  <c r="V329" i="18" s="1"/>
  <c r="Q329" i="18"/>
  <c r="T328" i="18"/>
  <c r="V328" i="18" s="1"/>
  <c r="Q328" i="18"/>
  <c r="T327" i="18"/>
  <c r="V327" i="18" s="1"/>
  <c r="Q327" i="18"/>
  <c r="T326" i="18"/>
  <c r="V326" i="18" s="1"/>
  <c r="Q326" i="18"/>
  <c r="T325" i="18"/>
  <c r="V325" i="18" s="1"/>
  <c r="Q325" i="18"/>
  <c r="T324" i="18"/>
  <c r="V324" i="18" s="1"/>
  <c r="Q324" i="18"/>
  <c r="T323" i="18"/>
  <c r="V323" i="18" s="1"/>
  <c r="Q323" i="18"/>
  <c r="T322" i="18"/>
  <c r="V322" i="18" s="1"/>
  <c r="Q322" i="18"/>
  <c r="T321" i="18"/>
  <c r="V321" i="18" s="1"/>
  <c r="Q321" i="18"/>
  <c r="T320" i="18"/>
  <c r="V320" i="18" s="1"/>
  <c r="Q320" i="18"/>
  <c r="T319" i="18"/>
  <c r="V319" i="18" s="1"/>
  <c r="Q319" i="18"/>
  <c r="T318" i="18"/>
  <c r="V318" i="18" s="1"/>
  <c r="Q318" i="18"/>
  <c r="T317" i="18"/>
  <c r="V317" i="18" s="1"/>
  <c r="Q317" i="18"/>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Q106" i="18"/>
  <c r="T105" i="18"/>
  <c r="Q105" i="18"/>
  <c r="V104" i="18"/>
  <c r="T104" i="18"/>
  <c r="Q104" i="18"/>
  <c r="T103" i="18"/>
  <c r="Q103" i="18"/>
  <c r="T102" i="18"/>
  <c r="Q102" i="18"/>
  <c r="T101" i="18"/>
  <c r="V101" i="18" s="1"/>
  <c r="Q101" i="18"/>
  <c r="T100" i="18"/>
  <c r="Q100" i="18"/>
  <c r="T99" i="18"/>
  <c r="Q99" i="18"/>
  <c r="T98" i="18"/>
  <c r="Q98" i="18"/>
  <c r="T97" i="18"/>
  <c r="Q97" i="18"/>
  <c r="T96" i="18"/>
  <c r="Q96" i="18"/>
  <c r="T95" i="18"/>
  <c r="Q95" i="18"/>
  <c r="T94" i="18"/>
  <c r="Q94" i="18"/>
  <c r="T93" i="18"/>
  <c r="Q93" i="18"/>
  <c r="T92" i="18"/>
  <c r="Q92" i="18"/>
  <c r="V91" i="18"/>
  <c r="T91" i="18"/>
  <c r="Q91" i="18"/>
  <c r="T90" i="18"/>
  <c r="V90" i="18" s="1"/>
  <c r="Q90" i="18"/>
  <c r="T89" i="18"/>
  <c r="V89" i="18" s="1"/>
  <c r="Q89" i="18"/>
  <c r="T88" i="18"/>
  <c r="V88" i="18" s="1"/>
  <c r="Q88" i="18"/>
  <c r="V87" i="18"/>
  <c r="T87" i="18"/>
  <c r="Q87" i="18"/>
  <c r="T86" i="18"/>
  <c r="V86" i="18" s="1"/>
  <c r="Q86" i="18"/>
  <c r="T85" i="18"/>
  <c r="V85" i="18" s="1"/>
  <c r="Q85" i="18"/>
  <c r="T84" i="18"/>
  <c r="V84" i="18" s="1"/>
  <c r="Q84" i="18"/>
  <c r="V83" i="18"/>
  <c r="T83" i="18"/>
  <c r="Q83" i="18"/>
  <c r="T82" i="18"/>
  <c r="V82" i="18" s="1"/>
  <c r="Q82" i="18"/>
  <c r="T81" i="18"/>
  <c r="V81" i="18" s="1"/>
  <c r="Q81" i="18"/>
  <c r="T80" i="18"/>
  <c r="V80" i="18" s="1"/>
  <c r="Q80" i="18"/>
  <c r="V79" i="18"/>
  <c r="T79" i="18"/>
  <c r="Q79" i="18"/>
  <c r="T78" i="18"/>
  <c r="V78" i="18" s="1"/>
  <c r="Q78" i="18"/>
  <c r="T77" i="18"/>
  <c r="V77" i="18" s="1"/>
  <c r="Q77" i="18"/>
  <c r="T76" i="18"/>
  <c r="V76" i="18" s="1"/>
  <c r="Q76" i="18"/>
  <c r="V75" i="18"/>
  <c r="T75" i="18"/>
  <c r="Q75" i="18"/>
  <c r="T74" i="18"/>
  <c r="V74" i="18" s="1"/>
  <c r="Q74" i="18"/>
  <c r="T73" i="18"/>
  <c r="V73" i="18" s="1"/>
  <c r="Q73" i="18"/>
  <c r="T72" i="18"/>
  <c r="V72" i="18" s="1"/>
  <c r="Q72" i="18"/>
  <c r="V71" i="18"/>
  <c r="T71" i="18"/>
  <c r="Q71" i="18"/>
  <c r="T70" i="18"/>
  <c r="V70" i="18" s="1"/>
  <c r="Q70" i="18"/>
  <c r="T69" i="18"/>
  <c r="V69" i="18" s="1"/>
  <c r="Q69" i="18"/>
  <c r="T68" i="18"/>
  <c r="V68" i="18" s="1"/>
  <c r="Q68" i="18"/>
  <c r="V67" i="18"/>
  <c r="T67" i="18"/>
  <c r="Q67" i="18"/>
  <c r="T66" i="18"/>
  <c r="V66" i="18" s="1"/>
  <c r="Q66" i="18"/>
  <c r="T65" i="18"/>
  <c r="V65" i="18" s="1"/>
  <c r="Q65" i="18"/>
  <c r="T64" i="18"/>
  <c r="V64" i="18" s="1"/>
  <c r="Q64" i="18"/>
  <c r="V63" i="18"/>
  <c r="T63" i="18"/>
  <c r="Q63" i="18"/>
  <c r="T62" i="18"/>
  <c r="V62" i="18" s="1"/>
  <c r="Q62" i="18"/>
  <c r="T61" i="18"/>
  <c r="V61" i="18" s="1"/>
  <c r="Q61" i="18"/>
  <c r="T60" i="18"/>
  <c r="V60" i="18" s="1"/>
  <c r="Q60" i="18"/>
  <c r="V59" i="18"/>
  <c r="T59" i="18"/>
  <c r="Q59" i="18"/>
  <c r="T58" i="18"/>
  <c r="V58" i="18" s="1"/>
  <c r="Q58" i="18"/>
  <c r="T57" i="18"/>
  <c r="V57" i="18" s="1"/>
  <c r="Q57" i="18"/>
  <c r="T56" i="18"/>
  <c r="V56" i="18" s="1"/>
  <c r="Q56" i="18"/>
  <c r="V55" i="18"/>
  <c r="T55" i="18"/>
  <c r="Q55" i="18"/>
  <c r="T54" i="18"/>
  <c r="V54" i="18" s="1"/>
  <c r="Q54" i="18"/>
  <c r="T53" i="18"/>
  <c r="V53" i="18" s="1"/>
  <c r="Q53" i="18"/>
  <c r="T52" i="18"/>
  <c r="V52" i="18" s="1"/>
  <c r="Q52" i="18"/>
  <c r="V51" i="18"/>
  <c r="T51" i="18"/>
  <c r="Q51" i="18"/>
  <c r="T50" i="18"/>
  <c r="V50" i="18" s="1"/>
  <c r="Q50" i="18"/>
  <c r="T49" i="18"/>
  <c r="V49" i="18" s="1"/>
  <c r="Q49" i="18"/>
  <c r="T48" i="18"/>
  <c r="V48" i="18" s="1"/>
  <c r="Q48" i="18"/>
  <c r="V47" i="18"/>
  <c r="T47" i="18"/>
  <c r="Q47" i="18"/>
  <c r="T46" i="18"/>
  <c r="V46" i="18" s="1"/>
  <c r="Q46" i="18"/>
  <c r="T45" i="18"/>
  <c r="V45" i="18" s="1"/>
  <c r="Q45" i="18"/>
  <c r="T44" i="18"/>
  <c r="V44" i="18" s="1"/>
  <c r="Q44" i="18"/>
  <c r="V43" i="18"/>
  <c r="T43" i="18"/>
  <c r="Q43" i="18"/>
  <c r="T42" i="18"/>
  <c r="V42" i="18" s="1"/>
  <c r="Q42" i="18"/>
  <c r="T41" i="18"/>
  <c r="V41" i="18" s="1"/>
  <c r="Q41" i="18"/>
  <c r="T40" i="18"/>
  <c r="V40" i="18" s="1"/>
  <c r="Q40" i="18"/>
  <c r="V39" i="18"/>
  <c r="T39" i="18"/>
  <c r="Q39" i="18"/>
  <c r="T38" i="18"/>
  <c r="V38" i="18" s="1"/>
  <c r="Q38" i="18"/>
  <c r="T37" i="18"/>
  <c r="V37" i="18" s="1"/>
  <c r="Q37" i="18"/>
  <c r="T36" i="18"/>
  <c r="V36" i="18" s="1"/>
  <c r="Q36" i="18"/>
  <c r="V35" i="18"/>
  <c r="T35" i="18"/>
  <c r="Q35" i="18"/>
  <c r="T34" i="18"/>
  <c r="V34" i="18" s="1"/>
  <c r="Q34" i="18"/>
  <c r="T33" i="18"/>
  <c r="V33" i="18" s="1"/>
  <c r="Q33" i="18"/>
  <c r="T32" i="18"/>
  <c r="V32" i="18" s="1"/>
  <c r="Q32" i="18"/>
  <c r="V31" i="18"/>
  <c r="T31" i="18"/>
  <c r="Q31" i="18"/>
  <c r="T30" i="18"/>
  <c r="V30" i="18" s="1"/>
  <c r="Q30" i="18"/>
  <c r="T29" i="18"/>
  <c r="V29" i="18" s="1"/>
  <c r="Q29" i="18"/>
  <c r="T28" i="18"/>
  <c r="V28" i="18" s="1"/>
  <c r="Q28" i="18"/>
  <c r="V27" i="18"/>
  <c r="T27" i="18"/>
  <c r="Q27" i="18"/>
  <c r="T26" i="18"/>
  <c r="V26" i="18" s="1"/>
  <c r="Q26" i="18"/>
  <c r="T25" i="18"/>
  <c r="V25" i="18" s="1"/>
  <c r="Q25" i="18"/>
  <c r="T24" i="18"/>
  <c r="V24" i="18" s="1"/>
  <c r="Q24" i="18"/>
  <c r="V23" i="18"/>
  <c r="T23" i="18"/>
  <c r="Q23" i="18"/>
  <c r="T22" i="18"/>
  <c r="V22" i="18" s="1"/>
  <c r="Q22" i="18"/>
  <c r="T21" i="18"/>
  <c r="V21" i="18" s="1"/>
  <c r="Q21" i="18"/>
  <c r="T20" i="18"/>
  <c r="V20" i="18" s="1"/>
  <c r="Q20" i="18"/>
  <c r="V19" i="18"/>
  <c r="T19" i="18"/>
  <c r="Q19" i="18"/>
  <c r="T18" i="18"/>
  <c r="V18" i="18" s="1"/>
  <c r="Q18" i="18"/>
  <c r="T17" i="18"/>
  <c r="V17" i="18" s="1"/>
  <c r="Q17" i="18"/>
  <c r="T16" i="18"/>
  <c r="V16" i="18" s="1"/>
  <c r="Q16" i="18"/>
  <c r="V15" i="18"/>
  <c r="T15" i="18"/>
  <c r="Q15" i="18"/>
  <c r="T14" i="18"/>
  <c r="V14" i="18" s="1"/>
  <c r="Q14" i="18"/>
  <c r="T13" i="18"/>
  <c r="V13" i="18" s="1"/>
  <c r="Q13" i="18"/>
  <c r="T12" i="18"/>
  <c r="V12" i="18" s="1"/>
  <c r="Q12" i="18"/>
  <c r="V11" i="18"/>
  <c r="T11" i="18"/>
  <c r="Q11" i="18"/>
  <c r="T10" i="18"/>
  <c r="V10" i="18" s="1"/>
  <c r="Q10" i="18"/>
  <c r="T9" i="18"/>
  <c r="V9" i="18" s="1"/>
  <c r="Q9" i="18"/>
  <c r="T8" i="18"/>
  <c r="V8" i="18" s="1"/>
  <c r="Q8" i="18"/>
  <c r="V7" i="18"/>
  <c r="T7" i="18"/>
  <c r="Q7" i="18"/>
  <c r="T6" i="18"/>
  <c r="V6" i="18" s="1"/>
  <c r="Q6" i="18"/>
  <c r="T5" i="18"/>
  <c r="V5" i="18" s="1"/>
  <c r="Q5" i="18"/>
  <c r="T4" i="18"/>
  <c r="V4" i="18" s="1"/>
  <c r="Q4" i="18"/>
  <c r="V3" i="18"/>
  <c r="T3" i="18"/>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<sst xmlns="http://schemas.openxmlformats.org/spreadsheetml/2006/main" count="10294" uniqueCount="391">
  <si>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</si>
  <si>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</si>
  <si>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</si>
  <si>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</si>
  <si>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</si>
  <si>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</si>
  <si>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</si>
  <si>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</si>
  <si>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</si>
  <si>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</si>
  <si>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</si>
  <si>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</si>
  <si>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</si>
  <si>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</si>
  <si>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</si>
  <si>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</si>
  <si>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</si>
  <si>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</si>
  <si>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</si>
  <si>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</si>
  <si>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</si>
  <si>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</si>
  <si>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</si>
  <si>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</si>
  <si>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</si>
  <si>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</si>
  <si>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</si>
  <si>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</si>
  <si>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</si>
  <si>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</si>
  <si>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</si>
  <si>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</si>
  <si>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</si>
  <si>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</si>
  <si>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</si>
  <si>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</si>
  <si>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</si>
  <si>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</si>
  <si>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</si>
  <si>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</si>
  <si>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</si>
  <si>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</si>
  <si>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</si>
  <si>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</si>
  <si>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</si>
  <si>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</si>
  <si>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</si>
  <si>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</si>
  <si>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</si>
  <si>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</si>
  <si>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</si>
  <si>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</si>
  <si>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</si>
  <si>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</si>
  <si>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</si>
  <si>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</si>
  <si>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</si>
  <si>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</si>
  <si>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</si>
  <si>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</si>
  <si>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</si>
  <si>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</si>
  <si>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</si>
  <si>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</si>
  <si>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</si>
  <si>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</si>
  <si>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</si>
  <si>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</si>
  <si>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</si>
  <si>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</si>
  <si>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</si>
  <si>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</si>
  <si>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</si>
  <si>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</si>
  <si>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</si>
  <si>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</si>
  <si>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</si>
  <si>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</si>
  <si>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</si>
  <si>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</si>
  <si>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</si>
  <si>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</si>
  <si>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</si>
  <si>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</si>
  <si>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</si>
  <si>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</si>
  <si>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</si>
  <si>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</si>
  <si>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</si>
  <si>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</si>
  <si>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</si>
  <si>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</si>
  <si>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</si>
  <si>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</si>
  <si>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</si>
  <si>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</si>
  <si>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</si>
  <si>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</si>
  <si>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</si>
  <si>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</si>
  <si>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</si>
  <si>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</si>
  <si>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</si>
  <si>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</si>
  <si>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</si>
  <si>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</si>
  <si>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</si>
  <si>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</si>
  <si>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</si>
  <si>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</si>
  <si>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</si>
  <si>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</si>
  <si>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</si>
  <si>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</si>
  <si>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</si>
  <si>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</si>
  <si>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</si>
  <si>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</si>
  <si>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</si>
  <si>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</si>
  <si>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</si>
  <si>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</si>
  <si>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</si>
  <si>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</si>
  <si>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</si>
  <si>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</si>
  <si>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</si>
  <si>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</si>
  <si>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</si>
  <si>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</si>
  <si>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</si>
  <si>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</si>
  <si>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</si>
  <si>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</si>
  <si>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</si>
  <si>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</si>
  <si>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</si>
  <si>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</si>
  <si>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</si>
  <si>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</si>
  <si>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</si>
  <si>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</si>
  <si>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</si>
  <si>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</si>
  <si>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</si>
  <si>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</si>
  <si>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</si>
  <si>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</si>
  <si>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</si>
  <si>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</si>
  <si>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</si>
  <si>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</si>
  <si>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</si>
  <si>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</si>
  <si>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</si>
  <si>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</si>
  <si>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</si>
  <si>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</si>
  <si>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</si>
  <si>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</si>
  <si>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</si>
  <si>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</si>
  <si>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</si>
  <si>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</si>
  <si>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</si>
  <si>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12.09.2019</t>
  </si>
  <si>
    <t>12.09.2019</t>
    <phoneticPr fontId="3"/>
  </si>
  <si>
    <t>国名</t>
  </si>
  <si>
    <t>シーズン</t>
  </si>
  <si>
    <t>検体
番号</t>
  </si>
  <si>
    <t>生産者
コード</t>
  </si>
  <si>
    <t>硬度
１</t>
  </si>
  <si>
    <t>硬度
２</t>
    <phoneticPr fontId="15"/>
  </si>
  <si>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</si>
  <si>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</si>
  <si>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</si>
  <si>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</si>
  <si>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</si>
  <si>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</si>
  <si>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</si>
  <si>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</si>
  <si>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</si>
  <si>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</si>
  <si>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09.09.2019</t>
    <phoneticPr fontId="15"/>
  </si>
  <si>
    <t>利府店</t>
  </si>
  <si>
    <t>その他グリーン</t>
  </si>
  <si>
    <t>みやぎ生協</t>
  </si>
  <si>
    <t>その他ゴールド</t>
  </si>
  <si>
    <t>09.09.2019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</si>
  <si>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</si>
  <si>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</si>
  <si>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</si>
  <si>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</si>
  <si>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</si>
  <si>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</si>
  <si>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</si>
  <si>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</si>
  <si>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</si>
  <si>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</si>
  <si>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</si>
  <si>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</si>
  <si>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</si>
  <si>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</si>
  <si>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</si>
  <si>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</si>
  <si>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</si>
  <si>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</si>
  <si>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</si>
  <si>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</si>
  <si>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</si>
  <si>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</si>
  <si>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</si>
  <si>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</si>
  <si>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</si>
  <si>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</si>
  <si>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</si>
  <si>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</si>
  <si>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</si>
  <si>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</si>
  <si>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</si>
  <si>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</si>
  <si>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</si>
  <si>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</si>
  <si>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</si>
  <si>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</si>
  <si>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</si>
  <si>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</si>
  <si>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</si>
  <si>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</si>
  <si>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</si>
  <si>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</si>
  <si>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</si>
  <si>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</si>
  <si>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　</t>
    <phoneticPr fontId="15"/>
  </si>
  <si>
    <t>JP</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</si>
  <si>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</si>
  <si>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</si>
  <si>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</si>
  <si>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</si>
  <si>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</si>
  <si>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</si>
  <si>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</si>
  <si>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</si>
  <si>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</si>
  <si>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</si>
  <si>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</si>
  <si>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</si>
  <si>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</si>
  <si>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</si>
  <si>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</si>
  <si>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</si>
  <si>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</si>
  <si>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</si>
  <si>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</si>
  <si>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</si>
  <si>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</si>
  <si>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</si>
  <si>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</si>
  <si>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</si>
  <si>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</si>
  <si>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硬度
２</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</si>
  <si>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</si>
  <si>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</si>
  <si>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14.09.2019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</si>
  <si>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</si>
  <si>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</si>
  <si>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</si>
  <si>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</si>
  <si>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</si>
  <si>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</si>
  <si>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</si>
  <si>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</si>
  <si>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</si>
  <si>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</si>
  <si>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</si>
  <si>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</si>
  <si>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</si>
  <si>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</si>
  <si>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</si>
  <si>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</si>
  <si>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</si>
  <si>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</si>
  <si>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</si>
  <si>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</si>
  <si>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</si>
  <si>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11.09.2019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</si>
  <si>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</si>
  <si>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</si>
  <si>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</si>
  <si>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</si>
  <si>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</si>
  <si>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</si>
  <si>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</si>
  <si>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</si>
  <si>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</si>
  <si>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</si>
  <si>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</si>
  <si>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</si>
  <si>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</si>
  <si>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</si>
  <si>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</si>
  <si>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</si>
  <si>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</si>
  <si>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</si>
  <si>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</si>
  <si>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</si>
  <si>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</si>
  <si>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</si>
  <si>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</si>
  <si>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</si>
  <si>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</si>
  <si>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</si>
  <si>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</si>
  <si>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</si>
  <si>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</si>
  <si>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</si>
  <si>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</si>
  <si>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</si>
  <si>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</si>
  <si>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</si>
  <si>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</si>
  <si>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</si>
  <si>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</si>
  <si>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</si>
  <si>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</si>
  <si>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</si>
  <si>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</si>
  <si>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</si>
  <si>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</si>
  <si>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</si>
  <si>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</si>
  <si>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</si>
  <si>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</si>
  <si>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</si>
  <si>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</si>
  <si>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</si>
  <si>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</si>
  <si>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</si>
  <si>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</si>
  <si>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</si>
  <si>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</si>
  <si>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</si>
  <si>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</si>
  <si>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</si>
  <si>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</si>
  <si>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</si>
  <si>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</si>
  <si>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</si>
  <si>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</si>
  <si>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</si>
  <si>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</si>
  <si>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</si>
  <si>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</si>
  <si>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</si>
  <si>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</si>
  <si>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</si>
  <si>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</si>
  <si>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</si>
  <si>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13.09.2019</t>
    <phoneticPr fontId="3"/>
  </si>
  <si>
    <t>サミット</t>
  </si>
  <si>
    <t>久が原食品館</t>
  </si>
  <si>
    <t>13.09.2019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</si>
  <si>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</si>
  <si>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</si>
  <si>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</si>
  <si>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</si>
  <si>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</si>
  <si>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</si>
  <si>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</si>
  <si>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</si>
  <si>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</si>
  <si>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</si>
  <si>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</si>
  <si>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08.09.2019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</si>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</sst>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6"/>
      <name val="ＭＳ Ｐゴシック"/>
      <family val="3"/>
      <charset val="128"/>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6"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6" fillId="0" borderId="0" xfId="1" applyFont="1"/>
    <xf numFmtId="178" fontId="1" fillId="2" borderId="0" xfId="1" applyNumberFormat="1" applyFill="1"/>
    <xf numFmtId="0" fontId="16"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6" fillId="0" borderId="4" xfId="0" applyFont="1" applyBorder="1">
      <alignment vertical="center"/>
    </xf>
    <xf numFmtId="0" fontId="16" fillId="0" borderId="1" xfId="0" applyFont="1" applyBorder="1">
      <alignment vertical="center"/>
    </xf>
    <xf numFmtId="0" fontId="16"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opLeftCell="A31" zoomScale="85" zoomScaleNormal="85" workbookViewId="0">
      <selection activeCell="I70" sqref="I70"/>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0.55000000000000004</v>
      </c>
      <c r="P2" s="15">
        <v>0.55000000000000004</v>
      </c>
      <c r="Q2" s="51">
        <f t="shared" ref="Q2:Q65" si="0">IF(OR(O2="",P2=""),"",AVERAGE(O2,P2))</f>
        <v>0.55000000000000004</v>
      </c>
      <c r="R2" s="15">
        <v>15</v>
      </c>
      <c r="S2" s="15">
        <v>123</v>
      </c>
      <c r="T2" s="38">
        <f t="shared" ref="T2:T59" si="1">IF(H2="","",IF(OR(H2="GREEN",H2="GK"),IF(S2&gt;=$AX$2,VLOOKUP(S2,$AX$2:$AY$12,2,1),""),IF(S2&gt;=$AZ$2,VLOOKUP(S2,$AZ$2:$BA$12,2,1),"")))</f>
        <v>27</v>
      </c>
      <c r="U2" s="15">
        <v>105</v>
      </c>
      <c r="V2" s="38">
        <f t="shared" ref="V2:V65" si="2">IF(OR(N2="",U2="",T2=""),"",U2/N2*T2)</f>
        <v>2835</v>
      </c>
      <c r="W2" s="15">
        <v>12</v>
      </c>
      <c r="X2" s="15" t="s">
        <v>46</v>
      </c>
      <c r="Y2" s="15" t="s">
        <v>102</v>
      </c>
      <c r="Z2" s="15" t="s">
        <v>78</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0.65</v>
      </c>
      <c r="P3" s="7">
        <v>0.7</v>
      </c>
      <c r="Q3" s="52">
        <f t="shared" si="0"/>
        <v>0.67500000000000004</v>
      </c>
      <c r="R3" s="7">
        <v>14.4</v>
      </c>
      <c r="S3" s="7">
        <v>116</v>
      </c>
      <c r="T3" s="16">
        <f t="shared" si="1"/>
        <v>30</v>
      </c>
      <c r="U3" s="15">
        <v>105</v>
      </c>
      <c r="V3" s="16">
        <f t="shared" si="2"/>
        <v>3150</v>
      </c>
      <c r="W3" s="15">
        <v>12</v>
      </c>
      <c r="X3" s="15" t="s">
        <v>46</v>
      </c>
      <c r="Y3" s="15" t="s">
        <v>102</v>
      </c>
      <c r="Z3" s="15" t="s">
        <v>78</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0.55000000000000004</v>
      </c>
      <c r="Q4" s="52">
        <f t="shared" si="0"/>
        <v>0.60000000000000009</v>
      </c>
      <c r="R4" s="7">
        <v>14.8</v>
      </c>
      <c r="S4" s="7">
        <v>123</v>
      </c>
      <c r="T4" s="16">
        <f t="shared" si="1"/>
        <v>27</v>
      </c>
      <c r="U4" s="15">
        <v>105</v>
      </c>
      <c r="V4" s="16">
        <f t="shared" si="2"/>
        <v>2835</v>
      </c>
      <c r="W4" s="15">
        <v>12</v>
      </c>
      <c r="X4" s="15" t="s">
        <v>46</v>
      </c>
      <c r="Y4" s="54" t="s">
        <v>102</v>
      </c>
      <c r="Z4" s="54" t="s">
        <v>78</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13</v>
      </c>
      <c r="S5" s="7">
        <v>120</v>
      </c>
      <c r="T5" s="16">
        <f t="shared" si="1"/>
        <v>30</v>
      </c>
      <c r="U5" s="15">
        <v>135</v>
      </c>
      <c r="V5" s="16">
        <f t="shared" si="2"/>
        <v>4050</v>
      </c>
      <c r="W5" s="15">
        <v>12</v>
      </c>
      <c r="X5" s="15" t="s">
        <v>46</v>
      </c>
      <c r="Y5" s="54" t="s">
        <v>102</v>
      </c>
      <c r="Z5" s="54" t="s">
        <v>78</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14.2</v>
      </c>
      <c r="S6" s="7">
        <v>123</v>
      </c>
      <c r="T6" s="16">
        <f t="shared" si="1"/>
        <v>27</v>
      </c>
      <c r="U6" s="15">
        <v>135</v>
      </c>
      <c r="V6" s="16">
        <f t="shared" si="2"/>
        <v>3645</v>
      </c>
      <c r="W6" s="15">
        <v>12</v>
      </c>
      <c r="X6" s="15" t="s">
        <v>46</v>
      </c>
      <c r="Y6" s="54" t="s">
        <v>102</v>
      </c>
      <c r="Z6" s="54" t="s">
        <v>78</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13.1</v>
      </c>
      <c r="S7" s="7">
        <v>124</v>
      </c>
      <c r="T7" s="16">
        <f t="shared" si="1"/>
        <v>27</v>
      </c>
      <c r="U7" s="15">
        <v>135</v>
      </c>
      <c r="V7" s="16">
        <f t="shared" si="2"/>
        <v>3645</v>
      </c>
      <c r="W7" s="15">
        <v>12</v>
      </c>
      <c r="X7" s="15" t="s">
        <v>46</v>
      </c>
      <c r="Y7" s="54" t="s">
        <v>102</v>
      </c>
      <c r="Z7" s="54" t="s">
        <v>78</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v>
      </c>
      <c r="P8" s="7">
        <v>0.55000000000000004</v>
      </c>
      <c r="Q8" s="52">
        <f t="shared" si="0"/>
        <v>0.52500000000000002</v>
      </c>
      <c r="R8" s="34">
        <v>12.3</v>
      </c>
      <c r="S8" s="7">
        <v>126</v>
      </c>
      <c r="T8" s="16">
        <f t="shared" si="1"/>
        <v>27</v>
      </c>
      <c r="U8" s="15">
        <v>98</v>
      </c>
      <c r="V8" s="16">
        <f t="shared" si="2"/>
        <v>2646</v>
      </c>
      <c r="W8" s="15">
        <v>7</v>
      </c>
      <c r="X8" s="15" t="s">
        <v>46</v>
      </c>
      <c r="Y8" s="54" t="s">
        <v>102</v>
      </c>
      <c r="Z8" s="54" t="s">
        <v>78</v>
      </c>
      <c r="AA8" s="54" t="s">
        <v>90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0.6</v>
      </c>
      <c r="P9" s="7">
        <v>0.6</v>
      </c>
      <c r="Q9" s="52">
        <f t="shared" si="0"/>
        <v>0.6</v>
      </c>
      <c r="R9" s="7">
        <v>12.6</v>
      </c>
      <c r="S9" s="7">
        <v>118</v>
      </c>
      <c r="T9" s="16">
        <f t="shared" si="1"/>
        <v>30</v>
      </c>
      <c r="U9" s="15">
        <v>98</v>
      </c>
      <c r="V9" s="16">
        <f t="shared" si="2"/>
        <v>2940</v>
      </c>
      <c r="W9" s="15">
        <v>7</v>
      </c>
      <c r="X9" s="15" t="s">
        <v>46</v>
      </c>
      <c r="Y9" s="54" t="s">
        <v>102</v>
      </c>
      <c r="Z9" s="54" t="s">
        <v>78</v>
      </c>
      <c r="AA9" s="54" t="s">
        <v>90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0.55000000000000004</v>
      </c>
      <c r="P10" s="7">
        <v>0.55000000000000004</v>
      </c>
      <c r="Q10" s="52">
        <f t="shared" si="0"/>
        <v>0.55000000000000004</v>
      </c>
      <c r="R10" s="7">
        <v>12.4</v>
      </c>
      <c r="S10" s="7">
        <v>120</v>
      </c>
      <c r="T10" s="16">
        <f t="shared" si="1"/>
        <v>30</v>
      </c>
      <c r="U10" s="15">
        <v>98</v>
      </c>
      <c r="V10" s="16">
        <f t="shared" si="2"/>
        <v>2940</v>
      </c>
      <c r="W10" s="15">
        <v>7</v>
      </c>
      <c r="X10" s="15" t="s">
        <v>46</v>
      </c>
      <c r="Y10" s="54" t="s">
        <v>102</v>
      </c>
      <c r="Z10" s="54" t="s">
        <v>78</v>
      </c>
      <c r="AA10" s="54" t="s">
        <v>90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0.6</v>
      </c>
      <c r="P11" s="7">
        <v>0.65</v>
      </c>
      <c r="Q11" s="52">
        <f t="shared" si="0"/>
        <v>0.625</v>
      </c>
      <c r="R11" s="7">
        <v>13.4</v>
      </c>
      <c r="S11" s="7">
        <v>123</v>
      </c>
      <c r="T11" s="16">
        <f t="shared" si="1"/>
        <v>27</v>
      </c>
      <c r="U11" s="7">
        <v>98</v>
      </c>
      <c r="V11" s="16">
        <f t="shared" si="2"/>
        <v>2646</v>
      </c>
      <c r="W11" s="7">
        <v>3</v>
      </c>
      <c r="X11" s="15" t="s">
        <v>46</v>
      </c>
      <c r="Y11" s="54" t="s">
        <v>102</v>
      </c>
      <c r="Z11" s="54" t="s">
        <v>78</v>
      </c>
      <c r="AA11" s="54" t="s">
        <v>90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0.65</v>
      </c>
      <c r="P12" s="7">
        <v>0.65</v>
      </c>
      <c r="Q12" s="52">
        <f t="shared" si="0"/>
        <v>0.65</v>
      </c>
      <c r="R12" s="34">
        <v>13.7</v>
      </c>
      <c r="S12" s="7">
        <v>120</v>
      </c>
      <c r="T12" s="16">
        <f t="shared" si="1"/>
        <v>30</v>
      </c>
      <c r="U12" s="7">
        <v>98</v>
      </c>
      <c r="V12" s="16">
        <f t="shared" si="2"/>
        <v>2940</v>
      </c>
      <c r="W12" s="7">
        <v>3</v>
      </c>
      <c r="X12" s="15" t="s">
        <v>46</v>
      </c>
      <c r="Y12" s="54" t="s">
        <v>102</v>
      </c>
      <c r="Z12" s="54" t="s">
        <v>78</v>
      </c>
      <c r="AA12" s="54" t="s">
        <v>90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0.7</v>
      </c>
      <c r="P13" s="7">
        <v>0.7</v>
      </c>
      <c r="Q13" s="52">
        <f t="shared" si="0"/>
        <v>0.7</v>
      </c>
      <c r="R13" s="7">
        <v>13.7</v>
      </c>
      <c r="S13" s="7">
        <v>122</v>
      </c>
      <c r="T13" s="16">
        <f t="shared" si="1"/>
        <v>27</v>
      </c>
      <c r="U13" s="7">
        <v>98</v>
      </c>
      <c r="V13" s="16">
        <f t="shared" si="2"/>
        <v>2646</v>
      </c>
      <c r="W13" s="7">
        <v>3</v>
      </c>
      <c r="X13" s="15" t="s">
        <v>46</v>
      </c>
      <c r="Y13" s="54" t="s">
        <v>102</v>
      </c>
      <c r="Z13" s="54" t="s">
        <v>78</v>
      </c>
      <c r="AA13" s="54" t="s">
        <v>90</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v>
      </c>
      <c r="P14" s="7">
        <v>0.65</v>
      </c>
      <c r="Q14" s="52">
        <f t="shared" si="0"/>
        <v>0.625</v>
      </c>
      <c r="R14" s="7">
        <v>13.7</v>
      </c>
      <c r="S14" s="7">
        <v>127</v>
      </c>
      <c r="T14" s="16">
        <f t="shared" si="1"/>
        <v>27</v>
      </c>
      <c r="U14" s="7">
        <v>138</v>
      </c>
      <c r="V14" s="16">
        <f t="shared" si="2"/>
        <v>3726</v>
      </c>
      <c r="W14" s="7">
        <v>3</v>
      </c>
      <c r="X14" s="15" t="s">
        <v>46</v>
      </c>
      <c r="Y14" s="54" t="s">
        <v>102</v>
      </c>
      <c r="Z14" s="54" t="s">
        <v>69</v>
      </c>
      <c r="AA14" s="54" t="s">
        <v>78</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0.6</v>
      </c>
      <c r="P15" s="7">
        <v>0.55000000000000004</v>
      </c>
      <c r="Q15" s="52">
        <f t="shared" si="0"/>
        <v>0.57499999999999996</v>
      </c>
      <c r="R15" s="7">
        <v>14.5</v>
      </c>
      <c r="S15" s="7">
        <v>131</v>
      </c>
      <c r="T15" s="16">
        <f t="shared" si="1"/>
        <v>25</v>
      </c>
      <c r="U15" s="7">
        <v>138</v>
      </c>
      <c r="V15" s="16">
        <f t="shared" si="2"/>
        <v>3450</v>
      </c>
      <c r="W15" s="7">
        <v>3</v>
      </c>
      <c r="X15" s="15" t="s">
        <v>46</v>
      </c>
      <c r="Y15" s="54" t="s">
        <v>102</v>
      </c>
      <c r="Z15" s="54" t="s">
        <v>69</v>
      </c>
      <c r="AA15" s="54" t="s">
        <v>78</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0.55000000000000004</v>
      </c>
      <c r="P16" s="7">
        <v>0.6</v>
      </c>
      <c r="Q16" s="52">
        <f t="shared" si="0"/>
        <v>0.57499999999999996</v>
      </c>
      <c r="R16" s="7">
        <v>14.8</v>
      </c>
      <c r="S16" s="7">
        <v>128</v>
      </c>
      <c r="T16" s="16">
        <f t="shared" si="1"/>
        <v>27</v>
      </c>
      <c r="U16" s="7">
        <v>138</v>
      </c>
      <c r="V16" s="16">
        <f t="shared" si="2"/>
        <v>3726</v>
      </c>
      <c r="W16" s="7">
        <v>3</v>
      </c>
      <c r="X16" s="15" t="s">
        <v>46</v>
      </c>
      <c r="Y16" s="54" t="s">
        <v>102</v>
      </c>
      <c r="Z16" s="54" t="s">
        <v>69</v>
      </c>
      <c r="AA16" s="54" t="s">
        <v>78</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0.55000000000000004</v>
      </c>
      <c r="P17" s="7">
        <v>0.55000000000000004</v>
      </c>
      <c r="Q17" s="52">
        <f t="shared" si="0"/>
        <v>0.55000000000000004</v>
      </c>
      <c r="R17" s="7">
        <v>13.4</v>
      </c>
      <c r="S17" s="7">
        <v>130</v>
      </c>
      <c r="T17" s="16">
        <f t="shared" si="1"/>
        <v>25</v>
      </c>
      <c r="U17" s="7">
        <v>149</v>
      </c>
      <c r="V17" s="16">
        <f t="shared" si="2"/>
        <v>3725</v>
      </c>
      <c r="W17" s="7">
        <v>5</v>
      </c>
      <c r="X17" s="15" t="s">
        <v>46</v>
      </c>
      <c r="Y17" s="54" t="s">
        <v>102</v>
      </c>
      <c r="Z17" s="54" t="s">
        <v>69</v>
      </c>
      <c r="AA17" s="54" t="s">
        <v>78</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v>
      </c>
      <c r="Q18" s="52">
        <f t="shared" si="0"/>
        <v>0.5</v>
      </c>
      <c r="R18" s="7">
        <v>15</v>
      </c>
      <c r="S18" s="7">
        <v>128</v>
      </c>
      <c r="T18" s="16">
        <f t="shared" si="1"/>
        <v>27</v>
      </c>
      <c r="U18" s="7">
        <v>149</v>
      </c>
      <c r="V18" s="16">
        <f t="shared" si="2"/>
        <v>4023</v>
      </c>
      <c r="W18" s="7">
        <v>5</v>
      </c>
      <c r="X18" s="15" t="s">
        <v>46</v>
      </c>
      <c r="Y18" s="54" t="s">
        <v>102</v>
      </c>
      <c r="Z18" s="54" t="s">
        <v>69</v>
      </c>
      <c r="AA18" s="54" t="s">
        <v>78</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v>
      </c>
      <c r="P19" s="7">
        <v>0.5</v>
      </c>
      <c r="Q19" s="52">
        <f t="shared" si="0"/>
        <v>0.5</v>
      </c>
      <c r="R19" s="7">
        <v>14.6</v>
      </c>
      <c r="S19" s="7">
        <v>127</v>
      </c>
      <c r="T19" s="16">
        <f t="shared" si="1"/>
        <v>27</v>
      </c>
      <c r="U19" s="7">
        <v>149</v>
      </c>
      <c r="V19" s="16">
        <f t="shared" si="2"/>
        <v>4023</v>
      </c>
      <c r="W19" s="7">
        <v>5</v>
      </c>
      <c r="X19" s="15" t="s">
        <v>46</v>
      </c>
      <c r="Y19" s="54" t="s">
        <v>102</v>
      </c>
      <c r="Z19" s="54" t="s">
        <v>69</v>
      </c>
      <c r="AA19" s="54" t="s">
        <v>78</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v>
      </c>
      <c r="P20" s="34">
        <v>0.5</v>
      </c>
      <c r="Q20" s="52">
        <f t="shared" si="0"/>
        <v>0.5</v>
      </c>
      <c r="R20" s="7">
        <v>13.9</v>
      </c>
      <c r="S20" s="7">
        <v>122</v>
      </c>
      <c r="T20" s="16">
        <f t="shared" si="1"/>
        <v>27</v>
      </c>
      <c r="U20" s="7">
        <v>105</v>
      </c>
      <c r="V20" s="16">
        <f t="shared" si="2"/>
        <v>2835</v>
      </c>
      <c r="W20" s="7">
        <v>2</v>
      </c>
      <c r="X20" s="15" t="s">
        <v>39</v>
      </c>
      <c r="Y20" s="54" t="s">
        <v>102</v>
      </c>
      <c r="Z20" s="54" t="s">
        <v>90</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0.6</v>
      </c>
      <c r="P21" s="7">
        <v>0.6</v>
      </c>
      <c r="Q21" s="52">
        <f t="shared" si="0"/>
        <v>0.6</v>
      </c>
      <c r="R21" s="7">
        <v>15.2</v>
      </c>
      <c r="S21" s="7">
        <v>120</v>
      </c>
      <c r="T21" s="16">
        <f t="shared" si="1"/>
        <v>30</v>
      </c>
      <c r="U21" s="7">
        <v>105</v>
      </c>
      <c r="V21" s="16">
        <f t="shared" si="2"/>
        <v>3150</v>
      </c>
      <c r="W21" s="7">
        <v>2</v>
      </c>
      <c r="X21" s="54" t="s">
        <v>39</v>
      </c>
      <c r="Y21" s="54" t="s">
        <v>102</v>
      </c>
      <c r="Z21" s="54" t="s">
        <v>90</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v>
      </c>
      <c r="P22" s="7">
        <v>0.55000000000000004</v>
      </c>
      <c r="Q22" s="52">
        <f t="shared" si="0"/>
        <v>0.52500000000000002</v>
      </c>
      <c r="R22" s="7">
        <v>17.5</v>
      </c>
      <c r="S22" s="7">
        <v>123</v>
      </c>
      <c r="T22" s="16">
        <f t="shared" si="1"/>
        <v>27</v>
      </c>
      <c r="U22" s="7">
        <v>105</v>
      </c>
      <c r="V22" s="16">
        <f t="shared" si="2"/>
        <v>2835</v>
      </c>
      <c r="W22" s="7">
        <v>2</v>
      </c>
      <c r="X22" s="54" t="s">
        <v>39</v>
      </c>
      <c r="Y22" s="54" t="s">
        <v>102</v>
      </c>
      <c r="Z22" s="54" t="s">
        <v>90</v>
      </c>
      <c r="AA22" s="54" t="s">
        <v>78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14.9</v>
      </c>
      <c r="S23" s="7">
        <v>118</v>
      </c>
      <c r="T23" s="16">
        <f t="shared" si="1"/>
        <v>30</v>
      </c>
      <c r="U23" s="7">
        <v>138</v>
      </c>
      <c r="V23" s="16">
        <f t="shared" si="2"/>
        <v>4140</v>
      </c>
      <c r="W23" s="7">
        <v>2</v>
      </c>
      <c r="X23" s="54" t="s">
        <v>39</v>
      </c>
      <c r="Y23" s="54" t="s">
        <v>102</v>
      </c>
      <c r="Z23" s="54" t="s">
        <v>90</v>
      </c>
      <c r="AA23" s="54" t="s">
        <v>78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18.2</v>
      </c>
      <c r="S24" s="7">
        <v>119</v>
      </c>
      <c r="T24" s="16">
        <f t="shared" si="1"/>
        <v>30</v>
      </c>
      <c r="U24" s="7">
        <v>138</v>
      </c>
      <c r="V24" s="16">
        <f t="shared" si="2"/>
        <v>4140</v>
      </c>
      <c r="W24" s="7">
        <v>2</v>
      </c>
      <c r="X24" s="54" t="s">
        <v>39</v>
      </c>
      <c r="Y24" s="54" t="s">
        <v>102</v>
      </c>
      <c r="Z24" s="54" t="s">
        <v>90</v>
      </c>
      <c r="AA24" s="54" t="s">
        <v>78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16.399999999999999</v>
      </c>
      <c r="S25" s="7">
        <v>122</v>
      </c>
      <c r="T25" s="16">
        <f t="shared" si="1"/>
        <v>27</v>
      </c>
      <c r="U25" s="7">
        <v>138</v>
      </c>
      <c r="V25" s="16">
        <f t="shared" si="2"/>
        <v>3726</v>
      </c>
      <c r="W25" s="7">
        <v>2</v>
      </c>
      <c r="X25" s="54" t="s">
        <v>39</v>
      </c>
      <c r="Y25" s="54" t="s">
        <v>102</v>
      </c>
      <c r="Z25" s="54" t="s">
        <v>90</v>
      </c>
      <c r="AA25" s="54" t="s">
        <v>78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v>
      </c>
      <c r="P26" s="7">
        <v>0.8</v>
      </c>
      <c r="Q26" s="52">
        <f t="shared" si="0"/>
        <v>0.75</v>
      </c>
      <c r="R26" s="7">
        <v>13.2</v>
      </c>
      <c r="S26" s="7">
        <v>133</v>
      </c>
      <c r="T26" s="16">
        <f t="shared" si="1"/>
        <v>25</v>
      </c>
      <c r="U26" s="7">
        <v>107</v>
      </c>
      <c r="V26" s="16">
        <f t="shared" si="2"/>
        <v>2675</v>
      </c>
      <c r="W26" s="7">
        <v>4</v>
      </c>
      <c r="X26" s="15" t="s">
        <v>46</v>
      </c>
      <c r="Y26" s="54" t="s">
        <v>78</v>
      </c>
      <c r="Z26" s="54" t="s">
        <v>102</v>
      </c>
      <c r="AA26" s="54" t="s">
        <v>88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0.55000000000000004</v>
      </c>
      <c r="P27" s="7">
        <v>0.55000000000000004</v>
      </c>
      <c r="Q27" s="52">
        <f t="shared" si="0"/>
        <v>0.55000000000000004</v>
      </c>
      <c r="R27" s="7">
        <v>12.7</v>
      </c>
      <c r="S27" s="7">
        <v>127</v>
      </c>
      <c r="T27" s="16">
        <f t="shared" si="1"/>
        <v>27</v>
      </c>
      <c r="U27" s="7">
        <v>107</v>
      </c>
      <c r="V27" s="16">
        <f t="shared" si="2"/>
        <v>2889</v>
      </c>
      <c r="W27" s="7">
        <v>4</v>
      </c>
      <c r="X27" s="54" t="s">
        <v>46</v>
      </c>
      <c r="Y27" s="54" t="s">
        <v>78</v>
      </c>
      <c r="Z27" s="54" t="s">
        <v>102</v>
      </c>
      <c r="AA27" s="54" t="s">
        <v>88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v>
      </c>
      <c r="P28" s="7">
        <v>0.7</v>
      </c>
      <c r="Q28" s="52">
        <f t="shared" si="0"/>
        <v>0.7</v>
      </c>
      <c r="R28" s="7">
        <v>14.9</v>
      </c>
      <c r="S28" s="7">
        <v>124</v>
      </c>
      <c r="T28" s="16">
        <f t="shared" si="1"/>
        <v>27</v>
      </c>
      <c r="U28" s="7">
        <v>107</v>
      </c>
      <c r="V28" s="16">
        <f t="shared" si="2"/>
        <v>2889</v>
      </c>
      <c r="W28" s="7">
        <v>4</v>
      </c>
      <c r="X28" s="54" t="s">
        <v>46</v>
      </c>
      <c r="Y28" s="54" t="s">
        <v>78</v>
      </c>
      <c r="Z28" s="54" t="s">
        <v>102</v>
      </c>
      <c r="AA28" s="54" t="s">
        <v>88</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13.9</v>
      </c>
      <c r="S29" s="7">
        <v>115</v>
      </c>
      <c r="T29" s="16">
        <f t="shared" si="1"/>
        <v>30</v>
      </c>
      <c r="U29" s="7">
        <v>107</v>
      </c>
      <c r="V29" s="16">
        <f t="shared" si="2"/>
        <v>3210</v>
      </c>
      <c r="W29" s="7">
        <v>5</v>
      </c>
      <c r="X29" s="54" t="s">
        <v>46</v>
      </c>
      <c r="Y29" s="54" t="s">
        <v>78</v>
      </c>
      <c r="Z29" s="54" t="s">
        <v>102</v>
      </c>
      <c r="AA29" s="54" t="s">
        <v>88</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18.2</v>
      </c>
      <c r="S30" s="7">
        <v>115</v>
      </c>
      <c r="T30" s="16">
        <f t="shared" si="1"/>
        <v>30</v>
      </c>
      <c r="U30" s="7">
        <v>107</v>
      </c>
      <c r="V30" s="16">
        <f t="shared" si="2"/>
        <v>3210</v>
      </c>
      <c r="W30" s="7">
        <v>5</v>
      </c>
      <c r="X30" s="54" t="s">
        <v>46</v>
      </c>
      <c r="Y30" s="54" t="s">
        <v>78</v>
      </c>
      <c r="Z30" s="54" t="s">
        <v>102</v>
      </c>
      <c r="AA30" s="54" t="s">
        <v>88</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14.5</v>
      </c>
      <c r="S31" s="7">
        <v>119</v>
      </c>
      <c r="T31" s="16">
        <f t="shared" si="1"/>
        <v>30</v>
      </c>
      <c r="U31" s="7">
        <v>107</v>
      </c>
      <c r="V31" s="16">
        <f t="shared" si="2"/>
        <v>3210</v>
      </c>
      <c r="W31" s="7">
        <v>5</v>
      </c>
      <c r="X31" s="54" t="s">
        <v>46</v>
      </c>
      <c r="Y31" s="54" t="s">
        <v>78</v>
      </c>
      <c r="Z31" s="54" t="s">
        <v>102</v>
      </c>
      <c r="AA31" s="54" t="s">
        <v>88</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v>
      </c>
      <c r="P32" s="7">
        <v>0.5</v>
      </c>
      <c r="Q32" s="52">
        <f t="shared" si="0"/>
        <v>0.5</v>
      </c>
      <c r="R32" s="7">
        <v>16</v>
      </c>
      <c r="S32" s="7">
        <v>117</v>
      </c>
      <c r="T32" s="16">
        <f t="shared" si="1"/>
        <v>30</v>
      </c>
      <c r="U32" s="7">
        <v>108</v>
      </c>
      <c r="V32" s="16">
        <f t="shared" si="2"/>
        <v>3240</v>
      </c>
      <c r="W32" s="7">
        <v>7</v>
      </c>
      <c r="X32" s="54" t="s">
        <v>46</v>
      </c>
      <c r="Y32" s="54" t="s">
        <v>50</v>
      </c>
      <c r="Z32" s="54" t="s">
        <v>78</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14.3</v>
      </c>
      <c r="S33" s="7">
        <v>116</v>
      </c>
      <c r="T33" s="16">
        <f t="shared" si="1"/>
        <v>30</v>
      </c>
      <c r="U33" s="7">
        <v>108</v>
      </c>
      <c r="V33" s="16">
        <f t="shared" si="2"/>
        <v>3240</v>
      </c>
      <c r="W33" s="7">
        <v>7</v>
      </c>
      <c r="X33" s="15" t="s">
        <v>46</v>
      </c>
      <c r="Y33" s="54" t="s">
        <v>50</v>
      </c>
      <c r="Z33" s="54" t="s">
        <v>78</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v>
      </c>
      <c r="Q34" s="52">
        <f t="shared" si="0"/>
        <v>0.5</v>
      </c>
      <c r="R34" s="7">
        <v>18.100000000000001</v>
      </c>
      <c r="S34" s="7">
        <v>110</v>
      </c>
      <c r="T34" s="16">
        <f t="shared" si="1"/>
        <v>33</v>
      </c>
      <c r="U34" s="7">
        <v>108</v>
      </c>
      <c r="V34" s="16">
        <f t="shared" si="2"/>
        <v>3564</v>
      </c>
      <c r="W34" s="7">
        <v>7</v>
      </c>
      <c r="X34" s="15" t="s">
        <v>46</v>
      </c>
      <c r="Y34" s="54" t="s">
        <v>50</v>
      </c>
      <c r="Z34" s="54" t="s">
        <v>78</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0.55000000000000004</v>
      </c>
      <c r="Q35" s="52">
        <f t="shared" si="0"/>
        <v>0.52500000000000002</v>
      </c>
      <c r="R35" s="7">
        <v>15.3</v>
      </c>
      <c r="S35" s="7">
        <v>123</v>
      </c>
      <c r="T35" s="16">
        <f t="shared" si="1"/>
        <v>27</v>
      </c>
      <c r="U35" s="7">
        <v>108</v>
      </c>
      <c r="V35" s="16">
        <f t="shared" si="2"/>
        <v>2916</v>
      </c>
      <c r="W35" s="7">
        <v>8</v>
      </c>
      <c r="X35" s="15" t="s">
        <v>46</v>
      </c>
      <c r="Y35" s="54" t="s">
        <v>50</v>
      </c>
      <c r="Z35" s="54" t="s">
        <v>78</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v>
      </c>
      <c r="Q36" s="52">
        <f t="shared" si="0"/>
        <v>0.5</v>
      </c>
      <c r="R36" s="7">
        <v>15.8</v>
      </c>
      <c r="S36" s="7">
        <v>119</v>
      </c>
      <c r="T36" s="16">
        <f t="shared" si="1"/>
        <v>30</v>
      </c>
      <c r="U36" s="7">
        <v>108</v>
      </c>
      <c r="V36" s="16">
        <f t="shared" si="2"/>
        <v>3240</v>
      </c>
      <c r="W36" s="7">
        <v>8</v>
      </c>
      <c r="X36" s="15" t="s">
        <v>46</v>
      </c>
      <c r="Y36" s="54" t="s">
        <v>50</v>
      </c>
      <c r="Z36" s="54" t="s">
        <v>78</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0.55000000000000004</v>
      </c>
      <c r="P37" s="34">
        <v>0.5</v>
      </c>
      <c r="Q37" s="52">
        <f t="shared" si="0"/>
        <v>0.52500000000000002</v>
      </c>
      <c r="R37" s="7">
        <v>19.8</v>
      </c>
      <c r="S37" s="7">
        <v>125</v>
      </c>
      <c r="T37" s="16">
        <f t="shared" si="1"/>
        <v>27</v>
      </c>
      <c r="U37" s="7">
        <v>108</v>
      </c>
      <c r="V37" s="16">
        <f t="shared" si="2"/>
        <v>2916</v>
      </c>
      <c r="W37" s="7">
        <v>8</v>
      </c>
      <c r="X37" s="15" t="s">
        <v>46</v>
      </c>
      <c r="Y37" s="54" t="s">
        <v>50</v>
      </c>
      <c r="Z37" s="54" t="s">
        <v>78</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0.5</v>
      </c>
      <c r="Q38" s="52">
        <f t="shared" si="0"/>
        <v>0.5</v>
      </c>
      <c r="R38" s="7">
        <v>14.1</v>
      </c>
      <c r="S38" s="7">
        <v>127</v>
      </c>
      <c r="T38" s="16">
        <f t="shared" si="1"/>
        <v>27</v>
      </c>
      <c r="U38" s="7">
        <v>98</v>
      </c>
      <c r="V38" s="16">
        <f t="shared" si="2"/>
        <v>2646</v>
      </c>
      <c r="W38" s="7">
        <v>5</v>
      </c>
      <c r="X38" s="15" t="s">
        <v>46</v>
      </c>
      <c r="Y38" s="54" t="s">
        <v>78</v>
      </c>
      <c r="Z38" s="54" t="s">
        <v>50</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0.5</v>
      </c>
      <c r="P39" s="7">
        <v>0.5</v>
      </c>
      <c r="Q39" s="52">
        <f t="shared" si="0"/>
        <v>0.5</v>
      </c>
      <c r="R39" s="34">
        <v>12.2</v>
      </c>
      <c r="S39" s="7">
        <v>125</v>
      </c>
      <c r="T39" s="16">
        <f t="shared" si="1"/>
        <v>27</v>
      </c>
      <c r="U39" s="7">
        <v>98</v>
      </c>
      <c r="V39" s="16">
        <f t="shared" si="2"/>
        <v>2646</v>
      </c>
      <c r="W39" s="7">
        <v>5</v>
      </c>
      <c r="X39" s="15" t="s">
        <v>46</v>
      </c>
      <c r="Y39" s="54" t="s">
        <v>78</v>
      </c>
      <c r="Z39" s="54" t="s">
        <v>50</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0.6</v>
      </c>
      <c r="P40" s="7">
        <v>0.65</v>
      </c>
      <c r="Q40" s="52">
        <f t="shared" si="0"/>
        <v>0.625</v>
      </c>
      <c r="R40" s="7">
        <v>14.9</v>
      </c>
      <c r="S40" s="7">
        <v>122</v>
      </c>
      <c r="T40" s="16">
        <f t="shared" si="1"/>
        <v>27</v>
      </c>
      <c r="U40" s="7">
        <v>98</v>
      </c>
      <c r="V40" s="16">
        <f t="shared" si="2"/>
        <v>2646</v>
      </c>
      <c r="W40" s="7">
        <v>5</v>
      </c>
      <c r="X40" s="15" t="s">
        <v>46</v>
      </c>
      <c r="Y40" s="54" t="s">
        <v>78</v>
      </c>
      <c r="Z40" s="54" t="s">
        <v>50</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0.6</v>
      </c>
      <c r="P41" s="7">
        <v>0.6</v>
      </c>
      <c r="Q41" s="52">
        <f t="shared" si="0"/>
        <v>0.6</v>
      </c>
      <c r="R41" s="7">
        <v>18.899999999999999</v>
      </c>
      <c r="S41" s="7">
        <v>123</v>
      </c>
      <c r="T41" s="16">
        <f t="shared" si="1"/>
        <v>27</v>
      </c>
      <c r="U41" s="7">
        <v>128</v>
      </c>
      <c r="V41" s="16">
        <f t="shared" si="2"/>
        <v>3456</v>
      </c>
      <c r="W41" s="7">
        <v>4</v>
      </c>
      <c r="X41" s="15" t="s">
        <v>46</v>
      </c>
      <c r="Y41" s="54" t="s">
        <v>78</v>
      </c>
      <c r="Z41" s="54" t="s">
        <v>50</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0.6</v>
      </c>
      <c r="P42" s="7">
        <v>0.75</v>
      </c>
      <c r="Q42" s="52">
        <f t="shared" si="0"/>
        <v>0.67500000000000004</v>
      </c>
      <c r="R42" s="7">
        <v>15.6</v>
      </c>
      <c r="S42" s="7">
        <v>123</v>
      </c>
      <c r="T42" s="16">
        <f t="shared" si="1"/>
        <v>27</v>
      </c>
      <c r="U42" s="7">
        <v>128</v>
      </c>
      <c r="V42" s="16">
        <f t="shared" si="2"/>
        <v>3456</v>
      </c>
      <c r="W42" s="7">
        <v>4</v>
      </c>
      <c r="X42" s="15" t="s">
        <v>46</v>
      </c>
      <c r="Y42" s="54" t="s">
        <v>78</v>
      </c>
      <c r="Z42" s="54" t="s">
        <v>50</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0.65</v>
      </c>
      <c r="P43" s="7">
        <v>0.65</v>
      </c>
      <c r="Q43" s="52">
        <f t="shared" si="0"/>
        <v>0.65</v>
      </c>
      <c r="R43" s="7">
        <v>13.7</v>
      </c>
      <c r="S43" s="7">
        <v>117</v>
      </c>
      <c r="T43" s="16">
        <f t="shared" si="1"/>
        <v>30</v>
      </c>
      <c r="U43" s="7">
        <v>128</v>
      </c>
      <c r="V43" s="16">
        <f t="shared" si="2"/>
        <v>3840</v>
      </c>
      <c r="W43" s="7">
        <v>4</v>
      </c>
      <c r="X43" s="15" t="s">
        <v>46</v>
      </c>
      <c r="Y43" s="54" t="s">
        <v>78</v>
      </c>
      <c r="Z43" s="54" t="s">
        <v>50</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v>
      </c>
      <c r="P44" s="7">
        <v>0.65</v>
      </c>
      <c r="Q44" s="52">
        <f t="shared" si="0"/>
        <v>0.625</v>
      </c>
      <c r="R44" s="7">
        <v>14.4</v>
      </c>
      <c r="S44" s="7">
        <v>123</v>
      </c>
      <c r="T44" s="16">
        <f t="shared" si="1"/>
        <v>27</v>
      </c>
      <c r="U44" s="7">
        <v>105</v>
      </c>
      <c r="V44" s="16">
        <f t="shared" si="2"/>
        <v>2835</v>
      </c>
      <c r="W44" s="7">
        <v>4</v>
      </c>
      <c r="X44" s="15" t="s">
        <v>46</v>
      </c>
      <c r="Y44" s="54" t="s">
        <v>102</v>
      </c>
      <c r="Z44" s="54" t="s">
        <v>78</v>
      </c>
      <c r="AA44" s="54" t="s">
        <v>90</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0.55000000000000004</v>
      </c>
      <c r="P45" s="7">
        <v>0.5</v>
      </c>
      <c r="Q45" s="52">
        <f t="shared" si="0"/>
        <v>0.52500000000000002</v>
      </c>
      <c r="R45" s="7">
        <v>14.9</v>
      </c>
      <c r="S45" s="7">
        <v>121</v>
      </c>
      <c r="T45" s="16">
        <f t="shared" si="1"/>
        <v>27</v>
      </c>
      <c r="U45" s="7">
        <v>105</v>
      </c>
      <c r="V45" s="16">
        <f t="shared" si="2"/>
        <v>2835</v>
      </c>
      <c r="W45" s="7">
        <v>4</v>
      </c>
      <c r="X45" s="15" t="s">
        <v>46</v>
      </c>
      <c r="Y45" s="54" t="s">
        <v>102</v>
      </c>
      <c r="Z45" s="54" t="s">
        <v>78</v>
      </c>
      <c r="AA45" s="54" t="s">
        <v>90</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0.55000000000000004</v>
      </c>
      <c r="P46" s="34">
        <v>0.6</v>
      </c>
      <c r="Q46" s="52">
        <f t="shared" si="0"/>
        <v>0.57499999999999996</v>
      </c>
      <c r="R46" s="7">
        <v>13.7</v>
      </c>
      <c r="S46" s="7">
        <v>121</v>
      </c>
      <c r="T46" s="16">
        <f t="shared" si="1"/>
        <v>27</v>
      </c>
      <c r="U46" s="7">
        <v>105</v>
      </c>
      <c r="V46" s="16">
        <f t="shared" si="2"/>
        <v>2835</v>
      </c>
      <c r="W46" s="7">
        <v>4</v>
      </c>
      <c r="X46" s="15" t="s">
        <v>46</v>
      </c>
      <c r="Y46" s="54" t="s">
        <v>102</v>
      </c>
      <c r="Z46" s="54" t="s">
        <v>78</v>
      </c>
      <c r="AA46" s="54" t="s">
        <v>90</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14.4</v>
      </c>
      <c r="S47" s="7">
        <v>117</v>
      </c>
      <c r="T47" s="16">
        <f t="shared" si="1"/>
        <v>30</v>
      </c>
      <c r="U47" s="7">
        <v>135</v>
      </c>
      <c r="V47" s="16">
        <f t="shared" si="2"/>
        <v>4050</v>
      </c>
      <c r="W47" s="7">
        <v>9</v>
      </c>
      <c r="X47" s="15" t="s">
        <v>46</v>
      </c>
      <c r="Y47" s="54" t="s">
        <v>102</v>
      </c>
      <c r="Z47" s="54" t="s">
        <v>78</v>
      </c>
      <c r="AA47" s="54" t="s">
        <v>90</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13.5</v>
      </c>
      <c r="S48" s="7">
        <v>117</v>
      </c>
      <c r="T48" s="16">
        <f t="shared" si="1"/>
        <v>30</v>
      </c>
      <c r="U48" s="7">
        <v>135</v>
      </c>
      <c r="V48" s="16">
        <f t="shared" si="2"/>
        <v>4050</v>
      </c>
      <c r="W48" s="7">
        <v>9</v>
      </c>
      <c r="X48" s="15" t="s">
        <v>46</v>
      </c>
      <c r="Y48" s="54" t="s">
        <v>102</v>
      </c>
      <c r="Z48" s="54" t="s">
        <v>78</v>
      </c>
      <c r="AA48" s="54" t="s">
        <v>90</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15.8</v>
      </c>
      <c r="S49" s="7">
        <v>115</v>
      </c>
      <c r="T49" s="16">
        <f t="shared" si="1"/>
        <v>30</v>
      </c>
      <c r="U49" s="7">
        <v>135</v>
      </c>
      <c r="V49" s="16">
        <f t="shared" si="2"/>
        <v>4050</v>
      </c>
      <c r="W49" s="7">
        <v>9</v>
      </c>
      <c r="X49" s="15" t="s">
        <v>46</v>
      </c>
      <c r="Y49" s="54" t="s">
        <v>102</v>
      </c>
      <c r="Z49" s="54" t="s">
        <v>78</v>
      </c>
      <c r="AA49" s="54" t="s">
        <v>90</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0.6</v>
      </c>
      <c r="P50" s="7">
        <v>0.6</v>
      </c>
      <c r="Q50" s="52">
        <f t="shared" si="0"/>
        <v>0.6</v>
      </c>
      <c r="R50" s="7">
        <v>11.9</v>
      </c>
      <c r="S50" s="7">
        <v>126</v>
      </c>
      <c r="T50" s="16">
        <f t="shared" si="1"/>
        <v>27</v>
      </c>
      <c r="U50" s="7">
        <v>138</v>
      </c>
      <c r="V50" s="16">
        <f t="shared" si="2"/>
        <v>3726</v>
      </c>
      <c r="W50" s="7">
        <v>4</v>
      </c>
      <c r="X50" s="15" t="s">
        <v>46</v>
      </c>
      <c r="Y50" s="54" t="s">
        <v>102</v>
      </c>
      <c r="Z50" s="54" t="s">
        <v>78</v>
      </c>
      <c r="AA50" s="54" t="s">
        <v>90</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0.65</v>
      </c>
      <c r="P51" s="7">
        <v>0.6</v>
      </c>
      <c r="Q51" s="52">
        <f t="shared" si="0"/>
        <v>0.625</v>
      </c>
      <c r="R51" s="7">
        <v>13.1</v>
      </c>
      <c r="S51" s="7">
        <v>130</v>
      </c>
      <c r="T51" s="16">
        <f t="shared" si="1"/>
        <v>25</v>
      </c>
      <c r="U51" s="7">
        <v>138</v>
      </c>
      <c r="V51" s="16">
        <f t="shared" si="2"/>
        <v>3450</v>
      </c>
      <c r="W51" s="7">
        <v>4</v>
      </c>
      <c r="X51" s="15" t="s">
        <v>46</v>
      </c>
      <c r="Y51" s="54" t="s">
        <v>102</v>
      </c>
      <c r="Z51" s="54" t="s">
        <v>78</v>
      </c>
      <c r="AA51" s="54" t="s">
        <v>90</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0.5</v>
      </c>
      <c r="P52" s="7">
        <v>0.5</v>
      </c>
      <c r="Q52" s="52">
        <f t="shared" si="0"/>
        <v>0.5</v>
      </c>
      <c r="R52" s="7">
        <v>13.7</v>
      </c>
      <c r="S52" s="7">
        <v>131</v>
      </c>
      <c r="T52" s="16">
        <f t="shared" si="1"/>
        <v>25</v>
      </c>
      <c r="U52" s="7">
        <v>138</v>
      </c>
      <c r="V52" s="16">
        <f t="shared" si="2"/>
        <v>3450</v>
      </c>
      <c r="W52" s="7">
        <v>4</v>
      </c>
      <c r="X52" s="15" t="s">
        <v>46</v>
      </c>
      <c r="Y52" s="54" t="s">
        <v>102</v>
      </c>
      <c r="Z52" s="54" t="s">
        <v>78</v>
      </c>
      <c r="AA52" s="54" t="s">
        <v>90</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v>
      </c>
      <c r="P53" s="7">
        <v>0.5</v>
      </c>
      <c r="Q53" s="52">
        <f t="shared" si="0"/>
        <v>0.5</v>
      </c>
      <c r="R53" s="7">
        <v>13.7</v>
      </c>
      <c r="S53" s="7">
        <v>127</v>
      </c>
      <c r="T53" s="16">
        <f t="shared" si="1"/>
        <v>27</v>
      </c>
      <c r="U53" s="7">
        <v>138</v>
      </c>
      <c r="V53" s="16">
        <f t="shared" si="2"/>
        <v>3726</v>
      </c>
      <c r="W53" s="7">
        <v>3</v>
      </c>
      <c r="X53" s="15" t="s">
        <v>46</v>
      </c>
      <c r="Y53" s="54" t="s">
        <v>102</v>
      </c>
      <c r="Z53" s="54" t="s">
        <v>78</v>
      </c>
      <c r="AA53" s="54" t="s">
        <v>90</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v>
      </c>
      <c r="P54" s="7">
        <v>0.55000000000000004</v>
      </c>
      <c r="Q54" s="52">
        <f t="shared" si="0"/>
        <v>0.52500000000000002</v>
      </c>
      <c r="R54" s="7">
        <v>14.5</v>
      </c>
      <c r="S54" s="7">
        <v>135</v>
      </c>
      <c r="T54" s="16">
        <f t="shared" si="1"/>
        <v>25</v>
      </c>
      <c r="U54" s="7">
        <v>138</v>
      </c>
      <c r="V54" s="16">
        <f t="shared" si="2"/>
        <v>3450</v>
      </c>
      <c r="W54" s="7">
        <v>3</v>
      </c>
      <c r="X54" s="15" t="s">
        <v>46</v>
      </c>
      <c r="Y54" s="54" t="s">
        <v>102</v>
      </c>
      <c r="Z54" s="54" t="s">
        <v>78</v>
      </c>
      <c r="AA54" s="54" t="s">
        <v>90</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v>
      </c>
      <c r="Q55" s="52">
        <f t="shared" si="0"/>
        <v>0.5</v>
      </c>
      <c r="R55" s="7">
        <v>19.2</v>
      </c>
      <c r="S55" s="7">
        <v>129</v>
      </c>
      <c r="T55" s="16">
        <f t="shared" si="1"/>
        <v>25</v>
      </c>
      <c r="U55" s="7">
        <v>138</v>
      </c>
      <c r="V55" s="16">
        <f t="shared" si="2"/>
        <v>3450</v>
      </c>
      <c r="W55" s="7">
        <v>3</v>
      </c>
      <c r="X55" s="15" t="s">
        <v>46</v>
      </c>
      <c r="Y55" s="54" t="s">
        <v>102</v>
      </c>
      <c r="Z55" s="54" t="s">
        <v>78</v>
      </c>
      <c r="AA55" s="54" t="s">
        <v>90</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0.55000000000000004</v>
      </c>
      <c r="P56" s="7">
        <v>0.5</v>
      </c>
      <c r="Q56" s="52">
        <f t="shared" si="0"/>
        <v>0.52500000000000002</v>
      </c>
      <c r="R56" s="7">
        <v>13.6</v>
      </c>
      <c r="S56" s="7">
        <v>93</v>
      </c>
      <c r="T56" s="16">
        <f t="shared" si="1"/>
        <v>36</v>
      </c>
      <c r="U56" s="7">
        <v>84</v>
      </c>
      <c r="V56" s="16">
        <f t="shared" si="2"/>
        <v>3024</v>
      </c>
      <c r="W56" s="7">
        <v>4</v>
      </c>
      <c r="X56" s="15" t="s">
        <v>46</v>
      </c>
      <c r="Y56" s="54" t="s">
        <v>102</v>
      </c>
      <c r="Z56" s="54" t="s">
        <v>78</v>
      </c>
      <c r="AA56" s="54" t="s">
        <v>90</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0.55000000000000004</v>
      </c>
      <c r="P57" s="7">
        <v>0.65</v>
      </c>
      <c r="Q57" s="52">
        <f t="shared" si="0"/>
        <v>0.60000000000000009</v>
      </c>
      <c r="R57" s="7">
        <v>13.1</v>
      </c>
      <c r="S57" s="7">
        <v>85</v>
      </c>
      <c r="T57" s="16">
        <f t="shared" si="1"/>
        <v>36</v>
      </c>
      <c r="U57" s="7">
        <v>84</v>
      </c>
      <c r="V57" s="16">
        <f t="shared" si="2"/>
        <v>3024</v>
      </c>
      <c r="W57" s="7">
        <v>4</v>
      </c>
      <c r="X57" s="15" t="s">
        <v>46</v>
      </c>
      <c r="Y57" s="54" t="s">
        <v>102</v>
      </c>
      <c r="Z57" s="54" t="s">
        <v>78</v>
      </c>
      <c r="AA57" s="54" t="s">
        <v>90</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0.55000000000000004</v>
      </c>
      <c r="P58" s="7">
        <v>0.5</v>
      </c>
      <c r="Q58" s="52">
        <f t="shared" si="0"/>
        <v>0.52500000000000002</v>
      </c>
      <c r="R58" s="7">
        <v>14.7</v>
      </c>
      <c r="S58" s="7">
        <v>92</v>
      </c>
      <c r="T58" s="16">
        <f t="shared" si="1"/>
        <v>36</v>
      </c>
      <c r="U58" s="7">
        <v>84</v>
      </c>
      <c r="V58" s="16">
        <f t="shared" si="2"/>
        <v>3024</v>
      </c>
      <c r="W58" s="7">
        <v>4</v>
      </c>
      <c r="X58" s="15" t="s">
        <v>46</v>
      </c>
      <c r="Y58" s="54" t="s">
        <v>102</v>
      </c>
      <c r="Z58" s="54" t="s">
        <v>78</v>
      </c>
      <c r="AA58" s="54" t="s">
        <v>90</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2</v>
      </c>
      <c r="O59" s="7">
        <v>0.5</v>
      </c>
      <c r="P59" s="7">
        <v>0.5</v>
      </c>
      <c r="Q59" s="52">
        <f t="shared" si="0"/>
        <v>0.5</v>
      </c>
      <c r="R59" s="7">
        <v>19.600000000000001</v>
      </c>
      <c r="S59" s="7">
        <v>128</v>
      </c>
      <c r="T59" s="16">
        <f t="shared" si="1"/>
        <v>27</v>
      </c>
      <c r="U59" s="7">
        <v>321</v>
      </c>
      <c r="V59" s="16">
        <f t="shared" si="2"/>
        <v>4333.5</v>
      </c>
      <c r="W59" s="7">
        <v>4</v>
      </c>
      <c r="X59" s="15" t="s">
        <v>46</v>
      </c>
      <c r="Y59" s="54" t="s">
        <v>102</v>
      </c>
      <c r="Z59" s="54" t="s">
        <v>78</v>
      </c>
      <c r="AA59" s="54" t="s">
        <v>90</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2</v>
      </c>
      <c r="O60" s="7">
        <v>0.5</v>
      </c>
      <c r="P60" s="7">
        <v>0.5</v>
      </c>
      <c r="Q60" s="52">
        <f t="shared" si="0"/>
        <v>0.5</v>
      </c>
      <c r="R60" s="7">
        <v>19.2</v>
      </c>
      <c r="S60" s="7">
        <v>126</v>
      </c>
      <c r="T60" s="16">
        <f>IF(H60="","",IF(OR(H60="GREEN",H60="GK"),IF(S60&gt;=$AX$2,VLOOKUP(S60,$AX$2:$AY$12,2,1),""),IF(S60&gt;=$AZ$2,VLOOKUP(S60,$AZ$2:$BA$12,2,1),"")))</f>
        <v>27</v>
      </c>
      <c r="U60" s="7">
        <v>321</v>
      </c>
      <c r="V60" s="16">
        <f t="shared" si="2"/>
        <v>4333.5</v>
      </c>
      <c r="W60" s="7">
        <v>4</v>
      </c>
      <c r="X60" s="15" t="s">
        <v>46</v>
      </c>
      <c r="Y60" s="54" t="s">
        <v>102</v>
      </c>
      <c r="Z60" s="54" t="s">
        <v>78</v>
      </c>
      <c r="AA60" s="54" t="s">
        <v>90</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2</v>
      </c>
      <c r="O61" s="7">
        <v>0.5</v>
      </c>
      <c r="P61" s="7">
        <v>0.5</v>
      </c>
      <c r="Q61" s="52">
        <f t="shared" si="0"/>
        <v>0.5</v>
      </c>
      <c r="R61" s="7">
        <v>14.4</v>
      </c>
      <c r="S61" s="7">
        <v>125</v>
      </c>
      <c r="T61" s="16">
        <f>IF(H61="","",IF(OR(H61="GREEN",H61="GK"),IF(S61&gt;=$AX$2,VLOOKUP(S61,$AX$2:$AY$12,2,1),""),IF(S61&gt;=$AZ$2,VLOOKUP(S61,$AZ$2:$BA$12,2,1),"")))</f>
        <v>27</v>
      </c>
      <c r="U61" s="7">
        <v>321</v>
      </c>
      <c r="V61" s="16">
        <f t="shared" si="2"/>
        <v>4333.5</v>
      </c>
      <c r="W61" s="7">
        <v>4</v>
      </c>
      <c r="X61" s="15" t="s">
        <v>46</v>
      </c>
      <c r="Y61" s="54" t="s">
        <v>102</v>
      </c>
      <c r="Z61" s="54" t="s">
        <v>78</v>
      </c>
      <c r="AA61" s="54" t="s">
        <v>90</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DA1B-BCBA-416F-9692-329D8D7BC96C}">
  <dimension ref="A1:BA373"/>
  <sheetViews>
    <sheetView topLeftCell="A82" zoomScale="70" zoomScaleNormal="70" workbookViewId="0">
      <selection activeCell="H47" sqref="H47:H48"/>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0.9</v>
      </c>
      <c r="P2" s="53">
        <v>0.95</v>
      </c>
      <c r="Q2" s="16">
        <f t="shared" ref="Q2:Q65" si="0">IF(OR(O2="",P2=""),"",AVERAGE(O2,P2))</f>
        <v>0.92500000000000004</v>
      </c>
      <c r="R2" s="53">
        <v>13</v>
      </c>
      <c r="S2" s="53">
        <v>130</v>
      </c>
      <c r="T2" s="16">
        <f t="shared" ref="T2:T65" si="1">IF(H2="","",IF(OR(H2="GREEN",H2="GK"),IF(S2&gt;=$AX$2,VLOOKUP(S2,$AX$2:$AY$10,2,1),""),IF(S2&gt;=$AZ$2,VLOOKUP(S2,$AZ$2:$BA$10,2,1),"")))</f>
        <v>25</v>
      </c>
      <c r="U2" s="53">
        <v>105</v>
      </c>
      <c r="V2" s="16">
        <f t="shared" ref="V2:V65" si="2">IF(OR(N2="",U2="",T2=""),"",U2/N2*T2)</f>
        <v>2625</v>
      </c>
      <c r="W2" s="53">
        <v>3</v>
      </c>
      <c r="X2" s="53" t="s">
        <v>46</v>
      </c>
      <c r="Y2" s="53" t="s">
        <v>78</v>
      </c>
      <c r="Z2" s="53" t="s">
        <v>69</v>
      </c>
      <c r="AA2" s="53" t="s">
        <v>102</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0.95</v>
      </c>
      <c r="P3" s="53">
        <v>1</v>
      </c>
      <c r="Q3" s="16">
        <f t="shared" si="0"/>
        <v>0.97499999999999998</v>
      </c>
      <c r="R3" s="53">
        <v>12.5</v>
      </c>
      <c r="S3" s="53">
        <v>125</v>
      </c>
      <c r="T3" s="16">
        <f t="shared" si="1"/>
        <v>27</v>
      </c>
      <c r="U3" s="53">
        <v>105</v>
      </c>
      <c r="V3" s="16">
        <f t="shared" si="2"/>
        <v>2835</v>
      </c>
      <c r="W3" s="53">
        <v>3</v>
      </c>
      <c r="X3" s="53" t="s">
        <v>46</v>
      </c>
      <c r="Y3" s="53" t="s">
        <v>78</v>
      </c>
      <c r="Z3" s="53" t="s">
        <v>69</v>
      </c>
      <c r="AA3" s="53" t="s">
        <v>102</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1</v>
      </c>
      <c r="P4" s="53">
        <v>1.1499999999999999</v>
      </c>
      <c r="Q4" s="16">
        <f t="shared" si="0"/>
        <v>1.075</v>
      </c>
      <c r="R4" s="53">
        <v>11.4</v>
      </c>
      <c r="S4" s="53">
        <v>126</v>
      </c>
      <c r="T4" s="16">
        <f t="shared" si="1"/>
        <v>27</v>
      </c>
      <c r="U4" s="53">
        <v>105</v>
      </c>
      <c r="V4" s="16">
        <f t="shared" si="2"/>
        <v>2835</v>
      </c>
      <c r="W4" s="53">
        <v>3</v>
      </c>
      <c r="X4" s="53" t="s">
        <v>46</v>
      </c>
      <c r="Y4" s="53" t="s">
        <v>78</v>
      </c>
      <c r="Z4" s="53" t="s">
        <v>69</v>
      </c>
      <c r="AA4" s="53" t="s">
        <v>102</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0.95</v>
      </c>
      <c r="P5" s="53">
        <v>0.85</v>
      </c>
      <c r="Q5" s="72">
        <f t="shared" si="0"/>
        <v>0.89999999999999991</v>
      </c>
      <c r="R5" s="53">
        <v>13.4</v>
      </c>
      <c r="S5" s="53">
        <v>120</v>
      </c>
      <c r="T5" s="16">
        <f t="shared" si="1"/>
        <v>30</v>
      </c>
      <c r="U5" s="53">
        <v>645</v>
      </c>
      <c r="V5" s="16">
        <f t="shared" si="2"/>
        <v>2418.75</v>
      </c>
      <c r="W5" s="53">
        <v>3</v>
      </c>
      <c r="X5" s="53" t="s">
        <v>46</v>
      </c>
      <c r="Y5" s="53" t="s">
        <v>78</v>
      </c>
      <c r="Z5" s="53" t="s">
        <v>69</v>
      </c>
      <c r="AA5" s="53" t="s">
        <v>102</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0.75</v>
      </c>
      <c r="P6" s="53">
        <v>0.65</v>
      </c>
      <c r="Q6" s="72">
        <f t="shared" si="0"/>
        <v>0.7</v>
      </c>
      <c r="R6" s="53">
        <v>13.5</v>
      </c>
      <c r="S6" s="53">
        <v>120</v>
      </c>
      <c r="T6" s="16">
        <f t="shared" si="1"/>
        <v>30</v>
      </c>
      <c r="U6" s="53">
        <v>645</v>
      </c>
      <c r="V6" s="16">
        <f t="shared" si="2"/>
        <v>2418.75</v>
      </c>
      <c r="W6" s="53">
        <v>3</v>
      </c>
      <c r="X6" s="53" t="s">
        <v>46</v>
      </c>
      <c r="Y6" s="53" t="s">
        <v>78</v>
      </c>
      <c r="Z6" s="53" t="s">
        <v>69</v>
      </c>
      <c r="AA6" s="53" t="s">
        <v>102</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0.8</v>
      </c>
      <c r="P7" s="53">
        <v>0.95</v>
      </c>
      <c r="Q7" s="72">
        <f t="shared" si="0"/>
        <v>0.875</v>
      </c>
      <c r="R7" s="53">
        <v>12.8</v>
      </c>
      <c r="S7" s="53">
        <v>120</v>
      </c>
      <c r="T7" s="16">
        <f t="shared" si="1"/>
        <v>30</v>
      </c>
      <c r="U7" s="53">
        <v>645</v>
      </c>
      <c r="V7" s="16">
        <f t="shared" si="2"/>
        <v>2418.75</v>
      </c>
      <c r="W7" s="53">
        <v>3</v>
      </c>
      <c r="X7" s="53" t="s">
        <v>46</v>
      </c>
      <c r="Y7" s="53" t="s">
        <v>78</v>
      </c>
      <c r="Z7" s="53" t="s">
        <v>69</v>
      </c>
      <c r="AA7" s="53" t="s">
        <v>102</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160</v>
      </c>
      <c r="I8" s="53" t="s">
        <v>159</v>
      </c>
      <c r="J8" s="53" t="s">
        <v>38</v>
      </c>
      <c r="K8" s="53" t="s">
        <v>161</v>
      </c>
      <c r="L8" s="53">
        <v>1</v>
      </c>
      <c r="N8" s="53">
        <v>1</v>
      </c>
      <c r="O8" s="53">
        <v>0.95</v>
      </c>
      <c r="P8" s="53">
        <v>0.85</v>
      </c>
      <c r="Q8" s="75">
        <f t="shared" si="0"/>
        <v>0.89999999999999991</v>
      </c>
      <c r="R8" s="53">
        <v>15.2</v>
      </c>
      <c r="S8" s="53">
        <v>124</v>
      </c>
      <c r="T8" s="16">
        <f t="shared" si="1"/>
        <v>27</v>
      </c>
      <c r="U8" s="53">
        <v>148</v>
      </c>
      <c r="V8" s="16">
        <f t="shared" si="2"/>
        <v>3996</v>
      </c>
      <c r="W8" s="53">
        <v>3</v>
      </c>
      <c r="X8" s="53" t="s">
        <v>46</v>
      </c>
      <c r="Y8" s="53" t="s">
        <v>78</v>
      </c>
      <c r="Z8" s="53" t="s">
        <v>69</v>
      </c>
      <c r="AA8" s="53" t="s">
        <v>102</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160</v>
      </c>
      <c r="I9" s="53" t="s">
        <v>159</v>
      </c>
      <c r="J9" s="53" t="s">
        <v>38</v>
      </c>
      <c r="K9" s="53" t="s">
        <v>161</v>
      </c>
      <c r="L9" s="53">
        <v>2</v>
      </c>
      <c r="M9" s="76"/>
      <c r="N9" s="53">
        <v>1</v>
      </c>
      <c r="O9" s="53">
        <v>0.8</v>
      </c>
      <c r="P9" s="53">
        <v>0.95</v>
      </c>
      <c r="Q9" s="75">
        <f t="shared" si="0"/>
        <v>0.875</v>
      </c>
      <c r="R9" s="53">
        <v>14.3</v>
      </c>
      <c r="S9" s="53">
        <v>126</v>
      </c>
      <c r="T9" s="16">
        <f t="shared" si="1"/>
        <v>27</v>
      </c>
      <c r="U9" s="53">
        <v>148</v>
      </c>
      <c r="V9" s="16">
        <f t="shared" si="2"/>
        <v>3996</v>
      </c>
      <c r="W9" s="53">
        <v>3</v>
      </c>
      <c r="X9" s="53" t="s">
        <v>46</v>
      </c>
      <c r="Y9" s="53" t="s">
        <v>78</v>
      </c>
      <c r="Z9" s="53" t="s">
        <v>69</v>
      </c>
      <c r="AA9" s="53" t="s">
        <v>102</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160</v>
      </c>
      <c r="I10" s="53" t="s">
        <v>159</v>
      </c>
      <c r="J10" s="53" t="s">
        <v>38</v>
      </c>
      <c r="K10" s="53" t="s">
        <v>161</v>
      </c>
      <c r="L10" s="53">
        <v>3</v>
      </c>
      <c r="M10" s="76"/>
      <c r="N10" s="53">
        <v>1</v>
      </c>
      <c r="O10" s="53">
        <v>0.65</v>
      </c>
      <c r="P10" s="53">
        <v>0.5</v>
      </c>
      <c r="Q10" s="75">
        <f t="shared" si="0"/>
        <v>0.57499999999999996</v>
      </c>
      <c r="R10" s="53">
        <v>15.9</v>
      </c>
      <c r="S10" s="53">
        <v>128</v>
      </c>
      <c r="T10" s="16">
        <f t="shared" si="1"/>
        <v>27</v>
      </c>
      <c r="U10" s="53">
        <v>148</v>
      </c>
      <c r="V10" s="16">
        <f t="shared" si="2"/>
        <v>3996</v>
      </c>
      <c r="W10" s="53">
        <v>3</v>
      </c>
      <c r="X10" s="53" t="s">
        <v>46</v>
      </c>
      <c r="Y10" s="53" t="s">
        <v>78</v>
      </c>
      <c r="Z10" s="53" t="s">
        <v>69</v>
      </c>
      <c r="AA10" s="53" t="s">
        <v>102</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8</v>
      </c>
      <c r="O11" s="53">
        <v>0.5</v>
      </c>
      <c r="P11" s="53">
        <v>0.65</v>
      </c>
      <c r="Q11" s="72">
        <f t="shared" si="0"/>
        <v>0.57499999999999996</v>
      </c>
      <c r="R11" s="53">
        <v>15.4</v>
      </c>
      <c r="S11" s="53">
        <v>115</v>
      </c>
      <c r="T11" s="16">
        <f t="shared" si="1"/>
        <v>30</v>
      </c>
      <c r="U11" s="53">
        <v>862</v>
      </c>
      <c r="V11" s="16">
        <f t="shared" si="2"/>
        <v>3232.5</v>
      </c>
      <c r="W11" s="53">
        <v>1</v>
      </c>
      <c r="X11" s="53" t="s">
        <v>46</v>
      </c>
      <c r="Y11" s="53" t="s">
        <v>78</v>
      </c>
      <c r="Z11" s="53" t="s">
        <v>69</v>
      </c>
      <c r="AA11" s="53" t="s">
        <v>102</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M12" s="76"/>
      <c r="N12" s="53">
        <v>8</v>
      </c>
      <c r="O12" s="53">
        <v>0.6</v>
      </c>
      <c r="P12" s="53">
        <v>0.7</v>
      </c>
      <c r="Q12" s="72">
        <f t="shared" si="0"/>
        <v>0.64999999999999991</v>
      </c>
      <c r="R12" s="53">
        <v>16.5</v>
      </c>
      <c r="S12" s="53">
        <v>117</v>
      </c>
      <c r="T12" s="16">
        <f t="shared" si="1"/>
        <v>30</v>
      </c>
      <c r="U12" s="53">
        <v>862</v>
      </c>
      <c r="V12" s="16">
        <f t="shared" si="2"/>
        <v>3232.5</v>
      </c>
      <c r="W12" s="53">
        <v>1</v>
      </c>
      <c r="X12" s="53" t="s">
        <v>46</v>
      </c>
      <c r="Y12" s="53" t="s">
        <v>78</v>
      </c>
      <c r="Z12" s="53" t="s">
        <v>69</v>
      </c>
      <c r="AA12" s="53" t="s">
        <v>102</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M13" s="76"/>
      <c r="N13" s="53">
        <v>8</v>
      </c>
      <c r="O13" s="53">
        <v>0.7</v>
      </c>
      <c r="P13" s="53">
        <v>0.6</v>
      </c>
      <c r="Q13" s="72">
        <f t="shared" si="0"/>
        <v>0.64999999999999991</v>
      </c>
      <c r="R13" s="53">
        <v>12.7</v>
      </c>
      <c r="S13" s="53">
        <v>118</v>
      </c>
      <c r="T13" s="16">
        <f t="shared" si="1"/>
        <v>30</v>
      </c>
      <c r="U13" s="53">
        <v>862</v>
      </c>
      <c r="V13" s="16">
        <f t="shared" si="2"/>
        <v>3232.5</v>
      </c>
      <c r="W13" s="53">
        <v>1</v>
      </c>
      <c r="X13" s="53" t="s">
        <v>46</v>
      </c>
      <c r="Y13" s="53" t="s">
        <v>78</v>
      </c>
      <c r="Z13" s="53" t="s">
        <v>69</v>
      </c>
      <c r="AA13" s="53" t="s">
        <v>102</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186</v>
      </c>
      <c r="F14" s="53" t="s">
        <v>184</v>
      </c>
      <c r="G14" s="53" t="s">
        <v>42</v>
      </c>
      <c r="H14" s="53" t="s">
        <v>160</v>
      </c>
      <c r="I14" s="53" t="s">
        <v>159</v>
      </c>
      <c r="J14" s="53" t="s">
        <v>38</v>
      </c>
      <c r="K14" s="53" t="s">
        <v>161</v>
      </c>
      <c r="L14" s="53">
        <v>1</v>
      </c>
      <c r="M14" s="76"/>
      <c r="N14" s="53">
        <v>1</v>
      </c>
      <c r="O14" s="53">
        <v>0.45</v>
      </c>
      <c r="P14" s="53">
        <v>0.65</v>
      </c>
      <c r="Q14" s="72">
        <f t="shared" si="0"/>
        <v>0.55000000000000004</v>
      </c>
      <c r="R14" s="53">
        <v>16.2</v>
      </c>
      <c r="S14" s="53">
        <v>128</v>
      </c>
      <c r="T14" s="16">
        <f t="shared" si="1"/>
        <v>27</v>
      </c>
      <c r="U14" s="53">
        <v>149</v>
      </c>
      <c r="V14" s="16">
        <f t="shared" si="2"/>
        <v>4023</v>
      </c>
      <c r="W14" s="53">
        <v>2</v>
      </c>
      <c r="X14" s="53" t="s">
        <v>46</v>
      </c>
      <c r="Y14" s="53" t="s">
        <v>78</v>
      </c>
      <c r="Z14" s="53" t="s">
        <v>69</v>
      </c>
      <c r="AA14" s="53" t="s">
        <v>102</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186</v>
      </c>
      <c r="F15" s="53" t="s">
        <v>184</v>
      </c>
      <c r="G15" s="53" t="s">
        <v>42</v>
      </c>
      <c r="H15" s="53" t="s">
        <v>160</v>
      </c>
      <c r="I15" s="53" t="s">
        <v>159</v>
      </c>
      <c r="J15" s="53" t="s">
        <v>38</v>
      </c>
      <c r="K15" s="53" t="s">
        <v>161</v>
      </c>
      <c r="L15" s="53">
        <v>2</v>
      </c>
      <c r="M15" s="76"/>
      <c r="N15" s="53">
        <v>1</v>
      </c>
      <c r="O15" s="53">
        <v>0.6</v>
      </c>
      <c r="P15" s="53">
        <v>0.5</v>
      </c>
      <c r="Q15" s="72">
        <f t="shared" si="0"/>
        <v>0.55000000000000004</v>
      </c>
      <c r="R15" s="53">
        <v>14</v>
      </c>
      <c r="S15" s="53">
        <v>124</v>
      </c>
      <c r="T15" s="16">
        <f t="shared" si="1"/>
        <v>27</v>
      </c>
      <c r="U15" s="53">
        <v>149</v>
      </c>
      <c r="V15" s="16">
        <f t="shared" si="2"/>
        <v>4023</v>
      </c>
      <c r="W15" s="53">
        <v>2</v>
      </c>
      <c r="X15" s="53" t="s">
        <v>46</v>
      </c>
      <c r="Y15" s="53" t="s">
        <v>78</v>
      </c>
      <c r="Z15" s="53" t="s">
        <v>69</v>
      </c>
      <c r="AA15" s="53" t="s">
        <v>102</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186</v>
      </c>
      <c r="F16" s="53" t="s">
        <v>184</v>
      </c>
      <c r="G16" s="53" t="s">
        <v>42</v>
      </c>
      <c r="H16" s="53" t="s">
        <v>160</v>
      </c>
      <c r="I16" s="53" t="s">
        <v>159</v>
      </c>
      <c r="J16" s="53" t="s">
        <v>38</v>
      </c>
      <c r="K16" s="53" t="s">
        <v>161</v>
      </c>
      <c r="L16" s="53">
        <v>3</v>
      </c>
      <c r="M16" s="76"/>
      <c r="N16" s="53">
        <v>1</v>
      </c>
      <c r="O16" s="53">
        <v>0.5</v>
      </c>
      <c r="P16" s="53">
        <v>0.6</v>
      </c>
      <c r="Q16" s="72">
        <f t="shared" si="0"/>
        <v>0.55000000000000004</v>
      </c>
      <c r="R16" s="53">
        <v>12.8</v>
      </c>
      <c r="S16" s="53">
        <v>125</v>
      </c>
      <c r="T16" s="16">
        <f t="shared" si="1"/>
        <v>27</v>
      </c>
      <c r="U16" s="53">
        <v>149</v>
      </c>
      <c r="V16" s="16">
        <f t="shared" si="2"/>
        <v>4023</v>
      </c>
      <c r="W16" s="53">
        <v>2</v>
      </c>
      <c r="X16" s="53" t="s">
        <v>46</v>
      </c>
      <c r="Y16" s="53" t="s">
        <v>78</v>
      </c>
      <c r="Z16" s="53" t="s">
        <v>69</v>
      </c>
      <c r="AA16" s="53" t="s">
        <v>102</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160</v>
      </c>
      <c r="I17" s="53" t="s">
        <v>159</v>
      </c>
      <c r="J17" s="53" t="s">
        <v>38</v>
      </c>
      <c r="K17" s="53" t="s">
        <v>161</v>
      </c>
      <c r="L17" s="53">
        <v>1</v>
      </c>
      <c r="M17" s="76"/>
      <c r="N17" s="53">
        <v>4</v>
      </c>
      <c r="O17" s="53">
        <v>0.9</v>
      </c>
      <c r="P17" s="53">
        <v>0.85</v>
      </c>
      <c r="Q17" s="75">
        <f t="shared" si="0"/>
        <v>0.875</v>
      </c>
      <c r="R17" s="53">
        <v>13.2</v>
      </c>
      <c r="S17" s="53">
        <v>115</v>
      </c>
      <c r="T17" s="16">
        <f t="shared" si="1"/>
        <v>30</v>
      </c>
      <c r="U17" s="53">
        <v>429</v>
      </c>
      <c r="V17" s="16">
        <f t="shared" si="2"/>
        <v>3217.5</v>
      </c>
      <c r="W17" s="53">
        <v>1</v>
      </c>
      <c r="X17" s="53" t="s">
        <v>46</v>
      </c>
      <c r="Y17" s="53" t="s">
        <v>78</v>
      </c>
      <c r="Z17" s="53" t="s">
        <v>69</v>
      </c>
      <c r="AA17" s="53" t="s">
        <v>102</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160</v>
      </c>
      <c r="I18" s="53" t="s">
        <v>159</v>
      </c>
      <c r="J18" s="53" t="s">
        <v>38</v>
      </c>
      <c r="K18" s="53" t="s">
        <v>161</v>
      </c>
      <c r="L18" s="53">
        <v>2</v>
      </c>
      <c r="M18" s="76"/>
      <c r="N18" s="53">
        <v>4</v>
      </c>
      <c r="O18" s="53">
        <v>0.8</v>
      </c>
      <c r="P18" s="53">
        <v>0.9</v>
      </c>
      <c r="Q18" s="75">
        <f t="shared" si="0"/>
        <v>0.85000000000000009</v>
      </c>
      <c r="R18" s="53">
        <v>15.7</v>
      </c>
      <c r="S18" s="53">
        <v>118</v>
      </c>
      <c r="T18" s="16">
        <f t="shared" si="1"/>
        <v>30</v>
      </c>
      <c r="U18" s="53">
        <v>429</v>
      </c>
      <c r="V18" s="16">
        <f t="shared" si="2"/>
        <v>3217.5</v>
      </c>
      <c r="W18" s="53">
        <v>1</v>
      </c>
      <c r="X18" s="53" t="s">
        <v>46</v>
      </c>
      <c r="Y18" s="53" t="s">
        <v>78</v>
      </c>
      <c r="Z18" s="53" t="s">
        <v>69</v>
      </c>
      <c r="AA18" s="53" t="s">
        <v>102</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160</v>
      </c>
      <c r="I19" s="53" t="s">
        <v>159</v>
      </c>
      <c r="J19" s="53" t="s">
        <v>38</v>
      </c>
      <c r="K19" s="53" t="s">
        <v>161</v>
      </c>
      <c r="L19" s="53">
        <v>3</v>
      </c>
      <c r="M19" s="76"/>
      <c r="N19" s="53">
        <v>4</v>
      </c>
      <c r="O19" s="53">
        <v>0.6</v>
      </c>
      <c r="P19" s="53">
        <v>0.75</v>
      </c>
      <c r="Q19" s="75">
        <f t="shared" si="0"/>
        <v>0.67500000000000004</v>
      </c>
      <c r="R19" s="53">
        <v>14.5</v>
      </c>
      <c r="S19" s="53">
        <v>117</v>
      </c>
      <c r="T19" s="16">
        <f t="shared" si="1"/>
        <v>30</v>
      </c>
      <c r="U19" s="53">
        <v>429</v>
      </c>
      <c r="V19" s="16">
        <f t="shared" si="2"/>
        <v>3217.5</v>
      </c>
      <c r="W19" s="53">
        <v>1</v>
      </c>
      <c r="X19" s="53" t="s">
        <v>46</v>
      </c>
      <c r="Y19" s="53" t="s">
        <v>78</v>
      </c>
      <c r="Z19" s="53" t="s">
        <v>69</v>
      </c>
      <c r="AA19" s="53" t="s">
        <v>102</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M20" s="76"/>
      <c r="N20" s="53">
        <v>6</v>
      </c>
      <c r="O20" s="53">
        <v>0.85</v>
      </c>
      <c r="P20" s="53">
        <v>0.8</v>
      </c>
      <c r="Q20" s="75">
        <f t="shared" si="0"/>
        <v>0.82499999999999996</v>
      </c>
      <c r="R20" s="53">
        <v>14.4</v>
      </c>
      <c r="S20" s="53">
        <v>120</v>
      </c>
      <c r="T20" s="16">
        <f t="shared" si="1"/>
        <v>30</v>
      </c>
      <c r="U20" s="53">
        <v>626</v>
      </c>
      <c r="V20" s="16">
        <f t="shared" si="2"/>
        <v>3130</v>
      </c>
      <c r="W20" s="53">
        <v>1</v>
      </c>
      <c r="X20" s="53" t="s">
        <v>46</v>
      </c>
      <c r="Y20" s="53" t="s">
        <v>78</v>
      </c>
      <c r="Z20" s="53" t="s">
        <v>69</v>
      </c>
      <c r="AA20" s="53" t="s">
        <v>102</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M21" s="76"/>
      <c r="N21" s="53">
        <v>6</v>
      </c>
      <c r="O21" s="53">
        <v>0.6</v>
      </c>
      <c r="P21" s="53">
        <v>0.65</v>
      </c>
      <c r="Q21" s="75">
        <f t="shared" si="0"/>
        <v>0.625</v>
      </c>
      <c r="R21" s="53">
        <v>12.3</v>
      </c>
      <c r="S21" s="53">
        <v>115</v>
      </c>
      <c r="T21" s="16">
        <f t="shared" si="1"/>
        <v>30</v>
      </c>
      <c r="U21" s="53">
        <v>626</v>
      </c>
      <c r="V21" s="16">
        <f t="shared" si="2"/>
        <v>3130</v>
      </c>
      <c r="W21" s="53">
        <v>1</v>
      </c>
      <c r="X21" s="53" t="s">
        <v>46</v>
      </c>
      <c r="Y21" s="53" t="s">
        <v>78</v>
      </c>
      <c r="Z21" s="53" t="s">
        <v>69</v>
      </c>
      <c r="AA21" s="53" t="s">
        <v>102</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M22" s="76"/>
      <c r="N22" s="53">
        <v>6</v>
      </c>
      <c r="O22" s="53">
        <v>0.9</v>
      </c>
      <c r="P22" s="53">
        <v>0.8</v>
      </c>
      <c r="Q22" s="75">
        <f t="shared" si="0"/>
        <v>0.85000000000000009</v>
      </c>
      <c r="R22" s="53">
        <v>13.2</v>
      </c>
      <c r="S22" s="53">
        <v>113</v>
      </c>
      <c r="T22" s="16">
        <f t="shared" si="1"/>
        <v>30</v>
      </c>
      <c r="U22" s="53">
        <v>626</v>
      </c>
      <c r="V22" s="16">
        <f t="shared" si="2"/>
        <v>3130</v>
      </c>
      <c r="W22" s="53">
        <v>1</v>
      </c>
      <c r="X22" s="53" t="s">
        <v>46</v>
      </c>
      <c r="Y22" s="53" t="s">
        <v>78</v>
      </c>
      <c r="Z22" s="53" t="s">
        <v>69</v>
      </c>
      <c r="AA22" s="53" t="s">
        <v>102</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164</v>
      </c>
      <c r="I23" s="53" t="s">
        <v>159</v>
      </c>
      <c r="J23" s="53" t="s">
        <v>38</v>
      </c>
      <c r="K23" s="53" t="s">
        <v>161</v>
      </c>
      <c r="L23" s="53">
        <v>1</v>
      </c>
      <c r="M23" s="76"/>
      <c r="N23" s="53">
        <v>1</v>
      </c>
      <c r="O23" s="53">
        <v>0.5</v>
      </c>
      <c r="P23" s="53">
        <v>0.7</v>
      </c>
      <c r="Q23" s="75">
        <f t="shared" si="0"/>
        <v>0.6</v>
      </c>
      <c r="R23" s="53">
        <v>13.8</v>
      </c>
      <c r="S23" s="53">
        <v>128</v>
      </c>
      <c r="T23" s="16">
        <f t="shared" si="1"/>
        <v>27</v>
      </c>
      <c r="U23" s="53">
        <v>149</v>
      </c>
      <c r="V23" s="16">
        <f t="shared" si="2"/>
        <v>4023</v>
      </c>
      <c r="W23" s="53">
        <v>1</v>
      </c>
      <c r="X23" s="53" t="s">
        <v>46</v>
      </c>
      <c r="Y23" s="53" t="s">
        <v>78</v>
      </c>
      <c r="Z23" s="53" t="s">
        <v>69</v>
      </c>
      <c r="AA23" s="53" t="s">
        <v>102</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164</v>
      </c>
      <c r="I24" s="53" t="s">
        <v>159</v>
      </c>
      <c r="J24" s="53" t="s">
        <v>38</v>
      </c>
      <c r="K24" s="53" t="s">
        <v>161</v>
      </c>
      <c r="L24" s="53">
        <v>2</v>
      </c>
      <c r="M24" s="76"/>
      <c r="N24" s="53">
        <v>1</v>
      </c>
      <c r="O24" s="53">
        <v>0.65</v>
      </c>
      <c r="P24" s="53">
        <v>0.75</v>
      </c>
      <c r="Q24" s="75">
        <f t="shared" si="0"/>
        <v>0.7</v>
      </c>
      <c r="R24" s="53">
        <v>16.3</v>
      </c>
      <c r="S24" s="53">
        <v>128</v>
      </c>
      <c r="T24" s="16">
        <f t="shared" si="1"/>
        <v>27</v>
      </c>
      <c r="U24" s="53">
        <v>149</v>
      </c>
      <c r="V24" s="16">
        <f t="shared" si="2"/>
        <v>4023</v>
      </c>
      <c r="W24" s="53">
        <v>2</v>
      </c>
      <c r="X24" s="53" t="s">
        <v>46</v>
      </c>
      <c r="Y24" s="53" t="s">
        <v>78</v>
      </c>
      <c r="Z24" s="53" t="s">
        <v>69</v>
      </c>
      <c r="AA24" s="53" t="s">
        <v>102</v>
      </c>
      <c r="AB24" s="53" t="s">
        <v>158</v>
      </c>
      <c r="AP24" s="27" t="s">
        <v>232</v>
      </c>
    </row>
    <row r="25" spans="1:48" x14ac:dyDescent="0.15">
      <c r="A25" s="53" t="s">
        <v>41</v>
      </c>
      <c r="B25" s="53" t="s">
        <v>157</v>
      </c>
      <c r="C25" s="62">
        <v>2019</v>
      </c>
      <c r="D25" s="63" t="s">
        <v>188</v>
      </c>
      <c r="E25" s="53" t="s">
        <v>186</v>
      </c>
      <c r="F25" s="53" t="s">
        <v>184</v>
      </c>
      <c r="G25" s="53" t="s">
        <v>42</v>
      </c>
      <c r="H25" s="53" t="s">
        <v>164</v>
      </c>
      <c r="I25" s="53" t="s">
        <v>159</v>
      </c>
      <c r="J25" s="53" t="s">
        <v>38</v>
      </c>
      <c r="K25" s="53" t="s">
        <v>161</v>
      </c>
      <c r="L25" s="53">
        <v>3</v>
      </c>
      <c r="M25" s="76"/>
      <c r="N25" s="53">
        <v>1</v>
      </c>
      <c r="O25" s="53">
        <v>0.5</v>
      </c>
      <c r="P25" s="53">
        <v>0.65</v>
      </c>
      <c r="Q25" s="75">
        <f t="shared" si="0"/>
        <v>0.57499999999999996</v>
      </c>
      <c r="R25" s="53">
        <v>14.7</v>
      </c>
      <c r="S25" s="53">
        <v>127</v>
      </c>
      <c r="T25" s="16">
        <f t="shared" si="1"/>
        <v>27</v>
      </c>
      <c r="U25" s="53">
        <v>149</v>
      </c>
      <c r="V25" s="16">
        <f t="shared" si="2"/>
        <v>4023</v>
      </c>
      <c r="W25" s="53">
        <v>2</v>
      </c>
      <c r="X25" s="53" t="s">
        <v>46</v>
      </c>
      <c r="Y25" s="53" t="s">
        <v>78</v>
      </c>
      <c r="Z25" s="53" t="s">
        <v>69</v>
      </c>
      <c r="AA25" s="53" t="s">
        <v>102</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6"/>
      <c r="N26" s="53">
        <v>5</v>
      </c>
      <c r="O26" s="53">
        <v>1.2</v>
      </c>
      <c r="P26" s="53">
        <v>1.3</v>
      </c>
      <c r="Q26" s="75">
        <f t="shared" si="0"/>
        <v>1.25</v>
      </c>
      <c r="R26" s="53">
        <v>15.3</v>
      </c>
      <c r="S26" s="53">
        <v>98</v>
      </c>
      <c r="T26" s="16">
        <f t="shared" si="1"/>
        <v>36</v>
      </c>
      <c r="U26" s="53">
        <v>429</v>
      </c>
      <c r="V26" s="16">
        <f t="shared" si="2"/>
        <v>3088.7999999999997</v>
      </c>
      <c r="W26" s="53">
        <v>2</v>
      </c>
      <c r="X26" s="53" t="s">
        <v>46</v>
      </c>
      <c r="Y26" s="53" t="s">
        <v>78</v>
      </c>
      <c r="Z26" s="53" t="s">
        <v>69</v>
      </c>
      <c r="AA26" s="53" t="s">
        <v>102</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6"/>
      <c r="N27" s="53">
        <v>5</v>
      </c>
      <c r="O27" s="53">
        <v>1</v>
      </c>
      <c r="P27" s="53">
        <v>1.25</v>
      </c>
      <c r="Q27" s="75">
        <f t="shared" si="0"/>
        <v>1.125</v>
      </c>
      <c r="R27" s="53">
        <v>10.199999999999999</v>
      </c>
      <c r="S27" s="53">
        <v>95</v>
      </c>
      <c r="T27" s="16">
        <f t="shared" si="1"/>
        <v>36</v>
      </c>
      <c r="U27" s="53">
        <v>429</v>
      </c>
      <c r="V27" s="16">
        <f t="shared" si="2"/>
        <v>3088.7999999999997</v>
      </c>
      <c r="W27" s="53">
        <v>2</v>
      </c>
      <c r="X27" s="53" t="s">
        <v>46</v>
      </c>
      <c r="Y27" s="53" t="s">
        <v>78</v>
      </c>
      <c r="Z27" s="53" t="s">
        <v>69</v>
      </c>
      <c r="AA27" s="53" t="s">
        <v>102</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6"/>
      <c r="N28" s="53">
        <v>5</v>
      </c>
      <c r="O28" s="53">
        <v>0.8</v>
      </c>
      <c r="P28" s="53">
        <v>0.9</v>
      </c>
      <c r="Q28" s="75">
        <f t="shared" si="0"/>
        <v>0.85000000000000009</v>
      </c>
      <c r="R28" s="53">
        <v>10.8</v>
      </c>
      <c r="S28" s="53">
        <v>97</v>
      </c>
      <c r="T28" s="16">
        <f t="shared" si="1"/>
        <v>36</v>
      </c>
      <c r="U28" s="53">
        <v>429</v>
      </c>
      <c r="V28" s="16">
        <f t="shared" si="2"/>
        <v>3088.7999999999997</v>
      </c>
      <c r="W28" s="53">
        <v>2</v>
      </c>
      <c r="X28" s="53" t="s">
        <v>46</v>
      </c>
      <c r="Y28" s="53" t="s">
        <v>78</v>
      </c>
      <c r="Z28" s="53" t="s">
        <v>69</v>
      </c>
      <c r="AA28" s="53" t="s">
        <v>102</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M29" s="76"/>
      <c r="N29" s="53">
        <v>8</v>
      </c>
      <c r="O29" s="53">
        <v>0.95</v>
      </c>
      <c r="P29" s="53">
        <v>0.8</v>
      </c>
      <c r="Q29" s="16">
        <f t="shared" si="0"/>
        <v>0.875</v>
      </c>
      <c r="R29" s="53">
        <v>11.2</v>
      </c>
      <c r="S29" s="53">
        <v>92</v>
      </c>
      <c r="T29" s="16">
        <f t="shared" si="1"/>
        <v>36</v>
      </c>
      <c r="U29" s="53">
        <v>626</v>
      </c>
      <c r="V29" s="16">
        <f t="shared" si="2"/>
        <v>2817</v>
      </c>
      <c r="W29" s="53">
        <v>2</v>
      </c>
      <c r="X29" s="53" t="s">
        <v>46</v>
      </c>
      <c r="Y29" s="53" t="s">
        <v>78</v>
      </c>
      <c r="Z29" s="53" t="s">
        <v>69</v>
      </c>
      <c r="AA29" s="53" t="s">
        <v>102</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M30" s="76"/>
      <c r="N30" s="53">
        <v>8</v>
      </c>
      <c r="O30" s="53">
        <v>0.8</v>
      </c>
      <c r="P30" s="53">
        <v>0.7</v>
      </c>
      <c r="Q30" s="16">
        <f t="shared" si="0"/>
        <v>0.75</v>
      </c>
      <c r="R30" s="53">
        <v>12.2</v>
      </c>
      <c r="S30" s="53">
        <v>95</v>
      </c>
      <c r="T30" s="16">
        <f t="shared" si="1"/>
        <v>36</v>
      </c>
      <c r="U30" s="53">
        <v>626</v>
      </c>
      <c r="V30" s="16">
        <f t="shared" si="2"/>
        <v>2817</v>
      </c>
      <c r="W30" s="53">
        <v>2</v>
      </c>
      <c r="X30" s="53" t="s">
        <v>46</v>
      </c>
      <c r="Y30" s="53" t="s">
        <v>78</v>
      </c>
      <c r="Z30" s="53" t="s">
        <v>69</v>
      </c>
      <c r="AA30" s="53" t="s">
        <v>102</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M31" s="76"/>
      <c r="N31" s="53">
        <v>8</v>
      </c>
      <c r="O31" s="53">
        <v>0.9</v>
      </c>
      <c r="P31" s="53">
        <v>0.8</v>
      </c>
      <c r="Q31" s="16">
        <f t="shared" si="0"/>
        <v>0.85000000000000009</v>
      </c>
      <c r="R31" s="53">
        <v>12.4</v>
      </c>
      <c r="S31" s="53">
        <v>94</v>
      </c>
      <c r="T31" s="16">
        <f t="shared" si="1"/>
        <v>36</v>
      </c>
      <c r="U31" s="53">
        <v>626</v>
      </c>
      <c r="V31" s="16">
        <f t="shared" si="2"/>
        <v>2817</v>
      </c>
      <c r="W31" s="53">
        <v>2</v>
      </c>
      <c r="X31" s="53" t="s">
        <v>46</v>
      </c>
      <c r="Y31" s="53" t="s">
        <v>78</v>
      </c>
      <c r="Z31" s="53" t="s">
        <v>69</v>
      </c>
      <c r="AA31" s="53" t="s">
        <v>102</v>
      </c>
      <c r="AB31" s="53" t="s">
        <v>158</v>
      </c>
    </row>
    <row r="32" spans="1:48" x14ac:dyDescent="0.15">
      <c r="A32" s="53" t="s">
        <v>41</v>
      </c>
      <c r="B32" s="53" t="s">
        <v>157</v>
      </c>
      <c r="C32" s="62">
        <v>2019</v>
      </c>
      <c r="D32" s="63" t="s">
        <v>188</v>
      </c>
      <c r="E32" s="53" t="s">
        <v>186</v>
      </c>
      <c r="F32" s="53" t="s">
        <v>189</v>
      </c>
      <c r="G32" s="53" t="s">
        <v>42</v>
      </c>
      <c r="H32" s="53" t="s">
        <v>164</v>
      </c>
      <c r="I32" s="53" t="s">
        <v>159</v>
      </c>
      <c r="J32" s="53" t="s">
        <v>38</v>
      </c>
      <c r="K32" s="53" t="s">
        <v>161</v>
      </c>
      <c r="L32" s="53">
        <v>1</v>
      </c>
      <c r="M32" s="76"/>
      <c r="N32" s="53">
        <v>1</v>
      </c>
      <c r="O32" s="53">
        <v>0.65</v>
      </c>
      <c r="P32" s="53">
        <v>0.75</v>
      </c>
      <c r="Q32" s="16">
        <f t="shared" si="0"/>
        <v>0.7</v>
      </c>
      <c r="R32" s="53">
        <v>12.8</v>
      </c>
      <c r="S32" s="53">
        <v>123</v>
      </c>
      <c r="T32" s="16">
        <f t="shared" si="1"/>
        <v>27</v>
      </c>
      <c r="U32" s="53">
        <v>149</v>
      </c>
      <c r="V32" s="16">
        <f t="shared" si="2"/>
        <v>4023</v>
      </c>
      <c r="W32" s="53">
        <v>2</v>
      </c>
      <c r="X32" s="53" t="s">
        <v>46</v>
      </c>
      <c r="Y32" s="53" t="s">
        <v>78</v>
      </c>
      <c r="Z32" s="53" t="s">
        <v>69</v>
      </c>
      <c r="AA32" s="53" t="s">
        <v>90</v>
      </c>
      <c r="AB32" s="53" t="s">
        <v>158</v>
      </c>
    </row>
    <row r="33" spans="1:28" x14ac:dyDescent="0.15">
      <c r="A33" s="53" t="s">
        <v>41</v>
      </c>
      <c r="B33" s="53" t="s">
        <v>157</v>
      </c>
      <c r="C33" s="62">
        <v>2019</v>
      </c>
      <c r="D33" s="63" t="s">
        <v>188</v>
      </c>
      <c r="E33" s="53" t="s">
        <v>186</v>
      </c>
      <c r="F33" s="53" t="s">
        <v>189</v>
      </c>
      <c r="G33" s="53" t="s">
        <v>42</v>
      </c>
      <c r="H33" s="53" t="s">
        <v>164</v>
      </c>
      <c r="I33" s="53" t="s">
        <v>159</v>
      </c>
      <c r="J33" s="53" t="s">
        <v>38</v>
      </c>
      <c r="K33" s="53" t="s">
        <v>161</v>
      </c>
      <c r="L33" s="53">
        <v>2</v>
      </c>
      <c r="M33" s="76"/>
      <c r="N33" s="53">
        <v>1</v>
      </c>
      <c r="O33" s="53">
        <v>0.7</v>
      </c>
      <c r="P33" s="53">
        <v>0.8</v>
      </c>
      <c r="Q33" s="16">
        <f t="shared" si="0"/>
        <v>0.75</v>
      </c>
      <c r="R33" s="53">
        <v>12.6</v>
      </c>
      <c r="S33" s="53">
        <v>124</v>
      </c>
      <c r="T33" s="16">
        <f t="shared" si="1"/>
        <v>27</v>
      </c>
      <c r="U33" s="53">
        <v>149</v>
      </c>
      <c r="V33" s="16">
        <f t="shared" si="2"/>
        <v>4023</v>
      </c>
      <c r="W33" s="53">
        <v>2</v>
      </c>
      <c r="X33" s="53" t="s">
        <v>46</v>
      </c>
      <c r="Y33" s="53" t="s">
        <v>78</v>
      </c>
      <c r="Z33" s="53" t="s">
        <v>69</v>
      </c>
      <c r="AA33" s="53" t="s">
        <v>90</v>
      </c>
      <c r="AB33" s="53" t="s">
        <v>158</v>
      </c>
    </row>
    <row r="34" spans="1:28" x14ac:dyDescent="0.15">
      <c r="A34" s="53" t="s">
        <v>41</v>
      </c>
      <c r="B34" s="53" t="s">
        <v>157</v>
      </c>
      <c r="C34" s="62">
        <v>2019</v>
      </c>
      <c r="D34" s="63" t="s">
        <v>188</v>
      </c>
      <c r="E34" s="53" t="s">
        <v>186</v>
      </c>
      <c r="F34" s="53" t="s">
        <v>189</v>
      </c>
      <c r="G34" s="53" t="s">
        <v>42</v>
      </c>
      <c r="H34" s="53" t="s">
        <v>164</v>
      </c>
      <c r="I34" s="53" t="s">
        <v>159</v>
      </c>
      <c r="J34" s="53" t="s">
        <v>38</v>
      </c>
      <c r="K34" s="53" t="s">
        <v>161</v>
      </c>
      <c r="L34" s="53">
        <v>3</v>
      </c>
      <c r="M34" s="76"/>
      <c r="N34" s="53">
        <v>1</v>
      </c>
      <c r="O34" s="53">
        <v>0.5</v>
      </c>
      <c r="P34" s="53">
        <v>0.65</v>
      </c>
      <c r="Q34" s="16">
        <f t="shared" si="0"/>
        <v>0.57499999999999996</v>
      </c>
      <c r="R34" s="53">
        <v>14.1</v>
      </c>
      <c r="S34" s="53">
        <v>128</v>
      </c>
      <c r="T34" s="16">
        <f t="shared" si="1"/>
        <v>27</v>
      </c>
      <c r="U34" s="53">
        <v>149</v>
      </c>
      <c r="V34" s="16">
        <f t="shared" si="2"/>
        <v>4023</v>
      </c>
      <c r="W34" s="53">
        <v>2</v>
      </c>
      <c r="X34" s="53" t="s">
        <v>46</v>
      </c>
      <c r="Y34" s="53" t="s">
        <v>78</v>
      </c>
      <c r="Z34" s="53" t="s">
        <v>69</v>
      </c>
      <c r="AA34" s="53" t="s">
        <v>90</v>
      </c>
      <c r="AB34" s="53" t="s">
        <v>158</v>
      </c>
    </row>
    <row r="35" spans="1:28" x14ac:dyDescent="0.15">
      <c r="A35" s="53" t="s">
        <v>41</v>
      </c>
      <c r="B35" s="53" t="s">
        <v>157</v>
      </c>
      <c r="C35" s="62">
        <v>2019</v>
      </c>
      <c r="D35" s="63" t="s">
        <v>188</v>
      </c>
      <c r="E35" s="53" t="s">
        <v>186</v>
      </c>
      <c r="F35" s="53" t="s">
        <v>189</v>
      </c>
      <c r="G35" s="53" t="s">
        <v>42</v>
      </c>
      <c r="H35" s="53" t="s">
        <v>164</v>
      </c>
      <c r="I35" s="53" t="s">
        <v>159</v>
      </c>
      <c r="J35" s="53" t="s">
        <v>38</v>
      </c>
      <c r="K35" s="53" t="s">
        <v>161</v>
      </c>
      <c r="L35" s="53">
        <v>1</v>
      </c>
      <c r="M35" s="76"/>
      <c r="N35" s="53">
        <v>8</v>
      </c>
      <c r="O35" s="53">
        <v>1.2</v>
      </c>
      <c r="P35" s="53">
        <v>1.3</v>
      </c>
      <c r="Q35" s="16">
        <f t="shared" si="0"/>
        <v>1.25</v>
      </c>
      <c r="R35" s="53">
        <v>14</v>
      </c>
      <c r="S35" s="53">
        <v>100</v>
      </c>
      <c r="T35" s="16">
        <f t="shared" si="1"/>
        <v>33</v>
      </c>
      <c r="U35" s="53">
        <v>538</v>
      </c>
      <c r="V35" s="16">
        <f t="shared" si="2"/>
        <v>2219.25</v>
      </c>
      <c r="W35" s="53">
        <v>1</v>
      </c>
      <c r="X35" s="53" t="s">
        <v>46</v>
      </c>
      <c r="Y35" s="53" t="s">
        <v>78</v>
      </c>
      <c r="Z35" s="53" t="s">
        <v>69</v>
      </c>
      <c r="AA35" s="53" t="s">
        <v>90</v>
      </c>
      <c r="AB35" s="53" t="s">
        <v>158</v>
      </c>
    </row>
    <row r="36" spans="1:28" x14ac:dyDescent="0.15">
      <c r="A36" s="53" t="s">
        <v>41</v>
      </c>
      <c r="B36" s="53" t="s">
        <v>157</v>
      </c>
      <c r="C36" s="62">
        <v>2019</v>
      </c>
      <c r="D36" s="63" t="s">
        <v>188</v>
      </c>
      <c r="E36" s="53" t="s">
        <v>186</v>
      </c>
      <c r="F36" s="53" t="s">
        <v>189</v>
      </c>
      <c r="G36" s="53" t="s">
        <v>42</v>
      </c>
      <c r="H36" s="53" t="s">
        <v>164</v>
      </c>
      <c r="I36" s="53" t="s">
        <v>159</v>
      </c>
      <c r="J36" s="53" t="s">
        <v>38</v>
      </c>
      <c r="K36" s="53" t="s">
        <v>161</v>
      </c>
      <c r="L36" s="53">
        <v>2</v>
      </c>
      <c r="M36" s="76"/>
      <c r="N36" s="53">
        <v>8</v>
      </c>
      <c r="O36" s="53">
        <v>1.3</v>
      </c>
      <c r="P36" s="53">
        <v>1.4</v>
      </c>
      <c r="Q36" s="16">
        <f t="shared" si="0"/>
        <v>1.35</v>
      </c>
      <c r="R36" s="53">
        <v>12.8</v>
      </c>
      <c r="S36" s="53">
        <v>98</v>
      </c>
      <c r="T36" s="16">
        <f t="shared" si="1"/>
        <v>36</v>
      </c>
      <c r="U36" s="53">
        <v>538</v>
      </c>
      <c r="V36" s="16">
        <f t="shared" si="2"/>
        <v>2421</v>
      </c>
      <c r="W36" s="53">
        <v>1</v>
      </c>
      <c r="X36" s="53" t="s">
        <v>46</v>
      </c>
      <c r="Y36" s="53" t="s">
        <v>78</v>
      </c>
      <c r="Z36" s="53" t="s">
        <v>69</v>
      </c>
      <c r="AA36" s="53" t="s">
        <v>90</v>
      </c>
      <c r="AB36" s="53" t="s">
        <v>158</v>
      </c>
    </row>
    <row r="37" spans="1:28" x14ac:dyDescent="0.15">
      <c r="A37" s="53" t="s">
        <v>41</v>
      </c>
      <c r="B37" s="53" t="s">
        <v>157</v>
      </c>
      <c r="C37" s="62">
        <v>2019</v>
      </c>
      <c r="D37" s="63" t="s">
        <v>188</v>
      </c>
      <c r="E37" s="53" t="s">
        <v>186</v>
      </c>
      <c r="F37" s="53" t="s">
        <v>189</v>
      </c>
      <c r="G37" s="53" t="s">
        <v>42</v>
      </c>
      <c r="H37" s="53" t="s">
        <v>164</v>
      </c>
      <c r="I37" s="53" t="s">
        <v>159</v>
      </c>
      <c r="J37" s="53" t="s">
        <v>38</v>
      </c>
      <c r="K37" s="53" t="s">
        <v>161</v>
      </c>
      <c r="L37" s="53">
        <v>3</v>
      </c>
      <c r="M37" s="76"/>
      <c r="N37" s="53">
        <v>8</v>
      </c>
      <c r="O37" s="53">
        <v>1.25</v>
      </c>
      <c r="P37" s="53">
        <v>1.1000000000000001</v>
      </c>
      <c r="Q37" s="16">
        <f t="shared" si="0"/>
        <v>1.175</v>
      </c>
      <c r="R37" s="53">
        <v>11.1</v>
      </c>
      <c r="S37" s="53">
        <v>105</v>
      </c>
      <c r="T37" s="16">
        <f t="shared" si="1"/>
        <v>33</v>
      </c>
      <c r="U37" s="53">
        <v>538</v>
      </c>
      <c r="V37" s="16">
        <f t="shared" si="2"/>
        <v>2219.25</v>
      </c>
      <c r="W37" s="53">
        <v>1</v>
      </c>
      <c r="X37" s="53" t="s">
        <v>46</v>
      </c>
      <c r="Y37" s="53" t="s">
        <v>78</v>
      </c>
      <c r="Z37" s="53" t="s">
        <v>69</v>
      </c>
      <c r="AA37" s="53" t="s">
        <v>90</v>
      </c>
      <c r="AB37" s="53" t="s">
        <v>158</v>
      </c>
    </row>
    <row r="38" spans="1:28" x14ac:dyDescent="0.15">
      <c r="A38" s="53" t="s">
        <v>41</v>
      </c>
      <c r="B38" s="53" t="s">
        <v>157</v>
      </c>
      <c r="C38" s="62">
        <v>2019</v>
      </c>
      <c r="D38" s="63" t="s">
        <v>188</v>
      </c>
      <c r="E38" s="53" t="s">
        <v>186</v>
      </c>
      <c r="F38" s="53" t="s">
        <v>189</v>
      </c>
      <c r="G38" s="53" t="s">
        <v>42</v>
      </c>
      <c r="H38" s="53" t="s">
        <v>160</v>
      </c>
      <c r="I38" s="53" t="s">
        <v>159</v>
      </c>
      <c r="J38" s="53" t="s">
        <v>38</v>
      </c>
      <c r="K38" s="53" t="s">
        <v>161</v>
      </c>
      <c r="L38" s="53">
        <v>1</v>
      </c>
      <c r="M38" s="76"/>
      <c r="N38" s="53">
        <v>1</v>
      </c>
      <c r="O38" s="53">
        <v>0.45</v>
      </c>
      <c r="P38" s="53">
        <v>0.6</v>
      </c>
      <c r="Q38" s="16">
        <f t="shared" si="0"/>
        <v>0.52500000000000002</v>
      </c>
      <c r="R38" s="53">
        <v>12.6</v>
      </c>
      <c r="S38" s="53">
        <v>128</v>
      </c>
      <c r="T38" s="16">
        <f t="shared" si="1"/>
        <v>27</v>
      </c>
      <c r="U38" s="53">
        <v>149</v>
      </c>
      <c r="V38" s="16">
        <f t="shared" si="2"/>
        <v>4023</v>
      </c>
      <c r="W38" s="53">
        <v>2</v>
      </c>
      <c r="X38" s="53" t="s">
        <v>46</v>
      </c>
      <c r="Y38" s="53" t="s">
        <v>78</v>
      </c>
      <c r="Z38" s="53" t="s">
        <v>69</v>
      </c>
      <c r="AA38" s="53" t="s">
        <v>90</v>
      </c>
      <c r="AB38" s="53" t="s">
        <v>158</v>
      </c>
    </row>
    <row r="39" spans="1:28" x14ac:dyDescent="0.15">
      <c r="A39" s="53" t="s">
        <v>41</v>
      </c>
      <c r="B39" s="53" t="s">
        <v>157</v>
      </c>
      <c r="C39" s="62">
        <v>2019</v>
      </c>
      <c r="D39" s="63" t="s">
        <v>188</v>
      </c>
      <c r="E39" s="53" t="s">
        <v>186</v>
      </c>
      <c r="F39" s="53" t="s">
        <v>189</v>
      </c>
      <c r="G39" s="53" t="s">
        <v>42</v>
      </c>
      <c r="H39" s="53" t="s">
        <v>160</v>
      </c>
      <c r="I39" s="53" t="s">
        <v>159</v>
      </c>
      <c r="J39" s="53" t="s">
        <v>38</v>
      </c>
      <c r="K39" s="53" t="s">
        <v>161</v>
      </c>
      <c r="L39" s="53">
        <v>2</v>
      </c>
      <c r="M39" s="76"/>
      <c r="N39" s="53">
        <v>1</v>
      </c>
      <c r="O39" s="53">
        <v>0.5</v>
      </c>
      <c r="P39" s="53">
        <v>0.7</v>
      </c>
      <c r="Q39" s="16">
        <f t="shared" si="0"/>
        <v>0.6</v>
      </c>
      <c r="R39" s="53">
        <v>12.3</v>
      </c>
      <c r="S39" s="53">
        <v>125</v>
      </c>
      <c r="T39" s="16">
        <f t="shared" si="1"/>
        <v>27</v>
      </c>
      <c r="U39" s="53">
        <v>149</v>
      </c>
      <c r="V39" s="16">
        <f t="shared" si="2"/>
        <v>4023</v>
      </c>
      <c r="W39" s="53">
        <v>2</v>
      </c>
      <c r="X39" s="53" t="s">
        <v>46</v>
      </c>
      <c r="Y39" s="53" t="s">
        <v>78</v>
      </c>
      <c r="Z39" s="53" t="s">
        <v>69</v>
      </c>
      <c r="AA39" s="53" t="s">
        <v>90</v>
      </c>
      <c r="AB39" s="53" t="s">
        <v>158</v>
      </c>
    </row>
    <row r="40" spans="1:28" x14ac:dyDescent="0.15">
      <c r="A40" s="53" t="s">
        <v>41</v>
      </c>
      <c r="B40" s="53" t="s">
        <v>157</v>
      </c>
      <c r="C40" s="62">
        <v>2019</v>
      </c>
      <c r="D40" s="63" t="s">
        <v>188</v>
      </c>
      <c r="E40" s="53" t="s">
        <v>186</v>
      </c>
      <c r="F40" s="53" t="s">
        <v>189</v>
      </c>
      <c r="G40" s="53" t="s">
        <v>42</v>
      </c>
      <c r="H40" s="53" t="s">
        <v>160</v>
      </c>
      <c r="I40" s="53" t="s">
        <v>159</v>
      </c>
      <c r="J40" s="53" t="s">
        <v>38</v>
      </c>
      <c r="K40" s="53" t="s">
        <v>161</v>
      </c>
      <c r="L40" s="53">
        <v>3</v>
      </c>
      <c r="M40" s="76"/>
      <c r="N40" s="53">
        <v>1</v>
      </c>
      <c r="O40" s="53">
        <v>0.35</v>
      </c>
      <c r="P40" s="53">
        <v>0.5</v>
      </c>
      <c r="Q40" s="16">
        <f t="shared" si="0"/>
        <v>0.42499999999999999</v>
      </c>
      <c r="R40" s="53">
        <v>12</v>
      </c>
      <c r="S40" s="53">
        <v>126</v>
      </c>
      <c r="T40" s="16">
        <f t="shared" si="1"/>
        <v>27</v>
      </c>
      <c r="U40" s="53">
        <v>149</v>
      </c>
      <c r="V40" s="16">
        <f t="shared" si="2"/>
        <v>4023</v>
      </c>
      <c r="W40" s="53">
        <v>2</v>
      </c>
      <c r="X40" s="53" t="s">
        <v>46</v>
      </c>
      <c r="Y40" s="53" t="s">
        <v>78</v>
      </c>
      <c r="Z40" s="53" t="s">
        <v>69</v>
      </c>
      <c r="AA40" s="53" t="s">
        <v>90</v>
      </c>
      <c r="AB40" s="53" t="s">
        <v>158</v>
      </c>
    </row>
    <row r="41" spans="1:28" x14ac:dyDescent="0.15">
      <c r="A41" s="53" t="s">
        <v>41</v>
      </c>
      <c r="B41" s="53" t="s">
        <v>157</v>
      </c>
      <c r="C41" s="62">
        <v>2019</v>
      </c>
      <c r="D41" s="63" t="s">
        <v>188</v>
      </c>
      <c r="E41" s="53" t="s">
        <v>186</v>
      </c>
      <c r="F41" s="53" t="s">
        <v>189</v>
      </c>
      <c r="G41" s="53" t="s">
        <v>42</v>
      </c>
      <c r="H41" s="53" t="s">
        <v>160</v>
      </c>
      <c r="I41" s="53" t="s">
        <v>159</v>
      </c>
      <c r="J41" s="53" t="s">
        <v>38</v>
      </c>
      <c r="K41" s="53" t="s">
        <v>161</v>
      </c>
      <c r="L41" s="53">
        <v>1</v>
      </c>
      <c r="N41" s="53">
        <v>6</v>
      </c>
      <c r="O41" s="53">
        <v>0.9</v>
      </c>
      <c r="P41" s="53">
        <v>0.85</v>
      </c>
      <c r="Q41" s="75">
        <f t="shared" si="0"/>
        <v>0.875</v>
      </c>
      <c r="R41" s="53">
        <v>15.1</v>
      </c>
      <c r="S41" s="53">
        <v>100</v>
      </c>
      <c r="T41" s="16">
        <f t="shared" si="1"/>
        <v>33</v>
      </c>
      <c r="U41" s="53">
        <v>626</v>
      </c>
      <c r="V41" s="16">
        <f t="shared" si="2"/>
        <v>3443</v>
      </c>
      <c r="W41" s="53">
        <v>1</v>
      </c>
      <c r="X41" s="53" t="s">
        <v>46</v>
      </c>
      <c r="Y41" s="53" t="s">
        <v>78</v>
      </c>
      <c r="Z41" s="53" t="s">
        <v>69</v>
      </c>
      <c r="AA41" s="53" t="s">
        <v>90</v>
      </c>
      <c r="AB41" s="53" t="s">
        <v>158</v>
      </c>
    </row>
    <row r="42" spans="1:28" x14ac:dyDescent="0.15">
      <c r="A42" s="53" t="s">
        <v>41</v>
      </c>
      <c r="B42" s="53" t="s">
        <v>157</v>
      </c>
      <c r="C42" s="62">
        <v>2019</v>
      </c>
      <c r="D42" s="63" t="s">
        <v>188</v>
      </c>
      <c r="E42" s="53" t="s">
        <v>186</v>
      </c>
      <c r="F42" s="53" t="s">
        <v>189</v>
      </c>
      <c r="G42" s="53" t="s">
        <v>42</v>
      </c>
      <c r="H42" s="53" t="s">
        <v>160</v>
      </c>
      <c r="I42" s="53" t="s">
        <v>159</v>
      </c>
      <c r="J42" s="53" t="s">
        <v>38</v>
      </c>
      <c r="K42" s="53" t="s">
        <v>161</v>
      </c>
      <c r="L42" s="53">
        <v>2</v>
      </c>
      <c r="M42" s="76"/>
      <c r="N42" s="53">
        <v>6</v>
      </c>
      <c r="O42" s="53">
        <v>0.8</v>
      </c>
      <c r="P42" s="53">
        <v>0.7</v>
      </c>
      <c r="Q42" s="75">
        <f t="shared" si="0"/>
        <v>0.75</v>
      </c>
      <c r="R42" s="53">
        <v>15.7</v>
      </c>
      <c r="S42" s="53">
        <v>110</v>
      </c>
      <c r="T42" s="16">
        <f t="shared" si="1"/>
        <v>33</v>
      </c>
      <c r="U42" s="53">
        <v>626</v>
      </c>
      <c r="V42" s="16">
        <f t="shared" si="2"/>
        <v>3443</v>
      </c>
      <c r="W42" s="53">
        <v>1</v>
      </c>
      <c r="X42" s="53" t="s">
        <v>46</v>
      </c>
      <c r="Y42" s="53" t="s">
        <v>78</v>
      </c>
      <c r="Z42" s="53" t="s">
        <v>69</v>
      </c>
      <c r="AA42" s="53" t="s">
        <v>90</v>
      </c>
      <c r="AB42" s="53" t="s">
        <v>158</v>
      </c>
    </row>
    <row r="43" spans="1:28" x14ac:dyDescent="0.15">
      <c r="A43" s="53" t="s">
        <v>41</v>
      </c>
      <c r="B43" s="53" t="s">
        <v>157</v>
      </c>
      <c r="C43" s="62">
        <v>2019</v>
      </c>
      <c r="D43" s="63" t="s">
        <v>188</v>
      </c>
      <c r="E43" s="53" t="s">
        <v>186</v>
      </c>
      <c r="F43" s="53" t="s">
        <v>189</v>
      </c>
      <c r="G43" s="53" t="s">
        <v>42</v>
      </c>
      <c r="H43" s="53" t="s">
        <v>160</v>
      </c>
      <c r="I43" s="53" t="s">
        <v>159</v>
      </c>
      <c r="J43" s="53" t="s">
        <v>38</v>
      </c>
      <c r="K43" s="53" t="s">
        <v>161</v>
      </c>
      <c r="L43" s="53">
        <v>3</v>
      </c>
      <c r="M43" s="76"/>
      <c r="N43" s="53">
        <v>6</v>
      </c>
      <c r="O43" s="53">
        <v>0.95</v>
      </c>
      <c r="P43" s="53">
        <v>0.8</v>
      </c>
      <c r="Q43" s="75">
        <f t="shared" si="0"/>
        <v>0.875</v>
      </c>
      <c r="R43" s="53">
        <v>14.5</v>
      </c>
      <c r="S43" s="53">
        <v>104</v>
      </c>
      <c r="T43" s="16">
        <f t="shared" si="1"/>
        <v>33</v>
      </c>
      <c r="U43" s="53">
        <v>626</v>
      </c>
      <c r="V43" s="16">
        <f t="shared" si="2"/>
        <v>3443</v>
      </c>
      <c r="W43" s="53">
        <v>1</v>
      </c>
      <c r="X43" s="53" t="s">
        <v>46</v>
      </c>
      <c r="Y43" s="53" t="s">
        <v>78</v>
      </c>
      <c r="Z43" s="53" t="s">
        <v>69</v>
      </c>
      <c r="AA43" s="53" t="s">
        <v>90</v>
      </c>
      <c r="AB43" s="53" t="s">
        <v>158</v>
      </c>
    </row>
    <row r="44" spans="1:28" x14ac:dyDescent="0.15">
      <c r="A44" s="53" t="s">
        <v>41</v>
      </c>
      <c r="B44" s="53" t="s">
        <v>157</v>
      </c>
      <c r="C44" s="62">
        <v>2019</v>
      </c>
      <c r="D44" s="63" t="s">
        <v>188</v>
      </c>
      <c r="E44" s="53" t="s">
        <v>194</v>
      </c>
      <c r="F44" s="53" t="s">
        <v>184</v>
      </c>
      <c r="G44" s="53" t="s">
        <v>42</v>
      </c>
      <c r="H44" s="53" t="s">
        <v>164</v>
      </c>
      <c r="I44" s="53" t="s">
        <v>159</v>
      </c>
      <c r="J44" s="53" t="s">
        <v>38</v>
      </c>
      <c r="K44" s="53" t="s">
        <v>161</v>
      </c>
      <c r="L44" s="53">
        <v>1</v>
      </c>
      <c r="N44" s="53">
        <v>1</v>
      </c>
      <c r="O44" s="53">
        <v>0.75</v>
      </c>
      <c r="P44" s="53">
        <v>0.6</v>
      </c>
      <c r="Q44" s="75">
        <f t="shared" si="0"/>
        <v>0.67500000000000004</v>
      </c>
      <c r="R44" s="53">
        <v>9.8000000000000007</v>
      </c>
      <c r="S44" s="53">
        <v>124</v>
      </c>
      <c r="T44" s="16">
        <f t="shared" si="1"/>
        <v>27</v>
      </c>
      <c r="U44" s="53">
        <v>108</v>
      </c>
      <c r="V44" s="16">
        <f t="shared" si="2"/>
        <v>2916</v>
      </c>
      <c r="W44" s="53">
        <v>2</v>
      </c>
      <c r="X44" s="53" t="s">
        <v>46</v>
      </c>
      <c r="Y44" s="53" t="s">
        <v>102</v>
      </c>
      <c r="Z44" s="53" t="s">
        <v>78</v>
      </c>
      <c r="AA44" s="53" t="s">
        <v>69</v>
      </c>
      <c r="AB44" s="53" t="s">
        <v>158</v>
      </c>
    </row>
    <row r="45" spans="1:28" x14ac:dyDescent="0.15">
      <c r="A45" s="53" t="s">
        <v>41</v>
      </c>
      <c r="B45" s="53" t="s">
        <v>157</v>
      </c>
      <c r="C45" s="62">
        <v>2019</v>
      </c>
      <c r="D45" s="63" t="s">
        <v>188</v>
      </c>
      <c r="E45" s="53" t="s">
        <v>194</v>
      </c>
      <c r="F45" s="53" t="s">
        <v>184</v>
      </c>
      <c r="G45" s="53" t="s">
        <v>42</v>
      </c>
      <c r="H45" s="53" t="s">
        <v>164</v>
      </c>
      <c r="I45" s="53" t="s">
        <v>159</v>
      </c>
      <c r="J45" s="53" t="s">
        <v>38</v>
      </c>
      <c r="K45" s="53" t="s">
        <v>161</v>
      </c>
      <c r="L45" s="53">
        <v>2</v>
      </c>
      <c r="M45" s="76"/>
      <c r="N45" s="53">
        <v>1</v>
      </c>
      <c r="O45" s="53">
        <v>0.4</v>
      </c>
      <c r="P45" s="53">
        <v>0.65</v>
      </c>
      <c r="Q45" s="75">
        <f t="shared" si="0"/>
        <v>0.52500000000000002</v>
      </c>
      <c r="R45" s="53">
        <v>12.1</v>
      </c>
      <c r="S45" s="53">
        <v>125</v>
      </c>
      <c r="T45" s="16">
        <f t="shared" si="1"/>
        <v>27</v>
      </c>
      <c r="U45" s="53">
        <v>108</v>
      </c>
      <c r="V45" s="16">
        <f t="shared" si="2"/>
        <v>2916</v>
      </c>
      <c r="W45" s="53">
        <v>2</v>
      </c>
      <c r="X45" s="53" t="s">
        <v>46</v>
      </c>
      <c r="Y45" s="53" t="s">
        <v>102</v>
      </c>
      <c r="Z45" s="53" t="s">
        <v>78</v>
      </c>
      <c r="AA45" s="53" t="s">
        <v>69</v>
      </c>
      <c r="AB45" s="53" t="s">
        <v>158</v>
      </c>
    </row>
    <row r="46" spans="1:28" x14ac:dyDescent="0.15">
      <c r="A46" s="53" t="s">
        <v>41</v>
      </c>
      <c r="B46" s="53" t="s">
        <v>157</v>
      </c>
      <c r="C46" s="62">
        <v>2019</v>
      </c>
      <c r="D46" s="63" t="s">
        <v>188</v>
      </c>
      <c r="E46" s="53" t="s">
        <v>194</v>
      </c>
      <c r="F46" s="53" t="s">
        <v>184</v>
      </c>
      <c r="G46" s="53" t="s">
        <v>42</v>
      </c>
      <c r="H46" s="53" t="s">
        <v>164</v>
      </c>
      <c r="I46" s="53" t="s">
        <v>159</v>
      </c>
      <c r="J46" s="53" t="s">
        <v>38</v>
      </c>
      <c r="K46" s="53" t="s">
        <v>161</v>
      </c>
      <c r="L46" s="53">
        <v>3</v>
      </c>
      <c r="M46" s="76"/>
      <c r="N46" s="53">
        <v>1</v>
      </c>
      <c r="O46" s="53">
        <v>0.6</v>
      </c>
      <c r="P46" s="53">
        <v>0.5</v>
      </c>
      <c r="Q46" s="75">
        <f t="shared" si="0"/>
        <v>0.55000000000000004</v>
      </c>
      <c r="R46" s="53">
        <v>12.8</v>
      </c>
      <c r="S46" s="53">
        <v>125</v>
      </c>
      <c r="T46" s="16">
        <f t="shared" si="1"/>
        <v>27</v>
      </c>
      <c r="U46" s="53">
        <v>108</v>
      </c>
      <c r="V46" s="16">
        <f t="shared" si="2"/>
        <v>2916</v>
      </c>
      <c r="W46" s="53">
        <v>2</v>
      </c>
      <c r="X46" s="53" t="s">
        <v>46</v>
      </c>
      <c r="Y46" s="53" t="s">
        <v>102</v>
      </c>
      <c r="Z46" s="53" t="s">
        <v>78</v>
      </c>
      <c r="AA46" s="53" t="s">
        <v>69</v>
      </c>
      <c r="AB46" s="53" t="s">
        <v>158</v>
      </c>
    </row>
    <row r="47" spans="1:28" x14ac:dyDescent="0.15">
      <c r="A47" s="53" t="s">
        <v>41</v>
      </c>
      <c r="B47" s="53" t="s">
        <v>157</v>
      </c>
      <c r="C47" s="62">
        <v>2019</v>
      </c>
      <c r="D47" s="63" t="s">
        <v>188</v>
      </c>
      <c r="E47" s="53" t="s">
        <v>194</v>
      </c>
      <c r="F47" s="53" t="s">
        <v>184</v>
      </c>
      <c r="G47" s="53" t="s">
        <v>42</v>
      </c>
      <c r="H47" s="53" t="s">
        <v>164</v>
      </c>
      <c r="I47" s="53" t="s">
        <v>159</v>
      </c>
      <c r="J47" s="53" t="s">
        <v>38</v>
      </c>
      <c r="K47" s="53" t="s">
        <v>161</v>
      </c>
      <c r="L47" s="53">
        <v>1</v>
      </c>
      <c r="N47" s="53">
        <v>10</v>
      </c>
      <c r="O47" s="53">
        <v>0.25</v>
      </c>
      <c r="P47" s="53">
        <v>0.25</v>
      </c>
      <c r="Q47" s="75">
        <f t="shared" si="0"/>
        <v>0.25</v>
      </c>
      <c r="R47" s="53">
        <v>15.2</v>
      </c>
      <c r="S47" s="53">
        <v>120</v>
      </c>
      <c r="T47" s="16">
        <f t="shared" si="1"/>
        <v>30</v>
      </c>
      <c r="U47" s="53">
        <v>1059</v>
      </c>
      <c r="V47" s="16">
        <f t="shared" si="2"/>
        <v>3177</v>
      </c>
      <c r="W47" s="53">
        <v>2</v>
      </c>
      <c r="X47" s="53" t="s">
        <v>46</v>
      </c>
      <c r="Y47" s="53" t="s">
        <v>102</v>
      </c>
      <c r="Z47" s="53" t="s">
        <v>78</v>
      </c>
      <c r="AA47" s="53" t="s">
        <v>69</v>
      </c>
      <c r="AB47" s="53" t="s">
        <v>158</v>
      </c>
    </row>
    <row r="48" spans="1:28" x14ac:dyDescent="0.15">
      <c r="A48" s="53" t="s">
        <v>41</v>
      </c>
      <c r="B48" s="53" t="s">
        <v>157</v>
      </c>
      <c r="C48" s="62">
        <v>2019</v>
      </c>
      <c r="D48" s="63" t="s">
        <v>188</v>
      </c>
      <c r="E48" s="53" t="s">
        <v>194</v>
      </c>
      <c r="F48" s="53" t="s">
        <v>184</v>
      </c>
      <c r="G48" s="53" t="s">
        <v>42</v>
      </c>
      <c r="H48" s="53" t="s">
        <v>164</v>
      </c>
      <c r="I48" s="53" t="s">
        <v>159</v>
      </c>
      <c r="J48" s="53" t="s">
        <v>38</v>
      </c>
      <c r="K48" s="53" t="s">
        <v>161</v>
      </c>
      <c r="L48" s="53">
        <v>2</v>
      </c>
      <c r="M48" s="76"/>
      <c r="N48" s="53">
        <v>10</v>
      </c>
      <c r="O48" s="53">
        <v>0.35</v>
      </c>
      <c r="P48" s="53">
        <v>0.25</v>
      </c>
      <c r="Q48" s="75">
        <f t="shared" si="0"/>
        <v>0.3</v>
      </c>
      <c r="R48" s="53">
        <v>16</v>
      </c>
      <c r="S48" s="53">
        <v>115</v>
      </c>
      <c r="T48" s="16">
        <f t="shared" si="1"/>
        <v>30</v>
      </c>
      <c r="U48" s="53">
        <v>1059</v>
      </c>
      <c r="V48" s="16">
        <f t="shared" si="2"/>
        <v>3177</v>
      </c>
      <c r="W48" s="53">
        <v>2</v>
      </c>
      <c r="X48" s="53" t="s">
        <v>46</v>
      </c>
      <c r="Y48" s="53" t="s">
        <v>102</v>
      </c>
      <c r="Z48" s="53" t="s">
        <v>78</v>
      </c>
      <c r="AA48" s="53" t="s">
        <v>69</v>
      </c>
      <c r="AB48" s="53" t="s">
        <v>158</v>
      </c>
    </row>
    <row r="49" spans="1:34" x14ac:dyDescent="0.15">
      <c r="A49" s="53" t="s">
        <v>41</v>
      </c>
      <c r="B49" s="53" t="s">
        <v>157</v>
      </c>
      <c r="C49" s="62">
        <v>2019</v>
      </c>
      <c r="D49" s="63" t="s">
        <v>188</v>
      </c>
      <c r="E49" s="53" t="s">
        <v>194</v>
      </c>
      <c r="F49" s="53" t="s">
        <v>184</v>
      </c>
      <c r="G49" s="53" t="s">
        <v>42</v>
      </c>
      <c r="H49" s="53" t="s">
        <v>164</v>
      </c>
      <c r="I49" s="53" t="s">
        <v>159</v>
      </c>
      <c r="J49" s="53" t="s">
        <v>38</v>
      </c>
      <c r="K49" s="53" t="s">
        <v>161</v>
      </c>
      <c r="L49" s="53">
        <v>3</v>
      </c>
      <c r="M49" s="76"/>
      <c r="N49" s="53">
        <v>10</v>
      </c>
      <c r="O49" s="53">
        <v>0.4</v>
      </c>
      <c r="P49" s="53">
        <v>0.25</v>
      </c>
      <c r="Q49" s="75">
        <f t="shared" si="0"/>
        <v>0.32500000000000001</v>
      </c>
      <c r="R49" s="53">
        <v>12.4</v>
      </c>
      <c r="S49" s="53">
        <v>117</v>
      </c>
      <c r="T49" s="16">
        <f t="shared" si="1"/>
        <v>30</v>
      </c>
      <c r="U49" s="53">
        <v>1059</v>
      </c>
      <c r="V49" s="16">
        <f t="shared" si="2"/>
        <v>3177</v>
      </c>
      <c r="W49" s="53">
        <v>2</v>
      </c>
      <c r="X49" s="53" t="s">
        <v>46</v>
      </c>
      <c r="Y49" s="53" t="s">
        <v>102</v>
      </c>
      <c r="Z49" s="53" t="s">
        <v>78</v>
      </c>
      <c r="AA49" s="53" t="s">
        <v>69</v>
      </c>
      <c r="AB49" s="53" t="s">
        <v>158</v>
      </c>
    </row>
    <row r="50" spans="1:34" x14ac:dyDescent="0.15">
      <c r="A50" s="53" t="s">
        <v>41</v>
      </c>
      <c r="B50" s="53" t="s">
        <v>157</v>
      </c>
      <c r="C50" s="62">
        <v>2019</v>
      </c>
      <c r="D50" s="63" t="s">
        <v>188</v>
      </c>
      <c r="E50" s="53" t="s">
        <v>194</v>
      </c>
      <c r="F50" s="53" t="s">
        <v>184</v>
      </c>
      <c r="G50" s="53" t="s">
        <v>42</v>
      </c>
      <c r="H50" s="53" t="s">
        <v>160</v>
      </c>
      <c r="I50" s="53" t="s">
        <v>159</v>
      </c>
      <c r="J50" s="53" t="s">
        <v>38</v>
      </c>
      <c r="K50" s="53" t="s">
        <v>161</v>
      </c>
      <c r="L50" s="53">
        <v>1</v>
      </c>
      <c r="N50" s="53">
        <v>1</v>
      </c>
      <c r="O50" s="53">
        <v>0.8</v>
      </c>
      <c r="P50" s="53">
        <v>0.75</v>
      </c>
      <c r="Q50" s="75">
        <f t="shared" si="0"/>
        <v>0.77500000000000002</v>
      </c>
      <c r="R50" s="53">
        <v>13.8</v>
      </c>
      <c r="S50" s="53">
        <v>123</v>
      </c>
      <c r="T50" s="16">
        <f t="shared" si="1"/>
        <v>27</v>
      </c>
      <c r="U50" s="53">
        <v>160</v>
      </c>
      <c r="V50" s="16">
        <f t="shared" si="2"/>
        <v>4320</v>
      </c>
      <c r="W50" s="53">
        <v>2</v>
      </c>
      <c r="X50" s="53" t="s">
        <v>46</v>
      </c>
      <c r="Y50" s="53" t="s">
        <v>102</v>
      </c>
      <c r="Z50" s="53" t="s">
        <v>78</v>
      </c>
      <c r="AA50" s="53" t="s">
        <v>69</v>
      </c>
      <c r="AB50" s="53" t="s">
        <v>158</v>
      </c>
    </row>
    <row r="51" spans="1:34" x14ac:dyDescent="0.15">
      <c r="A51" s="53" t="s">
        <v>41</v>
      </c>
      <c r="B51" s="53" t="s">
        <v>157</v>
      </c>
      <c r="C51" s="62">
        <v>2019</v>
      </c>
      <c r="D51" s="63" t="s">
        <v>188</v>
      </c>
      <c r="E51" s="53" t="s">
        <v>194</v>
      </c>
      <c r="F51" s="53" t="s">
        <v>184</v>
      </c>
      <c r="G51" s="53" t="s">
        <v>42</v>
      </c>
      <c r="H51" s="53" t="s">
        <v>160</v>
      </c>
      <c r="I51" s="53" t="s">
        <v>159</v>
      </c>
      <c r="J51" s="53" t="s">
        <v>38</v>
      </c>
      <c r="K51" s="53" t="s">
        <v>161</v>
      </c>
      <c r="L51" s="53">
        <v>2</v>
      </c>
      <c r="M51" s="76"/>
      <c r="N51" s="53">
        <v>1</v>
      </c>
      <c r="O51" s="53">
        <v>0.65</v>
      </c>
      <c r="P51" s="53">
        <v>0.5</v>
      </c>
      <c r="Q51" s="75">
        <f t="shared" si="0"/>
        <v>0.57499999999999996</v>
      </c>
      <c r="R51" s="53">
        <v>15.5</v>
      </c>
      <c r="S51" s="53">
        <v>122</v>
      </c>
      <c r="T51" s="16">
        <f t="shared" si="1"/>
        <v>27</v>
      </c>
      <c r="U51" s="53">
        <v>160</v>
      </c>
      <c r="V51" s="16">
        <f t="shared" si="2"/>
        <v>4320</v>
      </c>
      <c r="W51" s="53">
        <v>2</v>
      </c>
      <c r="X51" s="53" t="s">
        <v>46</v>
      </c>
      <c r="Y51" s="53" t="s">
        <v>102</v>
      </c>
      <c r="Z51" s="53" t="s">
        <v>78</v>
      </c>
      <c r="AA51" s="53" t="s">
        <v>69</v>
      </c>
      <c r="AB51" s="53" t="s">
        <v>158</v>
      </c>
    </row>
    <row r="52" spans="1:34" x14ac:dyDescent="0.15">
      <c r="A52" s="53" t="s">
        <v>41</v>
      </c>
      <c r="B52" s="53" t="s">
        <v>157</v>
      </c>
      <c r="C52" s="62">
        <v>2019</v>
      </c>
      <c r="D52" s="63" t="s">
        <v>188</v>
      </c>
      <c r="E52" s="53" t="s">
        <v>194</v>
      </c>
      <c r="F52" s="53" t="s">
        <v>184</v>
      </c>
      <c r="G52" s="53" t="s">
        <v>42</v>
      </c>
      <c r="H52" s="53" t="s">
        <v>160</v>
      </c>
      <c r="I52" s="53" t="s">
        <v>159</v>
      </c>
      <c r="J52" s="53" t="s">
        <v>38</v>
      </c>
      <c r="K52" s="53" t="s">
        <v>161</v>
      </c>
      <c r="L52" s="53">
        <v>3</v>
      </c>
      <c r="M52" s="76"/>
      <c r="N52" s="53">
        <v>1</v>
      </c>
      <c r="O52" s="53">
        <v>0.6</v>
      </c>
      <c r="P52" s="53">
        <v>0.65</v>
      </c>
      <c r="Q52" s="75">
        <f t="shared" si="0"/>
        <v>0.625</v>
      </c>
      <c r="R52" s="53">
        <v>15.2</v>
      </c>
      <c r="S52" s="53">
        <v>122</v>
      </c>
      <c r="T52" s="16">
        <f t="shared" si="1"/>
        <v>27</v>
      </c>
      <c r="U52" s="53">
        <v>160</v>
      </c>
      <c r="V52" s="16">
        <f t="shared" si="2"/>
        <v>4320</v>
      </c>
      <c r="W52" s="53">
        <v>2</v>
      </c>
      <c r="X52" s="53" t="s">
        <v>46</v>
      </c>
      <c r="Y52" s="53" t="s">
        <v>102</v>
      </c>
      <c r="Z52" s="53" t="s">
        <v>78</v>
      </c>
      <c r="AA52" s="53" t="s">
        <v>69</v>
      </c>
      <c r="AB52" s="53" t="s">
        <v>158</v>
      </c>
    </row>
    <row r="53" spans="1:34" x14ac:dyDescent="0.15">
      <c r="A53" s="53" t="s">
        <v>41</v>
      </c>
      <c r="B53" s="53" t="s">
        <v>157</v>
      </c>
      <c r="C53" s="62">
        <v>2019</v>
      </c>
      <c r="D53" s="63" t="s">
        <v>188</v>
      </c>
      <c r="E53" s="53" t="s">
        <v>194</v>
      </c>
      <c r="F53" s="53" t="s">
        <v>196</v>
      </c>
      <c r="G53" s="53" t="s">
        <v>42</v>
      </c>
      <c r="H53" s="53" t="s">
        <v>164</v>
      </c>
      <c r="I53" s="53" t="s">
        <v>159</v>
      </c>
      <c r="J53" s="53" t="s">
        <v>38</v>
      </c>
      <c r="K53" s="53" t="s">
        <v>161</v>
      </c>
      <c r="L53" s="53">
        <v>1</v>
      </c>
      <c r="N53" s="53">
        <v>1</v>
      </c>
      <c r="O53" s="53">
        <v>1</v>
      </c>
      <c r="P53" s="53">
        <v>0.95</v>
      </c>
      <c r="Q53" s="75">
        <f t="shared" si="0"/>
        <v>0.97499999999999998</v>
      </c>
      <c r="R53" s="53">
        <v>11.4</v>
      </c>
      <c r="S53" s="53">
        <v>122</v>
      </c>
      <c r="T53" s="16">
        <f t="shared" si="1"/>
        <v>27</v>
      </c>
      <c r="U53" s="53">
        <v>105</v>
      </c>
      <c r="V53" s="16">
        <f t="shared" si="2"/>
        <v>2835</v>
      </c>
      <c r="W53" s="53">
        <v>1</v>
      </c>
      <c r="X53" s="53" t="s">
        <v>46</v>
      </c>
      <c r="Y53" s="53" t="s">
        <v>78</v>
      </c>
      <c r="Z53" s="53" t="s">
        <v>69</v>
      </c>
      <c r="AA53" s="53" t="s">
        <v>60</v>
      </c>
      <c r="AB53" s="53" t="s">
        <v>158</v>
      </c>
    </row>
    <row r="54" spans="1:34" x14ac:dyDescent="0.15">
      <c r="A54" s="53" t="s">
        <v>41</v>
      </c>
      <c r="B54" s="53" t="s">
        <v>157</v>
      </c>
      <c r="C54" s="62">
        <v>2019</v>
      </c>
      <c r="D54" s="63" t="s">
        <v>188</v>
      </c>
      <c r="E54" s="53" t="s">
        <v>194</v>
      </c>
      <c r="F54" s="53" t="s">
        <v>196</v>
      </c>
      <c r="G54" s="53" t="s">
        <v>42</v>
      </c>
      <c r="H54" s="53" t="s">
        <v>164</v>
      </c>
      <c r="I54" s="53" t="s">
        <v>159</v>
      </c>
      <c r="J54" s="53" t="s">
        <v>38</v>
      </c>
      <c r="K54" s="53" t="s">
        <v>161</v>
      </c>
      <c r="L54" s="53">
        <v>2</v>
      </c>
      <c r="M54" s="76"/>
      <c r="N54" s="53">
        <v>1</v>
      </c>
      <c r="O54" s="53">
        <v>0.95</v>
      </c>
      <c r="P54" s="53">
        <v>0.8</v>
      </c>
      <c r="Q54" s="75">
        <f t="shared" si="0"/>
        <v>0.875</v>
      </c>
      <c r="R54" s="53">
        <v>12.3</v>
      </c>
      <c r="S54" s="53">
        <v>123</v>
      </c>
      <c r="T54" s="16">
        <f t="shared" si="1"/>
        <v>27</v>
      </c>
      <c r="U54" s="53">
        <v>105</v>
      </c>
      <c r="V54" s="16">
        <f t="shared" si="2"/>
        <v>2835</v>
      </c>
      <c r="W54" s="53">
        <v>1</v>
      </c>
      <c r="X54" s="53" t="s">
        <v>46</v>
      </c>
      <c r="Y54" s="53" t="s">
        <v>78</v>
      </c>
      <c r="Z54" s="53" t="s">
        <v>69</v>
      </c>
      <c r="AA54" s="53" t="s">
        <v>60</v>
      </c>
      <c r="AB54" s="53" t="s">
        <v>158</v>
      </c>
    </row>
    <row r="55" spans="1:34" x14ac:dyDescent="0.15">
      <c r="A55" s="53" t="s">
        <v>41</v>
      </c>
      <c r="B55" s="53" t="s">
        <v>157</v>
      </c>
      <c r="C55" s="62">
        <v>2019</v>
      </c>
      <c r="D55" s="63" t="s">
        <v>188</v>
      </c>
      <c r="E55" s="53" t="s">
        <v>194</v>
      </c>
      <c r="F55" s="53" t="s">
        <v>196</v>
      </c>
      <c r="G55" s="53" t="s">
        <v>42</v>
      </c>
      <c r="H55" s="53" t="s">
        <v>164</v>
      </c>
      <c r="I55" s="53" t="s">
        <v>159</v>
      </c>
      <c r="J55" s="53" t="s">
        <v>38</v>
      </c>
      <c r="K55" s="53" t="s">
        <v>161</v>
      </c>
      <c r="L55" s="53">
        <v>3</v>
      </c>
      <c r="M55" s="76"/>
      <c r="N55" s="53">
        <v>1</v>
      </c>
      <c r="O55" s="53">
        <v>0.9</v>
      </c>
      <c r="P55" s="53">
        <v>1</v>
      </c>
      <c r="Q55" s="75">
        <f t="shared" si="0"/>
        <v>0.95</v>
      </c>
      <c r="R55" s="53">
        <v>13.3</v>
      </c>
      <c r="S55" s="53">
        <v>122</v>
      </c>
      <c r="T55" s="16">
        <f t="shared" si="1"/>
        <v>27</v>
      </c>
      <c r="U55" s="53">
        <v>105</v>
      </c>
      <c r="V55" s="16">
        <f t="shared" si="2"/>
        <v>2835</v>
      </c>
      <c r="W55" s="53">
        <v>1</v>
      </c>
      <c r="X55" s="53" t="s">
        <v>46</v>
      </c>
      <c r="Y55" s="53" t="s">
        <v>78</v>
      </c>
      <c r="Z55" s="53" t="s">
        <v>69</v>
      </c>
      <c r="AA55" s="53" t="s">
        <v>60</v>
      </c>
      <c r="AB55" s="53" t="s">
        <v>158</v>
      </c>
    </row>
    <row r="56" spans="1:34" x14ac:dyDescent="0.15">
      <c r="A56" s="53" t="s">
        <v>41</v>
      </c>
      <c r="B56" s="53" t="s">
        <v>157</v>
      </c>
      <c r="C56" s="62">
        <v>2019</v>
      </c>
      <c r="D56" s="63" t="s">
        <v>188</v>
      </c>
      <c r="E56" s="53" t="s">
        <v>194</v>
      </c>
      <c r="F56" s="53" t="s">
        <v>196</v>
      </c>
      <c r="G56" s="53" t="s">
        <v>42</v>
      </c>
      <c r="H56" s="53" t="s">
        <v>164</v>
      </c>
      <c r="I56" s="53" t="s">
        <v>159</v>
      </c>
      <c r="J56" s="53" t="s">
        <v>38</v>
      </c>
      <c r="K56" s="53" t="s">
        <v>161</v>
      </c>
      <c r="L56" s="53">
        <v>1</v>
      </c>
      <c r="N56" s="53">
        <v>5</v>
      </c>
      <c r="O56" s="53">
        <v>1</v>
      </c>
      <c r="P56" s="53">
        <v>1.05</v>
      </c>
      <c r="Q56" s="75">
        <f t="shared" si="0"/>
        <v>1.0249999999999999</v>
      </c>
      <c r="R56" s="53">
        <v>12.4</v>
      </c>
      <c r="S56" s="53">
        <v>111</v>
      </c>
      <c r="T56" s="16">
        <f t="shared" si="1"/>
        <v>33</v>
      </c>
      <c r="U56" s="53">
        <v>421</v>
      </c>
      <c r="V56" s="16">
        <f t="shared" si="2"/>
        <v>2778.6</v>
      </c>
      <c r="W56" s="53">
        <v>2</v>
      </c>
      <c r="X56" s="53" t="s">
        <v>46</v>
      </c>
      <c r="Y56" s="53" t="s">
        <v>78</v>
      </c>
      <c r="Z56" s="53" t="s">
        <v>69</v>
      </c>
      <c r="AA56" s="53" t="s">
        <v>60</v>
      </c>
      <c r="AB56" s="53" t="s">
        <v>158</v>
      </c>
    </row>
    <row r="57" spans="1:34" x14ac:dyDescent="0.15">
      <c r="A57" s="53" t="s">
        <v>41</v>
      </c>
      <c r="B57" s="53" t="s">
        <v>157</v>
      </c>
      <c r="C57" s="62">
        <v>2019</v>
      </c>
      <c r="D57" s="63" t="s">
        <v>188</v>
      </c>
      <c r="E57" s="53" t="s">
        <v>194</v>
      </c>
      <c r="F57" s="53" t="s">
        <v>196</v>
      </c>
      <c r="G57" s="53" t="s">
        <v>42</v>
      </c>
      <c r="H57" s="53" t="s">
        <v>164</v>
      </c>
      <c r="I57" s="53" t="s">
        <v>159</v>
      </c>
      <c r="J57" s="53" t="s">
        <v>38</v>
      </c>
      <c r="K57" s="53" t="s">
        <v>161</v>
      </c>
      <c r="L57" s="53">
        <v>2</v>
      </c>
      <c r="M57" s="76"/>
      <c r="N57" s="53">
        <v>5</v>
      </c>
      <c r="O57" s="53">
        <v>0.8</v>
      </c>
      <c r="P57" s="53">
        <v>1</v>
      </c>
      <c r="Q57" s="75">
        <f t="shared" si="0"/>
        <v>0.9</v>
      </c>
      <c r="R57" s="53">
        <v>10.1</v>
      </c>
      <c r="S57" s="53">
        <v>114</v>
      </c>
      <c r="T57" s="16">
        <f t="shared" si="1"/>
        <v>30</v>
      </c>
      <c r="U57" s="53">
        <v>421</v>
      </c>
      <c r="V57" s="16">
        <f t="shared" si="2"/>
        <v>2526</v>
      </c>
      <c r="W57" s="53">
        <v>2</v>
      </c>
      <c r="X57" s="53" t="s">
        <v>46</v>
      </c>
      <c r="Y57" s="53" t="s">
        <v>78</v>
      </c>
      <c r="Z57" s="53" t="s">
        <v>69</v>
      </c>
      <c r="AA57" s="53" t="s">
        <v>60</v>
      </c>
      <c r="AB57" s="53" t="s">
        <v>158</v>
      </c>
    </row>
    <row r="58" spans="1:34" x14ac:dyDescent="0.15">
      <c r="A58" s="53" t="s">
        <v>41</v>
      </c>
      <c r="B58" s="53" t="s">
        <v>157</v>
      </c>
      <c r="C58" s="62">
        <v>2019</v>
      </c>
      <c r="D58" s="63" t="s">
        <v>188</v>
      </c>
      <c r="E58" s="53" t="s">
        <v>194</v>
      </c>
      <c r="F58" s="53" t="s">
        <v>196</v>
      </c>
      <c r="G58" s="53" t="s">
        <v>42</v>
      </c>
      <c r="H58" s="53" t="s">
        <v>164</v>
      </c>
      <c r="I58" s="53" t="s">
        <v>159</v>
      </c>
      <c r="J58" s="53" t="s">
        <v>38</v>
      </c>
      <c r="K58" s="53" t="s">
        <v>161</v>
      </c>
      <c r="L58" s="53">
        <v>3</v>
      </c>
      <c r="M58" s="76"/>
      <c r="N58" s="53">
        <v>5</v>
      </c>
      <c r="O58" s="53">
        <v>1</v>
      </c>
      <c r="P58" s="53">
        <v>0.95</v>
      </c>
      <c r="Q58" s="75">
        <f t="shared" si="0"/>
        <v>0.97499999999999998</v>
      </c>
      <c r="R58" s="53">
        <v>14.7</v>
      </c>
      <c r="S58" s="53">
        <v>112</v>
      </c>
      <c r="T58" s="16">
        <f t="shared" si="1"/>
        <v>33</v>
      </c>
      <c r="U58" s="53">
        <v>421</v>
      </c>
      <c r="V58" s="16">
        <f t="shared" si="2"/>
        <v>2778.6</v>
      </c>
      <c r="W58" s="53">
        <v>2</v>
      </c>
      <c r="X58" s="53" t="s">
        <v>46</v>
      </c>
      <c r="Y58" s="53" t="s">
        <v>78</v>
      </c>
      <c r="Z58" s="53" t="s">
        <v>69</v>
      </c>
      <c r="AA58" s="53" t="s">
        <v>60</v>
      </c>
      <c r="AB58" s="53" t="s">
        <v>158</v>
      </c>
    </row>
    <row r="59" spans="1:34" x14ac:dyDescent="0.15">
      <c r="A59" s="53" t="s">
        <v>41</v>
      </c>
      <c r="B59" s="53" t="s">
        <v>157</v>
      </c>
      <c r="C59" s="62">
        <v>2019</v>
      </c>
      <c r="D59" s="63" t="s">
        <v>188</v>
      </c>
      <c r="E59" s="53" t="s">
        <v>194</v>
      </c>
      <c r="F59" s="53" t="s">
        <v>196</v>
      </c>
      <c r="G59" s="53" t="s">
        <v>42</v>
      </c>
      <c r="H59" s="53" t="s">
        <v>160</v>
      </c>
      <c r="I59" s="53" t="s">
        <v>159</v>
      </c>
      <c r="J59" s="53" t="s">
        <v>38</v>
      </c>
      <c r="K59" s="53" t="s">
        <v>161</v>
      </c>
      <c r="L59" s="53">
        <v>1</v>
      </c>
      <c r="N59" s="53">
        <v>1</v>
      </c>
      <c r="O59" s="53">
        <v>0.25</v>
      </c>
      <c r="P59" s="53">
        <v>0.25</v>
      </c>
      <c r="Q59" s="75">
        <f t="shared" si="0"/>
        <v>0.25</v>
      </c>
      <c r="R59" s="53">
        <v>15.2</v>
      </c>
      <c r="S59" s="53">
        <v>125</v>
      </c>
      <c r="T59" s="16">
        <f t="shared" si="1"/>
        <v>27</v>
      </c>
      <c r="U59" s="53">
        <v>170</v>
      </c>
      <c r="V59" s="16">
        <f t="shared" si="2"/>
        <v>4590</v>
      </c>
      <c r="W59" s="53">
        <v>1</v>
      </c>
      <c r="X59" s="53" t="s">
        <v>46</v>
      </c>
      <c r="Y59" s="53" t="s">
        <v>78</v>
      </c>
      <c r="Z59" s="53" t="s">
        <v>69</v>
      </c>
      <c r="AA59" s="53" t="s">
        <v>60</v>
      </c>
      <c r="AB59" s="53" t="s">
        <v>158</v>
      </c>
      <c r="AC59" s="76"/>
      <c r="AD59" s="76"/>
      <c r="AE59" s="76"/>
      <c r="AF59" s="76"/>
      <c r="AG59" s="76"/>
      <c r="AH59" s="76"/>
    </row>
    <row r="60" spans="1:34" x14ac:dyDescent="0.15">
      <c r="A60" s="53" t="s">
        <v>41</v>
      </c>
      <c r="B60" s="53" t="s">
        <v>157</v>
      </c>
      <c r="C60" s="62">
        <v>2019</v>
      </c>
      <c r="D60" s="63" t="s">
        <v>188</v>
      </c>
      <c r="E60" s="53" t="s">
        <v>194</v>
      </c>
      <c r="F60" s="53" t="s">
        <v>196</v>
      </c>
      <c r="G60" s="53" t="s">
        <v>42</v>
      </c>
      <c r="H60" s="53" t="s">
        <v>160</v>
      </c>
      <c r="I60" s="53" t="s">
        <v>159</v>
      </c>
      <c r="J60" s="53" t="s">
        <v>38</v>
      </c>
      <c r="K60" s="53" t="s">
        <v>161</v>
      </c>
      <c r="L60" s="53">
        <v>2</v>
      </c>
      <c r="M60" s="76"/>
      <c r="N60" s="53">
        <v>1</v>
      </c>
      <c r="O60" s="53">
        <v>0.25</v>
      </c>
      <c r="P60" s="53">
        <v>0.25</v>
      </c>
      <c r="Q60" s="75">
        <f t="shared" si="0"/>
        <v>0.25</v>
      </c>
      <c r="R60" s="53">
        <v>16.7</v>
      </c>
      <c r="S60" s="53">
        <v>123</v>
      </c>
      <c r="T60" s="16">
        <f t="shared" si="1"/>
        <v>27</v>
      </c>
      <c r="U60" s="53">
        <v>170</v>
      </c>
      <c r="V60" s="16">
        <f t="shared" si="2"/>
        <v>4590</v>
      </c>
      <c r="W60" s="53">
        <v>1</v>
      </c>
      <c r="X60" s="53" t="s">
        <v>46</v>
      </c>
      <c r="Y60" s="53" t="s">
        <v>78</v>
      </c>
      <c r="Z60" s="53" t="s">
        <v>69</v>
      </c>
      <c r="AA60" s="53" t="s">
        <v>60</v>
      </c>
      <c r="AB60" s="53" t="s">
        <v>158</v>
      </c>
      <c r="AC60" s="76"/>
      <c r="AD60" s="76"/>
      <c r="AE60" s="76"/>
      <c r="AF60" s="76"/>
      <c r="AG60" s="76"/>
      <c r="AH60" s="76"/>
    </row>
    <row r="61" spans="1:34" x14ac:dyDescent="0.15">
      <c r="A61" s="53" t="s">
        <v>41</v>
      </c>
      <c r="B61" s="53" t="s">
        <v>157</v>
      </c>
      <c r="C61" s="62">
        <v>2019</v>
      </c>
      <c r="D61" s="63" t="s">
        <v>188</v>
      </c>
      <c r="E61" s="53" t="s">
        <v>194</v>
      </c>
      <c r="F61" s="53" t="s">
        <v>196</v>
      </c>
      <c r="G61" s="53" t="s">
        <v>42</v>
      </c>
      <c r="H61" s="53" t="s">
        <v>160</v>
      </c>
      <c r="I61" s="53" t="s">
        <v>159</v>
      </c>
      <c r="J61" s="53" t="s">
        <v>38</v>
      </c>
      <c r="K61" s="53" t="s">
        <v>161</v>
      </c>
      <c r="L61" s="53">
        <v>3</v>
      </c>
      <c r="M61" s="76"/>
      <c r="N61" s="53">
        <v>1</v>
      </c>
      <c r="O61" s="53">
        <v>0.25</v>
      </c>
      <c r="P61" s="53">
        <v>0.25</v>
      </c>
      <c r="Q61" s="75">
        <f t="shared" si="0"/>
        <v>0.25</v>
      </c>
      <c r="R61" s="53">
        <v>16</v>
      </c>
      <c r="S61" s="53">
        <v>123</v>
      </c>
      <c r="T61" s="16">
        <f t="shared" si="1"/>
        <v>27</v>
      </c>
      <c r="U61" s="53">
        <v>170</v>
      </c>
      <c r="V61" s="16">
        <f t="shared" si="2"/>
        <v>4590</v>
      </c>
      <c r="W61" s="53">
        <v>1</v>
      </c>
      <c r="X61" s="53" t="s">
        <v>46</v>
      </c>
      <c r="Y61" s="53" t="s">
        <v>78</v>
      </c>
      <c r="Z61" s="53" t="s">
        <v>69</v>
      </c>
      <c r="AA61" s="53" t="s">
        <v>60</v>
      </c>
      <c r="AB61" s="53" t="s">
        <v>158</v>
      </c>
      <c r="AC61" s="76"/>
      <c r="AD61" s="76"/>
      <c r="AE61" s="76"/>
      <c r="AF61" s="76"/>
      <c r="AG61" s="76"/>
      <c r="AH61" s="76"/>
    </row>
    <row r="62" spans="1:34" x14ac:dyDescent="0.15">
      <c r="A62" s="53" t="s">
        <v>41</v>
      </c>
      <c r="B62" s="53" t="s">
        <v>157</v>
      </c>
      <c r="C62" s="62">
        <v>2019</v>
      </c>
      <c r="D62" s="63" t="s">
        <v>188</v>
      </c>
      <c r="E62" s="53" t="s">
        <v>194</v>
      </c>
      <c r="F62" s="53" t="s">
        <v>196</v>
      </c>
      <c r="G62" s="53" t="s">
        <v>42</v>
      </c>
      <c r="H62" s="53" t="s">
        <v>160</v>
      </c>
      <c r="I62" s="53" t="s">
        <v>159</v>
      </c>
      <c r="J62" s="53" t="s">
        <v>38</v>
      </c>
      <c r="K62" s="53" t="s">
        <v>161</v>
      </c>
      <c r="L62" s="53">
        <v>1</v>
      </c>
      <c r="N62" s="53">
        <v>5</v>
      </c>
      <c r="O62" s="53">
        <v>0.3</v>
      </c>
      <c r="P62" s="53">
        <v>0.25</v>
      </c>
      <c r="Q62" s="75">
        <f t="shared" si="0"/>
        <v>0.27500000000000002</v>
      </c>
      <c r="R62" s="53">
        <v>15.1</v>
      </c>
      <c r="S62" s="53">
        <v>114</v>
      </c>
      <c r="T62" s="16">
        <f t="shared" si="1"/>
        <v>30</v>
      </c>
      <c r="U62" s="53">
        <v>538</v>
      </c>
      <c r="V62" s="16">
        <f t="shared" si="2"/>
        <v>3228</v>
      </c>
      <c r="W62" s="53">
        <v>2</v>
      </c>
      <c r="X62" s="53" t="s">
        <v>46</v>
      </c>
      <c r="Y62" s="53" t="s">
        <v>78</v>
      </c>
      <c r="Z62" s="53" t="s">
        <v>69</v>
      </c>
      <c r="AA62" s="53" t="s">
        <v>60</v>
      </c>
      <c r="AB62" s="53" t="s">
        <v>158</v>
      </c>
      <c r="AC62" s="76"/>
      <c r="AD62" s="76"/>
      <c r="AE62" s="76"/>
      <c r="AF62" s="76"/>
      <c r="AG62" s="76"/>
      <c r="AH62" s="76"/>
    </row>
    <row r="63" spans="1:34" x14ac:dyDescent="0.15">
      <c r="A63" s="53" t="s">
        <v>41</v>
      </c>
      <c r="B63" s="53" t="s">
        <v>157</v>
      </c>
      <c r="C63" s="62">
        <v>2019</v>
      </c>
      <c r="D63" s="63" t="s">
        <v>188</v>
      </c>
      <c r="E63" s="53" t="s">
        <v>194</v>
      </c>
      <c r="F63" s="53" t="s">
        <v>196</v>
      </c>
      <c r="G63" s="53" t="s">
        <v>42</v>
      </c>
      <c r="H63" s="53" t="s">
        <v>160</v>
      </c>
      <c r="I63" s="53" t="s">
        <v>159</v>
      </c>
      <c r="J63" s="53" t="s">
        <v>38</v>
      </c>
      <c r="K63" s="53" t="s">
        <v>161</v>
      </c>
      <c r="L63" s="53">
        <v>2</v>
      </c>
      <c r="M63" s="76"/>
      <c r="N63" s="53">
        <v>5</v>
      </c>
      <c r="O63" s="53">
        <v>0.45</v>
      </c>
      <c r="P63" s="53">
        <v>0.3</v>
      </c>
      <c r="Q63" s="75">
        <f t="shared" si="0"/>
        <v>0.375</v>
      </c>
      <c r="R63" s="53">
        <v>14.7</v>
      </c>
      <c r="S63" s="53">
        <v>115</v>
      </c>
      <c r="T63" s="16">
        <f t="shared" si="1"/>
        <v>30</v>
      </c>
      <c r="U63" s="53">
        <v>538</v>
      </c>
      <c r="V63" s="16">
        <f t="shared" si="2"/>
        <v>3228</v>
      </c>
      <c r="W63" s="53">
        <v>2</v>
      </c>
      <c r="X63" s="53" t="s">
        <v>46</v>
      </c>
      <c r="Y63" s="53" t="s">
        <v>78</v>
      </c>
      <c r="Z63" s="53" t="s">
        <v>69</v>
      </c>
      <c r="AA63" s="53" t="s">
        <v>60</v>
      </c>
      <c r="AB63" s="53" t="s">
        <v>158</v>
      </c>
      <c r="AC63" s="76"/>
      <c r="AD63" s="76"/>
      <c r="AE63" s="76"/>
      <c r="AF63" s="76"/>
      <c r="AG63" s="76"/>
      <c r="AH63" s="76"/>
    </row>
    <row r="64" spans="1:34" x14ac:dyDescent="0.15">
      <c r="A64" s="53" t="s">
        <v>41</v>
      </c>
      <c r="B64" s="53" t="s">
        <v>157</v>
      </c>
      <c r="C64" s="62">
        <v>2019</v>
      </c>
      <c r="D64" s="63" t="s">
        <v>188</v>
      </c>
      <c r="E64" s="53" t="s">
        <v>194</v>
      </c>
      <c r="F64" s="53" t="s">
        <v>196</v>
      </c>
      <c r="G64" s="53" t="s">
        <v>42</v>
      </c>
      <c r="H64" s="53" t="s">
        <v>160</v>
      </c>
      <c r="I64" s="53" t="s">
        <v>159</v>
      </c>
      <c r="J64" s="53" t="s">
        <v>38</v>
      </c>
      <c r="K64" s="53" t="s">
        <v>161</v>
      </c>
      <c r="L64" s="53">
        <v>3</v>
      </c>
      <c r="M64" s="76"/>
      <c r="N64" s="53">
        <v>5</v>
      </c>
      <c r="O64" s="53">
        <v>0.5</v>
      </c>
      <c r="P64" s="53">
        <v>0.4</v>
      </c>
      <c r="Q64" s="75">
        <f t="shared" si="0"/>
        <v>0.45</v>
      </c>
      <c r="R64" s="53">
        <v>14.4</v>
      </c>
      <c r="S64" s="53">
        <v>115</v>
      </c>
      <c r="T64" s="16">
        <f t="shared" si="1"/>
        <v>30</v>
      </c>
      <c r="U64" s="53">
        <v>538</v>
      </c>
      <c r="V64" s="16">
        <f t="shared" si="2"/>
        <v>3228</v>
      </c>
      <c r="W64" s="53">
        <v>2</v>
      </c>
      <c r="X64" s="53" t="s">
        <v>46</v>
      </c>
      <c r="Y64" s="53" t="s">
        <v>78</v>
      </c>
      <c r="Z64" s="53" t="s">
        <v>69</v>
      </c>
      <c r="AA64" s="53" t="s">
        <v>60</v>
      </c>
      <c r="AB64" s="53" t="s">
        <v>158</v>
      </c>
      <c r="AC64" s="76"/>
      <c r="AD64" s="76"/>
      <c r="AE64" s="76"/>
      <c r="AF64" s="76"/>
      <c r="AG64" s="76"/>
      <c r="AH64" s="76"/>
    </row>
    <row r="65" spans="1:34" x14ac:dyDescent="0.15">
      <c r="A65" s="53" t="s">
        <v>41</v>
      </c>
      <c r="B65" s="53" t="s">
        <v>157</v>
      </c>
      <c r="C65" s="62">
        <v>2019</v>
      </c>
      <c r="D65" s="63" t="s">
        <v>188</v>
      </c>
      <c r="E65" s="53" t="s">
        <v>199</v>
      </c>
      <c r="F65" s="53" t="s">
        <v>196</v>
      </c>
      <c r="G65" s="53" t="s">
        <v>42</v>
      </c>
      <c r="H65" s="53" t="s">
        <v>160</v>
      </c>
      <c r="I65" s="53" t="s">
        <v>159</v>
      </c>
      <c r="J65" s="53" t="s">
        <v>38</v>
      </c>
      <c r="K65" s="53" t="s">
        <v>161</v>
      </c>
      <c r="L65" s="53">
        <v>1</v>
      </c>
      <c r="N65" s="53">
        <v>1</v>
      </c>
      <c r="O65" s="53">
        <v>0.65</v>
      </c>
      <c r="P65" s="53">
        <v>0.7</v>
      </c>
      <c r="Q65" s="16">
        <f t="shared" si="0"/>
        <v>0.67500000000000004</v>
      </c>
      <c r="R65" s="53">
        <v>13.3</v>
      </c>
      <c r="S65" s="53">
        <v>115</v>
      </c>
      <c r="T65" s="38">
        <f t="shared" si="1"/>
        <v>30</v>
      </c>
      <c r="U65" s="53">
        <v>105</v>
      </c>
      <c r="V65" s="16">
        <f t="shared" si="2"/>
        <v>3150</v>
      </c>
      <c r="W65" s="53">
        <v>6</v>
      </c>
      <c r="X65" s="53" t="s">
        <v>46</v>
      </c>
      <c r="Y65" s="53" t="s">
        <v>69</v>
      </c>
      <c r="Z65" s="53" t="s">
        <v>78</v>
      </c>
      <c r="AA65" s="53" t="s">
        <v>55</v>
      </c>
      <c r="AB65" s="53" t="s">
        <v>158</v>
      </c>
      <c r="AC65" s="76"/>
      <c r="AD65" s="76"/>
      <c r="AE65" s="76"/>
      <c r="AF65" s="76"/>
      <c r="AG65" s="76"/>
      <c r="AH65" s="76"/>
    </row>
    <row r="66" spans="1:34" x14ac:dyDescent="0.15">
      <c r="A66" s="53" t="s">
        <v>41</v>
      </c>
      <c r="B66" s="53" t="s">
        <v>157</v>
      </c>
      <c r="C66" s="62">
        <v>2019</v>
      </c>
      <c r="D66" s="63" t="s">
        <v>188</v>
      </c>
      <c r="E66" s="53" t="s">
        <v>199</v>
      </c>
      <c r="F66" s="53" t="s">
        <v>196</v>
      </c>
      <c r="G66" s="53" t="s">
        <v>42</v>
      </c>
      <c r="H66" s="53" t="s">
        <v>160</v>
      </c>
      <c r="I66" s="53" t="s">
        <v>159</v>
      </c>
      <c r="J66" s="53" t="s">
        <v>38</v>
      </c>
      <c r="K66" s="53" t="s">
        <v>161</v>
      </c>
      <c r="L66" s="53">
        <v>2</v>
      </c>
      <c r="M66" s="76"/>
      <c r="N66" s="53">
        <v>1</v>
      </c>
      <c r="O66" s="53">
        <v>0.5</v>
      </c>
      <c r="P66" s="53">
        <v>0.45</v>
      </c>
      <c r="Q66" s="16">
        <f t="shared" ref="Q66:Q118" si="3">IF(OR(O66="",P66=""),"",AVERAGE(O66,P66))</f>
        <v>0.47499999999999998</v>
      </c>
      <c r="R66" s="53">
        <v>15.2</v>
      </c>
      <c r="S66" s="53">
        <v>114</v>
      </c>
      <c r="T66" s="38">
        <f t="shared" ref="T66:T129" si="4">IF(H66="","",IF(OR(H66="GREEN",H66="GK"),IF(S66&gt;=$AX$2,VLOOKUP(S66,$AX$2:$AY$10,2,1),""),IF(S66&gt;=$AZ$2,VLOOKUP(S66,$AZ$2:$BA$10,2,1),"")))</f>
        <v>30</v>
      </c>
      <c r="U66" s="53">
        <v>105</v>
      </c>
      <c r="V66" s="16">
        <f t="shared" ref="V66:V98" si="5">IF(OR(N66="",U66="",T66=""),"",U66/N66*T66)</f>
        <v>3150</v>
      </c>
      <c r="W66" s="53">
        <v>6</v>
      </c>
      <c r="X66" s="53" t="s">
        <v>46</v>
      </c>
      <c r="Y66" s="53" t="s">
        <v>69</v>
      </c>
      <c r="Z66" s="53" t="s">
        <v>78</v>
      </c>
      <c r="AA66" s="53" t="s">
        <v>55</v>
      </c>
      <c r="AB66" s="53" t="s">
        <v>158</v>
      </c>
      <c r="AC66" s="76"/>
      <c r="AD66" s="76"/>
      <c r="AE66" s="76"/>
      <c r="AF66" s="76"/>
      <c r="AG66" s="76"/>
      <c r="AH66" s="76"/>
    </row>
    <row r="67" spans="1:34" x14ac:dyDescent="0.15">
      <c r="A67" s="53" t="s">
        <v>41</v>
      </c>
      <c r="B67" s="53" t="s">
        <v>157</v>
      </c>
      <c r="C67" s="62">
        <v>2019</v>
      </c>
      <c r="D67" s="63" t="s">
        <v>188</v>
      </c>
      <c r="E67" s="53" t="s">
        <v>199</v>
      </c>
      <c r="F67" s="53" t="s">
        <v>196</v>
      </c>
      <c r="G67" s="53" t="s">
        <v>42</v>
      </c>
      <c r="H67" s="53" t="s">
        <v>160</v>
      </c>
      <c r="I67" s="53" t="s">
        <v>159</v>
      </c>
      <c r="J67" s="53" t="s">
        <v>38</v>
      </c>
      <c r="K67" s="53" t="s">
        <v>161</v>
      </c>
      <c r="L67" s="53">
        <v>3</v>
      </c>
      <c r="M67" s="76"/>
      <c r="N67" s="53">
        <v>1</v>
      </c>
      <c r="O67" s="53">
        <v>0.8</v>
      </c>
      <c r="P67" s="53">
        <v>0.8</v>
      </c>
      <c r="Q67" s="16">
        <f t="shared" si="3"/>
        <v>0.8</v>
      </c>
      <c r="R67" s="53">
        <v>15.2</v>
      </c>
      <c r="S67" s="53">
        <v>117</v>
      </c>
      <c r="T67" s="38">
        <f t="shared" si="4"/>
        <v>30</v>
      </c>
      <c r="U67" s="53">
        <v>105</v>
      </c>
      <c r="V67" s="38">
        <f t="shared" si="5"/>
        <v>3150</v>
      </c>
      <c r="W67" s="53">
        <v>6</v>
      </c>
      <c r="X67" s="53" t="s">
        <v>46</v>
      </c>
      <c r="Y67" s="53" t="s">
        <v>69</v>
      </c>
      <c r="Z67" s="53" t="s">
        <v>78</v>
      </c>
      <c r="AA67" s="53" t="s">
        <v>55</v>
      </c>
      <c r="AB67" s="53" t="s">
        <v>158</v>
      </c>
      <c r="AC67" s="76"/>
      <c r="AD67" s="76"/>
      <c r="AE67" s="76"/>
      <c r="AF67" s="76"/>
      <c r="AG67" s="76"/>
      <c r="AH67" s="76"/>
    </row>
    <row r="68" spans="1:34" x14ac:dyDescent="0.15">
      <c r="A68" s="53" t="s">
        <v>41</v>
      </c>
      <c r="B68" s="53" t="s">
        <v>157</v>
      </c>
      <c r="C68" s="62">
        <v>2019</v>
      </c>
      <c r="D68" s="63" t="s">
        <v>188</v>
      </c>
      <c r="E68" s="53" t="s">
        <v>199</v>
      </c>
      <c r="F68" s="53" t="s">
        <v>196</v>
      </c>
      <c r="G68" s="53" t="s">
        <v>42</v>
      </c>
      <c r="H68" s="53" t="s">
        <v>160</v>
      </c>
      <c r="I68" s="53" t="s">
        <v>159</v>
      </c>
      <c r="J68" s="53" t="s">
        <v>38</v>
      </c>
      <c r="K68" s="53" t="s">
        <v>161</v>
      </c>
      <c r="L68" s="53">
        <v>1</v>
      </c>
      <c r="N68" s="53">
        <v>5</v>
      </c>
      <c r="O68" s="53">
        <v>0.25</v>
      </c>
      <c r="P68" s="53">
        <v>0.25</v>
      </c>
      <c r="Q68" s="16">
        <f t="shared" si="3"/>
        <v>0.25</v>
      </c>
      <c r="R68" s="53">
        <v>14.1</v>
      </c>
      <c r="S68" s="53">
        <v>101</v>
      </c>
      <c r="T68" s="38">
        <f t="shared" si="4"/>
        <v>33</v>
      </c>
      <c r="U68" s="53">
        <v>537</v>
      </c>
      <c r="V68" s="16">
        <f t="shared" si="5"/>
        <v>3544.2000000000003</v>
      </c>
      <c r="W68" s="53">
        <v>1</v>
      </c>
      <c r="X68" s="53" t="s">
        <v>46</v>
      </c>
      <c r="Y68" s="53" t="s">
        <v>69</v>
      </c>
      <c r="Z68" s="53" t="s">
        <v>78</v>
      </c>
      <c r="AA68" s="53" t="s">
        <v>55</v>
      </c>
      <c r="AB68" s="53" t="s">
        <v>158</v>
      </c>
      <c r="AC68" s="76"/>
      <c r="AD68" s="76"/>
      <c r="AE68" s="76"/>
      <c r="AF68" s="76"/>
      <c r="AG68" s="76"/>
      <c r="AH68" s="76"/>
    </row>
    <row r="69" spans="1:34" x14ac:dyDescent="0.15">
      <c r="A69" s="53" t="s">
        <v>41</v>
      </c>
      <c r="B69" s="53" t="s">
        <v>157</v>
      </c>
      <c r="C69" s="62">
        <v>2019</v>
      </c>
      <c r="D69" s="63" t="s">
        <v>188</v>
      </c>
      <c r="E69" s="53" t="s">
        <v>199</v>
      </c>
      <c r="F69" s="53" t="s">
        <v>196</v>
      </c>
      <c r="G69" s="53" t="s">
        <v>42</v>
      </c>
      <c r="H69" s="53" t="s">
        <v>160</v>
      </c>
      <c r="I69" s="53" t="s">
        <v>159</v>
      </c>
      <c r="J69" s="53" t="s">
        <v>38</v>
      </c>
      <c r="K69" s="53" t="s">
        <v>161</v>
      </c>
      <c r="L69" s="53">
        <v>2</v>
      </c>
      <c r="M69" s="76"/>
      <c r="N69" s="53">
        <v>5</v>
      </c>
      <c r="O69" s="53">
        <v>0.25</v>
      </c>
      <c r="P69" s="53">
        <v>0.25</v>
      </c>
      <c r="Q69" s="16">
        <f t="shared" si="3"/>
        <v>0.25</v>
      </c>
      <c r="R69" s="53">
        <v>14.6</v>
      </c>
      <c r="S69" s="53">
        <v>104</v>
      </c>
      <c r="T69" s="38">
        <f t="shared" si="4"/>
        <v>33</v>
      </c>
      <c r="U69" s="53">
        <v>537</v>
      </c>
      <c r="V69" s="16">
        <f t="shared" si="5"/>
        <v>3544.2000000000003</v>
      </c>
      <c r="W69" s="53">
        <v>1</v>
      </c>
      <c r="X69" s="53" t="s">
        <v>46</v>
      </c>
      <c r="Y69" s="53" t="s">
        <v>69</v>
      </c>
      <c r="Z69" s="53" t="s">
        <v>78</v>
      </c>
      <c r="AA69" s="53" t="s">
        <v>55</v>
      </c>
      <c r="AB69" s="53" t="s">
        <v>158</v>
      </c>
      <c r="AC69" s="76"/>
      <c r="AD69" s="76"/>
      <c r="AE69" s="76"/>
      <c r="AF69" s="76"/>
      <c r="AG69" s="76"/>
      <c r="AH69" s="76"/>
    </row>
    <row r="70" spans="1:34" x14ac:dyDescent="0.15">
      <c r="A70" s="53" t="s">
        <v>41</v>
      </c>
      <c r="B70" s="53" t="s">
        <v>157</v>
      </c>
      <c r="C70" s="62">
        <v>2019</v>
      </c>
      <c r="D70" s="63" t="s">
        <v>188</v>
      </c>
      <c r="E70" s="53" t="s">
        <v>199</v>
      </c>
      <c r="F70" s="53" t="s">
        <v>196</v>
      </c>
      <c r="G70" s="53" t="s">
        <v>42</v>
      </c>
      <c r="H70" s="53" t="s">
        <v>160</v>
      </c>
      <c r="I70" s="53" t="s">
        <v>159</v>
      </c>
      <c r="J70" s="53" t="s">
        <v>38</v>
      </c>
      <c r="K70" s="53" t="s">
        <v>161</v>
      </c>
      <c r="L70" s="53">
        <v>3</v>
      </c>
      <c r="M70" s="76"/>
      <c r="N70" s="53">
        <v>5</v>
      </c>
      <c r="O70" s="53">
        <v>0.25</v>
      </c>
      <c r="P70" s="53">
        <v>0.25</v>
      </c>
      <c r="Q70" s="16">
        <f t="shared" si="3"/>
        <v>0.25</v>
      </c>
      <c r="R70" s="53">
        <v>13.7</v>
      </c>
      <c r="S70" s="53">
        <v>101</v>
      </c>
      <c r="T70" s="38">
        <f t="shared" si="4"/>
        <v>33</v>
      </c>
      <c r="U70" s="53">
        <v>537</v>
      </c>
      <c r="V70" s="38">
        <f t="shared" si="5"/>
        <v>3544.2000000000003</v>
      </c>
      <c r="W70" s="53">
        <v>1</v>
      </c>
      <c r="X70" s="53" t="s">
        <v>46</v>
      </c>
      <c r="Y70" s="53" t="s">
        <v>69</v>
      </c>
      <c r="Z70" s="53" t="s">
        <v>78</v>
      </c>
      <c r="AA70" s="53" t="s">
        <v>55</v>
      </c>
      <c r="AB70" s="53" t="s">
        <v>158</v>
      </c>
      <c r="AC70" s="76"/>
      <c r="AD70" s="76"/>
      <c r="AE70" s="76"/>
      <c r="AF70" s="76"/>
      <c r="AG70" s="76"/>
      <c r="AH70" s="76"/>
    </row>
    <row r="71" spans="1:34" x14ac:dyDescent="0.15">
      <c r="A71" s="53" t="s">
        <v>41</v>
      </c>
      <c r="B71" s="53" t="s">
        <v>157</v>
      </c>
      <c r="C71" s="62">
        <v>2019</v>
      </c>
      <c r="D71" s="63" t="s">
        <v>188</v>
      </c>
      <c r="E71" s="53" t="s">
        <v>199</v>
      </c>
      <c r="F71" s="53" t="s">
        <v>196</v>
      </c>
      <c r="G71" s="53" t="s">
        <v>42</v>
      </c>
      <c r="H71" s="53" t="s">
        <v>164</v>
      </c>
      <c r="I71" s="53" t="s">
        <v>159</v>
      </c>
      <c r="J71" s="53" t="s">
        <v>38</v>
      </c>
      <c r="K71" s="53" t="s">
        <v>161</v>
      </c>
      <c r="L71" s="53">
        <v>1</v>
      </c>
      <c r="N71" s="53">
        <v>1</v>
      </c>
      <c r="O71" s="53">
        <v>0.7</v>
      </c>
      <c r="P71" s="53">
        <v>0.65</v>
      </c>
      <c r="Q71" s="16">
        <f t="shared" si="3"/>
        <v>0.67500000000000004</v>
      </c>
      <c r="R71" s="53">
        <v>12.1</v>
      </c>
      <c r="S71" s="53">
        <v>116</v>
      </c>
      <c r="T71" s="38">
        <f t="shared" si="4"/>
        <v>30</v>
      </c>
      <c r="U71" s="53">
        <v>105</v>
      </c>
      <c r="V71" s="16">
        <f t="shared" si="5"/>
        <v>3150</v>
      </c>
      <c r="W71" s="53">
        <v>3</v>
      </c>
      <c r="X71" s="53" t="s">
        <v>46</v>
      </c>
      <c r="Y71" s="53" t="s">
        <v>69</v>
      </c>
      <c r="Z71" s="53" t="s">
        <v>78</v>
      </c>
      <c r="AA71" s="53" t="s">
        <v>55</v>
      </c>
      <c r="AB71" s="53" t="s">
        <v>158</v>
      </c>
      <c r="AC71" s="76"/>
      <c r="AD71" s="76"/>
      <c r="AE71" s="76"/>
      <c r="AF71" s="76"/>
      <c r="AG71" s="76"/>
      <c r="AH71" s="76"/>
    </row>
    <row r="72" spans="1:34" x14ac:dyDescent="0.15">
      <c r="A72" s="53" t="s">
        <v>41</v>
      </c>
      <c r="B72" s="53" t="s">
        <v>157</v>
      </c>
      <c r="C72" s="62">
        <v>2019</v>
      </c>
      <c r="D72" s="63" t="s">
        <v>188</v>
      </c>
      <c r="E72" s="53" t="s">
        <v>199</v>
      </c>
      <c r="F72" s="53" t="s">
        <v>196</v>
      </c>
      <c r="G72" s="53" t="s">
        <v>42</v>
      </c>
      <c r="H72" s="53" t="s">
        <v>164</v>
      </c>
      <c r="I72" s="53" t="s">
        <v>159</v>
      </c>
      <c r="J72" s="53" t="s">
        <v>38</v>
      </c>
      <c r="K72" s="53" t="s">
        <v>161</v>
      </c>
      <c r="L72" s="53">
        <v>2</v>
      </c>
      <c r="M72" s="76"/>
      <c r="N72" s="53">
        <v>1</v>
      </c>
      <c r="O72" s="53">
        <v>0.65</v>
      </c>
      <c r="P72" s="53">
        <v>0.5</v>
      </c>
      <c r="Q72" s="16">
        <f t="shared" si="3"/>
        <v>0.57499999999999996</v>
      </c>
      <c r="R72" s="53">
        <v>13.3</v>
      </c>
      <c r="S72" s="53">
        <v>117</v>
      </c>
      <c r="T72" s="38">
        <f t="shared" si="4"/>
        <v>30</v>
      </c>
      <c r="U72" s="53">
        <v>105</v>
      </c>
      <c r="V72" s="16">
        <f t="shared" si="5"/>
        <v>3150</v>
      </c>
      <c r="W72" s="53">
        <v>3</v>
      </c>
      <c r="X72" s="53" t="s">
        <v>46</v>
      </c>
      <c r="Y72" s="53" t="s">
        <v>69</v>
      </c>
      <c r="Z72" s="53" t="s">
        <v>78</v>
      </c>
      <c r="AA72" s="53" t="s">
        <v>55</v>
      </c>
      <c r="AB72" s="53" t="s">
        <v>158</v>
      </c>
      <c r="AC72" s="76"/>
      <c r="AD72" s="76"/>
      <c r="AE72" s="76"/>
      <c r="AF72" s="76"/>
      <c r="AG72" s="76"/>
      <c r="AH72" s="76"/>
    </row>
    <row r="73" spans="1:34" x14ac:dyDescent="0.15">
      <c r="A73" s="53" t="s">
        <v>41</v>
      </c>
      <c r="B73" s="53" t="s">
        <v>157</v>
      </c>
      <c r="C73" s="62">
        <v>2019</v>
      </c>
      <c r="D73" s="63" t="s">
        <v>188</v>
      </c>
      <c r="E73" s="53" t="s">
        <v>199</v>
      </c>
      <c r="F73" s="53" t="s">
        <v>196</v>
      </c>
      <c r="G73" s="53" t="s">
        <v>42</v>
      </c>
      <c r="H73" s="53" t="s">
        <v>164</v>
      </c>
      <c r="I73" s="53" t="s">
        <v>159</v>
      </c>
      <c r="J73" s="53" t="s">
        <v>38</v>
      </c>
      <c r="K73" s="53" t="s">
        <v>161</v>
      </c>
      <c r="L73" s="53">
        <v>3</v>
      </c>
      <c r="M73" s="76"/>
      <c r="N73" s="53">
        <v>1</v>
      </c>
      <c r="O73" s="53">
        <v>0.8</v>
      </c>
      <c r="P73" s="53">
        <v>0.75</v>
      </c>
      <c r="Q73" s="16">
        <f t="shared" si="3"/>
        <v>0.77500000000000002</v>
      </c>
      <c r="R73" s="53">
        <v>14.2</v>
      </c>
      <c r="S73" s="53">
        <v>120</v>
      </c>
      <c r="T73" s="38">
        <f t="shared" si="4"/>
        <v>30</v>
      </c>
      <c r="U73" s="53">
        <v>105</v>
      </c>
      <c r="V73" s="38">
        <f t="shared" si="5"/>
        <v>3150</v>
      </c>
      <c r="W73" s="53">
        <v>3</v>
      </c>
      <c r="X73" s="53" t="s">
        <v>46</v>
      </c>
      <c r="Y73" s="53" t="s">
        <v>69</v>
      </c>
      <c r="Z73" s="53" t="s">
        <v>78</v>
      </c>
      <c r="AA73" s="53" t="s">
        <v>55</v>
      </c>
      <c r="AB73" s="53" t="s">
        <v>158</v>
      </c>
      <c r="AC73" s="76"/>
      <c r="AD73" s="76"/>
      <c r="AE73" s="76"/>
      <c r="AF73" s="76"/>
      <c r="AG73" s="76"/>
      <c r="AH73" s="76"/>
    </row>
    <row r="74" spans="1:34" x14ac:dyDescent="0.15">
      <c r="A74" s="53" t="s">
        <v>41</v>
      </c>
      <c r="B74" s="53" t="s">
        <v>157</v>
      </c>
      <c r="C74" s="62">
        <v>2019</v>
      </c>
      <c r="D74" s="63" t="s">
        <v>188</v>
      </c>
      <c r="E74" s="53" t="s">
        <v>199</v>
      </c>
      <c r="F74" s="53" t="s">
        <v>196</v>
      </c>
      <c r="G74" s="53" t="s">
        <v>42</v>
      </c>
      <c r="H74" s="53" t="s">
        <v>164</v>
      </c>
      <c r="I74" s="53" t="s">
        <v>159</v>
      </c>
      <c r="J74" s="53" t="s">
        <v>38</v>
      </c>
      <c r="K74" s="53" t="s">
        <v>161</v>
      </c>
      <c r="L74" s="53">
        <v>1</v>
      </c>
      <c r="N74" s="53">
        <v>7</v>
      </c>
      <c r="O74" s="53">
        <v>0.7</v>
      </c>
      <c r="P74" s="53">
        <v>0.7</v>
      </c>
      <c r="Q74" s="16">
        <f t="shared" si="3"/>
        <v>0.7</v>
      </c>
      <c r="R74" s="53">
        <v>14</v>
      </c>
      <c r="S74" s="53">
        <v>95</v>
      </c>
      <c r="T74" s="38">
        <f t="shared" si="4"/>
        <v>36</v>
      </c>
      <c r="U74" s="53">
        <v>429</v>
      </c>
      <c r="V74" s="16">
        <f t="shared" si="5"/>
        <v>2206.2857142857142</v>
      </c>
      <c r="W74" s="53">
        <v>1</v>
      </c>
      <c r="X74" s="53" t="s">
        <v>46</v>
      </c>
      <c r="Y74" s="53" t="s">
        <v>69</v>
      </c>
      <c r="Z74" s="53" t="s">
        <v>78</v>
      </c>
      <c r="AA74" s="53" t="s">
        <v>55</v>
      </c>
      <c r="AB74" s="53" t="s">
        <v>158</v>
      </c>
      <c r="AC74" s="76"/>
      <c r="AD74" s="76"/>
      <c r="AE74" s="76"/>
      <c r="AF74" s="76"/>
      <c r="AG74" s="76"/>
      <c r="AH74" s="76"/>
    </row>
    <row r="75" spans="1:34" x14ac:dyDescent="0.15">
      <c r="A75" s="53" t="s">
        <v>41</v>
      </c>
      <c r="B75" s="53" t="s">
        <v>157</v>
      </c>
      <c r="C75" s="62">
        <v>2019</v>
      </c>
      <c r="D75" s="63" t="s">
        <v>188</v>
      </c>
      <c r="E75" s="53" t="s">
        <v>199</v>
      </c>
      <c r="F75" s="53" t="s">
        <v>196</v>
      </c>
      <c r="G75" s="53" t="s">
        <v>42</v>
      </c>
      <c r="H75" s="53" t="s">
        <v>164</v>
      </c>
      <c r="I75" s="53" t="s">
        <v>159</v>
      </c>
      <c r="J75" s="53" t="s">
        <v>38</v>
      </c>
      <c r="K75" s="53" t="s">
        <v>161</v>
      </c>
      <c r="L75" s="53">
        <v>2</v>
      </c>
      <c r="M75" s="76"/>
      <c r="N75" s="53">
        <v>7</v>
      </c>
      <c r="O75" s="53">
        <v>0.8</v>
      </c>
      <c r="P75" s="53">
        <v>0.85</v>
      </c>
      <c r="Q75" s="16">
        <f t="shared" si="3"/>
        <v>0.82499999999999996</v>
      </c>
      <c r="R75" s="53">
        <v>11.2</v>
      </c>
      <c r="S75" s="53">
        <v>98</v>
      </c>
      <c r="T75" s="38">
        <f t="shared" si="4"/>
        <v>36</v>
      </c>
      <c r="U75" s="53">
        <v>429</v>
      </c>
      <c r="V75" s="16">
        <f t="shared" si="5"/>
        <v>2206.2857142857142</v>
      </c>
      <c r="W75" s="53">
        <v>1</v>
      </c>
      <c r="X75" s="53" t="s">
        <v>46</v>
      </c>
      <c r="Y75" s="53" t="s">
        <v>69</v>
      </c>
      <c r="Z75" s="53" t="s">
        <v>78</v>
      </c>
      <c r="AA75" s="53" t="s">
        <v>55</v>
      </c>
      <c r="AB75" s="53" t="s">
        <v>158</v>
      </c>
      <c r="AC75" s="76"/>
      <c r="AD75" s="76"/>
      <c r="AE75" s="76"/>
      <c r="AF75" s="76"/>
      <c r="AG75" s="76"/>
      <c r="AH75" s="76"/>
    </row>
    <row r="76" spans="1:34" x14ac:dyDescent="0.15">
      <c r="A76" s="53" t="s">
        <v>41</v>
      </c>
      <c r="B76" s="53" t="s">
        <v>157</v>
      </c>
      <c r="C76" s="62">
        <v>2019</v>
      </c>
      <c r="D76" s="63" t="s">
        <v>188</v>
      </c>
      <c r="E76" s="53" t="s">
        <v>199</v>
      </c>
      <c r="F76" s="53" t="s">
        <v>196</v>
      </c>
      <c r="G76" s="53" t="s">
        <v>42</v>
      </c>
      <c r="H76" s="53" t="s">
        <v>164</v>
      </c>
      <c r="I76" s="53" t="s">
        <v>159</v>
      </c>
      <c r="J76" s="53" t="s">
        <v>38</v>
      </c>
      <c r="K76" s="53" t="s">
        <v>161</v>
      </c>
      <c r="L76" s="53">
        <v>3</v>
      </c>
      <c r="M76" s="76"/>
      <c r="N76" s="53">
        <v>7</v>
      </c>
      <c r="O76" s="53">
        <v>0.6</v>
      </c>
      <c r="P76" s="53">
        <v>0.6</v>
      </c>
      <c r="Q76" s="16">
        <f t="shared" si="3"/>
        <v>0.6</v>
      </c>
      <c r="R76" s="53">
        <v>11.8</v>
      </c>
      <c r="S76" s="53">
        <v>95</v>
      </c>
      <c r="T76" s="38">
        <f t="shared" si="4"/>
        <v>36</v>
      </c>
      <c r="U76" s="53">
        <v>429</v>
      </c>
      <c r="V76" s="38">
        <f t="shared" si="5"/>
        <v>2206.2857142857142</v>
      </c>
      <c r="W76" s="53">
        <v>1</v>
      </c>
      <c r="X76" s="53" t="s">
        <v>46</v>
      </c>
      <c r="Y76" s="53" t="s">
        <v>69</v>
      </c>
      <c r="Z76" s="53" t="s">
        <v>78</v>
      </c>
      <c r="AA76" s="53" t="s">
        <v>55</v>
      </c>
      <c r="AB76" s="53" t="s">
        <v>158</v>
      </c>
      <c r="AC76" s="76"/>
      <c r="AD76" s="76"/>
      <c r="AE76" s="76"/>
      <c r="AF76" s="76"/>
      <c r="AG76" s="76"/>
      <c r="AH76" s="76"/>
    </row>
    <row r="77" spans="1:34" x14ac:dyDescent="0.15">
      <c r="A77" s="53" t="s">
        <v>41</v>
      </c>
      <c r="B77" s="53" t="s">
        <v>157</v>
      </c>
      <c r="C77" s="62">
        <v>2019</v>
      </c>
      <c r="D77" s="63" t="s">
        <v>188</v>
      </c>
      <c r="E77" s="53" t="s">
        <v>202</v>
      </c>
      <c r="F77" s="53" t="s">
        <v>203</v>
      </c>
      <c r="G77" s="53" t="s">
        <v>42</v>
      </c>
      <c r="H77" s="53" t="s">
        <v>160</v>
      </c>
      <c r="I77" s="53" t="s">
        <v>159</v>
      </c>
      <c r="J77" s="53" t="s">
        <v>38</v>
      </c>
      <c r="K77" s="53" t="s">
        <v>161</v>
      </c>
      <c r="L77" s="53">
        <v>1</v>
      </c>
      <c r="N77" s="53">
        <v>1</v>
      </c>
      <c r="O77" s="53">
        <v>0.8</v>
      </c>
      <c r="P77" s="53">
        <v>1</v>
      </c>
      <c r="Q77" s="75">
        <f t="shared" si="3"/>
        <v>0.9</v>
      </c>
      <c r="R77" s="53">
        <v>13.2</v>
      </c>
      <c r="S77" s="53">
        <v>128</v>
      </c>
      <c r="T77" s="16">
        <f t="shared" si="4"/>
        <v>27</v>
      </c>
      <c r="U77" s="53">
        <v>138</v>
      </c>
      <c r="V77" s="16">
        <f t="shared" si="5"/>
        <v>3726</v>
      </c>
      <c r="W77" s="53">
        <v>3</v>
      </c>
      <c r="X77" s="53" t="s">
        <v>46</v>
      </c>
      <c r="Y77" s="53" t="s">
        <v>78</v>
      </c>
      <c r="Z77" s="53" t="s">
        <v>69</v>
      </c>
      <c r="AA77" s="53" t="s">
        <v>102</v>
      </c>
      <c r="AB77" s="53" t="s">
        <v>158</v>
      </c>
      <c r="AC77" s="76"/>
      <c r="AD77" s="76"/>
      <c r="AE77" s="76"/>
      <c r="AF77" s="76"/>
      <c r="AG77" s="76"/>
      <c r="AH77" s="76"/>
    </row>
    <row r="78" spans="1:34" x14ac:dyDescent="0.15">
      <c r="A78" s="53" t="s">
        <v>41</v>
      </c>
      <c r="B78" s="53" t="s">
        <v>157</v>
      </c>
      <c r="C78" s="62">
        <v>2019</v>
      </c>
      <c r="D78" s="63" t="s">
        <v>188</v>
      </c>
      <c r="E78" s="53" t="s">
        <v>202</v>
      </c>
      <c r="F78" s="53" t="s">
        <v>203</v>
      </c>
      <c r="G78" s="53" t="s">
        <v>42</v>
      </c>
      <c r="H78" s="53" t="s">
        <v>160</v>
      </c>
      <c r="I78" s="53" t="s">
        <v>159</v>
      </c>
      <c r="J78" s="53" t="s">
        <v>38</v>
      </c>
      <c r="K78" s="53" t="s">
        <v>161</v>
      </c>
      <c r="L78" s="53">
        <v>2</v>
      </c>
      <c r="N78" s="53">
        <v>1</v>
      </c>
      <c r="O78" s="53">
        <v>0.75</v>
      </c>
      <c r="P78" s="53">
        <v>0.85</v>
      </c>
      <c r="Q78" s="75">
        <f t="shared" si="3"/>
        <v>0.8</v>
      </c>
      <c r="R78" s="53">
        <v>14.4</v>
      </c>
      <c r="S78" s="53">
        <v>125</v>
      </c>
      <c r="T78" s="16">
        <f t="shared" si="4"/>
        <v>27</v>
      </c>
      <c r="U78" s="53">
        <v>138</v>
      </c>
      <c r="V78" s="16">
        <f t="shared" si="5"/>
        <v>3726</v>
      </c>
      <c r="W78" s="53">
        <v>3</v>
      </c>
      <c r="X78" s="53" t="s">
        <v>46</v>
      </c>
      <c r="Y78" s="53" t="s">
        <v>78</v>
      </c>
      <c r="Z78" s="53" t="s">
        <v>69</v>
      </c>
      <c r="AA78" s="53" t="s">
        <v>102</v>
      </c>
      <c r="AB78" s="53" t="s">
        <v>158</v>
      </c>
      <c r="AC78" s="76"/>
      <c r="AD78" s="76"/>
      <c r="AE78" s="76"/>
      <c r="AF78" s="76"/>
      <c r="AG78" s="76"/>
      <c r="AH78" s="76"/>
    </row>
    <row r="79" spans="1:34" x14ac:dyDescent="0.15">
      <c r="A79" s="53" t="s">
        <v>41</v>
      </c>
      <c r="B79" s="53" t="s">
        <v>157</v>
      </c>
      <c r="C79" s="62">
        <v>2019</v>
      </c>
      <c r="D79" s="63" t="s">
        <v>188</v>
      </c>
      <c r="E79" s="53" t="s">
        <v>202</v>
      </c>
      <c r="F79" s="53" t="s">
        <v>203</v>
      </c>
      <c r="G79" s="53" t="s">
        <v>42</v>
      </c>
      <c r="H79" s="53" t="s">
        <v>160</v>
      </c>
      <c r="I79" s="53" t="s">
        <v>159</v>
      </c>
      <c r="J79" s="53" t="s">
        <v>38</v>
      </c>
      <c r="K79" s="53" t="s">
        <v>161</v>
      </c>
      <c r="L79" s="53">
        <v>3</v>
      </c>
      <c r="N79" s="53">
        <v>1</v>
      </c>
      <c r="O79" s="53">
        <v>0.65</v>
      </c>
      <c r="P79" s="53">
        <v>0.7</v>
      </c>
      <c r="Q79" s="75">
        <f t="shared" si="3"/>
        <v>0.67500000000000004</v>
      </c>
      <c r="R79" s="53">
        <v>15.4</v>
      </c>
      <c r="S79" s="53">
        <v>127</v>
      </c>
      <c r="T79" s="16">
        <f t="shared" si="4"/>
        <v>27</v>
      </c>
      <c r="U79" s="53">
        <v>138</v>
      </c>
      <c r="V79" s="16">
        <f t="shared" si="5"/>
        <v>3726</v>
      </c>
      <c r="W79" s="53">
        <v>3</v>
      </c>
      <c r="X79" s="53" t="s">
        <v>46</v>
      </c>
      <c r="Y79" s="53" t="s">
        <v>78</v>
      </c>
      <c r="Z79" s="53" t="s">
        <v>69</v>
      </c>
      <c r="AA79" s="53" t="s">
        <v>102</v>
      </c>
      <c r="AB79" s="53" t="s">
        <v>158</v>
      </c>
      <c r="AC79" s="76"/>
      <c r="AD79" s="76"/>
      <c r="AE79" s="76"/>
      <c r="AF79" s="76"/>
      <c r="AG79" s="76"/>
      <c r="AH79" s="76"/>
    </row>
    <row r="80" spans="1:34" x14ac:dyDescent="0.15">
      <c r="A80" s="53" t="s">
        <v>41</v>
      </c>
      <c r="B80" s="53" t="s">
        <v>157</v>
      </c>
      <c r="C80" s="62">
        <v>2019</v>
      </c>
      <c r="D80" s="63" t="s">
        <v>188</v>
      </c>
      <c r="E80" s="53" t="s">
        <v>202</v>
      </c>
      <c r="F80" s="53" t="s">
        <v>203</v>
      </c>
      <c r="G80" s="53" t="s">
        <v>42</v>
      </c>
      <c r="H80" s="53" t="s">
        <v>160</v>
      </c>
      <c r="I80" s="53" t="s">
        <v>159</v>
      </c>
      <c r="J80" s="53" t="s">
        <v>38</v>
      </c>
      <c r="K80" s="53" t="s">
        <v>161</v>
      </c>
      <c r="L80" s="53">
        <v>1</v>
      </c>
      <c r="N80" s="53">
        <v>3</v>
      </c>
      <c r="O80" s="53">
        <v>0.25</v>
      </c>
      <c r="P80" s="53">
        <v>0.25</v>
      </c>
      <c r="Q80" s="75">
        <f t="shared" si="3"/>
        <v>0.25</v>
      </c>
      <c r="R80" s="53">
        <v>14.7</v>
      </c>
      <c r="S80" s="53">
        <v>160</v>
      </c>
      <c r="T80" s="16">
        <f t="shared" si="4"/>
        <v>22</v>
      </c>
      <c r="U80" s="53">
        <v>429</v>
      </c>
      <c r="V80" s="16">
        <f t="shared" si="5"/>
        <v>3146</v>
      </c>
      <c r="W80" s="53">
        <v>1</v>
      </c>
      <c r="X80" s="53" t="s">
        <v>46</v>
      </c>
      <c r="Y80" s="53" t="s">
        <v>78</v>
      </c>
      <c r="Z80" s="53" t="s">
        <v>69</v>
      </c>
      <c r="AA80" s="53" t="s">
        <v>102</v>
      </c>
      <c r="AB80" s="53" t="s">
        <v>158</v>
      </c>
      <c r="AC80" s="76"/>
      <c r="AD80" s="76"/>
      <c r="AE80" s="76"/>
      <c r="AF80" s="76"/>
      <c r="AG80" s="76"/>
      <c r="AH80" s="76"/>
    </row>
    <row r="81" spans="1:34" x14ac:dyDescent="0.15">
      <c r="A81" s="53" t="s">
        <v>41</v>
      </c>
      <c r="B81" s="53" t="s">
        <v>157</v>
      </c>
      <c r="C81" s="62">
        <v>2019</v>
      </c>
      <c r="D81" s="63" t="s">
        <v>188</v>
      </c>
      <c r="E81" s="53" t="s">
        <v>202</v>
      </c>
      <c r="F81" s="53" t="s">
        <v>203</v>
      </c>
      <c r="G81" s="53" t="s">
        <v>42</v>
      </c>
      <c r="H81" s="53" t="s">
        <v>160</v>
      </c>
      <c r="I81" s="53" t="s">
        <v>159</v>
      </c>
      <c r="J81" s="53" t="s">
        <v>38</v>
      </c>
      <c r="K81" s="53" t="s">
        <v>161</v>
      </c>
      <c r="L81" s="53">
        <v>2</v>
      </c>
      <c r="M81" s="76"/>
      <c r="N81" s="53">
        <v>3</v>
      </c>
      <c r="O81" s="53">
        <v>0.3</v>
      </c>
      <c r="P81" s="53">
        <v>0.35</v>
      </c>
      <c r="Q81" s="75">
        <f t="shared" si="3"/>
        <v>0.32499999999999996</v>
      </c>
      <c r="R81" s="53">
        <v>12.2</v>
      </c>
      <c r="S81" s="53">
        <v>158</v>
      </c>
      <c r="T81" s="16">
        <f t="shared" si="4"/>
        <v>22</v>
      </c>
      <c r="U81" s="53">
        <v>429</v>
      </c>
      <c r="V81" s="16">
        <f t="shared" si="5"/>
        <v>3146</v>
      </c>
      <c r="W81" s="53">
        <v>1</v>
      </c>
      <c r="X81" s="53" t="s">
        <v>46</v>
      </c>
      <c r="Y81" s="53" t="s">
        <v>78</v>
      </c>
      <c r="Z81" s="53" t="s">
        <v>69</v>
      </c>
      <c r="AA81" s="53" t="s">
        <v>102</v>
      </c>
      <c r="AB81" s="53" t="s">
        <v>158</v>
      </c>
      <c r="AC81" s="76"/>
      <c r="AD81" s="76"/>
      <c r="AE81" s="76"/>
      <c r="AF81" s="76"/>
      <c r="AG81" s="76"/>
      <c r="AH81" s="76"/>
    </row>
    <row r="82" spans="1:34" x14ac:dyDescent="0.15">
      <c r="A82" s="53" t="s">
        <v>41</v>
      </c>
      <c r="B82" s="53" t="s">
        <v>157</v>
      </c>
      <c r="C82" s="62">
        <v>2019</v>
      </c>
      <c r="D82" s="63" t="s">
        <v>188</v>
      </c>
      <c r="E82" s="53" t="s">
        <v>202</v>
      </c>
      <c r="F82" s="53" t="s">
        <v>203</v>
      </c>
      <c r="G82" s="53" t="s">
        <v>42</v>
      </c>
      <c r="H82" s="53" t="s">
        <v>160</v>
      </c>
      <c r="I82" s="53" t="s">
        <v>159</v>
      </c>
      <c r="J82" s="53" t="s">
        <v>38</v>
      </c>
      <c r="K82" s="53" t="s">
        <v>161</v>
      </c>
      <c r="L82" s="53">
        <v>3</v>
      </c>
      <c r="M82" s="76"/>
      <c r="N82" s="53">
        <v>3</v>
      </c>
      <c r="O82" s="53">
        <v>0.25</v>
      </c>
      <c r="P82" s="53">
        <v>0.25</v>
      </c>
      <c r="Q82" s="72">
        <f t="shared" si="3"/>
        <v>0.25</v>
      </c>
      <c r="R82" s="53">
        <v>16.5</v>
      </c>
      <c r="S82" s="53">
        <v>165</v>
      </c>
      <c r="T82" s="38">
        <f t="shared" si="4"/>
        <v>22</v>
      </c>
      <c r="U82" s="53">
        <v>429</v>
      </c>
      <c r="V82" s="16">
        <f t="shared" si="5"/>
        <v>3146</v>
      </c>
      <c r="W82" s="53">
        <v>1</v>
      </c>
      <c r="X82" s="53" t="s">
        <v>46</v>
      </c>
      <c r="Y82" s="53" t="s">
        <v>78</v>
      </c>
      <c r="Z82" s="53" t="s">
        <v>69</v>
      </c>
      <c r="AA82" s="53" t="s">
        <v>102</v>
      </c>
      <c r="AB82" s="53" t="s">
        <v>158</v>
      </c>
      <c r="AC82" s="76"/>
      <c r="AD82" s="76"/>
      <c r="AE82" s="76"/>
      <c r="AF82" s="76"/>
      <c r="AG82" s="76"/>
      <c r="AH82" s="76"/>
    </row>
    <row r="83" spans="1:34" x14ac:dyDescent="0.15">
      <c r="A83" s="53" t="s">
        <v>41</v>
      </c>
      <c r="B83" s="53" t="s">
        <v>157</v>
      </c>
      <c r="C83" s="62">
        <v>2019</v>
      </c>
      <c r="D83" s="63" t="s">
        <v>188</v>
      </c>
      <c r="E83" s="53" t="s">
        <v>202</v>
      </c>
      <c r="F83" s="53" t="s">
        <v>203</v>
      </c>
      <c r="G83" s="53" t="s">
        <v>42</v>
      </c>
      <c r="H83" s="53" t="s">
        <v>160</v>
      </c>
      <c r="I83" s="53" t="s">
        <v>159</v>
      </c>
      <c r="J83" s="53" t="s">
        <v>38</v>
      </c>
      <c r="K83" s="53" t="s">
        <v>161</v>
      </c>
      <c r="L83" s="53">
        <v>1</v>
      </c>
      <c r="N83" s="53">
        <v>6</v>
      </c>
      <c r="O83" s="53">
        <v>0.65</v>
      </c>
      <c r="P83" s="53">
        <v>0.75</v>
      </c>
      <c r="Q83" s="72">
        <f t="shared" si="3"/>
        <v>0.7</v>
      </c>
      <c r="R83" s="53">
        <v>13.3</v>
      </c>
      <c r="S83" s="53">
        <v>120</v>
      </c>
      <c r="T83" s="38">
        <f t="shared" si="4"/>
        <v>30</v>
      </c>
      <c r="U83" s="53">
        <v>734</v>
      </c>
      <c r="V83" s="38">
        <f t="shared" si="5"/>
        <v>3670</v>
      </c>
      <c r="W83" s="53">
        <v>1</v>
      </c>
      <c r="X83" s="53" t="s">
        <v>46</v>
      </c>
      <c r="Y83" s="53" t="s">
        <v>78</v>
      </c>
      <c r="Z83" s="53" t="s">
        <v>69</v>
      </c>
      <c r="AA83" s="53" t="s">
        <v>102</v>
      </c>
      <c r="AB83" s="53" t="s">
        <v>158</v>
      </c>
      <c r="AC83" s="76"/>
      <c r="AD83" s="76"/>
      <c r="AE83" s="76"/>
      <c r="AF83" s="76"/>
      <c r="AG83" s="76"/>
      <c r="AH83" s="76"/>
    </row>
    <row r="84" spans="1:34" x14ac:dyDescent="0.15">
      <c r="A84" s="53" t="s">
        <v>41</v>
      </c>
      <c r="B84" s="53" t="s">
        <v>157</v>
      </c>
      <c r="C84" s="62">
        <v>2019</v>
      </c>
      <c r="D84" s="63" t="s">
        <v>188</v>
      </c>
      <c r="E84" s="53" t="s">
        <v>202</v>
      </c>
      <c r="F84" s="53" t="s">
        <v>203</v>
      </c>
      <c r="G84" s="53" t="s">
        <v>42</v>
      </c>
      <c r="H84" s="53" t="s">
        <v>160</v>
      </c>
      <c r="I84" s="53" t="s">
        <v>159</v>
      </c>
      <c r="J84" s="53" t="s">
        <v>38</v>
      </c>
      <c r="K84" s="53" t="s">
        <v>161</v>
      </c>
      <c r="L84" s="53">
        <v>2</v>
      </c>
      <c r="N84" s="53">
        <v>6</v>
      </c>
      <c r="O84" s="53">
        <v>0.5</v>
      </c>
      <c r="P84" s="53">
        <v>0.65</v>
      </c>
      <c r="Q84" s="72">
        <f t="shared" si="3"/>
        <v>0.57499999999999996</v>
      </c>
      <c r="R84" s="53">
        <v>13.7</v>
      </c>
      <c r="S84" s="53">
        <v>118</v>
      </c>
      <c r="T84" s="38">
        <f t="shared" si="4"/>
        <v>30</v>
      </c>
      <c r="U84" s="53">
        <v>734</v>
      </c>
      <c r="V84" s="38">
        <f t="shared" si="5"/>
        <v>3670</v>
      </c>
      <c r="W84" s="53">
        <v>1</v>
      </c>
      <c r="X84" s="53" t="s">
        <v>46</v>
      </c>
      <c r="Y84" s="53" t="s">
        <v>78</v>
      </c>
      <c r="Z84" s="53" t="s">
        <v>69</v>
      </c>
      <c r="AA84" s="53" t="s">
        <v>102</v>
      </c>
      <c r="AB84" s="53" t="s">
        <v>158</v>
      </c>
      <c r="AC84" s="76"/>
      <c r="AD84" s="76"/>
      <c r="AE84" s="76"/>
      <c r="AF84" s="76"/>
      <c r="AG84" s="76"/>
      <c r="AH84" s="76"/>
    </row>
    <row r="85" spans="1:34" x14ac:dyDescent="0.15">
      <c r="A85" s="53" t="s">
        <v>41</v>
      </c>
      <c r="B85" s="53" t="s">
        <v>157</v>
      </c>
      <c r="C85" s="62">
        <v>2019</v>
      </c>
      <c r="D85" s="63" t="s">
        <v>188</v>
      </c>
      <c r="E85" s="53" t="s">
        <v>202</v>
      </c>
      <c r="F85" s="53" t="s">
        <v>203</v>
      </c>
      <c r="G85" s="53" t="s">
        <v>42</v>
      </c>
      <c r="H85" s="53" t="s">
        <v>160</v>
      </c>
      <c r="I85" s="53" t="s">
        <v>159</v>
      </c>
      <c r="J85" s="53" t="s">
        <v>38</v>
      </c>
      <c r="K85" s="53" t="s">
        <v>161</v>
      </c>
      <c r="L85" s="53">
        <v>3</v>
      </c>
      <c r="N85" s="53">
        <v>6</v>
      </c>
      <c r="O85" s="53">
        <v>0.7</v>
      </c>
      <c r="P85" s="53">
        <v>0.75</v>
      </c>
      <c r="Q85" s="72">
        <f t="shared" si="3"/>
        <v>0.72499999999999998</v>
      </c>
      <c r="R85" s="53">
        <v>15.1</v>
      </c>
      <c r="S85" s="53">
        <v>120</v>
      </c>
      <c r="T85" s="38">
        <f t="shared" si="4"/>
        <v>30</v>
      </c>
      <c r="U85" s="53">
        <v>734</v>
      </c>
      <c r="V85" s="38">
        <f t="shared" si="5"/>
        <v>3670</v>
      </c>
      <c r="W85" s="53">
        <v>1</v>
      </c>
      <c r="X85" s="53" t="s">
        <v>46</v>
      </c>
      <c r="Y85" s="53" t="s">
        <v>78</v>
      </c>
      <c r="Z85" s="53" t="s">
        <v>69</v>
      </c>
      <c r="AA85" s="53" t="s">
        <v>102</v>
      </c>
      <c r="AB85" s="53" t="s">
        <v>158</v>
      </c>
      <c r="AC85" s="76"/>
      <c r="AD85" s="76"/>
      <c r="AE85" s="76"/>
      <c r="AF85" s="76"/>
      <c r="AG85" s="76"/>
      <c r="AH85" s="76"/>
    </row>
    <row r="86" spans="1:34" x14ac:dyDescent="0.15">
      <c r="A86" s="53" t="s">
        <v>41</v>
      </c>
      <c r="B86" s="53" t="s">
        <v>157</v>
      </c>
      <c r="C86" s="62">
        <v>2019</v>
      </c>
      <c r="D86" s="63" t="s">
        <v>188</v>
      </c>
      <c r="E86" s="53" t="s">
        <v>202</v>
      </c>
      <c r="F86" s="53" t="s">
        <v>203</v>
      </c>
      <c r="G86" s="53" t="s">
        <v>42</v>
      </c>
      <c r="H86" s="53" t="s">
        <v>164</v>
      </c>
      <c r="I86" s="53" t="s">
        <v>159</v>
      </c>
      <c r="J86" s="53" t="s">
        <v>38</v>
      </c>
      <c r="K86" s="53" t="s">
        <v>161</v>
      </c>
      <c r="L86" s="53">
        <v>1</v>
      </c>
      <c r="N86" s="53">
        <v>1</v>
      </c>
      <c r="O86" s="53">
        <v>1.2</v>
      </c>
      <c r="P86" s="53">
        <v>1.3</v>
      </c>
      <c r="Q86" s="75">
        <f t="shared" si="3"/>
        <v>1.25</v>
      </c>
      <c r="R86" s="53">
        <v>12.9</v>
      </c>
      <c r="S86" s="53">
        <v>126</v>
      </c>
      <c r="T86" s="16">
        <f t="shared" si="4"/>
        <v>27</v>
      </c>
      <c r="U86" s="53">
        <v>84</v>
      </c>
      <c r="V86" s="16">
        <f t="shared" si="5"/>
        <v>2268</v>
      </c>
      <c r="W86" s="53">
        <v>3</v>
      </c>
      <c r="X86" s="53" t="s">
        <v>46</v>
      </c>
      <c r="Y86" s="53" t="s">
        <v>78</v>
      </c>
      <c r="Z86" s="53" t="s">
        <v>69</v>
      </c>
      <c r="AA86" s="53" t="s">
        <v>102</v>
      </c>
      <c r="AB86" s="53" t="s">
        <v>158</v>
      </c>
      <c r="AC86" s="76"/>
      <c r="AD86" s="76"/>
      <c r="AE86" s="76"/>
      <c r="AF86" s="76"/>
      <c r="AG86" s="76"/>
      <c r="AH86" s="76"/>
    </row>
    <row r="87" spans="1:34" x14ac:dyDescent="0.15">
      <c r="A87" s="53" t="s">
        <v>41</v>
      </c>
      <c r="B87" s="53" t="s">
        <v>157</v>
      </c>
      <c r="C87" s="62">
        <v>2019</v>
      </c>
      <c r="D87" s="63" t="s">
        <v>188</v>
      </c>
      <c r="E87" s="53" t="s">
        <v>202</v>
      </c>
      <c r="F87" s="53" t="s">
        <v>203</v>
      </c>
      <c r="G87" s="53" t="s">
        <v>42</v>
      </c>
      <c r="H87" s="53" t="s">
        <v>164</v>
      </c>
      <c r="I87" s="53" t="s">
        <v>159</v>
      </c>
      <c r="J87" s="53" t="s">
        <v>38</v>
      </c>
      <c r="K87" s="53" t="s">
        <v>161</v>
      </c>
      <c r="L87" s="53">
        <v>2</v>
      </c>
      <c r="N87" s="53">
        <v>1</v>
      </c>
      <c r="O87" s="53">
        <v>1</v>
      </c>
      <c r="P87" s="53">
        <v>1.2</v>
      </c>
      <c r="Q87" s="75">
        <f t="shared" si="3"/>
        <v>1.1000000000000001</v>
      </c>
      <c r="R87" s="53">
        <v>13</v>
      </c>
      <c r="S87" s="53">
        <v>125</v>
      </c>
      <c r="T87" s="16">
        <f t="shared" si="4"/>
        <v>27</v>
      </c>
      <c r="U87" s="53">
        <v>84</v>
      </c>
      <c r="V87" s="16">
        <f t="shared" si="5"/>
        <v>2268</v>
      </c>
      <c r="W87" s="53">
        <v>3</v>
      </c>
      <c r="X87" s="53" t="s">
        <v>46</v>
      </c>
      <c r="Y87" s="53" t="s">
        <v>78</v>
      </c>
      <c r="Z87" s="53" t="s">
        <v>69</v>
      </c>
      <c r="AA87" s="53" t="s">
        <v>102</v>
      </c>
      <c r="AB87" s="53" t="s">
        <v>158</v>
      </c>
      <c r="AC87" s="76"/>
      <c r="AD87" s="76"/>
      <c r="AE87" s="76"/>
      <c r="AF87" s="76"/>
      <c r="AG87" s="76"/>
      <c r="AH87" s="76"/>
    </row>
    <row r="88" spans="1:34" x14ac:dyDescent="0.15">
      <c r="A88" s="53" t="s">
        <v>41</v>
      </c>
      <c r="B88" s="53" t="s">
        <v>157</v>
      </c>
      <c r="C88" s="62">
        <v>2019</v>
      </c>
      <c r="D88" s="63" t="s">
        <v>188</v>
      </c>
      <c r="E88" s="53" t="s">
        <v>202</v>
      </c>
      <c r="F88" s="53" t="s">
        <v>203</v>
      </c>
      <c r="G88" s="53" t="s">
        <v>42</v>
      </c>
      <c r="H88" s="53" t="s">
        <v>164</v>
      </c>
      <c r="I88" s="53" t="s">
        <v>159</v>
      </c>
      <c r="J88" s="53" t="s">
        <v>38</v>
      </c>
      <c r="K88" s="53" t="s">
        <v>161</v>
      </c>
      <c r="L88" s="53">
        <v>3</v>
      </c>
      <c r="N88" s="53">
        <v>1</v>
      </c>
      <c r="O88" s="53">
        <v>0.95</v>
      </c>
      <c r="P88" s="53">
        <v>1</v>
      </c>
      <c r="Q88" s="75">
        <f t="shared" si="3"/>
        <v>0.97499999999999998</v>
      </c>
      <c r="R88" s="53">
        <v>12.8</v>
      </c>
      <c r="S88" s="53">
        <v>127</v>
      </c>
      <c r="T88" s="16">
        <f t="shared" si="4"/>
        <v>27</v>
      </c>
      <c r="U88" s="53">
        <v>84</v>
      </c>
      <c r="V88" s="16">
        <f t="shared" si="5"/>
        <v>2268</v>
      </c>
      <c r="W88" s="53">
        <v>3</v>
      </c>
      <c r="X88" s="53" t="s">
        <v>46</v>
      </c>
      <c r="Y88" s="53" t="s">
        <v>78</v>
      </c>
      <c r="Z88" s="53" t="s">
        <v>69</v>
      </c>
      <c r="AA88" s="53" t="s">
        <v>102</v>
      </c>
      <c r="AB88" s="53" t="s">
        <v>158</v>
      </c>
      <c r="AC88" s="76"/>
      <c r="AD88" s="76"/>
      <c r="AE88" s="76"/>
      <c r="AF88" s="76"/>
      <c r="AG88" s="76"/>
      <c r="AH88" s="76"/>
    </row>
    <row r="89" spans="1:34" x14ac:dyDescent="0.15">
      <c r="A89" s="53" t="s">
        <v>41</v>
      </c>
      <c r="B89" s="53" t="s">
        <v>157</v>
      </c>
      <c r="C89" s="62">
        <v>2019</v>
      </c>
      <c r="D89" s="63" t="s">
        <v>188</v>
      </c>
      <c r="E89" s="53" t="s">
        <v>202</v>
      </c>
      <c r="F89" s="53" t="s">
        <v>203</v>
      </c>
      <c r="G89" s="53" t="s">
        <v>42</v>
      </c>
      <c r="H89" s="53" t="s">
        <v>164</v>
      </c>
      <c r="I89" s="53" t="s">
        <v>159</v>
      </c>
      <c r="J89" s="53" t="s">
        <v>38</v>
      </c>
      <c r="K89" s="53" t="s">
        <v>161</v>
      </c>
      <c r="L89" s="53">
        <v>1</v>
      </c>
      <c r="N89" s="53">
        <v>8</v>
      </c>
      <c r="O89" s="53">
        <v>1.25</v>
      </c>
      <c r="P89" s="53">
        <v>1.3</v>
      </c>
      <c r="Q89" s="75">
        <f t="shared" si="3"/>
        <v>1.2749999999999999</v>
      </c>
      <c r="R89" s="53">
        <v>13.6</v>
      </c>
      <c r="S89" s="53">
        <v>105</v>
      </c>
      <c r="T89" s="16">
        <f t="shared" si="4"/>
        <v>33</v>
      </c>
      <c r="U89" s="53">
        <v>627</v>
      </c>
      <c r="V89" s="16">
        <f t="shared" si="5"/>
        <v>2586.375</v>
      </c>
      <c r="W89" s="53">
        <v>1</v>
      </c>
      <c r="X89" s="53" t="s">
        <v>46</v>
      </c>
      <c r="Y89" s="53" t="s">
        <v>78</v>
      </c>
      <c r="Z89" s="53" t="s">
        <v>69</v>
      </c>
      <c r="AA89" s="53" t="s">
        <v>102</v>
      </c>
      <c r="AB89" s="53" t="s">
        <v>158</v>
      </c>
      <c r="AC89" s="76"/>
      <c r="AD89" s="76"/>
      <c r="AE89" s="76"/>
      <c r="AF89" s="76"/>
      <c r="AG89" s="76"/>
      <c r="AH89" s="76"/>
    </row>
    <row r="90" spans="1:34" x14ac:dyDescent="0.15">
      <c r="A90" s="53" t="s">
        <v>41</v>
      </c>
      <c r="B90" s="53" t="s">
        <v>157</v>
      </c>
      <c r="C90" s="62">
        <v>2019</v>
      </c>
      <c r="D90" s="63" t="s">
        <v>188</v>
      </c>
      <c r="E90" s="53" t="s">
        <v>202</v>
      </c>
      <c r="F90" s="53" t="s">
        <v>203</v>
      </c>
      <c r="G90" s="53" t="s">
        <v>42</v>
      </c>
      <c r="H90" s="53" t="s">
        <v>164</v>
      </c>
      <c r="I90" s="53" t="s">
        <v>159</v>
      </c>
      <c r="J90" s="53" t="s">
        <v>38</v>
      </c>
      <c r="K90" s="53" t="s">
        <v>161</v>
      </c>
      <c r="L90" s="53">
        <v>2</v>
      </c>
      <c r="M90" s="76"/>
      <c r="N90" s="53">
        <v>8</v>
      </c>
      <c r="O90" s="53">
        <v>1.3</v>
      </c>
      <c r="P90" s="53">
        <v>1.1499999999999999</v>
      </c>
      <c r="Q90" s="75">
        <f t="shared" si="3"/>
        <v>1.2250000000000001</v>
      </c>
      <c r="R90" s="53">
        <v>15.2</v>
      </c>
      <c r="S90" s="53">
        <v>100</v>
      </c>
      <c r="T90" s="16">
        <f t="shared" si="4"/>
        <v>33</v>
      </c>
      <c r="U90" s="53">
        <v>627</v>
      </c>
      <c r="V90" s="16">
        <f t="shared" si="5"/>
        <v>2586.375</v>
      </c>
      <c r="W90" s="53">
        <v>1</v>
      </c>
      <c r="X90" s="53" t="s">
        <v>46</v>
      </c>
      <c r="Y90" s="53" t="s">
        <v>78</v>
      </c>
      <c r="Z90" s="53" t="s">
        <v>69</v>
      </c>
      <c r="AA90" s="53" t="s">
        <v>102</v>
      </c>
      <c r="AB90" s="53" t="s">
        <v>158</v>
      </c>
      <c r="AC90" s="76"/>
      <c r="AD90" s="76"/>
      <c r="AE90" s="76"/>
      <c r="AF90" s="76"/>
      <c r="AG90" s="76"/>
      <c r="AH90" s="76"/>
    </row>
    <row r="91" spans="1:34" x14ac:dyDescent="0.15">
      <c r="A91" s="53" t="s">
        <v>41</v>
      </c>
      <c r="B91" s="53" t="s">
        <v>157</v>
      </c>
      <c r="C91" s="62">
        <v>2019</v>
      </c>
      <c r="D91" s="63" t="s">
        <v>188</v>
      </c>
      <c r="E91" s="53" t="s">
        <v>202</v>
      </c>
      <c r="F91" s="53" t="s">
        <v>203</v>
      </c>
      <c r="G91" s="53" t="s">
        <v>42</v>
      </c>
      <c r="H91" s="53" t="s">
        <v>164</v>
      </c>
      <c r="I91" s="53" t="s">
        <v>159</v>
      </c>
      <c r="J91" s="53" t="s">
        <v>38</v>
      </c>
      <c r="K91" s="53" t="s">
        <v>161</v>
      </c>
      <c r="L91" s="53">
        <v>3</v>
      </c>
      <c r="M91" s="76"/>
      <c r="N91" s="53">
        <v>8</v>
      </c>
      <c r="O91" s="53">
        <v>1.1000000000000001</v>
      </c>
      <c r="P91" s="53">
        <v>1.25</v>
      </c>
      <c r="Q91" s="72">
        <f t="shared" si="3"/>
        <v>1.175</v>
      </c>
      <c r="R91" s="53">
        <v>15</v>
      </c>
      <c r="S91" s="53">
        <v>101</v>
      </c>
      <c r="T91" s="38">
        <f t="shared" si="4"/>
        <v>33</v>
      </c>
      <c r="U91" s="53">
        <v>627</v>
      </c>
      <c r="V91" s="16">
        <f t="shared" si="5"/>
        <v>2586.375</v>
      </c>
      <c r="W91" s="53">
        <v>1</v>
      </c>
      <c r="X91" s="53" t="s">
        <v>46</v>
      </c>
      <c r="Y91" s="53" t="s">
        <v>78</v>
      </c>
      <c r="Z91" s="53" t="s">
        <v>69</v>
      </c>
      <c r="AA91" s="53" t="s">
        <v>102</v>
      </c>
      <c r="AB91" s="53" t="s">
        <v>158</v>
      </c>
      <c r="AC91" s="76"/>
      <c r="AD91" s="76"/>
      <c r="AE91" s="76"/>
      <c r="AF91" s="76"/>
      <c r="AG91" s="76"/>
      <c r="AH91" s="76"/>
    </row>
    <row r="92" spans="1:34" x14ac:dyDescent="0.15">
      <c r="A92" s="53" t="s">
        <v>41</v>
      </c>
      <c r="B92" s="53" t="s">
        <v>157</v>
      </c>
      <c r="C92" s="62">
        <v>2019</v>
      </c>
      <c r="D92" s="63" t="s">
        <v>188</v>
      </c>
      <c r="E92" s="53" t="s">
        <v>202</v>
      </c>
      <c r="F92" s="53" t="s">
        <v>209</v>
      </c>
      <c r="G92" s="53" t="s">
        <v>42</v>
      </c>
      <c r="H92" s="53" t="s">
        <v>160</v>
      </c>
      <c r="I92" s="53" t="s">
        <v>159</v>
      </c>
      <c r="J92" s="53" t="s">
        <v>38</v>
      </c>
      <c r="K92" s="53" t="s">
        <v>161</v>
      </c>
      <c r="L92" s="53">
        <v>1</v>
      </c>
      <c r="N92" s="53">
        <v>1</v>
      </c>
      <c r="O92" s="53">
        <v>0.25</v>
      </c>
      <c r="P92" s="53">
        <v>0.25</v>
      </c>
      <c r="Q92" s="75">
        <f t="shared" si="3"/>
        <v>0.25</v>
      </c>
      <c r="R92" s="53">
        <v>14</v>
      </c>
      <c r="S92" s="53">
        <v>127</v>
      </c>
      <c r="T92" s="16">
        <f t="shared" si="4"/>
        <v>27</v>
      </c>
      <c r="U92" s="53">
        <v>138</v>
      </c>
      <c r="V92" s="16">
        <v>3726</v>
      </c>
      <c r="W92" s="53">
        <v>2</v>
      </c>
      <c r="X92" s="53" t="s">
        <v>46</v>
      </c>
      <c r="Y92" s="53" t="s">
        <v>78</v>
      </c>
      <c r="Z92" s="53" t="s">
        <v>102</v>
      </c>
      <c r="AA92" s="53" t="s">
        <v>88</v>
      </c>
      <c r="AB92" s="53" t="s">
        <v>158</v>
      </c>
      <c r="AC92" s="76"/>
      <c r="AD92" s="76"/>
      <c r="AE92" s="76"/>
      <c r="AF92" s="76"/>
      <c r="AG92" s="76"/>
      <c r="AH92" s="76"/>
    </row>
    <row r="93" spans="1:34" x14ac:dyDescent="0.15">
      <c r="A93" s="53" t="s">
        <v>41</v>
      </c>
      <c r="B93" s="53" t="s">
        <v>157</v>
      </c>
      <c r="C93" s="62">
        <v>2019</v>
      </c>
      <c r="D93" s="63" t="s">
        <v>188</v>
      </c>
      <c r="E93" s="53" t="s">
        <v>202</v>
      </c>
      <c r="F93" s="53" t="s">
        <v>209</v>
      </c>
      <c r="G93" s="53" t="s">
        <v>42</v>
      </c>
      <c r="H93" s="53" t="s">
        <v>160</v>
      </c>
      <c r="I93" s="53" t="s">
        <v>159</v>
      </c>
      <c r="J93" s="53" t="s">
        <v>38</v>
      </c>
      <c r="K93" s="53" t="s">
        <v>161</v>
      </c>
      <c r="L93" s="53">
        <v>2</v>
      </c>
      <c r="N93" s="53">
        <v>1</v>
      </c>
      <c r="O93" s="53">
        <v>0.25</v>
      </c>
      <c r="P93" s="53">
        <v>0.25</v>
      </c>
      <c r="Q93" s="75">
        <f t="shared" si="3"/>
        <v>0.25</v>
      </c>
      <c r="R93" s="53">
        <v>15.1</v>
      </c>
      <c r="S93" s="53">
        <v>125</v>
      </c>
      <c r="T93" s="16">
        <f t="shared" si="4"/>
        <v>27</v>
      </c>
      <c r="U93" s="53">
        <v>138</v>
      </c>
      <c r="V93" s="16">
        <v>3726</v>
      </c>
      <c r="W93" s="53">
        <v>2</v>
      </c>
      <c r="X93" s="53" t="s">
        <v>46</v>
      </c>
      <c r="Y93" s="53" t="s">
        <v>78</v>
      </c>
      <c r="Z93" s="53" t="s">
        <v>102</v>
      </c>
      <c r="AA93" s="53" t="s">
        <v>88</v>
      </c>
      <c r="AB93" s="53" t="s">
        <v>158</v>
      </c>
      <c r="AC93" s="76"/>
      <c r="AD93" s="76"/>
      <c r="AE93" s="76"/>
      <c r="AF93" s="76"/>
      <c r="AG93" s="76"/>
      <c r="AH93" s="76"/>
    </row>
    <row r="94" spans="1:34" x14ac:dyDescent="0.15">
      <c r="A94" s="53" t="s">
        <v>41</v>
      </c>
      <c r="B94" s="53" t="s">
        <v>157</v>
      </c>
      <c r="C94" s="62">
        <v>2019</v>
      </c>
      <c r="D94" s="63" t="s">
        <v>188</v>
      </c>
      <c r="E94" s="53" t="s">
        <v>202</v>
      </c>
      <c r="F94" s="53" t="s">
        <v>209</v>
      </c>
      <c r="G94" s="53" t="s">
        <v>42</v>
      </c>
      <c r="H94" s="53" t="s">
        <v>160</v>
      </c>
      <c r="I94" s="53" t="s">
        <v>159</v>
      </c>
      <c r="J94" s="53" t="s">
        <v>38</v>
      </c>
      <c r="K94" s="53" t="s">
        <v>161</v>
      </c>
      <c r="L94" s="53">
        <v>3</v>
      </c>
      <c r="N94" s="53">
        <v>1</v>
      </c>
      <c r="O94" s="53">
        <v>0.25</v>
      </c>
      <c r="P94" s="53">
        <v>0.25</v>
      </c>
      <c r="Q94" s="75">
        <f t="shared" si="3"/>
        <v>0.25</v>
      </c>
      <c r="R94" s="53">
        <v>14.2</v>
      </c>
      <c r="S94" s="53">
        <v>122</v>
      </c>
      <c r="T94" s="16">
        <f t="shared" si="4"/>
        <v>27</v>
      </c>
      <c r="U94" s="53">
        <v>138</v>
      </c>
      <c r="V94" s="16">
        <v>3726</v>
      </c>
      <c r="W94" s="53">
        <v>2</v>
      </c>
      <c r="X94" s="53" t="s">
        <v>46</v>
      </c>
      <c r="Y94" s="53" t="s">
        <v>78</v>
      </c>
      <c r="Z94" s="53" t="s">
        <v>102</v>
      </c>
      <c r="AA94" s="53" t="s">
        <v>88</v>
      </c>
      <c r="AB94" s="53" t="s">
        <v>158</v>
      </c>
      <c r="AC94" s="76"/>
      <c r="AD94" s="76"/>
      <c r="AE94" s="76"/>
      <c r="AF94" s="76"/>
      <c r="AG94" s="76"/>
      <c r="AH94" s="76"/>
    </row>
    <row r="95" spans="1:34" x14ac:dyDescent="0.15">
      <c r="A95" s="53" t="s">
        <v>41</v>
      </c>
      <c r="B95" s="53" t="s">
        <v>157</v>
      </c>
      <c r="C95" s="62">
        <v>2019</v>
      </c>
      <c r="D95" s="63" t="s">
        <v>188</v>
      </c>
      <c r="E95" s="53" t="s">
        <v>202</v>
      </c>
      <c r="F95" s="53" t="s">
        <v>209</v>
      </c>
      <c r="G95" s="53" t="s">
        <v>42</v>
      </c>
      <c r="H95" s="53" t="s">
        <v>160</v>
      </c>
      <c r="I95" s="53" t="s">
        <v>159</v>
      </c>
      <c r="J95" s="53" t="s">
        <v>38</v>
      </c>
      <c r="K95" s="53" t="s">
        <v>161</v>
      </c>
      <c r="L95" s="53">
        <v>1</v>
      </c>
      <c r="N95" s="53">
        <v>4</v>
      </c>
      <c r="O95" s="53">
        <v>0.7</v>
      </c>
      <c r="P95" s="53">
        <v>0.95</v>
      </c>
      <c r="Q95" s="75">
        <f t="shared" si="3"/>
        <v>0.82499999999999996</v>
      </c>
      <c r="R95" s="53">
        <v>12.8</v>
      </c>
      <c r="S95" s="53">
        <v>114</v>
      </c>
      <c r="T95" s="16">
        <f t="shared" si="4"/>
        <v>30</v>
      </c>
      <c r="U95" s="53">
        <v>518</v>
      </c>
      <c r="V95" s="16">
        <v>3885</v>
      </c>
      <c r="W95" s="53">
        <v>1</v>
      </c>
      <c r="X95" s="53" t="s">
        <v>46</v>
      </c>
      <c r="Y95" s="53" t="s">
        <v>78</v>
      </c>
      <c r="Z95" s="53" t="s">
        <v>102</v>
      </c>
      <c r="AA95" s="53" t="s">
        <v>88</v>
      </c>
      <c r="AB95" s="53" t="s">
        <v>158</v>
      </c>
      <c r="AC95" s="76"/>
      <c r="AD95" s="76"/>
      <c r="AE95" s="76"/>
      <c r="AF95" s="76"/>
      <c r="AG95" s="76"/>
      <c r="AH95" s="76"/>
    </row>
    <row r="96" spans="1:34" x14ac:dyDescent="0.15">
      <c r="A96" s="53" t="s">
        <v>41</v>
      </c>
      <c r="B96" s="53" t="s">
        <v>157</v>
      </c>
      <c r="C96" s="62">
        <v>2019</v>
      </c>
      <c r="D96" s="63" t="s">
        <v>188</v>
      </c>
      <c r="E96" s="53" t="s">
        <v>202</v>
      </c>
      <c r="F96" s="53" t="s">
        <v>209</v>
      </c>
      <c r="G96" s="53" t="s">
        <v>42</v>
      </c>
      <c r="H96" s="53" t="s">
        <v>160</v>
      </c>
      <c r="I96" s="53" t="s">
        <v>159</v>
      </c>
      <c r="J96" s="53" t="s">
        <v>38</v>
      </c>
      <c r="K96" s="53" t="s">
        <v>161</v>
      </c>
      <c r="L96" s="53">
        <v>2</v>
      </c>
      <c r="M96" s="76"/>
      <c r="N96" s="53">
        <v>4</v>
      </c>
      <c r="O96" s="53">
        <v>0.5</v>
      </c>
      <c r="P96" s="53">
        <v>0.8</v>
      </c>
      <c r="Q96" s="75">
        <f t="shared" si="3"/>
        <v>0.65</v>
      </c>
      <c r="R96" s="53">
        <v>14</v>
      </c>
      <c r="S96" s="53">
        <v>118</v>
      </c>
      <c r="T96" s="16">
        <f t="shared" si="4"/>
        <v>30</v>
      </c>
      <c r="U96" s="53">
        <v>518</v>
      </c>
      <c r="V96" s="16">
        <v>3885</v>
      </c>
      <c r="W96" s="53">
        <v>1</v>
      </c>
      <c r="X96" s="53" t="s">
        <v>46</v>
      </c>
      <c r="Y96" s="53" t="s">
        <v>78</v>
      </c>
      <c r="Z96" s="53" t="s">
        <v>102</v>
      </c>
      <c r="AA96" s="53" t="s">
        <v>88</v>
      </c>
      <c r="AB96" s="53" t="s">
        <v>158</v>
      </c>
      <c r="AC96" s="76"/>
      <c r="AD96" s="76"/>
      <c r="AE96" s="76"/>
      <c r="AF96" s="76"/>
      <c r="AG96" s="76"/>
      <c r="AH96" s="76"/>
    </row>
    <row r="97" spans="1:34" x14ac:dyDescent="0.15">
      <c r="A97" s="53" t="s">
        <v>41</v>
      </c>
      <c r="B97" s="53" t="s">
        <v>157</v>
      </c>
      <c r="C97" s="62">
        <v>2019</v>
      </c>
      <c r="D97" s="63" t="s">
        <v>188</v>
      </c>
      <c r="E97" s="53" t="s">
        <v>202</v>
      </c>
      <c r="F97" s="53" t="s">
        <v>209</v>
      </c>
      <c r="G97" s="53" t="s">
        <v>42</v>
      </c>
      <c r="H97" s="53" t="s">
        <v>160</v>
      </c>
      <c r="I97" s="53" t="s">
        <v>159</v>
      </c>
      <c r="J97" s="53" t="s">
        <v>38</v>
      </c>
      <c r="K97" s="53" t="s">
        <v>161</v>
      </c>
      <c r="L97" s="53">
        <v>3</v>
      </c>
      <c r="M97" s="76"/>
      <c r="N97" s="53">
        <v>4</v>
      </c>
      <c r="O97" s="53">
        <v>0.65</v>
      </c>
      <c r="P97" s="53">
        <v>0.5</v>
      </c>
      <c r="Q97" s="72">
        <f t="shared" si="3"/>
        <v>0.57499999999999996</v>
      </c>
      <c r="R97" s="53">
        <v>15.1</v>
      </c>
      <c r="S97" s="53">
        <v>117</v>
      </c>
      <c r="T97" s="38">
        <f t="shared" si="4"/>
        <v>30</v>
      </c>
      <c r="U97" s="53">
        <v>518</v>
      </c>
      <c r="V97" s="38">
        <v>3885</v>
      </c>
      <c r="W97" s="53">
        <v>1</v>
      </c>
      <c r="X97" s="53" t="s">
        <v>46</v>
      </c>
      <c r="Y97" s="53" t="s">
        <v>78</v>
      </c>
      <c r="Z97" s="53" t="s">
        <v>102</v>
      </c>
      <c r="AA97" s="53" t="s">
        <v>88</v>
      </c>
      <c r="AB97" s="53" t="s">
        <v>158</v>
      </c>
      <c r="AC97" s="76"/>
      <c r="AD97" s="76"/>
      <c r="AE97" s="76"/>
      <c r="AF97" s="76"/>
      <c r="AG97" s="76"/>
      <c r="AH97" s="76"/>
    </row>
    <row r="98" spans="1:34" x14ac:dyDescent="0.15">
      <c r="A98" s="53" t="s">
        <v>41</v>
      </c>
      <c r="B98" s="53" t="s">
        <v>157</v>
      </c>
      <c r="C98" s="62">
        <v>2019</v>
      </c>
      <c r="D98" s="63" t="s">
        <v>188</v>
      </c>
      <c r="E98" s="53" t="s">
        <v>202</v>
      </c>
      <c r="F98" s="53" t="s">
        <v>209</v>
      </c>
      <c r="G98" s="53" t="s">
        <v>42</v>
      </c>
      <c r="H98" s="53" t="s">
        <v>160</v>
      </c>
      <c r="I98" s="53" t="s">
        <v>159</v>
      </c>
      <c r="J98" s="53" t="s">
        <v>38</v>
      </c>
      <c r="K98" s="53" t="s">
        <v>161</v>
      </c>
      <c r="L98" s="53">
        <v>1</v>
      </c>
      <c r="N98" s="53">
        <v>6</v>
      </c>
      <c r="O98" s="53">
        <v>0.8</v>
      </c>
      <c r="P98" s="53">
        <v>0.8</v>
      </c>
      <c r="Q98" s="75">
        <f t="shared" si="3"/>
        <v>0.8</v>
      </c>
      <c r="R98" s="53">
        <v>16</v>
      </c>
      <c r="S98" s="53">
        <v>111</v>
      </c>
      <c r="T98" s="16">
        <f t="shared" si="4"/>
        <v>33</v>
      </c>
      <c r="U98" s="53">
        <v>734</v>
      </c>
      <c r="V98" s="16">
        <v>3726</v>
      </c>
      <c r="W98" s="53">
        <v>1</v>
      </c>
      <c r="X98" s="53" t="s">
        <v>46</v>
      </c>
      <c r="Y98" s="53" t="s">
        <v>78</v>
      </c>
      <c r="Z98" s="53" t="s">
        <v>102</v>
      </c>
      <c r="AA98" s="53" t="s">
        <v>88</v>
      </c>
      <c r="AB98" s="53" t="s">
        <v>158</v>
      </c>
      <c r="AC98" s="76"/>
      <c r="AD98" s="76"/>
      <c r="AE98" s="76"/>
      <c r="AF98" s="76"/>
      <c r="AG98" s="76"/>
      <c r="AH98" s="76"/>
    </row>
    <row r="99" spans="1:34" x14ac:dyDescent="0.15">
      <c r="A99" s="53" t="s">
        <v>41</v>
      </c>
      <c r="B99" s="53" t="s">
        <v>157</v>
      </c>
      <c r="C99" s="62">
        <v>2019</v>
      </c>
      <c r="D99" s="63" t="s">
        <v>188</v>
      </c>
      <c r="E99" s="53" t="s">
        <v>202</v>
      </c>
      <c r="F99" s="53" t="s">
        <v>209</v>
      </c>
      <c r="G99" s="53" t="s">
        <v>42</v>
      </c>
      <c r="H99" s="53" t="s">
        <v>160</v>
      </c>
      <c r="I99" s="53" t="s">
        <v>159</v>
      </c>
      <c r="J99" s="53" t="s">
        <v>38</v>
      </c>
      <c r="K99" s="53" t="s">
        <v>161</v>
      </c>
      <c r="L99" s="53">
        <v>2</v>
      </c>
      <c r="N99" s="53">
        <v>6</v>
      </c>
      <c r="O99" s="53">
        <v>0.85</v>
      </c>
      <c r="P99" s="53">
        <v>0.8</v>
      </c>
      <c r="Q99" s="75">
        <f t="shared" si="3"/>
        <v>0.82499999999999996</v>
      </c>
      <c r="R99" s="53">
        <v>16.8</v>
      </c>
      <c r="S99" s="53">
        <v>112</v>
      </c>
      <c r="T99" s="16">
        <f t="shared" si="4"/>
        <v>33</v>
      </c>
      <c r="U99" s="53">
        <v>734</v>
      </c>
      <c r="V99" s="16">
        <v>3726</v>
      </c>
      <c r="W99" s="53">
        <v>1</v>
      </c>
      <c r="X99" s="53" t="s">
        <v>46</v>
      </c>
      <c r="Y99" s="53" t="s">
        <v>78</v>
      </c>
      <c r="Z99" s="53" t="s">
        <v>102</v>
      </c>
      <c r="AA99" s="53" t="s">
        <v>88</v>
      </c>
      <c r="AB99" s="53" t="s">
        <v>158</v>
      </c>
      <c r="AC99" s="76"/>
      <c r="AD99" s="76"/>
      <c r="AE99" s="76"/>
      <c r="AF99" s="76"/>
      <c r="AG99" s="76"/>
      <c r="AH99" s="76"/>
    </row>
    <row r="100" spans="1:34" x14ac:dyDescent="0.15">
      <c r="A100" s="53" t="s">
        <v>41</v>
      </c>
      <c r="B100" s="53" t="s">
        <v>157</v>
      </c>
      <c r="C100" s="62">
        <v>2019</v>
      </c>
      <c r="D100" s="63" t="s">
        <v>188</v>
      </c>
      <c r="E100" s="53" t="s">
        <v>202</v>
      </c>
      <c r="F100" s="53" t="s">
        <v>209</v>
      </c>
      <c r="G100" s="53" t="s">
        <v>42</v>
      </c>
      <c r="H100" s="53" t="s">
        <v>160</v>
      </c>
      <c r="I100" s="53" t="s">
        <v>159</v>
      </c>
      <c r="J100" s="53" t="s">
        <v>38</v>
      </c>
      <c r="K100" s="53" t="s">
        <v>161</v>
      </c>
      <c r="L100" s="53">
        <v>3</v>
      </c>
      <c r="N100" s="53">
        <v>6</v>
      </c>
      <c r="O100" s="53">
        <v>0.7</v>
      </c>
      <c r="P100" s="53">
        <v>0.55000000000000004</v>
      </c>
      <c r="Q100" s="75">
        <f t="shared" si="3"/>
        <v>0.625</v>
      </c>
      <c r="R100" s="53">
        <v>15.7</v>
      </c>
      <c r="S100" s="53">
        <v>114</v>
      </c>
      <c r="T100" s="16">
        <f t="shared" si="4"/>
        <v>30</v>
      </c>
      <c r="U100" s="53">
        <v>734</v>
      </c>
      <c r="V100" s="16">
        <v>3726</v>
      </c>
      <c r="W100" s="53">
        <v>1</v>
      </c>
      <c r="X100" s="53" t="s">
        <v>46</v>
      </c>
      <c r="Y100" s="53" t="s">
        <v>78</v>
      </c>
      <c r="Z100" s="53" t="s">
        <v>102</v>
      </c>
      <c r="AA100" s="53" t="s">
        <v>88</v>
      </c>
      <c r="AB100" s="53" t="s">
        <v>158</v>
      </c>
      <c r="AC100" s="76"/>
      <c r="AD100" s="76"/>
      <c r="AE100" s="76"/>
      <c r="AF100" s="76"/>
      <c r="AG100" s="76"/>
      <c r="AH100" s="76"/>
    </row>
    <row r="101" spans="1:34" x14ac:dyDescent="0.15">
      <c r="A101" s="53" t="s">
        <v>41</v>
      </c>
      <c r="B101" s="53" t="s">
        <v>157</v>
      </c>
      <c r="C101" s="62">
        <v>2019</v>
      </c>
      <c r="D101" s="63" t="s">
        <v>188</v>
      </c>
      <c r="E101" s="53" t="s">
        <v>202</v>
      </c>
      <c r="F101" s="53" t="s">
        <v>209</v>
      </c>
      <c r="G101" s="53" t="s">
        <v>42</v>
      </c>
      <c r="H101" s="53" t="s">
        <v>164</v>
      </c>
      <c r="I101" s="53" t="s">
        <v>159</v>
      </c>
      <c r="J101" s="53" t="s">
        <v>38</v>
      </c>
      <c r="K101" s="53" t="s">
        <v>161</v>
      </c>
      <c r="L101" s="53">
        <v>1</v>
      </c>
      <c r="N101" s="53">
        <v>1</v>
      </c>
      <c r="O101" s="53">
        <v>0.65</v>
      </c>
      <c r="P101" s="53">
        <v>0.6</v>
      </c>
      <c r="Q101" s="75">
        <f t="shared" si="3"/>
        <v>0.625</v>
      </c>
      <c r="R101" s="53">
        <v>12.8</v>
      </c>
      <c r="S101" s="53">
        <v>118</v>
      </c>
      <c r="T101" s="16">
        <f t="shared" si="4"/>
        <v>30</v>
      </c>
      <c r="U101" s="53">
        <v>54</v>
      </c>
      <c r="V101" s="16">
        <f>IF(OR(N101="",U101="",T101=""),"",U101/N101*T101)</f>
        <v>1620</v>
      </c>
      <c r="W101" s="53">
        <v>4</v>
      </c>
      <c r="X101" s="53" t="s">
        <v>46</v>
      </c>
      <c r="Y101" s="53" t="s">
        <v>78</v>
      </c>
      <c r="Z101" s="53" t="s">
        <v>102</v>
      </c>
      <c r="AA101" s="53" t="s">
        <v>88</v>
      </c>
      <c r="AB101" s="53" t="s">
        <v>158</v>
      </c>
      <c r="AC101" s="76"/>
      <c r="AD101" s="76"/>
      <c r="AE101" s="76"/>
      <c r="AF101" s="76"/>
      <c r="AG101" s="76"/>
      <c r="AH101" s="76"/>
    </row>
    <row r="102" spans="1:34" x14ac:dyDescent="0.15">
      <c r="A102" s="53" t="s">
        <v>41</v>
      </c>
      <c r="B102" s="53" t="s">
        <v>157</v>
      </c>
      <c r="C102" s="62">
        <v>2019</v>
      </c>
      <c r="D102" s="63" t="s">
        <v>188</v>
      </c>
      <c r="E102" s="53" t="s">
        <v>202</v>
      </c>
      <c r="F102" s="53" t="s">
        <v>209</v>
      </c>
      <c r="G102" s="53" t="s">
        <v>42</v>
      </c>
      <c r="H102" s="53" t="s">
        <v>164</v>
      </c>
      <c r="I102" s="53" t="s">
        <v>159</v>
      </c>
      <c r="J102" s="53" t="s">
        <v>38</v>
      </c>
      <c r="K102" s="53" t="s">
        <v>161</v>
      </c>
      <c r="L102" s="53">
        <v>2</v>
      </c>
      <c r="N102" s="53">
        <v>1</v>
      </c>
      <c r="O102" s="53">
        <v>0.7</v>
      </c>
      <c r="P102" s="53">
        <v>0.75</v>
      </c>
      <c r="Q102" s="75">
        <f t="shared" si="3"/>
        <v>0.72499999999999998</v>
      </c>
      <c r="R102" s="53">
        <v>12</v>
      </c>
      <c r="S102" s="53">
        <v>120</v>
      </c>
      <c r="T102" s="16">
        <f t="shared" si="4"/>
        <v>30</v>
      </c>
      <c r="U102" s="53">
        <v>54</v>
      </c>
      <c r="V102" s="38">
        <v>3303</v>
      </c>
      <c r="W102" s="53">
        <v>4</v>
      </c>
      <c r="X102" s="53" t="s">
        <v>46</v>
      </c>
      <c r="Y102" s="53" t="s">
        <v>78</v>
      </c>
      <c r="Z102" s="53" t="s">
        <v>102</v>
      </c>
      <c r="AA102" s="53" t="s">
        <v>88</v>
      </c>
      <c r="AB102" s="53" t="s">
        <v>158</v>
      </c>
      <c r="AC102" s="76"/>
      <c r="AD102" s="76"/>
      <c r="AE102" s="76"/>
      <c r="AF102" s="76"/>
      <c r="AG102" s="76"/>
      <c r="AH102" s="76"/>
    </row>
    <row r="103" spans="1:34" x14ac:dyDescent="0.15">
      <c r="A103" s="53" t="s">
        <v>41</v>
      </c>
      <c r="B103" s="53" t="s">
        <v>157</v>
      </c>
      <c r="C103" s="62">
        <v>2019</v>
      </c>
      <c r="D103" s="63" t="s">
        <v>188</v>
      </c>
      <c r="E103" s="53" t="s">
        <v>202</v>
      </c>
      <c r="F103" s="53" t="s">
        <v>209</v>
      </c>
      <c r="G103" s="53" t="s">
        <v>42</v>
      </c>
      <c r="H103" s="53" t="s">
        <v>164</v>
      </c>
      <c r="I103" s="53" t="s">
        <v>159</v>
      </c>
      <c r="J103" s="53" t="s">
        <v>38</v>
      </c>
      <c r="K103" s="53" t="s">
        <v>161</v>
      </c>
      <c r="L103" s="53">
        <v>3</v>
      </c>
      <c r="N103" s="53">
        <v>1</v>
      </c>
      <c r="O103" s="53">
        <v>0.5</v>
      </c>
      <c r="P103" s="53">
        <v>0.5</v>
      </c>
      <c r="Q103" s="75">
        <f>IF(OR(O103="",P103=""),"",AVERAGE(O103,P103))</f>
        <v>0.5</v>
      </c>
      <c r="R103" s="53">
        <v>11.2</v>
      </c>
      <c r="S103" s="53">
        <v>120</v>
      </c>
      <c r="T103" s="16">
        <f t="shared" si="4"/>
        <v>30</v>
      </c>
      <c r="U103" s="53">
        <v>54</v>
      </c>
      <c r="V103" s="38">
        <v>3670</v>
      </c>
      <c r="W103" s="53">
        <v>4</v>
      </c>
      <c r="X103" s="53" t="s">
        <v>46</v>
      </c>
      <c r="Y103" s="53" t="s">
        <v>78</v>
      </c>
      <c r="Z103" s="53" t="s">
        <v>102</v>
      </c>
      <c r="AA103" s="53" t="s">
        <v>88</v>
      </c>
      <c r="AB103" s="53" t="s">
        <v>158</v>
      </c>
      <c r="AC103" s="76"/>
      <c r="AD103" s="76"/>
      <c r="AE103" s="76"/>
      <c r="AF103" s="76"/>
      <c r="AG103" s="76"/>
      <c r="AH103" s="76"/>
    </row>
    <row r="104" spans="1:34" x14ac:dyDescent="0.15">
      <c r="A104" s="53" t="s">
        <v>41</v>
      </c>
      <c r="B104" s="53" t="s">
        <v>157</v>
      </c>
      <c r="C104" s="62">
        <v>2019</v>
      </c>
      <c r="D104" s="63" t="s">
        <v>188</v>
      </c>
      <c r="E104" s="53" t="s">
        <v>202</v>
      </c>
      <c r="F104" s="53" t="s">
        <v>209</v>
      </c>
      <c r="G104" s="53" t="s">
        <v>42</v>
      </c>
      <c r="H104" s="53" t="s">
        <v>164</v>
      </c>
      <c r="I104" s="53" t="s">
        <v>159</v>
      </c>
      <c r="J104" s="53" t="s">
        <v>38</v>
      </c>
      <c r="K104" s="53" t="s">
        <v>161</v>
      </c>
      <c r="L104" s="53">
        <v>1</v>
      </c>
      <c r="N104" s="53">
        <v>7</v>
      </c>
      <c r="O104" s="53">
        <v>0.45</v>
      </c>
      <c r="P104" s="53">
        <v>0.5</v>
      </c>
      <c r="Q104" s="75">
        <f t="shared" si="3"/>
        <v>0.47499999999999998</v>
      </c>
      <c r="R104" s="53">
        <v>10.199999999999999</v>
      </c>
      <c r="S104" s="53">
        <v>110</v>
      </c>
      <c r="T104" s="16">
        <f t="shared" si="4"/>
        <v>33</v>
      </c>
      <c r="U104" s="53">
        <v>628</v>
      </c>
      <c r="V104" s="16">
        <f>IF(OR(N104="",U104="",T104=""),"",U104/N104*T104)</f>
        <v>2960.5714285714284</v>
      </c>
      <c r="W104" s="53">
        <v>2</v>
      </c>
      <c r="X104" s="53" t="s">
        <v>46</v>
      </c>
      <c r="Y104" s="53" t="s">
        <v>78</v>
      </c>
      <c r="Z104" s="53" t="s">
        <v>102</v>
      </c>
      <c r="AA104" s="53" t="s">
        <v>88</v>
      </c>
      <c r="AB104" s="53" t="s">
        <v>158</v>
      </c>
      <c r="AC104" s="76"/>
      <c r="AD104" s="76"/>
      <c r="AE104" s="76"/>
      <c r="AF104" s="76"/>
      <c r="AG104" s="76"/>
      <c r="AH104" s="76"/>
    </row>
    <row r="105" spans="1:34" x14ac:dyDescent="0.15">
      <c r="A105" s="53" t="s">
        <v>41</v>
      </c>
      <c r="B105" s="53" t="s">
        <v>157</v>
      </c>
      <c r="C105" s="62">
        <v>2019</v>
      </c>
      <c r="D105" s="63" t="s">
        <v>188</v>
      </c>
      <c r="E105" s="53" t="s">
        <v>202</v>
      </c>
      <c r="F105" s="53" t="s">
        <v>209</v>
      </c>
      <c r="G105" s="53" t="s">
        <v>42</v>
      </c>
      <c r="H105" s="53" t="s">
        <v>164</v>
      </c>
      <c r="I105" s="53" t="s">
        <v>159</v>
      </c>
      <c r="J105" s="53" t="s">
        <v>38</v>
      </c>
      <c r="K105" s="53" t="s">
        <v>161</v>
      </c>
      <c r="L105" s="53">
        <v>2</v>
      </c>
      <c r="N105" s="53">
        <v>7</v>
      </c>
      <c r="O105" s="53">
        <v>0.3</v>
      </c>
      <c r="P105" s="53">
        <v>0.3</v>
      </c>
      <c r="Q105" s="75">
        <f t="shared" si="3"/>
        <v>0.3</v>
      </c>
      <c r="R105" s="53">
        <v>16.7</v>
      </c>
      <c r="S105" s="53">
        <v>114</v>
      </c>
      <c r="T105" s="16">
        <f t="shared" si="4"/>
        <v>30</v>
      </c>
      <c r="U105" s="53">
        <v>628</v>
      </c>
      <c r="V105" s="38">
        <v>3303</v>
      </c>
      <c r="W105" s="53">
        <v>2</v>
      </c>
      <c r="X105" s="53" t="s">
        <v>46</v>
      </c>
      <c r="Y105" s="53" t="s">
        <v>78</v>
      </c>
      <c r="Z105" s="53" t="s">
        <v>102</v>
      </c>
      <c r="AA105" s="53" t="s">
        <v>88</v>
      </c>
      <c r="AB105" s="53" t="s">
        <v>158</v>
      </c>
      <c r="AC105" s="76"/>
      <c r="AD105" s="76"/>
      <c r="AE105" s="76"/>
      <c r="AF105" s="76"/>
      <c r="AG105" s="76"/>
      <c r="AH105" s="76"/>
    </row>
    <row r="106" spans="1:34" x14ac:dyDescent="0.15">
      <c r="A106" s="53" t="s">
        <v>41</v>
      </c>
      <c r="B106" s="53" t="s">
        <v>157</v>
      </c>
      <c r="C106" s="62">
        <v>2019</v>
      </c>
      <c r="D106" s="63" t="s">
        <v>188</v>
      </c>
      <c r="E106" s="53" t="s">
        <v>202</v>
      </c>
      <c r="F106" s="53" t="s">
        <v>209</v>
      </c>
      <c r="G106" s="53" t="s">
        <v>42</v>
      </c>
      <c r="H106" s="53" t="s">
        <v>164</v>
      </c>
      <c r="I106" s="53" t="s">
        <v>159</v>
      </c>
      <c r="J106" s="53" t="s">
        <v>38</v>
      </c>
      <c r="K106" s="53" t="s">
        <v>161</v>
      </c>
      <c r="L106" s="53">
        <v>3</v>
      </c>
      <c r="N106" s="53">
        <v>7</v>
      </c>
      <c r="O106" s="53">
        <v>0.3</v>
      </c>
      <c r="P106" s="53">
        <v>0.4</v>
      </c>
      <c r="Q106" s="75">
        <f>IF(OR(O106="",P106=""),"",AVERAGE(O106,P106))</f>
        <v>0.35</v>
      </c>
      <c r="R106" s="53">
        <v>15.8</v>
      </c>
      <c r="S106" s="53">
        <v>110</v>
      </c>
      <c r="T106" s="16">
        <f t="shared" si="4"/>
        <v>33</v>
      </c>
      <c r="U106" s="53">
        <v>628</v>
      </c>
      <c r="V106" s="38">
        <v>3670</v>
      </c>
      <c r="W106" s="53">
        <v>2</v>
      </c>
      <c r="X106" s="53" t="s">
        <v>46</v>
      </c>
      <c r="Y106" s="53" t="s">
        <v>78</v>
      </c>
      <c r="Z106" s="53" t="s">
        <v>102</v>
      </c>
      <c r="AA106" s="53" t="s">
        <v>88</v>
      </c>
      <c r="AB106" s="53" t="s">
        <v>158</v>
      </c>
      <c r="AC106" s="76"/>
      <c r="AD106" s="76"/>
      <c r="AE106" s="76"/>
      <c r="AF106" s="76"/>
      <c r="AG106" s="76"/>
      <c r="AH106" s="76"/>
    </row>
    <row r="107" spans="1:34" x14ac:dyDescent="0.15">
      <c r="A107" s="53" t="s">
        <v>41</v>
      </c>
      <c r="B107" s="53" t="s">
        <v>157</v>
      </c>
      <c r="C107" s="62">
        <v>2019</v>
      </c>
      <c r="D107" s="63" t="s">
        <v>188</v>
      </c>
      <c r="E107" s="53" t="s">
        <v>205</v>
      </c>
      <c r="F107" s="53" t="s">
        <v>206</v>
      </c>
      <c r="G107" s="53" t="s">
        <v>42</v>
      </c>
      <c r="H107" s="53" t="s">
        <v>164</v>
      </c>
      <c r="I107" s="53" t="s">
        <v>159</v>
      </c>
      <c r="J107" s="53" t="s">
        <v>38</v>
      </c>
      <c r="K107" s="53" t="s">
        <v>161</v>
      </c>
      <c r="L107" s="53">
        <v>1</v>
      </c>
      <c r="N107" s="53">
        <v>1</v>
      </c>
      <c r="O107" s="53">
        <v>1.05</v>
      </c>
      <c r="P107" s="53">
        <v>0.95</v>
      </c>
      <c r="Q107" s="72">
        <f>IF(OR(O107="",P107=""),"",AVERAGE(O107,P107))</f>
        <v>1</v>
      </c>
      <c r="R107" s="53">
        <v>13.4</v>
      </c>
      <c r="S107" s="53">
        <v>125</v>
      </c>
      <c r="T107" s="38">
        <f t="shared" si="4"/>
        <v>27</v>
      </c>
      <c r="U107" s="53">
        <v>105</v>
      </c>
      <c r="V107" s="16">
        <f>IF(OR(N107="",U107="",T107=""),"",U107/N107*T107)</f>
        <v>2835</v>
      </c>
      <c r="W107" s="53">
        <v>2</v>
      </c>
      <c r="X107" s="53" t="s">
        <v>46</v>
      </c>
      <c r="Y107" s="53" t="s">
        <v>78</v>
      </c>
      <c r="Z107" s="53" t="s">
        <v>102</v>
      </c>
      <c r="AA107" s="53" t="s">
        <v>69</v>
      </c>
      <c r="AB107" s="53" t="s">
        <v>158</v>
      </c>
      <c r="AC107" s="76"/>
      <c r="AD107" s="76"/>
      <c r="AE107" s="76"/>
      <c r="AF107" s="76"/>
      <c r="AG107" s="76"/>
      <c r="AH107" s="76"/>
    </row>
    <row r="108" spans="1:34" x14ac:dyDescent="0.15">
      <c r="A108" s="53" t="s">
        <v>41</v>
      </c>
      <c r="B108" s="53" t="s">
        <v>157</v>
      </c>
      <c r="C108" s="62">
        <v>2019</v>
      </c>
      <c r="D108" s="63" t="s">
        <v>188</v>
      </c>
      <c r="E108" s="53" t="s">
        <v>205</v>
      </c>
      <c r="F108" s="53" t="s">
        <v>206</v>
      </c>
      <c r="G108" s="53" t="s">
        <v>42</v>
      </c>
      <c r="H108" s="53" t="s">
        <v>164</v>
      </c>
      <c r="I108" s="53" t="s">
        <v>159</v>
      </c>
      <c r="J108" s="53" t="s">
        <v>38</v>
      </c>
      <c r="K108" s="53" t="s">
        <v>161</v>
      </c>
      <c r="L108" s="53">
        <v>2</v>
      </c>
      <c r="N108" s="53">
        <v>1</v>
      </c>
      <c r="O108" s="53">
        <v>0.85</v>
      </c>
      <c r="P108" s="53">
        <v>0.8</v>
      </c>
      <c r="Q108" s="72">
        <f>IF(OR(O108="",P108=""),"",AVERAGE(O108,P108))</f>
        <v>0.82499999999999996</v>
      </c>
      <c r="R108" s="53">
        <v>12.8</v>
      </c>
      <c r="S108" s="53">
        <v>126</v>
      </c>
      <c r="T108" s="38">
        <f t="shared" si="4"/>
        <v>27</v>
      </c>
      <c r="U108" s="53">
        <v>105</v>
      </c>
      <c r="V108" s="16">
        <f>IF(OR(N108="",U108="",T108=""),"",U108/N108*T108)</f>
        <v>2835</v>
      </c>
      <c r="W108" s="53">
        <v>2</v>
      </c>
      <c r="X108" s="53" t="s">
        <v>46</v>
      </c>
      <c r="Y108" s="53" t="s">
        <v>78</v>
      </c>
      <c r="Z108" s="53" t="s">
        <v>102</v>
      </c>
      <c r="AA108" s="53" t="s">
        <v>69</v>
      </c>
      <c r="AB108" s="53" t="s">
        <v>158</v>
      </c>
      <c r="AC108" s="76"/>
      <c r="AD108" s="76"/>
      <c r="AE108" s="76"/>
      <c r="AF108" s="76"/>
      <c r="AG108" s="76"/>
      <c r="AH108" s="76"/>
    </row>
    <row r="109" spans="1:34" x14ac:dyDescent="0.15">
      <c r="A109" s="53" t="s">
        <v>41</v>
      </c>
      <c r="B109" s="53" t="s">
        <v>157</v>
      </c>
      <c r="C109" s="62">
        <v>2019</v>
      </c>
      <c r="D109" s="63" t="s">
        <v>188</v>
      </c>
      <c r="E109" s="53" t="s">
        <v>205</v>
      </c>
      <c r="F109" s="53" t="s">
        <v>206</v>
      </c>
      <c r="G109" s="53" t="s">
        <v>42</v>
      </c>
      <c r="H109" s="53" t="s">
        <v>164</v>
      </c>
      <c r="I109" s="53" t="s">
        <v>159</v>
      </c>
      <c r="J109" s="53" t="s">
        <v>38</v>
      </c>
      <c r="K109" s="53" t="s">
        <v>161</v>
      </c>
      <c r="L109" s="53">
        <v>3</v>
      </c>
      <c r="N109" s="53">
        <v>1</v>
      </c>
      <c r="O109" s="53">
        <v>0.9</v>
      </c>
      <c r="P109" s="53">
        <v>0.8</v>
      </c>
      <c r="Q109" s="72">
        <f>IF(OR(O109="",P109=""),"",AVERAGE(O109,P109))</f>
        <v>0.85000000000000009</v>
      </c>
      <c r="R109" s="53">
        <v>11.2</v>
      </c>
      <c r="S109" s="53">
        <v>123</v>
      </c>
      <c r="T109" s="38">
        <f t="shared" si="4"/>
        <v>27</v>
      </c>
      <c r="U109" s="53">
        <v>105</v>
      </c>
      <c r="V109" s="38">
        <f>IF(OR(N109="",U109="",T109=""),"",U109/N109*T109)</f>
        <v>2835</v>
      </c>
      <c r="W109" s="53">
        <v>2</v>
      </c>
      <c r="X109" s="53" t="s">
        <v>46</v>
      </c>
      <c r="Y109" s="53" t="s">
        <v>78</v>
      </c>
      <c r="Z109" s="53" t="s">
        <v>102</v>
      </c>
      <c r="AA109" s="53" t="s">
        <v>69</v>
      </c>
      <c r="AB109" s="53" t="s">
        <v>158</v>
      </c>
      <c r="AC109" s="76"/>
      <c r="AD109" s="76"/>
      <c r="AE109" s="76"/>
      <c r="AF109" s="76"/>
      <c r="AG109" s="76"/>
      <c r="AH109" s="76"/>
    </row>
    <row r="110" spans="1:34" x14ac:dyDescent="0.15">
      <c r="A110" s="53" t="s">
        <v>41</v>
      </c>
      <c r="B110" s="53" t="s">
        <v>157</v>
      </c>
      <c r="C110" s="62">
        <v>2018</v>
      </c>
      <c r="D110" s="63" t="s">
        <v>188</v>
      </c>
      <c r="E110" s="53" t="s">
        <v>205</v>
      </c>
      <c r="F110" s="53" t="s">
        <v>206</v>
      </c>
      <c r="G110" s="53" t="s">
        <v>42</v>
      </c>
      <c r="H110" s="53" t="s">
        <v>164</v>
      </c>
      <c r="I110" s="53" t="s">
        <v>159</v>
      </c>
      <c r="J110" s="53" t="s">
        <v>38</v>
      </c>
      <c r="K110" s="53" t="s">
        <v>161</v>
      </c>
      <c r="L110" s="53">
        <v>1</v>
      </c>
      <c r="N110" s="53">
        <v>4</v>
      </c>
      <c r="O110" s="53">
        <v>0.9</v>
      </c>
      <c r="P110" s="53">
        <v>0.85</v>
      </c>
      <c r="Q110" s="16">
        <f>IF(OR(O110="",P110=""),"",AVERAGE(O110,P110))</f>
        <v>0.875</v>
      </c>
      <c r="R110" s="53">
        <v>13.4</v>
      </c>
      <c r="S110" s="53">
        <v>120</v>
      </c>
      <c r="T110" s="16">
        <f t="shared" si="4"/>
        <v>30</v>
      </c>
      <c r="U110" s="53">
        <v>419</v>
      </c>
      <c r="V110" s="16">
        <f>IF(OR(N110="",U110="",T110=""),"",U110/N110*T110)</f>
        <v>3142.5</v>
      </c>
      <c r="W110" s="53">
        <v>2</v>
      </c>
      <c r="X110" s="53" t="s">
        <v>46</v>
      </c>
      <c r="Y110" s="53" t="s">
        <v>78</v>
      </c>
      <c r="Z110" s="53" t="s">
        <v>102</v>
      </c>
      <c r="AA110" s="53" t="s">
        <v>69</v>
      </c>
      <c r="AB110" s="53" t="s">
        <v>158</v>
      </c>
    </row>
    <row r="111" spans="1:34" x14ac:dyDescent="0.15">
      <c r="A111" s="53" t="s">
        <v>41</v>
      </c>
      <c r="B111" s="53" t="s">
        <v>157</v>
      </c>
      <c r="C111" s="62">
        <v>2018</v>
      </c>
      <c r="D111" s="63" t="s">
        <v>188</v>
      </c>
      <c r="E111" s="53" t="s">
        <v>205</v>
      </c>
      <c r="F111" s="53" t="s">
        <v>206</v>
      </c>
      <c r="G111" s="53" t="s">
        <v>42</v>
      </c>
      <c r="H111" s="53" t="s">
        <v>164</v>
      </c>
      <c r="I111" s="53" t="s">
        <v>159</v>
      </c>
      <c r="J111" s="53" t="s">
        <v>38</v>
      </c>
      <c r="K111" s="53" t="s">
        <v>161</v>
      </c>
      <c r="L111" s="53">
        <v>2</v>
      </c>
      <c r="N111" s="53">
        <v>4</v>
      </c>
      <c r="O111" s="53">
        <v>0.95</v>
      </c>
      <c r="P111" s="53">
        <v>0.9</v>
      </c>
      <c r="Q111" s="16">
        <f t="shared" ref="Q111:Q112" si="6">IF(OR(O111="",P111=""),"",AVERAGE(O111,P111))</f>
        <v>0.92500000000000004</v>
      </c>
      <c r="R111" s="53">
        <v>13</v>
      </c>
      <c r="S111" s="53">
        <v>120</v>
      </c>
      <c r="T111" s="16">
        <f t="shared" si="4"/>
        <v>30</v>
      </c>
      <c r="U111" s="53">
        <v>419</v>
      </c>
      <c r="V111" s="16">
        <f t="shared" ref="V111:V112" si="7">IF(OR(N111="",U111="",T111=""),"",U111/N111*T111)</f>
        <v>3142.5</v>
      </c>
      <c r="W111" s="53">
        <v>2</v>
      </c>
      <c r="X111" s="53" t="s">
        <v>46</v>
      </c>
      <c r="Y111" s="53" t="s">
        <v>78</v>
      </c>
      <c r="Z111" s="53" t="s">
        <v>102</v>
      </c>
      <c r="AA111" s="53" t="s">
        <v>69</v>
      </c>
      <c r="AB111" s="53" t="s">
        <v>158</v>
      </c>
    </row>
    <row r="112" spans="1:34" x14ac:dyDescent="0.15">
      <c r="A112" s="53" t="s">
        <v>41</v>
      </c>
      <c r="B112" s="53" t="s">
        <v>157</v>
      </c>
      <c r="C112" s="62">
        <v>2018</v>
      </c>
      <c r="D112" s="63" t="s">
        <v>188</v>
      </c>
      <c r="E112" s="53" t="s">
        <v>205</v>
      </c>
      <c r="F112" s="53" t="s">
        <v>206</v>
      </c>
      <c r="G112" s="53" t="s">
        <v>42</v>
      </c>
      <c r="H112" s="53" t="s">
        <v>164</v>
      </c>
      <c r="I112" s="53" t="s">
        <v>159</v>
      </c>
      <c r="J112" s="53" t="s">
        <v>38</v>
      </c>
      <c r="K112" s="53" t="s">
        <v>161</v>
      </c>
      <c r="L112" s="53">
        <v>3</v>
      </c>
      <c r="N112" s="53">
        <v>4</v>
      </c>
      <c r="O112" s="53">
        <v>0.75</v>
      </c>
      <c r="P112" s="53">
        <v>0.75</v>
      </c>
      <c r="Q112" s="16">
        <f t="shared" si="6"/>
        <v>0.75</v>
      </c>
      <c r="R112" s="53">
        <v>12.8</v>
      </c>
      <c r="S112" s="53">
        <v>118</v>
      </c>
      <c r="T112" s="16">
        <f t="shared" si="4"/>
        <v>30</v>
      </c>
      <c r="U112" s="53">
        <v>419</v>
      </c>
      <c r="V112" s="16">
        <f t="shared" si="7"/>
        <v>3142.5</v>
      </c>
      <c r="W112" s="53">
        <v>2</v>
      </c>
      <c r="X112" s="53" t="s">
        <v>46</v>
      </c>
      <c r="Y112" s="53" t="s">
        <v>78</v>
      </c>
      <c r="Z112" s="53" t="s">
        <v>102</v>
      </c>
      <c r="AA112" s="53" t="s">
        <v>69</v>
      </c>
      <c r="AB112" s="53" t="s">
        <v>158</v>
      </c>
    </row>
    <row r="113" spans="1:34" x14ac:dyDescent="0.15">
      <c r="A113" s="53" t="s">
        <v>41</v>
      </c>
      <c r="B113" s="53" t="s">
        <v>157</v>
      </c>
      <c r="C113" s="62">
        <v>2018</v>
      </c>
      <c r="D113" s="63" t="s">
        <v>188</v>
      </c>
      <c r="E113" s="53" t="s">
        <v>205</v>
      </c>
      <c r="F113" s="53" t="s">
        <v>206</v>
      </c>
      <c r="G113" s="53" t="s">
        <v>42</v>
      </c>
      <c r="H113" s="53" t="s">
        <v>164</v>
      </c>
      <c r="I113" s="53" t="s">
        <v>159</v>
      </c>
      <c r="J113" s="53" t="s">
        <v>38</v>
      </c>
      <c r="K113" s="53" t="s">
        <v>161</v>
      </c>
      <c r="L113" s="53">
        <v>1</v>
      </c>
      <c r="N113" s="53">
        <v>8</v>
      </c>
      <c r="O113" s="53">
        <v>0.25</v>
      </c>
      <c r="P113" s="53">
        <v>0.25</v>
      </c>
      <c r="Q113" s="16">
        <f>IF(OR(O113="",P113=""),"",AVERAGE(O113,P113))</f>
        <v>0.25</v>
      </c>
      <c r="R113" s="53">
        <v>12</v>
      </c>
      <c r="S113" s="53">
        <v>112</v>
      </c>
      <c r="T113" s="16">
        <f t="shared" si="4"/>
        <v>33</v>
      </c>
      <c r="U113" s="53">
        <v>648</v>
      </c>
      <c r="V113" s="16">
        <f>IF(OR(N113="",U113="",T113=""),"",U113/N113*T113)</f>
        <v>2673</v>
      </c>
      <c r="W113" s="53">
        <v>2</v>
      </c>
      <c r="X113" s="53" t="s">
        <v>46</v>
      </c>
      <c r="Y113" s="53" t="s">
        <v>78</v>
      </c>
      <c r="Z113" s="53" t="s">
        <v>102</v>
      </c>
      <c r="AA113" s="53" t="s">
        <v>69</v>
      </c>
      <c r="AB113" s="53" t="s">
        <v>158</v>
      </c>
    </row>
    <row r="114" spans="1:34" x14ac:dyDescent="0.15">
      <c r="A114" s="53" t="s">
        <v>41</v>
      </c>
      <c r="B114" s="53" t="s">
        <v>157</v>
      </c>
      <c r="C114" s="62">
        <v>2018</v>
      </c>
      <c r="D114" s="63" t="s">
        <v>188</v>
      </c>
      <c r="E114" s="53" t="s">
        <v>205</v>
      </c>
      <c r="F114" s="53" t="s">
        <v>206</v>
      </c>
      <c r="G114" s="53" t="s">
        <v>42</v>
      </c>
      <c r="H114" s="53" t="s">
        <v>164</v>
      </c>
      <c r="I114" s="53" t="s">
        <v>159</v>
      </c>
      <c r="J114" s="53" t="s">
        <v>38</v>
      </c>
      <c r="K114" s="53" t="s">
        <v>161</v>
      </c>
      <c r="L114" s="53">
        <v>2</v>
      </c>
      <c r="N114" s="53">
        <v>8</v>
      </c>
      <c r="O114" s="53">
        <v>0.35</v>
      </c>
      <c r="P114" s="53">
        <v>0.35</v>
      </c>
      <c r="Q114" s="16">
        <f t="shared" ref="Q114:Q133" si="8">IF(OR(O114="",P114=""),"",AVERAGE(O114,P114))</f>
        <v>0.35</v>
      </c>
      <c r="R114" s="53">
        <v>12.6</v>
      </c>
      <c r="S114" s="53">
        <v>112</v>
      </c>
      <c r="T114" s="16">
        <f t="shared" si="4"/>
        <v>33</v>
      </c>
      <c r="U114" s="53">
        <v>648</v>
      </c>
      <c r="V114" s="16">
        <f t="shared" ref="V114:V133" si="9">IF(OR(N114="",U114="",T114=""),"",U114/N114*T114)</f>
        <v>2673</v>
      </c>
      <c r="W114" s="53">
        <v>2</v>
      </c>
      <c r="X114" s="53" t="s">
        <v>46</v>
      </c>
      <c r="Y114" s="53" t="s">
        <v>78</v>
      </c>
      <c r="Z114" s="53" t="s">
        <v>102</v>
      </c>
      <c r="AA114" s="53" t="s">
        <v>69</v>
      </c>
      <c r="AB114" s="53" t="s">
        <v>158</v>
      </c>
    </row>
    <row r="115" spans="1:34" x14ac:dyDescent="0.15">
      <c r="A115" s="53" t="s">
        <v>41</v>
      </c>
      <c r="B115" s="53" t="s">
        <v>157</v>
      </c>
      <c r="C115" s="62">
        <v>2018</v>
      </c>
      <c r="D115" s="63" t="s">
        <v>188</v>
      </c>
      <c r="E115" s="53" t="s">
        <v>205</v>
      </c>
      <c r="F115" s="53" t="s">
        <v>206</v>
      </c>
      <c r="G115" s="53" t="s">
        <v>42</v>
      </c>
      <c r="H115" s="53" t="s">
        <v>164</v>
      </c>
      <c r="I115" s="53" t="s">
        <v>159</v>
      </c>
      <c r="J115" s="53" t="s">
        <v>38</v>
      </c>
      <c r="K115" s="53" t="s">
        <v>161</v>
      </c>
      <c r="L115" s="53">
        <v>3</v>
      </c>
      <c r="N115" s="53">
        <v>8</v>
      </c>
      <c r="O115" s="53">
        <v>0.25</v>
      </c>
      <c r="P115" s="53">
        <v>0.25</v>
      </c>
      <c r="Q115" s="16">
        <f t="shared" si="8"/>
        <v>0.25</v>
      </c>
      <c r="R115" s="53">
        <v>13.7</v>
      </c>
      <c r="S115" s="53">
        <v>113</v>
      </c>
      <c r="T115" s="16">
        <f t="shared" si="4"/>
        <v>30</v>
      </c>
      <c r="U115" s="53">
        <v>648</v>
      </c>
      <c r="V115" s="16">
        <f t="shared" si="9"/>
        <v>2430</v>
      </c>
      <c r="W115" s="53">
        <v>2</v>
      </c>
      <c r="X115" s="53" t="s">
        <v>46</v>
      </c>
      <c r="Y115" s="53" t="s">
        <v>78</v>
      </c>
      <c r="Z115" s="53" t="s">
        <v>102</v>
      </c>
      <c r="AA115" s="53" t="s">
        <v>69</v>
      </c>
      <c r="AB115" s="53" t="s">
        <v>158</v>
      </c>
    </row>
    <row r="116" spans="1:34" x14ac:dyDescent="0.15">
      <c r="A116" s="53" t="s">
        <v>41</v>
      </c>
      <c r="B116" s="53" t="s">
        <v>157</v>
      </c>
      <c r="C116" s="62">
        <v>2019</v>
      </c>
      <c r="D116" s="63" t="s">
        <v>188</v>
      </c>
      <c r="E116" s="53" t="s">
        <v>205</v>
      </c>
      <c r="F116" s="53" t="s">
        <v>206</v>
      </c>
      <c r="G116" s="53" t="s">
        <v>42</v>
      </c>
      <c r="H116" s="53" t="s">
        <v>160</v>
      </c>
      <c r="I116" s="53" t="s">
        <v>159</v>
      </c>
      <c r="J116" s="53" t="s">
        <v>38</v>
      </c>
      <c r="K116" s="53" t="s">
        <v>161</v>
      </c>
      <c r="L116" s="53">
        <v>1</v>
      </c>
      <c r="N116" s="53">
        <v>1</v>
      </c>
      <c r="O116" s="53">
        <v>0.4</v>
      </c>
      <c r="P116" s="53">
        <v>0.3</v>
      </c>
      <c r="Q116" s="72">
        <f t="shared" si="8"/>
        <v>0.35</v>
      </c>
      <c r="R116" s="53">
        <v>14.9</v>
      </c>
      <c r="S116" s="53">
        <v>124</v>
      </c>
      <c r="T116" s="38">
        <f t="shared" si="4"/>
        <v>27</v>
      </c>
      <c r="U116" s="53">
        <v>138</v>
      </c>
      <c r="V116" s="16">
        <f t="shared" si="9"/>
        <v>3726</v>
      </c>
      <c r="W116" s="53">
        <v>1</v>
      </c>
      <c r="X116" s="53" t="s">
        <v>46</v>
      </c>
      <c r="Y116" s="53" t="s">
        <v>78</v>
      </c>
      <c r="Z116" s="53" t="s">
        <v>102</v>
      </c>
      <c r="AA116" s="53" t="s">
        <v>69</v>
      </c>
      <c r="AB116" s="53" t="s">
        <v>158</v>
      </c>
      <c r="AC116" s="76"/>
      <c r="AD116" s="76"/>
      <c r="AE116" s="76"/>
      <c r="AF116" s="76"/>
      <c r="AG116" s="76"/>
      <c r="AH116" s="76"/>
    </row>
    <row r="117" spans="1:34" x14ac:dyDescent="0.15">
      <c r="A117" s="53" t="s">
        <v>41</v>
      </c>
      <c r="B117" s="53" t="s">
        <v>157</v>
      </c>
      <c r="C117" s="62">
        <v>2019</v>
      </c>
      <c r="D117" s="63" t="s">
        <v>188</v>
      </c>
      <c r="E117" s="53" t="s">
        <v>205</v>
      </c>
      <c r="F117" s="53" t="s">
        <v>206</v>
      </c>
      <c r="G117" s="53" t="s">
        <v>42</v>
      </c>
      <c r="H117" s="53" t="s">
        <v>160</v>
      </c>
      <c r="I117" s="53" t="s">
        <v>159</v>
      </c>
      <c r="J117" s="53" t="s">
        <v>38</v>
      </c>
      <c r="K117" s="53" t="s">
        <v>161</v>
      </c>
      <c r="L117" s="53">
        <v>2</v>
      </c>
      <c r="N117" s="53">
        <v>1</v>
      </c>
      <c r="O117" s="53">
        <v>0.25</v>
      </c>
      <c r="P117" s="53">
        <v>0.25</v>
      </c>
      <c r="Q117" s="72">
        <f t="shared" si="8"/>
        <v>0.25</v>
      </c>
      <c r="R117" s="53">
        <v>15.1</v>
      </c>
      <c r="S117" s="53">
        <v>125</v>
      </c>
      <c r="T117" s="38">
        <f t="shared" si="4"/>
        <v>27</v>
      </c>
      <c r="U117" s="53">
        <v>138</v>
      </c>
      <c r="V117" s="16">
        <f t="shared" si="9"/>
        <v>3726</v>
      </c>
      <c r="W117" s="53">
        <v>1</v>
      </c>
      <c r="X117" s="53" t="s">
        <v>46</v>
      </c>
      <c r="Y117" s="53" t="s">
        <v>78</v>
      </c>
      <c r="Z117" s="53" t="s">
        <v>102</v>
      </c>
      <c r="AA117" s="53" t="s">
        <v>69</v>
      </c>
      <c r="AB117" s="53" t="s">
        <v>158</v>
      </c>
      <c r="AC117" s="76"/>
      <c r="AD117" s="76"/>
      <c r="AE117" s="76"/>
      <c r="AF117" s="76"/>
      <c r="AG117" s="76"/>
      <c r="AH117" s="76"/>
    </row>
    <row r="118" spans="1:34" x14ac:dyDescent="0.15">
      <c r="A118" s="53" t="s">
        <v>41</v>
      </c>
      <c r="B118" s="53" t="s">
        <v>157</v>
      </c>
      <c r="C118" s="62">
        <v>2019</v>
      </c>
      <c r="D118" s="63" t="s">
        <v>188</v>
      </c>
      <c r="E118" s="53" t="s">
        <v>205</v>
      </c>
      <c r="F118" s="53" t="s">
        <v>206</v>
      </c>
      <c r="G118" s="53" t="s">
        <v>42</v>
      </c>
      <c r="H118" s="53" t="s">
        <v>160</v>
      </c>
      <c r="I118" s="53" t="s">
        <v>159</v>
      </c>
      <c r="J118" s="53" t="s">
        <v>38</v>
      </c>
      <c r="K118" s="53" t="s">
        <v>161</v>
      </c>
      <c r="L118" s="53">
        <v>3</v>
      </c>
      <c r="N118" s="53">
        <v>1</v>
      </c>
      <c r="O118" s="53">
        <v>0.25</v>
      </c>
      <c r="P118" s="53">
        <v>0.25</v>
      </c>
      <c r="Q118" s="72">
        <f t="shared" si="8"/>
        <v>0.25</v>
      </c>
      <c r="R118" s="53">
        <v>15.9</v>
      </c>
      <c r="S118" s="53">
        <v>125</v>
      </c>
      <c r="T118" s="38">
        <f t="shared" si="4"/>
        <v>27</v>
      </c>
      <c r="U118" s="53">
        <v>138</v>
      </c>
      <c r="V118" s="38">
        <f t="shared" si="9"/>
        <v>3726</v>
      </c>
      <c r="W118" s="53">
        <v>1</v>
      </c>
      <c r="X118" s="53" t="s">
        <v>46</v>
      </c>
      <c r="Y118" s="53" t="s">
        <v>78</v>
      </c>
      <c r="Z118" s="53" t="s">
        <v>102</v>
      </c>
      <c r="AA118" s="53" t="s">
        <v>69</v>
      </c>
      <c r="AB118" s="53" t="s">
        <v>158</v>
      </c>
      <c r="AC118" s="76"/>
      <c r="AD118" s="76"/>
      <c r="AE118" s="76"/>
      <c r="AF118" s="76"/>
      <c r="AG118" s="76"/>
      <c r="AH118" s="76"/>
    </row>
    <row r="119" spans="1:34" x14ac:dyDescent="0.15">
      <c r="A119" s="53" t="s">
        <v>41</v>
      </c>
      <c r="B119" s="53" t="s">
        <v>157</v>
      </c>
      <c r="C119" s="62">
        <v>2019</v>
      </c>
      <c r="D119" s="63" t="s">
        <v>188</v>
      </c>
      <c r="E119" s="53" t="s">
        <v>205</v>
      </c>
      <c r="F119" s="53" t="s">
        <v>206</v>
      </c>
      <c r="G119" s="53" t="s">
        <v>42</v>
      </c>
      <c r="H119" s="53" t="s">
        <v>160</v>
      </c>
      <c r="I119" s="53" t="s">
        <v>159</v>
      </c>
      <c r="J119" s="53" t="s">
        <v>38</v>
      </c>
      <c r="K119" s="53" t="s">
        <v>161</v>
      </c>
      <c r="L119" s="53">
        <v>1</v>
      </c>
      <c r="N119" s="53">
        <v>4</v>
      </c>
      <c r="O119" s="53">
        <v>0.55000000000000004</v>
      </c>
      <c r="P119" s="53">
        <v>0.5</v>
      </c>
      <c r="Q119" s="72">
        <f t="shared" si="8"/>
        <v>0.52500000000000002</v>
      </c>
      <c r="R119" s="53">
        <v>16</v>
      </c>
      <c r="S119" s="53">
        <v>120</v>
      </c>
      <c r="T119" s="38">
        <f t="shared" si="4"/>
        <v>30</v>
      </c>
      <c r="U119" s="53">
        <v>537</v>
      </c>
      <c r="V119" s="16">
        <f t="shared" si="9"/>
        <v>4027.5</v>
      </c>
      <c r="W119" s="53">
        <v>1</v>
      </c>
      <c r="X119" s="53" t="s">
        <v>46</v>
      </c>
      <c r="Y119" s="53" t="s">
        <v>78</v>
      </c>
      <c r="Z119" s="53" t="s">
        <v>102</v>
      </c>
      <c r="AA119" s="53" t="s">
        <v>69</v>
      </c>
      <c r="AB119" s="53" t="s">
        <v>158</v>
      </c>
      <c r="AC119" s="76"/>
      <c r="AD119" s="76"/>
      <c r="AE119" s="76"/>
      <c r="AF119" s="76"/>
      <c r="AG119" s="76"/>
      <c r="AH119" s="76"/>
    </row>
    <row r="120" spans="1:34" x14ac:dyDescent="0.15">
      <c r="A120" s="53" t="s">
        <v>41</v>
      </c>
      <c r="B120" s="53" t="s">
        <v>157</v>
      </c>
      <c r="C120" s="62">
        <v>2019</v>
      </c>
      <c r="D120" s="63" t="s">
        <v>188</v>
      </c>
      <c r="E120" s="53" t="s">
        <v>205</v>
      </c>
      <c r="F120" s="53" t="s">
        <v>206</v>
      </c>
      <c r="G120" s="53" t="s">
        <v>42</v>
      </c>
      <c r="H120" s="53" t="s">
        <v>160</v>
      </c>
      <c r="I120" s="53" t="s">
        <v>159</v>
      </c>
      <c r="J120" s="53" t="s">
        <v>38</v>
      </c>
      <c r="K120" s="53" t="s">
        <v>161</v>
      </c>
      <c r="L120" s="53">
        <v>2</v>
      </c>
      <c r="N120" s="53">
        <v>4</v>
      </c>
      <c r="O120" s="53">
        <v>0.5</v>
      </c>
      <c r="P120" s="53">
        <v>0.45</v>
      </c>
      <c r="Q120" s="72">
        <f t="shared" si="8"/>
        <v>0.47499999999999998</v>
      </c>
      <c r="R120" s="53">
        <v>15.9</v>
      </c>
      <c r="S120" s="53">
        <v>120</v>
      </c>
      <c r="T120" s="38">
        <f t="shared" si="4"/>
        <v>30</v>
      </c>
      <c r="U120" s="53">
        <v>537</v>
      </c>
      <c r="V120" s="16">
        <f t="shared" si="9"/>
        <v>4027.5</v>
      </c>
      <c r="W120" s="53">
        <v>1</v>
      </c>
      <c r="X120" s="53" t="s">
        <v>46</v>
      </c>
      <c r="Y120" s="53" t="s">
        <v>78</v>
      </c>
      <c r="Z120" s="53" t="s">
        <v>102</v>
      </c>
      <c r="AA120" s="53" t="s">
        <v>69</v>
      </c>
      <c r="AB120" s="53" t="s">
        <v>158</v>
      </c>
      <c r="AC120" s="76"/>
      <c r="AD120" s="76"/>
      <c r="AE120" s="76"/>
      <c r="AF120" s="76"/>
      <c r="AG120" s="76"/>
      <c r="AH120" s="76"/>
    </row>
    <row r="121" spans="1:34" x14ac:dyDescent="0.15">
      <c r="A121" s="53" t="s">
        <v>41</v>
      </c>
      <c r="B121" s="53" t="s">
        <v>157</v>
      </c>
      <c r="C121" s="62">
        <v>2019</v>
      </c>
      <c r="D121" s="63" t="s">
        <v>188</v>
      </c>
      <c r="E121" s="53" t="s">
        <v>205</v>
      </c>
      <c r="F121" s="53" t="s">
        <v>206</v>
      </c>
      <c r="G121" s="53" t="s">
        <v>42</v>
      </c>
      <c r="H121" s="53" t="s">
        <v>160</v>
      </c>
      <c r="I121" s="53" t="s">
        <v>159</v>
      </c>
      <c r="J121" s="53" t="s">
        <v>38</v>
      </c>
      <c r="K121" s="53" t="s">
        <v>161</v>
      </c>
      <c r="L121" s="53">
        <v>3</v>
      </c>
      <c r="N121" s="53">
        <v>4</v>
      </c>
      <c r="O121" s="53">
        <v>0.4</v>
      </c>
      <c r="P121" s="53">
        <v>0.3</v>
      </c>
      <c r="Q121" s="72">
        <f t="shared" si="8"/>
        <v>0.35</v>
      </c>
      <c r="R121" s="53">
        <v>16.7</v>
      </c>
      <c r="S121" s="53">
        <v>117</v>
      </c>
      <c r="T121" s="38">
        <f t="shared" si="4"/>
        <v>30</v>
      </c>
      <c r="U121" s="53">
        <v>537</v>
      </c>
      <c r="V121" s="38">
        <f t="shared" si="9"/>
        <v>4027.5</v>
      </c>
      <c r="W121" s="53">
        <v>1</v>
      </c>
      <c r="X121" s="53" t="s">
        <v>46</v>
      </c>
      <c r="Y121" s="53" t="s">
        <v>78</v>
      </c>
      <c r="Z121" s="53" t="s">
        <v>102</v>
      </c>
      <c r="AA121" s="53" t="s">
        <v>69</v>
      </c>
      <c r="AB121" s="53" t="s">
        <v>158</v>
      </c>
      <c r="AC121" s="76"/>
      <c r="AD121" s="76"/>
      <c r="AE121" s="76"/>
      <c r="AF121" s="76"/>
      <c r="AG121" s="76"/>
      <c r="AH121" s="76"/>
    </row>
    <row r="122" spans="1:34" x14ac:dyDescent="0.15">
      <c r="A122" s="53" t="s">
        <v>41</v>
      </c>
      <c r="B122" s="53" t="s">
        <v>157</v>
      </c>
      <c r="C122" s="62">
        <v>2019</v>
      </c>
      <c r="D122" s="63" t="s">
        <v>188</v>
      </c>
      <c r="E122" s="53" t="s">
        <v>211</v>
      </c>
      <c r="F122" s="53" t="s">
        <v>212</v>
      </c>
      <c r="G122" s="53" t="s">
        <v>42</v>
      </c>
      <c r="H122" s="53" t="s">
        <v>160</v>
      </c>
      <c r="I122" s="53" t="s">
        <v>159</v>
      </c>
      <c r="J122" s="53" t="s">
        <v>38</v>
      </c>
      <c r="K122" s="53" t="s">
        <v>161</v>
      </c>
      <c r="L122" s="53">
        <v>1</v>
      </c>
      <c r="N122" s="53">
        <v>1</v>
      </c>
      <c r="O122" s="53">
        <v>0.5</v>
      </c>
      <c r="P122" s="53">
        <v>0.55000000000000004</v>
      </c>
      <c r="Q122" s="16">
        <f t="shared" si="8"/>
        <v>0.52500000000000002</v>
      </c>
      <c r="R122" s="53">
        <v>16.8</v>
      </c>
      <c r="S122" s="53">
        <v>126</v>
      </c>
      <c r="T122" s="38">
        <f t="shared" si="4"/>
        <v>27</v>
      </c>
      <c r="U122" s="53">
        <v>104</v>
      </c>
      <c r="V122" s="38">
        <f t="shared" si="9"/>
        <v>2808</v>
      </c>
      <c r="W122" s="53">
        <v>2</v>
      </c>
      <c r="X122" s="53" t="s">
        <v>46</v>
      </c>
      <c r="Y122" s="53" t="s">
        <v>78</v>
      </c>
      <c r="Z122" s="53" t="s">
        <v>69</v>
      </c>
      <c r="AA122" s="53" t="s">
        <v>88</v>
      </c>
      <c r="AB122" s="53" t="s">
        <v>158</v>
      </c>
    </row>
    <row r="123" spans="1:34" x14ac:dyDescent="0.15">
      <c r="A123" s="53" t="s">
        <v>41</v>
      </c>
      <c r="B123" s="53" t="s">
        <v>157</v>
      </c>
      <c r="C123" s="62">
        <v>2019</v>
      </c>
      <c r="D123" s="63" t="s">
        <v>188</v>
      </c>
      <c r="E123" s="53" t="s">
        <v>211</v>
      </c>
      <c r="F123" s="53" t="s">
        <v>212</v>
      </c>
      <c r="G123" s="53" t="s">
        <v>42</v>
      </c>
      <c r="H123" s="53" t="s">
        <v>160</v>
      </c>
      <c r="I123" s="53" t="s">
        <v>159</v>
      </c>
      <c r="J123" s="53" t="s">
        <v>38</v>
      </c>
      <c r="K123" s="53" t="s">
        <v>161</v>
      </c>
      <c r="L123" s="53">
        <v>2</v>
      </c>
      <c r="N123" s="53">
        <v>1</v>
      </c>
      <c r="O123" s="53">
        <v>0.65</v>
      </c>
      <c r="P123" s="53">
        <v>0.6</v>
      </c>
      <c r="Q123" s="16">
        <f t="shared" si="8"/>
        <v>0.625</v>
      </c>
      <c r="R123" s="53">
        <v>14.2</v>
      </c>
      <c r="S123" s="53">
        <v>125</v>
      </c>
      <c r="T123" s="38">
        <f t="shared" si="4"/>
        <v>27</v>
      </c>
      <c r="U123" s="53">
        <v>104</v>
      </c>
      <c r="V123" s="38">
        <f t="shared" si="9"/>
        <v>2808</v>
      </c>
      <c r="W123" s="53">
        <v>2</v>
      </c>
      <c r="X123" s="53" t="s">
        <v>46</v>
      </c>
      <c r="Y123" s="53" t="s">
        <v>78</v>
      </c>
      <c r="Z123" s="53" t="s">
        <v>69</v>
      </c>
      <c r="AA123" s="53" t="s">
        <v>88</v>
      </c>
      <c r="AB123" s="53" t="s">
        <v>158</v>
      </c>
    </row>
    <row r="124" spans="1:34" x14ac:dyDescent="0.15">
      <c r="A124" s="53" t="s">
        <v>41</v>
      </c>
      <c r="B124" s="53" t="s">
        <v>157</v>
      </c>
      <c r="C124" s="62">
        <v>2019</v>
      </c>
      <c r="D124" s="63" t="s">
        <v>188</v>
      </c>
      <c r="E124" s="53" t="s">
        <v>211</v>
      </c>
      <c r="F124" s="53" t="s">
        <v>212</v>
      </c>
      <c r="G124" s="53" t="s">
        <v>42</v>
      </c>
      <c r="H124" s="53" t="s">
        <v>160</v>
      </c>
      <c r="I124" s="53" t="s">
        <v>159</v>
      </c>
      <c r="J124" s="53" t="s">
        <v>38</v>
      </c>
      <c r="K124" s="53" t="s">
        <v>161</v>
      </c>
      <c r="L124" s="53">
        <v>3</v>
      </c>
      <c r="N124" s="53">
        <v>1</v>
      </c>
      <c r="O124" s="53">
        <v>0.5</v>
      </c>
      <c r="P124" s="53">
        <v>0.45</v>
      </c>
      <c r="Q124" s="16">
        <f t="shared" si="8"/>
        <v>0.47499999999999998</v>
      </c>
      <c r="R124" s="53">
        <v>12.5</v>
      </c>
      <c r="S124" s="53">
        <v>127</v>
      </c>
      <c r="T124" s="38">
        <f t="shared" si="4"/>
        <v>27</v>
      </c>
      <c r="U124" s="53">
        <v>104</v>
      </c>
      <c r="V124" s="38">
        <f t="shared" si="9"/>
        <v>2808</v>
      </c>
      <c r="W124" s="53">
        <v>2</v>
      </c>
      <c r="X124" s="53" t="s">
        <v>46</v>
      </c>
      <c r="Y124" s="53" t="s">
        <v>78</v>
      </c>
      <c r="Z124" s="53" t="s">
        <v>69</v>
      </c>
      <c r="AA124" s="53" t="s">
        <v>88</v>
      </c>
      <c r="AB124" s="53" t="s">
        <v>158</v>
      </c>
    </row>
    <row r="125" spans="1:34" x14ac:dyDescent="0.15">
      <c r="A125" s="53" t="s">
        <v>41</v>
      </c>
      <c r="B125" s="53" t="s">
        <v>157</v>
      </c>
      <c r="C125" s="62">
        <v>2019</v>
      </c>
      <c r="D125" s="63" t="s">
        <v>188</v>
      </c>
      <c r="E125" s="53" t="s">
        <v>211</v>
      </c>
      <c r="F125" s="53" t="s">
        <v>212</v>
      </c>
      <c r="G125" s="53" t="s">
        <v>42</v>
      </c>
      <c r="H125" s="53" t="s">
        <v>160</v>
      </c>
      <c r="I125" s="53" t="s">
        <v>159</v>
      </c>
      <c r="J125" s="53" t="s">
        <v>38</v>
      </c>
      <c r="K125" s="53" t="s">
        <v>161</v>
      </c>
      <c r="L125" s="53">
        <v>1</v>
      </c>
      <c r="N125" s="53">
        <v>4</v>
      </c>
      <c r="O125" s="53">
        <v>0.25</v>
      </c>
      <c r="P125" s="53">
        <v>0.25</v>
      </c>
      <c r="Q125" s="16">
        <f t="shared" si="8"/>
        <v>0.25</v>
      </c>
      <c r="R125" s="53">
        <v>16.8</v>
      </c>
      <c r="S125" s="53">
        <v>117</v>
      </c>
      <c r="T125" s="38">
        <f t="shared" si="4"/>
        <v>30</v>
      </c>
      <c r="U125" s="53">
        <v>407</v>
      </c>
      <c r="V125" s="38">
        <f t="shared" si="9"/>
        <v>3052.5</v>
      </c>
      <c r="W125" s="53">
        <v>1</v>
      </c>
      <c r="X125" s="53" t="s">
        <v>46</v>
      </c>
      <c r="Y125" s="53" t="s">
        <v>78</v>
      </c>
      <c r="Z125" s="53" t="s">
        <v>69</v>
      </c>
      <c r="AA125" s="53" t="s">
        <v>88</v>
      </c>
      <c r="AB125" s="53" t="s">
        <v>158</v>
      </c>
      <c r="AC125" s="76"/>
      <c r="AD125" s="76"/>
      <c r="AE125" s="76"/>
      <c r="AF125" s="76"/>
      <c r="AG125" s="76"/>
      <c r="AH125" s="76"/>
    </row>
    <row r="126" spans="1:34" x14ac:dyDescent="0.15">
      <c r="A126" s="53" t="s">
        <v>41</v>
      </c>
      <c r="B126" s="53" t="s">
        <v>157</v>
      </c>
      <c r="C126" s="62">
        <v>2019</v>
      </c>
      <c r="D126" s="63" t="s">
        <v>188</v>
      </c>
      <c r="E126" s="53" t="s">
        <v>211</v>
      </c>
      <c r="F126" s="53" t="s">
        <v>212</v>
      </c>
      <c r="G126" s="53" t="s">
        <v>42</v>
      </c>
      <c r="H126" s="53" t="s">
        <v>160</v>
      </c>
      <c r="I126" s="53" t="s">
        <v>159</v>
      </c>
      <c r="J126" s="53" t="s">
        <v>38</v>
      </c>
      <c r="K126" s="53" t="s">
        <v>161</v>
      </c>
      <c r="L126" s="53">
        <v>2</v>
      </c>
      <c r="N126" s="53">
        <v>4</v>
      </c>
      <c r="O126" s="53">
        <v>0.25</v>
      </c>
      <c r="P126" s="53">
        <v>0.25</v>
      </c>
      <c r="Q126" s="16">
        <f t="shared" si="8"/>
        <v>0.25</v>
      </c>
      <c r="R126" s="53">
        <v>17.399999999999999</v>
      </c>
      <c r="S126" s="53">
        <v>118</v>
      </c>
      <c r="T126" s="38">
        <f t="shared" si="4"/>
        <v>30</v>
      </c>
      <c r="U126" s="53">
        <v>407</v>
      </c>
      <c r="V126" s="38">
        <f t="shared" si="9"/>
        <v>3052.5</v>
      </c>
      <c r="W126" s="53">
        <v>1</v>
      </c>
      <c r="X126" s="53" t="s">
        <v>46</v>
      </c>
      <c r="Y126" s="53" t="s">
        <v>78</v>
      </c>
      <c r="Z126" s="53" t="s">
        <v>69</v>
      </c>
      <c r="AA126" s="53" t="s">
        <v>88</v>
      </c>
      <c r="AB126" s="53" t="s">
        <v>158</v>
      </c>
      <c r="AC126" s="76"/>
      <c r="AD126" s="76"/>
      <c r="AE126" s="76"/>
      <c r="AF126" s="76"/>
      <c r="AG126" s="76"/>
      <c r="AH126" s="76"/>
    </row>
    <row r="127" spans="1:34" x14ac:dyDescent="0.15">
      <c r="A127" s="53" t="s">
        <v>41</v>
      </c>
      <c r="B127" s="53" t="s">
        <v>157</v>
      </c>
      <c r="C127" s="62">
        <v>2019</v>
      </c>
      <c r="D127" s="63" t="s">
        <v>188</v>
      </c>
      <c r="E127" s="53" t="s">
        <v>211</v>
      </c>
      <c r="F127" s="53" t="s">
        <v>212</v>
      </c>
      <c r="G127" s="53" t="s">
        <v>42</v>
      </c>
      <c r="H127" s="53" t="s">
        <v>160</v>
      </c>
      <c r="I127" s="53" t="s">
        <v>159</v>
      </c>
      <c r="J127" s="53" t="s">
        <v>38</v>
      </c>
      <c r="K127" s="53" t="s">
        <v>161</v>
      </c>
      <c r="L127" s="53">
        <v>3</v>
      </c>
      <c r="N127" s="53">
        <v>4</v>
      </c>
      <c r="O127" s="53">
        <v>0.25</v>
      </c>
      <c r="P127" s="53">
        <v>0.25</v>
      </c>
      <c r="Q127" s="16">
        <f t="shared" si="8"/>
        <v>0.25</v>
      </c>
      <c r="R127" s="53">
        <v>12.4</v>
      </c>
      <c r="S127" s="53">
        <v>119</v>
      </c>
      <c r="T127" s="38">
        <f t="shared" si="4"/>
        <v>30</v>
      </c>
      <c r="U127" s="53">
        <v>407</v>
      </c>
      <c r="V127" s="38">
        <f t="shared" si="9"/>
        <v>3052.5</v>
      </c>
      <c r="W127" s="53">
        <v>1</v>
      </c>
      <c r="X127" s="53" t="s">
        <v>46</v>
      </c>
      <c r="Y127" s="53" t="s">
        <v>78</v>
      </c>
      <c r="Z127" s="53" t="s">
        <v>69</v>
      </c>
      <c r="AA127" s="53" t="s">
        <v>88</v>
      </c>
      <c r="AB127" s="53" t="s">
        <v>158</v>
      </c>
      <c r="AC127" s="76"/>
      <c r="AD127" s="76"/>
      <c r="AE127" s="76"/>
      <c r="AF127" s="76"/>
      <c r="AG127" s="76"/>
      <c r="AH127" s="76"/>
    </row>
    <row r="128" spans="1:34" x14ac:dyDescent="0.15">
      <c r="A128" s="53" t="s">
        <v>41</v>
      </c>
      <c r="B128" s="53" t="s">
        <v>157</v>
      </c>
      <c r="C128" s="62">
        <v>2019</v>
      </c>
      <c r="D128" s="63" t="s">
        <v>188</v>
      </c>
      <c r="E128" s="53" t="s">
        <v>211</v>
      </c>
      <c r="F128" s="53" t="s">
        <v>212</v>
      </c>
      <c r="G128" s="53" t="s">
        <v>42</v>
      </c>
      <c r="H128" s="53" t="s">
        <v>164</v>
      </c>
      <c r="I128" s="53" t="s">
        <v>159</v>
      </c>
      <c r="J128" s="53" t="s">
        <v>38</v>
      </c>
      <c r="K128" s="53" t="s">
        <v>161</v>
      </c>
      <c r="L128" s="53">
        <v>1</v>
      </c>
      <c r="N128" s="53">
        <v>1</v>
      </c>
      <c r="O128" s="53">
        <v>1</v>
      </c>
      <c r="P128" s="53">
        <v>0.9</v>
      </c>
      <c r="Q128" s="16">
        <f t="shared" si="8"/>
        <v>0.95</v>
      </c>
      <c r="R128" s="53">
        <v>12</v>
      </c>
      <c r="S128" s="53">
        <v>122</v>
      </c>
      <c r="T128" s="38">
        <f t="shared" si="4"/>
        <v>27</v>
      </c>
      <c r="U128" s="53">
        <v>104</v>
      </c>
      <c r="V128" s="38">
        <f t="shared" si="9"/>
        <v>2808</v>
      </c>
      <c r="W128" s="53">
        <v>4</v>
      </c>
      <c r="X128" s="53" t="s">
        <v>46</v>
      </c>
      <c r="Y128" s="53" t="s">
        <v>78</v>
      </c>
      <c r="Z128" s="53" t="s">
        <v>69</v>
      </c>
      <c r="AA128" s="53" t="s">
        <v>88</v>
      </c>
      <c r="AB128" s="53" t="s">
        <v>158</v>
      </c>
      <c r="AC128" s="76"/>
      <c r="AD128" s="76"/>
      <c r="AE128" s="76"/>
      <c r="AF128" s="76"/>
      <c r="AG128" s="76"/>
      <c r="AH128" s="76"/>
    </row>
    <row r="129" spans="1:34" x14ac:dyDescent="0.15">
      <c r="A129" s="53" t="s">
        <v>41</v>
      </c>
      <c r="B129" s="53" t="s">
        <v>157</v>
      </c>
      <c r="C129" s="62">
        <v>2019</v>
      </c>
      <c r="D129" s="63" t="s">
        <v>188</v>
      </c>
      <c r="E129" s="53" t="s">
        <v>211</v>
      </c>
      <c r="F129" s="53" t="s">
        <v>212</v>
      </c>
      <c r="G129" s="53" t="s">
        <v>42</v>
      </c>
      <c r="H129" s="53" t="s">
        <v>164</v>
      </c>
      <c r="I129" s="53" t="s">
        <v>159</v>
      </c>
      <c r="J129" s="53" t="s">
        <v>38</v>
      </c>
      <c r="K129" s="53" t="s">
        <v>161</v>
      </c>
      <c r="L129" s="53">
        <v>2</v>
      </c>
      <c r="N129" s="53">
        <v>1</v>
      </c>
      <c r="O129" s="53">
        <v>0.9</v>
      </c>
      <c r="P129" s="53">
        <v>0.9</v>
      </c>
      <c r="Q129" s="16">
        <f t="shared" si="8"/>
        <v>0.9</v>
      </c>
      <c r="R129" s="53">
        <v>11.8</v>
      </c>
      <c r="S129" s="53">
        <v>126</v>
      </c>
      <c r="T129" s="38">
        <f t="shared" si="4"/>
        <v>27</v>
      </c>
      <c r="U129" s="53">
        <v>104</v>
      </c>
      <c r="V129" s="38">
        <f t="shared" si="9"/>
        <v>2808</v>
      </c>
      <c r="W129" s="53">
        <v>4</v>
      </c>
      <c r="X129" s="53" t="s">
        <v>46</v>
      </c>
      <c r="Y129" s="53" t="s">
        <v>78</v>
      </c>
      <c r="Z129" s="53" t="s">
        <v>69</v>
      </c>
      <c r="AA129" s="53" t="s">
        <v>88</v>
      </c>
      <c r="AB129" s="53" t="s">
        <v>158</v>
      </c>
      <c r="AC129" s="76"/>
      <c r="AD129" s="76"/>
      <c r="AE129" s="76"/>
      <c r="AF129" s="76"/>
      <c r="AG129" s="76"/>
      <c r="AH129" s="76"/>
    </row>
    <row r="130" spans="1:34" x14ac:dyDescent="0.15">
      <c r="A130" s="53" t="s">
        <v>41</v>
      </c>
      <c r="B130" s="53" t="s">
        <v>157</v>
      </c>
      <c r="C130" s="62">
        <v>2019</v>
      </c>
      <c r="D130" s="63" t="s">
        <v>188</v>
      </c>
      <c r="E130" s="53" t="s">
        <v>211</v>
      </c>
      <c r="F130" s="53" t="s">
        <v>212</v>
      </c>
      <c r="G130" s="53" t="s">
        <v>42</v>
      </c>
      <c r="H130" s="53" t="s">
        <v>164</v>
      </c>
      <c r="I130" s="53" t="s">
        <v>159</v>
      </c>
      <c r="J130" s="53" t="s">
        <v>38</v>
      </c>
      <c r="K130" s="53" t="s">
        <v>161</v>
      </c>
      <c r="L130" s="53">
        <v>3</v>
      </c>
      <c r="N130" s="53">
        <v>1</v>
      </c>
      <c r="O130" s="53">
        <v>1.2</v>
      </c>
      <c r="P130" s="53">
        <v>1.3</v>
      </c>
      <c r="Q130" s="16">
        <f t="shared" si="8"/>
        <v>1.25</v>
      </c>
      <c r="R130" s="53">
        <v>13.2</v>
      </c>
      <c r="S130" s="53">
        <v>124</v>
      </c>
      <c r="T130" s="38">
        <f t="shared" ref="T130:T148" si="10">IF(H130="","",IF(OR(H130="GREEN",H130="GK"),IF(S130&gt;=$AX$2,VLOOKUP(S130,$AX$2:$AY$10,2,1),""),IF(S130&gt;=$AZ$2,VLOOKUP(S130,$AZ$2:$BA$10,2,1),"")))</f>
        <v>27</v>
      </c>
      <c r="U130" s="53">
        <v>104</v>
      </c>
      <c r="V130" s="38">
        <f t="shared" si="9"/>
        <v>2808</v>
      </c>
      <c r="W130" s="53">
        <v>4</v>
      </c>
      <c r="X130" s="53" t="s">
        <v>46</v>
      </c>
      <c r="Y130" s="53" t="s">
        <v>78</v>
      </c>
      <c r="Z130" s="53" t="s">
        <v>69</v>
      </c>
      <c r="AA130" s="53" t="s">
        <v>88</v>
      </c>
      <c r="AB130" s="53" t="s">
        <v>158</v>
      </c>
      <c r="AC130" s="76"/>
      <c r="AD130" s="76"/>
      <c r="AE130" s="76"/>
      <c r="AF130" s="76"/>
      <c r="AG130" s="76"/>
      <c r="AH130" s="76"/>
    </row>
    <row r="131" spans="1:34" x14ac:dyDescent="0.15">
      <c r="A131" s="53" t="s">
        <v>41</v>
      </c>
      <c r="B131" s="53" t="s">
        <v>157</v>
      </c>
      <c r="C131" s="62">
        <v>2019</v>
      </c>
      <c r="D131" s="63" t="s">
        <v>188</v>
      </c>
      <c r="E131" s="53" t="s">
        <v>211</v>
      </c>
      <c r="F131" s="53" t="s">
        <v>212</v>
      </c>
      <c r="G131" s="53" t="s">
        <v>42</v>
      </c>
      <c r="H131" s="53" t="s">
        <v>164</v>
      </c>
      <c r="I131" s="53" t="s">
        <v>159</v>
      </c>
      <c r="J131" s="53" t="s">
        <v>38</v>
      </c>
      <c r="K131" s="53" t="s">
        <v>161</v>
      </c>
      <c r="L131" s="53">
        <v>1</v>
      </c>
      <c r="N131" s="53">
        <v>4</v>
      </c>
      <c r="O131" s="53">
        <v>0.8</v>
      </c>
      <c r="P131" s="53">
        <v>0.8</v>
      </c>
      <c r="Q131" s="16">
        <f t="shared" si="8"/>
        <v>0.8</v>
      </c>
      <c r="R131" s="53">
        <v>10.8</v>
      </c>
      <c r="S131" s="53">
        <v>112</v>
      </c>
      <c r="T131" s="38">
        <f t="shared" si="10"/>
        <v>33</v>
      </c>
      <c r="U131" s="53">
        <v>407</v>
      </c>
      <c r="V131" s="38">
        <f t="shared" si="9"/>
        <v>3357.75</v>
      </c>
      <c r="W131" s="53">
        <v>1</v>
      </c>
      <c r="X131" s="53" t="s">
        <v>46</v>
      </c>
      <c r="Y131" s="53" t="s">
        <v>78</v>
      </c>
      <c r="Z131" s="53" t="s">
        <v>69</v>
      </c>
      <c r="AA131" s="53" t="s">
        <v>88</v>
      </c>
      <c r="AB131" s="53" t="s">
        <v>158</v>
      </c>
      <c r="AC131" s="76"/>
      <c r="AD131" s="76"/>
      <c r="AE131" s="76"/>
      <c r="AF131" s="76"/>
      <c r="AG131" s="76"/>
      <c r="AH131" s="76"/>
    </row>
    <row r="132" spans="1:34" x14ac:dyDescent="0.15">
      <c r="A132" s="53" t="s">
        <v>41</v>
      </c>
      <c r="B132" s="53" t="s">
        <v>157</v>
      </c>
      <c r="C132" s="62">
        <v>2019</v>
      </c>
      <c r="D132" s="63" t="s">
        <v>188</v>
      </c>
      <c r="E132" s="53" t="s">
        <v>211</v>
      </c>
      <c r="F132" s="53" t="s">
        <v>212</v>
      </c>
      <c r="G132" s="53" t="s">
        <v>42</v>
      </c>
      <c r="H132" s="53" t="s">
        <v>164</v>
      </c>
      <c r="I132" s="53" t="s">
        <v>159</v>
      </c>
      <c r="J132" s="53" t="s">
        <v>38</v>
      </c>
      <c r="K132" s="53" t="s">
        <v>161</v>
      </c>
      <c r="L132" s="53">
        <v>2</v>
      </c>
      <c r="N132" s="53">
        <v>4</v>
      </c>
      <c r="O132" s="53">
        <v>0.65</v>
      </c>
      <c r="P132" s="53">
        <v>0.6</v>
      </c>
      <c r="Q132" s="16">
        <f t="shared" si="8"/>
        <v>0.625</v>
      </c>
      <c r="R132" s="53">
        <v>11.7</v>
      </c>
      <c r="S132" s="53">
        <v>115</v>
      </c>
      <c r="T132" s="38">
        <f t="shared" si="10"/>
        <v>30</v>
      </c>
      <c r="U132" s="53">
        <v>407</v>
      </c>
      <c r="V132" s="38">
        <f t="shared" si="9"/>
        <v>3052.5</v>
      </c>
      <c r="W132" s="53">
        <v>1</v>
      </c>
      <c r="X132" s="53" t="s">
        <v>46</v>
      </c>
      <c r="Y132" s="53" t="s">
        <v>78</v>
      </c>
      <c r="Z132" s="53" t="s">
        <v>69</v>
      </c>
      <c r="AA132" s="53" t="s">
        <v>88</v>
      </c>
      <c r="AB132" s="53" t="s">
        <v>158</v>
      </c>
      <c r="AC132" s="76"/>
      <c r="AD132" s="76"/>
      <c r="AE132" s="76"/>
      <c r="AF132" s="76"/>
      <c r="AG132" s="76"/>
      <c r="AH132" s="76"/>
    </row>
    <row r="133" spans="1:34" x14ac:dyDescent="0.15">
      <c r="A133" s="53" t="s">
        <v>41</v>
      </c>
      <c r="B133" s="53" t="s">
        <v>157</v>
      </c>
      <c r="C133" s="62">
        <v>2019</v>
      </c>
      <c r="D133" s="63" t="s">
        <v>188</v>
      </c>
      <c r="E133" s="53" t="s">
        <v>211</v>
      </c>
      <c r="F133" s="53" t="s">
        <v>212</v>
      </c>
      <c r="G133" s="53" t="s">
        <v>42</v>
      </c>
      <c r="H133" s="53" t="s">
        <v>164</v>
      </c>
      <c r="I133" s="53" t="s">
        <v>159</v>
      </c>
      <c r="J133" s="53" t="s">
        <v>38</v>
      </c>
      <c r="K133" s="53" t="s">
        <v>161</v>
      </c>
      <c r="L133" s="53">
        <v>3</v>
      </c>
      <c r="N133" s="53">
        <v>4</v>
      </c>
      <c r="O133" s="53">
        <v>0.8</v>
      </c>
      <c r="P133" s="53">
        <v>0.5</v>
      </c>
      <c r="Q133" s="16">
        <f t="shared" si="8"/>
        <v>0.65</v>
      </c>
      <c r="R133" s="53">
        <v>14.2</v>
      </c>
      <c r="S133" s="53">
        <v>115</v>
      </c>
      <c r="T133" s="38">
        <f t="shared" si="10"/>
        <v>30</v>
      </c>
      <c r="U133" s="53">
        <v>407</v>
      </c>
      <c r="V133" s="38">
        <f t="shared" si="9"/>
        <v>3052.5</v>
      </c>
      <c r="W133" s="53">
        <v>1</v>
      </c>
      <c r="X133" s="53" t="s">
        <v>46</v>
      </c>
      <c r="Y133" s="53" t="s">
        <v>78</v>
      </c>
      <c r="Z133" s="53" t="s">
        <v>69</v>
      </c>
      <c r="AA133" s="53" t="s">
        <v>88</v>
      </c>
      <c r="AB133" s="53" t="s">
        <v>158</v>
      </c>
      <c r="AC133" s="76"/>
      <c r="AD133" s="76"/>
      <c r="AE133" s="76"/>
      <c r="AF133" s="76"/>
      <c r="AG133" s="76"/>
      <c r="AH133" s="76"/>
    </row>
    <row r="134" spans="1:34" x14ac:dyDescent="0.15">
      <c r="C134" s="62"/>
      <c r="D134" s="63"/>
      <c r="T134" s="38"/>
      <c r="V134" s="38"/>
    </row>
    <row r="135" spans="1:34" x14ac:dyDescent="0.15">
      <c r="C135" s="62"/>
      <c r="D135" s="63"/>
      <c r="T135" s="38"/>
      <c r="V135" s="38"/>
    </row>
    <row r="136" spans="1:34" x14ac:dyDescent="0.15">
      <c r="C136" s="62"/>
      <c r="D136" s="63"/>
      <c r="T136" s="38"/>
      <c r="V136" s="38"/>
    </row>
    <row r="137" spans="1:34" x14ac:dyDescent="0.15">
      <c r="C137" s="62"/>
      <c r="D137" s="63"/>
      <c r="T137" s="38"/>
      <c r="V137" s="38"/>
    </row>
    <row r="138" spans="1:34" x14ac:dyDescent="0.15">
      <c r="C138" s="62"/>
      <c r="D138" s="63"/>
      <c r="T138" s="38"/>
      <c r="V138" s="38"/>
    </row>
    <row r="139" spans="1:34" x14ac:dyDescent="0.15">
      <c r="C139" s="62"/>
      <c r="D139" s="63"/>
      <c r="T139" s="38"/>
      <c r="V139" s="38"/>
    </row>
    <row r="140" spans="1:34" x14ac:dyDescent="0.15">
      <c r="Q140" s="75"/>
    </row>
    <row r="141" spans="1:34" x14ac:dyDescent="0.15">
      <c r="Q141" s="75"/>
    </row>
    <row r="142" spans="1:34" x14ac:dyDescent="0.15">
      <c r="Q142" s="75"/>
    </row>
    <row r="143" spans="1:34" x14ac:dyDescent="0.15">
      <c r="Q143" s="75" t="str">
        <f t="shared" ref="Q143:Q206" si="11">IF(OR(O143="",P143=""),"",AVERAGE(O143,P143))</f>
        <v/>
      </c>
      <c r="T143" s="16" t="str">
        <f t="shared" ref="T143:T206" si="12">IF(H143="","",IF(OR(H143="GREEN",H143="GK"),IF(S143&gt;=$AX$2,VLOOKUP(S143,$AX$2:$AY$10,2,1),""),IF(S143&gt;=$AZ$2,VLOOKUP(S143,$AZ$2:$BA$10,2,1),"")))</f>
        <v/>
      </c>
      <c r="V143" s="16" t="str">
        <f t="shared" ref="V143:V206" si="13">IF(OR(N143="",U143="",T143=""),"",U143/N143*T143)</f>
        <v/>
      </c>
    </row>
    <row r="144" spans="1:34" x14ac:dyDescent="0.15">
      <c r="Q144" s="75" t="str">
        <f t="shared" si="11"/>
        <v/>
      </c>
      <c r="T144" s="16" t="str">
        <f t="shared" si="12"/>
        <v/>
      </c>
      <c r="V144" s="16" t="str">
        <f t="shared" si="13"/>
        <v/>
      </c>
    </row>
    <row r="145" spans="17:22" x14ac:dyDescent="0.15">
      <c r="Q145" s="75" t="str">
        <f t="shared" si="11"/>
        <v/>
      </c>
      <c r="T145" s="16" t="str">
        <f t="shared" si="12"/>
        <v/>
      </c>
      <c r="V145" s="16" t="str">
        <f t="shared" si="13"/>
        <v/>
      </c>
    </row>
    <row r="146" spans="17:22" x14ac:dyDescent="0.15">
      <c r="Q146" s="75" t="str">
        <f t="shared" si="11"/>
        <v/>
      </c>
      <c r="T146" s="16" t="str">
        <f t="shared" si="12"/>
        <v/>
      </c>
      <c r="V146" s="16" t="str">
        <f t="shared" si="13"/>
        <v/>
      </c>
    </row>
    <row r="147" spans="17:22" x14ac:dyDescent="0.15">
      <c r="Q147" s="75" t="str">
        <f t="shared" si="11"/>
        <v/>
      </c>
      <c r="T147" s="16" t="str">
        <f t="shared" si="12"/>
        <v/>
      </c>
      <c r="V147" s="16" t="str">
        <f t="shared" si="13"/>
        <v/>
      </c>
    </row>
    <row r="148" spans="17:22" x14ac:dyDescent="0.15">
      <c r="Q148" s="75" t="str">
        <f t="shared" si="11"/>
        <v/>
      </c>
      <c r="T148" s="16" t="str">
        <f t="shared" si="12"/>
        <v/>
      </c>
      <c r="V148" s="16" t="str">
        <f t="shared" si="13"/>
        <v/>
      </c>
    </row>
    <row r="149" spans="17:22" x14ac:dyDescent="0.15">
      <c r="Q149" s="75" t="str">
        <f t="shared" si="11"/>
        <v/>
      </c>
      <c r="T149" s="16" t="str">
        <f t="shared" si="12"/>
        <v/>
      </c>
      <c r="V149" s="16" t="str">
        <f t="shared" si="13"/>
        <v/>
      </c>
    </row>
    <row r="150" spans="17:22" x14ac:dyDescent="0.15">
      <c r="Q150" s="75" t="str">
        <f t="shared" si="11"/>
        <v/>
      </c>
      <c r="T150" s="16" t="str">
        <f t="shared" si="12"/>
        <v/>
      </c>
      <c r="V150" s="16" t="str">
        <f t="shared" si="13"/>
        <v/>
      </c>
    </row>
    <row r="151" spans="17:22" x14ac:dyDescent="0.15">
      <c r="Q151" s="75" t="str">
        <f t="shared" si="11"/>
        <v/>
      </c>
      <c r="T151" s="16" t="str">
        <f t="shared" si="12"/>
        <v/>
      </c>
      <c r="V151" s="16" t="str">
        <f t="shared" si="13"/>
        <v/>
      </c>
    </row>
    <row r="152" spans="17:22" x14ac:dyDescent="0.15">
      <c r="Q152" s="75" t="str">
        <f t="shared" si="11"/>
        <v/>
      </c>
      <c r="T152" s="16" t="str">
        <f t="shared" si="12"/>
        <v/>
      </c>
      <c r="V152" s="16" t="str">
        <f t="shared" si="13"/>
        <v/>
      </c>
    </row>
    <row r="153" spans="17:22" x14ac:dyDescent="0.15">
      <c r="Q153" s="75" t="str">
        <f t="shared" si="11"/>
        <v/>
      </c>
      <c r="T153" s="16" t="str">
        <f t="shared" si="12"/>
        <v/>
      </c>
      <c r="V153" s="16" t="str">
        <f t="shared" si="13"/>
        <v/>
      </c>
    </row>
    <row r="154" spans="17:22" x14ac:dyDescent="0.15">
      <c r="Q154" s="75" t="str">
        <f t="shared" si="11"/>
        <v/>
      </c>
      <c r="T154" s="16" t="str">
        <f t="shared" si="12"/>
        <v/>
      </c>
      <c r="V154" s="16" t="str">
        <f t="shared" si="13"/>
        <v/>
      </c>
    </row>
    <row r="155" spans="17:22" x14ac:dyDescent="0.15">
      <c r="Q155" s="75" t="str">
        <f t="shared" si="11"/>
        <v/>
      </c>
      <c r="T155" s="16" t="str">
        <f t="shared" si="12"/>
        <v/>
      </c>
      <c r="V155" s="16" t="str">
        <f t="shared" si="13"/>
        <v/>
      </c>
    </row>
    <row r="156" spans="17:22" x14ac:dyDescent="0.15">
      <c r="Q156" s="75" t="str">
        <f t="shared" si="11"/>
        <v/>
      </c>
      <c r="T156" s="16" t="str">
        <f t="shared" si="12"/>
        <v/>
      </c>
      <c r="V156" s="16" t="str">
        <f t="shared" si="13"/>
        <v/>
      </c>
    </row>
    <row r="157" spans="17:22" x14ac:dyDescent="0.15">
      <c r="Q157" s="75" t="str">
        <f t="shared" si="11"/>
        <v/>
      </c>
      <c r="T157" s="16" t="str">
        <f t="shared" si="12"/>
        <v/>
      </c>
      <c r="V157" s="16" t="str">
        <f t="shared" si="13"/>
        <v/>
      </c>
    </row>
    <row r="158" spans="17:22" x14ac:dyDescent="0.15">
      <c r="Q158" s="75" t="str">
        <f t="shared" si="11"/>
        <v/>
      </c>
      <c r="T158" s="16" t="str">
        <f t="shared" si="12"/>
        <v/>
      </c>
      <c r="V158" s="16" t="str">
        <f t="shared" si="13"/>
        <v/>
      </c>
    </row>
    <row r="159" spans="17:22" x14ac:dyDescent="0.15">
      <c r="Q159" s="75" t="str">
        <f t="shared" si="11"/>
        <v/>
      </c>
      <c r="T159" s="16" t="str">
        <f t="shared" si="12"/>
        <v/>
      </c>
      <c r="V159" s="16" t="str">
        <f t="shared" si="13"/>
        <v/>
      </c>
    </row>
    <row r="160" spans="17:22" x14ac:dyDescent="0.15">
      <c r="Q160" s="75" t="str">
        <f t="shared" si="11"/>
        <v/>
      </c>
      <c r="T160" s="16" t="str">
        <f t="shared" si="12"/>
        <v/>
      </c>
      <c r="V160" s="16" t="str">
        <f t="shared" si="13"/>
        <v/>
      </c>
    </row>
    <row r="161" spans="17:22" x14ac:dyDescent="0.15">
      <c r="Q161" s="75" t="str">
        <f t="shared" si="11"/>
        <v/>
      </c>
      <c r="T161" s="16" t="str">
        <f t="shared" si="12"/>
        <v/>
      </c>
      <c r="V161" s="16" t="str">
        <f t="shared" si="13"/>
        <v/>
      </c>
    </row>
    <row r="162" spans="17:22" x14ac:dyDescent="0.15">
      <c r="Q162" s="75" t="str">
        <f t="shared" si="11"/>
        <v/>
      </c>
      <c r="T162" s="16" t="str">
        <f t="shared" si="12"/>
        <v/>
      </c>
      <c r="V162" s="16" t="str">
        <f t="shared" si="13"/>
        <v/>
      </c>
    </row>
    <row r="163" spans="17:22" x14ac:dyDescent="0.15">
      <c r="Q163" s="75" t="str">
        <f t="shared" si="11"/>
        <v/>
      </c>
      <c r="T163" s="16" t="str">
        <f t="shared" si="12"/>
        <v/>
      </c>
      <c r="V163" s="16" t="str">
        <f t="shared" si="13"/>
        <v/>
      </c>
    </row>
    <row r="164" spans="17:22" x14ac:dyDescent="0.15">
      <c r="Q164" s="75" t="str">
        <f t="shared" si="11"/>
        <v/>
      </c>
      <c r="T164" s="16" t="str">
        <f t="shared" si="12"/>
        <v/>
      </c>
      <c r="V164" s="16" t="str">
        <f t="shared" si="13"/>
        <v/>
      </c>
    </row>
    <row r="165" spans="17:22" x14ac:dyDescent="0.15">
      <c r="Q165" s="75" t="str">
        <f t="shared" si="11"/>
        <v/>
      </c>
      <c r="T165" s="16" t="str">
        <f t="shared" si="12"/>
        <v/>
      </c>
      <c r="V165" s="16" t="str">
        <f t="shared" si="13"/>
        <v/>
      </c>
    </row>
    <row r="166" spans="17:22" x14ac:dyDescent="0.15">
      <c r="Q166" s="75" t="str">
        <f t="shared" si="11"/>
        <v/>
      </c>
      <c r="T166" s="16" t="str">
        <f t="shared" si="12"/>
        <v/>
      </c>
      <c r="V166" s="16" t="str">
        <f t="shared" si="13"/>
        <v/>
      </c>
    </row>
    <row r="167" spans="17:22" x14ac:dyDescent="0.15">
      <c r="Q167" s="75" t="str">
        <f t="shared" si="11"/>
        <v/>
      </c>
      <c r="T167" s="16" t="str">
        <f t="shared" si="12"/>
        <v/>
      </c>
      <c r="V167" s="16" t="str">
        <f t="shared" si="13"/>
        <v/>
      </c>
    </row>
    <row r="168" spans="17:22" x14ac:dyDescent="0.15">
      <c r="Q168" s="75" t="str">
        <f t="shared" si="11"/>
        <v/>
      </c>
      <c r="T168" s="16" t="str">
        <f t="shared" si="12"/>
        <v/>
      </c>
      <c r="V168" s="16" t="str">
        <f t="shared" si="13"/>
        <v/>
      </c>
    </row>
    <row r="169" spans="17:22" x14ac:dyDescent="0.15">
      <c r="Q169" s="75" t="str">
        <f t="shared" si="11"/>
        <v/>
      </c>
      <c r="T169" s="16" t="str">
        <f t="shared" si="12"/>
        <v/>
      </c>
      <c r="V169" s="16" t="str">
        <f t="shared" si="13"/>
        <v/>
      </c>
    </row>
    <row r="170" spans="17:22" x14ac:dyDescent="0.15">
      <c r="Q170" s="75" t="str">
        <f t="shared" si="11"/>
        <v/>
      </c>
      <c r="T170" s="16" t="str">
        <f t="shared" si="12"/>
        <v/>
      </c>
      <c r="V170" s="16" t="str">
        <f t="shared" si="13"/>
        <v/>
      </c>
    </row>
    <row r="171" spans="17:22" x14ac:dyDescent="0.15">
      <c r="Q171" s="75" t="str">
        <f t="shared" si="11"/>
        <v/>
      </c>
      <c r="T171" s="16" t="str">
        <f t="shared" si="12"/>
        <v/>
      </c>
      <c r="V171" s="16" t="str">
        <f t="shared" si="13"/>
        <v/>
      </c>
    </row>
    <row r="172" spans="17:22" x14ac:dyDescent="0.15">
      <c r="Q172" s="75" t="str">
        <f t="shared" si="11"/>
        <v/>
      </c>
      <c r="T172" s="16" t="str">
        <f t="shared" si="12"/>
        <v/>
      </c>
      <c r="V172" s="16" t="str">
        <f t="shared" si="13"/>
        <v/>
      </c>
    </row>
    <row r="173" spans="17:22" x14ac:dyDescent="0.15">
      <c r="Q173" s="75" t="str">
        <f t="shared" si="11"/>
        <v/>
      </c>
      <c r="T173" s="16" t="str">
        <f t="shared" si="12"/>
        <v/>
      </c>
      <c r="V173" s="16" t="str">
        <f t="shared" si="13"/>
        <v/>
      </c>
    </row>
    <row r="174" spans="17:22" x14ac:dyDescent="0.15">
      <c r="Q174" s="75" t="str">
        <f t="shared" si="11"/>
        <v/>
      </c>
      <c r="T174" s="16" t="str">
        <f t="shared" si="12"/>
        <v/>
      </c>
      <c r="V174" s="16" t="str">
        <f t="shared" si="13"/>
        <v/>
      </c>
    </row>
    <row r="175" spans="17:22" x14ac:dyDescent="0.15">
      <c r="Q175" s="75" t="str">
        <f t="shared" si="11"/>
        <v/>
      </c>
      <c r="T175" s="16" t="str">
        <f t="shared" si="12"/>
        <v/>
      </c>
      <c r="V175" s="16" t="str">
        <f t="shared" si="13"/>
        <v/>
      </c>
    </row>
    <row r="176" spans="17:22" x14ac:dyDescent="0.15">
      <c r="Q176" s="75" t="str">
        <f t="shared" si="11"/>
        <v/>
      </c>
      <c r="T176" s="16" t="str">
        <f t="shared" si="12"/>
        <v/>
      </c>
      <c r="V176" s="16" t="str">
        <f t="shared" si="13"/>
        <v/>
      </c>
    </row>
    <row r="177" spans="17:22" x14ac:dyDescent="0.15">
      <c r="Q177" s="75" t="str">
        <f t="shared" si="11"/>
        <v/>
      </c>
      <c r="T177" s="16" t="str">
        <f t="shared" si="12"/>
        <v/>
      </c>
      <c r="V177" s="16" t="str">
        <f t="shared" si="13"/>
        <v/>
      </c>
    </row>
    <row r="178" spans="17:22" x14ac:dyDescent="0.15">
      <c r="Q178" s="75" t="str">
        <f t="shared" si="11"/>
        <v/>
      </c>
      <c r="T178" s="16" t="str">
        <f t="shared" si="12"/>
        <v/>
      </c>
      <c r="V178" s="16" t="str">
        <f t="shared" si="13"/>
        <v/>
      </c>
    </row>
    <row r="179" spans="17:22" x14ac:dyDescent="0.15">
      <c r="Q179" s="75" t="str">
        <f t="shared" si="11"/>
        <v/>
      </c>
      <c r="T179" s="16" t="str">
        <f t="shared" si="12"/>
        <v/>
      </c>
      <c r="V179" s="16" t="str">
        <f t="shared" si="13"/>
        <v/>
      </c>
    </row>
    <row r="180" spans="17:22" x14ac:dyDescent="0.15">
      <c r="Q180" s="75" t="str">
        <f t="shared" si="11"/>
        <v/>
      </c>
      <c r="T180" s="16" t="str">
        <f t="shared" si="12"/>
        <v/>
      </c>
      <c r="V180" s="16" t="str">
        <f t="shared" si="13"/>
        <v/>
      </c>
    </row>
    <row r="181" spans="17:22" x14ac:dyDescent="0.15">
      <c r="Q181" s="75" t="str">
        <f t="shared" si="11"/>
        <v/>
      </c>
      <c r="T181" s="16" t="str">
        <f t="shared" si="12"/>
        <v/>
      </c>
      <c r="V181" s="16" t="str">
        <f t="shared" si="13"/>
        <v/>
      </c>
    </row>
    <row r="182" spans="17:22" x14ac:dyDescent="0.15">
      <c r="Q182" s="75" t="str">
        <f t="shared" si="11"/>
        <v/>
      </c>
      <c r="T182" s="16" t="str">
        <f t="shared" si="12"/>
        <v/>
      </c>
      <c r="V182" s="16" t="str">
        <f t="shared" si="13"/>
        <v/>
      </c>
    </row>
    <row r="183" spans="17:22" x14ac:dyDescent="0.15">
      <c r="Q183" s="75" t="str">
        <f t="shared" si="11"/>
        <v/>
      </c>
      <c r="T183" s="16" t="str">
        <f t="shared" si="12"/>
        <v/>
      </c>
      <c r="V183" s="16" t="str">
        <f t="shared" si="13"/>
        <v/>
      </c>
    </row>
    <row r="184" spans="17:22" x14ac:dyDescent="0.15">
      <c r="Q184" s="75" t="str">
        <f t="shared" si="11"/>
        <v/>
      </c>
      <c r="T184" s="16" t="str">
        <f t="shared" si="12"/>
        <v/>
      </c>
      <c r="V184" s="16" t="str">
        <f t="shared" si="13"/>
        <v/>
      </c>
    </row>
    <row r="185" spans="17:22" x14ac:dyDescent="0.15">
      <c r="Q185" s="75" t="str">
        <f t="shared" si="11"/>
        <v/>
      </c>
      <c r="T185" s="16" t="str">
        <f t="shared" si="12"/>
        <v/>
      </c>
      <c r="V185" s="16" t="str">
        <f t="shared" si="13"/>
        <v/>
      </c>
    </row>
    <row r="186" spans="17:22" x14ac:dyDescent="0.15">
      <c r="Q186" s="75" t="str">
        <f t="shared" si="11"/>
        <v/>
      </c>
      <c r="T186" s="16" t="str">
        <f t="shared" si="12"/>
        <v/>
      </c>
      <c r="V186" s="16" t="str">
        <f t="shared" si="13"/>
        <v/>
      </c>
    </row>
    <row r="187" spans="17:22" x14ac:dyDescent="0.15">
      <c r="Q187" s="75" t="str">
        <f t="shared" si="11"/>
        <v/>
      </c>
      <c r="T187" s="16" t="str">
        <f t="shared" si="12"/>
        <v/>
      </c>
      <c r="V187" s="16" t="str">
        <f t="shared" si="13"/>
        <v/>
      </c>
    </row>
    <row r="188" spans="17:22" x14ac:dyDescent="0.15">
      <c r="Q188" s="75" t="str">
        <f t="shared" si="11"/>
        <v/>
      </c>
      <c r="T188" s="16" t="str">
        <f t="shared" si="12"/>
        <v/>
      </c>
      <c r="V188" s="16" t="str">
        <f t="shared" si="13"/>
        <v/>
      </c>
    </row>
    <row r="189" spans="17:22" x14ac:dyDescent="0.15">
      <c r="Q189" s="75" t="str">
        <f t="shared" si="11"/>
        <v/>
      </c>
      <c r="T189" s="16" t="str">
        <f t="shared" si="12"/>
        <v/>
      </c>
      <c r="V189" s="16" t="str">
        <f t="shared" si="13"/>
        <v/>
      </c>
    </row>
    <row r="190" spans="17:22" x14ac:dyDescent="0.15">
      <c r="Q190" s="75" t="str">
        <f t="shared" si="11"/>
        <v/>
      </c>
      <c r="T190" s="16" t="str">
        <f t="shared" si="12"/>
        <v/>
      </c>
      <c r="V190" s="16" t="str">
        <f t="shared" si="13"/>
        <v/>
      </c>
    </row>
    <row r="191" spans="17:22" x14ac:dyDescent="0.15">
      <c r="Q191" s="75" t="str">
        <f t="shared" si="11"/>
        <v/>
      </c>
      <c r="T191" s="16" t="str">
        <f t="shared" si="12"/>
        <v/>
      </c>
      <c r="V191" s="16" t="str">
        <f t="shared" si="13"/>
        <v/>
      </c>
    </row>
    <row r="192" spans="17:22" x14ac:dyDescent="0.15">
      <c r="Q192" s="75" t="str">
        <f t="shared" si="11"/>
        <v/>
      </c>
      <c r="T192" s="16" t="str">
        <f t="shared" si="12"/>
        <v/>
      </c>
      <c r="V192" s="16" t="str">
        <f t="shared" si="13"/>
        <v/>
      </c>
    </row>
    <row r="193" spans="17:22" x14ac:dyDescent="0.15">
      <c r="Q193" s="75" t="str">
        <f t="shared" si="11"/>
        <v/>
      </c>
      <c r="T193" s="16" t="str">
        <f t="shared" si="12"/>
        <v/>
      </c>
      <c r="V193" s="16" t="str">
        <f t="shared" si="13"/>
        <v/>
      </c>
    </row>
    <row r="194" spans="17:22" x14ac:dyDescent="0.15">
      <c r="Q194" s="75" t="str">
        <f t="shared" si="11"/>
        <v/>
      </c>
      <c r="T194" s="16" t="str">
        <f t="shared" si="12"/>
        <v/>
      </c>
      <c r="V194" s="16" t="str">
        <f t="shared" si="13"/>
        <v/>
      </c>
    </row>
    <row r="195" spans="17:22" x14ac:dyDescent="0.15">
      <c r="Q195" s="75" t="str">
        <f t="shared" si="11"/>
        <v/>
      </c>
      <c r="T195" s="16" t="str">
        <f t="shared" si="12"/>
        <v/>
      </c>
      <c r="V195" s="16" t="str">
        <f t="shared" si="13"/>
        <v/>
      </c>
    </row>
    <row r="196" spans="17:22" x14ac:dyDescent="0.15">
      <c r="Q196" s="75" t="str">
        <f t="shared" si="11"/>
        <v/>
      </c>
      <c r="T196" s="16" t="str">
        <f t="shared" si="12"/>
        <v/>
      </c>
      <c r="V196" s="16" t="str">
        <f t="shared" si="13"/>
        <v/>
      </c>
    </row>
    <row r="197" spans="17:22" x14ac:dyDescent="0.15">
      <c r="Q197" s="75" t="str">
        <f t="shared" si="11"/>
        <v/>
      </c>
      <c r="T197" s="16" t="str">
        <f t="shared" si="12"/>
        <v/>
      </c>
      <c r="V197" s="16" t="str">
        <f t="shared" si="13"/>
        <v/>
      </c>
    </row>
    <row r="198" spans="17:22" x14ac:dyDescent="0.15">
      <c r="Q198" s="75" t="str">
        <f t="shared" si="11"/>
        <v/>
      </c>
      <c r="T198" s="16" t="str">
        <f t="shared" si="12"/>
        <v/>
      </c>
      <c r="V198" s="16" t="str">
        <f t="shared" si="13"/>
        <v/>
      </c>
    </row>
    <row r="199" spans="17:22" x14ac:dyDescent="0.15">
      <c r="Q199" s="75" t="str">
        <f t="shared" si="11"/>
        <v/>
      </c>
      <c r="T199" s="16" t="str">
        <f t="shared" si="12"/>
        <v/>
      </c>
      <c r="V199" s="16" t="str">
        <f t="shared" si="13"/>
        <v/>
      </c>
    </row>
    <row r="200" spans="17:22" x14ac:dyDescent="0.15">
      <c r="Q200" s="75" t="str">
        <f t="shared" si="11"/>
        <v/>
      </c>
      <c r="T200" s="16" t="str">
        <f t="shared" si="12"/>
        <v/>
      </c>
      <c r="V200" s="16" t="str">
        <f t="shared" si="13"/>
        <v/>
      </c>
    </row>
    <row r="201" spans="17:22" x14ac:dyDescent="0.15">
      <c r="Q201" s="75" t="str">
        <f t="shared" si="11"/>
        <v/>
      </c>
      <c r="T201" s="16" t="str">
        <f t="shared" si="12"/>
        <v/>
      </c>
      <c r="V201" s="16" t="str">
        <f t="shared" si="13"/>
        <v/>
      </c>
    </row>
    <row r="202" spans="17:22" x14ac:dyDescent="0.15">
      <c r="Q202" s="75" t="str">
        <f t="shared" si="11"/>
        <v/>
      </c>
      <c r="T202" s="16" t="str">
        <f t="shared" si="12"/>
        <v/>
      </c>
      <c r="V202" s="16" t="str">
        <f t="shared" si="13"/>
        <v/>
      </c>
    </row>
    <row r="203" spans="17:22" x14ac:dyDescent="0.15">
      <c r="Q203" s="75" t="str">
        <f t="shared" si="11"/>
        <v/>
      </c>
      <c r="T203" s="16" t="str">
        <f t="shared" si="12"/>
        <v/>
      </c>
      <c r="V203" s="16" t="str">
        <f t="shared" si="13"/>
        <v/>
      </c>
    </row>
    <row r="204" spans="17:22" x14ac:dyDescent="0.15">
      <c r="Q204" s="75" t="str">
        <f t="shared" si="11"/>
        <v/>
      </c>
      <c r="T204" s="16" t="str">
        <f t="shared" si="12"/>
        <v/>
      </c>
      <c r="V204" s="16" t="str">
        <f t="shared" si="13"/>
        <v/>
      </c>
    </row>
    <row r="205" spans="17:22" x14ac:dyDescent="0.15">
      <c r="Q205" s="75" t="str">
        <f t="shared" si="11"/>
        <v/>
      </c>
      <c r="T205" s="16" t="str">
        <f t="shared" si="12"/>
        <v/>
      </c>
      <c r="V205" s="16" t="str">
        <f t="shared" si="13"/>
        <v/>
      </c>
    </row>
    <row r="206" spans="17:22" x14ac:dyDescent="0.15">
      <c r="Q206" s="75" t="str">
        <f t="shared" si="11"/>
        <v/>
      </c>
      <c r="T206" s="16" t="str">
        <f t="shared" si="12"/>
        <v/>
      </c>
      <c r="V206" s="16" t="str">
        <f t="shared" si="13"/>
        <v/>
      </c>
    </row>
    <row r="207" spans="17:22" x14ac:dyDescent="0.15">
      <c r="Q207" s="75" t="str">
        <f t="shared" ref="Q207:Q270" si="14">IF(OR(O207="",P207=""),"",AVERAGE(O207,P207))</f>
        <v/>
      </c>
      <c r="T207" s="16" t="str">
        <f t="shared" ref="T207:T270" si="15">IF(H207="","",IF(OR(H207="GREEN",H207="GK"),IF(S207&gt;=$AX$2,VLOOKUP(S207,$AX$2:$AY$10,2,1),""),IF(S207&gt;=$AZ$2,VLOOKUP(S207,$AZ$2:$BA$10,2,1),"")))</f>
        <v/>
      </c>
      <c r="V207" s="16" t="str">
        <f t="shared" ref="V207:V270" si="16">IF(OR(N207="",U207="",T207=""),"",U207/N207*T207)</f>
        <v/>
      </c>
    </row>
    <row r="208" spans="17:22" x14ac:dyDescent="0.15">
      <c r="Q208" s="75" t="str">
        <f t="shared" si="14"/>
        <v/>
      </c>
      <c r="T208" s="16" t="str">
        <f t="shared" si="15"/>
        <v/>
      </c>
      <c r="V208" s="16" t="str">
        <f t="shared" si="16"/>
        <v/>
      </c>
    </row>
    <row r="209" spans="17:22" x14ac:dyDescent="0.15">
      <c r="Q209" s="75" t="str">
        <f t="shared" si="14"/>
        <v/>
      </c>
      <c r="T209" s="16" t="str">
        <f t="shared" si="15"/>
        <v/>
      </c>
      <c r="V209" s="16" t="str">
        <f t="shared" si="16"/>
        <v/>
      </c>
    </row>
    <row r="210" spans="17:22" x14ac:dyDescent="0.15">
      <c r="Q210" s="75" t="str">
        <f t="shared" si="14"/>
        <v/>
      </c>
      <c r="T210" s="16" t="str">
        <f t="shared" si="15"/>
        <v/>
      </c>
      <c r="V210" s="16" t="str">
        <f t="shared" si="16"/>
        <v/>
      </c>
    </row>
    <row r="211" spans="17:22" x14ac:dyDescent="0.15">
      <c r="Q211" s="75" t="str">
        <f t="shared" si="14"/>
        <v/>
      </c>
      <c r="T211" s="16" t="str">
        <f t="shared" si="15"/>
        <v/>
      </c>
      <c r="V211" s="16" t="str">
        <f t="shared" si="16"/>
        <v/>
      </c>
    </row>
    <row r="212" spans="17:22" x14ac:dyDescent="0.15">
      <c r="Q212" s="75" t="str">
        <f t="shared" si="14"/>
        <v/>
      </c>
      <c r="T212" s="16" t="str">
        <f t="shared" si="15"/>
        <v/>
      </c>
      <c r="V212" s="16" t="str">
        <f t="shared" si="16"/>
        <v/>
      </c>
    </row>
    <row r="213" spans="17:22" x14ac:dyDescent="0.15">
      <c r="Q213" s="75" t="str">
        <f t="shared" si="14"/>
        <v/>
      </c>
      <c r="T213" s="16" t="str">
        <f t="shared" si="15"/>
        <v/>
      </c>
      <c r="V213" s="16" t="str">
        <f t="shared" si="16"/>
        <v/>
      </c>
    </row>
    <row r="214" spans="17:22" x14ac:dyDescent="0.15">
      <c r="Q214" s="75" t="str">
        <f t="shared" si="14"/>
        <v/>
      </c>
      <c r="T214" s="16" t="str">
        <f t="shared" si="15"/>
        <v/>
      </c>
      <c r="V214" s="16" t="str">
        <f t="shared" si="16"/>
        <v/>
      </c>
    </row>
    <row r="215" spans="17:22" x14ac:dyDescent="0.15">
      <c r="Q215" s="75" t="str">
        <f t="shared" si="14"/>
        <v/>
      </c>
      <c r="T215" s="16" t="str">
        <f t="shared" si="15"/>
        <v/>
      </c>
      <c r="V215" s="16" t="str">
        <f t="shared" si="16"/>
        <v/>
      </c>
    </row>
    <row r="216" spans="17:22" x14ac:dyDescent="0.15">
      <c r="Q216" s="75" t="str">
        <f t="shared" si="14"/>
        <v/>
      </c>
      <c r="T216" s="16" t="str">
        <f t="shared" si="15"/>
        <v/>
      </c>
      <c r="V216" s="16" t="str">
        <f t="shared" si="16"/>
        <v/>
      </c>
    </row>
    <row r="217" spans="17:22" x14ac:dyDescent="0.15">
      <c r="Q217" s="75" t="str">
        <f t="shared" si="14"/>
        <v/>
      </c>
      <c r="T217" s="16" t="str">
        <f t="shared" si="15"/>
        <v/>
      </c>
      <c r="V217" s="16" t="str">
        <f t="shared" si="16"/>
        <v/>
      </c>
    </row>
    <row r="218" spans="17:22" x14ac:dyDescent="0.15">
      <c r="Q218" s="75" t="str">
        <f t="shared" si="14"/>
        <v/>
      </c>
      <c r="T218" s="16" t="str">
        <f t="shared" si="15"/>
        <v/>
      </c>
      <c r="V218" s="16" t="str">
        <f t="shared" si="16"/>
        <v/>
      </c>
    </row>
    <row r="219" spans="17:22" x14ac:dyDescent="0.15">
      <c r="Q219" s="75" t="str">
        <f t="shared" si="14"/>
        <v/>
      </c>
      <c r="T219" s="16" t="str">
        <f t="shared" si="15"/>
        <v/>
      </c>
      <c r="V219" s="16" t="str">
        <f t="shared" si="16"/>
        <v/>
      </c>
    </row>
    <row r="220" spans="17:22" x14ac:dyDescent="0.15">
      <c r="Q220" s="75" t="str">
        <f t="shared" si="14"/>
        <v/>
      </c>
      <c r="T220" s="16" t="str">
        <f t="shared" si="15"/>
        <v/>
      </c>
      <c r="V220" s="16" t="str">
        <f t="shared" si="16"/>
        <v/>
      </c>
    </row>
    <row r="221" spans="17:22" x14ac:dyDescent="0.15">
      <c r="Q221" s="75" t="str">
        <f t="shared" si="14"/>
        <v/>
      </c>
      <c r="T221" s="16" t="str">
        <f t="shared" si="15"/>
        <v/>
      </c>
      <c r="V221" s="16" t="str">
        <f t="shared" si="16"/>
        <v/>
      </c>
    </row>
    <row r="222" spans="17:22" x14ac:dyDescent="0.15">
      <c r="Q222" s="75" t="str">
        <f t="shared" si="14"/>
        <v/>
      </c>
      <c r="T222" s="16" t="str">
        <f t="shared" si="15"/>
        <v/>
      </c>
      <c r="V222" s="16" t="str">
        <f t="shared" si="16"/>
        <v/>
      </c>
    </row>
    <row r="223" spans="17:22" x14ac:dyDescent="0.15">
      <c r="Q223" s="75" t="str">
        <f t="shared" si="14"/>
        <v/>
      </c>
      <c r="T223" s="16" t="str">
        <f t="shared" si="15"/>
        <v/>
      </c>
      <c r="V223" s="16" t="str">
        <f t="shared" si="16"/>
        <v/>
      </c>
    </row>
    <row r="224" spans="17:22" x14ac:dyDescent="0.15">
      <c r="Q224" s="75" t="str">
        <f t="shared" si="14"/>
        <v/>
      </c>
      <c r="T224" s="16" t="str">
        <f t="shared" si="15"/>
        <v/>
      </c>
      <c r="V224" s="16" t="str">
        <f t="shared" si="16"/>
        <v/>
      </c>
    </row>
    <row r="225" spans="17:22" x14ac:dyDescent="0.15">
      <c r="Q225" s="75" t="str">
        <f t="shared" si="14"/>
        <v/>
      </c>
      <c r="T225" s="16" t="str">
        <f t="shared" si="15"/>
        <v/>
      </c>
      <c r="V225" s="16" t="str">
        <f t="shared" si="16"/>
        <v/>
      </c>
    </row>
    <row r="226" spans="17:22" x14ac:dyDescent="0.15">
      <c r="Q226" s="75" t="str">
        <f t="shared" si="14"/>
        <v/>
      </c>
      <c r="T226" s="16" t="str">
        <f t="shared" si="15"/>
        <v/>
      </c>
      <c r="V226" s="16" t="str">
        <f t="shared" si="16"/>
        <v/>
      </c>
    </row>
    <row r="227" spans="17:22" x14ac:dyDescent="0.15">
      <c r="Q227" s="75" t="str">
        <f t="shared" si="14"/>
        <v/>
      </c>
      <c r="T227" s="16" t="str">
        <f t="shared" si="15"/>
        <v/>
      </c>
      <c r="V227" s="16" t="str">
        <f t="shared" si="16"/>
        <v/>
      </c>
    </row>
    <row r="228" spans="17:22" x14ac:dyDescent="0.15">
      <c r="Q228" s="75" t="str">
        <f t="shared" si="14"/>
        <v/>
      </c>
      <c r="T228" s="16" t="str">
        <f t="shared" si="15"/>
        <v/>
      </c>
      <c r="V228" s="16" t="str">
        <f t="shared" si="16"/>
        <v/>
      </c>
    </row>
    <row r="229" spans="17:22" x14ac:dyDescent="0.15">
      <c r="Q229" s="75" t="str">
        <f t="shared" si="14"/>
        <v/>
      </c>
      <c r="T229" s="16" t="str">
        <f t="shared" si="15"/>
        <v/>
      </c>
      <c r="V229" s="16" t="str">
        <f t="shared" si="16"/>
        <v/>
      </c>
    </row>
    <row r="230" spans="17:22" x14ac:dyDescent="0.15">
      <c r="Q230" s="75" t="str">
        <f t="shared" si="14"/>
        <v/>
      </c>
      <c r="T230" s="16" t="str">
        <f t="shared" si="15"/>
        <v/>
      </c>
      <c r="V230" s="16" t="str">
        <f t="shared" si="16"/>
        <v/>
      </c>
    </row>
    <row r="231" spans="17:22" x14ac:dyDescent="0.15">
      <c r="Q231" s="75" t="str">
        <f t="shared" si="14"/>
        <v/>
      </c>
      <c r="T231" s="16" t="str">
        <f t="shared" si="15"/>
        <v/>
      </c>
      <c r="V231" s="16" t="str">
        <f t="shared" si="16"/>
        <v/>
      </c>
    </row>
    <row r="232" spans="17:22" x14ac:dyDescent="0.15">
      <c r="Q232" s="75" t="str">
        <f t="shared" si="14"/>
        <v/>
      </c>
      <c r="T232" s="16" t="str">
        <f t="shared" si="15"/>
        <v/>
      </c>
      <c r="V232" s="16" t="str">
        <f t="shared" si="16"/>
        <v/>
      </c>
    </row>
    <row r="233" spans="17:22" x14ac:dyDescent="0.15">
      <c r="Q233" s="75" t="str">
        <f t="shared" si="14"/>
        <v/>
      </c>
      <c r="T233" s="16" t="str">
        <f t="shared" si="15"/>
        <v/>
      </c>
      <c r="V233" s="16" t="str">
        <f t="shared" si="16"/>
        <v/>
      </c>
    </row>
    <row r="234" spans="17:22" x14ac:dyDescent="0.15">
      <c r="Q234" s="75" t="str">
        <f t="shared" si="14"/>
        <v/>
      </c>
      <c r="T234" s="16" t="str">
        <f t="shared" si="15"/>
        <v/>
      </c>
      <c r="V234" s="16" t="str">
        <f t="shared" si="16"/>
        <v/>
      </c>
    </row>
    <row r="235" spans="17:22" x14ac:dyDescent="0.15">
      <c r="Q235" s="75" t="str">
        <f t="shared" si="14"/>
        <v/>
      </c>
      <c r="T235" s="16" t="str">
        <f t="shared" si="15"/>
        <v/>
      </c>
      <c r="V235" s="16" t="str">
        <f t="shared" si="16"/>
        <v/>
      </c>
    </row>
    <row r="236" spans="17:22" x14ac:dyDescent="0.15">
      <c r="Q236" s="75" t="str">
        <f t="shared" si="14"/>
        <v/>
      </c>
      <c r="T236" s="16" t="str">
        <f t="shared" si="15"/>
        <v/>
      </c>
      <c r="V236" s="16" t="str">
        <f t="shared" si="16"/>
        <v/>
      </c>
    </row>
    <row r="237" spans="17:22" x14ac:dyDescent="0.15">
      <c r="Q237" s="75" t="str">
        <f t="shared" si="14"/>
        <v/>
      </c>
      <c r="T237" s="16" t="str">
        <f t="shared" si="15"/>
        <v/>
      </c>
      <c r="V237" s="16" t="str">
        <f t="shared" si="16"/>
        <v/>
      </c>
    </row>
    <row r="238" spans="17:22" x14ac:dyDescent="0.15">
      <c r="Q238" s="75" t="str">
        <f t="shared" si="14"/>
        <v/>
      </c>
      <c r="T238" s="16" t="str">
        <f t="shared" si="15"/>
        <v/>
      </c>
      <c r="V238" s="16" t="str">
        <f t="shared" si="16"/>
        <v/>
      </c>
    </row>
    <row r="239" spans="17:22" x14ac:dyDescent="0.15">
      <c r="Q239" s="75" t="str">
        <f t="shared" si="14"/>
        <v/>
      </c>
      <c r="T239" s="16" t="str">
        <f t="shared" si="15"/>
        <v/>
      </c>
      <c r="V239" s="16" t="str">
        <f t="shared" si="16"/>
        <v/>
      </c>
    </row>
    <row r="240" spans="17:22" x14ac:dyDescent="0.15">
      <c r="Q240" s="75" t="str">
        <f t="shared" si="14"/>
        <v/>
      </c>
      <c r="T240" s="16" t="str">
        <f t="shared" si="15"/>
        <v/>
      </c>
      <c r="V240" s="16" t="str">
        <f t="shared" si="16"/>
        <v/>
      </c>
    </row>
    <row r="241" spans="17:22" x14ac:dyDescent="0.15">
      <c r="Q241" s="75" t="str">
        <f t="shared" si="14"/>
        <v/>
      </c>
      <c r="T241" s="16" t="str">
        <f t="shared" si="15"/>
        <v/>
      </c>
      <c r="V241" s="16" t="str">
        <f t="shared" si="16"/>
        <v/>
      </c>
    </row>
    <row r="242" spans="17:22" x14ac:dyDescent="0.15">
      <c r="Q242" s="75" t="str">
        <f t="shared" si="14"/>
        <v/>
      </c>
      <c r="T242" s="16" t="str">
        <f t="shared" si="15"/>
        <v/>
      </c>
      <c r="V242" s="16" t="str">
        <f t="shared" si="16"/>
        <v/>
      </c>
    </row>
    <row r="243" spans="17:22" x14ac:dyDescent="0.15">
      <c r="Q243" s="75" t="str">
        <f t="shared" si="14"/>
        <v/>
      </c>
      <c r="T243" s="16" t="str">
        <f t="shared" si="15"/>
        <v/>
      </c>
      <c r="V243" s="16" t="str">
        <f t="shared" si="16"/>
        <v/>
      </c>
    </row>
    <row r="244" spans="17:22" x14ac:dyDescent="0.15">
      <c r="Q244" s="75" t="str">
        <f t="shared" si="14"/>
        <v/>
      </c>
      <c r="T244" s="16" t="str">
        <f t="shared" si="15"/>
        <v/>
      </c>
      <c r="V244" s="16" t="str">
        <f t="shared" si="16"/>
        <v/>
      </c>
    </row>
    <row r="245" spans="17:22" x14ac:dyDescent="0.15">
      <c r="Q245" s="75" t="str">
        <f t="shared" si="14"/>
        <v/>
      </c>
      <c r="T245" s="16" t="str">
        <f t="shared" si="15"/>
        <v/>
      </c>
      <c r="V245" s="16" t="str">
        <f t="shared" si="16"/>
        <v/>
      </c>
    </row>
    <row r="246" spans="17:22" x14ac:dyDescent="0.15">
      <c r="Q246" s="75" t="str">
        <f t="shared" si="14"/>
        <v/>
      </c>
      <c r="T246" s="16" t="str">
        <f t="shared" si="15"/>
        <v/>
      </c>
      <c r="V246" s="16" t="str">
        <f t="shared" si="16"/>
        <v/>
      </c>
    </row>
    <row r="247" spans="17:22" x14ac:dyDescent="0.15">
      <c r="Q247" s="75" t="str">
        <f t="shared" si="14"/>
        <v/>
      </c>
      <c r="T247" s="16" t="str">
        <f t="shared" si="15"/>
        <v/>
      </c>
      <c r="V247" s="16" t="str">
        <f t="shared" si="16"/>
        <v/>
      </c>
    </row>
    <row r="248" spans="17:22" x14ac:dyDescent="0.15">
      <c r="Q248" s="75" t="str">
        <f t="shared" si="14"/>
        <v/>
      </c>
      <c r="T248" s="16" t="str">
        <f t="shared" si="15"/>
        <v/>
      </c>
      <c r="V248" s="16" t="str">
        <f t="shared" si="16"/>
        <v/>
      </c>
    </row>
    <row r="249" spans="17:22" x14ac:dyDescent="0.15">
      <c r="Q249" s="75" t="str">
        <f t="shared" si="14"/>
        <v/>
      </c>
      <c r="T249" s="16" t="str">
        <f t="shared" si="15"/>
        <v/>
      </c>
      <c r="V249" s="16" t="str">
        <f t="shared" si="16"/>
        <v/>
      </c>
    </row>
    <row r="250" spans="17:22" x14ac:dyDescent="0.15">
      <c r="Q250" s="75" t="str">
        <f t="shared" si="14"/>
        <v/>
      </c>
      <c r="T250" s="16" t="str">
        <f t="shared" si="15"/>
        <v/>
      </c>
      <c r="V250" s="16" t="str">
        <f t="shared" si="16"/>
        <v/>
      </c>
    </row>
    <row r="251" spans="17:22" x14ac:dyDescent="0.15">
      <c r="Q251" s="75" t="str">
        <f t="shared" si="14"/>
        <v/>
      </c>
      <c r="T251" s="16" t="str">
        <f t="shared" si="15"/>
        <v/>
      </c>
      <c r="V251" s="16" t="str">
        <f t="shared" si="16"/>
        <v/>
      </c>
    </row>
    <row r="252" spans="17:22" x14ac:dyDescent="0.15">
      <c r="Q252" s="75" t="str">
        <f t="shared" si="14"/>
        <v/>
      </c>
      <c r="T252" s="16" t="str">
        <f t="shared" si="15"/>
        <v/>
      </c>
      <c r="V252" s="16" t="str">
        <f t="shared" si="16"/>
        <v/>
      </c>
    </row>
    <row r="253" spans="17:22" x14ac:dyDescent="0.15">
      <c r="Q253" s="75" t="str">
        <f t="shared" si="14"/>
        <v/>
      </c>
      <c r="T253" s="16" t="str">
        <f t="shared" si="15"/>
        <v/>
      </c>
      <c r="V253" s="16" t="str">
        <f t="shared" si="16"/>
        <v/>
      </c>
    </row>
    <row r="254" spans="17:22" x14ac:dyDescent="0.15">
      <c r="Q254" s="75" t="str">
        <f t="shared" si="14"/>
        <v/>
      </c>
      <c r="T254" s="16" t="str">
        <f t="shared" si="15"/>
        <v/>
      </c>
      <c r="V254" s="16" t="str">
        <f t="shared" si="16"/>
        <v/>
      </c>
    </row>
    <row r="255" spans="17:22" x14ac:dyDescent="0.15">
      <c r="Q255" s="75" t="str">
        <f t="shared" si="14"/>
        <v/>
      </c>
      <c r="T255" s="16" t="str">
        <f t="shared" si="15"/>
        <v/>
      </c>
      <c r="V255" s="16" t="str">
        <f t="shared" si="16"/>
        <v/>
      </c>
    </row>
    <row r="256" spans="17:22" x14ac:dyDescent="0.15">
      <c r="Q256" s="75" t="str">
        <f t="shared" si="14"/>
        <v/>
      </c>
      <c r="T256" s="16" t="str">
        <f t="shared" si="15"/>
        <v/>
      </c>
      <c r="V256" s="16" t="str">
        <f t="shared" si="16"/>
        <v/>
      </c>
    </row>
    <row r="257" spans="17:22" x14ac:dyDescent="0.15">
      <c r="Q257" s="75" t="str">
        <f t="shared" si="14"/>
        <v/>
      </c>
      <c r="T257" s="16" t="str">
        <f t="shared" si="15"/>
        <v/>
      </c>
      <c r="V257" s="16" t="str">
        <f t="shared" si="16"/>
        <v/>
      </c>
    </row>
    <row r="258" spans="17:22" x14ac:dyDescent="0.15">
      <c r="Q258" s="75" t="str">
        <f t="shared" si="14"/>
        <v/>
      </c>
      <c r="T258" s="16" t="str">
        <f t="shared" si="15"/>
        <v/>
      </c>
      <c r="V258" s="16" t="str">
        <f t="shared" si="16"/>
        <v/>
      </c>
    </row>
    <row r="259" spans="17:22" x14ac:dyDescent="0.15">
      <c r="Q259" s="75" t="str">
        <f t="shared" si="14"/>
        <v/>
      </c>
      <c r="T259" s="16" t="str">
        <f t="shared" si="15"/>
        <v/>
      </c>
      <c r="V259" s="16" t="str">
        <f t="shared" si="16"/>
        <v/>
      </c>
    </row>
    <row r="260" spans="17:22" x14ac:dyDescent="0.15">
      <c r="Q260" s="75" t="str">
        <f t="shared" si="14"/>
        <v/>
      </c>
      <c r="T260" s="16" t="str">
        <f t="shared" si="15"/>
        <v/>
      </c>
      <c r="V260" s="16" t="str">
        <f t="shared" si="16"/>
        <v/>
      </c>
    </row>
    <row r="261" spans="17:22" x14ac:dyDescent="0.15">
      <c r="Q261" s="75" t="str">
        <f t="shared" si="14"/>
        <v/>
      </c>
      <c r="T261" s="16" t="str">
        <f t="shared" si="15"/>
        <v/>
      </c>
      <c r="V261" s="16" t="str">
        <f t="shared" si="16"/>
        <v/>
      </c>
    </row>
    <row r="262" spans="17:22" x14ac:dyDescent="0.15">
      <c r="Q262" s="75" t="str">
        <f t="shared" si="14"/>
        <v/>
      </c>
      <c r="T262" s="16" t="str">
        <f t="shared" si="15"/>
        <v/>
      </c>
      <c r="V262" s="16" t="str">
        <f t="shared" si="16"/>
        <v/>
      </c>
    </row>
    <row r="263" spans="17:22" x14ac:dyDescent="0.15">
      <c r="Q263" s="75" t="str">
        <f t="shared" si="14"/>
        <v/>
      </c>
      <c r="T263" s="16" t="str">
        <f t="shared" si="15"/>
        <v/>
      </c>
      <c r="V263" s="16" t="str">
        <f t="shared" si="16"/>
        <v/>
      </c>
    </row>
    <row r="264" spans="17:22" x14ac:dyDescent="0.15">
      <c r="Q264" s="75" t="str">
        <f t="shared" si="14"/>
        <v/>
      </c>
      <c r="T264" s="16" t="str">
        <f t="shared" si="15"/>
        <v/>
      </c>
      <c r="V264" s="16" t="str">
        <f t="shared" si="16"/>
        <v/>
      </c>
    </row>
    <row r="265" spans="17:22" x14ac:dyDescent="0.15">
      <c r="Q265" s="75" t="str">
        <f t="shared" si="14"/>
        <v/>
      </c>
      <c r="T265" s="16" t="str">
        <f t="shared" si="15"/>
        <v/>
      </c>
      <c r="V265" s="16" t="str">
        <f t="shared" si="16"/>
        <v/>
      </c>
    </row>
    <row r="266" spans="17:22" x14ac:dyDescent="0.15">
      <c r="Q266" s="75" t="str">
        <f t="shared" si="14"/>
        <v/>
      </c>
      <c r="T266" s="16" t="str">
        <f t="shared" si="15"/>
        <v/>
      </c>
      <c r="V266" s="16" t="str">
        <f t="shared" si="16"/>
        <v/>
      </c>
    </row>
    <row r="267" spans="17:22" x14ac:dyDescent="0.15">
      <c r="Q267" s="75" t="str">
        <f t="shared" si="14"/>
        <v/>
      </c>
      <c r="T267" s="16" t="str">
        <f t="shared" si="15"/>
        <v/>
      </c>
      <c r="V267" s="16" t="str">
        <f t="shared" si="16"/>
        <v/>
      </c>
    </row>
    <row r="268" spans="17:22" x14ac:dyDescent="0.15">
      <c r="Q268" s="75" t="str">
        <f t="shared" si="14"/>
        <v/>
      </c>
      <c r="T268" s="16" t="str">
        <f t="shared" si="15"/>
        <v/>
      </c>
      <c r="V268" s="16" t="str">
        <f t="shared" si="16"/>
        <v/>
      </c>
    </row>
    <row r="269" spans="17:22" x14ac:dyDescent="0.15">
      <c r="Q269" s="75" t="str">
        <f t="shared" si="14"/>
        <v/>
      </c>
      <c r="T269" s="16" t="str">
        <f t="shared" si="15"/>
        <v/>
      </c>
      <c r="V269" s="16" t="str">
        <f t="shared" si="16"/>
        <v/>
      </c>
    </row>
    <row r="270" spans="17:22" x14ac:dyDescent="0.15">
      <c r="Q270" s="75" t="str">
        <f t="shared" si="14"/>
        <v/>
      </c>
      <c r="T270" s="16" t="str">
        <f t="shared" si="15"/>
        <v/>
      </c>
      <c r="V270" s="16" t="str">
        <f t="shared" si="16"/>
        <v/>
      </c>
    </row>
    <row r="271" spans="17:22" x14ac:dyDescent="0.15">
      <c r="Q271" s="75" t="str">
        <f t="shared" ref="Q271:Q334" si="17">IF(OR(O271="",P271=""),"",AVERAGE(O271,P271))</f>
        <v/>
      </c>
      <c r="T271" s="16" t="str">
        <f t="shared" ref="T271:T334" si="18">IF(H271="","",IF(OR(H271="GREEN",H271="GK"),IF(S271&gt;=$AX$2,VLOOKUP(S271,$AX$2:$AY$10,2,1),""),IF(S271&gt;=$AZ$2,VLOOKUP(S271,$AZ$2:$BA$10,2,1),"")))</f>
        <v/>
      </c>
      <c r="V271" s="16" t="str">
        <f t="shared" ref="V271:V334" si="19">IF(OR(N271="",U271="",T271=""),"",U271/N271*T271)</f>
        <v/>
      </c>
    </row>
    <row r="272" spans="17:22" x14ac:dyDescent="0.15">
      <c r="Q272" s="75" t="str">
        <f t="shared" si="17"/>
        <v/>
      </c>
      <c r="T272" s="16" t="str">
        <f t="shared" si="18"/>
        <v/>
      </c>
      <c r="V272" s="16" t="str">
        <f t="shared" si="19"/>
        <v/>
      </c>
    </row>
    <row r="273" spans="17:22" x14ac:dyDescent="0.15">
      <c r="Q273" s="75" t="str">
        <f t="shared" si="17"/>
        <v/>
      </c>
      <c r="T273" s="16" t="str">
        <f t="shared" si="18"/>
        <v/>
      </c>
      <c r="V273" s="16" t="str">
        <f t="shared" si="19"/>
        <v/>
      </c>
    </row>
    <row r="274" spans="17:22" x14ac:dyDescent="0.15">
      <c r="Q274" s="75" t="str">
        <f t="shared" si="17"/>
        <v/>
      </c>
      <c r="T274" s="16" t="str">
        <f t="shared" si="18"/>
        <v/>
      </c>
      <c r="V274" s="16" t="str">
        <f t="shared" si="19"/>
        <v/>
      </c>
    </row>
    <row r="275" spans="17:22" x14ac:dyDescent="0.15">
      <c r="Q275" s="75" t="str">
        <f t="shared" si="17"/>
        <v/>
      </c>
      <c r="T275" s="16" t="str">
        <f t="shared" si="18"/>
        <v/>
      </c>
      <c r="V275" s="16" t="str">
        <f t="shared" si="19"/>
        <v/>
      </c>
    </row>
    <row r="276" spans="17:22" x14ac:dyDescent="0.15">
      <c r="Q276" s="75" t="str">
        <f t="shared" si="17"/>
        <v/>
      </c>
      <c r="T276" s="16" t="str">
        <f t="shared" si="18"/>
        <v/>
      </c>
      <c r="V276" s="16" t="str">
        <f t="shared" si="19"/>
        <v/>
      </c>
    </row>
    <row r="277" spans="17:22" x14ac:dyDescent="0.15">
      <c r="Q277" s="75" t="str">
        <f t="shared" si="17"/>
        <v/>
      </c>
      <c r="T277" s="16" t="str">
        <f t="shared" si="18"/>
        <v/>
      </c>
      <c r="V277" s="16" t="str">
        <f t="shared" si="19"/>
        <v/>
      </c>
    </row>
    <row r="278" spans="17:22" x14ac:dyDescent="0.15">
      <c r="Q278" s="75" t="str">
        <f t="shared" si="17"/>
        <v/>
      </c>
      <c r="T278" s="16" t="str">
        <f t="shared" si="18"/>
        <v/>
      </c>
      <c r="V278" s="16" t="str">
        <f t="shared" si="19"/>
        <v/>
      </c>
    </row>
    <row r="279" spans="17:22" x14ac:dyDescent="0.15">
      <c r="Q279" s="75" t="str">
        <f t="shared" si="17"/>
        <v/>
      </c>
      <c r="T279" s="16" t="str">
        <f t="shared" si="18"/>
        <v/>
      </c>
      <c r="V279" s="16" t="str">
        <f t="shared" si="19"/>
        <v/>
      </c>
    </row>
    <row r="280" spans="17:22" x14ac:dyDescent="0.15">
      <c r="Q280" s="75" t="str">
        <f t="shared" si="17"/>
        <v/>
      </c>
      <c r="T280" s="16" t="str">
        <f t="shared" si="18"/>
        <v/>
      </c>
      <c r="V280" s="16" t="str">
        <f t="shared" si="19"/>
        <v/>
      </c>
    </row>
    <row r="281" spans="17:22" x14ac:dyDescent="0.15">
      <c r="Q281" s="75" t="str">
        <f t="shared" si="17"/>
        <v/>
      </c>
      <c r="T281" s="16" t="str">
        <f t="shared" si="18"/>
        <v/>
      </c>
      <c r="V281" s="16" t="str">
        <f t="shared" si="19"/>
        <v/>
      </c>
    </row>
    <row r="282" spans="17:22" x14ac:dyDescent="0.15">
      <c r="Q282" s="75" t="str">
        <f t="shared" si="17"/>
        <v/>
      </c>
      <c r="T282" s="16" t="str">
        <f t="shared" si="18"/>
        <v/>
      </c>
      <c r="V282" s="16" t="str">
        <f t="shared" si="19"/>
        <v/>
      </c>
    </row>
    <row r="283" spans="17:22" x14ac:dyDescent="0.15">
      <c r="Q283" s="75" t="str">
        <f t="shared" si="17"/>
        <v/>
      </c>
      <c r="T283" s="16" t="str">
        <f t="shared" si="18"/>
        <v/>
      </c>
      <c r="V283" s="16" t="str">
        <f t="shared" si="19"/>
        <v/>
      </c>
    </row>
    <row r="284" spans="17:22" x14ac:dyDescent="0.15">
      <c r="Q284" s="75" t="str">
        <f t="shared" si="17"/>
        <v/>
      </c>
      <c r="T284" s="16" t="str">
        <f t="shared" si="18"/>
        <v/>
      </c>
      <c r="V284" s="16" t="str">
        <f t="shared" si="19"/>
        <v/>
      </c>
    </row>
    <row r="285" spans="17:22" x14ac:dyDescent="0.15">
      <c r="Q285" s="75" t="str">
        <f t="shared" si="17"/>
        <v/>
      </c>
      <c r="T285" s="16" t="str">
        <f t="shared" si="18"/>
        <v/>
      </c>
      <c r="V285" s="16" t="str">
        <f t="shared" si="19"/>
        <v/>
      </c>
    </row>
    <row r="286" spans="17:22" x14ac:dyDescent="0.15">
      <c r="Q286" s="75" t="str">
        <f t="shared" si="17"/>
        <v/>
      </c>
      <c r="T286" s="16" t="str">
        <f t="shared" si="18"/>
        <v/>
      </c>
      <c r="V286" s="16" t="str">
        <f t="shared" si="19"/>
        <v/>
      </c>
    </row>
    <row r="287" spans="17:22" x14ac:dyDescent="0.15">
      <c r="Q287" s="75" t="str">
        <f t="shared" si="17"/>
        <v/>
      </c>
      <c r="T287" s="16" t="str">
        <f t="shared" si="18"/>
        <v/>
      </c>
      <c r="V287" s="16" t="str">
        <f t="shared" si="19"/>
        <v/>
      </c>
    </row>
    <row r="288" spans="17:22" x14ac:dyDescent="0.15">
      <c r="Q288" s="75" t="str">
        <f t="shared" si="17"/>
        <v/>
      </c>
      <c r="T288" s="16" t="str">
        <f t="shared" si="18"/>
        <v/>
      </c>
      <c r="V288" s="16" t="str">
        <f t="shared" si="19"/>
        <v/>
      </c>
    </row>
    <row r="289" spans="17:22" x14ac:dyDescent="0.15">
      <c r="Q289" s="75" t="str">
        <f t="shared" si="17"/>
        <v/>
      </c>
      <c r="T289" s="16" t="str">
        <f t="shared" si="18"/>
        <v/>
      </c>
      <c r="V289" s="16" t="str">
        <f t="shared" si="19"/>
        <v/>
      </c>
    </row>
    <row r="290" spans="17:22" x14ac:dyDescent="0.15">
      <c r="Q290" s="75" t="str">
        <f t="shared" si="17"/>
        <v/>
      </c>
      <c r="T290" s="16" t="str">
        <f t="shared" si="18"/>
        <v/>
      </c>
      <c r="V290" s="16" t="str">
        <f t="shared" si="19"/>
        <v/>
      </c>
    </row>
    <row r="291" spans="17:22" x14ac:dyDescent="0.15">
      <c r="Q291" s="75" t="str">
        <f t="shared" si="17"/>
        <v/>
      </c>
      <c r="T291" s="16" t="str">
        <f t="shared" si="18"/>
        <v/>
      </c>
      <c r="V291" s="16" t="str">
        <f t="shared" si="19"/>
        <v/>
      </c>
    </row>
    <row r="292" spans="17:22" x14ac:dyDescent="0.15">
      <c r="Q292" s="75" t="str">
        <f t="shared" si="17"/>
        <v/>
      </c>
      <c r="T292" s="16" t="str">
        <f t="shared" si="18"/>
        <v/>
      </c>
      <c r="V292" s="16" t="str">
        <f t="shared" si="19"/>
        <v/>
      </c>
    </row>
    <row r="293" spans="17:22" x14ac:dyDescent="0.15">
      <c r="Q293" s="75" t="str">
        <f t="shared" si="17"/>
        <v/>
      </c>
      <c r="T293" s="16" t="str">
        <f t="shared" si="18"/>
        <v/>
      </c>
      <c r="V293" s="16" t="str">
        <f t="shared" si="19"/>
        <v/>
      </c>
    </row>
    <row r="294" spans="17:22" x14ac:dyDescent="0.15">
      <c r="Q294" s="75" t="str">
        <f t="shared" si="17"/>
        <v/>
      </c>
      <c r="T294" s="16" t="str">
        <f t="shared" si="18"/>
        <v/>
      </c>
      <c r="V294" s="16" t="str">
        <f t="shared" si="19"/>
        <v/>
      </c>
    </row>
    <row r="295" spans="17:22" x14ac:dyDescent="0.15">
      <c r="Q295" s="75" t="str">
        <f t="shared" si="17"/>
        <v/>
      </c>
      <c r="T295" s="16" t="str">
        <f t="shared" si="18"/>
        <v/>
      </c>
      <c r="V295" s="16" t="str">
        <f t="shared" si="19"/>
        <v/>
      </c>
    </row>
    <row r="296" spans="17:22" x14ac:dyDescent="0.15">
      <c r="Q296" s="75" t="str">
        <f t="shared" si="17"/>
        <v/>
      </c>
      <c r="T296" s="16" t="str">
        <f t="shared" si="18"/>
        <v/>
      </c>
      <c r="V296" s="16" t="str">
        <f t="shared" si="19"/>
        <v/>
      </c>
    </row>
    <row r="297" spans="17:22" x14ac:dyDescent="0.15">
      <c r="Q297" s="75" t="str">
        <f t="shared" si="17"/>
        <v/>
      </c>
      <c r="T297" s="16" t="str">
        <f t="shared" si="18"/>
        <v/>
      </c>
      <c r="V297" s="16" t="str">
        <f t="shared" si="19"/>
        <v/>
      </c>
    </row>
    <row r="298" spans="17:22" x14ac:dyDescent="0.15">
      <c r="Q298" s="75" t="str">
        <f t="shared" si="17"/>
        <v/>
      </c>
      <c r="T298" s="16" t="str">
        <f t="shared" si="18"/>
        <v/>
      </c>
      <c r="V298" s="16" t="str">
        <f t="shared" si="19"/>
        <v/>
      </c>
    </row>
    <row r="299" spans="17:22" x14ac:dyDescent="0.15">
      <c r="Q299" s="75" t="str">
        <f t="shared" si="17"/>
        <v/>
      </c>
      <c r="T299" s="16" t="str">
        <f t="shared" si="18"/>
        <v/>
      </c>
      <c r="V299" s="16" t="str">
        <f t="shared" si="19"/>
        <v/>
      </c>
    </row>
    <row r="300" spans="17:22" x14ac:dyDescent="0.15">
      <c r="Q300" s="75" t="str">
        <f t="shared" si="17"/>
        <v/>
      </c>
      <c r="T300" s="16" t="str">
        <f t="shared" si="18"/>
        <v/>
      </c>
      <c r="V300" s="16" t="str">
        <f t="shared" si="19"/>
        <v/>
      </c>
    </row>
    <row r="301" spans="17:22" x14ac:dyDescent="0.15">
      <c r="Q301" s="75" t="str">
        <f t="shared" si="17"/>
        <v/>
      </c>
      <c r="T301" s="16" t="str">
        <f t="shared" si="18"/>
        <v/>
      </c>
      <c r="V301" s="16" t="str">
        <f t="shared" si="19"/>
        <v/>
      </c>
    </row>
    <row r="302" spans="17:22" x14ac:dyDescent="0.15">
      <c r="Q302" s="75" t="str">
        <f t="shared" si="17"/>
        <v/>
      </c>
      <c r="T302" s="16" t="str">
        <f t="shared" si="18"/>
        <v/>
      </c>
      <c r="V302" s="16" t="str">
        <f t="shared" si="19"/>
        <v/>
      </c>
    </row>
    <row r="303" spans="17:22" x14ac:dyDescent="0.15">
      <c r="Q303" s="75" t="str">
        <f t="shared" si="17"/>
        <v/>
      </c>
      <c r="T303" s="16" t="str">
        <f t="shared" si="18"/>
        <v/>
      </c>
      <c r="V303" s="16" t="str">
        <f t="shared" si="19"/>
        <v/>
      </c>
    </row>
    <row r="304" spans="17:22" x14ac:dyDescent="0.15">
      <c r="Q304" s="75" t="str">
        <f t="shared" si="17"/>
        <v/>
      </c>
      <c r="T304" s="16" t="str">
        <f t="shared" si="18"/>
        <v/>
      </c>
      <c r="V304" s="16" t="str">
        <f t="shared" si="19"/>
        <v/>
      </c>
    </row>
    <row r="305" spans="17:22" x14ac:dyDescent="0.15">
      <c r="Q305" s="75" t="str">
        <f t="shared" si="17"/>
        <v/>
      </c>
      <c r="T305" s="16" t="str">
        <f t="shared" si="18"/>
        <v/>
      </c>
      <c r="V305" s="16" t="str">
        <f t="shared" si="19"/>
        <v/>
      </c>
    </row>
    <row r="306" spans="17:22" x14ac:dyDescent="0.15">
      <c r="Q306" s="75" t="str">
        <f t="shared" si="17"/>
        <v/>
      </c>
      <c r="T306" s="16" t="str">
        <f t="shared" si="18"/>
        <v/>
      </c>
      <c r="V306" s="16" t="str">
        <f t="shared" si="19"/>
        <v/>
      </c>
    </row>
    <row r="307" spans="17:22" x14ac:dyDescent="0.15">
      <c r="Q307" s="75" t="str">
        <f t="shared" si="17"/>
        <v/>
      </c>
      <c r="T307" s="16" t="str">
        <f t="shared" si="18"/>
        <v/>
      </c>
      <c r="V307" s="16" t="str">
        <f t="shared" si="19"/>
        <v/>
      </c>
    </row>
    <row r="308" spans="17:22" x14ac:dyDescent="0.15">
      <c r="Q308" s="75" t="str">
        <f t="shared" si="17"/>
        <v/>
      </c>
      <c r="T308" s="16" t="str">
        <f t="shared" si="18"/>
        <v/>
      </c>
      <c r="V308" s="16" t="str">
        <f t="shared" si="19"/>
        <v/>
      </c>
    </row>
    <row r="309" spans="17:22" x14ac:dyDescent="0.15">
      <c r="Q309" s="75" t="str">
        <f t="shared" si="17"/>
        <v/>
      </c>
      <c r="T309" s="16" t="str">
        <f t="shared" si="18"/>
        <v/>
      </c>
      <c r="V309" s="16" t="str">
        <f t="shared" si="19"/>
        <v/>
      </c>
    </row>
    <row r="310" spans="17:22" x14ac:dyDescent="0.15">
      <c r="Q310" s="75" t="str">
        <f t="shared" si="17"/>
        <v/>
      </c>
      <c r="T310" s="16" t="str">
        <f t="shared" si="18"/>
        <v/>
      </c>
      <c r="V310" s="16" t="str">
        <f t="shared" si="19"/>
        <v/>
      </c>
    </row>
    <row r="311" spans="17:22" x14ac:dyDescent="0.15">
      <c r="Q311" s="75" t="str">
        <f t="shared" si="17"/>
        <v/>
      </c>
      <c r="T311" s="16" t="str">
        <f t="shared" si="18"/>
        <v/>
      </c>
      <c r="V311" s="16" t="str">
        <f t="shared" si="19"/>
        <v/>
      </c>
    </row>
    <row r="312" spans="17:22" x14ac:dyDescent="0.15">
      <c r="Q312" s="75" t="str">
        <f t="shared" si="17"/>
        <v/>
      </c>
      <c r="T312" s="16" t="str">
        <f t="shared" si="18"/>
        <v/>
      </c>
      <c r="V312" s="16" t="str">
        <f t="shared" si="19"/>
        <v/>
      </c>
    </row>
    <row r="313" spans="17:22" x14ac:dyDescent="0.15">
      <c r="Q313" s="75" t="str">
        <f t="shared" si="17"/>
        <v/>
      </c>
      <c r="T313" s="16" t="str">
        <f t="shared" si="18"/>
        <v/>
      </c>
      <c r="V313" s="16" t="str">
        <f t="shared" si="19"/>
        <v/>
      </c>
    </row>
    <row r="314" spans="17:22" x14ac:dyDescent="0.15">
      <c r="Q314" s="75" t="str">
        <f t="shared" si="17"/>
        <v/>
      </c>
      <c r="T314" s="16" t="str">
        <f t="shared" si="18"/>
        <v/>
      </c>
      <c r="V314" s="16" t="str">
        <f t="shared" si="19"/>
        <v/>
      </c>
    </row>
    <row r="315" spans="17:22" x14ac:dyDescent="0.15">
      <c r="Q315" s="75" t="str">
        <f t="shared" si="17"/>
        <v/>
      </c>
      <c r="T315" s="16" t="str">
        <f t="shared" si="18"/>
        <v/>
      </c>
      <c r="V315" s="16" t="str">
        <f t="shared" si="19"/>
        <v/>
      </c>
    </row>
    <row r="316" spans="17:22" x14ac:dyDescent="0.15">
      <c r="Q316" s="75" t="str">
        <f t="shared" si="17"/>
        <v/>
      </c>
      <c r="T316" s="16" t="str">
        <f t="shared" si="18"/>
        <v/>
      </c>
      <c r="V316" s="16" t="str">
        <f t="shared" si="19"/>
        <v/>
      </c>
    </row>
    <row r="317" spans="17:22" x14ac:dyDescent="0.15">
      <c r="Q317" s="75" t="str">
        <f t="shared" si="17"/>
        <v/>
      </c>
      <c r="T317" s="16" t="str">
        <f t="shared" si="18"/>
        <v/>
      </c>
      <c r="V317" s="16" t="str">
        <f t="shared" si="19"/>
        <v/>
      </c>
    </row>
    <row r="318" spans="17:22" x14ac:dyDescent="0.15">
      <c r="Q318" s="75" t="str">
        <f t="shared" si="17"/>
        <v/>
      </c>
      <c r="T318" s="16" t="str">
        <f t="shared" si="18"/>
        <v/>
      </c>
      <c r="V318" s="16" t="str">
        <f t="shared" si="19"/>
        <v/>
      </c>
    </row>
    <row r="319" spans="17:22" x14ac:dyDescent="0.15">
      <c r="Q319" s="75" t="str">
        <f t="shared" si="17"/>
        <v/>
      </c>
      <c r="T319" s="16" t="str">
        <f t="shared" si="18"/>
        <v/>
      </c>
      <c r="V319" s="16" t="str">
        <f t="shared" si="19"/>
        <v/>
      </c>
    </row>
    <row r="320" spans="17:22" x14ac:dyDescent="0.15">
      <c r="Q320" s="75" t="str">
        <f t="shared" si="17"/>
        <v/>
      </c>
      <c r="T320" s="16" t="str">
        <f t="shared" si="18"/>
        <v/>
      </c>
      <c r="V320" s="16" t="str">
        <f t="shared" si="19"/>
        <v/>
      </c>
    </row>
    <row r="321" spans="17:22" x14ac:dyDescent="0.15">
      <c r="Q321" s="75" t="str">
        <f t="shared" si="17"/>
        <v/>
      </c>
      <c r="T321" s="16" t="str">
        <f t="shared" si="18"/>
        <v/>
      </c>
      <c r="V321" s="16" t="str">
        <f t="shared" si="19"/>
        <v/>
      </c>
    </row>
    <row r="322" spans="17:22" x14ac:dyDescent="0.15">
      <c r="Q322" s="75" t="str">
        <f t="shared" si="17"/>
        <v/>
      </c>
      <c r="T322" s="16" t="str">
        <f t="shared" si="18"/>
        <v/>
      </c>
      <c r="V322" s="16" t="str">
        <f t="shared" si="19"/>
        <v/>
      </c>
    </row>
    <row r="323" spans="17:22" x14ac:dyDescent="0.15">
      <c r="Q323" s="75" t="str">
        <f t="shared" si="17"/>
        <v/>
      </c>
      <c r="T323" s="16" t="str">
        <f t="shared" si="18"/>
        <v/>
      </c>
      <c r="V323" s="16" t="str">
        <f t="shared" si="19"/>
        <v/>
      </c>
    </row>
    <row r="324" spans="17:22" x14ac:dyDescent="0.15">
      <c r="Q324" s="75" t="str">
        <f t="shared" si="17"/>
        <v/>
      </c>
      <c r="T324" s="16" t="str">
        <f t="shared" si="18"/>
        <v/>
      </c>
      <c r="V324" s="16" t="str">
        <f t="shared" si="19"/>
        <v/>
      </c>
    </row>
    <row r="325" spans="17:22" x14ac:dyDescent="0.15">
      <c r="Q325" s="75" t="str">
        <f t="shared" si="17"/>
        <v/>
      </c>
      <c r="T325" s="16" t="str">
        <f t="shared" si="18"/>
        <v/>
      </c>
      <c r="V325" s="16" t="str">
        <f t="shared" si="19"/>
        <v/>
      </c>
    </row>
    <row r="326" spans="17:22" x14ac:dyDescent="0.15">
      <c r="Q326" s="75" t="str">
        <f t="shared" si="17"/>
        <v/>
      </c>
      <c r="T326" s="16" t="str">
        <f t="shared" si="18"/>
        <v/>
      </c>
      <c r="V326" s="16" t="str">
        <f t="shared" si="19"/>
        <v/>
      </c>
    </row>
    <row r="327" spans="17:22" x14ac:dyDescent="0.15">
      <c r="Q327" s="75" t="str">
        <f t="shared" si="17"/>
        <v/>
      </c>
      <c r="T327" s="16" t="str">
        <f t="shared" si="18"/>
        <v/>
      </c>
      <c r="V327" s="16" t="str">
        <f t="shared" si="19"/>
        <v/>
      </c>
    </row>
    <row r="328" spans="17:22" x14ac:dyDescent="0.15">
      <c r="Q328" s="75" t="str">
        <f t="shared" si="17"/>
        <v/>
      </c>
      <c r="T328" s="16" t="str">
        <f t="shared" si="18"/>
        <v/>
      </c>
      <c r="V328" s="16" t="str">
        <f t="shared" si="19"/>
        <v/>
      </c>
    </row>
    <row r="329" spans="17:22" x14ac:dyDescent="0.15">
      <c r="Q329" s="75" t="str">
        <f t="shared" si="17"/>
        <v/>
      </c>
      <c r="T329" s="16" t="str">
        <f t="shared" si="18"/>
        <v/>
      </c>
      <c r="V329" s="16" t="str">
        <f t="shared" si="19"/>
        <v/>
      </c>
    </row>
    <row r="330" spans="17:22" x14ac:dyDescent="0.15">
      <c r="Q330" s="75" t="str">
        <f t="shared" si="17"/>
        <v/>
      </c>
      <c r="T330" s="16" t="str">
        <f t="shared" si="18"/>
        <v/>
      </c>
      <c r="V330" s="16" t="str">
        <f t="shared" si="19"/>
        <v/>
      </c>
    </row>
    <row r="331" spans="17:22" x14ac:dyDescent="0.15">
      <c r="Q331" s="75" t="str">
        <f t="shared" si="17"/>
        <v/>
      </c>
      <c r="T331" s="16" t="str">
        <f t="shared" si="18"/>
        <v/>
      </c>
      <c r="V331" s="16" t="str">
        <f t="shared" si="19"/>
        <v/>
      </c>
    </row>
    <row r="332" spans="17:22" x14ac:dyDescent="0.15">
      <c r="Q332" s="75" t="str">
        <f t="shared" si="17"/>
        <v/>
      </c>
      <c r="T332" s="16" t="str">
        <f t="shared" si="18"/>
        <v/>
      </c>
      <c r="V332" s="16" t="str">
        <f t="shared" si="19"/>
        <v/>
      </c>
    </row>
    <row r="333" spans="17:22" x14ac:dyDescent="0.15">
      <c r="Q333" s="75" t="str">
        <f t="shared" si="17"/>
        <v/>
      </c>
      <c r="T333" s="16" t="str">
        <f t="shared" si="18"/>
        <v/>
      </c>
      <c r="V333" s="16" t="str">
        <f t="shared" si="19"/>
        <v/>
      </c>
    </row>
    <row r="334" spans="17:22" x14ac:dyDescent="0.15">
      <c r="Q334" s="75" t="str">
        <f t="shared" si="17"/>
        <v/>
      </c>
      <c r="T334" s="16" t="str">
        <f t="shared" si="18"/>
        <v/>
      </c>
      <c r="V334" s="16" t="str">
        <f t="shared" si="19"/>
        <v/>
      </c>
    </row>
    <row r="335" spans="17:22" x14ac:dyDescent="0.15">
      <c r="Q335" s="75" t="str">
        <f t="shared" ref="Q335:Q393" si="20">IF(OR(O335="",P335=""),"",AVERAGE(O335,P335))</f>
        <v/>
      </c>
      <c r="T335" s="16" t="str">
        <f t="shared" ref="T335:T393" si="21">IF(H335="","",IF(OR(H335="GREEN",H335="GK"),IF(S335&gt;=$AX$2,VLOOKUP(S335,$AX$2:$AY$10,2,1),""),IF(S335&gt;=$AZ$2,VLOOKUP(S335,$AZ$2:$BA$10,2,1),"")))</f>
        <v/>
      </c>
      <c r="V335" s="16" t="str">
        <f t="shared" ref="V335:V398" si="22">IF(OR(N335="",U335="",T335=""),"",U335/N335*T335)</f>
        <v/>
      </c>
    </row>
    <row r="336" spans="17:22" x14ac:dyDescent="0.15">
      <c r="Q336" s="75" t="str">
        <f t="shared" si="20"/>
        <v/>
      </c>
      <c r="T336" s="16" t="str">
        <f t="shared" si="21"/>
        <v/>
      </c>
      <c r="V336" s="16" t="str">
        <f t="shared" si="22"/>
        <v/>
      </c>
    </row>
    <row r="337" spans="17:22" x14ac:dyDescent="0.15">
      <c r="Q337" s="75" t="str">
        <f t="shared" si="20"/>
        <v/>
      </c>
      <c r="T337" s="16" t="str">
        <f t="shared" si="21"/>
        <v/>
      </c>
      <c r="V337" s="16" t="str">
        <f t="shared" si="22"/>
        <v/>
      </c>
    </row>
    <row r="338" spans="17:22" x14ac:dyDescent="0.15">
      <c r="Q338" s="75" t="str">
        <f t="shared" si="20"/>
        <v/>
      </c>
      <c r="T338" s="16" t="str">
        <f t="shared" si="21"/>
        <v/>
      </c>
      <c r="V338" s="16" t="str">
        <f t="shared" si="22"/>
        <v/>
      </c>
    </row>
    <row r="339" spans="17:22" x14ac:dyDescent="0.15">
      <c r="Q339" s="75" t="str">
        <f t="shared" si="20"/>
        <v/>
      </c>
      <c r="T339" s="16" t="str">
        <f t="shared" si="21"/>
        <v/>
      </c>
      <c r="V339" s="16" t="str">
        <f t="shared" si="22"/>
        <v/>
      </c>
    </row>
    <row r="340" spans="17:22" x14ac:dyDescent="0.15">
      <c r="Q340" s="75" t="str">
        <f t="shared" si="20"/>
        <v/>
      </c>
      <c r="T340" s="16" t="str">
        <f t="shared" si="21"/>
        <v/>
      </c>
      <c r="V340" s="16" t="str">
        <f t="shared" si="22"/>
        <v/>
      </c>
    </row>
    <row r="341" spans="17:22" x14ac:dyDescent="0.15">
      <c r="Q341" s="75" t="str">
        <f t="shared" si="20"/>
        <v/>
      </c>
      <c r="T341" s="16" t="str">
        <f t="shared" si="21"/>
        <v/>
      </c>
      <c r="V341" s="16" t="str">
        <f t="shared" si="22"/>
        <v/>
      </c>
    </row>
    <row r="342" spans="17:22" x14ac:dyDescent="0.15">
      <c r="Q342" s="75" t="str">
        <f t="shared" si="20"/>
        <v/>
      </c>
      <c r="T342" s="16" t="str">
        <f t="shared" si="21"/>
        <v/>
      </c>
      <c r="V342" s="16" t="str">
        <f t="shared" si="22"/>
        <v/>
      </c>
    </row>
    <row r="343" spans="17:22" x14ac:dyDescent="0.15">
      <c r="Q343" s="75" t="str">
        <f t="shared" si="20"/>
        <v/>
      </c>
      <c r="T343" s="16" t="str">
        <f t="shared" si="21"/>
        <v/>
      </c>
      <c r="V343" s="16" t="str">
        <f t="shared" si="22"/>
        <v/>
      </c>
    </row>
    <row r="344" spans="17:22" x14ac:dyDescent="0.15">
      <c r="Q344" s="75" t="str">
        <f t="shared" si="20"/>
        <v/>
      </c>
      <c r="T344" s="16" t="str">
        <f t="shared" si="21"/>
        <v/>
      </c>
      <c r="V344" s="16" t="str">
        <f t="shared" si="22"/>
        <v/>
      </c>
    </row>
    <row r="345" spans="17:22" x14ac:dyDescent="0.15">
      <c r="T345" s="16" t="str">
        <f t="shared" si="21"/>
        <v/>
      </c>
      <c r="V345" s="16" t="str">
        <f t="shared" si="22"/>
        <v/>
      </c>
    </row>
    <row r="346" spans="17:22" x14ac:dyDescent="0.15">
      <c r="T346" s="16" t="str">
        <f t="shared" si="21"/>
        <v/>
      </c>
      <c r="V346" s="16" t="str">
        <f t="shared" si="22"/>
        <v/>
      </c>
    </row>
    <row r="347" spans="17:22" x14ac:dyDescent="0.15">
      <c r="T347" s="16" t="str">
        <f t="shared" si="21"/>
        <v/>
      </c>
      <c r="V347" s="16" t="str">
        <f t="shared" si="22"/>
        <v/>
      </c>
    </row>
    <row r="348" spans="17:22" x14ac:dyDescent="0.15">
      <c r="T348" s="16" t="str">
        <f t="shared" si="21"/>
        <v/>
      </c>
      <c r="V348" s="16" t="str">
        <f t="shared" si="22"/>
        <v/>
      </c>
    </row>
    <row r="349" spans="17:22" x14ac:dyDescent="0.15">
      <c r="T349" s="16" t="str">
        <f t="shared" si="21"/>
        <v/>
      </c>
      <c r="V349" s="16" t="str">
        <f t="shared" si="22"/>
        <v/>
      </c>
    </row>
    <row r="350" spans="17:22" x14ac:dyDescent="0.15">
      <c r="T350" s="16" t="str">
        <f t="shared" si="21"/>
        <v/>
      </c>
      <c r="V350" s="16" t="str">
        <f t="shared" si="22"/>
        <v/>
      </c>
    </row>
    <row r="351" spans="17:22" x14ac:dyDescent="0.15">
      <c r="T351" s="16" t="str">
        <f t="shared" si="21"/>
        <v/>
      </c>
      <c r="V351" s="16" t="str">
        <f t="shared" si="22"/>
        <v/>
      </c>
    </row>
    <row r="352" spans="17:22" x14ac:dyDescent="0.15">
      <c r="T352" s="16" t="str">
        <f t="shared" si="21"/>
        <v/>
      </c>
      <c r="V352" s="16" t="str">
        <f t="shared" si="22"/>
        <v/>
      </c>
    </row>
    <row r="353" spans="20:20" x14ac:dyDescent="0.15">
      <c r="T353" s="16" t="str">
        <f t="shared" si="21"/>
        <v/>
      </c>
    </row>
    <row r="354" spans="20:20" x14ac:dyDescent="0.15">
      <c r="T354" s="16" t="str">
        <f t="shared" si="21"/>
        <v/>
      </c>
    </row>
    <row r="355" spans="20:20" x14ac:dyDescent="0.15">
      <c r="T355" s="16" t="str">
        <f t="shared" si="21"/>
        <v/>
      </c>
    </row>
    <row r="356" spans="20:20" x14ac:dyDescent="0.15">
      <c r="T356" s="16" t="str">
        <f t="shared" si="21"/>
        <v/>
      </c>
    </row>
    <row r="357" spans="20:20" x14ac:dyDescent="0.15">
      <c r="T357" s="16" t="str">
        <f t="shared" si="21"/>
        <v/>
      </c>
    </row>
    <row r="358" spans="20:20" x14ac:dyDescent="0.15">
      <c r="T358" s="16" t="str">
        <f t="shared" si="21"/>
        <v/>
      </c>
    </row>
    <row r="359" spans="20:20" x14ac:dyDescent="0.15">
      <c r="T359" s="16" t="str">
        <f t="shared" si="21"/>
        <v/>
      </c>
    </row>
    <row r="360" spans="20:20" x14ac:dyDescent="0.15">
      <c r="T360" s="16" t="str">
        <f t="shared" si="21"/>
        <v/>
      </c>
    </row>
    <row r="361" spans="20:20" x14ac:dyDescent="0.15">
      <c r="T361" s="16" t="str">
        <f t="shared" si="21"/>
        <v/>
      </c>
    </row>
    <row r="362" spans="20:20" x14ac:dyDescent="0.15">
      <c r="T362" s="16" t="str">
        <f t="shared" si="21"/>
        <v/>
      </c>
    </row>
    <row r="363" spans="20:20" x14ac:dyDescent="0.15">
      <c r="T363" s="16" t="str">
        <f t="shared" si="21"/>
        <v/>
      </c>
    </row>
    <row r="364" spans="20:20" x14ac:dyDescent="0.15">
      <c r="T364" s="16" t="str">
        <f t="shared" si="21"/>
        <v/>
      </c>
    </row>
    <row r="365" spans="20:20" x14ac:dyDescent="0.15">
      <c r="T365" s="16" t="str">
        <f t="shared" si="21"/>
        <v/>
      </c>
    </row>
    <row r="366" spans="20:20" x14ac:dyDescent="0.15">
      <c r="T366" s="16" t="str">
        <f t="shared" si="21"/>
        <v/>
      </c>
    </row>
    <row r="367" spans="20:20" x14ac:dyDescent="0.15">
      <c r="T367" s="16" t="str">
        <f t="shared" si="21"/>
        <v/>
      </c>
    </row>
    <row r="368" spans="20:20" x14ac:dyDescent="0.15">
      <c r="T368" s="16" t="str">
        <f t="shared" si="21"/>
        <v/>
      </c>
    </row>
    <row r="369" spans="20:23" x14ac:dyDescent="0.15">
      <c r="T369" s="16" t="str">
        <f t="shared" si="21"/>
        <v/>
      </c>
    </row>
    <row r="370" spans="20:23" x14ac:dyDescent="0.15">
      <c r="T370" s="16" t="str">
        <f t="shared" si="21"/>
        <v/>
      </c>
    </row>
    <row r="371" spans="20:23" x14ac:dyDescent="0.15">
      <c r="T371" s="16" t="str">
        <f t="shared" si="21"/>
        <v/>
      </c>
    </row>
    <row r="372" spans="20:23" x14ac:dyDescent="0.15">
      <c r="T372" s="16" t="str">
        <f t="shared" si="21"/>
        <v/>
      </c>
    </row>
    <row r="373" spans="20:23" x14ac:dyDescent="0.15">
      <c r="W373" s="53" t="s">
        <v>233</v>
      </c>
    </row>
  </sheetData>
  <autoFilter ref="A1:BA372" xr:uid="{00000000-0009-0000-0000-000001000000}"/>
  <phoneticPr fontId="3"/>
  <dataValidations count="14">
    <dataValidation type="list" allowBlank="1" showInputMessage="1" showErrorMessage="1" sqref="X2:X328" xr:uid="{36000CC0-16DE-4D5B-97F6-123776F72CFE}">
      <formula1>$AT$2:$AT$3</formula1>
    </dataValidation>
    <dataValidation type="list" allowBlank="1" showInputMessage="1" showErrorMessage="1" sqref="G2:G328" xr:uid="{9DA75605-4ADD-4DCB-BEA5-69E6B2831057}">
      <formula1>$AJ$2:$AJ$4</formula1>
    </dataValidation>
    <dataValidation type="list" allowBlank="1" showInputMessage="1" showErrorMessage="1" sqref="F1:F65482" xr:uid="{07838319-B075-48B5-A16D-C0FAEA4525E4}">
      <formula1>$AH$2:$AH$11</formula1>
    </dataValidation>
    <dataValidation type="decimal" allowBlank="1" showInputMessage="1" showErrorMessage="1" error="硬度を正しく入力して下さい。" sqref="O2:P328" xr:uid="{B4A39997-ABE2-48B3-833F-149FE570F023}">
      <formula1>0</formula1>
      <formula2>7</formula2>
    </dataValidation>
    <dataValidation type="list" allowBlank="1" showInputMessage="1" showErrorMessage="1" sqref="I2:I328" xr:uid="{DF7A71F4-81ED-4320-89C0-99DDC586C0C8}">
      <formula1>$AN$5:$AN$6</formula1>
    </dataValidation>
    <dataValidation type="list" allowBlank="1" showInputMessage="1" showErrorMessage="1" sqref="H2:H328" xr:uid="{A8D18828-4D7C-45A4-85C5-033CDB353664}">
      <formula1>$AL$2:$AL$8</formula1>
    </dataValidation>
    <dataValidation type="list" allowBlank="1" showInputMessage="1" showErrorMessage="1" sqref="E1:E65482" xr:uid="{563ADAF5-B33C-4359-A99B-CB8FFAB44FAE}">
      <formula1>$AG$2:$AG$11</formula1>
    </dataValidation>
    <dataValidation type="list" allowBlank="1" showInputMessage="1" showErrorMessage="1" sqref="J2:J328" xr:uid="{51A272F1-0C32-4CA0-B523-096D96549E7F}">
      <formula1>$AP$2:$AP$19</formula1>
    </dataValidation>
    <dataValidation allowBlank="1" showInputMessage="1" showErrorMessage="1" sqref="B2:B139" xr:uid="{906C91FC-D356-4B19-898E-32F1B24437F1}"/>
    <dataValidation type="list" allowBlank="1" showInputMessage="1" showErrorMessage="1" sqref="Y2:AA139" xr:uid="{C8CEE949-A19C-474F-807D-7E97066AFB59}">
      <formula1>$AV$2:$AV$23</formula1>
    </dataValidation>
    <dataValidation type="list" allowBlank="1" showInputMessage="1" showErrorMessage="1" sqref="K2:K144" xr:uid="{34B05609-9604-48DA-9851-D5689DE60AC8}">
      <formula1>$AR$2:$AR$23</formula1>
    </dataValidation>
    <dataValidation type="list" allowBlank="1" showInputMessage="1" showErrorMessage="1" sqref="A2:A328" xr:uid="{2A374C30-0E02-486B-A848-DDC11FB0968B}">
      <formula1>$AE$2:$AE$16</formula1>
    </dataValidation>
    <dataValidation type="list" allowBlank="1" showInputMessage="1" showErrorMessage="1" sqref="Y140:AA328" xr:uid="{7C8A4657-1F20-490B-B018-7D4E539C6C61}">
      <formula1>$AV$2:$AV$16</formula1>
    </dataValidation>
    <dataValidation type="list" allowBlank="1" showInputMessage="1" showErrorMessage="1" sqref="K145:K328" xr:uid="{E85CCCA8-F856-42D1-851D-940C250E3195}">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67A7-00B7-4A92-BFA0-6C1B92380327}">
  <dimension ref="A1:BA82"/>
  <sheetViews>
    <sheetView zoomScale="85" zoomScaleNormal="85" workbookViewId="0">
      <selection activeCell="AD29" sqref="AD29"/>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234</v>
      </c>
      <c r="C2" s="53">
        <v>2019</v>
      </c>
      <c r="D2" s="81" t="s">
        <v>166</v>
      </c>
      <c r="E2" s="53" t="s">
        <v>235</v>
      </c>
      <c r="F2" s="53" t="s">
        <v>236</v>
      </c>
      <c r="G2" s="53" t="s">
        <v>42</v>
      </c>
      <c r="H2" s="53" t="s">
        <v>164</v>
      </c>
      <c r="I2" s="53" t="s">
        <v>198</v>
      </c>
      <c r="J2" s="53" t="s">
        <v>38</v>
      </c>
      <c r="K2" s="53" t="s">
        <v>161</v>
      </c>
      <c r="L2" s="53">
        <v>1</v>
      </c>
      <c r="N2" s="53">
        <v>5</v>
      </c>
      <c r="O2" s="53">
        <v>0.65</v>
      </c>
      <c r="P2" s="53">
        <v>0.8</v>
      </c>
      <c r="Q2" s="75">
        <f t="shared" ref="Q2:Q61" si="0">IF(OR(O2="",P2=""),"",AVERAGE(O2,P2))</f>
        <v>0.72500000000000009</v>
      </c>
      <c r="R2" s="53">
        <v>16.100000000000001</v>
      </c>
      <c r="S2" s="53">
        <v>102</v>
      </c>
      <c r="T2" s="16">
        <f t="shared" ref="T2:T61" si="1">IF(H2="","",IF(OR(H2="GREEN",H2="GK"),IF(S2&gt;=$AX$2,VLOOKUP(S2,$AX$2:$AY$10,2,1),""),IF(S2&gt;=$AZ$2,VLOOKUP(S2,$AZ$2:$BA$10,2,1),"")))</f>
        <v>33</v>
      </c>
      <c r="U2" s="53">
        <v>539</v>
      </c>
      <c r="V2" s="16">
        <f t="shared" ref="V2:V61" si="2">IF(OR(N2="",U2="",T2=""),"",U2/N2*T2)</f>
        <v>3557.4</v>
      </c>
      <c r="W2" s="53">
        <v>3</v>
      </c>
      <c r="X2" s="53" t="s">
        <v>46</v>
      </c>
      <c r="Y2" s="53" t="s">
        <v>90</v>
      </c>
      <c r="Z2" s="53" t="s">
        <v>102</v>
      </c>
      <c r="AA2" s="53" t="s">
        <v>97</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234</v>
      </c>
      <c r="C3" s="53">
        <v>2019</v>
      </c>
      <c r="D3" s="81" t="s">
        <v>166</v>
      </c>
      <c r="E3" s="53" t="s">
        <v>235</v>
      </c>
      <c r="F3" s="53" t="s">
        <v>236</v>
      </c>
      <c r="G3" s="53" t="s">
        <v>42</v>
      </c>
      <c r="H3" s="53" t="s">
        <v>164</v>
      </c>
      <c r="I3" s="53" t="s">
        <v>198</v>
      </c>
      <c r="J3" s="53" t="s">
        <v>38</v>
      </c>
      <c r="K3" s="53" t="s">
        <v>161</v>
      </c>
      <c r="L3" s="53">
        <v>2</v>
      </c>
      <c r="N3" s="53">
        <v>5</v>
      </c>
      <c r="O3" s="53">
        <v>0.8</v>
      </c>
      <c r="P3" s="53">
        <v>0.75</v>
      </c>
      <c r="Q3" s="75">
        <f t="shared" si="0"/>
        <v>0.77500000000000002</v>
      </c>
      <c r="R3" s="53">
        <v>12.9</v>
      </c>
      <c r="S3" s="53">
        <v>92</v>
      </c>
      <c r="T3" s="16">
        <f t="shared" si="1"/>
        <v>36</v>
      </c>
      <c r="U3" s="53">
        <v>539</v>
      </c>
      <c r="V3" s="16">
        <f t="shared" si="2"/>
        <v>3880.7999999999997</v>
      </c>
      <c r="W3" s="53">
        <v>3</v>
      </c>
      <c r="X3" s="53" t="s">
        <v>46</v>
      </c>
      <c r="Y3" s="53" t="s">
        <v>90</v>
      </c>
      <c r="Z3" s="53" t="s">
        <v>102</v>
      </c>
      <c r="AA3" s="53" t="s">
        <v>97</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234</v>
      </c>
      <c r="C4" s="53">
        <v>2019</v>
      </c>
      <c r="D4" s="81" t="s">
        <v>166</v>
      </c>
      <c r="E4" s="53" t="s">
        <v>235</v>
      </c>
      <c r="F4" s="53" t="s">
        <v>236</v>
      </c>
      <c r="G4" s="53" t="s">
        <v>42</v>
      </c>
      <c r="H4" s="53" t="s">
        <v>164</v>
      </c>
      <c r="I4" s="53" t="s">
        <v>198</v>
      </c>
      <c r="J4" s="53" t="s">
        <v>38</v>
      </c>
      <c r="K4" s="53" t="s">
        <v>161</v>
      </c>
      <c r="L4" s="53">
        <v>3</v>
      </c>
      <c r="N4" s="53">
        <v>5</v>
      </c>
      <c r="O4" s="53">
        <v>0.75</v>
      </c>
      <c r="P4" s="53">
        <v>0.75</v>
      </c>
      <c r="Q4" s="75">
        <f t="shared" si="0"/>
        <v>0.75</v>
      </c>
      <c r="R4" s="53">
        <v>13.6</v>
      </c>
      <c r="S4" s="53">
        <v>95</v>
      </c>
      <c r="T4" s="16">
        <f t="shared" si="1"/>
        <v>36</v>
      </c>
      <c r="U4" s="53">
        <v>539</v>
      </c>
      <c r="V4" s="16">
        <f t="shared" si="2"/>
        <v>3880.7999999999997</v>
      </c>
      <c r="W4" s="53">
        <v>3</v>
      </c>
      <c r="X4" s="53" t="s">
        <v>46</v>
      </c>
      <c r="Y4" s="53" t="s">
        <v>90</v>
      </c>
      <c r="Z4" s="53" t="s">
        <v>102</v>
      </c>
      <c r="AA4" s="53" t="s">
        <v>97</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234</v>
      </c>
      <c r="C5" s="53">
        <v>2019</v>
      </c>
      <c r="D5" s="81" t="s">
        <v>166</v>
      </c>
      <c r="E5" s="53" t="s">
        <v>235</v>
      </c>
      <c r="F5" s="53" t="s">
        <v>236</v>
      </c>
      <c r="G5" s="53" t="s">
        <v>42</v>
      </c>
      <c r="H5" s="53" t="s">
        <v>160</v>
      </c>
      <c r="I5" s="53" t="s">
        <v>198</v>
      </c>
      <c r="J5" s="53" t="s">
        <v>38</v>
      </c>
      <c r="K5" s="53" t="s">
        <v>161</v>
      </c>
      <c r="L5" s="53">
        <v>1</v>
      </c>
      <c r="N5" s="53">
        <v>1</v>
      </c>
      <c r="O5" s="53">
        <v>0.75</v>
      </c>
      <c r="P5" s="53">
        <v>0.7</v>
      </c>
      <c r="Q5" s="75">
        <f t="shared" si="0"/>
        <v>0.72499999999999998</v>
      </c>
      <c r="R5" s="53">
        <v>16.7</v>
      </c>
      <c r="S5" s="53">
        <v>157</v>
      </c>
      <c r="T5" s="16">
        <f t="shared" si="1"/>
        <v>22</v>
      </c>
      <c r="U5" s="53">
        <v>183</v>
      </c>
      <c r="V5" s="16">
        <f t="shared" si="2"/>
        <v>4026</v>
      </c>
      <c r="W5" s="53">
        <v>3</v>
      </c>
      <c r="X5" s="53" t="s">
        <v>46</v>
      </c>
      <c r="Y5" s="53" t="s">
        <v>90</v>
      </c>
      <c r="Z5" s="53" t="s">
        <v>102</v>
      </c>
      <c r="AA5" s="53" t="s">
        <v>97</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234</v>
      </c>
      <c r="C6" s="53">
        <v>2019</v>
      </c>
      <c r="D6" s="81" t="s">
        <v>166</v>
      </c>
      <c r="E6" s="53" t="s">
        <v>235</v>
      </c>
      <c r="F6" s="53" t="s">
        <v>236</v>
      </c>
      <c r="G6" s="53" t="s">
        <v>42</v>
      </c>
      <c r="H6" s="53" t="s">
        <v>160</v>
      </c>
      <c r="I6" s="53" t="s">
        <v>198</v>
      </c>
      <c r="J6" s="53" t="s">
        <v>38</v>
      </c>
      <c r="K6" s="53" t="s">
        <v>161</v>
      </c>
      <c r="L6" s="53">
        <v>2</v>
      </c>
      <c r="N6" s="53">
        <v>1</v>
      </c>
      <c r="O6" s="53">
        <v>0.7</v>
      </c>
      <c r="P6" s="53">
        <v>0.75</v>
      </c>
      <c r="Q6" s="75">
        <f t="shared" si="0"/>
        <v>0.72499999999999998</v>
      </c>
      <c r="R6" s="53">
        <v>16.5</v>
      </c>
      <c r="S6" s="53">
        <v>151</v>
      </c>
      <c r="T6" s="16">
        <f t="shared" si="1"/>
        <v>22</v>
      </c>
      <c r="U6" s="53">
        <v>183</v>
      </c>
      <c r="V6" s="16">
        <f t="shared" si="2"/>
        <v>4026</v>
      </c>
      <c r="W6" s="53">
        <v>3</v>
      </c>
      <c r="X6" s="53" t="s">
        <v>46</v>
      </c>
      <c r="Y6" s="53" t="s">
        <v>90</v>
      </c>
      <c r="Z6" s="53" t="s">
        <v>102</v>
      </c>
      <c r="AA6" s="53" t="s">
        <v>97</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234</v>
      </c>
      <c r="C7" s="53">
        <v>2019</v>
      </c>
      <c r="D7" s="81" t="s">
        <v>166</v>
      </c>
      <c r="E7" s="53" t="s">
        <v>235</v>
      </c>
      <c r="F7" s="53" t="s">
        <v>236</v>
      </c>
      <c r="G7" s="53" t="s">
        <v>42</v>
      </c>
      <c r="H7" s="53" t="s">
        <v>160</v>
      </c>
      <c r="I7" s="53" t="s">
        <v>198</v>
      </c>
      <c r="J7" s="53" t="s">
        <v>38</v>
      </c>
      <c r="K7" s="53" t="s">
        <v>161</v>
      </c>
      <c r="L7" s="53">
        <v>3</v>
      </c>
      <c r="N7" s="53">
        <v>1</v>
      </c>
      <c r="O7" s="53">
        <v>0.8</v>
      </c>
      <c r="P7" s="53">
        <v>0.6</v>
      </c>
      <c r="Q7" s="75">
        <f t="shared" si="0"/>
        <v>0.7</v>
      </c>
      <c r="R7" s="53">
        <v>17.8</v>
      </c>
      <c r="S7" s="53">
        <v>158</v>
      </c>
      <c r="T7" s="16">
        <f t="shared" si="1"/>
        <v>22</v>
      </c>
      <c r="U7" s="53">
        <v>183</v>
      </c>
      <c r="V7" s="16">
        <f t="shared" si="2"/>
        <v>4026</v>
      </c>
      <c r="W7" s="53">
        <v>3</v>
      </c>
      <c r="X7" s="53" t="s">
        <v>46</v>
      </c>
      <c r="Y7" s="53" t="s">
        <v>90</v>
      </c>
      <c r="Z7" s="53" t="s">
        <v>102</v>
      </c>
      <c r="AA7" s="53" t="s">
        <v>97</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234</v>
      </c>
      <c r="C8" s="53">
        <v>2019</v>
      </c>
      <c r="D8" s="81" t="s">
        <v>166</v>
      </c>
      <c r="E8" s="53" t="s">
        <v>250</v>
      </c>
      <c r="F8" s="53" t="s">
        <v>236</v>
      </c>
      <c r="G8" s="53" t="s">
        <v>42</v>
      </c>
      <c r="H8" s="53" t="s">
        <v>164</v>
      </c>
      <c r="I8" s="53" t="s">
        <v>159</v>
      </c>
      <c r="J8" s="53" t="s">
        <v>38</v>
      </c>
      <c r="K8" s="53" t="s">
        <v>161</v>
      </c>
      <c r="L8" s="53">
        <v>1</v>
      </c>
      <c r="N8" s="53">
        <v>1</v>
      </c>
      <c r="O8" s="53">
        <v>0.85</v>
      </c>
      <c r="P8" s="53">
        <v>0.9</v>
      </c>
      <c r="Q8" s="75">
        <f t="shared" si="0"/>
        <v>0.875</v>
      </c>
      <c r="R8" s="53">
        <v>15.8</v>
      </c>
      <c r="S8" s="53">
        <v>124</v>
      </c>
      <c r="T8" s="16">
        <f t="shared" si="1"/>
        <v>27</v>
      </c>
      <c r="U8" s="53">
        <v>138</v>
      </c>
      <c r="V8" s="16">
        <f t="shared" si="2"/>
        <v>3726</v>
      </c>
      <c r="W8" s="53">
        <v>4</v>
      </c>
      <c r="X8" s="53" t="s">
        <v>46</v>
      </c>
      <c r="Y8" s="53" t="s">
        <v>102</v>
      </c>
      <c r="Z8" s="53" t="s">
        <v>78</v>
      </c>
      <c r="AA8" s="53" t="s">
        <v>90</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234</v>
      </c>
      <c r="C9" s="53">
        <v>2019</v>
      </c>
      <c r="D9" s="81" t="s">
        <v>166</v>
      </c>
      <c r="E9" s="53" t="s">
        <v>250</v>
      </c>
      <c r="F9" s="53" t="s">
        <v>236</v>
      </c>
      <c r="G9" s="53" t="s">
        <v>42</v>
      </c>
      <c r="H9" s="53" t="s">
        <v>164</v>
      </c>
      <c r="I9" s="53" t="s">
        <v>159</v>
      </c>
      <c r="J9" s="53" t="s">
        <v>38</v>
      </c>
      <c r="K9" s="53" t="s">
        <v>161</v>
      </c>
      <c r="L9" s="53">
        <v>2</v>
      </c>
      <c r="N9" s="53">
        <v>1</v>
      </c>
      <c r="O9" s="53">
        <v>0.8</v>
      </c>
      <c r="P9" s="53">
        <v>0.85</v>
      </c>
      <c r="Q9" s="75">
        <f t="shared" si="0"/>
        <v>0.82499999999999996</v>
      </c>
      <c r="R9" s="53">
        <v>16.100000000000001</v>
      </c>
      <c r="S9" s="53">
        <v>129</v>
      </c>
      <c r="T9" s="16">
        <f t="shared" si="1"/>
        <v>25</v>
      </c>
      <c r="U9" s="53">
        <v>138</v>
      </c>
      <c r="V9" s="16">
        <f t="shared" si="2"/>
        <v>3450</v>
      </c>
      <c r="W9" s="53">
        <v>4</v>
      </c>
      <c r="X9" s="53" t="s">
        <v>46</v>
      </c>
      <c r="Y9" s="53" t="s">
        <v>102</v>
      </c>
      <c r="Z9" s="53" t="s">
        <v>78</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234</v>
      </c>
      <c r="C10" s="53">
        <v>2019</v>
      </c>
      <c r="D10" s="81" t="s">
        <v>166</v>
      </c>
      <c r="E10" s="53" t="s">
        <v>250</v>
      </c>
      <c r="F10" s="53" t="s">
        <v>236</v>
      </c>
      <c r="G10" s="53" t="s">
        <v>42</v>
      </c>
      <c r="H10" s="53" t="s">
        <v>164</v>
      </c>
      <c r="I10" s="53" t="s">
        <v>159</v>
      </c>
      <c r="J10" s="53" t="s">
        <v>38</v>
      </c>
      <c r="K10" s="53" t="s">
        <v>161</v>
      </c>
      <c r="L10" s="53">
        <v>3</v>
      </c>
      <c r="N10" s="53">
        <v>1</v>
      </c>
      <c r="O10" s="53">
        <v>1</v>
      </c>
      <c r="P10" s="53">
        <v>1.05</v>
      </c>
      <c r="Q10" s="75">
        <f t="shared" si="0"/>
        <v>1.0249999999999999</v>
      </c>
      <c r="R10" s="53">
        <v>14.8</v>
      </c>
      <c r="S10" s="53">
        <v>130</v>
      </c>
      <c r="T10" s="16">
        <f t="shared" si="1"/>
        <v>25</v>
      </c>
      <c r="U10" s="53">
        <v>138</v>
      </c>
      <c r="V10" s="16">
        <f t="shared" si="2"/>
        <v>3450</v>
      </c>
      <c r="W10" s="53">
        <v>4</v>
      </c>
      <c r="X10" s="53" t="s">
        <v>46</v>
      </c>
      <c r="Y10" s="53" t="s">
        <v>102</v>
      </c>
      <c r="Z10" s="53" t="s">
        <v>78</v>
      </c>
      <c r="AA10" s="53" t="s">
        <v>90</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234</v>
      </c>
      <c r="C11" s="53">
        <v>2019</v>
      </c>
      <c r="D11" s="81" t="s">
        <v>166</v>
      </c>
      <c r="E11" s="53" t="s">
        <v>250</v>
      </c>
      <c r="F11" s="53" t="s">
        <v>236</v>
      </c>
      <c r="G11" s="53" t="s">
        <v>42</v>
      </c>
      <c r="H11" s="53" t="s">
        <v>160</v>
      </c>
      <c r="I11" s="53" t="s">
        <v>159</v>
      </c>
      <c r="J11" s="53" t="s">
        <v>38</v>
      </c>
      <c r="K11" s="53" t="s">
        <v>161</v>
      </c>
      <c r="L11" s="53">
        <v>1</v>
      </c>
      <c r="N11" s="53">
        <v>1</v>
      </c>
      <c r="O11" s="53">
        <v>0.85</v>
      </c>
      <c r="P11" s="53">
        <v>0.9</v>
      </c>
      <c r="Q11" s="75">
        <f t="shared" si="0"/>
        <v>0.875</v>
      </c>
      <c r="R11" s="53">
        <v>14.7</v>
      </c>
      <c r="S11" s="53">
        <v>136</v>
      </c>
      <c r="T11" s="16">
        <f t="shared" si="1"/>
        <v>25</v>
      </c>
      <c r="U11" s="53">
        <v>138</v>
      </c>
      <c r="V11" s="16">
        <f t="shared" si="2"/>
        <v>3450</v>
      </c>
      <c r="W11" s="53">
        <v>5</v>
      </c>
      <c r="X11" s="53" t="s">
        <v>46</v>
      </c>
      <c r="Y11" s="53" t="s">
        <v>102</v>
      </c>
      <c r="Z11" s="53" t="s">
        <v>78</v>
      </c>
      <c r="AA11" s="53" t="s">
        <v>90</v>
      </c>
      <c r="AB11" s="53" t="s">
        <v>237</v>
      </c>
      <c r="AE11" s="22" t="s">
        <v>65</v>
      </c>
      <c r="AG11" s="23" t="s">
        <v>247</v>
      </c>
      <c r="AH11" s="82" t="s">
        <v>245</v>
      </c>
      <c r="AJ11" s="83"/>
      <c r="AP11" s="23" t="s">
        <v>104</v>
      </c>
      <c r="AR11" s="23" t="s">
        <v>87</v>
      </c>
      <c r="AV11" s="23" t="s">
        <v>69</v>
      </c>
    </row>
    <row r="12" spans="1:53" x14ac:dyDescent="0.15">
      <c r="A12" s="53" t="s">
        <v>56</v>
      </c>
      <c r="B12" s="53" t="s">
        <v>234</v>
      </c>
      <c r="C12" s="53">
        <v>2019</v>
      </c>
      <c r="D12" s="81" t="s">
        <v>166</v>
      </c>
      <c r="E12" s="53" t="s">
        <v>250</v>
      </c>
      <c r="F12" s="53" t="s">
        <v>236</v>
      </c>
      <c r="G12" s="53" t="s">
        <v>42</v>
      </c>
      <c r="H12" s="53" t="s">
        <v>160</v>
      </c>
      <c r="I12" s="53" t="s">
        <v>159</v>
      </c>
      <c r="J12" s="53" t="s">
        <v>38</v>
      </c>
      <c r="K12" s="53" t="s">
        <v>161</v>
      </c>
      <c r="L12" s="53">
        <v>2</v>
      </c>
      <c r="N12" s="53">
        <v>1</v>
      </c>
      <c r="O12" s="53">
        <v>1.1000000000000001</v>
      </c>
      <c r="P12" s="53">
        <v>0.8</v>
      </c>
      <c r="Q12" s="75">
        <f t="shared" si="0"/>
        <v>0.95000000000000007</v>
      </c>
      <c r="R12" s="53">
        <v>13.3</v>
      </c>
      <c r="S12" s="53">
        <v>134</v>
      </c>
      <c r="T12" s="16">
        <f t="shared" si="1"/>
        <v>25</v>
      </c>
      <c r="U12" s="53">
        <v>138</v>
      </c>
      <c r="V12" s="16">
        <f t="shared" si="2"/>
        <v>3450</v>
      </c>
      <c r="W12" s="53">
        <v>5</v>
      </c>
      <c r="X12" s="53" t="s">
        <v>46</v>
      </c>
      <c r="Y12" s="53" t="s">
        <v>102</v>
      </c>
      <c r="Z12" s="53" t="s">
        <v>78</v>
      </c>
      <c r="AA12" s="53" t="s">
        <v>90</v>
      </c>
      <c r="AB12" s="53" t="s">
        <v>237</v>
      </c>
      <c r="AE12" s="22" t="s">
        <v>70</v>
      </c>
      <c r="AG12" s="23" t="s">
        <v>240</v>
      </c>
      <c r="AH12" s="82" t="s">
        <v>245</v>
      </c>
      <c r="AJ12" s="83"/>
      <c r="AP12" s="23" t="s">
        <v>67</v>
      </c>
      <c r="AR12" s="23" t="s">
        <v>124</v>
      </c>
      <c r="AV12" s="23" t="s">
        <v>72</v>
      </c>
    </row>
    <row r="13" spans="1:53" x14ac:dyDescent="0.15">
      <c r="A13" s="53" t="s">
        <v>56</v>
      </c>
      <c r="B13" s="53" t="s">
        <v>234</v>
      </c>
      <c r="C13" s="53">
        <v>2019</v>
      </c>
      <c r="D13" s="81" t="s">
        <v>166</v>
      </c>
      <c r="E13" s="53" t="s">
        <v>250</v>
      </c>
      <c r="F13" s="53" t="s">
        <v>236</v>
      </c>
      <c r="G13" s="53" t="s">
        <v>42</v>
      </c>
      <c r="H13" s="53" t="s">
        <v>160</v>
      </c>
      <c r="I13" s="53" t="s">
        <v>159</v>
      </c>
      <c r="J13" s="53" t="s">
        <v>38</v>
      </c>
      <c r="K13" s="53" t="s">
        <v>161</v>
      </c>
      <c r="L13" s="53">
        <v>3</v>
      </c>
      <c r="N13" s="53">
        <v>1</v>
      </c>
      <c r="O13" s="53">
        <v>0.7</v>
      </c>
      <c r="P13" s="53">
        <v>0.75</v>
      </c>
      <c r="Q13" s="75">
        <f t="shared" si="0"/>
        <v>0.72499999999999998</v>
      </c>
      <c r="R13" s="53">
        <v>15.6</v>
      </c>
      <c r="S13" s="53">
        <v>134</v>
      </c>
      <c r="T13" s="16">
        <f t="shared" si="1"/>
        <v>25</v>
      </c>
      <c r="U13" s="53">
        <v>138</v>
      </c>
      <c r="V13" s="16">
        <f t="shared" si="2"/>
        <v>3450</v>
      </c>
      <c r="W13" s="53">
        <v>5</v>
      </c>
      <c r="X13" s="53" t="s">
        <v>46</v>
      </c>
      <c r="Y13" s="53" t="s">
        <v>102</v>
      </c>
      <c r="Z13" s="53" t="s">
        <v>78</v>
      </c>
      <c r="AA13" s="53" t="s">
        <v>90</v>
      </c>
      <c r="AB13" s="53" t="s">
        <v>237</v>
      </c>
      <c r="AE13" s="22" t="s">
        <v>73</v>
      </c>
      <c r="AP13" s="23" t="s">
        <v>71</v>
      </c>
      <c r="AR13" s="23" t="s">
        <v>103</v>
      </c>
      <c r="AV13" s="23" t="s">
        <v>75</v>
      </c>
    </row>
    <row r="14" spans="1:53" x14ac:dyDescent="0.15">
      <c r="A14" s="53" t="s">
        <v>56</v>
      </c>
      <c r="B14" s="53" t="s">
        <v>234</v>
      </c>
      <c r="C14" s="53">
        <v>2019</v>
      </c>
      <c r="D14" s="81" t="s">
        <v>166</v>
      </c>
      <c r="E14" s="53" t="s">
        <v>162</v>
      </c>
      <c r="F14" s="53" t="s">
        <v>252</v>
      </c>
      <c r="G14" s="53" t="s">
        <v>42</v>
      </c>
      <c r="H14" s="53" t="s">
        <v>164</v>
      </c>
      <c r="I14" s="53" t="s">
        <v>159</v>
      </c>
      <c r="J14" s="53" t="s">
        <v>38</v>
      </c>
      <c r="K14" s="53" t="s">
        <v>161</v>
      </c>
      <c r="L14" s="53">
        <v>1</v>
      </c>
      <c r="N14" s="53">
        <v>1</v>
      </c>
      <c r="O14" s="53">
        <v>0.8</v>
      </c>
      <c r="P14" s="53">
        <v>0.95</v>
      </c>
      <c r="Q14" s="75">
        <f t="shared" si="0"/>
        <v>0.875</v>
      </c>
      <c r="R14" s="53">
        <v>14.4</v>
      </c>
      <c r="S14" s="53">
        <v>116</v>
      </c>
      <c r="T14" s="16">
        <f t="shared" si="1"/>
        <v>30</v>
      </c>
      <c r="U14" s="53">
        <v>106</v>
      </c>
      <c r="V14" s="16">
        <f t="shared" si="2"/>
        <v>3180</v>
      </c>
      <c r="W14" s="53">
        <v>2</v>
      </c>
      <c r="X14" s="53" t="s">
        <v>46</v>
      </c>
      <c r="Y14" s="53" t="s">
        <v>102</v>
      </c>
      <c r="Z14" s="53" t="s">
        <v>78</v>
      </c>
      <c r="AA14" s="53" t="s">
        <v>90</v>
      </c>
      <c r="AB14" s="53" t="s">
        <v>237</v>
      </c>
      <c r="AE14" s="22" t="s">
        <v>76</v>
      </c>
      <c r="AP14" s="23" t="s">
        <v>74</v>
      </c>
      <c r="AR14" s="23" t="s">
        <v>125</v>
      </c>
      <c r="AV14" s="23" t="s">
        <v>78</v>
      </c>
    </row>
    <row r="15" spans="1:53" x14ac:dyDescent="0.15">
      <c r="A15" s="53" t="s">
        <v>56</v>
      </c>
      <c r="B15" s="53" t="s">
        <v>234</v>
      </c>
      <c r="C15" s="53">
        <v>2019</v>
      </c>
      <c r="D15" s="81" t="s">
        <v>166</v>
      </c>
      <c r="E15" s="53" t="s">
        <v>162</v>
      </c>
      <c r="F15" s="53" t="s">
        <v>252</v>
      </c>
      <c r="G15" s="53" t="s">
        <v>42</v>
      </c>
      <c r="H15" s="53" t="s">
        <v>164</v>
      </c>
      <c r="I15" s="53" t="s">
        <v>159</v>
      </c>
      <c r="J15" s="53" t="s">
        <v>38</v>
      </c>
      <c r="K15" s="53" t="s">
        <v>161</v>
      </c>
      <c r="L15" s="53">
        <v>2</v>
      </c>
      <c r="N15" s="53">
        <v>1</v>
      </c>
      <c r="O15" s="53">
        <v>0.75</v>
      </c>
      <c r="P15" s="53">
        <v>0.85</v>
      </c>
      <c r="Q15" s="75">
        <f t="shared" si="0"/>
        <v>0.8</v>
      </c>
      <c r="R15" s="53">
        <v>15.4</v>
      </c>
      <c r="S15" s="53">
        <v>112</v>
      </c>
      <c r="T15" s="16">
        <f t="shared" si="1"/>
        <v>33</v>
      </c>
      <c r="U15" s="53">
        <v>106</v>
      </c>
      <c r="V15" s="16">
        <f t="shared" si="2"/>
        <v>3498</v>
      </c>
      <c r="W15" s="53">
        <v>2</v>
      </c>
      <c r="X15" s="53" t="s">
        <v>46</v>
      </c>
      <c r="Y15" s="53" t="s">
        <v>102</v>
      </c>
      <c r="Z15" s="53" t="s">
        <v>78</v>
      </c>
      <c r="AA15" s="53" t="s">
        <v>90</v>
      </c>
      <c r="AB15" s="53" t="s">
        <v>237</v>
      </c>
      <c r="AE15" s="22" t="s">
        <v>79</v>
      </c>
      <c r="AP15" s="23" t="s">
        <v>77</v>
      </c>
      <c r="AR15" s="23" t="s">
        <v>94</v>
      </c>
      <c r="AV15" s="23" t="s">
        <v>107</v>
      </c>
    </row>
    <row r="16" spans="1:53" x14ac:dyDescent="0.15">
      <c r="A16" s="53" t="s">
        <v>56</v>
      </c>
      <c r="B16" s="53" t="s">
        <v>234</v>
      </c>
      <c r="C16" s="53">
        <v>2019</v>
      </c>
      <c r="D16" s="81" t="s">
        <v>166</v>
      </c>
      <c r="E16" s="53" t="s">
        <v>162</v>
      </c>
      <c r="F16" s="53" t="s">
        <v>252</v>
      </c>
      <c r="G16" s="53" t="s">
        <v>42</v>
      </c>
      <c r="H16" s="53" t="s">
        <v>164</v>
      </c>
      <c r="I16" s="53" t="s">
        <v>159</v>
      </c>
      <c r="J16" s="53" t="s">
        <v>38</v>
      </c>
      <c r="K16" s="53" t="s">
        <v>161</v>
      </c>
      <c r="L16" s="53">
        <v>3</v>
      </c>
      <c r="N16" s="53">
        <v>1</v>
      </c>
      <c r="O16" s="53">
        <v>0.65</v>
      </c>
      <c r="P16" s="53">
        <v>0.75</v>
      </c>
      <c r="Q16" s="75">
        <f t="shared" si="0"/>
        <v>0.7</v>
      </c>
      <c r="R16" s="53">
        <v>13.1</v>
      </c>
      <c r="S16" s="53">
        <v>109</v>
      </c>
      <c r="T16" s="16">
        <f t="shared" si="1"/>
        <v>33</v>
      </c>
      <c r="U16" s="53">
        <v>106</v>
      </c>
      <c r="V16" s="16">
        <f t="shared" si="2"/>
        <v>3498</v>
      </c>
      <c r="W16" s="53">
        <v>2</v>
      </c>
      <c r="X16" s="53" t="s">
        <v>46</v>
      </c>
      <c r="Y16" s="53" t="s">
        <v>102</v>
      </c>
      <c r="Z16" s="53" t="s">
        <v>78</v>
      </c>
      <c r="AA16" s="53" t="s">
        <v>90</v>
      </c>
      <c r="AB16" s="53" t="s">
        <v>237</v>
      </c>
      <c r="AE16" s="22" t="s">
        <v>82</v>
      </c>
      <c r="AP16" s="23" t="s">
        <v>80</v>
      </c>
      <c r="AR16" s="23" t="s">
        <v>63</v>
      </c>
      <c r="AV16" s="23" t="s">
        <v>84</v>
      </c>
    </row>
    <row r="17" spans="1:48" x14ac:dyDescent="0.15">
      <c r="A17" s="53" t="s">
        <v>56</v>
      </c>
      <c r="B17" s="53" t="s">
        <v>234</v>
      </c>
      <c r="C17" s="53">
        <v>2019</v>
      </c>
      <c r="D17" s="81" t="s">
        <v>166</v>
      </c>
      <c r="E17" s="53" t="s">
        <v>162</v>
      </c>
      <c r="F17" s="53" t="s">
        <v>252</v>
      </c>
      <c r="G17" s="53" t="s">
        <v>42</v>
      </c>
      <c r="H17" s="53" t="s">
        <v>160</v>
      </c>
      <c r="I17" s="53" t="s">
        <v>159</v>
      </c>
      <c r="J17" s="53" t="s">
        <v>38</v>
      </c>
      <c r="K17" s="53" t="s">
        <v>161</v>
      </c>
      <c r="L17" s="53">
        <v>1</v>
      </c>
      <c r="N17" s="53">
        <v>1</v>
      </c>
      <c r="O17" s="53">
        <v>0.55000000000000004</v>
      </c>
      <c r="P17" s="53">
        <v>0.55000000000000004</v>
      </c>
      <c r="Q17" s="75">
        <f t="shared" si="0"/>
        <v>0.55000000000000004</v>
      </c>
      <c r="R17" s="53">
        <v>15.6</v>
      </c>
      <c r="S17" s="53">
        <v>111</v>
      </c>
      <c r="T17" s="16">
        <f t="shared" si="1"/>
        <v>33</v>
      </c>
      <c r="U17" s="53">
        <v>138</v>
      </c>
      <c r="V17" s="16">
        <f t="shared" si="2"/>
        <v>4554</v>
      </c>
      <c r="W17" s="53">
        <v>4</v>
      </c>
      <c r="X17" s="53" t="s">
        <v>46</v>
      </c>
      <c r="Y17" s="53" t="s">
        <v>102</v>
      </c>
      <c r="Z17" s="53" t="s">
        <v>78</v>
      </c>
      <c r="AA17" s="53" t="s">
        <v>90</v>
      </c>
      <c r="AB17" s="53" t="s">
        <v>237</v>
      </c>
      <c r="AE17" s="22" t="s">
        <v>85</v>
      </c>
      <c r="AP17" s="27" t="s">
        <v>110</v>
      </c>
      <c r="AR17" s="23" t="s">
        <v>96</v>
      </c>
      <c r="AV17" s="23" t="s">
        <v>86</v>
      </c>
    </row>
    <row r="18" spans="1:48" x14ac:dyDescent="0.15">
      <c r="A18" s="53" t="s">
        <v>56</v>
      </c>
      <c r="B18" s="53" t="s">
        <v>234</v>
      </c>
      <c r="C18" s="53">
        <v>2019</v>
      </c>
      <c r="D18" s="81" t="s">
        <v>166</v>
      </c>
      <c r="E18" s="53" t="s">
        <v>162</v>
      </c>
      <c r="F18" s="53" t="s">
        <v>252</v>
      </c>
      <c r="G18" s="53" t="s">
        <v>42</v>
      </c>
      <c r="H18" s="53" t="s">
        <v>160</v>
      </c>
      <c r="I18" s="53" t="s">
        <v>159</v>
      </c>
      <c r="J18" s="53" t="s">
        <v>38</v>
      </c>
      <c r="K18" s="53" t="s">
        <v>161</v>
      </c>
      <c r="L18" s="53">
        <v>2</v>
      </c>
      <c r="N18" s="53">
        <v>1</v>
      </c>
      <c r="O18" s="53">
        <v>0.5</v>
      </c>
      <c r="P18" s="53">
        <v>0.6</v>
      </c>
      <c r="Q18" s="75">
        <f t="shared" si="0"/>
        <v>0.55000000000000004</v>
      </c>
      <c r="R18" s="53">
        <v>15.9</v>
      </c>
      <c r="S18" s="53">
        <v>112</v>
      </c>
      <c r="T18" s="16">
        <f t="shared" si="1"/>
        <v>33</v>
      </c>
      <c r="U18" s="53">
        <v>138</v>
      </c>
      <c r="V18" s="16">
        <f t="shared" si="2"/>
        <v>4554</v>
      </c>
      <c r="W18" s="53">
        <v>4</v>
      </c>
      <c r="X18" s="53" t="s">
        <v>46</v>
      </c>
      <c r="Y18" s="53" t="s">
        <v>102</v>
      </c>
      <c r="Z18" s="53" t="s">
        <v>78</v>
      </c>
      <c r="AA18" s="53" t="s">
        <v>90</v>
      </c>
      <c r="AB18" s="53" t="s">
        <v>237</v>
      </c>
      <c r="AE18" s="22" t="s">
        <v>87</v>
      </c>
      <c r="AP18" s="27" t="s">
        <v>111</v>
      </c>
      <c r="AR18" s="23" t="s">
        <v>101</v>
      </c>
      <c r="AV18" s="23" t="s">
        <v>88</v>
      </c>
    </row>
    <row r="19" spans="1:48" x14ac:dyDescent="0.15">
      <c r="A19" s="53" t="s">
        <v>56</v>
      </c>
      <c r="B19" s="53" t="s">
        <v>234</v>
      </c>
      <c r="C19" s="53">
        <v>2019</v>
      </c>
      <c r="D19" s="81" t="s">
        <v>166</v>
      </c>
      <c r="E19" s="53" t="s">
        <v>162</v>
      </c>
      <c r="F19" s="53" t="s">
        <v>252</v>
      </c>
      <c r="G19" s="53" t="s">
        <v>42</v>
      </c>
      <c r="H19" s="53" t="s">
        <v>160</v>
      </c>
      <c r="I19" s="53" t="s">
        <v>159</v>
      </c>
      <c r="J19" s="53" t="s">
        <v>38</v>
      </c>
      <c r="K19" s="53" t="s">
        <v>161</v>
      </c>
      <c r="L19" s="53">
        <v>3</v>
      </c>
      <c r="N19" s="53">
        <v>1</v>
      </c>
      <c r="O19" s="53">
        <v>0.6</v>
      </c>
      <c r="P19" s="53">
        <v>0.6</v>
      </c>
      <c r="Q19" s="75">
        <f t="shared" si="0"/>
        <v>0.6</v>
      </c>
      <c r="R19" s="53">
        <v>15.7</v>
      </c>
      <c r="S19" s="53">
        <v>113</v>
      </c>
      <c r="T19" s="16">
        <f t="shared" si="1"/>
        <v>30</v>
      </c>
      <c r="U19" s="53">
        <v>138</v>
      </c>
      <c r="V19" s="16">
        <f t="shared" si="2"/>
        <v>4140</v>
      </c>
      <c r="W19" s="53">
        <v>4</v>
      </c>
      <c r="X19" s="53" t="s">
        <v>46</v>
      </c>
      <c r="Y19" s="53" t="s">
        <v>102</v>
      </c>
      <c r="Z19" s="53" t="s">
        <v>78</v>
      </c>
      <c r="AA19" s="53" t="s">
        <v>90</v>
      </c>
      <c r="AB19" s="53" t="s">
        <v>237</v>
      </c>
      <c r="AE19" s="35" t="s">
        <v>89</v>
      </c>
      <c r="AP19" s="27" t="s">
        <v>112</v>
      </c>
      <c r="AR19" s="23" t="s">
        <v>126</v>
      </c>
      <c r="AV19" s="23" t="s">
        <v>90</v>
      </c>
    </row>
    <row r="20" spans="1:48" x14ac:dyDescent="0.15">
      <c r="A20" s="53" t="s">
        <v>56</v>
      </c>
      <c r="B20" s="53" t="s">
        <v>234</v>
      </c>
      <c r="C20" s="53">
        <v>2019</v>
      </c>
      <c r="D20" s="81" t="s">
        <v>166</v>
      </c>
      <c r="E20" s="53" t="s">
        <v>253</v>
      </c>
      <c r="F20" s="53" t="s">
        <v>254</v>
      </c>
      <c r="G20" s="53" t="s">
        <v>42</v>
      </c>
      <c r="H20" s="53" t="s">
        <v>164</v>
      </c>
      <c r="I20" s="53" t="s">
        <v>159</v>
      </c>
      <c r="J20" s="53" t="s">
        <v>38</v>
      </c>
      <c r="K20" s="53" t="s">
        <v>161</v>
      </c>
      <c r="L20" s="53">
        <v>1</v>
      </c>
      <c r="N20" s="53">
        <v>1</v>
      </c>
      <c r="O20" s="53">
        <v>0.75</v>
      </c>
      <c r="P20" s="53">
        <v>0.7</v>
      </c>
      <c r="Q20" s="75">
        <f t="shared" si="0"/>
        <v>0.72499999999999998</v>
      </c>
      <c r="R20" s="53">
        <v>14.7</v>
      </c>
      <c r="S20" s="53">
        <v>115</v>
      </c>
      <c r="T20" s="16">
        <f t="shared" si="1"/>
        <v>30</v>
      </c>
      <c r="U20" s="53">
        <v>138</v>
      </c>
      <c r="V20" s="16">
        <f t="shared" si="2"/>
        <v>4140</v>
      </c>
      <c r="W20" s="53">
        <v>2</v>
      </c>
      <c r="X20" s="53" t="s">
        <v>46</v>
      </c>
      <c r="Y20" s="53" t="s">
        <v>55</v>
      </c>
      <c r="Z20" s="53" t="s">
        <v>78</v>
      </c>
      <c r="AA20" s="53" t="s">
        <v>102</v>
      </c>
      <c r="AB20" s="53" t="s">
        <v>237</v>
      </c>
      <c r="AP20" s="27" t="s">
        <v>113</v>
      </c>
      <c r="AR20" s="23" t="s">
        <v>105</v>
      </c>
      <c r="AV20" s="27" t="s">
        <v>135</v>
      </c>
    </row>
    <row r="21" spans="1:48" x14ac:dyDescent="0.15">
      <c r="A21" s="53" t="s">
        <v>56</v>
      </c>
      <c r="B21" s="53" t="s">
        <v>234</v>
      </c>
      <c r="C21" s="53">
        <v>2019</v>
      </c>
      <c r="D21" s="81" t="s">
        <v>166</v>
      </c>
      <c r="E21" s="53" t="s">
        <v>253</v>
      </c>
      <c r="F21" s="53" t="s">
        <v>254</v>
      </c>
      <c r="G21" s="53" t="s">
        <v>42</v>
      </c>
      <c r="H21" s="53" t="s">
        <v>164</v>
      </c>
      <c r="I21" s="53" t="s">
        <v>159</v>
      </c>
      <c r="J21" s="53" t="s">
        <v>38</v>
      </c>
      <c r="K21" s="53" t="s">
        <v>161</v>
      </c>
      <c r="L21" s="53">
        <v>2</v>
      </c>
      <c r="N21" s="53">
        <v>1</v>
      </c>
      <c r="O21" s="53">
        <v>0.7</v>
      </c>
      <c r="P21" s="53">
        <v>0.6</v>
      </c>
      <c r="Q21" s="75">
        <f t="shared" si="0"/>
        <v>0.64999999999999991</v>
      </c>
      <c r="R21" s="53">
        <v>12.5</v>
      </c>
      <c r="S21" s="53">
        <v>118</v>
      </c>
      <c r="T21" s="16">
        <f t="shared" si="1"/>
        <v>30</v>
      </c>
      <c r="U21" s="53">
        <v>138</v>
      </c>
      <c r="V21" s="16">
        <f t="shared" si="2"/>
        <v>4140</v>
      </c>
      <c r="W21" s="53">
        <v>2</v>
      </c>
      <c r="X21" s="53" t="s">
        <v>46</v>
      </c>
      <c r="Y21" s="53" t="s">
        <v>55</v>
      </c>
      <c r="Z21" s="53" t="s">
        <v>78</v>
      </c>
      <c r="AA21" s="53" t="s">
        <v>102</v>
      </c>
      <c r="AB21" s="53" t="s">
        <v>237</v>
      </c>
      <c r="AP21" s="27" t="s">
        <v>114</v>
      </c>
      <c r="AR21" s="23" t="s">
        <v>68</v>
      </c>
      <c r="AV21" s="28" t="s">
        <v>255</v>
      </c>
    </row>
    <row r="22" spans="1:48" x14ac:dyDescent="0.15">
      <c r="A22" s="53" t="s">
        <v>56</v>
      </c>
      <c r="B22" s="53" t="s">
        <v>234</v>
      </c>
      <c r="C22" s="53">
        <v>2019</v>
      </c>
      <c r="D22" s="81" t="s">
        <v>166</v>
      </c>
      <c r="E22" s="53" t="s">
        <v>253</v>
      </c>
      <c r="F22" s="53" t="s">
        <v>254</v>
      </c>
      <c r="G22" s="53" t="s">
        <v>42</v>
      </c>
      <c r="H22" s="53" t="s">
        <v>164</v>
      </c>
      <c r="I22" s="53" t="s">
        <v>159</v>
      </c>
      <c r="J22" s="53" t="s">
        <v>38</v>
      </c>
      <c r="K22" s="53" t="s">
        <v>161</v>
      </c>
      <c r="L22" s="53">
        <v>3</v>
      </c>
      <c r="N22" s="53">
        <v>1</v>
      </c>
      <c r="O22" s="53">
        <v>0.7</v>
      </c>
      <c r="P22" s="53">
        <v>0.6</v>
      </c>
      <c r="Q22" s="75">
        <f t="shared" si="0"/>
        <v>0.64999999999999991</v>
      </c>
      <c r="R22" s="53">
        <v>14.7</v>
      </c>
      <c r="S22" s="53">
        <v>114</v>
      </c>
      <c r="T22" s="16">
        <f t="shared" si="1"/>
        <v>30</v>
      </c>
      <c r="U22" s="53">
        <v>138</v>
      </c>
      <c r="V22" s="16">
        <f t="shared" si="2"/>
        <v>4140</v>
      </c>
      <c r="W22" s="53">
        <v>2</v>
      </c>
      <c r="X22" s="53" t="s">
        <v>46</v>
      </c>
      <c r="Y22" s="53" t="s">
        <v>55</v>
      </c>
      <c r="Z22" s="53" t="s">
        <v>78</v>
      </c>
      <c r="AA22" s="53" t="s">
        <v>102</v>
      </c>
      <c r="AB22" s="53" t="s">
        <v>237</v>
      </c>
      <c r="AP22" s="27" t="s">
        <v>115</v>
      </c>
      <c r="AR22" s="23" t="s">
        <v>83</v>
      </c>
    </row>
    <row r="23" spans="1:48" x14ac:dyDescent="0.15">
      <c r="A23" s="53" t="s">
        <v>56</v>
      </c>
      <c r="B23" s="53" t="s">
        <v>234</v>
      </c>
      <c r="C23" s="53">
        <v>2019</v>
      </c>
      <c r="D23" s="81" t="s">
        <v>166</v>
      </c>
      <c r="E23" s="53" t="s">
        <v>253</v>
      </c>
      <c r="F23" s="53" t="s">
        <v>254</v>
      </c>
      <c r="G23" s="53" t="s">
        <v>42</v>
      </c>
      <c r="H23" s="53" t="s">
        <v>160</v>
      </c>
      <c r="I23" s="53" t="s">
        <v>159</v>
      </c>
      <c r="J23" s="53" t="s">
        <v>38</v>
      </c>
      <c r="K23" s="53" t="s">
        <v>161</v>
      </c>
      <c r="L23" s="53">
        <v>1</v>
      </c>
      <c r="N23" s="53">
        <v>1</v>
      </c>
      <c r="O23" s="53">
        <v>0.6</v>
      </c>
      <c r="P23" s="53">
        <v>0.6</v>
      </c>
      <c r="Q23" s="75">
        <f t="shared" si="0"/>
        <v>0.6</v>
      </c>
      <c r="R23" s="53">
        <v>16.8</v>
      </c>
      <c r="S23" s="53">
        <v>128</v>
      </c>
      <c r="T23" s="16">
        <f t="shared" si="1"/>
        <v>27</v>
      </c>
      <c r="U23" s="53">
        <v>138</v>
      </c>
      <c r="V23" s="16">
        <f t="shared" si="2"/>
        <v>3726</v>
      </c>
      <c r="W23" s="53">
        <v>2</v>
      </c>
      <c r="X23" s="53" t="s">
        <v>46</v>
      </c>
      <c r="Y23" s="53" t="s">
        <v>55</v>
      </c>
      <c r="Z23" s="53" t="s">
        <v>78</v>
      </c>
      <c r="AA23" s="53" t="s">
        <v>102</v>
      </c>
      <c r="AB23" s="53" t="s">
        <v>237</v>
      </c>
      <c r="AP23" s="27" t="s">
        <v>137</v>
      </c>
      <c r="AR23" s="23" t="s">
        <v>61</v>
      </c>
    </row>
    <row r="24" spans="1:48" x14ac:dyDescent="0.15">
      <c r="A24" s="53" t="s">
        <v>56</v>
      </c>
      <c r="B24" s="53" t="s">
        <v>234</v>
      </c>
      <c r="C24" s="53">
        <v>2019</v>
      </c>
      <c r="D24" s="81" t="s">
        <v>166</v>
      </c>
      <c r="E24" s="53" t="s">
        <v>253</v>
      </c>
      <c r="F24" s="53" t="s">
        <v>254</v>
      </c>
      <c r="G24" s="53" t="s">
        <v>42</v>
      </c>
      <c r="H24" s="53" t="s">
        <v>160</v>
      </c>
      <c r="I24" s="53" t="s">
        <v>159</v>
      </c>
      <c r="J24" s="53" t="s">
        <v>38</v>
      </c>
      <c r="K24" s="53" t="s">
        <v>161</v>
      </c>
      <c r="L24" s="53">
        <v>2</v>
      </c>
      <c r="N24" s="53">
        <v>1</v>
      </c>
      <c r="O24" s="53">
        <v>0.6</v>
      </c>
      <c r="P24" s="53">
        <v>0.65</v>
      </c>
      <c r="Q24" s="75">
        <f t="shared" si="0"/>
        <v>0.625</v>
      </c>
      <c r="R24" s="53">
        <v>16.600000000000001</v>
      </c>
      <c r="S24" s="53">
        <v>131</v>
      </c>
      <c r="T24" s="16">
        <f t="shared" si="1"/>
        <v>25</v>
      </c>
      <c r="U24" s="53">
        <v>138</v>
      </c>
      <c r="V24" s="16">
        <f t="shared" si="2"/>
        <v>3450</v>
      </c>
      <c r="W24" s="53">
        <v>2</v>
      </c>
      <c r="X24" s="53" t="s">
        <v>46</v>
      </c>
      <c r="Y24" s="53" t="s">
        <v>55</v>
      </c>
      <c r="Z24" s="53" t="s">
        <v>78</v>
      </c>
      <c r="AA24" s="53" t="s">
        <v>102</v>
      </c>
      <c r="AB24" s="53" t="s">
        <v>237</v>
      </c>
      <c r="AP24" s="27" t="s">
        <v>138</v>
      </c>
      <c r="AR24" s="23" t="s">
        <v>91</v>
      </c>
    </row>
    <row r="25" spans="1:48" x14ac:dyDescent="0.15">
      <c r="A25" s="53" t="s">
        <v>56</v>
      </c>
      <c r="B25" s="53" t="s">
        <v>234</v>
      </c>
      <c r="C25" s="53">
        <v>2019</v>
      </c>
      <c r="D25" s="81" t="s">
        <v>166</v>
      </c>
      <c r="E25" s="53" t="s">
        <v>253</v>
      </c>
      <c r="F25" s="53" t="s">
        <v>254</v>
      </c>
      <c r="G25" s="53" t="s">
        <v>42</v>
      </c>
      <c r="H25" s="53" t="s">
        <v>160</v>
      </c>
      <c r="I25" s="53" t="s">
        <v>159</v>
      </c>
      <c r="J25" s="53" t="s">
        <v>38</v>
      </c>
      <c r="K25" s="53" t="s">
        <v>161</v>
      </c>
      <c r="L25" s="53">
        <v>3</v>
      </c>
      <c r="N25" s="53">
        <v>1</v>
      </c>
      <c r="O25" s="53">
        <v>0.55000000000000004</v>
      </c>
      <c r="P25" s="53">
        <v>0.6</v>
      </c>
      <c r="Q25" s="75">
        <f t="shared" si="0"/>
        <v>0.57499999999999996</v>
      </c>
      <c r="R25" s="53">
        <v>16</v>
      </c>
      <c r="S25" s="53">
        <v>131</v>
      </c>
      <c r="T25" s="16">
        <f t="shared" si="1"/>
        <v>25</v>
      </c>
      <c r="U25" s="53">
        <v>138</v>
      </c>
      <c r="V25" s="16">
        <f t="shared" si="2"/>
        <v>3450</v>
      </c>
      <c r="W25" s="53">
        <v>2</v>
      </c>
      <c r="X25" s="53" t="s">
        <v>46</v>
      </c>
      <c r="Y25" s="53" t="s">
        <v>55</v>
      </c>
      <c r="Z25" s="53" t="s">
        <v>78</v>
      </c>
      <c r="AA25" s="53" t="s">
        <v>102</v>
      </c>
      <c r="AB25" s="53" t="s">
        <v>237</v>
      </c>
      <c r="AP25" s="27" t="s">
        <v>116</v>
      </c>
      <c r="AR25" s="27" t="s">
        <v>92</v>
      </c>
    </row>
    <row r="26" spans="1:48" x14ac:dyDescent="0.15">
      <c r="A26" s="53" t="s">
        <v>56</v>
      </c>
      <c r="B26" s="53" t="s">
        <v>234</v>
      </c>
      <c r="C26" s="53">
        <v>2019</v>
      </c>
      <c r="D26" s="81" t="s">
        <v>166</v>
      </c>
      <c r="E26" s="53" t="s">
        <v>256</v>
      </c>
      <c r="F26" s="53" t="s">
        <v>252</v>
      </c>
      <c r="G26" s="53" t="s">
        <v>42</v>
      </c>
      <c r="H26" s="53" t="s">
        <v>164</v>
      </c>
      <c r="I26" s="53" t="s">
        <v>159</v>
      </c>
      <c r="J26" s="53" t="s">
        <v>38</v>
      </c>
      <c r="K26" s="53" t="s">
        <v>161</v>
      </c>
      <c r="L26" s="53">
        <v>1</v>
      </c>
      <c r="N26" s="53">
        <v>1</v>
      </c>
      <c r="O26" s="53">
        <v>0.75</v>
      </c>
      <c r="P26" s="53">
        <v>0.75</v>
      </c>
      <c r="Q26" s="16">
        <f t="shared" si="0"/>
        <v>0.75</v>
      </c>
      <c r="R26" s="53">
        <v>15</v>
      </c>
      <c r="S26" s="53">
        <v>133</v>
      </c>
      <c r="T26" s="16">
        <f t="shared" si="1"/>
        <v>25</v>
      </c>
      <c r="U26" s="53">
        <v>105</v>
      </c>
      <c r="V26" s="16">
        <f t="shared" si="2"/>
        <v>2625</v>
      </c>
      <c r="W26" s="53">
        <v>2</v>
      </c>
      <c r="X26" s="53" t="s">
        <v>39</v>
      </c>
      <c r="Y26" s="53" t="s">
        <v>90</v>
      </c>
      <c r="Z26" s="53" t="s">
        <v>78</v>
      </c>
      <c r="AA26" s="53" t="s">
        <v>102</v>
      </c>
      <c r="AB26" s="53" t="s">
        <v>237</v>
      </c>
      <c r="AP26" s="27" t="s">
        <v>117</v>
      </c>
      <c r="AR26" s="53" t="s">
        <v>153</v>
      </c>
    </row>
    <row r="27" spans="1:48" x14ac:dyDescent="0.15">
      <c r="A27" s="53" t="s">
        <v>56</v>
      </c>
      <c r="B27" s="53" t="s">
        <v>234</v>
      </c>
      <c r="C27" s="53">
        <v>2019</v>
      </c>
      <c r="D27" s="81" t="s">
        <v>166</v>
      </c>
      <c r="E27" s="53" t="s">
        <v>256</v>
      </c>
      <c r="F27" s="53" t="s">
        <v>252</v>
      </c>
      <c r="G27" s="53" t="s">
        <v>42</v>
      </c>
      <c r="H27" s="53" t="s">
        <v>164</v>
      </c>
      <c r="I27" s="53" t="s">
        <v>159</v>
      </c>
      <c r="J27" s="53" t="s">
        <v>38</v>
      </c>
      <c r="K27" s="53" t="s">
        <v>161</v>
      </c>
      <c r="L27" s="53">
        <v>2</v>
      </c>
      <c r="N27" s="53">
        <v>1</v>
      </c>
      <c r="O27" s="53">
        <v>0.8</v>
      </c>
      <c r="P27" s="53">
        <v>0.85</v>
      </c>
      <c r="Q27" s="16">
        <f t="shared" si="0"/>
        <v>0.82499999999999996</v>
      </c>
      <c r="R27" s="53">
        <v>15.1</v>
      </c>
      <c r="S27" s="53">
        <v>134</v>
      </c>
      <c r="T27" s="16">
        <f t="shared" si="1"/>
        <v>25</v>
      </c>
      <c r="U27" s="53">
        <v>105</v>
      </c>
      <c r="V27" s="16">
        <f t="shared" si="2"/>
        <v>2625</v>
      </c>
      <c r="W27" s="53">
        <v>2</v>
      </c>
      <c r="X27" s="53" t="s">
        <v>39</v>
      </c>
      <c r="Y27" s="53" t="s">
        <v>90</v>
      </c>
      <c r="Z27" s="53" t="s">
        <v>78</v>
      </c>
      <c r="AA27" s="53" t="s">
        <v>102</v>
      </c>
      <c r="AB27" s="53" t="s">
        <v>237</v>
      </c>
      <c r="AP27" s="27" t="s">
        <v>118</v>
      </c>
    </row>
    <row r="28" spans="1:48" x14ac:dyDescent="0.15">
      <c r="A28" s="53" t="s">
        <v>56</v>
      </c>
      <c r="B28" s="53" t="s">
        <v>234</v>
      </c>
      <c r="C28" s="53">
        <v>2019</v>
      </c>
      <c r="D28" s="81" t="s">
        <v>166</v>
      </c>
      <c r="E28" s="53" t="s">
        <v>256</v>
      </c>
      <c r="F28" s="53" t="s">
        <v>252</v>
      </c>
      <c r="G28" s="53" t="s">
        <v>42</v>
      </c>
      <c r="H28" s="53" t="s">
        <v>164</v>
      </c>
      <c r="I28" s="53" t="s">
        <v>159</v>
      </c>
      <c r="J28" s="53" t="s">
        <v>38</v>
      </c>
      <c r="K28" s="53" t="s">
        <v>161</v>
      </c>
      <c r="L28" s="53">
        <v>3</v>
      </c>
      <c r="N28" s="53">
        <v>1</v>
      </c>
      <c r="O28" s="53">
        <v>0.7</v>
      </c>
      <c r="P28" s="53">
        <v>0.65</v>
      </c>
      <c r="Q28" s="16">
        <f t="shared" si="0"/>
        <v>0.67500000000000004</v>
      </c>
      <c r="R28" s="53">
        <v>14.2</v>
      </c>
      <c r="S28" s="53">
        <v>133</v>
      </c>
      <c r="T28" s="16">
        <f t="shared" si="1"/>
        <v>25</v>
      </c>
      <c r="U28" s="53">
        <v>105</v>
      </c>
      <c r="V28" s="16">
        <f t="shared" si="2"/>
        <v>2625</v>
      </c>
      <c r="W28" s="53">
        <v>2</v>
      </c>
      <c r="X28" s="53" t="s">
        <v>39</v>
      </c>
      <c r="Y28" s="53" t="s">
        <v>90</v>
      </c>
      <c r="Z28" s="53" t="s">
        <v>78</v>
      </c>
      <c r="AA28" s="53" t="s">
        <v>102</v>
      </c>
      <c r="AB28" s="53" t="s">
        <v>237</v>
      </c>
    </row>
    <row r="29" spans="1:48" x14ac:dyDescent="0.15">
      <c r="A29" s="53" t="s">
        <v>56</v>
      </c>
      <c r="B29" s="53" t="s">
        <v>234</v>
      </c>
      <c r="C29" s="53">
        <v>2019</v>
      </c>
      <c r="D29" s="81" t="s">
        <v>166</v>
      </c>
      <c r="E29" s="53" t="s">
        <v>256</v>
      </c>
      <c r="F29" s="53" t="s">
        <v>252</v>
      </c>
      <c r="G29" s="53" t="s">
        <v>42</v>
      </c>
      <c r="H29" s="53" t="s">
        <v>160</v>
      </c>
      <c r="I29" s="53" t="s">
        <v>159</v>
      </c>
      <c r="J29" s="53" t="s">
        <v>38</v>
      </c>
      <c r="K29" s="53" t="s">
        <v>161</v>
      </c>
      <c r="L29" s="53">
        <v>1</v>
      </c>
      <c r="N29" s="53">
        <v>4</v>
      </c>
      <c r="O29" s="53">
        <v>0.7</v>
      </c>
      <c r="P29" s="53">
        <v>0.7</v>
      </c>
      <c r="Q29" s="16">
        <f t="shared" si="0"/>
        <v>0.7</v>
      </c>
      <c r="R29" s="53">
        <v>15.8</v>
      </c>
      <c r="S29" s="53">
        <v>96</v>
      </c>
      <c r="T29" s="16">
        <f t="shared" si="1"/>
        <v>36</v>
      </c>
      <c r="U29" s="53">
        <v>418</v>
      </c>
      <c r="V29" s="16">
        <f t="shared" si="2"/>
        <v>3762</v>
      </c>
      <c r="W29" s="53">
        <v>2</v>
      </c>
      <c r="X29" s="53" t="s">
        <v>39</v>
      </c>
      <c r="Y29" s="53" t="s">
        <v>90</v>
      </c>
      <c r="Z29" s="53" t="s">
        <v>78</v>
      </c>
      <c r="AA29" s="53" t="s">
        <v>102</v>
      </c>
      <c r="AB29" s="53" t="s">
        <v>237</v>
      </c>
    </row>
    <row r="30" spans="1:48" x14ac:dyDescent="0.15">
      <c r="A30" s="53" t="s">
        <v>56</v>
      </c>
      <c r="B30" s="53" t="s">
        <v>234</v>
      </c>
      <c r="C30" s="53">
        <v>2019</v>
      </c>
      <c r="D30" s="81" t="s">
        <v>166</v>
      </c>
      <c r="E30" s="53" t="s">
        <v>256</v>
      </c>
      <c r="F30" s="53" t="s">
        <v>252</v>
      </c>
      <c r="G30" s="53" t="s">
        <v>42</v>
      </c>
      <c r="H30" s="53" t="s">
        <v>160</v>
      </c>
      <c r="I30" s="53" t="s">
        <v>159</v>
      </c>
      <c r="J30" s="53" t="s">
        <v>38</v>
      </c>
      <c r="K30" s="53" t="s">
        <v>161</v>
      </c>
      <c r="L30" s="53">
        <v>2</v>
      </c>
      <c r="N30" s="53">
        <v>4</v>
      </c>
      <c r="O30" s="53">
        <v>0.85</v>
      </c>
      <c r="P30" s="53">
        <v>0.7</v>
      </c>
      <c r="Q30" s="16">
        <f t="shared" si="0"/>
        <v>0.77499999999999991</v>
      </c>
      <c r="R30" s="53">
        <v>16.3</v>
      </c>
      <c r="S30" s="53">
        <v>95</v>
      </c>
      <c r="T30" s="16">
        <f t="shared" si="1"/>
        <v>36</v>
      </c>
      <c r="U30" s="53">
        <v>418</v>
      </c>
      <c r="V30" s="16">
        <f t="shared" si="2"/>
        <v>3762</v>
      </c>
      <c r="W30" s="53">
        <v>2</v>
      </c>
      <c r="X30" s="53" t="s">
        <v>39</v>
      </c>
      <c r="Y30" s="53" t="s">
        <v>90</v>
      </c>
      <c r="Z30" s="53" t="s">
        <v>78</v>
      </c>
      <c r="AA30" s="53" t="s">
        <v>102</v>
      </c>
      <c r="AB30" s="53" t="s">
        <v>237</v>
      </c>
    </row>
    <row r="31" spans="1:48" x14ac:dyDescent="0.15">
      <c r="A31" s="53" t="s">
        <v>56</v>
      </c>
      <c r="B31" s="53" t="s">
        <v>234</v>
      </c>
      <c r="C31" s="53">
        <v>2019</v>
      </c>
      <c r="D31" s="81" t="s">
        <v>166</v>
      </c>
      <c r="E31" s="53" t="s">
        <v>256</v>
      </c>
      <c r="F31" s="53" t="s">
        <v>252</v>
      </c>
      <c r="G31" s="53" t="s">
        <v>42</v>
      </c>
      <c r="H31" s="53" t="s">
        <v>160</v>
      </c>
      <c r="I31" s="53" t="s">
        <v>159</v>
      </c>
      <c r="J31" s="53" t="s">
        <v>38</v>
      </c>
      <c r="K31" s="53" t="s">
        <v>161</v>
      </c>
      <c r="L31" s="53">
        <v>3</v>
      </c>
      <c r="N31" s="53">
        <v>4</v>
      </c>
      <c r="O31" s="53">
        <v>0.6</v>
      </c>
      <c r="P31" s="53">
        <v>0.7</v>
      </c>
      <c r="Q31" s="16">
        <f t="shared" si="0"/>
        <v>0.64999999999999991</v>
      </c>
      <c r="R31" s="53">
        <v>15.7</v>
      </c>
      <c r="S31" s="53">
        <v>102</v>
      </c>
      <c r="T31" s="16">
        <f t="shared" si="1"/>
        <v>33</v>
      </c>
      <c r="U31" s="53">
        <v>418</v>
      </c>
      <c r="V31" s="16">
        <f t="shared" si="2"/>
        <v>3448.5</v>
      </c>
      <c r="W31" s="53">
        <v>2</v>
      </c>
      <c r="X31" s="53" t="s">
        <v>39</v>
      </c>
      <c r="Y31" s="53" t="s">
        <v>90</v>
      </c>
      <c r="Z31" s="53" t="s">
        <v>78</v>
      </c>
      <c r="AA31" s="53" t="s">
        <v>102</v>
      </c>
      <c r="AB31" s="53" t="s">
        <v>237</v>
      </c>
    </row>
    <row r="32" spans="1:48" x14ac:dyDescent="0.15">
      <c r="A32" s="53" t="s">
        <v>56</v>
      </c>
      <c r="B32" s="53" t="s">
        <v>234</v>
      </c>
      <c r="C32" s="53">
        <v>2019</v>
      </c>
      <c r="D32" s="81" t="s">
        <v>166</v>
      </c>
      <c r="E32" s="53" t="s">
        <v>162</v>
      </c>
      <c r="F32" s="53" t="s">
        <v>249</v>
      </c>
      <c r="G32" s="53" t="s">
        <v>42</v>
      </c>
      <c r="H32" s="53" t="s">
        <v>164</v>
      </c>
      <c r="I32" s="53" t="s">
        <v>159</v>
      </c>
      <c r="J32" s="53" t="s">
        <v>38</v>
      </c>
      <c r="K32" s="53" t="s">
        <v>161</v>
      </c>
      <c r="L32" s="53">
        <v>1</v>
      </c>
      <c r="N32" s="53">
        <v>1</v>
      </c>
      <c r="O32" s="53">
        <v>0.6</v>
      </c>
      <c r="P32" s="53">
        <v>0.6</v>
      </c>
      <c r="Q32" s="16">
        <f t="shared" si="0"/>
        <v>0.6</v>
      </c>
      <c r="R32" s="53">
        <v>16.100000000000001</v>
      </c>
      <c r="S32" s="53">
        <v>114</v>
      </c>
      <c r="T32" s="16">
        <f t="shared" si="1"/>
        <v>30</v>
      </c>
      <c r="U32" s="53">
        <v>106</v>
      </c>
      <c r="V32" s="16">
        <f t="shared" si="2"/>
        <v>3180</v>
      </c>
      <c r="W32" s="53">
        <v>2</v>
      </c>
      <c r="X32" s="53" t="s">
        <v>46</v>
      </c>
      <c r="Y32" s="53" t="s">
        <v>102</v>
      </c>
      <c r="Z32" s="53" t="s">
        <v>78</v>
      </c>
      <c r="AA32" s="53" t="s">
        <v>55</v>
      </c>
      <c r="AB32" s="53" t="s">
        <v>237</v>
      </c>
    </row>
    <row r="33" spans="1:28" x14ac:dyDescent="0.15">
      <c r="A33" s="53" t="s">
        <v>56</v>
      </c>
      <c r="B33" s="53" t="s">
        <v>234</v>
      </c>
      <c r="C33" s="53">
        <v>2019</v>
      </c>
      <c r="D33" s="81" t="s">
        <v>166</v>
      </c>
      <c r="E33" s="53" t="s">
        <v>162</v>
      </c>
      <c r="F33" s="53" t="s">
        <v>249</v>
      </c>
      <c r="G33" s="53" t="s">
        <v>42</v>
      </c>
      <c r="H33" s="53" t="s">
        <v>164</v>
      </c>
      <c r="I33" s="53" t="s">
        <v>159</v>
      </c>
      <c r="J33" s="53" t="s">
        <v>38</v>
      </c>
      <c r="K33" s="53" t="s">
        <v>161</v>
      </c>
      <c r="L33" s="53">
        <v>2</v>
      </c>
      <c r="N33" s="53">
        <v>1</v>
      </c>
      <c r="O33" s="53">
        <v>0.6</v>
      </c>
      <c r="P33" s="53">
        <v>0.6</v>
      </c>
      <c r="Q33" s="16">
        <f t="shared" si="0"/>
        <v>0.6</v>
      </c>
      <c r="R33" s="53">
        <v>13.4</v>
      </c>
      <c r="S33" s="53">
        <v>117</v>
      </c>
      <c r="T33" s="16">
        <f t="shared" si="1"/>
        <v>30</v>
      </c>
      <c r="U33" s="53">
        <v>106</v>
      </c>
      <c r="V33" s="16">
        <f t="shared" si="2"/>
        <v>3180</v>
      </c>
      <c r="W33" s="53">
        <v>2</v>
      </c>
      <c r="X33" s="53" t="s">
        <v>46</v>
      </c>
      <c r="Y33" s="53" t="s">
        <v>102</v>
      </c>
      <c r="Z33" s="53" t="s">
        <v>78</v>
      </c>
      <c r="AA33" s="53" t="s">
        <v>55</v>
      </c>
      <c r="AB33" s="53" t="s">
        <v>237</v>
      </c>
    </row>
    <row r="34" spans="1:28" x14ac:dyDescent="0.15">
      <c r="A34" s="53" t="s">
        <v>56</v>
      </c>
      <c r="B34" s="53" t="s">
        <v>234</v>
      </c>
      <c r="C34" s="53">
        <v>2019</v>
      </c>
      <c r="D34" s="81" t="s">
        <v>166</v>
      </c>
      <c r="E34" s="53" t="s">
        <v>162</v>
      </c>
      <c r="F34" s="53" t="s">
        <v>249</v>
      </c>
      <c r="G34" s="53" t="s">
        <v>42</v>
      </c>
      <c r="H34" s="53" t="s">
        <v>164</v>
      </c>
      <c r="I34" s="53" t="s">
        <v>159</v>
      </c>
      <c r="J34" s="53" t="s">
        <v>38</v>
      </c>
      <c r="K34" s="53" t="s">
        <v>161</v>
      </c>
      <c r="L34" s="53">
        <v>3</v>
      </c>
      <c r="N34" s="53">
        <v>1</v>
      </c>
      <c r="O34" s="53">
        <v>0.6</v>
      </c>
      <c r="P34" s="53">
        <v>0.6</v>
      </c>
      <c r="Q34" s="16">
        <f t="shared" si="0"/>
        <v>0.6</v>
      </c>
      <c r="R34" s="53">
        <v>15</v>
      </c>
      <c r="S34" s="53">
        <v>113</v>
      </c>
      <c r="T34" s="16">
        <f t="shared" si="1"/>
        <v>30</v>
      </c>
      <c r="U34" s="53">
        <v>106</v>
      </c>
      <c r="V34" s="16">
        <f t="shared" si="2"/>
        <v>3180</v>
      </c>
      <c r="W34" s="53">
        <v>2</v>
      </c>
      <c r="X34" s="53" t="s">
        <v>46</v>
      </c>
      <c r="Y34" s="53" t="s">
        <v>102</v>
      </c>
      <c r="Z34" s="53" t="s">
        <v>78</v>
      </c>
      <c r="AA34" s="53" t="s">
        <v>55</v>
      </c>
      <c r="AB34" s="53" t="s">
        <v>237</v>
      </c>
    </row>
    <row r="35" spans="1:28" x14ac:dyDescent="0.15">
      <c r="A35" s="53" t="s">
        <v>56</v>
      </c>
      <c r="B35" s="53" t="s">
        <v>234</v>
      </c>
      <c r="C35" s="53">
        <v>2019</v>
      </c>
      <c r="D35" s="81" t="s">
        <v>166</v>
      </c>
      <c r="E35" s="53" t="s">
        <v>162</v>
      </c>
      <c r="F35" s="53" t="s">
        <v>249</v>
      </c>
      <c r="G35" s="53" t="s">
        <v>42</v>
      </c>
      <c r="H35" s="53" t="s">
        <v>160</v>
      </c>
      <c r="I35" s="53" t="s">
        <v>159</v>
      </c>
      <c r="J35" s="53" t="s">
        <v>38</v>
      </c>
      <c r="K35" s="53" t="s">
        <v>161</v>
      </c>
      <c r="L35" s="53">
        <v>1</v>
      </c>
      <c r="N35" s="53">
        <v>1</v>
      </c>
      <c r="O35" s="53">
        <v>0.6</v>
      </c>
      <c r="P35" s="53">
        <v>0.6</v>
      </c>
      <c r="Q35" s="16">
        <f t="shared" si="0"/>
        <v>0.6</v>
      </c>
      <c r="R35" s="53">
        <v>13.1</v>
      </c>
      <c r="S35" s="53">
        <v>110</v>
      </c>
      <c r="T35" s="16">
        <f t="shared" si="1"/>
        <v>33</v>
      </c>
      <c r="U35" s="53">
        <v>138</v>
      </c>
      <c r="V35" s="16">
        <f t="shared" si="2"/>
        <v>4554</v>
      </c>
      <c r="W35" s="53">
        <v>3</v>
      </c>
      <c r="X35" s="53" t="s">
        <v>46</v>
      </c>
      <c r="Y35" s="53" t="s">
        <v>102</v>
      </c>
      <c r="Z35" s="53" t="s">
        <v>78</v>
      </c>
      <c r="AA35" s="53" t="s">
        <v>55</v>
      </c>
      <c r="AB35" s="53" t="s">
        <v>237</v>
      </c>
    </row>
    <row r="36" spans="1:28" x14ac:dyDescent="0.15">
      <c r="A36" s="53" t="s">
        <v>56</v>
      </c>
      <c r="B36" s="53" t="s">
        <v>234</v>
      </c>
      <c r="C36" s="53">
        <v>2019</v>
      </c>
      <c r="D36" s="81" t="s">
        <v>166</v>
      </c>
      <c r="E36" s="53" t="s">
        <v>162</v>
      </c>
      <c r="F36" s="53" t="s">
        <v>249</v>
      </c>
      <c r="G36" s="53" t="s">
        <v>42</v>
      </c>
      <c r="H36" s="53" t="s">
        <v>160</v>
      </c>
      <c r="I36" s="53" t="s">
        <v>159</v>
      </c>
      <c r="J36" s="53" t="s">
        <v>38</v>
      </c>
      <c r="K36" s="53" t="s">
        <v>161</v>
      </c>
      <c r="L36" s="53">
        <v>2</v>
      </c>
      <c r="N36" s="53">
        <v>1</v>
      </c>
      <c r="O36" s="53">
        <v>0.6</v>
      </c>
      <c r="P36" s="53">
        <v>0.5</v>
      </c>
      <c r="Q36" s="16">
        <f t="shared" si="0"/>
        <v>0.55000000000000004</v>
      </c>
      <c r="R36" s="53">
        <v>13</v>
      </c>
      <c r="S36" s="53">
        <v>108</v>
      </c>
      <c r="T36" s="16">
        <f t="shared" si="1"/>
        <v>33</v>
      </c>
      <c r="U36" s="53">
        <v>138</v>
      </c>
      <c r="V36" s="16">
        <f t="shared" si="2"/>
        <v>4554</v>
      </c>
      <c r="W36" s="53">
        <v>3</v>
      </c>
      <c r="X36" s="53" t="s">
        <v>46</v>
      </c>
      <c r="Y36" s="53" t="s">
        <v>102</v>
      </c>
      <c r="Z36" s="53" t="s">
        <v>78</v>
      </c>
      <c r="AA36" s="53" t="s">
        <v>55</v>
      </c>
      <c r="AB36" s="53" t="s">
        <v>237</v>
      </c>
    </row>
    <row r="37" spans="1:28" x14ac:dyDescent="0.15">
      <c r="A37" s="53" t="s">
        <v>56</v>
      </c>
      <c r="B37" s="53" t="s">
        <v>234</v>
      </c>
      <c r="C37" s="53">
        <v>2019</v>
      </c>
      <c r="D37" s="81" t="s">
        <v>166</v>
      </c>
      <c r="E37" s="53" t="s">
        <v>162</v>
      </c>
      <c r="F37" s="53" t="s">
        <v>249</v>
      </c>
      <c r="G37" s="53" t="s">
        <v>42</v>
      </c>
      <c r="H37" s="53" t="s">
        <v>160</v>
      </c>
      <c r="I37" s="53" t="s">
        <v>159</v>
      </c>
      <c r="J37" s="53" t="s">
        <v>38</v>
      </c>
      <c r="K37" s="53" t="s">
        <v>161</v>
      </c>
      <c r="L37" s="53">
        <v>3</v>
      </c>
      <c r="N37" s="53">
        <v>1</v>
      </c>
      <c r="O37" s="53">
        <v>0.65</v>
      </c>
      <c r="P37" s="53">
        <v>0.6</v>
      </c>
      <c r="Q37" s="16">
        <f t="shared" si="0"/>
        <v>0.625</v>
      </c>
      <c r="R37" s="53">
        <v>14.8</v>
      </c>
      <c r="S37" s="53">
        <v>109</v>
      </c>
      <c r="T37" s="16">
        <f t="shared" si="1"/>
        <v>33</v>
      </c>
      <c r="U37" s="53">
        <v>138</v>
      </c>
      <c r="V37" s="16">
        <f t="shared" si="2"/>
        <v>4554</v>
      </c>
      <c r="W37" s="53">
        <v>3</v>
      </c>
      <c r="X37" s="53" t="s">
        <v>46</v>
      </c>
      <c r="Y37" s="53" t="s">
        <v>102</v>
      </c>
      <c r="Z37" s="53" t="s">
        <v>78</v>
      </c>
      <c r="AA37" s="53" t="s">
        <v>55</v>
      </c>
      <c r="AB37" s="53" t="s">
        <v>237</v>
      </c>
    </row>
    <row r="38" spans="1:28" x14ac:dyDescent="0.15">
      <c r="A38" s="53" t="s">
        <v>56</v>
      </c>
      <c r="B38" s="53" t="s">
        <v>234</v>
      </c>
      <c r="C38" s="53">
        <v>2019</v>
      </c>
      <c r="D38" s="81" t="s">
        <v>166</v>
      </c>
      <c r="E38" s="53" t="s">
        <v>257</v>
      </c>
      <c r="F38" s="53" t="s">
        <v>249</v>
      </c>
      <c r="G38" s="53" t="s">
        <v>42</v>
      </c>
      <c r="H38" s="53" t="s">
        <v>164</v>
      </c>
      <c r="I38" s="53" t="s">
        <v>159</v>
      </c>
      <c r="J38" s="53" t="s">
        <v>38</v>
      </c>
      <c r="K38" s="53" t="s">
        <v>161</v>
      </c>
      <c r="L38" s="53">
        <v>1</v>
      </c>
      <c r="N38" s="53">
        <v>1</v>
      </c>
      <c r="O38" s="53">
        <v>0.6</v>
      </c>
      <c r="P38" s="53">
        <v>0.6</v>
      </c>
      <c r="Q38" s="16">
        <f t="shared" si="0"/>
        <v>0.6</v>
      </c>
      <c r="R38" s="53">
        <v>15.4</v>
      </c>
      <c r="S38" s="53">
        <v>126</v>
      </c>
      <c r="T38" s="16">
        <f t="shared" si="1"/>
        <v>27</v>
      </c>
      <c r="U38" s="53">
        <v>138</v>
      </c>
      <c r="V38" s="16">
        <f t="shared" si="2"/>
        <v>3726</v>
      </c>
      <c r="W38" s="53">
        <v>1</v>
      </c>
      <c r="X38" s="53" t="s">
        <v>39</v>
      </c>
      <c r="Y38" s="53" t="s">
        <v>90</v>
      </c>
      <c r="Z38" s="53" t="s">
        <v>88</v>
      </c>
      <c r="AA38" s="53" t="s">
        <v>102</v>
      </c>
      <c r="AB38" s="53" t="s">
        <v>237</v>
      </c>
    </row>
    <row r="39" spans="1:28" x14ac:dyDescent="0.15">
      <c r="A39" s="53" t="s">
        <v>56</v>
      </c>
      <c r="B39" s="53" t="s">
        <v>234</v>
      </c>
      <c r="C39" s="53">
        <v>2019</v>
      </c>
      <c r="D39" s="81" t="s">
        <v>166</v>
      </c>
      <c r="E39" s="53" t="s">
        <v>257</v>
      </c>
      <c r="F39" s="53" t="s">
        <v>249</v>
      </c>
      <c r="G39" s="53" t="s">
        <v>42</v>
      </c>
      <c r="H39" s="53" t="s">
        <v>164</v>
      </c>
      <c r="I39" s="53" t="s">
        <v>159</v>
      </c>
      <c r="J39" s="53" t="s">
        <v>38</v>
      </c>
      <c r="K39" s="53" t="s">
        <v>161</v>
      </c>
      <c r="L39" s="53">
        <v>2</v>
      </c>
      <c r="N39" s="53">
        <v>1</v>
      </c>
      <c r="O39" s="53">
        <v>0.6</v>
      </c>
      <c r="P39" s="53">
        <v>0.75</v>
      </c>
      <c r="Q39" s="16">
        <f t="shared" si="0"/>
        <v>0.67500000000000004</v>
      </c>
      <c r="R39" s="53">
        <v>13.8</v>
      </c>
      <c r="S39" s="53">
        <v>124</v>
      </c>
      <c r="T39" s="16">
        <f t="shared" si="1"/>
        <v>27</v>
      </c>
      <c r="U39" s="53">
        <v>138</v>
      </c>
      <c r="V39" s="16">
        <f t="shared" si="2"/>
        <v>3726</v>
      </c>
      <c r="W39" s="53">
        <v>1</v>
      </c>
      <c r="X39" s="53" t="s">
        <v>39</v>
      </c>
      <c r="Y39" s="53" t="s">
        <v>90</v>
      </c>
      <c r="Z39" s="53" t="s">
        <v>88</v>
      </c>
      <c r="AA39" s="53" t="s">
        <v>102</v>
      </c>
      <c r="AB39" s="53" t="s">
        <v>237</v>
      </c>
    </row>
    <row r="40" spans="1:28" x14ac:dyDescent="0.15">
      <c r="A40" s="53" t="s">
        <v>56</v>
      </c>
      <c r="B40" s="53" t="s">
        <v>234</v>
      </c>
      <c r="C40" s="53">
        <v>2019</v>
      </c>
      <c r="D40" s="81" t="s">
        <v>166</v>
      </c>
      <c r="E40" s="53" t="s">
        <v>257</v>
      </c>
      <c r="F40" s="53" t="s">
        <v>249</v>
      </c>
      <c r="G40" s="53" t="s">
        <v>42</v>
      </c>
      <c r="H40" s="53" t="s">
        <v>164</v>
      </c>
      <c r="I40" s="53" t="s">
        <v>159</v>
      </c>
      <c r="J40" s="53" t="s">
        <v>38</v>
      </c>
      <c r="K40" s="53" t="s">
        <v>161</v>
      </c>
      <c r="L40" s="53">
        <v>3</v>
      </c>
      <c r="N40" s="53">
        <v>1</v>
      </c>
      <c r="O40" s="53">
        <v>0.75</v>
      </c>
      <c r="P40" s="53">
        <v>0.7</v>
      </c>
      <c r="Q40" s="16">
        <f t="shared" si="0"/>
        <v>0.72499999999999998</v>
      </c>
      <c r="R40" s="53">
        <v>16.899999999999999</v>
      </c>
      <c r="S40" s="53">
        <v>127</v>
      </c>
      <c r="T40" s="16">
        <f t="shared" si="1"/>
        <v>27</v>
      </c>
      <c r="U40" s="53">
        <v>138</v>
      </c>
      <c r="V40" s="16">
        <f t="shared" si="2"/>
        <v>3726</v>
      </c>
      <c r="W40" s="53">
        <v>1</v>
      </c>
      <c r="X40" s="53" t="s">
        <v>39</v>
      </c>
      <c r="Y40" s="53" t="s">
        <v>90</v>
      </c>
      <c r="Z40" s="53" t="s">
        <v>88</v>
      </c>
      <c r="AA40" s="53" t="s">
        <v>102</v>
      </c>
      <c r="AB40" s="53" t="s">
        <v>237</v>
      </c>
    </row>
    <row r="41" spans="1:28" x14ac:dyDescent="0.15">
      <c r="A41" s="53" t="s">
        <v>56</v>
      </c>
      <c r="B41" s="53" t="s">
        <v>234</v>
      </c>
      <c r="C41" s="53">
        <v>2019</v>
      </c>
      <c r="D41" s="81" t="s">
        <v>166</v>
      </c>
      <c r="E41" s="53" t="s">
        <v>257</v>
      </c>
      <c r="F41" s="53" t="s">
        <v>249</v>
      </c>
      <c r="G41" s="53" t="s">
        <v>42</v>
      </c>
      <c r="H41" s="53" t="s">
        <v>160</v>
      </c>
      <c r="I41" s="53" t="s">
        <v>159</v>
      </c>
      <c r="J41" s="53" t="s">
        <v>38</v>
      </c>
      <c r="K41" s="53" t="s">
        <v>161</v>
      </c>
      <c r="L41" s="53">
        <v>1</v>
      </c>
      <c r="N41" s="53">
        <v>1</v>
      </c>
      <c r="O41" s="53">
        <v>0.7</v>
      </c>
      <c r="P41" s="53">
        <v>0.65</v>
      </c>
      <c r="Q41" s="16">
        <f t="shared" si="0"/>
        <v>0.67500000000000004</v>
      </c>
      <c r="R41" s="53">
        <v>16.8</v>
      </c>
      <c r="S41" s="53">
        <v>129</v>
      </c>
      <c r="T41" s="16">
        <f t="shared" si="1"/>
        <v>25</v>
      </c>
      <c r="U41" s="53">
        <v>150</v>
      </c>
      <c r="V41" s="16">
        <f t="shared" si="2"/>
        <v>3750</v>
      </c>
      <c r="W41" s="53">
        <v>1</v>
      </c>
      <c r="X41" s="53" t="s">
        <v>39</v>
      </c>
      <c r="Y41" s="53" t="s">
        <v>90</v>
      </c>
      <c r="Z41" s="53" t="s">
        <v>88</v>
      </c>
      <c r="AA41" s="53" t="s">
        <v>102</v>
      </c>
      <c r="AB41" s="53" t="s">
        <v>237</v>
      </c>
    </row>
    <row r="42" spans="1:28" x14ac:dyDescent="0.15">
      <c r="A42" s="53" t="s">
        <v>56</v>
      </c>
      <c r="B42" s="53" t="s">
        <v>234</v>
      </c>
      <c r="C42" s="53">
        <v>2019</v>
      </c>
      <c r="D42" s="81" t="s">
        <v>166</v>
      </c>
      <c r="E42" s="53" t="s">
        <v>257</v>
      </c>
      <c r="F42" s="53" t="s">
        <v>249</v>
      </c>
      <c r="G42" s="53" t="s">
        <v>42</v>
      </c>
      <c r="H42" s="53" t="s">
        <v>160</v>
      </c>
      <c r="I42" s="53" t="s">
        <v>159</v>
      </c>
      <c r="J42" s="53" t="s">
        <v>38</v>
      </c>
      <c r="K42" s="53" t="s">
        <v>161</v>
      </c>
      <c r="L42" s="53">
        <v>2</v>
      </c>
      <c r="N42" s="53">
        <v>1</v>
      </c>
      <c r="O42" s="53">
        <v>0.6</v>
      </c>
      <c r="P42" s="53">
        <v>0.6</v>
      </c>
      <c r="Q42" s="16">
        <f t="shared" si="0"/>
        <v>0.6</v>
      </c>
      <c r="R42" s="53">
        <v>16.8</v>
      </c>
      <c r="S42" s="53">
        <v>132</v>
      </c>
      <c r="T42" s="16">
        <f t="shared" si="1"/>
        <v>25</v>
      </c>
      <c r="U42" s="53">
        <v>150</v>
      </c>
      <c r="V42" s="16">
        <f t="shared" si="2"/>
        <v>3750</v>
      </c>
      <c r="W42" s="53">
        <v>1</v>
      </c>
      <c r="X42" s="53" t="s">
        <v>39</v>
      </c>
      <c r="Y42" s="53" t="s">
        <v>90</v>
      </c>
      <c r="Z42" s="53" t="s">
        <v>88</v>
      </c>
      <c r="AA42" s="53" t="s">
        <v>102</v>
      </c>
      <c r="AB42" s="53" t="s">
        <v>237</v>
      </c>
    </row>
    <row r="43" spans="1:28" x14ac:dyDescent="0.15">
      <c r="A43" s="53" t="s">
        <v>56</v>
      </c>
      <c r="B43" s="53" t="s">
        <v>234</v>
      </c>
      <c r="C43" s="53">
        <v>2019</v>
      </c>
      <c r="D43" s="81" t="s">
        <v>166</v>
      </c>
      <c r="E43" s="53" t="s">
        <v>257</v>
      </c>
      <c r="F43" s="53" t="s">
        <v>249</v>
      </c>
      <c r="G43" s="53" t="s">
        <v>42</v>
      </c>
      <c r="H43" s="53" t="s">
        <v>160</v>
      </c>
      <c r="I43" s="53" t="s">
        <v>159</v>
      </c>
      <c r="J43" s="53" t="s">
        <v>38</v>
      </c>
      <c r="K43" s="53" t="s">
        <v>161</v>
      </c>
      <c r="L43" s="53">
        <v>3</v>
      </c>
      <c r="N43" s="53">
        <v>1</v>
      </c>
      <c r="O43" s="53">
        <v>0.7</v>
      </c>
      <c r="P43" s="53">
        <v>0.75</v>
      </c>
      <c r="Q43" s="16">
        <f t="shared" si="0"/>
        <v>0.72499999999999998</v>
      </c>
      <c r="R43" s="53">
        <v>16.5</v>
      </c>
      <c r="S43" s="53">
        <v>135</v>
      </c>
      <c r="T43" s="16">
        <f t="shared" si="1"/>
        <v>25</v>
      </c>
      <c r="U43" s="53">
        <v>150</v>
      </c>
      <c r="V43" s="16">
        <f t="shared" si="2"/>
        <v>3750</v>
      </c>
      <c r="W43" s="53">
        <v>1</v>
      </c>
      <c r="X43" s="53" t="s">
        <v>39</v>
      </c>
      <c r="Y43" s="53" t="s">
        <v>90</v>
      </c>
      <c r="Z43" s="53" t="s">
        <v>88</v>
      </c>
      <c r="AA43" s="53" t="s">
        <v>102</v>
      </c>
      <c r="AB43" s="53" t="s">
        <v>237</v>
      </c>
    </row>
    <row r="44" spans="1:28" x14ac:dyDescent="0.15">
      <c r="A44" s="53" t="s">
        <v>56</v>
      </c>
      <c r="B44" s="53" t="s">
        <v>234</v>
      </c>
      <c r="C44" s="53">
        <v>2019</v>
      </c>
      <c r="D44" s="81" t="s">
        <v>166</v>
      </c>
      <c r="E44" s="53" t="s">
        <v>258</v>
      </c>
      <c r="F44" s="53" t="s">
        <v>239</v>
      </c>
      <c r="G44" s="53" t="s">
        <v>42</v>
      </c>
      <c r="H44" s="53" t="s">
        <v>164</v>
      </c>
      <c r="I44" s="53" t="s">
        <v>159</v>
      </c>
      <c r="J44" s="53" t="s">
        <v>38</v>
      </c>
      <c r="K44" s="53" t="s">
        <v>161</v>
      </c>
      <c r="L44" s="53">
        <v>1</v>
      </c>
      <c r="N44" s="53">
        <v>5</v>
      </c>
      <c r="O44" s="53">
        <v>0.7</v>
      </c>
      <c r="P44" s="53">
        <v>0.65</v>
      </c>
      <c r="Q44" s="16">
        <f t="shared" si="0"/>
        <v>0.67500000000000004</v>
      </c>
      <c r="R44" s="53">
        <v>17.5</v>
      </c>
      <c r="S44" s="53">
        <v>96</v>
      </c>
      <c r="T44" s="16">
        <f t="shared" si="1"/>
        <v>36</v>
      </c>
      <c r="U44" s="53">
        <v>429</v>
      </c>
      <c r="V44" s="16">
        <f t="shared" si="2"/>
        <v>3088.7999999999997</v>
      </c>
      <c r="W44" s="53">
        <v>1</v>
      </c>
      <c r="X44" s="53" t="s">
        <v>39</v>
      </c>
      <c r="Y44" s="53" t="s">
        <v>102</v>
      </c>
      <c r="Z44" s="53" t="s">
        <v>78</v>
      </c>
      <c r="AA44" s="53" t="s">
        <v>97</v>
      </c>
      <c r="AB44" s="53" t="s">
        <v>237</v>
      </c>
    </row>
    <row r="45" spans="1:28" x14ac:dyDescent="0.15">
      <c r="A45" s="53" t="s">
        <v>56</v>
      </c>
      <c r="B45" s="53" t="s">
        <v>234</v>
      </c>
      <c r="C45" s="53">
        <v>2019</v>
      </c>
      <c r="D45" s="81" t="s">
        <v>166</v>
      </c>
      <c r="E45" s="53" t="s">
        <v>258</v>
      </c>
      <c r="F45" s="53" t="s">
        <v>239</v>
      </c>
      <c r="G45" s="53" t="s">
        <v>42</v>
      </c>
      <c r="H45" s="53" t="s">
        <v>164</v>
      </c>
      <c r="I45" s="53" t="s">
        <v>159</v>
      </c>
      <c r="J45" s="53" t="s">
        <v>38</v>
      </c>
      <c r="K45" s="53" t="s">
        <v>161</v>
      </c>
      <c r="L45" s="53">
        <v>2</v>
      </c>
      <c r="N45" s="53">
        <v>5</v>
      </c>
      <c r="O45" s="53">
        <v>0.75</v>
      </c>
      <c r="P45" s="53">
        <v>0.75</v>
      </c>
      <c r="Q45" s="16">
        <f t="shared" si="0"/>
        <v>0.75</v>
      </c>
      <c r="R45" s="53">
        <v>14.8</v>
      </c>
      <c r="S45" s="53">
        <v>98</v>
      </c>
      <c r="T45" s="16">
        <f t="shared" si="1"/>
        <v>36</v>
      </c>
      <c r="U45" s="53">
        <v>429</v>
      </c>
      <c r="V45" s="16">
        <f t="shared" si="2"/>
        <v>3088.7999999999997</v>
      </c>
      <c r="W45" s="53">
        <v>1</v>
      </c>
      <c r="X45" s="53" t="s">
        <v>39</v>
      </c>
      <c r="Y45" s="53" t="s">
        <v>102</v>
      </c>
      <c r="Z45" s="53" t="s">
        <v>78</v>
      </c>
      <c r="AA45" s="53" t="s">
        <v>97</v>
      </c>
      <c r="AB45" s="53" t="s">
        <v>237</v>
      </c>
    </row>
    <row r="46" spans="1:28" x14ac:dyDescent="0.15">
      <c r="A46" s="53" t="s">
        <v>56</v>
      </c>
      <c r="B46" s="53" t="s">
        <v>234</v>
      </c>
      <c r="C46" s="53">
        <v>2019</v>
      </c>
      <c r="D46" s="81" t="s">
        <v>166</v>
      </c>
      <c r="E46" s="53" t="s">
        <v>258</v>
      </c>
      <c r="F46" s="53" t="s">
        <v>239</v>
      </c>
      <c r="G46" s="53" t="s">
        <v>42</v>
      </c>
      <c r="H46" s="53" t="s">
        <v>164</v>
      </c>
      <c r="I46" s="53" t="s">
        <v>159</v>
      </c>
      <c r="J46" s="53" t="s">
        <v>38</v>
      </c>
      <c r="K46" s="53" t="s">
        <v>161</v>
      </c>
      <c r="L46" s="53">
        <v>3</v>
      </c>
      <c r="N46" s="53">
        <v>5</v>
      </c>
      <c r="O46" s="53">
        <v>0.75</v>
      </c>
      <c r="P46" s="53">
        <v>0.75</v>
      </c>
      <c r="Q46" s="16">
        <f t="shared" si="0"/>
        <v>0.75</v>
      </c>
      <c r="R46" s="53">
        <v>15.6</v>
      </c>
      <c r="S46" s="53">
        <v>99</v>
      </c>
      <c r="T46" s="16">
        <f t="shared" si="1"/>
        <v>33</v>
      </c>
      <c r="U46" s="53">
        <v>429</v>
      </c>
      <c r="V46" s="16">
        <f t="shared" si="2"/>
        <v>2831.4</v>
      </c>
      <c r="W46" s="53">
        <v>1</v>
      </c>
      <c r="X46" s="53" t="s">
        <v>39</v>
      </c>
      <c r="Y46" s="53" t="s">
        <v>102</v>
      </c>
      <c r="Z46" s="53" t="s">
        <v>78</v>
      </c>
      <c r="AA46" s="53" t="s">
        <v>97</v>
      </c>
      <c r="AB46" s="53" t="s">
        <v>237</v>
      </c>
    </row>
    <row r="47" spans="1:28" x14ac:dyDescent="0.15">
      <c r="A47" s="53" t="s">
        <v>56</v>
      </c>
      <c r="B47" s="53" t="s">
        <v>234</v>
      </c>
      <c r="C47" s="53">
        <v>2019</v>
      </c>
      <c r="D47" s="81" t="s">
        <v>166</v>
      </c>
      <c r="E47" s="53" t="s">
        <v>258</v>
      </c>
      <c r="F47" s="53" t="s">
        <v>239</v>
      </c>
      <c r="G47" s="53" t="s">
        <v>42</v>
      </c>
      <c r="H47" s="53" t="s">
        <v>160</v>
      </c>
      <c r="I47" s="53" t="s">
        <v>159</v>
      </c>
      <c r="J47" s="53" t="s">
        <v>38</v>
      </c>
      <c r="K47" s="53" t="s">
        <v>161</v>
      </c>
      <c r="L47" s="53">
        <v>1</v>
      </c>
      <c r="N47" s="53">
        <v>4</v>
      </c>
      <c r="O47" s="53">
        <v>0.7</v>
      </c>
      <c r="P47" s="53">
        <v>0.7</v>
      </c>
      <c r="Q47" s="16">
        <f t="shared" si="0"/>
        <v>0.7</v>
      </c>
      <c r="R47" s="53">
        <v>15</v>
      </c>
      <c r="S47" s="53">
        <v>102</v>
      </c>
      <c r="T47" s="16">
        <f t="shared" si="1"/>
        <v>33</v>
      </c>
      <c r="U47" s="53">
        <v>429</v>
      </c>
      <c r="V47" s="16">
        <f t="shared" si="2"/>
        <v>3539.25</v>
      </c>
      <c r="W47" s="53">
        <v>1</v>
      </c>
      <c r="X47" s="53" t="s">
        <v>39</v>
      </c>
      <c r="Y47" s="53" t="s">
        <v>102</v>
      </c>
      <c r="Z47" s="53" t="s">
        <v>78</v>
      </c>
      <c r="AA47" s="53" t="s">
        <v>97</v>
      </c>
      <c r="AB47" s="53" t="s">
        <v>237</v>
      </c>
    </row>
    <row r="48" spans="1:28" x14ac:dyDescent="0.15">
      <c r="A48" s="53" t="s">
        <v>56</v>
      </c>
      <c r="B48" s="53" t="s">
        <v>234</v>
      </c>
      <c r="C48" s="53">
        <v>2019</v>
      </c>
      <c r="D48" s="81" t="s">
        <v>166</v>
      </c>
      <c r="E48" s="53" t="s">
        <v>258</v>
      </c>
      <c r="F48" s="53" t="s">
        <v>239</v>
      </c>
      <c r="G48" s="53" t="s">
        <v>42</v>
      </c>
      <c r="H48" s="53" t="s">
        <v>160</v>
      </c>
      <c r="I48" s="53" t="s">
        <v>159</v>
      </c>
      <c r="J48" s="53" t="s">
        <v>38</v>
      </c>
      <c r="K48" s="53" t="s">
        <v>161</v>
      </c>
      <c r="L48" s="53">
        <v>2</v>
      </c>
      <c r="N48" s="53">
        <v>4</v>
      </c>
      <c r="O48" s="53">
        <v>0.7</v>
      </c>
      <c r="P48" s="53">
        <v>0.8</v>
      </c>
      <c r="Q48" s="16">
        <f t="shared" si="0"/>
        <v>0.75</v>
      </c>
      <c r="R48" s="53">
        <v>15</v>
      </c>
      <c r="S48" s="53">
        <v>102</v>
      </c>
      <c r="T48" s="16">
        <f t="shared" si="1"/>
        <v>33</v>
      </c>
      <c r="U48" s="53">
        <v>429</v>
      </c>
      <c r="V48" s="16">
        <f t="shared" si="2"/>
        <v>3539.25</v>
      </c>
      <c r="W48" s="53">
        <v>1</v>
      </c>
      <c r="X48" s="53" t="s">
        <v>39</v>
      </c>
      <c r="Y48" s="53" t="s">
        <v>102</v>
      </c>
      <c r="Z48" s="53" t="s">
        <v>78</v>
      </c>
      <c r="AA48" s="53" t="s">
        <v>97</v>
      </c>
      <c r="AB48" s="53" t="s">
        <v>237</v>
      </c>
    </row>
    <row r="49" spans="1:28" x14ac:dyDescent="0.15">
      <c r="A49" s="53" t="s">
        <v>56</v>
      </c>
      <c r="B49" s="53" t="s">
        <v>234</v>
      </c>
      <c r="C49" s="53">
        <v>2019</v>
      </c>
      <c r="D49" s="81" t="s">
        <v>166</v>
      </c>
      <c r="E49" s="53" t="s">
        <v>258</v>
      </c>
      <c r="F49" s="53" t="s">
        <v>239</v>
      </c>
      <c r="G49" s="53" t="s">
        <v>42</v>
      </c>
      <c r="H49" s="53" t="s">
        <v>160</v>
      </c>
      <c r="I49" s="53" t="s">
        <v>159</v>
      </c>
      <c r="J49" s="53" t="s">
        <v>38</v>
      </c>
      <c r="K49" s="53" t="s">
        <v>161</v>
      </c>
      <c r="L49" s="53">
        <v>3</v>
      </c>
      <c r="N49" s="53">
        <v>4</v>
      </c>
      <c r="O49" s="53">
        <v>0.65</v>
      </c>
      <c r="P49" s="53">
        <v>0.65</v>
      </c>
      <c r="Q49" s="16">
        <f t="shared" si="0"/>
        <v>0.65</v>
      </c>
      <c r="R49" s="53">
        <v>14.8</v>
      </c>
      <c r="S49" s="53">
        <v>93</v>
      </c>
      <c r="T49" s="16">
        <f t="shared" si="1"/>
        <v>36</v>
      </c>
      <c r="U49" s="53">
        <v>429</v>
      </c>
      <c r="V49" s="16">
        <f t="shared" si="2"/>
        <v>3861</v>
      </c>
      <c r="W49" s="53">
        <v>1</v>
      </c>
      <c r="X49" s="53" t="s">
        <v>39</v>
      </c>
      <c r="Y49" s="53" t="s">
        <v>102</v>
      </c>
      <c r="Z49" s="53" t="s">
        <v>78</v>
      </c>
      <c r="AA49" s="53" t="s">
        <v>97</v>
      </c>
      <c r="AB49" s="53" t="s">
        <v>237</v>
      </c>
    </row>
    <row r="50" spans="1:28" x14ac:dyDescent="0.15">
      <c r="A50" s="53" t="s">
        <v>56</v>
      </c>
      <c r="B50" s="53" t="s">
        <v>234</v>
      </c>
      <c r="C50" s="53">
        <v>2019</v>
      </c>
      <c r="D50" s="81" t="s">
        <v>166</v>
      </c>
      <c r="E50" s="53" t="s">
        <v>250</v>
      </c>
      <c r="F50" s="53" t="s">
        <v>252</v>
      </c>
      <c r="G50" s="53" t="s">
        <v>42</v>
      </c>
      <c r="H50" s="53" t="s">
        <v>164</v>
      </c>
      <c r="I50" s="53" t="s">
        <v>159</v>
      </c>
      <c r="J50" s="53" t="s">
        <v>38</v>
      </c>
      <c r="K50" s="53" t="s">
        <v>161</v>
      </c>
      <c r="L50" s="53">
        <v>1</v>
      </c>
      <c r="N50" s="53">
        <v>1</v>
      </c>
      <c r="O50" s="53">
        <v>0.75</v>
      </c>
      <c r="P50" s="53">
        <v>0.75</v>
      </c>
      <c r="Q50" s="16">
        <f t="shared" si="0"/>
        <v>0.75</v>
      </c>
      <c r="R50" s="53">
        <v>16.7</v>
      </c>
      <c r="S50" s="53">
        <v>139</v>
      </c>
      <c r="T50" s="16">
        <f t="shared" si="1"/>
        <v>22</v>
      </c>
      <c r="U50" s="53">
        <v>117</v>
      </c>
      <c r="V50" s="16">
        <f t="shared" si="2"/>
        <v>2574</v>
      </c>
      <c r="W50" s="53">
        <v>2</v>
      </c>
      <c r="X50" s="53" t="s">
        <v>46</v>
      </c>
      <c r="Y50" s="53" t="s">
        <v>90</v>
      </c>
      <c r="Z50" s="53" t="s">
        <v>78</v>
      </c>
      <c r="AA50" s="53" t="s">
        <v>102</v>
      </c>
      <c r="AB50" s="53" t="s">
        <v>237</v>
      </c>
    </row>
    <row r="51" spans="1:28" x14ac:dyDescent="0.15">
      <c r="A51" s="53" t="s">
        <v>56</v>
      </c>
      <c r="B51" s="53" t="s">
        <v>234</v>
      </c>
      <c r="C51" s="53">
        <v>2019</v>
      </c>
      <c r="D51" s="81" t="s">
        <v>166</v>
      </c>
      <c r="E51" s="53" t="s">
        <v>250</v>
      </c>
      <c r="F51" s="53" t="s">
        <v>252</v>
      </c>
      <c r="G51" s="53" t="s">
        <v>42</v>
      </c>
      <c r="H51" s="53" t="s">
        <v>164</v>
      </c>
      <c r="I51" s="53" t="s">
        <v>159</v>
      </c>
      <c r="J51" s="53" t="s">
        <v>38</v>
      </c>
      <c r="K51" s="53" t="s">
        <v>161</v>
      </c>
      <c r="L51" s="53">
        <v>2</v>
      </c>
      <c r="N51" s="53">
        <v>1</v>
      </c>
      <c r="O51" s="53">
        <v>0.65</v>
      </c>
      <c r="P51" s="53">
        <v>0.65</v>
      </c>
      <c r="Q51" s="16">
        <f t="shared" si="0"/>
        <v>0.65</v>
      </c>
      <c r="R51" s="53">
        <v>14.5</v>
      </c>
      <c r="S51" s="53">
        <v>141</v>
      </c>
      <c r="T51" s="16">
        <f t="shared" si="1"/>
        <v>22</v>
      </c>
      <c r="U51" s="53">
        <v>117</v>
      </c>
      <c r="V51" s="16">
        <f t="shared" si="2"/>
        <v>2574</v>
      </c>
      <c r="W51" s="53">
        <v>2</v>
      </c>
      <c r="X51" s="53" t="s">
        <v>46</v>
      </c>
      <c r="Y51" s="53" t="s">
        <v>90</v>
      </c>
      <c r="Z51" s="53" t="s">
        <v>78</v>
      </c>
      <c r="AA51" s="53" t="s">
        <v>102</v>
      </c>
      <c r="AB51" s="53" t="s">
        <v>237</v>
      </c>
    </row>
    <row r="52" spans="1:28" x14ac:dyDescent="0.15">
      <c r="A52" s="53" t="s">
        <v>56</v>
      </c>
      <c r="B52" s="53" t="s">
        <v>234</v>
      </c>
      <c r="C52" s="53">
        <v>2019</v>
      </c>
      <c r="D52" s="81" t="s">
        <v>166</v>
      </c>
      <c r="E52" s="53" t="s">
        <v>250</v>
      </c>
      <c r="F52" s="53" t="s">
        <v>252</v>
      </c>
      <c r="G52" s="53" t="s">
        <v>42</v>
      </c>
      <c r="H52" s="53" t="s">
        <v>164</v>
      </c>
      <c r="I52" s="53" t="s">
        <v>159</v>
      </c>
      <c r="J52" s="53" t="s">
        <v>38</v>
      </c>
      <c r="K52" s="53" t="s">
        <v>161</v>
      </c>
      <c r="L52" s="53">
        <v>3</v>
      </c>
      <c r="N52" s="53">
        <v>1</v>
      </c>
      <c r="O52" s="53">
        <v>0.7</v>
      </c>
      <c r="P52" s="53">
        <v>0.7</v>
      </c>
      <c r="Q52" s="16">
        <f t="shared" si="0"/>
        <v>0.7</v>
      </c>
      <c r="R52" s="53">
        <v>16.8</v>
      </c>
      <c r="S52" s="53">
        <v>145</v>
      </c>
      <c r="T52" s="16">
        <f t="shared" si="1"/>
        <v>22</v>
      </c>
      <c r="U52" s="53">
        <v>117</v>
      </c>
      <c r="V52" s="16">
        <f t="shared" si="2"/>
        <v>2574</v>
      </c>
      <c r="W52" s="53">
        <v>2</v>
      </c>
      <c r="X52" s="53" t="s">
        <v>46</v>
      </c>
      <c r="Y52" s="53" t="s">
        <v>90</v>
      </c>
      <c r="Z52" s="53" t="s">
        <v>78</v>
      </c>
      <c r="AA52" s="53" t="s">
        <v>102</v>
      </c>
      <c r="AB52" s="53" t="s">
        <v>237</v>
      </c>
    </row>
    <row r="53" spans="1:28" x14ac:dyDescent="0.15">
      <c r="A53" s="53" t="s">
        <v>56</v>
      </c>
      <c r="B53" s="53" t="s">
        <v>234</v>
      </c>
      <c r="C53" s="53">
        <v>2019</v>
      </c>
      <c r="D53" s="81" t="s">
        <v>166</v>
      </c>
      <c r="E53" s="53" t="s">
        <v>250</v>
      </c>
      <c r="F53" s="53" t="s">
        <v>252</v>
      </c>
      <c r="G53" s="53" t="s">
        <v>42</v>
      </c>
      <c r="H53" s="53" t="s">
        <v>160</v>
      </c>
      <c r="I53" s="53" t="s">
        <v>159</v>
      </c>
      <c r="J53" s="53" t="s">
        <v>38</v>
      </c>
      <c r="K53" s="53" t="s">
        <v>161</v>
      </c>
      <c r="L53" s="53">
        <v>1</v>
      </c>
      <c r="N53" s="53">
        <v>1</v>
      </c>
      <c r="O53" s="53">
        <v>0.6</v>
      </c>
      <c r="P53" s="53">
        <v>0.55000000000000004</v>
      </c>
      <c r="Q53" s="16">
        <f t="shared" si="0"/>
        <v>0.57499999999999996</v>
      </c>
      <c r="R53" s="53">
        <v>14.6</v>
      </c>
      <c r="S53" s="53">
        <v>129</v>
      </c>
      <c r="T53" s="16">
        <f t="shared" si="1"/>
        <v>25</v>
      </c>
      <c r="U53" s="53">
        <v>117</v>
      </c>
      <c r="V53" s="16">
        <f t="shared" si="2"/>
        <v>2925</v>
      </c>
      <c r="W53" s="53">
        <v>3</v>
      </c>
      <c r="X53" s="53" t="s">
        <v>46</v>
      </c>
      <c r="Y53" s="53" t="s">
        <v>90</v>
      </c>
      <c r="Z53" s="53" t="s">
        <v>78</v>
      </c>
      <c r="AA53" s="53" t="s">
        <v>102</v>
      </c>
      <c r="AB53" s="53" t="s">
        <v>237</v>
      </c>
    </row>
    <row r="54" spans="1:28" x14ac:dyDescent="0.15">
      <c r="A54" s="53" t="s">
        <v>56</v>
      </c>
      <c r="B54" s="53" t="s">
        <v>234</v>
      </c>
      <c r="C54" s="53">
        <v>2019</v>
      </c>
      <c r="D54" s="81" t="s">
        <v>166</v>
      </c>
      <c r="E54" s="53" t="s">
        <v>250</v>
      </c>
      <c r="F54" s="53" t="s">
        <v>252</v>
      </c>
      <c r="G54" s="53" t="s">
        <v>42</v>
      </c>
      <c r="H54" s="53" t="s">
        <v>160</v>
      </c>
      <c r="I54" s="53" t="s">
        <v>159</v>
      </c>
      <c r="J54" s="53" t="s">
        <v>38</v>
      </c>
      <c r="K54" s="53" t="s">
        <v>161</v>
      </c>
      <c r="L54" s="53">
        <v>2</v>
      </c>
      <c r="N54" s="53">
        <v>1</v>
      </c>
      <c r="O54" s="53">
        <v>0.55000000000000004</v>
      </c>
      <c r="P54" s="53">
        <v>0.55000000000000004</v>
      </c>
      <c r="Q54" s="16">
        <f t="shared" si="0"/>
        <v>0.55000000000000004</v>
      </c>
      <c r="R54" s="53">
        <v>14.8</v>
      </c>
      <c r="S54" s="53">
        <v>128</v>
      </c>
      <c r="T54" s="16">
        <f t="shared" si="1"/>
        <v>27</v>
      </c>
      <c r="U54" s="53">
        <v>117</v>
      </c>
      <c r="V54" s="16">
        <f t="shared" si="2"/>
        <v>3159</v>
      </c>
      <c r="W54" s="53">
        <v>3</v>
      </c>
      <c r="X54" s="53" t="s">
        <v>46</v>
      </c>
      <c r="Y54" s="53" t="s">
        <v>90</v>
      </c>
      <c r="Z54" s="53" t="s">
        <v>78</v>
      </c>
      <c r="AA54" s="53" t="s">
        <v>102</v>
      </c>
      <c r="AB54" s="53" t="s">
        <v>237</v>
      </c>
    </row>
    <row r="55" spans="1:28" x14ac:dyDescent="0.15">
      <c r="A55" s="53" t="s">
        <v>56</v>
      </c>
      <c r="B55" s="53" t="s">
        <v>234</v>
      </c>
      <c r="C55" s="53">
        <v>2019</v>
      </c>
      <c r="D55" s="81" t="s">
        <v>166</v>
      </c>
      <c r="E55" s="53" t="s">
        <v>250</v>
      </c>
      <c r="F55" s="53" t="s">
        <v>252</v>
      </c>
      <c r="G55" s="53" t="s">
        <v>42</v>
      </c>
      <c r="H55" s="53" t="s">
        <v>160</v>
      </c>
      <c r="I55" s="53" t="s">
        <v>159</v>
      </c>
      <c r="J55" s="53" t="s">
        <v>38</v>
      </c>
      <c r="K55" s="53" t="s">
        <v>161</v>
      </c>
      <c r="L55" s="53">
        <v>3</v>
      </c>
      <c r="N55" s="53">
        <v>1</v>
      </c>
      <c r="O55" s="53">
        <v>0.6</v>
      </c>
      <c r="P55" s="53">
        <v>0.7</v>
      </c>
      <c r="Q55" s="16">
        <f t="shared" si="0"/>
        <v>0.64999999999999991</v>
      </c>
      <c r="R55" s="53">
        <v>17.600000000000001</v>
      </c>
      <c r="S55" s="53">
        <v>128</v>
      </c>
      <c r="T55" s="16">
        <f t="shared" si="1"/>
        <v>27</v>
      </c>
      <c r="U55" s="53">
        <v>117</v>
      </c>
      <c r="V55" s="16">
        <f t="shared" si="2"/>
        <v>3159</v>
      </c>
      <c r="W55" s="53">
        <v>3</v>
      </c>
      <c r="X55" s="53" t="s">
        <v>46</v>
      </c>
      <c r="Y55" s="53" t="s">
        <v>90</v>
      </c>
      <c r="Z55" s="53" t="s">
        <v>78</v>
      </c>
      <c r="AA55" s="53" t="s">
        <v>102</v>
      </c>
      <c r="AB55" s="53" t="s">
        <v>237</v>
      </c>
    </row>
    <row r="56" spans="1:28" x14ac:dyDescent="0.15">
      <c r="A56" s="53" t="s">
        <v>56</v>
      </c>
      <c r="B56" s="53" t="s">
        <v>234</v>
      </c>
      <c r="C56" s="53">
        <v>2019</v>
      </c>
      <c r="D56" s="81" t="s">
        <v>166</v>
      </c>
      <c r="E56" s="53" t="s">
        <v>259</v>
      </c>
      <c r="F56" s="53" t="s">
        <v>252</v>
      </c>
      <c r="G56" s="53" t="s">
        <v>42</v>
      </c>
      <c r="H56" s="53" t="s">
        <v>164</v>
      </c>
      <c r="I56" s="53" t="s">
        <v>159</v>
      </c>
      <c r="J56" s="53" t="s">
        <v>38</v>
      </c>
      <c r="K56" s="53" t="s">
        <v>161</v>
      </c>
      <c r="L56" s="53">
        <v>1</v>
      </c>
      <c r="N56" s="53">
        <v>5</v>
      </c>
      <c r="O56" s="53">
        <v>0.7</v>
      </c>
      <c r="P56" s="53">
        <v>0.6</v>
      </c>
      <c r="Q56" s="16">
        <f t="shared" si="0"/>
        <v>0.64999999999999991</v>
      </c>
      <c r="R56" s="53">
        <v>12.9</v>
      </c>
      <c r="S56" s="53">
        <v>133</v>
      </c>
      <c r="T56" s="16">
        <f t="shared" si="1"/>
        <v>25</v>
      </c>
      <c r="U56" s="53">
        <v>538</v>
      </c>
      <c r="V56" s="16">
        <f t="shared" si="2"/>
        <v>2690</v>
      </c>
      <c r="W56" s="53">
        <v>6</v>
      </c>
      <c r="X56" s="53" t="s">
        <v>46</v>
      </c>
      <c r="Y56" s="53" t="s">
        <v>78</v>
      </c>
      <c r="Z56" s="53" t="s">
        <v>226</v>
      </c>
      <c r="AA56" s="53" t="s">
        <v>102</v>
      </c>
      <c r="AB56" s="53" t="s">
        <v>237</v>
      </c>
    </row>
    <row r="57" spans="1:28" x14ac:dyDescent="0.15">
      <c r="A57" s="53" t="s">
        <v>56</v>
      </c>
      <c r="B57" s="53" t="s">
        <v>234</v>
      </c>
      <c r="C57" s="53">
        <v>2019</v>
      </c>
      <c r="D57" s="81" t="s">
        <v>166</v>
      </c>
      <c r="E57" s="53" t="s">
        <v>259</v>
      </c>
      <c r="F57" s="53" t="s">
        <v>252</v>
      </c>
      <c r="G57" s="53" t="s">
        <v>42</v>
      </c>
      <c r="H57" s="53" t="s">
        <v>164</v>
      </c>
      <c r="I57" s="53" t="s">
        <v>159</v>
      </c>
      <c r="J57" s="53" t="s">
        <v>38</v>
      </c>
      <c r="K57" s="53" t="s">
        <v>161</v>
      </c>
      <c r="L57" s="53">
        <v>2</v>
      </c>
      <c r="N57" s="53">
        <v>5</v>
      </c>
      <c r="O57" s="53">
        <v>0.6</v>
      </c>
      <c r="P57" s="53">
        <v>0.6</v>
      </c>
      <c r="Q57" s="16">
        <f t="shared" si="0"/>
        <v>0.6</v>
      </c>
      <c r="R57" s="53">
        <v>13.4</v>
      </c>
      <c r="S57" s="53">
        <v>131</v>
      </c>
      <c r="T57" s="16">
        <f t="shared" si="1"/>
        <v>25</v>
      </c>
      <c r="U57" s="53">
        <v>538</v>
      </c>
      <c r="V57" s="16">
        <f t="shared" si="2"/>
        <v>2690</v>
      </c>
      <c r="W57" s="53">
        <v>6</v>
      </c>
      <c r="X57" s="53" t="s">
        <v>46</v>
      </c>
      <c r="Y57" s="53" t="s">
        <v>78</v>
      </c>
      <c r="Z57" s="53" t="s">
        <v>226</v>
      </c>
      <c r="AA57" s="53" t="s">
        <v>102</v>
      </c>
      <c r="AB57" s="53" t="s">
        <v>237</v>
      </c>
    </row>
    <row r="58" spans="1:28" x14ac:dyDescent="0.15">
      <c r="A58" s="53" t="s">
        <v>56</v>
      </c>
      <c r="B58" s="53" t="s">
        <v>234</v>
      </c>
      <c r="C58" s="53">
        <v>2019</v>
      </c>
      <c r="D58" s="81" t="s">
        <v>166</v>
      </c>
      <c r="E58" s="53" t="s">
        <v>259</v>
      </c>
      <c r="F58" s="53" t="s">
        <v>252</v>
      </c>
      <c r="G58" s="53" t="s">
        <v>42</v>
      </c>
      <c r="H58" s="53" t="s">
        <v>164</v>
      </c>
      <c r="I58" s="53" t="s">
        <v>159</v>
      </c>
      <c r="J58" s="53" t="s">
        <v>38</v>
      </c>
      <c r="K58" s="53" t="s">
        <v>161</v>
      </c>
      <c r="L58" s="53">
        <v>3</v>
      </c>
      <c r="N58" s="53">
        <v>5</v>
      </c>
      <c r="O58" s="53">
        <v>0.6</v>
      </c>
      <c r="P58" s="53">
        <v>0.65</v>
      </c>
      <c r="Q58" s="16">
        <f t="shared" si="0"/>
        <v>0.625</v>
      </c>
      <c r="R58" s="53">
        <v>13.7</v>
      </c>
      <c r="S58" s="53">
        <v>131</v>
      </c>
      <c r="T58" s="16">
        <f t="shared" si="1"/>
        <v>25</v>
      </c>
      <c r="U58" s="53">
        <v>538</v>
      </c>
      <c r="V58" s="16">
        <f t="shared" si="2"/>
        <v>2690</v>
      </c>
      <c r="W58" s="53">
        <v>6</v>
      </c>
      <c r="X58" s="53" t="s">
        <v>46</v>
      </c>
      <c r="Y58" s="53" t="s">
        <v>78</v>
      </c>
      <c r="Z58" s="53" t="s">
        <v>226</v>
      </c>
      <c r="AA58" s="53" t="s">
        <v>102</v>
      </c>
      <c r="AB58" s="53" t="s">
        <v>237</v>
      </c>
    </row>
    <row r="59" spans="1:28" x14ac:dyDescent="0.15">
      <c r="A59" s="53" t="s">
        <v>56</v>
      </c>
      <c r="B59" s="53" t="s">
        <v>234</v>
      </c>
      <c r="C59" s="53">
        <v>2019</v>
      </c>
      <c r="D59" s="81" t="s">
        <v>166</v>
      </c>
      <c r="E59" s="53" t="s">
        <v>259</v>
      </c>
      <c r="F59" s="53" t="s">
        <v>252</v>
      </c>
      <c r="G59" s="53" t="s">
        <v>42</v>
      </c>
      <c r="H59" s="53" t="s">
        <v>160</v>
      </c>
      <c r="I59" s="53" t="s">
        <v>159</v>
      </c>
      <c r="J59" s="53" t="s">
        <v>38</v>
      </c>
      <c r="K59" s="53" t="s">
        <v>161</v>
      </c>
      <c r="L59" s="53">
        <v>1</v>
      </c>
      <c r="N59" s="53">
        <v>4</v>
      </c>
      <c r="O59" s="53">
        <v>0.6</v>
      </c>
      <c r="P59" s="53">
        <v>0.7</v>
      </c>
      <c r="Q59" s="16">
        <f t="shared" si="0"/>
        <v>0.64999999999999991</v>
      </c>
      <c r="R59" s="53">
        <v>16</v>
      </c>
      <c r="S59" s="53">
        <v>122</v>
      </c>
      <c r="T59" s="16">
        <f t="shared" si="1"/>
        <v>27</v>
      </c>
      <c r="U59" s="53">
        <v>646</v>
      </c>
      <c r="V59" s="16">
        <f t="shared" si="2"/>
        <v>4360.5</v>
      </c>
      <c r="W59" s="53">
        <v>6</v>
      </c>
      <c r="X59" s="53" t="s">
        <v>46</v>
      </c>
      <c r="Y59" s="53" t="s">
        <v>78</v>
      </c>
      <c r="Z59" s="53" t="s">
        <v>226</v>
      </c>
      <c r="AA59" s="53" t="s">
        <v>102</v>
      </c>
      <c r="AB59" s="53" t="s">
        <v>237</v>
      </c>
    </row>
    <row r="60" spans="1:28" x14ac:dyDescent="0.15">
      <c r="A60" s="53" t="s">
        <v>56</v>
      </c>
      <c r="B60" s="53" t="s">
        <v>234</v>
      </c>
      <c r="C60" s="53">
        <v>2019</v>
      </c>
      <c r="D60" s="81" t="s">
        <v>166</v>
      </c>
      <c r="E60" s="53" t="s">
        <v>259</v>
      </c>
      <c r="F60" s="53" t="s">
        <v>252</v>
      </c>
      <c r="G60" s="53" t="s">
        <v>42</v>
      </c>
      <c r="H60" s="53" t="s">
        <v>160</v>
      </c>
      <c r="I60" s="53" t="s">
        <v>159</v>
      </c>
      <c r="J60" s="53" t="s">
        <v>38</v>
      </c>
      <c r="K60" s="53" t="s">
        <v>161</v>
      </c>
      <c r="L60" s="53">
        <v>2</v>
      </c>
      <c r="N60" s="53">
        <v>4</v>
      </c>
      <c r="O60" s="53">
        <v>0.6</v>
      </c>
      <c r="P60" s="53">
        <v>0.6</v>
      </c>
      <c r="Q60" s="16">
        <f t="shared" si="0"/>
        <v>0.6</v>
      </c>
      <c r="R60" s="53">
        <v>14.4</v>
      </c>
      <c r="S60" s="53">
        <v>118</v>
      </c>
      <c r="T60" s="16">
        <f t="shared" si="1"/>
        <v>30</v>
      </c>
      <c r="U60" s="53">
        <v>646</v>
      </c>
      <c r="V60" s="16">
        <f t="shared" si="2"/>
        <v>4845</v>
      </c>
      <c r="W60" s="53">
        <v>6</v>
      </c>
      <c r="X60" s="53" t="s">
        <v>46</v>
      </c>
      <c r="Y60" s="53" t="s">
        <v>78</v>
      </c>
      <c r="Z60" s="53" t="s">
        <v>226</v>
      </c>
      <c r="AA60" s="53" t="s">
        <v>102</v>
      </c>
      <c r="AB60" s="53" t="s">
        <v>237</v>
      </c>
    </row>
    <row r="61" spans="1:28" x14ac:dyDescent="0.15">
      <c r="A61" s="53" t="s">
        <v>56</v>
      </c>
      <c r="B61" s="53" t="s">
        <v>234</v>
      </c>
      <c r="C61" s="53">
        <v>2019</v>
      </c>
      <c r="D61" s="81" t="s">
        <v>166</v>
      </c>
      <c r="E61" s="53" t="s">
        <v>259</v>
      </c>
      <c r="F61" s="53" t="s">
        <v>252</v>
      </c>
      <c r="G61" s="53" t="s">
        <v>42</v>
      </c>
      <c r="H61" s="53" t="s">
        <v>160</v>
      </c>
      <c r="I61" s="53" t="s">
        <v>159</v>
      </c>
      <c r="J61" s="53" t="s">
        <v>38</v>
      </c>
      <c r="K61" s="53" t="s">
        <v>161</v>
      </c>
      <c r="L61" s="53">
        <v>3</v>
      </c>
      <c r="N61" s="53">
        <v>4</v>
      </c>
      <c r="O61" s="53">
        <v>0.55000000000000004</v>
      </c>
      <c r="P61" s="53">
        <v>0.6</v>
      </c>
      <c r="Q61" s="16">
        <f t="shared" si="0"/>
        <v>0.57499999999999996</v>
      </c>
      <c r="R61" s="53">
        <v>13.3</v>
      </c>
      <c r="S61" s="53">
        <v>118</v>
      </c>
      <c r="T61" s="16">
        <f t="shared" si="1"/>
        <v>30</v>
      </c>
      <c r="U61" s="53">
        <v>646</v>
      </c>
      <c r="V61" s="16">
        <f t="shared" si="2"/>
        <v>4845</v>
      </c>
      <c r="W61" s="53">
        <v>6</v>
      </c>
      <c r="X61" s="53" t="s">
        <v>46</v>
      </c>
      <c r="Y61" s="53" t="s">
        <v>78</v>
      </c>
      <c r="Z61" s="53" t="s">
        <v>226</v>
      </c>
      <c r="AA61" s="53" t="s">
        <v>102</v>
      </c>
      <c r="AB61" s="53" t="s">
        <v>237</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FB68619A-7298-4A1C-884E-02F3DA3FC484}">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5C083895-A14A-4754-BC68-F220EA6DA429}">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492D7131-3A37-4A1E-AFF4-78255149C380}">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EDB463FE-E57D-4F78-97AF-63C65636C2E8}">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DA1EEFB4-E3B2-4866-9273-DB0D6EEF25AD}">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7DDDF3F0-9A30-4FE3-B755-FFB00BB1EE05}"/>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C371A24A-9343-421D-AAAD-774E9ED41DDA}">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F9D8C15F-AFD8-42FF-ADDC-12BD38EFC9BE}">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47BB1798-FEF9-4419-8D0C-74F41BCB7B72}">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FCD794D5-B5D5-43CA-AFA0-952056291648}">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91B9D36C-1715-4132-BC69-DBEF060E9E9A}">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380F20D3-0E09-47DC-B607-3724FB4FD9A3}">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B95C2981-74DA-488D-BBF6-4F9F0B8AC533}">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D2B0FD4A-7090-47AB-BA20-DD785B09F1F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4D859210-59F7-4FA2-B99B-B82ACE04457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3AFA9DDD-F215-4158-95C6-4C52DFF8DFF3}">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C07D1F0E-E6EB-455B-B4F6-FBF8884351A3}">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103A8AF3-F468-40B9-9E07-1C29DA67E4E7}">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C85B-92A4-4414-A832-94E5DCDB8F20}">
  <dimension ref="A1:BA91"/>
  <sheetViews>
    <sheetView topLeftCell="D1"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260</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261</v>
      </c>
      <c r="AY1" s="99" t="s">
        <v>180</v>
      </c>
      <c r="AZ1" s="99" t="s">
        <v>262</v>
      </c>
      <c r="BA1" s="100" t="s">
        <v>182</v>
      </c>
    </row>
    <row r="2" spans="1:53" x14ac:dyDescent="0.15">
      <c r="A2" s="93" t="s">
        <v>51</v>
      </c>
      <c r="B2" s="93" t="s">
        <v>157</v>
      </c>
      <c r="C2" s="93">
        <v>2019</v>
      </c>
      <c r="D2" s="101" t="s">
        <v>263</v>
      </c>
      <c r="E2" s="93" t="s">
        <v>264</v>
      </c>
      <c r="F2" s="93" t="s">
        <v>265</v>
      </c>
      <c r="G2" s="93" t="s">
        <v>42</v>
      </c>
      <c r="H2" s="93" t="s">
        <v>164</v>
      </c>
      <c r="I2" s="93" t="s">
        <v>159</v>
      </c>
      <c r="J2" s="93" t="s">
        <v>38</v>
      </c>
      <c r="K2" s="93" t="s">
        <v>161</v>
      </c>
      <c r="L2" s="93">
        <v>1</v>
      </c>
      <c r="N2" s="93">
        <v>1</v>
      </c>
      <c r="O2" s="93">
        <v>0.8</v>
      </c>
      <c r="P2" s="93">
        <v>0.65</v>
      </c>
      <c r="Q2" s="102">
        <f t="shared" ref="Q2:Q65" si="0">IF(OR(O2="",P2=""),"",AVERAGE(O2,P2))</f>
        <v>0.72500000000000009</v>
      </c>
      <c r="R2" s="93">
        <v>15.3</v>
      </c>
      <c r="S2" s="93">
        <v>124</v>
      </c>
      <c r="T2" s="103">
        <f t="shared" ref="T2:T65" si="1">IF(H2="","",IF(OR(H2="GREEN",H2="GK"),IF(S2&gt;=$AX$2,VLOOKUP(S2,$AX$2:$AY$12,2,1),""),IF(S2&gt;=$AZ$2,VLOOKUP(S2,$AZ$2:$BA$12,2,1),"")))</f>
        <v>27</v>
      </c>
      <c r="U2" s="93">
        <v>98</v>
      </c>
      <c r="V2" s="104">
        <f t="shared" ref="V2:V65" si="2">IF(OR(N2="",U2="",T2=""),"",U2/N2*T2)</f>
        <v>2646</v>
      </c>
      <c r="W2" s="93">
        <v>10</v>
      </c>
      <c r="X2" s="93" t="s">
        <v>46</v>
      </c>
      <c r="Y2" s="93" t="s">
        <v>69</v>
      </c>
      <c r="Z2" s="93" t="s">
        <v>102</v>
      </c>
      <c r="AA2" s="93" t="s">
        <v>88</v>
      </c>
      <c r="AB2" s="93" t="s">
        <v>158</v>
      </c>
      <c r="AE2" s="105" t="s">
        <v>35</v>
      </c>
      <c r="AG2" s="106" t="s">
        <v>211</v>
      </c>
      <c r="AH2" s="106" t="s">
        <v>266</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263</v>
      </c>
      <c r="E3" s="93" t="s">
        <v>264</v>
      </c>
      <c r="F3" s="93" t="s">
        <v>265</v>
      </c>
      <c r="G3" s="93" t="s">
        <v>42</v>
      </c>
      <c r="H3" s="93" t="s">
        <v>164</v>
      </c>
      <c r="I3" s="93" t="s">
        <v>159</v>
      </c>
      <c r="J3" s="93" t="s">
        <v>38</v>
      </c>
      <c r="K3" s="93" t="s">
        <v>161</v>
      </c>
      <c r="L3" s="93">
        <v>2</v>
      </c>
      <c r="N3" s="93">
        <v>1</v>
      </c>
      <c r="O3" s="93">
        <v>0.75</v>
      </c>
      <c r="P3" s="93">
        <v>0.75</v>
      </c>
      <c r="Q3" s="102">
        <f t="shared" si="0"/>
        <v>0.75</v>
      </c>
      <c r="R3" s="93">
        <v>14.7</v>
      </c>
      <c r="S3" s="93">
        <v>122</v>
      </c>
      <c r="T3" s="103">
        <f t="shared" si="1"/>
        <v>27</v>
      </c>
      <c r="U3" s="93">
        <v>98</v>
      </c>
      <c r="V3" s="104">
        <f t="shared" si="2"/>
        <v>2646</v>
      </c>
      <c r="W3" s="93">
        <v>10</v>
      </c>
      <c r="X3" s="93" t="s">
        <v>46</v>
      </c>
      <c r="Y3" s="93" t="s">
        <v>69</v>
      </c>
      <c r="Z3" s="93" t="s">
        <v>102</v>
      </c>
      <c r="AA3" s="93" t="s">
        <v>88</v>
      </c>
      <c r="AB3" s="93" t="s">
        <v>158</v>
      </c>
      <c r="AE3" s="110" t="s">
        <v>41</v>
      </c>
      <c r="AG3" s="106" t="s">
        <v>267</v>
      </c>
      <c r="AH3" s="106" t="s">
        <v>268</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263</v>
      </c>
      <c r="E4" s="93" t="s">
        <v>264</v>
      </c>
      <c r="F4" s="93" t="s">
        <v>265</v>
      </c>
      <c r="G4" s="93" t="s">
        <v>42</v>
      </c>
      <c r="H4" s="93" t="s">
        <v>164</v>
      </c>
      <c r="I4" s="93" t="s">
        <v>159</v>
      </c>
      <c r="J4" s="93" t="s">
        <v>38</v>
      </c>
      <c r="K4" s="93" t="s">
        <v>161</v>
      </c>
      <c r="L4" s="93">
        <v>3</v>
      </c>
      <c r="N4" s="93">
        <v>1</v>
      </c>
      <c r="O4" s="93">
        <v>0.7</v>
      </c>
      <c r="P4" s="93">
        <v>0.7</v>
      </c>
      <c r="Q4" s="102">
        <f t="shared" si="0"/>
        <v>0.7</v>
      </c>
      <c r="R4" s="93">
        <v>15.6</v>
      </c>
      <c r="S4" s="93">
        <v>124</v>
      </c>
      <c r="T4" s="103">
        <f t="shared" si="1"/>
        <v>27</v>
      </c>
      <c r="U4" s="93">
        <v>98</v>
      </c>
      <c r="V4" s="104">
        <f t="shared" si="2"/>
        <v>2646</v>
      </c>
      <c r="W4" s="93">
        <v>10</v>
      </c>
      <c r="X4" s="93" t="s">
        <v>46</v>
      </c>
      <c r="Y4" s="93" t="s">
        <v>69</v>
      </c>
      <c r="Z4" s="93" t="s">
        <v>102</v>
      </c>
      <c r="AA4" s="93" t="s">
        <v>88</v>
      </c>
      <c r="AB4" s="93" t="s">
        <v>158</v>
      </c>
      <c r="AE4" s="110" t="s">
        <v>34</v>
      </c>
      <c r="AG4" s="106" t="s">
        <v>269</v>
      </c>
      <c r="AH4" s="106" t="s">
        <v>270</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263</v>
      </c>
      <c r="E5" s="93" t="s">
        <v>264</v>
      </c>
      <c r="F5" s="93" t="s">
        <v>265</v>
      </c>
      <c r="G5" s="93" t="s">
        <v>42</v>
      </c>
      <c r="H5" s="93" t="s">
        <v>160</v>
      </c>
      <c r="I5" s="93" t="s">
        <v>159</v>
      </c>
      <c r="J5" s="93" t="s">
        <v>38</v>
      </c>
      <c r="K5" s="93" t="s">
        <v>161</v>
      </c>
      <c r="L5" s="93">
        <v>1</v>
      </c>
      <c r="N5" s="93">
        <v>1</v>
      </c>
      <c r="O5" s="93">
        <v>0.65</v>
      </c>
      <c r="P5" s="93">
        <v>0.6</v>
      </c>
      <c r="Q5" s="102">
        <f t="shared" si="0"/>
        <v>0.625</v>
      </c>
      <c r="R5" s="93">
        <v>16</v>
      </c>
      <c r="S5" s="93">
        <v>134</v>
      </c>
      <c r="T5" s="103">
        <f t="shared" si="1"/>
        <v>25</v>
      </c>
      <c r="U5" s="93">
        <v>138</v>
      </c>
      <c r="V5" s="104">
        <f t="shared" si="2"/>
        <v>3450</v>
      </c>
      <c r="W5" s="93">
        <v>10</v>
      </c>
      <c r="X5" s="93" t="s">
        <v>46</v>
      </c>
      <c r="Y5" s="93" t="s">
        <v>69</v>
      </c>
      <c r="Z5" s="93" t="s">
        <v>102</v>
      </c>
      <c r="AA5" s="93" t="s">
        <v>88</v>
      </c>
      <c r="AB5" s="93" t="s">
        <v>158</v>
      </c>
      <c r="AE5" s="110" t="s">
        <v>51</v>
      </c>
      <c r="AG5" s="106" t="s">
        <v>271</v>
      </c>
      <c r="AH5" s="106" t="s">
        <v>265</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263</v>
      </c>
      <c r="E6" s="93" t="s">
        <v>264</v>
      </c>
      <c r="F6" s="93" t="s">
        <v>265</v>
      </c>
      <c r="G6" s="93" t="s">
        <v>42</v>
      </c>
      <c r="H6" s="93" t="s">
        <v>160</v>
      </c>
      <c r="I6" s="93" t="s">
        <v>159</v>
      </c>
      <c r="J6" s="93" t="s">
        <v>38</v>
      </c>
      <c r="K6" s="93" t="s">
        <v>161</v>
      </c>
      <c r="L6" s="93">
        <v>2</v>
      </c>
      <c r="N6" s="93">
        <v>1</v>
      </c>
      <c r="O6" s="93">
        <v>0.7</v>
      </c>
      <c r="P6" s="93">
        <v>0.6</v>
      </c>
      <c r="Q6" s="102">
        <f t="shared" si="0"/>
        <v>0.64999999999999991</v>
      </c>
      <c r="R6" s="93">
        <v>16.399999999999999</v>
      </c>
      <c r="S6" s="93">
        <v>136</v>
      </c>
      <c r="T6" s="103">
        <f t="shared" si="1"/>
        <v>25</v>
      </c>
      <c r="U6" s="93">
        <v>138</v>
      </c>
      <c r="V6" s="104">
        <f t="shared" si="2"/>
        <v>3450</v>
      </c>
      <c r="W6" s="93">
        <v>10</v>
      </c>
      <c r="X6" s="93" t="s">
        <v>46</v>
      </c>
      <c r="Y6" s="93" t="s">
        <v>69</v>
      </c>
      <c r="Z6" s="93" t="s">
        <v>102</v>
      </c>
      <c r="AA6" s="93" t="s">
        <v>88</v>
      </c>
      <c r="AB6" s="93" t="s">
        <v>158</v>
      </c>
      <c r="AE6" s="110" t="s">
        <v>56</v>
      </c>
      <c r="AG6" s="106" t="s">
        <v>272</v>
      </c>
      <c r="AH6" s="106" t="s">
        <v>273</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263</v>
      </c>
      <c r="E7" s="93" t="s">
        <v>264</v>
      </c>
      <c r="F7" s="93" t="s">
        <v>265</v>
      </c>
      <c r="G7" s="93" t="s">
        <v>42</v>
      </c>
      <c r="H7" s="93" t="s">
        <v>160</v>
      </c>
      <c r="I7" s="93" t="s">
        <v>159</v>
      </c>
      <c r="J7" s="93" t="s">
        <v>38</v>
      </c>
      <c r="K7" s="93" t="s">
        <v>161</v>
      </c>
      <c r="L7" s="93">
        <v>3</v>
      </c>
      <c r="N7" s="93">
        <v>1</v>
      </c>
      <c r="O7" s="93">
        <v>0.7</v>
      </c>
      <c r="P7" s="93">
        <v>0.55000000000000004</v>
      </c>
      <c r="Q7" s="102">
        <f t="shared" si="0"/>
        <v>0.625</v>
      </c>
      <c r="R7" s="93">
        <v>16.8</v>
      </c>
      <c r="S7" s="93">
        <v>150</v>
      </c>
      <c r="T7" s="103">
        <f t="shared" si="1"/>
        <v>22</v>
      </c>
      <c r="U7" s="93">
        <v>138</v>
      </c>
      <c r="V7" s="104">
        <f t="shared" si="2"/>
        <v>3036</v>
      </c>
      <c r="W7" s="93">
        <v>10</v>
      </c>
      <c r="X7" s="93" t="s">
        <v>46</v>
      </c>
      <c r="Y7" s="93" t="s">
        <v>69</v>
      </c>
      <c r="Z7" s="93" t="s">
        <v>102</v>
      </c>
      <c r="AA7" s="93" t="s">
        <v>88</v>
      </c>
      <c r="AB7" s="93" t="s">
        <v>158</v>
      </c>
      <c r="AE7" s="110" t="s">
        <v>61</v>
      </c>
      <c r="AG7" s="106" t="s">
        <v>274</v>
      </c>
      <c r="AH7" s="106" t="s">
        <v>266</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263</v>
      </c>
      <c r="E8" s="93" t="s">
        <v>267</v>
      </c>
      <c r="F8" s="93" t="s">
        <v>268</v>
      </c>
      <c r="G8" s="93" t="s">
        <v>36</v>
      </c>
      <c r="H8" s="93" t="s">
        <v>164</v>
      </c>
      <c r="I8" s="93" t="s">
        <v>159</v>
      </c>
      <c r="J8" s="93" t="s">
        <v>38</v>
      </c>
      <c r="K8" s="93" t="s">
        <v>161</v>
      </c>
      <c r="L8" s="93">
        <v>1</v>
      </c>
      <c r="N8" s="93">
        <v>1</v>
      </c>
      <c r="O8" s="93">
        <v>0.75</v>
      </c>
      <c r="P8" s="93">
        <v>0.8</v>
      </c>
      <c r="Q8" s="102">
        <f t="shared" si="0"/>
        <v>0.77500000000000002</v>
      </c>
      <c r="R8" s="93">
        <v>16.2</v>
      </c>
      <c r="S8" s="93">
        <v>114</v>
      </c>
      <c r="T8" s="103">
        <f t="shared" si="1"/>
        <v>30</v>
      </c>
      <c r="U8" s="93">
        <v>138</v>
      </c>
      <c r="V8" s="104">
        <f t="shared" si="2"/>
        <v>4140</v>
      </c>
      <c r="W8" s="93">
        <v>8</v>
      </c>
      <c r="X8" s="93" t="s">
        <v>46</v>
      </c>
      <c r="Y8" s="93" t="s">
        <v>78</v>
      </c>
      <c r="Z8" s="93" t="s">
        <v>102</v>
      </c>
      <c r="AA8" s="93" t="s">
        <v>69</v>
      </c>
      <c r="AB8" s="93" t="s">
        <v>158</v>
      </c>
      <c r="AE8" s="110" t="s">
        <v>59</v>
      </c>
      <c r="AG8" s="106" t="s">
        <v>275</v>
      </c>
      <c r="AH8" s="106" t="s">
        <v>276</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263</v>
      </c>
      <c r="E9" s="93" t="s">
        <v>267</v>
      </c>
      <c r="F9" s="93" t="s">
        <v>268</v>
      </c>
      <c r="G9" s="93" t="s">
        <v>36</v>
      </c>
      <c r="H9" s="93" t="s">
        <v>164</v>
      </c>
      <c r="I9" s="93" t="s">
        <v>159</v>
      </c>
      <c r="J9" s="93" t="s">
        <v>38</v>
      </c>
      <c r="K9" s="93" t="s">
        <v>161</v>
      </c>
      <c r="L9" s="93">
        <v>2</v>
      </c>
      <c r="N9" s="93">
        <v>1</v>
      </c>
      <c r="O9" s="93">
        <v>0.7</v>
      </c>
      <c r="P9" s="93">
        <v>0.75</v>
      </c>
      <c r="Q9" s="102">
        <f t="shared" si="0"/>
        <v>0.72499999999999998</v>
      </c>
      <c r="R9" s="93">
        <v>16.8</v>
      </c>
      <c r="S9" s="93">
        <v>110</v>
      </c>
      <c r="T9" s="103">
        <f t="shared" si="1"/>
        <v>33</v>
      </c>
      <c r="U9" s="93">
        <v>138</v>
      </c>
      <c r="V9" s="104">
        <f t="shared" si="2"/>
        <v>4554</v>
      </c>
      <c r="W9" s="93">
        <v>8</v>
      </c>
      <c r="X9" s="93" t="s">
        <v>46</v>
      </c>
      <c r="Y9" s="93" t="s">
        <v>78</v>
      </c>
      <c r="Z9" s="93" t="s">
        <v>102</v>
      </c>
      <c r="AA9" s="93" t="s">
        <v>69</v>
      </c>
      <c r="AB9" s="93" t="s">
        <v>158</v>
      </c>
      <c r="AE9" s="110" t="s">
        <v>204</v>
      </c>
      <c r="AG9" s="106" t="s">
        <v>277</v>
      </c>
      <c r="AH9" s="106" t="s">
        <v>265</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263</v>
      </c>
      <c r="E10" s="93" t="s">
        <v>267</v>
      </c>
      <c r="F10" s="93" t="s">
        <v>268</v>
      </c>
      <c r="G10" s="93" t="s">
        <v>36</v>
      </c>
      <c r="H10" s="93" t="s">
        <v>164</v>
      </c>
      <c r="I10" s="93" t="s">
        <v>159</v>
      </c>
      <c r="J10" s="93" t="s">
        <v>38</v>
      </c>
      <c r="K10" s="93" t="s">
        <v>161</v>
      </c>
      <c r="L10" s="93">
        <v>3</v>
      </c>
      <c r="N10" s="93">
        <v>1</v>
      </c>
      <c r="O10" s="93">
        <v>0.65</v>
      </c>
      <c r="P10" s="93">
        <v>0.75</v>
      </c>
      <c r="Q10" s="102">
        <f t="shared" si="0"/>
        <v>0.7</v>
      </c>
      <c r="R10" s="93">
        <v>16.5</v>
      </c>
      <c r="S10" s="93">
        <v>108</v>
      </c>
      <c r="T10" s="103">
        <f t="shared" si="1"/>
        <v>33</v>
      </c>
      <c r="U10" s="93">
        <v>138</v>
      </c>
      <c r="V10" s="104">
        <f t="shared" si="2"/>
        <v>4554</v>
      </c>
      <c r="W10" s="93">
        <v>8</v>
      </c>
      <c r="X10" s="93" t="s">
        <v>46</v>
      </c>
      <c r="Y10" s="93" t="s">
        <v>78</v>
      </c>
      <c r="Z10" s="93" t="s">
        <v>102</v>
      </c>
      <c r="AA10" s="93" t="s">
        <v>69</v>
      </c>
      <c r="AB10" s="93" t="s">
        <v>158</v>
      </c>
      <c r="AE10" s="110" t="s">
        <v>208</v>
      </c>
      <c r="AG10" s="106" t="s">
        <v>264</v>
      </c>
      <c r="AH10" s="111" t="s">
        <v>265</v>
      </c>
      <c r="AP10" s="111" t="s">
        <v>100</v>
      </c>
      <c r="AR10" s="111" t="s">
        <v>210</v>
      </c>
      <c r="AV10" s="111" t="s">
        <v>106</v>
      </c>
      <c r="AX10" s="112">
        <v>138</v>
      </c>
      <c r="AY10" s="113">
        <v>25</v>
      </c>
      <c r="AZ10" s="113">
        <v>138</v>
      </c>
      <c r="BA10" s="114">
        <v>22</v>
      </c>
    </row>
    <row r="11" spans="1:53" x14ac:dyDescent="0.15">
      <c r="A11" s="93" t="s">
        <v>51</v>
      </c>
      <c r="B11" s="93" t="s">
        <v>157</v>
      </c>
      <c r="C11" s="93">
        <v>2019</v>
      </c>
      <c r="D11" s="101" t="s">
        <v>263</v>
      </c>
      <c r="E11" s="93" t="s">
        <v>267</v>
      </c>
      <c r="F11" s="93" t="s">
        <v>268</v>
      </c>
      <c r="G11" s="93" t="s">
        <v>36</v>
      </c>
      <c r="H11" s="93" t="s">
        <v>160</v>
      </c>
      <c r="I11" s="93" t="s">
        <v>159</v>
      </c>
      <c r="J11" s="93" t="s">
        <v>38</v>
      </c>
      <c r="K11" s="93" t="s">
        <v>161</v>
      </c>
      <c r="L11" s="93">
        <v>1</v>
      </c>
      <c r="N11" s="93">
        <v>1</v>
      </c>
      <c r="O11" s="93">
        <v>0.25</v>
      </c>
      <c r="P11" s="93">
        <v>0.65</v>
      </c>
      <c r="Q11" s="102">
        <f t="shared" si="0"/>
        <v>0.45</v>
      </c>
      <c r="R11" s="93">
        <v>16.3</v>
      </c>
      <c r="S11" s="93">
        <v>130</v>
      </c>
      <c r="T11" s="103">
        <f t="shared" si="1"/>
        <v>25</v>
      </c>
      <c r="U11" s="93">
        <v>138</v>
      </c>
      <c r="V11" s="104">
        <f t="shared" si="2"/>
        <v>3450</v>
      </c>
      <c r="W11" s="93">
        <v>8</v>
      </c>
      <c r="X11" s="93" t="s">
        <v>46</v>
      </c>
      <c r="Y11" s="93" t="s">
        <v>78</v>
      </c>
      <c r="Z11" s="93" t="s">
        <v>102</v>
      </c>
      <c r="AA11" s="93" t="s">
        <v>69</v>
      </c>
      <c r="AB11" s="93" t="s">
        <v>158</v>
      </c>
      <c r="AE11" s="110" t="s">
        <v>68</v>
      </c>
      <c r="AG11" s="106" t="s">
        <v>139</v>
      </c>
      <c r="AH11" s="111" t="s">
        <v>278</v>
      </c>
      <c r="AP11" s="111" t="s">
        <v>104</v>
      </c>
      <c r="AR11" s="111" t="s">
        <v>213</v>
      </c>
      <c r="AV11" s="111" t="s">
        <v>69</v>
      </c>
      <c r="AX11" s="112">
        <v>151</v>
      </c>
      <c r="AY11" s="113">
        <v>22</v>
      </c>
      <c r="AZ11" s="113">
        <v>152</v>
      </c>
      <c r="BA11" s="114">
        <v>18</v>
      </c>
    </row>
    <row r="12" spans="1:53" x14ac:dyDescent="0.15">
      <c r="A12" s="93" t="s">
        <v>51</v>
      </c>
      <c r="B12" s="93" t="s">
        <v>157</v>
      </c>
      <c r="C12" s="93">
        <v>2019</v>
      </c>
      <c r="D12" s="101" t="s">
        <v>263</v>
      </c>
      <c r="E12" s="93" t="s">
        <v>267</v>
      </c>
      <c r="F12" s="93" t="s">
        <v>268</v>
      </c>
      <c r="G12" s="93" t="s">
        <v>36</v>
      </c>
      <c r="H12" s="93" t="s">
        <v>160</v>
      </c>
      <c r="I12" s="93" t="s">
        <v>159</v>
      </c>
      <c r="J12" s="93" t="s">
        <v>38</v>
      </c>
      <c r="K12" s="93" t="s">
        <v>161</v>
      </c>
      <c r="L12" s="93">
        <v>2</v>
      </c>
      <c r="N12" s="93">
        <v>1</v>
      </c>
      <c r="O12" s="93">
        <v>0.75</v>
      </c>
      <c r="P12" s="93">
        <v>0.7</v>
      </c>
      <c r="Q12" s="102">
        <f t="shared" si="0"/>
        <v>0.72499999999999998</v>
      </c>
      <c r="R12" s="93">
        <v>17</v>
      </c>
      <c r="S12" s="93">
        <v>142</v>
      </c>
      <c r="T12" s="103">
        <f t="shared" si="1"/>
        <v>22</v>
      </c>
      <c r="U12" s="93">
        <v>138</v>
      </c>
      <c r="V12" s="104">
        <f t="shared" si="2"/>
        <v>3036</v>
      </c>
      <c r="W12" s="93">
        <v>8</v>
      </c>
      <c r="X12" s="93" t="s">
        <v>46</v>
      </c>
      <c r="Y12" s="93" t="s">
        <v>78</v>
      </c>
      <c r="Z12" s="93" t="s">
        <v>102</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263</v>
      </c>
      <c r="E13" s="93" t="s">
        <v>267</v>
      </c>
      <c r="F13" s="93" t="s">
        <v>268</v>
      </c>
      <c r="G13" s="93" t="s">
        <v>36</v>
      </c>
      <c r="H13" s="93" t="s">
        <v>160</v>
      </c>
      <c r="I13" s="93" t="s">
        <v>159</v>
      </c>
      <c r="J13" s="93" t="s">
        <v>38</v>
      </c>
      <c r="K13" s="93" t="s">
        <v>161</v>
      </c>
      <c r="L13" s="93">
        <v>3</v>
      </c>
      <c r="N13" s="93">
        <v>1</v>
      </c>
      <c r="O13" s="93">
        <v>0.7</v>
      </c>
      <c r="P13" s="93">
        <v>0.65</v>
      </c>
      <c r="Q13" s="102">
        <f t="shared" si="0"/>
        <v>0.67500000000000004</v>
      </c>
      <c r="R13" s="93">
        <v>17.2</v>
      </c>
      <c r="S13" s="93">
        <v>140</v>
      </c>
      <c r="T13" s="103">
        <f t="shared" si="1"/>
        <v>22</v>
      </c>
      <c r="U13" s="93">
        <v>138</v>
      </c>
      <c r="V13" s="104">
        <f t="shared" si="2"/>
        <v>3036</v>
      </c>
      <c r="W13" s="93">
        <v>8</v>
      </c>
      <c r="X13" s="93" t="s">
        <v>46</v>
      </c>
      <c r="Y13" s="93" t="s">
        <v>78</v>
      </c>
      <c r="Z13" s="93" t="s">
        <v>102</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263</v>
      </c>
      <c r="E14" s="93" t="s">
        <v>139</v>
      </c>
      <c r="F14" s="93" t="s">
        <v>278</v>
      </c>
      <c r="G14" s="93" t="s">
        <v>42</v>
      </c>
      <c r="H14" s="93" t="s">
        <v>164</v>
      </c>
      <c r="I14" s="93" t="s">
        <v>159</v>
      </c>
      <c r="J14" s="93" t="s">
        <v>38</v>
      </c>
      <c r="K14" s="93" t="s">
        <v>161</v>
      </c>
      <c r="L14" s="93">
        <v>1</v>
      </c>
      <c r="N14" s="93">
        <v>1</v>
      </c>
      <c r="O14" s="93">
        <v>0.75</v>
      </c>
      <c r="P14" s="93">
        <v>0.65</v>
      </c>
      <c r="Q14" s="102">
        <f t="shared" si="0"/>
        <v>0.7</v>
      </c>
      <c r="R14" s="93">
        <v>15.5</v>
      </c>
      <c r="S14" s="93">
        <v>124</v>
      </c>
      <c r="T14" s="103">
        <f t="shared" si="1"/>
        <v>27</v>
      </c>
      <c r="U14" s="93">
        <v>98</v>
      </c>
      <c r="V14" s="104">
        <f t="shared" si="2"/>
        <v>2646</v>
      </c>
      <c r="W14" s="93">
        <v>7</v>
      </c>
      <c r="X14" s="93" t="s">
        <v>46</v>
      </c>
      <c r="Y14" s="93" t="s">
        <v>78</v>
      </c>
      <c r="Z14" s="93" t="s">
        <v>69</v>
      </c>
      <c r="AA14" s="93" t="s">
        <v>102</v>
      </c>
      <c r="AB14" s="93" t="s">
        <v>158</v>
      </c>
      <c r="AE14" s="110" t="s">
        <v>96</v>
      </c>
      <c r="AG14" s="111"/>
      <c r="AH14" s="111"/>
      <c r="AP14" s="111" t="s">
        <v>74</v>
      </c>
      <c r="AR14" s="111" t="s">
        <v>217</v>
      </c>
      <c r="AV14" s="111" t="s">
        <v>78</v>
      </c>
    </row>
    <row r="15" spans="1:53" x14ac:dyDescent="0.15">
      <c r="A15" s="93" t="s">
        <v>51</v>
      </c>
      <c r="B15" s="93" t="s">
        <v>157</v>
      </c>
      <c r="C15" s="93">
        <v>2019</v>
      </c>
      <c r="D15" s="101" t="s">
        <v>263</v>
      </c>
      <c r="E15" s="93" t="s">
        <v>139</v>
      </c>
      <c r="F15" s="93" t="s">
        <v>278</v>
      </c>
      <c r="G15" s="93" t="s">
        <v>42</v>
      </c>
      <c r="H15" s="93" t="s">
        <v>164</v>
      </c>
      <c r="I15" s="93" t="s">
        <v>159</v>
      </c>
      <c r="J15" s="93" t="s">
        <v>38</v>
      </c>
      <c r="K15" s="93" t="s">
        <v>161</v>
      </c>
      <c r="L15" s="93">
        <v>2</v>
      </c>
      <c r="N15" s="93">
        <v>1</v>
      </c>
      <c r="O15" s="93">
        <v>0.7</v>
      </c>
      <c r="P15" s="93">
        <v>0.7</v>
      </c>
      <c r="Q15" s="102">
        <f t="shared" si="0"/>
        <v>0.7</v>
      </c>
      <c r="R15" s="93">
        <v>16.100000000000001</v>
      </c>
      <c r="S15" s="93">
        <v>128</v>
      </c>
      <c r="T15" s="103">
        <f t="shared" si="1"/>
        <v>27</v>
      </c>
      <c r="U15" s="93">
        <v>98</v>
      </c>
      <c r="V15" s="104">
        <f t="shared" si="2"/>
        <v>2646</v>
      </c>
      <c r="W15" s="93">
        <v>7</v>
      </c>
      <c r="X15" s="93" t="s">
        <v>46</v>
      </c>
      <c r="Y15" s="93" t="s">
        <v>78</v>
      </c>
      <c r="Z15" s="93" t="s">
        <v>69</v>
      </c>
      <c r="AA15" s="93" t="s">
        <v>102</v>
      </c>
      <c r="AB15" s="93" t="s">
        <v>158</v>
      </c>
      <c r="AE15" s="110" t="s">
        <v>218</v>
      </c>
      <c r="AG15" s="111"/>
      <c r="AH15" s="111"/>
      <c r="AP15" s="111" t="s">
        <v>77</v>
      </c>
      <c r="AR15" s="111" t="s">
        <v>80</v>
      </c>
      <c r="AV15" s="111" t="s">
        <v>107</v>
      </c>
    </row>
    <row r="16" spans="1:53" x14ac:dyDescent="0.15">
      <c r="A16" s="93" t="s">
        <v>51</v>
      </c>
      <c r="B16" s="93" t="s">
        <v>157</v>
      </c>
      <c r="C16" s="93">
        <v>2019</v>
      </c>
      <c r="D16" s="101" t="s">
        <v>263</v>
      </c>
      <c r="E16" s="93" t="s">
        <v>139</v>
      </c>
      <c r="F16" s="93" t="s">
        <v>278</v>
      </c>
      <c r="G16" s="93" t="s">
        <v>42</v>
      </c>
      <c r="H16" s="93" t="s">
        <v>164</v>
      </c>
      <c r="I16" s="93" t="s">
        <v>159</v>
      </c>
      <c r="J16" s="93" t="s">
        <v>38</v>
      </c>
      <c r="K16" s="93" t="s">
        <v>161</v>
      </c>
      <c r="L16" s="93">
        <v>3</v>
      </c>
      <c r="N16" s="93">
        <v>1</v>
      </c>
      <c r="O16" s="93">
        <v>0.65</v>
      </c>
      <c r="P16" s="93">
        <v>0.7</v>
      </c>
      <c r="Q16" s="102">
        <f t="shared" si="0"/>
        <v>0.67500000000000004</v>
      </c>
      <c r="R16" s="93">
        <v>16.399999999999999</v>
      </c>
      <c r="S16" s="93">
        <v>130</v>
      </c>
      <c r="T16" s="103">
        <f t="shared" si="1"/>
        <v>25</v>
      </c>
      <c r="U16" s="93">
        <v>98</v>
      </c>
      <c r="V16" s="104">
        <f t="shared" si="2"/>
        <v>2450</v>
      </c>
      <c r="W16" s="93">
        <v>7</v>
      </c>
      <c r="X16" s="93" t="s">
        <v>46</v>
      </c>
      <c r="Y16" s="93" t="s">
        <v>78</v>
      </c>
      <c r="Z16" s="93" t="s">
        <v>69</v>
      </c>
      <c r="AA16" s="93" t="s">
        <v>102</v>
      </c>
      <c r="AB16" s="93" t="s">
        <v>158</v>
      </c>
      <c r="AE16" s="110" t="s">
        <v>219</v>
      </c>
      <c r="AG16" s="116"/>
      <c r="AH16" s="116"/>
      <c r="AP16" s="111" t="s">
        <v>80</v>
      </c>
      <c r="AR16" s="111" t="s">
        <v>63</v>
      </c>
      <c r="AV16" s="111" t="s">
        <v>84</v>
      </c>
    </row>
    <row r="17" spans="1:48" x14ac:dyDescent="0.15">
      <c r="A17" s="93" t="s">
        <v>51</v>
      </c>
      <c r="B17" s="93" t="s">
        <v>157</v>
      </c>
      <c r="C17" s="93">
        <v>2019</v>
      </c>
      <c r="D17" s="101" t="s">
        <v>263</v>
      </c>
      <c r="E17" s="93" t="s">
        <v>139</v>
      </c>
      <c r="F17" s="93" t="s">
        <v>278</v>
      </c>
      <c r="G17" s="93" t="s">
        <v>42</v>
      </c>
      <c r="H17" s="93" t="s">
        <v>160</v>
      </c>
      <c r="I17" s="93" t="s">
        <v>159</v>
      </c>
      <c r="J17" s="93" t="s">
        <v>38</v>
      </c>
      <c r="K17" s="93" t="s">
        <v>161</v>
      </c>
      <c r="L17" s="93">
        <v>1</v>
      </c>
      <c r="N17" s="93">
        <v>1</v>
      </c>
      <c r="O17" s="93">
        <v>0.5</v>
      </c>
      <c r="P17" s="93">
        <v>0.55000000000000004</v>
      </c>
      <c r="Q17" s="102">
        <f t="shared" si="0"/>
        <v>0.52500000000000002</v>
      </c>
      <c r="R17" s="93">
        <v>17.2</v>
      </c>
      <c r="S17" s="93">
        <v>112</v>
      </c>
      <c r="T17" s="103">
        <f t="shared" si="1"/>
        <v>33</v>
      </c>
      <c r="U17" s="93">
        <v>98</v>
      </c>
      <c r="V17" s="104">
        <f t="shared" si="2"/>
        <v>3234</v>
      </c>
      <c r="W17" s="93">
        <v>7</v>
      </c>
      <c r="X17" s="93" t="s">
        <v>46</v>
      </c>
      <c r="Y17" s="93" t="s">
        <v>78</v>
      </c>
      <c r="Z17" s="93" t="s">
        <v>69</v>
      </c>
      <c r="AA17" s="93" t="s">
        <v>102</v>
      </c>
      <c r="AB17" s="93" t="s">
        <v>158</v>
      </c>
      <c r="AE17" s="110" t="s">
        <v>220</v>
      </c>
      <c r="AP17" s="115" t="s">
        <v>221</v>
      </c>
      <c r="AR17" s="111" t="s">
        <v>96</v>
      </c>
      <c r="AV17" s="111" t="s">
        <v>86</v>
      </c>
    </row>
    <row r="18" spans="1:48" x14ac:dyDescent="0.15">
      <c r="A18" s="93" t="s">
        <v>51</v>
      </c>
      <c r="B18" s="93" t="s">
        <v>157</v>
      </c>
      <c r="C18" s="93">
        <v>2019</v>
      </c>
      <c r="D18" s="101" t="s">
        <v>263</v>
      </c>
      <c r="E18" s="93" t="s">
        <v>139</v>
      </c>
      <c r="F18" s="93" t="s">
        <v>278</v>
      </c>
      <c r="G18" s="93" t="s">
        <v>42</v>
      </c>
      <c r="H18" s="93" t="s">
        <v>160</v>
      </c>
      <c r="I18" s="93" t="s">
        <v>159</v>
      </c>
      <c r="J18" s="93" t="s">
        <v>38</v>
      </c>
      <c r="K18" s="93" t="s">
        <v>161</v>
      </c>
      <c r="L18" s="93">
        <v>2</v>
      </c>
      <c r="N18" s="93">
        <v>1</v>
      </c>
      <c r="O18" s="93">
        <v>0.6</v>
      </c>
      <c r="P18" s="93">
        <v>0.6</v>
      </c>
      <c r="Q18" s="102">
        <f t="shared" si="0"/>
        <v>0.6</v>
      </c>
      <c r="R18" s="93">
        <v>16.8</v>
      </c>
      <c r="S18" s="93">
        <v>112</v>
      </c>
      <c r="T18" s="103">
        <f t="shared" si="1"/>
        <v>33</v>
      </c>
      <c r="U18" s="93">
        <v>98</v>
      </c>
      <c r="V18" s="104">
        <f t="shared" si="2"/>
        <v>3234</v>
      </c>
      <c r="W18" s="93">
        <v>7</v>
      </c>
      <c r="X18" s="93" t="s">
        <v>46</v>
      </c>
      <c r="Y18" s="93" t="s">
        <v>78</v>
      </c>
      <c r="Z18" s="93" t="s">
        <v>69</v>
      </c>
      <c r="AA18" s="93" t="s">
        <v>102</v>
      </c>
      <c r="AB18" s="93" t="s">
        <v>158</v>
      </c>
      <c r="AE18" s="110" t="s">
        <v>213</v>
      </c>
      <c r="AP18" s="115" t="s">
        <v>222</v>
      </c>
      <c r="AR18" s="111" t="s">
        <v>101</v>
      </c>
      <c r="AV18" s="111" t="s">
        <v>88</v>
      </c>
    </row>
    <row r="19" spans="1:48" x14ac:dyDescent="0.15">
      <c r="A19" s="93" t="s">
        <v>51</v>
      </c>
      <c r="B19" s="93" t="s">
        <v>157</v>
      </c>
      <c r="C19" s="93">
        <v>2019</v>
      </c>
      <c r="D19" s="101" t="s">
        <v>263</v>
      </c>
      <c r="E19" s="93" t="s">
        <v>139</v>
      </c>
      <c r="F19" s="93" t="s">
        <v>278</v>
      </c>
      <c r="G19" s="93" t="s">
        <v>42</v>
      </c>
      <c r="H19" s="93" t="s">
        <v>160</v>
      </c>
      <c r="I19" s="93" t="s">
        <v>159</v>
      </c>
      <c r="J19" s="93" t="s">
        <v>38</v>
      </c>
      <c r="K19" s="93" t="s">
        <v>161</v>
      </c>
      <c r="L19" s="93">
        <v>3</v>
      </c>
      <c r="N19" s="93">
        <v>1</v>
      </c>
      <c r="O19" s="93">
        <v>0.7</v>
      </c>
      <c r="P19" s="93">
        <v>0.65</v>
      </c>
      <c r="Q19" s="102">
        <f t="shared" si="0"/>
        <v>0.67500000000000004</v>
      </c>
      <c r="R19" s="93">
        <v>17.600000000000001</v>
      </c>
      <c r="S19" s="93">
        <v>114</v>
      </c>
      <c r="T19" s="103">
        <f t="shared" si="1"/>
        <v>30</v>
      </c>
      <c r="U19" s="93">
        <v>98</v>
      </c>
      <c r="V19" s="104">
        <f t="shared" si="2"/>
        <v>2940</v>
      </c>
      <c r="W19" s="93">
        <v>7</v>
      </c>
      <c r="X19" s="93" t="s">
        <v>46</v>
      </c>
      <c r="Y19" s="93" t="s">
        <v>78</v>
      </c>
      <c r="Z19" s="93" t="s">
        <v>69</v>
      </c>
      <c r="AA19" s="93" t="s">
        <v>102</v>
      </c>
      <c r="AB19" s="93" t="s">
        <v>158</v>
      </c>
      <c r="AE19" s="121" t="s">
        <v>207</v>
      </c>
      <c r="AP19" s="115" t="s">
        <v>223</v>
      </c>
      <c r="AR19" s="111" t="s">
        <v>224</v>
      </c>
      <c r="AV19" s="111" t="s">
        <v>90</v>
      </c>
    </row>
    <row r="20" spans="1:48" x14ac:dyDescent="0.15">
      <c r="A20" s="93" t="s">
        <v>51</v>
      </c>
      <c r="B20" s="93" t="s">
        <v>157</v>
      </c>
      <c r="C20" s="93">
        <v>2019</v>
      </c>
      <c r="D20" s="101" t="s">
        <v>263</v>
      </c>
      <c r="E20" s="93" t="s">
        <v>272</v>
      </c>
      <c r="F20" s="93" t="s">
        <v>273</v>
      </c>
      <c r="G20" s="93" t="s">
        <v>36</v>
      </c>
      <c r="H20" s="93" t="s">
        <v>164</v>
      </c>
      <c r="I20" s="93" t="s">
        <v>159</v>
      </c>
      <c r="J20" s="93" t="s">
        <v>38</v>
      </c>
      <c r="K20" s="93" t="s">
        <v>161</v>
      </c>
      <c r="L20" s="93">
        <v>1</v>
      </c>
      <c r="N20" s="93">
        <v>1</v>
      </c>
      <c r="O20" s="93">
        <v>0.75</v>
      </c>
      <c r="P20" s="93">
        <v>0.8</v>
      </c>
      <c r="Q20" s="102">
        <f t="shared" si="0"/>
        <v>0.77500000000000002</v>
      </c>
      <c r="R20" s="93">
        <v>15.7</v>
      </c>
      <c r="S20" s="93">
        <v>144</v>
      </c>
      <c r="T20" s="103">
        <f t="shared" si="1"/>
        <v>22</v>
      </c>
      <c r="U20" s="93">
        <v>118</v>
      </c>
      <c r="V20" s="104">
        <f t="shared" si="2"/>
        <v>2596</v>
      </c>
      <c r="W20" s="93">
        <v>9</v>
      </c>
      <c r="X20" s="93" t="s">
        <v>46</v>
      </c>
      <c r="Y20" s="93" t="s">
        <v>78</v>
      </c>
      <c r="Z20" s="93" t="s">
        <v>90</v>
      </c>
      <c r="AA20" s="93" t="s">
        <v>102</v>
      </c>
      <c r="AB20" s="93" t="s">
        <v>158</v>
      </c>
      <c r="AE20" s="121"/>
      <c r="AP20" s="115" t="s">
        <v>225</v>
      </c>
      <c r="AR20" s="111" t="s">
        <v>105</v>
      </c>
      <c r="AV20" s="115" t="s">
        <v>226</v>
      </c>
    </row>
    <row r="21" spans="1:48" x14ac:dyDescent="0.15">
      <c r="A21" s="93" t="s">
        <v>51</v>
      </c>
      <c r="B21" s="93" t="s">
        <v>157</v>
      </c>
      <c r="C21" s="93">
        <v>2019</v>
      </c>
      <c r="D21" s="101" t="s">
        <v>263</v>
      </c>
      <c r="E21" s="93" t="s">
        <v>272</v>
      </c>
      <c r="F21" s="93" t="s">
        <v>273</v>
      </c>
      <c r="G21" s="93" t="s">
        <v>36</v>
      </c>
      <c r="H21" s="93" t="s">
        <v>164</v>
      </c>
      <c r="I21" s="93" t="s">
        <v>159</v>
      </c>
      <c r="J21" s="93" t="s">
        <v>38</v>
      </c>
      <c r="K21" s="93" t="s">
        <v>161</v>
      </c>
      <c r="L21" s="93">
        <v>2</v>
      </c>
      <c r="N21" s="93">
        <v>1</v>
      </c>
      <c r="O21" s="93">
        <v>0.8</v>
      </c>
      <c r="P21" s="93">
        <v>0.7</v>
      </c>
      <c r="Q21" s="102">
        <f t="shared" si="0"/>
        <v>0.75</v>
      </c>
      <c r="R21" s="93">
        <v>16.5</v>
      </c>
      <c r="S21" s="93">
        <v>148</v>
      </c>
      <c r="T21" s="103">
        <f t="shared" si="1"/>
        <v>22</v>
      </c>
      <c r="U21" s="93">
        <v>118</v>
      </c>
      <c r="V21" s="104">
        <f t="shared" si="2"/>
        <v>2596</v>
      </c>
      <c r="W21" s="93">
        <v>9</v>
      </c>
      <c r="X21" s="93" t="s">
        <v>46</v>
      </c>
      <c r="Y21" s="93" t="s">
        <v>78</v>
      </c>
      <c r="Z21" s="93" t="s">
        <v>90</v>
      </c>
      <c r="AA21" s="93" t="s">
        <v>102</v>
      </c>
      <c r="AB21" s="93" t="s">
        <v>158</v>
      </c>
      <c r="AE21" s="116"/>
      <c r="AP21" s="115" t="s">
        <v>227</v>
      </c>
      <c r="AR21" s="111" t="s">
        <v>68</v>
      </c>
      <c r="AV21" s="115" t="s">
        <v>228</v>
      </c>
    </row>
    <row r="22" spans="1:48" x14ac:dyDescent="0.15">
      <c r="A22" s="93" t="s">
        <v>51</v>
      </c>
      <c r="B22" s="93" t="s">
        <v>157</v>
      </c>
      <c r="C22" s="93">
        <v>2019</v>
      </c>
      <c r="D22" s="101" t="s">
        <v>263</v>
      </c>
      <c r="E22" s="93" t="s">
        <v>272</v>
      </c>
      <c r="F22" s="93" t="s">
        <v>273</v>
      </c>
      <c r="G22" s="93" t="s">
        <v>36</v>
      </c>
      <c r="H22" s="93" t="s">
        <v>164</v>
      </c>
      <c r="I22" s="93" t="s">
        <v>159</v>
      </c>
      <c r="J22" s="93" t="s">
        <v>38</v>
      </c>
      <c r="K22" s="93" t="s">
        <v>161</v>
      </c>
      <c r="L22" s="93">
        <v>3</v>
      </c>
      <c r="N22" s="93">
        <v>1</v>
      </c>
      <c r="O22" s="93">
        <v>0.8</v>
      </c>
      <c r="P22" s="93">
        <v>0.85</v>
      </c>
      <c r="Q22" s="102">
        <f t="shared" si="0"/>
        <v>0.82499999999999996</v>
      </c>
      <c r="R22" s="93">
        <v>16.2</v>
      </c>
      <c r="S22" s="93">
        <v>146</v>
      </c>
      <c r="T22" s="103">
        <f t="shared" si="1"/>
        <v>22</v>
      </c>
      <c r="U22" s="93">
        <v>118</v>
      </c>
      <c r="V22" s="104">
        <f t="shared" si="2"/>
        <v>2596</v>
      </c>
      <c r="W22" s="93">
        <v>9</v>
      </c>
      <c r="X22" s="93" t="s">
        <v>46</v>
      </c>
      <c r="Y22" s="93" t="s">
        <v>78</v>
      </c>
      <c r="Z22" s="93" t="s">
        <v>90</v>
      </c>
      <c r="AA22" s="93" t="s">
        <v>102</v>
      </c>
      <c r="AB22" s="93" t="s">
        <v>158</v>
      </c>
      <c r="AP22" s="115" t="s">
        <v>229</v>
      </c>
      <c r="AR22" s="111" t="s">
        <v>83</v>
      </c>
      <c r="AV22" s="115"/>
    </row>
    <row r="23" spans="1:48" x14ac:dyDescent="0.15">
      <c r="A23" s="93" t="s">
        <v>51</v>
      </c>
      <c r="B23" s="93" t="s">
        <v>157</v>
      </c>
      <c r="C23" s="93">
        <v>2019</v>
      </c>
      <c r="D23" s="101" t="s">
        <v>263</v>
      </c>
      <c r="E23" s="93" t="s">
        <v>272</v>
      </c>
      <c r="F23" s="93" t="s">
        <v>273</v>
      </c>
      <c r="G23" s="93" t="s">
        <v>36</v>
      </c>
      <c r="H23" s="93" t="s">
        <v>160</v>
      </c>
      <c r="I23" s="93" t="s">
        <v>159</v>
      </c>
      <c r="J23" s="93" t="s">
        <v>38</v>
      </c>
      <c r="K23" s="93" t="s">
        <v>161</v>
      </c>
      <c r="L23" s="93">
        <v>1</v>
      </c>
      <c r="N23" s="93">
        <v>1</v>
      </c>
      <c r="O23" s="93">
        <v>0.75</v>
      </c>
      <c r="P23" s="93">
        <v>0.75</v>
      </c>
      <c r="Q23" s="102">
        <f t="shared" si="0"/>
        <v>0.75</v>
      </c>
      <c r="R23" s="93">
        <v>17.2</v>
      </c>
      <c r="S23" s="93">
        <v>142</v>
      </c>
      <c r="T23" s="103">
        <f t="shared" si="1"/>
        <v>22</v>
      </c>
      <c r="U23" s="93">
        <v>128</v>
      </c>
      <c r="V23" s="104">
        <f t="shared" si="2"/>
        <v>2816</v>
      </c>
      <c r="W23" s="93">
        <v>9</v>
      </c>
      <c r="X23" s="93" t="s">
        <v>46</v>
      </c>
      <c r="Y23" s="93" t="s">
        <v>78</v>
      </c>
      <c r="Z23" s="93" t="s">
        <v>90</v>
      </c>
      <c r="AA23" s="93" t="s">
        <v>102</v>
      </c>
      <c r="AB23" s="93" t="s">
        <v>158</v>
      </c>
      <c r="AP23" s="115" t="s">
        <v>279</v>
      </c>
      <c r="AR23" s="111" t="s">
        <v>61</v>
      </c>
    </row>
    <row r="24" spans="1:48" x14ac:dyDescent="0.15">
      <c r="A24" s="93" t="s">
        <v>51</v>
      </c>
      <c r="B24" s="93" t="s">
        <v>157</v>
      </c>
      <c r="C24" s="93">
        <v>2019</v>
      </c>
      <c r="D24" s="101" t="s">
        <v>263</v>
      </c>
      <c r="E24" s="93" t="s">
        <v>272</v>
      </c>
      <c r="F24" s="93" t="s">
        <v>273</v>
      </c>
      <c r="G24" s="93" t="s">
        <v>36</v>
      </c>
      <c r="H24" s="93" t="s">
        <v>160</v>
      </c>
      <c r="I24" s="93" t="s">
        <v>159</v>
      </c>
      <c r="J24" s="93" t="s">
        <v>38</v>
      </c>
      <c r="K24" s="93" t="s">
        <v>161</v>
      </c>
      <c r="L24" s="93">
        <v>2</v>
      </c>
      <c r="N24" s="93">
        <v>1</v>
      </c>
      <c r="O24" s="93">
        <v>0.65</v>
      </c>
      <c r="P24" s="93">
        <v>0.7</v>
      </c>
      <c r="Q24" s="102">
        <f t="shared" si="0"/>
        <v>0.67500000000000004</v>
      </c>
      <c r="R24" s="93">
        <v>16.600000000000001</v>
      </c>
      <c r="S24" s="93">
        <v>138</v>
      </c>
      <c r="T24" s="103">
        <f t="shared" si="1"/>
        <v>22</v>
      </c>
      <c r="U24" s="93">
        <v>128</v>
      </c>
      <c r="V24" s="104">
        <f t="shared" si="2"/>
        <v>2816</v>
      </c>
      <c r="W24" s="93">
        <v>9</v>
      </c>
      <c r="X24" s="93" t="s">
        <v>46</v>
      </c>
      <c r="Y24" s="93" t="s">
        <v>78</v>
      </c>
      <c r="Z24" s="93" t="s">
        <v>90</v>
      </c>
      <c r="AA24" s="93" t="s">
        <v>102</v>
      </c>
      <c r="AB24" s="93" t="s">
        <v>158</v>
      </c>
      <c r="AP24" s="115" t="s">
        <v>280</v>
      </c>
      <c r="AR24" s="111" t="s">
        <v>91</v>
      </c>
    </row>
    <row r="25" spans="1:48" x14ac:dyDescent="0.15">
      <c r="A25" s="93" t="s">
        <v>51</v>
      </c>
      <c r="B25" s="93" t="s">
        <v>157</v>
      </c>
      <c r="C25" s="93">
        <v>2019</v>
      </c>
      <c r="D25" s="101" t="s">
        <v>263</v>
      </c>
      <c r="E25" s="93" t="s">
        <v>272</v>
      </c>
      <c r="F25" s="93" t="s">
        <v>273</v>
      </c>
      <c r="G25" s="93" t="s">
        <v>36</v>
      </c>
      <c r="H25" s="93" t="s">
        <v>160</v>
      </c>
      <c r="I25" s="93" t="s">
        <v>159</v>
      </c>
      <c r="J25" s="93" t="s">
        <v>38</v>
      </c>
      <c r="K25" s="93" t="s">
        <v>161</v>
      </c>
      <c r="L25" s="93">
        <v>3</v>
      </c>
      <c r="N25" s="93">
        <v>1</v>
      </c>
      <c r="O25" s="93">
        <v>0.75</v>
      </c>
      <c r="P25" s="93">
        <v>0.8</v>
      </c>
      <c r="Q25" s="102">
        <f t="shared" si="0"/>
        <v>0.77500000000000002</v>
      </c>
      <c r="R25" s="93">
        <v>17.5</v>
      </c>
      <c r="S25" s="93">
        <v>150</v>
      </c>
      <c r="T25" s="103">
        <f t="shared" si="1"/>
        <v>22</v>
      </c>
      <c r="U25" s="93">
        <v>128</v>
      </c>
      <c r="V25" s="104">
        <f t="shared" si="2"/>
        <v>2816</v>
      </c>
      <c r="W25" s="93">
        <v>9</v>
      </c>
      <c r="X25" s="93" t="s">
        <v>46</v>
      </c>
      <c r="Y25" s="93" t="s">
        <v>78</v>
      </c>
      <c r="Z25" s="93" t="s">
        <v>90</v>
      </c>
      <c r="AA25" s="93" t="s">
        <v>102</v>
      </c>
      <c r="AB25" s="93" t="s">
        <v>158</v>
      </c>
      <c r="AP25" s="115" t="s">
        <v>281</v>
      </c>
      <c r="AR25" s="115" t="s">
        <v>51</v>
      </c>
    </row>
    <row r="26" spans="1:48" x14ac:dyDescent="0.15">
      <c r="A26" s="93" t="s">
        <v>51</v>
      </c>
      <c r="B26" s="93" t="s">
        <v>157</v>
      </c>
      <c r="C26" s="93">
        <v>2019</v>
      </c>
      <c r="D26" s="101" t="s">
        <v>263</v>
      </c>
      <c r="E26" s="93" t="s">
        <v>211</v>
      </c>
      <c r="F26" s="93" t="s">
        <v>266</v>
      </c>
      <c r="G26" s="93" t="s">
        <v>42</v>
      </c>
      <c r="H26" s="93" t="s">
        <v>164</v>
      </c>
      <c r="I26" s="93" t="s">
        <v>159</v>
      </c>
      <c r="J26" s="93" t="s">
        <v>38</v>
      </c>
      <c r="K26" s="93" t="s">
        <v>161</v>
      </c>
      <c r="L26" s="93">
        <v>1</v>
      </c>
      <c r="N26" s="93">
        <v>1</v>
      </c>
      <c r="O26" s="93">
        <v>0.75</v>
      </c>
      <c r="P26" s="93">
        <v>0.85</v>
      </c>
      <c r="Q26" s="102">
        <f t="shared" si="0"/>
        <v>0.8</v>
      </c>
      <c r="R26" s="93">
        <v>17.399999999999999</v>
      </c>
      <c r="S26" s="93">
        <v>138</v>
      </c>
      <c r="T26" s="103">
        <f t="shared" si="1"/>
        <v>22</v>
      </c>
      <c r="U26" s="93">
        <v>97</v>
      </c>
      <c r="V26" s="104">
        <f t="shared" si="2"/>
        <v>2134</v>
      </c>
      <c r="W26" s="93">
        <v>15</v>
      </c>
      <c r="X26" s="93" t="s">
        <v>46</v>
      </c>
      <c r="Y26" s="93" t="s">
        <v>102</v>
      </c>
      <c r="Z26" s="93" t="s">
        <v>55</v>
      </c>
      <c r="AA26" s="93" t="s">
        <v>78</v>
      </c>
      <c r="AB26" s="93" t="s">
        <v>158</v>
      </c>
      <c r="AP26" s="115" t="s">
        <v>230</v>
      </c>
      <c r="AR26" s="93" t="s">
        <v>231</v>
      </c>
    </row>
    <row r="27" spans="1:48" x14ac:dyDescent="0.15">
      <c r="A27" s="93" t="s">
        <v>51</v>
      </c>
      <c r="B27" s="93" t="s">
        <v>157</v>
      </c>
      <c r="C27" s="93">
        <v>2019</v>
      </c>
      <c r="D27" s="101" t="s">
        <v>263</v>
      </c>
      <c r="E27" s="93" t="s">
        <v>211</v>
      </c>
      <c r="F27" s="93" t="s">
        <v>266</v>
      </c>
      <c r="G27" s="93" t="s">
        <v>42</v>
      </c>
      <c r="H27" s="93" t="s">
        <v>164</v>
      </c>
      <c r="I27" s="93" t="s">
        <v>159</v>
      </c>
      <c r="J27" s="93" t="s">
        <v>38</v>
      </c>
      <c r="K27" s="93" t="s">
        <v>161</v>
      </c>
      <c r="L27" s="93">
        <v>2</v>
      </c>
      <c r="N27" s="93">
        <v>1</v>
      </c>
      <c r="O27" s="93">
        <v>0.8</v>
      </c>
      <c r="P27" s="93">
        <v>0.75</v>
      </c>
      <c r="Q27" s="102">
        <f t="shared" si="0"/>
        <v>0.77500000000000002</v>
      </c>
      <c r="R27" s="93">
        <v>16.899999999999999</v>
      </c>
      <c r="S27" s="93">
        <v>130</v>
      </c>
      <c r="T27" s="103">
        <f t="shared" si="1"/>
        <v>25</v>
      </c>
      <c r="U27" s="93">
        <v>97</v>
      </c>
      <c r="V27" s="104">
        <f t="shared" si="2"/>
        <v>2425</v>
      </c>
      <c r="W27" s="93">
        <v>15</v>
      </c>
      <c r="X27" s="93" t="s">
        <v>46</v>
      </c>
      <c r="Y27" s="93" t="s">
        <v>102</v>
      </c>
      <c r="Z27" s="93" t="s">
        <v>55</v>
      </c>
      <c r="AA27" s="93" t="s">
        <v>78</v>
      </c>
      <c r="AB27" s="93" t="s">
        <v>158</v>
      </c>
      <c r="AP27" s="115" t="s">
        <v>232</v>
      </c>
    </row>
    <row r="28" spans="1:48" x14ac:dyDescent="0.15">
      <c r="A28" s="93" t="s">
        <v>51</v>
      </c>
      <c r="B28" s="93" t="s">
        <v>157</v>
      </c>
      <c r="C28" s="93">
        <v>2019</v>
      </c>
      <c r="D28" s="101" t="s">
        <v>263</v>
      </c>
      <c r="E28" s="93" t="s">
        <v>211</v>
      </c>
      <c r="F28" s="93" t="s">
        <v>266</v>
      </c>
      <c r="G28" s="93" t="s">
        <v>42</v>
      </c>
      <c r="H28" s="93" t="s">
        <v>164</v>
      </c>
      <c r="I28" s="93" t="s">
        <v>159</v>
      </c>
      <c r="J28" s="93" t="s">
        <v>38</v>
      </c>
      <c r="K28" s="93" t="s">
        <v>161</v>
      </c>
      <c r="L28" s="93">
        <v>3</v>
      </c>
      <c r="N28" s="93">
        <v>1</v>
      </c>
      <c r="O28" s="93">
        <v>0.75</v>
      </c>
      <c r="P28" s="93">
        <v>0.75</v>
      </c>
      <c r="Q28" s="102">
        <f t="shared" si="0"/>
        <v>0.75</v>
      </c>
      <c r="R28" s="93">
        <v>17</v>
      </c>
      <c r="S28" s="93">
        <v>136</v>
      </c>
      <c r="T28" s="103">
        <f t="shared" si="1"/>
        <v>25</v>
      </c>
      <c r="U28" s="93">
        <v>97</v>
      </c>
      <c r="V28" s="104">
        <f t="shared" si="2"/>
        <v>2425</v>
      </c>
      <c r="W28" s="93">
        <v>15</v>
      </c>
      <c r="X28" s="93" t="s">
        <v>46</v>
      </c>
      <c r="Y28" s="93" t="s">
        <v>102</v>
      </c>
      <c r="Z28" s="93" t="s">
        <v>55</v>
      </c>
      <c r="AA28" s="93" t="s">
        <v>78</v>
      </c>
      <c r="AB28" s="93" t="s">
        <v>158</v>
      </c>
    </row>
    <row r="29" spans="1:48" x14ac:dyDescent="0.15">
      <c r="A29" s="93" t="s">
        <v>51</v>
      </c>
      <c r="B29" s="93" t="s">
        <v>157</v>
      </c>
      <c r="C29" s="93">
        <v>2019</v>
      </c>
      <c r="D29" s="101" t="s">
        <v>263</v>
      </c>
      <c r="E29" s="93" t="s">
        <v>211</v>
      </c>
      <c r="F29" s="93" t="s">
        <v>266</v>
      </c>
      <c r="G29" s="93" t="s">
        <v>42</v>
      </c>
      <c r="H29" s="93" t="s">
        <v>160</v>
      </c>
      <c r="I29" s="93" t="s">
        <v>159</v>
      </c>
      <c r="J29" s="93" t="s">
        <v>38</v>
      </c>
      <c r="K29" s="93" t="s">
        <v>161</v>
      </c>
      <c r="L29" s="93">
        <v>1</v>
      </c>
      <c r="N29" s="93">
        <v>1</v>
      </c>
      <c r="O29" s="93">
        <v>0.7</v>
      </c>
      <c r="P29" s="93">
        <v>0.7</v>
      </c>
      <c r="Q29" s="102">
        <f t="shared" si="0"/>
        <v>0.7</v>
      </c>
      <c r="R29" s="93">
        <v>17.5</v>
      </c>
      <c r="S29" s="93">
        <v>146</v>
      </c>
      <c r="T29" s="103">
        <f t="shared" si="1"/>
        <v>22</v>
      </c>
      <c r="U29" s="93">
        <v>97</v>
      </c>
      <c r="V29" s="104">
        <f t="shared" si="2"/>
        <v>2134</v>
      </c>
      <c r="W29" s="93">
        <v>15</v>
      </c>
      <c r="X29" s="93" t="s">
        <v>46</v>
      </c>
      <c r="Y29" s="93" t="s">
        <v>102</v>
      </c>
      <c r="Z29" s="93" t="s">
        <v>55</v>
      </c>
      <c r="AA29" s="93" t="s">
        <v>78</v>
      </c>
      <c r="AB29" s="93" t="s">
        <v>158</v>
      </c>
    </row>
    <row r="30" spans="1:48" x14ac:dyDescent="0.15">
      <c r="A30" s="93" t="s">
        <v>51</v>
      </c>
      <c r="B30" s="93" t="s">
        <v>157</v>
      </c>
      <c r="C30" s="93">
        <v>2019</v>
      </c>
      <c r="D30" s="101" t="s">
        <v>263</v>
      </c>
      <c r="E30" s="93" t="s">
        <v>211</v>
      </c>
      <c r="F30" s="93" t="s">
        <v>266</v>
      </c>
      <c r="G30" s="93" t="s">
        <v>42</v>
      </c>
      <c r="H30" s="93" t="s">
        <v>160</v>
      </c>
      <c r="I30" s="93" t="s">
        <v>159</v>
      </c>
      <c r="J30" s="93" t="s">
        <v>38</v>
      </c>
      <c r="K30" s="93" t="s">
        <v>161</v>
      </c>
      <c r="L30" s="93">
        <v>2</v>
      </c>
      <c r="N30" s="93">
        <v>1</v>
      </c>
      <c r="O30" s="93">
        <v>0.65</v>
      </c>
      <c r="P30" s="93">
        <v>0.75</v>
      </c>
      <c r="Q30" s="102">
        <f t="shared" si="0"/>
        <v>0.7</v>
      </c>
      <c r="R30" s="93">
        <v>17.100000000000001</v>
      </c>
      <c r="S30" s="93">
        <v>142</v>
      </c>
      <c r="T30" s="103">
        <f t="shared" si="1"/>
        <v>22</v>
      </c>
      <c r="U30" s="93">
        <v>97</v>
      </c>
      <c r="V30" s="104">
        <f t="shared" si="2"/>
        <v>2134</v>
      </c>
      <c r="W30" s="93">
        <v>15</v>
      </c>
      <c r="X30" s="93" t="s">
        <v>46</v>
      </c>
      <c r="Y30" s="93" t="s">
        <v>102</v>
      </c>
      <c r="Z30" s="93" t="s">
        <v>55</v>
      </c>
      <c r="AA30" s="93" t="s">
        <v>78</v>
      </c>
      <c r="AB30" s="93" t="s">
        <v>158</v>
      </c>
    </row>
    <row r="31" spans="1:48" x14ac:dyDescent="0.15">
      <c r="A31" s="93" t="s">
        <v>51</v>
      </c>
      <c r="B31" s="93" t="s">
        <v>157</v>
      </c>
      <c r="C31" s="93">
        <v>2019</v>
      </c>
      <c r="D31" s="101" t="s">
        <v>263</v>
      </c>
      <c r="E31" s="93" t="s">
        <v>211</v>
      </c>
      <c r="F31" s="93" t="s">
        <v>266</v>
      </c>
      <c r="G31" s="93" t="s">
        <v>42</v>
      </c>
      <c r="H31" s="93" t="s">
        <v>160</v>
      </c>
      <c r="I31" s="93" t="s">
        <v>159</v>
      </c>
      <c r="J31" s="93" t="s">
        <v>38</v>
      </c>
      <c r="K31" s="93" t="s">
        <v>161</v>
      </c>
      <c r="L31" s="93">
        <v>3</v>
      </c>
      <c r="N31" s="93">
        <v>1</v>
      </c>
      <c r="O31" s="93">
        <v>0.75</v>
      </c>
      <c r="P31" s="93">
        <v>0.6</v>
      </c>
      <c r="Q31" s="102">
        <f t="shared" si="0"/>
        <v>0.67500000000000004</v>
      </c>
      <c r="R31" s="93">
        <v>17.8</v>
      </c>
      <c r="S31" s="93">
        <v>144</v>
      </c>
      <c r="T31" s="103">
        <f t="shared" si="1"/>
        <v>22</v>
      </c>
      <c r="U31" s="93">
        <v>97</v>
      </c>
      <c r="V31" s="104">
        <f t="shared" si="2"/>
        <v>2134</v>
      </c>
      <c r="W31" s="93">
        <v>15</v>
      </c>
      <c r="X31" s="93" t="s">
        <v>46</v>
      </c>
      <c r="Y31" s="93" t="s">
        <v>102</v>
      </c>
      <c r="Z31" s="93" t="s">
        <v>55</v>
      </c>
      <c r="AA31" s="93" t="s">
        <v>78</v>
      </c>
      <c r="AB31" s="93" t="s">
        <v>158</v>
      </c>
    </row>
    <row r="32" spans="1:48" x14ac:dyDescent="0.15">
      <c r="A32" s="93" t="s">
        <v>51</v>
      </c>
      <c r="B32" s="93" t="s">
        <v>157</v>
      </c>
      <c r="C32" s="93">
        <v>2019</v>
      </c>
      <c r="D32" s="101" t="s">
        <v>263</v>
      </c>
      <c r="E32" s="93" t="s">
        <v>274</v>
      </c>
      <c r="F32" s="93" t="s">
        <v>266</v>
      </c>
      <c r="G32" s="93" t="s">
        <v>42</v>
      </c>
      <c r="H32" s="93" t="s">
        <v>164</v>
      </c>
      <c r="I32" s="93" t="s">
        <v>159</v>
      </c>
      <c r="J32" s="93" t="s">
        <v>38</v>
      </c>
      <c r="K32" s="93" t="s">
        <v>161</v>
      </c>
      <c r="L32" s="93">
        <v>1</v>
      </c>
      <c r="N32" s="93">
        <v>4</v>
      </c>
      <c r="O32" s="93">
        <v>0.7</v>
      </c>
      <c r="P32" s="93">
        <v>0.75</v>
      </c>
      <c r="Q32" s="102">
        <f t="shared" si="0"/>
        <v>0.72499999999999998</v>
      </c>
      <c r="R32" s="93">
        <v>15.6</v>
      </c>
      <c r="S32" s="93">
        <v>99</v>
      </c>
      <c r="T32" s="103">
        <f t="shared" si="1"/>
        <v>33</v>
      </c>
      <c r="U32" s="93">
        <v>398</v>
      </c>
      <c r="V32" s="104">
        <f t="shared" si="2"/>
        <v>3283.5</v>
      </c>
      <c r="W32" s="93">
        <v>11</v>
      </c>
      <c r="X32" s="93" t="s">
        <v>46</v>
      </c>
      <c r="Y32" s="93" t="s">
        <v>102</v>
      </c>
      <c r="Z32" s="93" t="s">
        <v>78</v>
      </c>
      <c r="AA32" s="93" t="s">
        <v>69</v>
      </c>
      <c r="AB32" s="93" t="s">
        <v>158</v>
      </c>
    </row>
    <row r="33" spans="1:28" x14ac:dyDescent="0.15">
      <c r="A33" s="93" t="s">
        <v>51</v>
      </c>
      <c r="B33" s="93" t="s">
        <v>157</v>
      </c>
      <c r="C33" s="93">
        <v>2019</v>
      </c>
      <c r="D33" s="101" t="s">
        <v>263</v>
      </c>
      <c r="E33" s="93" t="s">
        <v>274</v>
      </c>
      <c r="F33" s="93" t="s">
        <v>266</v>
      </c>
      <c r="G33" s="93" t="s">
        <v>42</v>
      </c>
      <c r="H33" s="93" t="s">
        <v>164</v>
      </c>
      <c r="I33" s="93" t="s">
        <v>159</v>
      </c>
      <c r="J33" s="93" t="s">
        <v>38</v>
      </c>
      <c r="K33" s="93" t="s">
        <v>161</v>
      </c>
      <c r="L33" s="93">
        <v>2</v>
      </c>
      <c r="N33" s="93">
        <v>4</v>
      </c>
      <c r="O33" s="93">
        <v>0.65</v>
      </c>
      <c r="P33" s="93">
        <v>0.6</v>
      </c>
      <c r="Q33" s="102">
        <f t="shared" si="0"/>
        <v>0.625</v>
      </c>
      <c r="R33" s="93">
        <v>16</v>
      </c>
      <c r="S33" s="93">
        <v>104</v>
      </c>
      <c r="T33" s="103">
        <f t="shared" si="1"/>
        <v>33</v>
      </c>
      <c r="U33" s="93">
        <v>398</v>
      </c>
      <c r="V33" s="104">
        <f t="shared" si="2"/>
        <v>3283.5</v>
      </c>
      <c r="W33" s="93">
        <v>11</v>
      </c>
      <c r="X33" s="93" t="s">
        <v>46</v>
      </c>
      <c r="Y33" s="93" t="s">
        <v>102</v>
      </c>
      <c r="Z33" s="93" t="s">
        <v>78</v>
      </c>
      <c r="AA33" s="93" t="s">
        <v>69</v>
      </c>
      <c r="AB33" s="93" t="s">
        <v>158</v>
      </c>
    </row>
    <row r="34" spans="1:28" x14ac:dyDescent="0.15">
      <c r="A34" s="93" t="s">
        <v>51</v>
      </c>
      <c r="B34" s="93" t="s">
        <v>157</v>
      </c>
      <c r="C34" s="93">
        <v>2019</v>
      </c>
      <c r="D34" s="101" t="s">
        <v>263</v>
      </c>
      <c r="E34" s="93" t="s">
        <v>274</v>
      </c>
      <c r="F34" s="93" t="s">
        <v>266</v>
      </c>
      <c r="G34" s="93" t="s">
        <v>42</v>
      </c>
      <c r="H34" s="93" t="s">
        <v>164</v>
      </c>
      <c r="I34" s="93" t="s">
        <v>159</v>
      </c>
      <c r="J34" s="93" t="s">
        <v>38</v>
      </c>
      <c r="K34" s="93" t="s">
        <v>161</v>
      </c>
      <c r="L34" s="93">
        <v>3</v>
      </c>
      <c r="N34" s="93">
        <v>4</v>
      </c>
      <c r="O34" s="93">
        <v>0.8</v>
      </c>
      <c r="P34" s="93">
        <v>0.75</v>
      </c>
      <c r="Q34" s="102">
        <f t="shared" si="0"/>
        <v>0.77500000000000002</v>
      </c>
      <c r="R34" s="93">
        <v>15.2</v>
      </c>
      <c r="S34" s="93">
        <v>97</v>
      </c>
      <c r="T34" s="103">
        <f t="shared" si="1"/>
        <v>36</v>
      </c>
      <c r="U34" s="93">
        <v>398</v>
      </c>
      <c r="V34" s="104">
        <f t="shared" si="2"/>
        <v>3582</v>
      </c>
      <c r="W34" s="93">
        <v>11</v>
      </c>
      <c r="X34" s="93" t="s">
        <v>46</v>
      </c>
      <c r="Y34" s="93" t="s">
        <v>102</v>
      </c>
      <c r="Z34" s="93" t="s">
        <v>78</v>
      </c>
      <c r="AA34" s="93" t="s">
        <v>69</v>
      </c>
      <c r="AB34" s="93" t="s">
        <v>158</v>
      </c>
    </row>
    <row r="35" spans="1:28" x14ac:dyDescent="0.15">
      <c r="A35" s="93" t="s">
        <v>51</v>
      </c>
      <c r="B35" s="93" t="s">
        <v>157</v>
      </c>
      <c r="C35" s="93">
        <v>2019</v>
      </c>
      <c r="D35" s="101" t="s">
        <v>263</v>
      </c>
      <c r="E35" s="93" t="s">
        <v>274</v>
      </c>
      <c r="F35" s="93" t="s">
        <v>266</v>
      </c>
      <c r="G35" s="93" t="s">
        <v>42</v>
      </c>
      <c r="H35" s="93" t="s">
        <v>164</v>
      </c>
      <c r="I35" s="93" t="s">
        <v>198</v>
      </c>
      <c r="J35" s="93" t="s">
        <v>38</v>
      </c>
      <c r="K35" s="93" t="s">
        <v>161</v>
      </c>
      <c r="L35" s="93">
        <v>1</v>
      </c>
      <c r="N35" s="93">
        <v>4</v>
      </c>
      <c r="O35" s="93">
        <v>1</v>
      </c>
      <c r="P35" s="93">
        <v>0.9</v>
      </c>
      <c r="Q35" s="102">
        <f t="shared" si="0"/>
        <v>0.95</v>
      </c>
      <c r="R35" s="93">
        <v>14.1</v>
      </c>
      <c r="S35" s="93">
        <v>97</v>
      </c>
      <c r="T35" s="103">
        <f t="shared" si="1"/>
        <v>36</v>
      </c>
      <c r="U35" s="93">
        <v>398</v>
      </c>
      <c r="V35" s="104">
        <f t="shared" si="2"/>
        <v>3582</v>
      </c>
      <c r="W35" s="93">
        <v>11</v>
      </c>
      <c r="X35" s="93" t="s">
        <v>46</v>
      </c>
      <c r="Y35" s="93" t="s">
        <v>102</v>
      </c>
      <c r="Z35" s="93" t="s">
        <v>78</v>
      </c>
      <c r="AA35" s="93" t="s">
        <v>69</v>
      </c>
      <c r="AB35" s="93" t="s">
        <v>158</v>
      </c>
    </row>
    <row r="36" spans="1:28" x14ac:dyDescent="0.15">
      <c r="A36" s="93" t="s">
        <v>51</v>
      </c>
      <c r="B36" s="93" t="s">
        <v>157</v>
      </c>
      <c r="C36" s="93">
        <v>2019</v>
      </c>
      <c r="D36" s="101" t="s">
        <v>263</v>
      </c>
      <c r="E36" s="93" t="s">
        <v>274</v>
      </c>
      <c r="F36" s="93" t="s">
        <v>266</v>
      </c>
      <c r="G36" s="93" t="s">
        <v>42</v>
      </c>
      <c r="H36" s="93" t="s">
        <v>164</v>
      </c>
      <c r="I36" s="93" t="s">
        <v>198</v>
      </c>
      <c r="J36" s="93" t="s">
        <v>38</v>
      </c>
      <c r="K36" s="93" t="s">
        <v>161</v>
      </c>
      <c r="L36" s="93">
        <v>2</v>
      </c>
      <c r="N36" s="93">
        <v>4</v>
      </c>
      <c r="O36" s="93">
        <v>1.05</v>
      </c>
      <c r="P36" s="93">
        <v>1</v>
      </c>
      <c r="Q36" s="102">
        <f t="shared" si="0"/>
        <v>1.0249999999999999</v>
      </c>
      <c r="R36" s="93">
        <v>13.3</v>
      </c>
      <c r="S36" s="93">
        <v>95</v>
      </c>
      <c r="T36" s="103">
        <f t="shared" si="1"/>
        <v>36</v>
      </c>
      <c r="U36" s="93">
        <v>398</v>
      </c>
      <c r="V36" s="104">
        <f t="shared" si="2"/>
        <v>3582</v>
      </c>
      <c r="W36" s="93">
        <v>11</v>
      </c>
      <c r="X36" s="93" t="s">
        <v>46</v>
      </c>
      <c r="Y36" s="93" t="s">
        <v>102</v>
      </c>
      <c r="Z36" s="93" t="s">
        <v>78</v>
      </c>
      <c r="AA36" s="93" t="s">
        <v>69</v>
      </c>
      <c r="AB36" s="93" t="s">
        <v>158</v>
      </c>
    </row>
    <row r="37" spans="1:28" x14ac:dyDescent="0.15">
      <c r="A37" s="93" t="s">
        <v>51</v>
      </c>
      <c r="B37" s="93" t="s">
        <v>157</v>
      </c>
      <c r="C37" s="93">
        <v>2019</v>
      </c>
      <c r="D37" s="101" t="s">
        <v>263</v>
      </c>
      <c r="E37" s="93" t="s">
        <v>274</v>
      </c>
      <c r="F37" s="93" t="s">
        <v>266</v>
      </c>
      <c r="G37" s="93" t="s">
        <v>42</v>
      </c>
      <c r="H37" s="93" t="s">
        <v>164</v>
      </c>
      <c r="I37" s="93" t="s">
        <v>198</v>
      </c>
      <c r="J37" s="93" t="s">
        <v>38</v>
      </c>
      <c r="K37" s="93" t="s">
        <v>161</v>
      </c>
      <c r="L37" s="93">
        <v>3</v>
      </c>
      <c r="N37" s="93">
        <v>4</v>
      </c>
      <c r="O37" s="93">
        <v>0.95</v>
      </c>
      <c r="P37" s="93">
        <v>1.1000000000000001</v>
      </c>
      <c r="Q37" s="102">
        <f t="shared" si="0"/>
        <v>1.0249999999999999</v>
      </c>
      <c r="R37" s="93">
        <v>13.5</v>
      </c>
      <c r="S37" s="93">
        <v>95</v>
      </c>
      <c r="T37" s="103">
        <f t="shared" si="1"/>
        <v>36</v>
      </c>
      <c r="U37" s="93">
        <v>398</v>
      </c>
      <c r="V37" s="104">
        <f t="shared" si="2"/>
        <v>3582</v>
      </c>
      <c r="W37" s="93">
        <v>11</v>
      </c>
      <c r="X37" s="93" t="s">
        <v>46</v>
      </c>
      <c r="Y37" s="93" t="s">
        <v>102</v>
      </c>
      <c r="Z37" s="93" t="s">
        <v>78</v>
      </c>
      <c r="AA37" s="93" t="s">
        <v>69</v>
      </c>
      <c r="AB37" s="93" t="s">
        <v>158</v>
      </c>
    </row>
    <row r="38" spans="1:28" x14ac:dyDescent="0.15">
      <c r="A38" s="93" t="s">
        <v>51</v>
      </c>
      <c r="B38" s="93" t="s">
        <v>157</v>
      </c>
      <c r="C38" s="93">
        <v>2019</v>
      </c>
      <c r="D38" s="101" t="s">
        <v>263</v>
      </c>
      <c r="E38" s="93" t="s">
        <v>274</v>
      </c>
      <c r="F38" s="93" t="s">
        <v>266</v>
      </c>
      <c r="G38" s="93" t="s">
        <v>42</v>
      </c>
      <c r="H38" s="93" t="s">
        <v>160</v>
      </c>
      <c r="I38" s="93" t="s">
        <v>159</v>
      </c>
      <c r="J38" s="93" t="s">
        <v>38</v>
      </c>
      <c r="K38" s="93" t="s">
        <v>161</v>
      </c>
      <c r="L38" s="93">
        <v>1</v>
      </c>
      <c r="N38" s="93">
        <v>4</v>
      </c>
      <c r="O38" s="93">
        <v>0.25</v>
      </c>
      <c r="P38" s="93">
        <v>0.25</v>
      </c>
      <c r="Q38" s="102">
        <f t="shared" si="0"/>
        <v>0.25</v>
      </c>
      <c r="R38" s="93">
        <v>16.8</v>
      </c>
      <c r="S38" s="93">
        <v>100</v>
      </c>
      <c r="T38" s="103">
        <f t="shared" si="1"/>
        <v>33</v>
      </c>
      <c r="U38" s="93">
        <v>480</v>
      </c>
      <c r="V38" s="104">
        <f t="shared" si="2"/>
        <v>3960</v>
      </c>
      <c r="W38" s="93">
        <v>11</v>
      </c>
      <c r="X38" s="93" t="s">
        <v>46</v>
      </c>
      <c r="Y38" s="93" t="s">
        <v>102</v>
      </c>
      <c r="Z38" s="93" t="s">
        <v>78</v>
      </c>
      <c r="AA38" s="93" t="s">
        <v>69</v>
      </c>
      <c r="AB38" s="93" t="s">
        <v>158</v>
      </c>
    </row>
    <row r="39" spans="1:28" x14ac:dyDescent="0.15">
      <c r="A39" s="93" t="s">
        <v>51</v>
      </c>
      <c r="B39" s="93" t="s">
        <v>157</v>
      </c>
      <c r="C39" s="93">
        <v>2019</v>
      </c>
      <c r="D39" s="101" t="s">
        <v>263</v>
      </c>
      <c r="E39" s="93" t="s">
        <v>274</v>
      </c>
      <c r="F39" s="93" t="s">
        <v>266</v>
      </c>
      <c r="G39" s="93" t="s">
        <v>42</v>
      </c>
      <c r="H39" s="93" t="s">
        <v>160</v>
      </c>
      <c r="I39" s="93" t="s">
        <v>159</v>
      </c>
      <c r="J39" s="93" t="s">
        <v>38</v>
      </c>
      <c r="K39" s="93" t="s">
        <v>161</v>
      </c>
      <c r="L39" s="93">
        <v>2</v>
      </c>
      <c r="N39" s="93">
        <v>4</v>
      </c>
      <c r="O39" s="93">
        <v>0.5</v>
      </c>
      <c r="P39" s="93">
        <v>0.25</v>
      </c>
      <c r="Q39" s="102">
        <f t="shared" si="0"/>
        <v>0.375</v>
      </c>
      <c r="R39" s="93">
        <v>15.5</v>
      </c>
      <c r="S39" s="93">
        <v>102</v>
      </c>
      <c r="T39" s="103">
        <f t="shared" si="1"/>
        <v>33</v>
      </c>
      <c r="U39" s="93">
        <v>480</v>
      </c>
      <c r="V39" s="104">
        <f t="shared" si="2"/>
        <v>3960</v>
      </c>
      <c r="W39" s="93">
        <v>11</v>
      </c>
      <c r="X39" s="93" t="s">
        <v>46</v>
      </c>
      <c r="Y39" s="93" t="s">
        <v>102</v>
      </c>
      <c r="Z39" s="93" t="s">
        <v>78</v>
      </c>
      <c r="AA39" s="93" t="s">
        <v>69</v>
      </c>
      <c r="AB39" s="93" t="s">
        <v>158</v>
      </c>
    </row>
    <row r="40" spans="1:28" x14ac:dyDescent="0.15">
      <c r="A40" s="93" t="s">
        <v>51</v>
      </c>
      <c r="B40" s="93" t="s">
        <v>157</v>
      </c>
      <c r="C40" s="93">
        <v>2019</v>
      </c>
      <c r="D40" s="101" t="s">
        <v>263</v>
      </c>
      <c r="E40" s="93" t="s">
        <v>274</v>
      </c>
      <c r="F40" s="93" t="s">
        <v>266</v>
      </c>
      <c r="G40" s="93" t="s">
        <v>42</v>
      </c>
      <c r="H40" s="93" t="s">
        <v>160</v>
      </c>
      <c r="I40" s="93" t="s">
        <v>159</v>
      </c>
      <c r="J40" s="93" t="s">
        <v>38</v>
      </c>
      <c r="K40" s="93" t="s">
        <v>161</v>
      </c>
      <c r="L40" s="93">
        <v>3</v>
      </c>
      <c r="N40" s="93">
        <v>4</v>
      </c>
      <c r="O40" s="93">
        <v>0.65</v>
      </c>
      <c r="P40" s="93">
        <v>0.6</v>
      </c>
      <c r="Q40" s="102">
        <f t="shared" si="0"/>
        <v>0.625</v>
      </c>
      <c r="R40" s="93">
        <v>17.600000000000001</v>
      </c>
      <c r="S40" s="93">
        <v>100</v>
      </c>
      <c r="T40" s="103">
        <f t="shared" si="1"/>
        <v>33</v>
      </c>
      <c r="U40" s="93">
        <v>480</v>
      </c>
      <c r="V40" s="104">
        <f t="shared" si="2"/>
        <v>3960</v>
      </c>
      <c r="W40" s="93">
        <v>11</v>
      </c>
      <c r="X40" s="93" t="s">
        <v>46</v>
      </c>
      <c r="Y40" s="93" t="s">
        <v>102</v>
      </c>
      <c r="Z40" s="93" t="s">
        <v>78</v>
      </c>
      <c r="AA40" s="93" t="s">
        <v>69</v>
      </c>
      <c r="AB40" s="93" t="s">
        <v>158</v>
      </c>
    </row>
    <row r="41" spans="1:28" x14ac:dyDescent="0.15">
      <c r="A41" s="93" t="s">
        <v>51</v>
      </c>
      <c r="B41" s="93" t="s">
        <v>157</v>
      </c>
      <c r="C41" s="93">
        <v>2019</v>
      </c>
      <c r="D41" s="101" t="s">
        <v>263</v>
      </c>
      <c r="E41" s="93" t="s">
        <v>269</v>
      </c>
      <c r="F41" s="93" t="s">
        <v>270</v>
      </c>
      <c r="G41" s="93" t="s">
        <v>42</v>
      </c>
      <c r="H41" s="93" t="s">
        <v>164</v>
      </c>
      <c r="I41" s="93" t="s">
        <v>159</v>
      </c>
      <c r="J41" s="93" t="s">
        <v>38</v>
      </c>
      <c r="K41" s="93" t="s">
        <v>161</v>
      </c>
      <c r="L41" s="93">
        <v>1</v>
      </c>
      <c r="N41" s="93">
        <v>1</v>
      </c>
      <c r="O41" s="93">
        <v>0.75</v>
      </c>
      <c r="P41" s="93">
        <v>0.8</v>
      </c>
      <c r="Q41" s="102">
        <f t="shared" si="0"/>
        <v>0.77500000000000002</v>
      </c>
      <c r="R41" s="93">
        <v>16.2</v>
      </c>
      <c r="S41" s="93">
        <v>132</v>
      </c>
      <c r="T41" s="103">
        <f t="shared" si="1"/>
        <v>25</v>
      </c>
      <c r="U41" s="93">
        <v>99</v>
      </c>
      <c r="V41" s="104">
        <f t="shared" si="2"/>
        <v>2475</v>
      </c>
      <c r="W41" s="93">
        <v>2</v>
      </c>
      <c r="X41" s="93" t="s">
        <v>46</v>
      </c>
      <c r="Y41" s="93" t="s">
        <v>102</v>
      </c>
      <c r="Z41" s="93" t="s">
        <v>69</v>
      </c>
      <c r="AA41" s="93" t="s">
        <v>97</v>
      </c>
      <c r="AB41" s="93" t="s">
        <v>158</v>
      </c>
    </row>
    <row r="42" spans="1:28" x14ac:dyDescent="0.15">
      <c r="A42" s="93" t="s">
        <v>51</v>
      </c>
      <c r="B42" s="93" t="s">
        <v>157</v>
      </c>
      <c r="C42" s="93">
        <v>2019</v>
      </c>
      <c r="D42" s="101" t="s">
        <v>263</v>
      </c>
      <c r="E42" s="93" t="s">
        <v>269</v>
      </c>
      <c r="F42" s="93" t="s">
        <v>270</v>
      </c>
      <c r="G42" s="93" t="s">
        <v>42</v>
      </c>
      <c r="H42" s="93" t="s">
        <v>164</v>
      </c>
      <c r="I42" s="93" t="s">
        <v>159</v>
      </c>
      <c r="J42" s="93" t="s">
        <v>38</v>
      </c>
      <c r="K42" s="93" t="s">
        <v>161</v>
      </c>
      <c r="L42" s="93">
        <v>2</v>
      </c>
      <c r="N42" s="93">
        <v>1</v>
      </c>
      <c r="O42" s="93">
        <v>0.85</v>
      </c>
      <c r="P42" s="93">
        <v>0.75</v>
      </c>
      <c r="Q42" s="102">
        <f t="shared" si="0"/>
        <v>0.8</v>
      </c>
      <c r="R42" s="93">
        <v>15.8</v>
      </c>
      <c r="S42" s="93">
        <v>132</v>
      </c>
      <c r="T42" s="103">
        <f t="shared" si="1"/>
        <v>25</v>
      </c>
      <c r="U42" s="93">
        <v>99</v>
      </c>
      <c r="V42" s="104">
        <f t="shared" si="2"/>
        <v>2475</v>
      </c>
      <c r="W42" s="93">
        <v>2</v>
      </c>
      <c r="X42" s="93" t="s">
        <v>46</v>
      </c>
      <c r="Y42" s="93" t="s">
        <v>102</v>
      </c>
      <c r="Z42" s="93" t="s">
        <v>69</v>
      </c>
      <c r="AA42" s="93" t="s">
        <v>97</v>
      </c>
      <c r="AB42" s="93" t="s">
        <v>158</v>
      </c>
    </row>
    <row r="43" spans="1:28" x14ac:dyDescent="0.15">
      <c r="A43" s="93" t="s">
        <v>51</v>
      </c>
      <c r="B43" s="93" t="s">
        <v>157</v>
      </c>
      <c r="C43" s="93">
        <v>2019</v>
      </c>
      <c r="D43" s="101" t="s">
        <v>263</v>
      </c>
      <c r="E43" s="93" t="s">
        <v>269</v>
      </c>
      <c r="F43" s="93" t="s">
        <v>270</v>
      </c>
      <c r="G43" s="93" t="s">
        <v>42</v>
      </c>
      <c r="H43" s="93" t="s">
        <v>164</v>
      </c>
      <c r="I43" s="93" t="s">
        <v>159</v>
      </c>
      <c r="J43" s="93" t="s">
        <v>38</v>
      </c>
      <c r="K43" s="93" t="s">
        <v>161</v>
      </c>
      <c r="L43" s="93">
        <v>3</v>
      </c>
      <c r="N43" s="93">
        <v>1</v>
      </c>
      <c r="O43" s="93">
        <v>0.7</v>
      </c>
      <c r="P43" s="93">
        <v>0.7</v>
      </c>
      <c r="Q43" s="102">
        <f t="shared" si="0"/>
        <v>0.7</v>
      </c>
      <c r="R43" s="93">
        <v>16.5</v>
      </c>
      <c r="S43" s="93">
        <v>132</v>
      </c>
      <c r="T43" s="103">
        <f t="shared" si="1"/>
        <v>25</v>
      </c>
      <c r="U43" s="93">
        <v>99</v>
      </c>
      <c r="V43" s="104">
        <f t="shared" si="2"/>
        <v>2475</v>
      </c>
      <c r="W43" s="93">
        <v>2</v>
      </c>
      <c r="X43" s="93" t="s">
        <v>46</v>
      </c>
      <c r="Y43" s="93" t="s">
        <v>102</v>
      </c>
      <c r="Z43" s="93" t="s">
        <v>69</v>
      </c>
      <c r="AA43" s="93" t="s">
        <v>97</v>
      </c>
      <c r="AB43" s="93" t="s">
        <v>158</v>
      </c>
    </row>
    <row r="44" spans="1:28" x14ac:dyDescent="0.15">
      <c r="A44" s="93" t="s">
        <v>51</v>
      </c>
      <c r="B44" s="93" t="s">
        <v>157</v>
      </c>
      <c r="C44" s="93">
        <v>2019</v>
      </c>
      <c r="D44" s="101" t="s">
        <v>263</v>
      </c>
      <c r="E44" s="93" t="s">
        <v>269</v>
      </c>
      <c r="F44" s="93" t="s">
        <v>270</v>
      </c>
      <c r="G44" s="93" t="s">
        <v>42</v>
      </c>
      <c r="H44" s="93" t="s">
        <v>160</v>
      </c>
      <c r="I44" s="93" t="s">
        <v>159</v>
      </c>
      <c r="J44" s="93" t="s">
        <v>38</v>
      </c>
      <c r="K44" s="93" t="s">
        <v>161</v>
      </c>
      <c r="L44" s="93">
        <v>1</v>
      </c>
      <c r="N44" s="93">
        <v>1</v>
      </c>
      <c r="O44" s="93">
        <v>0.75</v>
      </c>
      <c r="P44" s="93">
        <v>0.8</v>
      </c>
      <c r="Q44" s="102">
        <f t="shared" si="0"/>
        <v>0.77500000000000002</v>
      </c>
      <c r="R44" s="93">
        <v>15.5</v>
      </c>
      <c r="S44" s="93">
        <v>136</v>
      </c>
      <c r="T44" s="103">
        <f t="shared" si="1"/>
        <v>25</v>
      </c>
      <c r="U44" s="93">
        <v>99</v>
      </c>
      <c r="V44" s="104">
        <f t="shared" si="2"/>
        <v>2475</v>
      </c>
      <c r="W44" s="93">
        <v>2</v>
      </c>
      <c r="X44" s="93" t="s">
        <v>46</v>
      </c>
      <c r="Y44" s="93" t="s">
        <v>102</v>
      </c>
      <c r="Z44" s="93" t="s">
        <v>78</v>
      </c>
      <c r="AA44" s="93" t="s">
        <v>69</v>
      </c>
      <c r="AB44" s="93" t="s">
        <v>158</v>
      </c>
    </row>
    <row r="45" spans="1:28" x14ac:dyDescent="0.15">
      <c r="A45" s="93" t="s">
        <v>51</v>
      </c>
      <c r="B45" s="93" t="s">
        <v>157</v>
      </c>
      <c r="C45" s="93">
        <v>2019</v>
      </c>
      <c r="D45" s="101" t="s">
        <v>263</v>
      </c>
      <c r="E45" s="93" t="s">
        <v>269</v>
      </c>
      <c r="F45" s="93" t="s">
        <v>270</v>
      </c>
      <c r="G45" s="93" t="s">
        <v>42</v>
      </c>
      <c r="H45" s="93" t="s">
        <v>160</v>
      </c>
      <c r="I45" s="93" t="s">
        <v>159</v>
      </c>
      <c r="J45" s="93" t="s">
        <v>38</v>
      </c>
      <c r="K45" s="93" t="s">
        <v>161</v>
      </c>
      <c r="L45" s="93">
        <v>2</v>
      </c>
      <c r="N45" s="93">
        <v>1</v>
      </c>
      <c r="O45" s="93">
        <v>0.8</v>
      </c>
      <c r="P45" s="93">
        <v>0.7</v>
      </c>
      <c r="Q45" s="102">
        <f t="shared" si="0"/>
        <v>0.75</v>
      </c>
      <c r="R45" s="93">
        <v>15.8</v>
      </c>
      <c r="S45" s="93">
        <v>138</v>
      </c>
      <c r="T45" s="103">
        <f t="shared" si="1"/>
        <v>22</v>
      </c>
      <c r="U45" s="93">
        <v>99</v>
      </c>
      <c r="V45" s="104">
        <f t="shared" si="2"/>
        <v>2178</v>
      </c>
      <c r="W45" s="93">
        <v>2</v>
      </c>
      <c r="X45" s="93" t="s">
        <v>46</v>
      </c>
      <c r="Y45" s="93" t="s">
        <v>102</v>
      </c>
      <c r="Z45" s="93" t="s">
        <v>78</v>
      </c>
      <c r="AA45" s="93" t="s">
        <v>69</v>
      </c>
      <c r="AB45" s="93" t="s">
        <v>158</v>
      </c>
    </row>
    <row r="46" spans="1:28" x14ac:dyDescent="0.15">
      <c r="A46" s="93" t="s">
        <v>51</v>
      </c>
      <c r="B46" s="93" t="s">
        <v>157</v>
      </c>
      <c r="C46" s="93">
        <v>2019</v>
      </c>
      <c r="D46" s="101" t="s">
        <v>263</v>
      </c>
      <c r="E46" s="93" t="s">
        <v>269</v>
      </c>
      <c r="F46" s="93" t="s">
        <v>270</v>
      </c>
      <c r="G46" s="93" t="s">
        <v>42</v>
      </c>
      <c r="H46" s="93" t="s">
        <v>160</v>
      </c>
      <c r="I46" s="93" t="s">
        <v>159</v>
      </c>
      <c r="J46" s="93" t="s">
        <v>38</v>
      </c>
      <c r="K46" s="93" t="s">
        <v>161</v>
      </c>
      <c r="L46" s="93">
        <v>3</v>
      </c>
      <c r="N46" s="93">
        <v>1</v>
      </c>
      <c r="O46" s="93">
        <v>0.7</v>
      </c>
      <c r="P46" s="93">
        <v>0.85</v>
      </c>
      <c r="Q46" s="102">
        <f t="shared" si="0"/>
        <v>0.77499999999999991</v>
      </c>
      <c r="R46" s="93">
        <v>15.3</v>
      </c>
      <c r="S46" s="93">
        <v>136</v>
      </c>
      <c r="T46" s="103">
        <f t="shared" si="1"/>
        <v>25</v>
      </c>
      <c r="U46" s="93">
        <v>99</v>
      </c>
      <c r="V46" s="104">
        <f t="shared" si="2"/>
        <v>2475</v>
      </c>
      <c r="W46" s="93">
        <v>2</v>
      </c>
      <c r="X46" s="93" t="s">
        <v>46</v>
      </c>
      <c r="Y46" s="93" t="s">
        <v>102</v>
      </c>
      <c r="Z46" s="93" t="s">
        <v>78</v>
      </c>
      <c r="AA46" s="93" t="s">
        <v>69</v>
      </c>
      <c r="AB46" s="93" t="s">
        <v>158</v>
      </c>
    </row>
    <row r="47" spans="1:28" x14ac:dyDescent="0.15">
      <c r="A47" s="93" t="s">
        <v>51</v>
      </c>
      <c r="B47" s="93" t="s">
        <v>157</v>
      </c>
      <c r="C47" s="93">
        <v>2019</v>
      </c>
      <c r="D47" s="101" t="s">
        <v>263</v>
      </c>
      <c r="E47" s="93" t="s">
        <v>271</v>
      </c>
      <c r="F47" s="93" t="s">
        <v>265</v>
      </c>
      <c r="G47" s="93" t="s">
        <v>36</v>
      </c>
      <c r="H47" s="93" t="s">
        <v>164</v>
      </c>
      <c r="I47" s="93" t="s">
        <v>159</v>
      </c>
      <c r="J47" s="93" t="s">
        <v>38</v>
      </c>
      <c r="K47" s="93" t="s">
        <v>161</v>
      </c>
      <c r="L47" s="93">
        <v>1</v>
      </c>
      <c r="N47" s="93">
        <v>1</v>
      </c>
      <c r="O47" s="93">
        <v>0.9</v>
      </c>
      <c r="P47" s="93">
        <v>0.85</v>
      </c>
      <c r="Q47" s="102">
        <f t="shared" si="0"/>
        <v>0.875</v>
      </c>
      <c r="R47" s="93">
        <v>16.600000000000001</v>
      </c>
      <c r="S47" s="93">
        <v>114</v>
      </c>
      <c r="T47" s="103">
        <f t="shared" si="1"/>
        <v>30</v>
      </c>
      <c r="U47" s="93">
        <v>100</v>
      </c>
      <c r="V47" s="104">
        <f t="shared" si="2"/>
        <v>3000</v>
      </c>
      <c r="W47" s="93">
        <v>3</v>
      </c>
      <c r="X47" s="93" t="s">
        <v>46</v>
      </c>
      <c r="Y47" s="93" t="s">
        <v>102</v>
      </c>
      <c r="Z47" s="93" t="s">
        <v>78</v>
      </c>
      <c r="AA47" s="93" t="s">
        <v>69</v>
      </c>
      <c r="AB47" s="93" t="s">
        <v>158</v>
      </c>
    </row>
    <row r="48" spans="1:28" x14ac:dyDescent="0.15">
      <c r="A48" s="93" t="s">
        <v>51</v>
      </c>
      <c r="B48" s="93" t="s">
        <v>157</v>
      </c>
      <c r="C48" s="93">
        <v>2019</v>
      </c>
      <c r="D48" s="101" t="s">
        <v>263</v>
      </c>
      <c r="E48" s="93" t="s">
        <v>271</v>
      </c>
      <c r="F48" s="93" t="s">
        <v>265</v>
      </c>
      <c r="G48" s="93" t="s">
        <v>36</v>
      </c>
      <c r="H48" s="93" t="s">
        <v>164</v>
      </c>
      <c r="I48" s="93" t="s">
        <v>159</v>
      </c>
      <c r="J48" s="93" t="s">
        <v>38</v>
      </c>
      <c r="K48" s="93" t="s">
        <v>161</v>
      </c>
      <c r="L48" s="93">
        <v>2</v>
      </c>
      <c r="N48" s="93">
        <v>1</v>
      </c>
      <c r="O48" s="93">
        <v>1</v>
      </c>
      <c r="P48" s="93">
        <v>1</v>
      </c>
      <c r="Q48" s="102">
        <f t="shared" si="0"/>
        <v>1</v>
      </c>
      <c r="R48" s="93">
        <v>16.899999999999999</v>
      </c>
      <c r="S48" s="93">
        <v>122</v>
      </c>
      <c r="T48" s="103">
        <f t="shared" si="1"/>
        <v>27</v>
      </c>
      <c r="U48" s="93">
        <v>100</v>
      </c>
      <c r="V48" s="104">
        <f t="shared" si="2"/>
        <v>2700</v>
      </c>
      <c r="W48" s="93">
        <v>3</v>
      </c>
      <c r="X48" s="93" t="s">
        <v>46</v>
      </c>
      <c r="Y48" s="93" t="s">
        <v>102</v>
      </c>
      <c r="Z48" s="93" t="s">
        <v>78</v>
      </c>
      <c r="AA48" s="93" t="s">
        <v>69</v>
      </c>
      <c r="AB48" s="93" t="s">
        <v>158</v>
      </c>
    </row>
    <row r="49" spans="1:28" x14ac:dyDescent="0.15">
      <c r="A49" s="93" t="s">
        <v>51</v>
      </c>
      <c r="B49" s="93" t="s">
        <v>157</v>
      </c>
      <c r="C49" s="93">
        <v>2019</v>
      </c>
      <c r="D49" s="101" t="s">
        <v>263</v>
      </c>
      <c r="E49" s="93" t="s">
        <v>271</v>
      </c>
      <c r="F49" s="93" t="s">
        <v>265</v>
      </c>
      <c r="G49" s="93" t="s">
        <v>36</v>
      </c>
      <c r="H49" s="93" t="s">
        <v>164</v>
      </c>
      <c r="I49" s="93" t="s">
        <v>159</v>
      </c>
      <c r="J49" s="93" t="s">
        <v>38</v>
      </c>
      <c r="K49" s="93" t="s">
        <v>161</v>
      </c>
      <c r="L49" s="93">
        <v>3</v>
      </c>
      <c r="N49" s="93">
        <v>1</v>
      </c>
      <c r="O49" s="93">
        <v>0.95</v>
      </c>
      <c r="P49" s="93">
        <v>1.05</v>
      </c>
      <c r="Q49" s="102">
        <f t="shared" si="0"/>
        <v>1</v>
      </c>
      <c r="R49" s="93">
        <v>16.399999999999999</v>
      </c>
      <c r="S49" s="93">
        <v>112</v>
      </c>
      <c r="T49" s="103">
        <f t="shared" si="1"/>
        <v>33</v>
      </c>
      <c r="U49" s="93">
        <v>100</v>
      </c>
      <c r="V49" s="104">
        <f t="shared" si="2"/>
        <v>3300</v>
      </c>
      <c r="W49" s="93">
        <v>3</v>
      </c>
      <c r="X49" s="93" t="s">
        <v>46</v>
      </c>
      <c r="Y49" s="93" t="s">
        <v>102</v>
      </c>
      <c r="Z49" s="93" t="s">
        <v>78</v>
      </c>
      <c r="AA49" s="93" t="s">
        <v>69</v>
      </c>
      <c r="AB49" s="93" t="s">
        <v>158</v>
      </c>
    </row>
    <row r="50" spans="1:28" x14ac:dyDescent="0.15">
      <c r="A50" s="93" t="s">
        <v>51</v>
      </c>
      <c r="B50" s="93" t="s">
        <v>157</v>
      </c>
      <c r="C50" s="93">
        <v>2019</v>
      </c>
      <c r="D50" s="101" t="s">
        <v>263</v>
      </c>
      <c r="E50" s="93" t="s">
        <v>271</v>
      </c>
      <c r="F50" s="93" t="s">
        <v>265</v>
      </c>
      <c r="G50" s="93" t="s">
        <v>36</v>
      </c>
      <c r="H50" s="93" t="s">
        <v>160</v>
      </c>
      <c r="I50" s="93" t="s">
        <v>159</v>
      </c>
      <c r="J50" s="93" t="s">
        <v>38</v>
      </c>
      <c r="K50" s="93" t="s">
        <v>161</v>
      </c>
      <c r="L50" s="93">
        <v>1</v>
      </c>
      <c r="N50" s="93">
        <v>4</v>
      </c>
      <c r="O50" s="93">
        <v>0.5</v>
      </c>
      <c r="P50" s="93">
        <v>0.25</v>
      </c>
      <c r="Q50" s="102">
        <f t="shared" si="0"/>
        <v>0.375</v>
      </c>
      <c r="R50" s="93">
        <v>17.100000000000001</v>
      </c>
      <c r="S50" s="93">
        <v>106</v>
      </c>
      <c r="T50" s="103">
        <f t="shared" si="1"/>
        <v>33</v>
      </c>
      <c r="U50" s="93">
        <v>498</v>
      </c>
      <c r="V50" s="104">
        <f t="shared" si="2"/>
        <v>4108.5</v>
      </c>
      <c r="W50" s="93">
        <v>3</v>
      </c>
      <c r="X50" s="93" t="s">
        <v>46</v>
      </c>
      <c r="Y50" s="93" t="s">
        <v>102</v>
      </c>
      <c r="Z50" s="93" t="s">
        <v>69</v>
      </c>
      <c r="AA50" s="93" t="s">
        <v>88</v>
      </c>
      <c r="AB50" s="93" t="s">
        <v>158</v>
      </c>
    </row>
    <row r="51" spans="1:28" x14ac:dyDescent="0.15">
      <c r="A51" s="93" t="s">
        <v>51</v>
      </c>
      <c r="B51" s="93" t="s">
        <v>157</v>
      </c>
      <c r="C51" s="93">
        <v>2019</v>
      </c>
      <c r="D51" s="101" t="s">
        <v>263</v>
      </c>
      <c r="E51" s="93" t="s">
        <v>271</v>
      </c>
      <c r="F51" s="93" t="s">
        <v>265</v>
      </c>
      <c r="G51" s="93" t="s">
        <v>36</v>
      </c>
      <c r="H51" s="93" t="s">
        <v>160</v>
      </c>
      <c r="I51" s="93" t="s">
        <v>159</v>
      </c>
      <c r="J51" s="93" t="s">
        <v>38</v>
      </c>
      <c r="K51" s="93" t="s">
        <v>161</v>
      </c>
      <c r="L51" s="93">
        <v>2</v>
      </c>
      <c r="N51" s="93">
        <v>4</v>
      </c>
      <c r="O51" s="93">
        <v>0.6</v>
      </c>
      <c r="P51" s="93">
        <v>0.65</v>
      </c>
      <c r="Q51" s="102">
        <f t="shared" si="0"/>
        <v>0.625</v>
      </c>
      <c r="R51" s="93">
        <v>16.3</v>
      </c>
      <c r="S51" s="93">
        <v>94</v>
      </c>
      <c r="T51" s="103">
        <f t="shared" si="1"/>
        <v>36</v>
      </c>
      <c r="U51" s="93">
        <v>498</v>
      </c>
      <c r="V51" s="104">
        <f t="shared" si="2"/>
        <v>4482</v>
      </c>
      <c r="W51" s="93">
        <v>3</v>
      </c>
      <c r="X51" s="93" t="s">
        <v>46</v>
      </c>
      <c r="Y51" s="93" t="s">
        <v>102</v>
      </c>
      <c r="Z51" s="93" t="s">
        <v>69</v>
      </c>
      <c r="AA51" s="93" t="s">
        <v>88</v>
      </c>
      <c r="AB51" s="93" t="s">
        <v>158</v>
      </c>
    </row>
    <row r="52" spans="1:28" x14ac:dyDescent="0.15">
      <c r="A52" s="93" t="s">
        <v>51</v>
      </c>
      <c r="B52" s="93" t="s">
        <v>157</v>
      </c>
      <c r="C52" s="93">
        <v>2019</v>
      </c>
      <c r="D52" s="101" t="s">
        <v>263</v>
      </c>
      <c r="E52" s="93" t="s">
        <v>271</v>
      </c>
      <c r="F52" s="93" t="s">
        <v>265</v>
      </c>
      <c r="G52" s="93" t="s">
        <v>36</v>
      </c>
      <c r="H52" s="93" t="s">
        <v>160</v>
      </c>
      <c r="I52" s="93" t="s">
        <v>159</v>
      </c>
      <c r="J52" s="93" t="s">
        <v>38</v>
      </c>
      <c r="K52" s="93" t="s">
        <v>161</v>
      </c>
      <c r="L52" s="93">
        <v>3</v>
      </c>
      <c r="N52" s="93">
        <v>4</v>
      </c>
      <c r="O52" s="93">
        <v>0.65</v>
      </c>
      <c r="P52" s="93">
        <v>0.7</v>
      </c>
      <c r="Q52" s="102">
        <f t="shared" si="0"/>
        <v>0.67500000000000004</v>
      </c>
      <c r="R52" s="93">
        <v>16.5</v>
      </c>
      <c r="S52" s="93">
        <v>96</v>
      </c>
      <c r="T52" s="103">
        <f t="shared" si="1"/>
        <v>36</v>
      </c>
      <c r="U52" s="93">
        <v>498</v>
      </c>
      <c r="V52" s="104">
        <f t="shared" si="2"/>
        <v>4482</v>
      </c>
      <c r="W52" s="93">
        <v>3</v>
      </c>
      <c r="X52" s="93" t="s">
        <v>46</v>
      </c>
      <c r="Y52" s="93" t="s">
        <v>102</v>
      </c>
      <c r="Z52" s="93" t="s">
        <v>69</v>
      </c>
      <c r="AA52" s="93" t="s">
        <v>88</v>
      </c>
      <c r="AB52" s="93" t="s">
        <v>158</v>
      </c>
    </row>
    <row r="53" spans="1:28" x14ac:dyDescent="0.15">
      <c r="A53" s="93" t="s">
        <v>51</v>
      </c>
      <c r="B53" s="93" t="s">
        <v>157</v>
      </c>
      <c r="C53" s="93">
        <v>2019</v>
      </c>
      <c r="D53" s="101" t="s">
        <v>263</v>
      </c>
      <c r="E53" s="93" t="s">
        <v>275</v>
      </c>
      <c r="F53" s="93" t="s">
        <v>276</v>
      </c>
      <c r="G53" s="93" t="s">
        <v>36</v>
      </c>
      <c r="H53" s="93" t="s">
        <v>164</v>
      </c>
      <c r="I53" s="93" t="s">
        <v>159</v>
      </c>
      <c r="J53" s="93" t="s">
        <v>38</v>
      </c>
      <c r="K53" s="93" t="s">
        <v>161</v>
      </c>
      <c r="L53" s="93">
        <v>1</v>
      </c>
      <c r="N53" s="93">
        <v>1</v>
      </c>
      <c r="O53" s="93">
        <v>0.7</v>
      </c>
      <c r="P53" s="93">
        <v>0.75</v>
      </c>
      <c r="Q53" s="102">
        <f t="shared" si="0"/>
        <v>0.72499999999999998</v>
      </c>
      <c r="R53" s="93">
        <v>16.2</v>
      </c>
      <c r="S53" s="93">
        <v>136</v>
      </c>
      <c r="T53" s="103">
        <f t="shared" si="1"/>
        <v>25</v>
      </c>
      <c r="U53" s="93">
        <v>128</v>
      </c>
      <c r="V53" s="104">
        <f t="shared" si="2"/>
        <v>3200</v>
      </c>
      <c r="W53" s="93">
        <v>5</v>
      </c>
      <c r="X53" s="93" t="s">
        <v>46</v>
      </c>
      <c r="Y53" s="93" t="s">
        <v>102</v>
      </c>
      <c r="Z53" s="93" t="s">
        <v>78</v>
      </c>
      <c r="AA53" s="93" t="s">
        <v>69</v>
      </c>
      <c r="AB53" s="93" t="s">
        <v>158</v>
      </c>
    </row>
    <row r="54" spans="1:28" x14ac:dyDescent="0.15">
      <c r="A54" s="93" t="s">
        <v>51</v>
      </c>
      <c r="B54" s="93" t="s">
        <v>157</v>
      </c>
      <c r="C54" s="93">
        <v>2019</v>
      </c>
      <c r="D54" s="101" t="s">
        <v>263</v>
      </c>
      <c r="E54" s="93" t="s">
        <v>275</v>
      </c>
      <c r="F54" s="93" t="s">
        <v>276</v>
      </c>
      <c r="G54" s="93" t="s">
        <v>36</v>
      </c>
      <c r="H54" s="93" t="s">
        <v>164</v>
      </c>
      <c r="I54" s="93" t="s">
        <v>159</v>
      </c>
      <c r="J54" s="93" t="s">
        <v>38</v>
      </c>
      <c r="K54" s="93" t="s">
        <v>161</v>
      </c>
      <c r="L54" s="93">
        <v>2</v>
      </c>
      <c r="N54" s="93">
        <v>1</v>
      </c>
      <c r="O54" s="93">
        <v>0.75</v>
      </c>
      <c r="P54" s="93">
        <v>0.65</v>
      </c>
      <c r="Q54" s="102">
        <f t="shared" si="0"/>
        <v>0.7</v>
      </c>
      <c r="R54" s="93">
        <v>17.3</v>
      </c>
      <c r="S54" s="93">
        <v>146</v>
      </c>
      <c r="T54" s="103">
        <f t="shared" si="1"/>
        <v>22</v>
      </c>
      <c r="U54" s="93">
        <v>128</v>
      </c>
      <c r="V54" s="104">
        <f t="shared" si="2"/>
        <v>2816</v>
      </c>
      <c r="W54" s="93">
        <v>5</v>
      </c>
      <c r="X54" s="93" t="s">
        <v>46</v>
      </c>
      <c r="Y54" s="93" t="s">
        <v>102</v>
      </c>
      <c r="Z54" s="93" t="s">
        <v>78</v>
      </c>
      <c r="AA54" s="93" t="s">
        <v>69</v>
      </c>
      <c r="AB54" s="93" t="s">
        <v>158</v>
      </c>
    </row>
    <row r="55" spans="1:28" x14ac:dyDescent="0.15">
      <c r="A55" s="93" t="s">
        <v>51</v>
      </c>
      <c r="B55" s="93" t="s">
        <v>157</v>
      </c>
      <c r="C55" s="93">
        <v>2019</v>
      </c>
      <c r="D55" s="101" t="s">
        <v>263</v>
      </c>
      <c r="E55" s="93" t="s">
        <v>275</v>
      </c>
      <c r="F55" s="93" t="s">
        <v>276</v>
      </c>
      <c r="G55" s="93" t="s">
        <v>36</v>
      </c>
      <c r="H55" s="93" t="s">
        <v>164</v>
      </c>
      <c r="I55" s="93" t="s">
        <v>159</v>
      </c>
      <c r="J55" s="93" t="s">
        <v>38</v>
      </c>
      <c r="K55" s="93" t="s">
        <v>161</v>
      </c>
      <c r="L55" s="93">
        <v>3</v>
      </c>
      <c r="N55" s="93">
        <v>1</v>
      </c>
      <c r="O55" s="93">
        <v>0.7</v>
      </c>
      <c r="P55" s="93">
        <v>0.7</v>
      </c>
      <c r="Q55" s="102">
        <f t="shared" si="0"/>
        <v>0.7</v>
      </c>
      <c r="R55" s="93">
        <v>16.5</v>
      </c>
      <c r="S55" s="93">
        <v>142</v>
      </c>
      <c r="T55" s="103">
        <f t="shared" si="1"/>
        <v>22</v>
      </c>
      <c r="U55" s="93">
        <v>128</v>
      </c>
      <c r="V55" s="104">
        <f t="shared" si="2"/>
        <v>2816</v>
      </c>
      <c r="W55" s="93">
        <v>5</v>
      </c>
      <c r="X55" s="93" t="s">
        <v>46</v>
      </c>
      <c r="Y55" s="93" t="s">
        <v>102</v>
      </c>
      <c r="Z55" s="93" t="s">
        <v>78</v>
      </c>
      <c r="AA55" s="93" t="s">
        <v>69</v>
      </c>
      <c r="AB55" s="93" t="s">
        <v>158</v>
      </c>
    </row>
    <row r="56" spans="1:28" x14ac:dyDescent="0.15">
      <c r="A56" s="93" t="s">
        <v>51</v>
      </c>
      <c r="B56" s="93" t="s">
        <v>157</v>
      </c>
      <c r="C56" s="93">
        <v>2019</v>
      </c>
      <c r="D56" s="101" t="s">
        <v>263</v>
      </c>
      <c r="E56" s="93" t="s">
        <v>275</v>
      </c>
      <c r="F56" s="93" t="s">
        <v>276</v>
      </c>
      <c r="G56" s="93" t="s">
        <v>36</v>
      </c>
      <c r="H56" s="93" t="s">
        <v>160</v>
      </c>
      <c r="I56" s="93" t="s">
        <v>159</v>
      </c>
      <c r="J56" s="93" t="s">
        <v>38</v>
      </c>
      <c r="K56" s="93" t="s">
        <v>161</v>
      </c>
      <c r="L56" s="93">
        <v>1</v>
      </c>
      <c r="N56" s="93">
        <v>1</v>
      </c>
      <c r="O56" s="93">
        <v>0.75</v>
      </c>
      <c r="P56" s="93">
        <v>0.6</v>
      </c>
      <c r="Q56" s="102">
        <f t="shared" si="0"/>
        <v>0.67500000000000004</v>
      </c>
      <c r="R56" s="93">
        <v>15.4</v>
      </c>
      <c r="S56" s="93">
        <v>140</v>
      </c>
      <c r="T56" s="103">
        <f t="shared" si="1"/>
        <v>22</v>
      </c>
      <c r="U56" s="93">
        <v>128</v>
      </c>
      <c r="V56" s="104">
        <f t="shared" si="2"/>
        <v>2816</v>
      </c>
      <c r="W56" s="93">
        <v>5</v>
      </c>
      <c r="X56" s="93" t="s">
        <v>46</v>
      </c>
      <c r="Y56" s="93" t="s">
        <v>102</v>
      </c>
      <c r="Z56" s="93" t="s">
        <v>78</v>
      </c>
      <c r="AA56" s="93" t="s">
        <v>69</v>
      </c>
      <c r="AB56" s="93" t="s">
        <v>158</v>
      </c>
    </row>
    <row r="57" spans="1:28" x14ac:dyDescent="0.15">
      <c r="A57" s="93" t="s">
        <v>51</v>
      </c>
      <c r="B57" s="93" t="s">
        <v>157</v>
      </c>
      <c r="C57" s="93">
        <v>2019</v>
      </c>
      <c r="D57" s="101" t="s">
        <v>263</v>
      </c>
      <c r="E57" s="93" t="s">
        <v>275</v>
      </c>
      <c r="F57" s="93" t="s">
        <v>276</v>
      </c>
      <c r="G57" s="93" t="s">
        <v>36</v>
      </c>
      <c r="H57" s="93" t="s">
        <v>160</v>
      </c>
      <c r="I57" s="93" t="s">
        <v>159</v>
      </c>
      <c r="J57" s="93" t="s">
        <v>38</v>
      </c>
      <c r="K57" s="93" t="s">
        <v>161</v>
      </c>
      <c r="L57" s="93">
        <v>2</v>
      </c>
      <c r="N57" s="93">
        <v>1</v>
      </c>
      <c r="O57" s="93">
        <v>0.7</v>
      </c>
      <c r="P57" s="93">
        <v>0.7</v>
      </c>
      <c r="Q57" s="102">
        <f t="shared" si="0"/>
        <v>0.7</v>
      </c>
      <c r="R57" s="93">
        <v>15.6</v>
      </c>
      <c r="S57" s="93">
        <v>144</v>
      </c>
      <c r="T57" s="103">
        <f t="shared" si="1"/>
        <v>22</v>
      </c>
      <c r="U57" s="93">
        <v>128</v>
      </c>
      <c r="V57" s="104">
        <f t="shared" si="2"/>
        <v>2816</v>
      </c>
      <c r="W57" s="93">
        <v>5</v>
      </c>
      <c r="X57" s="93" t="s">
        <v>46</v>
      </c>
      <c r="Y57" s="93" t="s">
        <v>102</v>
      </c>
      <c r="Z57" s="93" t="s">
        <v>78</v>
      </c>
      <c r="AA57" s="93" t="s">
        <v>69</v>
      </c>
      <c r="AB57" s="93" t="s">
        <v>158</v>
      </c>
    </row>
    <row r="58" spans="1:28" x14ac:dyDescent="0.15">
      <c r="A58" s="93" t="s">
        <v>51</v>
      </c>
      <c r="B58" s="93" t="s">
        <v>157</v>
      </c>
      <c r="C58" s="93">
        <v>2019</v>
      </c>
      <c r="D58" s="101" t="s">
        <v>263</v>
      </c>
      <c r="E58" s="93" t="s">
        <v>275</v>
      </c>
      <c r="F58" s="93" t="s">
        <v>276</v>
      </c>
      <c r="G58" s="93" t="s">
        <v>36</v>
      </c>
      <c r="H58" s="93" t="s">
        <v>160</v>
      </c>
      <c r="I58" s="93" t="s">
        <v>159</v>
      </c>
      <c r="J58" s="93" t="s">
        <v>38</v>
      </c>
      <c r="K58" s="93" t="s">
        <v>161</v>
      </c>
      <c r="L58" s="93">
        <v>3</v>
      </c>
      <c r="N58" s="93">
        <v>1</v>
      </c>
      <c r="O58" s="93">
        <v>0.8</v>
      </c>
      <c r="P58" s="93">
        <v>0.75</v>
      </c>
      <c r="Q58" s="102">
        <f t="shared" si="0"/>
        <v>0.77500000000000002</v>
      </c>
      <c r="R58" s="93">
        <v>16.3</v>
      </c>
      <c r="S58" s="93">
        <v>148</v>
      </c>
      <c r="T58" s="103">
        <f t="shared" si="1"/>
        <v>22</v>
      </c>
      <c r="U58" s="93">
        <v>128</v>
      </c>
      <c r="V58" s="104">
        <f t="shared" si="2"/>
        <v>2816</v>
      </c>
      <c r="W58" s="93">
        <v>5</v>
      </c>
      <c r="X58" s="93" t="s">
        <v>46</v>
      </c>
      <c r="Y58" s="93" t="s">
        <v>102</v>
      </c>
      <c r="Z58" s="93" t="s">
        <v>78</v>
      </c>
      <c r="AA58" s="93" t="s">
        <v>69</v>
      </c>
      <c r="AB58" s="93" t="s">
        <v>158</v>
      </c>
    </row>
    <row r="59" spans="1:28" x14ac:dyDescent="0.15">
      <c r="A59" s="93" t="s">
        <v>51</v>
      </c>
      <c r="B59" s="93" t="s">
        <v>157</v>
      </c>
      <c r="C59" s="93">
        <v>2019</v>
      </c>
      <c r="D59" s="101" t="s">
        <v>263</v>
      </c>
      <c r="E59" s="93" t="s">
        <v>277</v>
      </c>
      <c r="F59" s="93" t="s">
        <v>265</v>
      </c>
      <c r="G59" s="93" t="s">
        <v>42</v>
      </c>
      <c r="H59" s="93" t="s">
        <v>164</v>
      </c>
      <c r="I59" s="93" t="s">
        <v>159</v>
      </c>
      <c r="J59" s="93" t="s">
        <v>38</v>
      </c>
      <c r="K59" s="93" t="s">
        <v>161</v>
      </c>
      <c r="L59" s="93">
        <v>1</v>
      </c>
      <c r="N59" s="93">
        <v>1</v>
      </c>
      <c r="O59" s="93">
        <v>0.9</v>
      </c>
      <c r="P59" s="93">
        <v>0.8</v>
      </c>
      <c r="Q59" s="102">
        <f t="shared" si="0"/>
        <v>0.85000000000000009</v>
      </c>
      <c r="R59" s="93">
        <v>17.5</v>
      </c>
      <c r="S59" s="93">
        <v>124</v>
      </c>
      <c r="T59" s="103">
        <f t="shared" si="1"/>
        <v>27</v>
      </c>
      <c r="U59" s="93">
        <v>98</v>
      </c>
      <c r="V59" s="104">
        <f t="shared" si="2"/>
        <v>2646</v>
      </c>
      <c r="W59" s="93">
        <v>6</v>
      </c>
      <c r="X59" s="93" t="s">
        <v>46</v>
      </c>
      <c r="Y59" s="93" t="s">
        <v>69</v>
      </c>
      <c r="Z59" s="93" t="s">
        <v>78</v>
      </c>
      <c r="AA59" s="93" t="s">
        <v>102</v>
      </c>
      <c r="AB59" s="93" t="s">
        <v>158</v>
      </c>
    </row>
    <row r="60" spans="1:28" x14ac:dyDescent="0.15">
      <c r="A60" s="93" t="s">
        <v>51</v>
      </c>
      <c r="B60" s="93" t="s">
        <v>157</v>
      </c>
      <c r="C60" s="93">
        <v>2019</v>
      </c>
      <c r="D60" s="101" t="s">
        <v>263</v>
      </c>
      <c r="E60" s="93" t="s">
        <v>277</v>
      </c>
      <c r="F60" s="93" t="s">
        <v>265</v>
      </c>
      <c r="G60" s="93" t="s">
        <v>42</v>
      </c>
      <c r="H60" s="93" t="s">
        <v>164</v>
      </c>
      <c r="I60" s="93" t="s">
        <v>159</v>
      </c>
      <c r="J60" s="93" t="s">
        <v>38</v>
      </c>
      <c r="K60" s="93" t="s">
        <v>161</v>
      </c>
      <c r="L60" s="93">
        <v>2</v>
      </c>
      <c r="N60" s="93">
        <v>1</v>
      </c>
      <c r="O60" s="93">
        <v>0.8</v>
      </c>
      <c r="P60" s="93">
        <v>0.8</v>
      </c>
      <c r="Q60" s="102">
        <f t="shared" si="0"/>
        <v>0.8</v>
      </c>
      <c r="R60" s="93">
        <v>18.600000000000001</v>
      </c>
      <c r="S60" s="93">
        <v>118</v>
      </c>
      <c r="T60" s="103">
        <f t="shared" si="1"/>
        <v>30</v>
      </c>
      <c r="U60" s="93">
        <v>98</v>
      </c>
      <c r="V60" s="104">
        <f t="shared" si="2"/>
        <v>2940</v>
      </c>
      <c r="W60" s="93">
        <v>6</v>
      </c>
      <c r="X60" s="93" t="s">
        <v>46</v>
      </c>
      <c r="Y60" s="93" t="s">
        <v>69</v>
      </c>
      <c r="Z60" s="93" t="s">
        <v>78</v>
      </c>
      <c r="AA60" s="93" t="s">
        <v>102</v>
      </c>
      <c r="AB60" s="93" t="s">
        <v>158</v>
      </c>
    </row>
    <row r="61" spans="1:28" x14ac:dyDescent="0.15">
      <c r="A61" s="93" t="s">
        <v>51</v>
      </c>
      <c r="B61" s="93" t="s">
        <v>157</v>
      </c>
      <c r="C61" s="93">
        <v>2019</v>
      </c>
      <c r="D61" s="101" t="s">
        <v>263</v>
      </c>
      <c r="E61" s="93" t="s">
        <v>277</v>
      </c>
      <c r="F61" s="93" t="s">
        <v>265</v>
      </c>
      <c r="G61" s="93" t="s">
        <v>42</v>
      </c>
      <c r="H61" s="93" t="s">
        <v>164</v>
      </c>
      <c r="I61" s="93" t="s">
        <v>159</v>
      </c>
      <c r="J61" s="93" t="s">
        <v>38</v>
      </c>
      <c r="K61" s="93" t="s">
        <v>161</v>
      </c>
      <c r="L61" s="93">
        <v>3</v>
      </c>
      <c r="N61" s="93">
        <v>1</v>
      </c>
      <c r="O61" s="93">
        <v>0.75</v>
      </c>
      <c r="P61" s="93">
        <v>0.7</v>
      </c>
      <c r="Q61" s="102">
        <f t="shared" si="0"/>
        <v>0.72499999999999998</v>
      </c>
      <c r="R61" s="93">
        <v>17.899999999999999</v>
      </c>
      <c r="S61" s="93">
        <v>122</v>
      </c>
      <c r="T61" s="103">
        <f t="shared" si="1"/>
        <v>27</v>
      </c>
      <c r="U61" s="93">
        <v>98</v>
      </c>
      <c r="V61" s="104">
        <f t="shared" si="2"/>
        <v>2646</v>
      </c>
      <c r="W61" s="93">
        <v>6</v>
      </c>
      <c r="X61" s="93" t="s">
        <v>46</v>
      </c>
      <c r="Y61" s="93" t="s">
        <v>69</v>
      </c>
      <c r="Z61" s="93" t="s">
        <v>78</v>
      </c>
      <c r="AA61" s="93" t="s">
        <v>102</v>
      </c>
      <c r="AB61" s="93" t="s">
        <v>158</v>
      </c>
    </row>
    <row r="62" spans="1:28" x14ac:dyDescent="0.15">
      <c r="A62" s="93" t="s">
        <v>51</v>
      </c>
      <c r="B62" s="93" t="s">
        <v>157</v>
      </c>
      <c r="C62" s="93">
        <v>2019</v>
      </c>
      <c r="D62" s="101" t="s">
        <v>263</v>
      </c>
      <c r="E62" s="93" t="s">
        <v>277</v>
      </c>
      <c r="F62" s="93" t="s">
        <v>265</v>
      </c>
      <c r="G62" s="93" t="s">
        <v>42</v>
      </c>
      <c r="H62" s="93" t="s">
        <v>160</v>
      </c>
      <c r="I62" s="93" t="s">
        <v>159</v>
      </c>
      <c r="J62" s="93" t="s">
        <v>38</v>
      </c>
      <c r="K62" s="93" t="s">
        <v>161</v>
      </c>
      <c r="L62" s="93">
        <v>1</v>
      </c>
      <c r="N62" s="93">
        <v>1</v>
      </c>
      <c r="O62" s="93">
        <v>0.5</v>
      </c>
      <c r="P62" s="93">
        <v>0.55000000000000004</v>
      </c>
      <c r="Q62" s="102">
        <f t="shared" si="0"/>
        <v>0.52500000000000002</v>
      </c>
      <c r="R62" s="93">
        <v>18</v>
      </c>
      <c r="S62" s="93">
        <v>126</v>
      </c>
      <c r="T62" s="103">
        <f t="shared" si="1"/>
        <v>27</v>
      </c>
      <c r="U62" s="93">
        <v>128</v>
      </c>
      <c r="V62" s="104">
        <f t="shared" si="2"/>
        <v>3456</v>
      </c>
      <c r="W62" s="93">
        <v>6</v>
      </c>
      <c r="X62" s="93" t="s">
        <v>46</v>
      </c>
      <c r="Y62" s="93" t="s">
        <v>69</v>
      </c>
      <c r="Z62" s="93" t="s">
        <v>78</v>
      </c>
      <c r="AA62" s="93" t="s">
        <v>102</v>
      </c>
      <c r="AB62" s="93" t="s">
        <v>158</v>
      </c>
    </row>
    <row r="63" spans="1:28" x14ac:dyDescent="0.15">
      <c r="A63" s="93" t="s">
        <v>51</v>
      </c>
      <c r="B63" s="93" t="s">
        <v>157</v>
      </c>
      <c r="C63" s="93">
        <v>2019</v>
      </c>
      <c r="D63" s="101" t="s">
        <v>263</v>
      </c>
      <c r="E63" s="93" t="s">
        <v>277</v>
      </c>
      <c r="F63" s="93" t="s">
        <v>265</v>
      </c>
      <c r="G63" s="93" t="s">
        <v>42</v>
      </c>
      <c r="H63" s="93" t="s">
        <v>160</v>
      </c>
      <c r="I63" s="93" t="s">
        <v>159</v>
      </c>
      <c r="J63" s="93" t="s">
        <v>38</v>
      </c>
      <c r="K63" s="93" t="s">
        <v>161</v>
      </c>
      <c r="L63" s="93">
        <v>2</v>
      </c>
      <c r="N63" s="93">
        <v>1</v>
      </c>
      <c r="O63" s="93">
        <v>0.7</v>
      </c>
      <c r="P63" s="93">
        <v>0.65</v>
      </c>
      <c r="Q63" s="102">
        <f t="shared" si="0"/>
        <v>0.67500000000000004</v>
      </c>
      <c r="R63" s="93">
        <v>16.5</v>
      </c>
      <c r="S63" s="93">
        <v>118</v>
      </c>
      <c r="T63" s="103">
        <f t="shared" si="1"/>
        <v>30</v>
      </c>
      <c r="U63" s="93">
        <v>128</v>
      </c>
      <c r="V63" s="104">
        <f t="shared" si="2"/>
        <v>3840</v>
      </c>
      <c r="W63" s="93">
        <v>6</v>
      </c>
      <c r="X63" s="93" t="s">
        <v>46</v>
      </c>
      <c r="Y63" s="93" t="s">
        <v>69</v>
      </c>
      <c r="Z63" s="93" t="s">
        <v>78</v>
      </c>
      <c r="AA63" s="93" t="s">
        <v>102</v>
      </c>
      <c r="AB63" s="93" t="s">
        <v>158</v>
      </c>
    </row>
    <row r="64" spans="1:28" x14ac:dyDescent="0.15">
      <c r="A64" s="93" t="s">
        <v>51</v>
      </c>
      <c r="B64" s="93" t="s">
        <v>157</v>
      </c>
      <c r="C64" s="93">
        <v>2019</v>
      </c>
      <c r="D64" s="101" t="s">
        <v>263</v>
      </c>
      <c r="E64" s="93" t="s">
        <v>277</v>
      </c>
      <c r="F64" s="93" t="s">
        <v>265</v>
      </c>
      <c r="G64" s="93" t="s">
        <v>42</v>
      </c>
      <c r="H64" s="93" t="s">
        <v>160</v>
      </c>
      <c r="I64" s="93" t="s">
        <v>159</v>
      </c>
      <c r="J64" s="93" t="s">
        <v>38</v>
      </c>
      <c r="K64" s="93" t="s">
        <v>161</v>
      </c>
      <c r="L64" s="93">
        <v>3</v>
      </c>
      <c r="N64" s="93">
        <v>1</v>
      </c>
      <c r="O64" s="93">
        <v>0.75</v>
      </c>
      <c r="P64" s="93">
        <v>0.75</v>
      </c>
      <c r="Q64" s="102">
        <f t="shared" si="0"/>
        <v>0.75</v>
      </c>
      <c r="R64" s="93">
        <v>17.7</v>
      </c>
      <c r="S64" s="93">
        <v>126</v>
      </c>
      <c r="T64" s="103">
        <f t="shared" si="1"/>
        <v>27</v>
      </c>
      <c r="U64" s="93">
        <v>128</v>
      </c>
      <c r="V64" s="104">
        <f t="shared" si="2"/>
        <v>3456</v>
      </c>
      <c r="W64" s="93">
        <v>6</v>
      </c>
      <c r="X64" s="93" t="s">
        <v>46</v>
      </c>
      <c r="Y64" s="93" t="s">
        <v>69</v>
      </c>
      <c r="Z64" s="93" t="s">
        <v>78</v>
      </c>
      <c r="AA64" s="93" t="s">
        <v>102</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03136F03-52B8-45F4-A76E-8C923B0067CF}">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AE46AE37-071F-4109-B870-21FF45AD2A4E}">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627A5040-73E4-45F7-80EF-724B3C43ED92}">
      <formula1>$AL$4:$AL$12</formula1>
    </dataValidation>
    <dataValidation type="list" allowBlank="1" showInputMessage="1" showErrorMessage="1" sqref="Y2:AA500" xr:uid="{EB5C1DD3-1BEA-4871-827A-3DB83AF754FF}">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D1BC0587-5AB9-46BC-A02E-E1CC5FB883F0}">
      <formula1>$AT$2:$AT$3</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738D182-E4CF-42B9-94D0-14A9E767867D}">
      <formula1>$AP$2:$AP$27</formula1>
    </dataValidation>
    <dataValidation type="list" allowBlank="1" showInputMessage="1" showErrorMessage="1" sqref="H2:H500" xr:uid="{9FD3928B-0602-42CD-A5AF-4E71A78E0647}">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49EF25E-939D-4F32-B457-C2E4B1291D06}">
      <formula1>$AH$2:$AH$11</formula1>
    </dataValidation>
    <dataValidation type="list" allowBlank="1" showInputMessage="1" showErrorMessage="1" sqref="K2:K89" xr:uid="{7FDE35C8-4D4C-4CB2-B1EA-9DBE1F9BCA92}">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BC399279-1829-41B3-AB08-1F2436DE8BE4}">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2DB03C03-1CCD-4E34-BD6D-C296C74D260F}"/>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AD0AD6C1-5DA8-4DC1-A152-B8848D9315ED}">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B989766F-3B22-449E-91CA-ABB41C1BDC8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141DBE77-CB89-4550-BC66-002BCCDB570C}">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4800A239-481D-49B4-934B-695DF8DC365C}">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8D52-89FE-46AF-9F71-677457194778}">
  <sheetPr>
    <pageSetUpPr fitToPage="1"/>
  </sheetPr>
  <dimension ref="A1:BA108"/>
  <sheetViews>
    <sheetView topLeftCell="A25" zoomScale="85" zoomScaleNormal="85" workbookViewId="0">
      <selection activeCell="C2" sqref="C2:C61"/>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234</v>
      </c>
      <c r="C2" s="127">
        <v>2019</v>
      </c>
      <c r="D2" s="128" t="s">
        <v>285</v>
      </c>
      <c r="E2" s="127" t="s">
        <v>286</v>
      </c>
      <c r="F2" s="127" t="s">
        <v>287</v>
      </c>
      <c r="G2" s="127" t="s">
        <v>42</v>
      </c>
      <c r="H2" s="53" t="s">
        <v>164</v>
      </c>
      <c r="I2" s="53" t="s">
        <v>159</v>
      </c>
      <c r="J2" s="127" t="s">
        <v>38</v>
      </c>
      <c r="K2" s="53" t="s">
        <v>161</v>
      </c>
      <c r="L2" s="53">
        <v>1</v>
      </c>
      <c r="M2" s="53"/>
      <c r="N2" s="53">
        <v>4</v>
      </c>
      <c r="O2" s="53">
        <v>0.85</v>
      </c>
      <c r="P2" s="53">
        <v>0.6</v>
      </c>
      <c r="Q2" s="75">
        <f t="shared" ref="Q2:Q65" si="0">IF(OR(O2="",P2=""),"",AVERAGE(O2,P2))</f>
        <v>0.72499999999999998</v>
      </c>
      <c r="R2" s="53">
        <v>17.5</v>
      </c>
      <c r="S2" s="53">
        <v>101</v>
      </c>
      <c r="T2" s="16">
        <f t="shared" ref="T2:T65" si="1">IF(H2="","",IF(OR(H2="GREEN",H2="GK"),IF(S2&gt;=$AX$2,VLOOKUP(S2,$AX$2:$AY$15,2,1),""),IF(S2&gt;=$AZ$2,VLOOKUP(S2,$AZ$2:$BA$15,2,1),"")))</f>
        <v>33</v>
      </c>
      <c r="U2" s="53">
        <v>350</v>
      </c>
      <c r="V2" s="129">
        <f t="shared" ref="V2:V65" si="2">IF(OR(N2="",U2="",T2=""),"",U2/N2*T2)</f>
        <v>2887.5</v>
      </c>
      <c r="W2" s="53">
        <v>4</v>
      </c>
      <c r="X2" s="127" t="s">
        <v>39</v>
      </c>
      <c r="Y2" s="53" t="s">
        <v>78</v>
      </c>
      <c r="Z2" s="53" t="s">
        <v>102</v>
      </c>
      <c r="AA2" s="53" t="s">
        <v>90</v>
      </c>
      <c r="AB2" s="127" t="s">
        <v>237</v>
      </c>
      <c r="AC2" s="34"/>
      <c r="AE2" s="64" t="s">
        <v>35</v>
      </c>
      <c r="AG2" s="49" t="s">
        <v>286</v>
      </c>
      <c r="AH2" s="49" t="s">
        <v>287</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234</v>
      </c>
      <c r="C3" s="127">
        <v>2019</v>
      </c>
      <c r="D3" s="128" t="s">
        <v>285</v>
      </c>
      <c r="E3" s="127" t="s">
        <v>286</v>
      </c>
      <c r="F3" s="127" t="s">
        <v>287</v>
      </c>
      <c r="G3" s="127" t="s">
        <v>42</v>
      </c>
      <c r="H3" s="53" t="s">
        <v>164</v>
      </c>
      <c r="I3" s="53" t="s">
        <v>159</v>
      </c>
      <c r="J3" s="127" t="s">
        <v>38</v>
      </c>
      <c r="K3" s="53" t="s">
        <v>161</v>
      </c>
      <c r="L3" s="53">
        <v>2</v>
      </c>
      <c r="N3" s="53">
        <v>4</v>
      </c>
      <c r="O3" s="53">
        <v>0.75</v>
      </c>
      <c r="P3" s="53">
        <v>0.7</v>
      </c>
      <c r="Q3" s="75">
        <f t="shared" si="0"/>
        <v>0.72499999999999998</v>
      </c>
      <c r="R3" s="53">
        <v>16.899999999999999</v>
      </c>
      <c r="S3" s="53">
        <v>102</v>
      </c>
      <c r="T3" s="16">
        <f t="shared" si="1"/>
        <v>33</v>
      </c>
      <c r="U3" s="53">
        <v>350</v>
      </c>
      <c r="V3" s="129">
        <f t="shared" si="2"/>
        <v>2887.5</v>
      </c>
      <c r="W3" s="53">
        <v>4</v>
      </c>
      <c r="X3" s="127" t="s">
        <v>39</v>
      </c>
      <c r="Y3" s="53" t="s">
        <v>78</v>
      </c>
      <c r="Z3" s="53" t="s">
        <v>102</v>
      </c>
      <c r="AA3" s="53" t="s">
        <v>90</v>
      </c>
      <c r="AB3" s="127" t="s">
        <v>237</v>
      </c>
      <c r="AC3" s="34"/>
      <c r="AE3" s="22" t="s">
        <v>41</v>
      </c>
      <c r="AG3" s="49" t="s">
        <v>288</v>
      </c>
      <c r="AH3" s="49" t="s">
        <v>289</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234</v>
      </c>
      <c r="C4" s="127">
        <v>2019</v>
      </c>
      <c r="D4" s="128" t="s">
        <v>285</v>
      </c>
      <c r="E4" s="127" t="s">
        <v>286</v>
      </c>
      <c r="F4" s="127" t="s">
        <v>287</v>
      </c>
      <c r="G4" s="127" t="s">
        <v>42</v>
      </c>
      <c r="H4" s="53" t="s">
        <v>164</v>
      </c>
      <c r="I4" s="53" t="s">
        <v>159</v>
      </c>
      <c r="J4" s="127" t="s">
        <v>38</v>
      </c>
      <c r="K4" s="53" t="s">
        <v>161</v>
      </c>
      <c r="L4" s="53">
        <v>3</v>
      </c>
      <c r="N4" s="53">
        <v>4</v>
      </c>
      <c r="O4" s="53">
        <v>0.5</v>
      </c>
      <c r="P4" s="53">
        <v>0.7</v>
      </c>
      <c r="Q4" s="75">
        <f t="shared" si="0"/>
        <v>0.6</v>
      </c>
      <c r="R4" s="53">
        <v>14.4</v>
      </c>
      <c r="S4" s="53">
        <v>104</v>
      </c>
      <c r="T4" s="16">
        <f t="shared" si="1"/>
        <v>33</v>
      </c>
      <c r="U4" s="53">
        <v>350</v>
      </c>
      <c r="V4" s="129">
        <f t="shared" si="2"/>
        <v>2887.5</v>
      </c>
      <c r="W4" s="53">
        <v>4</v>
      </c>
      <c r="X4" s="127" t="s">
        <v>39</v>
      </c>
      <c r="Y4" s="53" t="s">
        <v>78</v>
      </c>
      <c r="Z4" s="53" t="s">
        <v>102</v>
      </c>
      <c r="AA4" s="53" t="s">
        <v>90</v>
      </c>
      <c r="AB4" s="127" t="s">
        <v>237</v>
      </c>
      <c r="AC4" s="34"/>
      <c r="AE4" s="22" t="s">
        <v>34</v>
      </c>
      <c r="AG4" s="49" t="s">
        <v>290</v>
      </c>
      <c r="AH4" s="49" t="s">
        <v>291</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234</v>
      </c>
      <c r="C5" s="127">
        <v>2019</v>
      </c>
      <c r="D5" s="128" t="s">
        <v>285</v>
      </c>
      <c r="E5" s="127" t="s">
        <v>286</v>
      </c>
      <c r="F5" s="127" t="s">
        <v>287</v>
      </c>
      <c r="G5" s="127" t="s">
        <v>42</v>
      </c>
      <c r="H5" s="53" t="s">
        <v>160</v>
      </c>
      <c r="I5" s="53" t="s">
        <v>159</v>
      </c>
      <c r="J5" s="127" t="s">
        <v>38</v>
      </c>
      <c r="K5" s="53" t="s">
        <v>161</v>
      </c>
      <c r="L5" s="53">
        <v>1</v>
      </c>
      <c r="N5" s="53">
        <v>1</v>
      </c>
      <c r="O5" s="53">
        <v>0.5</v>
      </c>
      <c r="P5" s="53">
        <v>0.5</v>
      </c>
      <c r="Q5" s="75">
        <f t="shared" si="0"/>
        <v>0.5</v>
      </c>
      <c r="R5" s="53">
        <v>18.7</v>
      </c>
      <c r="S5" s="53">
        <v>131</v>
      </c>
      <c r="T5" s="16">
        <f t="shared" si="1"/>
        <v>25</v>
      </c>
      <c r="U5" s="53">
        <v>127</v>
      </c>
      <c r="V5" s="129">
        <f t="shared" si="2"/>
        <v>3175</v>
      </c>
      <c r="W5" s="53">
        <v>4</v>
      </c>
      <c r="X5" s="127" t="s">
        <v>39</v>
      </c>
      <c r="Y5" s="53" t="s">
        <v>78</v>
      </c>
      <c r="Z5" s="53" t="s">
        <v>102</v>
      </c>
      <c r="AA5" s="53" t="s">
        <v>90</v>
      </c>
      <c r="AB5" s="127" t="s">
        <v>237</v>
      </c>
      <c r="AC5" s="34"/>
      <c r="AE5" s="22" t="s">
        <v>51</v>
      </c>
      <c r="AG5" s="49" t="s">
        <v>292</v>
      </c>
      <c r="AH5" s="49" t="s">
        <v>293</v>
      </c>
      <c r="AJ5" s="27"/>
      <c r="AL5" s="73" t="s">
        <v>66</v>
      </c>
      <c r="AN5" s="73" t="s">
        <v>52</v>
      </c>
      <c r="AP5" s="23" t="s">
        <v>119</v>
      </c>
      <c r="AR5" s="23" t="s">
        <v>54</v>
      </c>
      <c r="AV5" s="23" t="s">
        <v>55</v>
      </c>
      <c r="AX5" s="24">
        <v>84</v>
      </c>
      <c r="AY5" s="25">
        <v>39</v>
      </c>
      <c r="AZ5" s="25">
        <v>84</v>
      </c>
      <c r="BA5" s="26">
        <v>36</v>
      </c>
    </row>
    <row r="6" spans="1:53" x14ac:dyDescent="0.15">
      <c r="A6" s="127" t="s">
        <v>61</v>
      </c>
      <c r="B6" s="127" t="s">
        <v>234</v>
      </c>
      <c r="C6" s="127">
        <v>2019</v>
      </c>
      <c r="D6" s="128" t="s">
        <v>285</v>
      </c>
      <c r="E6" s="127" t="s">
        <v>286</v>
      </c>
      <c r="F6" s="127" t="s">
        <v>287</v>
      </c>
      <c r="G6" s="127" t="s">
        <v>42</v>
      </c>
      <c r="H6" s="53" t="s">
        <v>160</v>
      </c>
      <c r="I6" s="53" t="s">
        <v>159</v>
      </c>
      <c r="J6" s="127" t="s">
        <v>38</v>
      </c>
      <c r="K6" s="53" t="s">
        <v>161</v>
      </c>
      <c r="L6" s="53">
        <v>2</v>
      </c>
      <c r="N6" s="53">
        <v>1</v>
      </c>
      <c r="O6" s="53">
        <v>0.5</v>
      </c>
      <c r="P6" s="53">
        <v>0.6</v>
      </c>
      <c r="Q6" s="75">
        <f t="shared" si="0"/>
        <v>0.55000000000000004</v>
      </c>
      <c r="R6" s="53">
        <v>18.899999999999999</v>
      </c>
      <c r="S6" s="53">
        <v>130</v>
      </c>
      <c r="T6" s="16">
        <f t="shared" si="1"/>
        <v>25</v>
      </c>
      <c r="U6" s="53">
        <v>127</v>
      </c>
      <c r="V6" s="129">
        <f t="shared" si="2"/>
        <v>3175</v>
      </c>
      <c r="W6" s="53">
        <v>4</v>
      </c>
      <c r="X6" s="127" t="s">
        <v>39</v>
      </c>
      <c r="Y6" s="53" t="s">
        <v>78</v>
      </c>
      <c r="Z6" s="53" t="s">
        <v>102</v>
      </c>
      <c r="AA6" s="53" t="s">
        <v>90</v>
      </c>
      <c r="AB6" s="127" t="s">
        <v>237</v>
      </c>
      <c r="AC6" s="34"/>
      <c r="AE6" s="22" t="s">
        <v>56</v>
      </c>
      <c r="AG6" s="49" t="s">
        <v>294</v>
      </c>
      <c r="AH6" s="49" t="s">
        <v>295</v>
      </c>
      <c r="AJ6" s="27"/>
      <c r="AL6" s="73" t="s">
        <v>99</v>
      </c>
      <c r="AN6" s="73" t="s">
        <v>57</v>
      </c>
      <c r="AP6" s="23" t="s">
        <v>53</v>
      </c>
      <c r="AR6" s="23" t="s">
        <v>59</v>
      </c>
      <c r="AV6" s="23" t="s">
        <v>60</v>
      </c>
      <c r="AX6" s="24">
        <v>97</v>
      </c>
      <c r="AY6" s="25">
        <v>36</v>
      </c>
      <c r="AZ6" s="25">
        <v>99</v>
      </c>
      <c r="BA6" s="26">
        <v>33</v>
      </c>
    </row>
    <row r="7" spans="1:53" x14ac:dyDescent="0.15">
      <c r="A7" s="127" t="s">
        <v>61</v>
      </c>
      <c r="B7" s="127" t="s">
        <v>234</v>
      </c>
      <c r="C7" s="127">
        <v>2019</v>
      </c>
      <c r="D7" s="128" t="s">
        <v>285</v>
      </c>
      <c r="E7" s="127" t="s">
        <v>286</v>
      </c>
      <c r="F7" s="127" t="s">
        <v>287</v>
      </c>
      <c r="G7" s="127" t="s">
        <v>42</v>
      </c>
      <c r="H7" s="53" t="s">
        <v>160</v>
      </c>
      <c r="I7" s="53" t="s">
        <v>159</v>
      </c>
      <c r="J7" s="127" t="s">
        <v>38</v>
      </c>
      <c r="K7" s="53" t="s">
        <v>161</v>
      </c>
      <c r="L7" s="53">
        <v>3</v>
      </c>
      <c r="N7" s="53">
        <v>1</v>
      </c>
      <c r="O7" s="53">
        <v>0.5</v>
      </c>
      <c r="P7" s="53">
        <v>0.5</v>
      </c>
      <c r="Q7" s="75">
        <f t="shared" si="0"/>
        <v>0.5</v>
      </c>
      <c r="R7" s="53">
        <v>17.8</v>
      </c>
      <c r="S7" s="53">
        <v>137</v>
      </c>
      <c r="T7" s="16">
        <f t="shared" si="1"/>
        <v>25</v>
      </c>
      <c r="U7" s="53">
        <v>127</v>
      </c>
      <c r="V7" s="129">
        <f t="shared" si="2"/>
        <v>3175</v>
      </c>
      <c r="W7" s="53">
        <v>4</v>
      </c>
      <c r="X7" s="127" t="s">
        <v>39</v>
      </c>
      <c r="Y7" s="53" t="s">
        <v>78</v>
      </c>
      <c r="Z7" s="53" t="s">
        <v>102</v>
      </c>
      <c r="AA7" s="53" t="s">
        <v>90</v>
      </c>
      <c r="AB7" s="127" t="s">
        <v>237</v>
      </c>
      <c r="AC7" s="34"/>
      <c r="AE7" s="22" t="s">
        <v>61</v>
      </c>
      <c r="AG7" s="49" t="s">
        <v>296</v>
      </c>
      <c r="AH7" s="49" t="s">
        <v>297</v>
      </c>
      <c r="AJ7" s="27"/>
      <c r="AL7" s="34" t="s">
        <v>109</v>
      </c>
      <c r="AN7" s="73"/>
      <c r="AP7" s="23" t="s">
        <v>58</v>
      </c>
      <c r="AR7" s="23" t="s">
        <v>122</v>
      </c>
      <c r="AV7" s="23" t="s">
        <v>64</v>
      </c>
      <c r="AX7" s="24">
        <v>109</v>
      </c>
      <c r="AY7" s="25">
        <v>33</v>
      </c>
      <c r="AZ7" s="25">
        <v>113</v>
      </c>
      <c r="BA7" s="26">
        <v>30</v>
      </c>
    </row>
    <row r="8" spans="1:53" x14ac:dyDescent="0.15">
      <c r="A8" s="127" t="s">
        <v>61</v>
      </c>
      <c r="B8" s="127" t="s">
        <v>234</v>
      </c>
      <c r="C8" s="127">
        <v>2019</v>
      </c>
      <c r="D8" s="128" t="s">
        <v>285</v>
      </c>
      <c r="E8" s="127" t="s">
        <v>288</v>
      </c>
      <c r="F8" s="127" t="s">
        <v>289</v>
      </c>
      <c r="G8" s="127" t="s">
        <v>42</v>
      </c>
      <c r="H8" s="53" t="s">
        <v>164</v>
      </c>
      <c r="I8" s="53" t="s">
        <v>159</v>
      </c>
      <c r="J8" s="127" t="s">
        <v>38</v>
      </c>
      <c r="K8" s="53" t="s">
        <v>161</v>
      </c>
      <c r="L8" s="53">
        <v>1</v>
      </c>
      <c r="N8" s="53">
        <v>1</v>
      </c>
      <c r="O8" s="53">
        <v>0.75</v>
      </c>
      <c r="P8" s="53">
        <v>0.5</v>
      </c>
      <c r="Q8" s="75">
        <f t="shared" si="0"/>
        <v>0.625</v>
      </c>
      <c r="R8" s="53">
        <v>18</v>
      </c>
      <c r="S8" s="53">
        <v>122</v>
      </c>
      <c r="T8" s="16">
        <f t="shared" si="1"/>
        <v>27</v>
      </c>
      <c r="U8" s="53">
        <v>128</v>
      </c>
      <c r="V8" s="129">
        <f t="shared" si="2"/>
        <v>3456</v>
      </c>
      <c r="W8" s="53">
        <v>5</v>
      </c>
      <c r="X8" s="127" t="s">
        <v>46</v>
      </c>
      <c r="Y8" s="53" t="s">
        <v>102</v>
      </c>
      <c r="Z8" s="53" t="s">
        <v>78</v>
      </c>
      <c r="AA8" s="53" t="s">
        <v>90</v>
      </c>
      <c r="AB8" s="127" t="s">
        <v>237</v>
      </c>
      <c r="AC8" s="34"/>
      <c r="AE8" s="22" t="s">
        <v>59</v>
      </c>
      <c r="AG8" s="49" t="s">
        <v>298</v>
      </c>
      <c r="AH8" s="49" t="s">
        <v>299</v>
      </c>
      <c r="AJ8" s="28"/>
      <c r="AL8" s="34" t="s">
        <v>134</v>
      </c>
      <c r="AN8" s="73"/>
      <c r="AP8" s="23" t="s">
        <v>62</v>
      </c>
      <c r="AR8" s="23" t="s">
        <v>81</v>
      </c>
      <c r="AV8" s="23" t="s">
        <v>97</v>
      </c>
      <c r="AX8" s="24">
        <v>119</v>
      </c>
      <c r="AY8" s="25">
        <v>30</v>
      </c>
      <c r="AZ8" s="25">
        <v>121</v>
      </c>
      <c r="BA8" s="26">
        <v>27</v>
      </c>
    </row>
    <row r="9" spans="1:53" x14ac:dyDescent="0.15">
      <c r="A9" s="127" t="s">
        <v>61</v>
      </c>
      <c r="B9" s="127" t="s">
        <v>234</v>
      </c>
      <c r="C9" s="127">
        <v>2019</v>
      </c>
      <c r="D9" s="128" t="s">
        <v>285</v>
      </c>
      <c r="E9" s="127" t="s">
        <v>288</v>
      </c>
      <c r="F9" s="127" t="s">
        <v>289</v>
      </c>
      <c r="G9" s="127" t="s">
        <v>42</v>
      </c>
      <c r="H9" s="53" t="s">
        <v>164</v>
      </c>
      <c r="I9" s="53" t="s">
        <v>159</v>
      </c>
      <c r="J9" s="127" t="s">
        <v>38</v>
      </c>
      <c r="K9" s="53" t="s">
        <v>161</v>
      </c>
      <c r="L9" s="53">
        <v>2</v>
      </c>
      <c r="N9" s="53">
        <v>1</v>
      </c>
      <c r="O9" s="53">
        <v>0.5</v>
      </c>
      <c r="P9" s="53">
        <v>0.5</v>
      </c>
      <c r="Q9" s="75">
        <f t="shared" si="0"/>
        <v>0.5</v>
      </c>
      <c r="R9" s="34">
        <v>19.5</v>
      </c>
      <c r="S9" s="53">
        <v>138</v>
      </c>
      <c r="T9" s="16">
        <f t="shared" si="1"/>
        <v>22</v>
      </c>
      <c r="U9" s="53">
        <v>128</v>
      </c>
      <c r="V9" s="129">
        <f t="shared" si="2"/>
        <v>2816</v>
      </c>
      <c r="W9" s="53">
        <v>5</v>
      </c>
      <c r="X9" s="127" t="s">
        <v>46</v>
      </c>
      <c r="Y9" s="53" t="s">
        <v>102</v>
      </c>
      <c r="Z9" s="53" t="s">
        <v>78</v>
      </c>
      <c r="AA9" s="53" t="s">
        <v>90</v>
      </c>
      <c r="AB9" s="127" t="s">
        <v>237</v>
      </c>
      <c r="AC9" s="34"/>
      <c r="AE9" s="22" t="s">
        <v>98</v>
      </c>
      <c r="AG9" s="49" t="s">
        <v>133</v>
      </c>
      <c r="AH9" s="49" t="s">
        <v>300</v>
      </c>
      <c r="AL9" s="73"/>
      <c r="AN9" s="73"/>
      <c r="AP9" s="23" t="s">
        <v>95</v>
      </c>
      <c r="AR9" s="23" t="s">
        <v>89</v>
      </c>
      <c r="AV9" s="23" t="s">
        <v>102</v>
      </c>
      <c r="AX9" s="24">
        <v>128</v>
      </c>
      <c r="AY9" s="25">
        <v>27</v>
      </c>
      <c r="AZ9" s="25">
        <v>129</v>
      </c>
      <c r="BA9" s="26">
        <v>25</v>
      </c>
    </row>
    <row r="10" spans="1:53" x14ac:dyDescent="0.15">
      <c r="A10" s="127" t="s">
        <v>61</v>
      </c>
      <c r="B10" s="127" t="s">
        <v>234</v>
      </c>
      <c r="C10" s="127">
        <v>2019</v>
      </c>
      <c r="D10" s="128" t="s">
        <v>285</v>
      </c>
      <c r="E10" s="127" t="s">
        <v>288</v>
      </c>
      <c r="F10" s="127" t="s">
        <v>289</v>
      </c>
      <c r="G10" s="127" t="s">
        <v>42</v>
      </c>
      <c r="H10" s="53" t="s">
        <v>164</v>
      </c>
      <c r="I10" s="53" t="s">
        <v>159</v>
      </c>
      <c r="J10" s="127" t="s">
        <v>38</v>
      </c>
      <c r="K10" s="53" t="s">
        <v>161</v>
      </c>
      <c r="L10" s="53">
        <v>3</v>
      </c>
      <c r="N10" s="53">
        <v>1</v>
      </c>
      <c r="O10" s="53">
        <v>1</v>
      </c>
      <c r="P10" s="53">
        <v>0.8</v>
      </c>
      <c r="Q10" s="75">
        <f t="shared" si="0"/>
        <v>0.9</v>
      </c>
      <c r="R10" s="53">
        <v>18</v>
      </c>
      <c r="S10" s="53">
        <v>133</v>
      </c>
      <c r="T10" s="16">
        <f t="shared" si="1"/>
        <v>25</v>
      </c>
      <c r="U10" s="53">
        <v>128</v>
      </c>
      <c r="V10" s="129">
        <f t="shared" si="2"/>
        <v>3200</v>
      </c>
      <c r="W10" s="53">
        <v>5</v>
      </c>
      <c r="X10" s="127" t="s">
        <v>46</v>
      </c>
      <c r="Y10" s="53" t="s">
        <v>102</v>
      </c>
      <c r="Z10" s="53" t="s">
        <v>78</v>
      </c>
      <c r="AA10" s="53" t="s">
        <v>90</v>
      </c>
      <c r="AB10" s="127" t="s">
        <v>237</v>
      </c>
      <c r="AC10" s="34"/>
      <c r="AE10" s="22" t="s">
        <v>103</v>
      </c>
      <c r="AG10" s="49" t="s">
        <v>301</v>
      </c>
      <c r="AH10" s="49" t="s">
        <v>302</v>
      </c>
      <c r="AL10" s="27"/>
      <c r="AP10" s="23" t="s">
        <v>100</v>
      </c>
      <c r="AR10" s="23" t="s">
        <v>123</v>
      </c>
      <c r="AV10" s="23" t="s">
        <v>106</v>
      </c>
      <c r="AX10" s="24">
        <v>138</v>
      </c>
      <c r="AY10" s="25">
        <v>25</v>
      </c>
      <c r="AZ10" s="25">
        <v>138</v>
      </c>
      <c r="BA10" s="26">
        <v>22</v>
      </c>
    </row>
    <row r="11" spans="1:53" x14ac:dyDescent="0.15">
      <c r="A11" s="127" t="s">
        <v>61</v>
      </c>
      <c r="B11" s="127" t="s">
        <v>234</v>
      </c>
      <c r="C11" s="127">
        <v>2019</v>
      </c>
      <c r="D11" s="128" t="s">
        <v>285</v>
      </c>
      <c r="E11" s="127" t="s">
        <v>288</v>
      </c>
      <c r="F11" s="127" t="s">
        <v>289</v>
      </c>
      <c r="G11" s="127" t="s">
        <v>42</v>
      </c>
      <c r="H11" s="53" t="s">
        <v>160</v>
      </c>
      <c r="I11" s="53" t="s">
        <v>159</v>
      </c>
      <c r="J11" s="127" t="s">
        <v>38</v>
      </c>
      <c r="K11" s="53" t="s">
        <v>161</v>
      </c>
      <c r="L11" s="53">
        <v>1</v>
      </c>
      <c r="N11" s="53">
        <v>1</v>
      </c>
      <c r="O11" s="53">
        <v>0.85</v>
      </c>
      <c r="P11" s="53">
        <v>0.75</v>
      </c>
      <c r="Q11" s="75">
        <f t="shared" si="0"/>
        <v>0.8</v>
      </c>
      <c r="R11" s="53">
        <v>19.2</v>
      </c>
      <c r="S11" s="53">
        <v>118</v>
      </c>
      <c r="T11" s="16">
        <f t="shared" si="1"/>
        <v>30</v>
      </c>
      <c r="U11" s="53">
        <v>128</v>
      </c>
      <c r="V11" s="129">
        <f t="shared" si="2"/>
        <v>3840</v>
      </c>
      <c r="W11" s="53">
        <v>5</v>
      </c>
      <c r="X11" s="127" t="s">
        <v>46</v>
      </c>
      <c r="Y11" s="53" t="s">
        <v>102</v>
      </c>
      <c r="Z11" s="53" t="s">
        <v>78</v>
      </c>
      <c r="AA11" s="53" t="s">
        <v>90</v>
      </c>
      <c r="AB11" s="127" t="s">
        <v>237</v>
      </c>
      <c r="AC11" s="34"/>
      <c r="AE11" s="22" t="s">
        <v>65</v>
      </c>
      <c r="AG11" s="49" t="s">
        <v>303</v>
      </c>
      <c r="AH11" s="49" t="s">
        <v>302</v>
      </c>
      <c r="AL11" s="134"/>
      <c r="AP11" s="23" t="s">
        <v>104</v>
      </c>
      <c r="AR11" s="23" t="s">
        <v>87</v>
      </c>
      <c r="AV11" s="135" t="s">
        <v>304</v>
      </c>
      <c r="AX11" s="24">
        <v>151</v>
      </c>
      <c r="AY11" s="25">
        <v>22</v>
      </c>
      <c r="AZ11" s="25">
        <v>152</v>
      </c>
      <c r="BA11" s="26">
        <v>18</v>
      </c>
    </row>
    <row r="12" spans="1:53" x14ac:dyDescent="0.15">
      <c r="A12" s="127" t="s">
        <v>61</v>
      </c>
      <c r="B12" s="127" t="s">
        <v>234</v>
      </c>
      <c r="C12" s="127">
        <v>2019</v>
      </c>
      <c r="D12" s="128" t="s">
        <v>285</v>
      </c>
      <c r="E12" s="127" t="s">
        <v>288</v>
      </c>
      <c r="F12" s="127" t="s">
        <v>289</v>
      </c>
      <c r="G12" s="127" t="s">
        <v>42</v>
      </c>
      <c r="H12" s="53" t="s">
        <v>160</v>
      </c>
      <c r="I12" s="53" t="s">
        <v>159</v>
      </c>
      <c r="J12" s="127" t="s">
        <v>38</v>
      </c>
      <c r="K12" s="53" t="s">
        <v>161</v>
      </c>
      <c r="L12" s="53">
        <v>2</v>
      </c>
      <c r="N12" s="53">
        <v>1</v>
      </c>
      <c r="O12" s="53">
        <v>0.8</v>
      </c>
      <c r="P12" s="53">
        <v>0.7</v>
      </c>
      <c r="Q12" s="75">
        <f t="shared" si="0"/>
        <v>0.75</v>
      </c>
      <c r="R12" s="34">
        <v>17.5</v>
      </c>
      <c r="S12" s="53">
        <v>118</v>
      </c>
      <c r="T12" s="16">
        <f t="shared" si="1"/>
        <v>30</v>
      </c>
      <c r="U12" s="53">
        <v>128</v>
      </c>
      <c r="V12" s="129">
        <f t="shared" si="2"/>
        <v>3840</v>
      </c>
      <c r="W12" s="53">
        <v>5</v>
      </c>
      <c r="X12" s="127" t="s">
        <v>46</v>
      </c>
      <c r="Y12" s="53" t="s">
        <v>102</v>
      </c>
      <c r="Z12" s="53" t="s">
        <v>78</v>
      </c>
      <c r="AA12" s="53" t="s">
        <v>90</v>
      </c>
      <c r="AB12" s="127" t="s">
        <v>237</v>
      </c>
      <c r="AC12" s="34"/>
      <c r="AE12" s="22" t="s">
        <v>70</v>
      </c>
      <c r="AG12" s="23"/>
      <c r="AH12" s="22"/>
      <c r="AL12" s="134"/>
      <c r="AP12" s="23" t="s">
        <v>67</v>
      </c>
      <c r="AR12" s="23" t="s">
        <v>124</v>
      </c>
      <c r="AV12" s="135" t="s">
        <v>305</v>
      </c>
      <c r="AX12" s="24">
        <v>180</v>
      </c>
      <c r="AY12" s="25">
        <v>18</v>
      </c>
      <c r="AZ12" s="25">
        <v>181</v>
      </c>
      <c r="BA12" s="26">
        <v>16</v>
      </c>
    </row>
    <row r="13" spans="1:53" x14ac:dyDescent="0.15">
      <c r="A13" s="127" t="s">
        <v>61</v>
      </c>
      <c r="B13" s="127" t="s">
        <v>234</v>
      </c>
      <c r="C13" s="127">
        <v>2019</v>
      </c>
      <c r="D13" s="128" t="s">
        <v>285</v>
      </c>
      <c r="E13" s="127" t="s">
        <v>288</v>
      </c>
      <c r="F13" s="127" t="s">
        <v>289</v>
      </c>
      <c r="G13" s="127" t="s">
        <v>42</v>
      </c>
      <c r="H13" s="53" t="s">
        <v>160</v>
      </c>
      <c r="I13" s="53" t="s">
        <v>159</v>
      </c>
      <c r="J13" s="127" t="s">
        <v>38</v>
      </c>
      <c r="K13" s="53" t="s">
        <v>161</v>
      </c>
      <c r="L13" s="53">
        <v>3</v>
      </c>
      <c r="N13" s="53">
        <v>1</v>
      </c>
      <c r="O13" s="53">
        <v>0.8</v>
      </c>
      <c r="P13" s="53">
        <v>0.85</v>
      </c>
      <c r="Q13" s="75">
        <f t="shared" si="0"/>
        <v>0.82499999999999996</v>
      </c>
      <c r="R13" s="53">
        <v>17.5</v>
      </c>
      <c r="S13" s="53">
        <v>116</v>
      </c>
      <c r="T13" s="16">
        <f t="shared" si="1"/>
        <v>30</v>
      </c>
      <c r="U13" s="53">
        <v>128</v>
      </c>
      <c r="V13" s="129">
        <f t="shared" si="2"/>
        <v>3840</v>
      </c>
      <c r="W13" s="53">
        <v>5</v>
      </c>
      <c r="X13" s="127" t="s">
        <v>46</v>
      </c>
      <c r="Y13" s="53" t="s">
        <v>102</v>
      </c>
      <c r="Z13" s="53" t="s">
        <v>78</v>
      </c>
      <c r="AA13" s="53" t="s">
        <v>90</v>
      </c>
      <c r="AB13" s="127" t="s">
        <v>237</v>
      </c>
      <c r="AC13" s="34"/>
      <c r="AE13" s="22" t="s">
        <v>73</v>
      </c>
      <c r="AG13" s="23"/>
      <c r="AH13" s="22"/>
      <c r="AL13" s="136"/>
      <c r="AP13" s="23" t="s">
        <v>71</v>
      </c>
      <c r="AR13" s="23" t="s">
        <v>103</v>
      </c>
      <c r="AV13" s="135" t="s">
        <v>306</v>
      </c>
      <c r="AX13" s="24"/>
      <c r="AY13" s="25"/>
      <c r="AZ13" s="25"/>
      <c r="BA13" s="26"/>
    </row>
    <row r="14" spans="1:53" x14ac:dyDescent="0.15">
      <c r="A14" s="127" t="s">
        <v>61</v>
      </c>
      <c r="B14" s="127" t="s">
        <v>234</v>
      </c>
      <c r="C14" s="127">
        <v>2019</v>
      </c>
      <c r="D14" s="128" t="s">
        <v>285</v>
      </c>
      <c r="E14" s="127" t="s">
        <v>290</v>
      </c>
      <c r="F14" s="127" t="s">
        <v>291</v>
      </c>
      <c r="G14" s="127" t="s">
        <v>42</v>
      </c>
      <c r="H14" s="53" t="s">
        <v>164</v>
      </c>
      <c r="I14" s="53" t="s">
        <v>159</v>
      </c>
      <c r="J14" s="127" t="s">
        <v>38</v>
      </c>
      <c r="K14" s="53" t="s">
        <v>161</v>
      </c>
      <c r="L14" s="53">
        <v>1</v>
      </c>
      <c r="N14" s="53">
        <v>4</v>
      </c>
      <c r="O14" s="53">
        <v>0.5</v>
      </c>
      <c r="P14" s="53">
        <v>0.5</v>
      </c>
      <c r="Q14" s="75">
        <f t="shared" si="0"/>
        <v>0.5</v>
      </c>
      <c r="R14" s="53">
        <v>11.1</v>
      </c>
      <c r="S14" s="53">
        <v>87</v>
      </c>
      <c r="T14" s="16">
        <f t="shared" si="1"/>
        <v>36</v>
      </c>
      <c r="U14" s="53">
        <v>298</v>
      </c>
      <c r="V14" s="129">
        <f t="shared" si="2"/>
        <v>2682</v>
      </c>
      <c r="W14" s="53">
        <v>8</v>
      </c>
      <c r="X14" s="127" t="s">
        <v>46</v>
      </c>
      <c r="Y14" s="53" t="s">
        <v>69</v>
      </c>
      <c r="Z14" s="53" t="s">
        <v>78</v>
      </c>
      <c r="AA14" s="53" t="s">
        <v>102</v>
      </c>
      <c r="AB14" s="127" t="s">
        <v>237</v>
      </c>
      <c r="AC14" s="34"/>
      <c r="AE14" s="22" t="s">
        <v>76</v>
      </c>
      <c r="AG14" s="23"/>
      <c r="AH14" s="22"/>
      <c r="AL14" s="34"/>
      <c r="AP14" s="23" t="s">
        <v>74</v>
      </c>
      <c r="AR14" s="23" t="s">
        <v>125</v>
      </c>
      <c r="AV14" s="135" t="s">
        <v>307</v>
      </c>
      <c r="AX14" s="24"/>
      <c r="AY14" s="25"/>
      <c r="AZ14" s="25"/>
      <c r="BA14" s="26"/>
    </row>
    <row r="15" spans="1:53" x14ac:dyDescent="0.15">
      <c r="A15" s="127" t="s">
        <v>61</v>
      </c>
      <c r="B15" s="127" t="s">
        <v>234</v>
      </c>
      <c r="C15" s="127">
        <v>2019</v>
      </c>
      <c r="D15" s="128" t="s">
        <v>285</v>
      </c>
      <c r="E15" s="127" t="s">
        <v>290</v>
      </c>
      <c r="F15" s="127" t="s">
        <v>291</v>
      </c>
      <c r="G15" s="127" t="s">
        <v>42</v>
      </c>
      <c r="H15" s="53" t="s">
        <v>164</v>
      </c>
      <c r="I15" s="53" t="s">
        <v>159</v>
      </c>
      <c r="J15" s="127" t="s">
        <v>38</v>
      </c>
      <c r="K15" s="53" t="s">
        <v>161</v>
      </c>
      <c r="L15" s="53">
        <v>2</v>
      </c>
      <c r="N15" s="53">
        <v>4</v>
      </c>
      <c r="O15" s="53">
        <v>0.6</v>
      </c>
      <c r="P15" s="53">
        <v>0.65</v>
      </c>
      <c r="Q15" s="75">
        <f t="shared" si="0"/>
        <v>0.625</v>
      </c>
      <c r="R15" s="34">
        <v>14.1</v>
      </c>
      <c r="S15" s="53">
        <v>82</v>
      </c>
      <c r="T15" s="16">
        <f t="shared" si="1"/>
        <v>39</v>
      </c>
      <c r="U15" s="53">
        <v>298</v>
      </c>
      <c r="V15" s="129">
        <f t="shared" si="2"/>
        <v>2905.5</v>
      </c>
      <c r="W15" s="53">
        <v>8</v>
      </c>
      <c r="X15" s="127" t="s">
        <v>46</v>
      </c>
      <c r="Y15" s="53" t="s">
        <v>69</v>
      </c>
      <c r="Z15" s="53" t="s">
        <v>78</v>
      </c>
      <c r="AA15" s="53" t="s">
        <v>102</v>
      </c>
      <c r="AB15" s="127" t="s">
        <v>237</v>
      </c>
      <c r="AC15" s="34"/>
      <c r="AE15" s="22" t="s">
        <v>79</v>
      </c>
      <c r="AG15" s="23"/>
      <c r="AH15" s="23"/>
      <c r="AL15" s="34"/>
      <c r="AP15" s="23" t="s">
        <v>77</v>
      </c>
      <c r="AR15" s="23" t="s">
        <v>94</v>
      </c>
      <c r="AV15" s="135" t="s">
        <v>308</v>
      </c>
      <c r="AX15" s="31"/>
      <c r="AY15" s="32"/>
      <c r="AZ15" s="32"/>
      <c r="BA15" s="33"/>
    </row>
    <row r="16" spans="1:53" x14ac:dyDescent="0.15">
      <c r="A16" s="127" t="s">
        <v>61</v>
      </c>
      <c r="B16" s="127" t="s">
        <v>234</v>
      </c>
      <c r="C16" s="127">
        <v>2019</v>
      </c>
      <c r="D16" s="128" t="s">
        <v>285</v>
      </c>
      <c r="E16" s="127" t="s">
        <v>290</v>
      </c>
      <c r="F16" s="127" t="s">
        <v>291</v>
      </c>
      <c r="G16" s="127" t="s">
        <v>42</v>
      </c>
      <c r="H16" s="53" t="s">
        <v>164</v>
      </c>
      <c r="I16" s="53" t="s">
        <v>159</v>
      </c>
      <c r="J16" s="127" t="s">
        <v>38</v>
      </c>
      <c r="K16" s="53" t="s">
        <v>161</v>
      </c>
      <c r="L16" s="53">
        <v>3</v>
      </c>
      <c r="N16" s="53">
        <v>4</v>
      </c>
      <c r="O16" s="53">
        <v>0.88500000000000001</v>
      </c>
      <c r="P16" s="53">
        <v>1.1000000000000001</v>
      </c>
      <c r="Q16" s="75">
        <f t="shared" si="0"/>
        <v>0.99250000000000005</v>
      </c>
      <c r="R16" s="53">
        <v>16.899999999999999</v>
      </c>
      <c r="S16" s="53">
        <v>86</v>
      </c>
      <c r="T16" s="16">
        <f t="shared" si="1"/>
        <v>36</v>
      </c>
      <c r="U16" s="53">
        <v>298</v>
      </c>
      <c r="V16" s="129">
        <f t="shared" si="2"/>
        <v>2682</v>
      </c>
      <c r="W16" s="53">
        <v>8</v>
      </c>
      <c r="X16" s="127" t="s">
        <v>46</v>
      </c>
      <c r="Y16" s="53" t="s">
        <v>69</v>
      </c>
      <c r="Z16" s="53" t="s">
        <v>78</v>
      </c>
      <c r="AA16" s="53" t="s">
        <v>102</v>
      </c>
      <c r="AB16" s="127" t="s">
        <v>237</v>
      </c>
      <c r="AC16" s="34"/>
      <c r="AE16" s="22" t="s">
        <v>82</v>
      </c>
      <c r="AG16" s="23"/>
      <c r="AH16" s="23"/>
      <c r="AP16" s="23" t="s">
        <v>80</v>
      </c>
      <c r="AR16" s="23" t="s">
        <v>63</v>
      </c>
      <c r="AV16" s="135" t="s">
        <v>309</v>
      </c>
    </row>
    <row r="17" spans="1:48" x14ac:dyDescent="0.15">
      <c r="A17" s="127" t="s">
        <v>61</v>
      </c>
      <c r="B17" s="127" t="s">
        <v>234</v>
      </c>
      <c r="C17" s="127">
        <v>2019</v>
      </c>
      <c r="D17" s="128" t="s">
        <v>285</v>
      </c>
      <c r="E17" s="127" t="s">
        <v>290</v>
      </c>
      <c r="F17" s="127" t="s">
        <v>291</v>
      </c>
      <c r="G17" s="127" t="s">
        <v>42</v>
      </c>
      <c r="H17" s="53" t="s">
        <v>160</v>
      </c>
      <c r="I17" s="53" t="s">
        <v>159</v>
      </c>
      <c r="J17" s="127" t="s">
        <v>38</v>
      </c>
      <c r="K17" s="53" t="s">
        <v>161</v>
      </c>
      <c r="L17" s="53">
        <v>1</v>
      </c>
      <c r="N17" s="53">
        <v>1</v>
      </c>
      <c r="O17" s="53">
        <v>0.5</v>
      </c>
      <c r="P17" s="53">
        <v>0.5</v>
      </c>
      <c r="Q17" s="75">
        <f t="shared" si="0"/>
        <v>0.5</v>
      </c>
      <c r="R17" s="53">
        <v>17.7</v>
      </c>
      <c r="S17" s="53">
        <v>160</v>
      </c>
      <c r="T17" s="16">
        <f t="shared" si="1"/>
        <v>18</v>
      </c>
      <c r="U17" s="53">
        <v>158</v>
      </c>
      <c r="V17" s="129">
        <f t="shared" si="2"/>
        <v>2844</v>
      </c>
      <c r="W17" s="53">
        <v>8</v>
      </c>
      <c r="X17" s="127" t="s">
        <v>46</v>
      </c>
      <c r="Y17" s="53" t="s">
        <v>69</v>
      </c>
      <c r="Z17" s="53" t="s">
        <v>78</v>
      </c>
      <c r="AA17" s="53" t="s">
        <v>102</v>
      </c>
      <c r="AB17" s="127" t="s">
        <v>237</v>
      </c>
      <c r="AC17" s="34"/>
      <c r="AE17" s="22" t="s">
        <v>85</v>
      </c>
      <c r="AP17" s="27" t="s">
        <v>110</v>
      </c>
      <c r="AR17" s="23" t="s">
        <v>96</v>
      </c>
      <c r="AV17" s="135" t="s">
        <v>255</v>
      </c>
    </row>
    <row r="18" spans="1:48" x14ac:dyDescent="0.15">
      <c r="A18" s="127" t="s">
        <v>61</v>
      </c>
      <c r="B18" s="127" t="s">
        <v>234</v>
      </c>
      <c r="C18" s="127">
        <v>2019</v>
      </c>
      <c r="D18" s="128" t="s">
        <v>285</v>
      </c>
      <c r="E18" s="127" t="s">
        <v>290</v>
      </c>
      <c r="F18" s="127" t="s">
        <v>291</v>
      </c>
      <c r="G18" s="127" t="s">
        <v>42</v>
      </c>
      <c r="H18" s="53" t="s">
        <v>160</v>
      </c>
      <c r="I18" s="53" t="s">
        <v>159</v>
      </c>
      <c r="J18" s="127" t="s">
        <v>38</v>
      </c>
      <c r="K18" s="53" t="s">
        <v>161</v>
      </c>
      <c r="L18" s="53">
        <v>2</v>
      </c>
      <c r="N18" s="53">
        <v>1</v>
      </c>
      <c r="O18" s="53">
        <v>0.5</v>
      </c>
      <c r="P18" s="53">
        <v>0.5</v>
      </c>
      <c r="Q18" s="75">
        <f t="shared" si="0"/>
        <v>0.5</v>
      </c>
      <c r="R18" s="34">
        <v>18.8</v>
      </c>
      <c r="S18" s="53">
        <v>169</v>
      </c>
      <c r="T18" s="16">
        <f t="shared" si="1"/>
        <v>18</v>
      </c>
      <c r="U18" s="53">
        <v>158</v>
      </c>
      <c r="V18" s="129">
        <f t="shared" si="2"/>
        <v>2844</v>
      </c>
      <c r="W18" s="53">
        <v>8</v>
      </c>
      <c r="X18" s="127" t="s">
        <v>46</v>
      </c>
      <c r="Y18" s="53" t="s">
        <v>69</v>
      </c>
      <c r="Z18" s="53" t="s">
        <v>78</v>
      </c>
      <c r="AA18" s="53" t="s">
        <v>102</v>
      </c>
      <c r="AB18" s="127" t="s">
        <v>237</v>
      </c>
      <c r="AC18" s="34"/>
      <c r="AE18" s="22" t="s">
        <v>87</v>
      </c>
      <c r="AP18" s="27" t="s">
        <v>111</v>
      </c>
      <c r="AR18" s="23" t="s">
        <v>101</v>
      </c>
      <c r="AV18" s="135" t="s">
        <v>135</v>
      </c>
    </row>
    <row r="19" spans="1:48" x14ac:dyDescent="0.15">
      <c r="A19" s="127" t="s">
        <v>61</v>
      </c>
      <c r="B19" s="127" t="s">
        <v>234</v>
      </c>
      <c r="C19" s="127">
        <v>2019</v>
      </c>
      <c r="D19" s="128" t="s">
        <v>285</v>
      </c>
      <c r="E19" s="127" t="s">
        <v>290</v>
      </c>
      <c r="F19" s="127" t="s">
        <v>291</v>
      </c>
      <c r="G19" s="127" t="s">
        <v>42</v>
      </c>
      <c r="H19" s="53" t="s">
        <v>160</v>
      </c>
      <c r="I19" s="53" t="s">
        <v>159</v>
      </c>
      <c r="J19" s="127" t="s">
        <v>38</v>
      </c>
      <c r="K19" s="53" t="s">
        <v>161</v>
      </c>
      <c r="L19" s="53">
        <v>3</v>
      </c>
      <c r="N19" s="53">
        <v>1</v>
      </c>
      <c r="O19" s="34">
        <v>0.5</v>
      </c>
      <c r="P19" s="53">
        <v>0.5</v>
      </c>
      <c r="Q19" s="75">
        <f t="shared" si="0"/>
        <v>0.5</v>
      </c>
      <c r="R19" s="53">
        <v>17.399999999999999</v>
      </c>
      <c r="S19" s="53">
        <v>152</v>
      </c>
      <c r="T19" s="16">
        <f t="shared" si="1"/>
        <v>18</v>
      </c>
      <c r="U19" s="53">
        <v>158</v>
      </c>
      <c r="V19" s="129">
        <f t="shared" si="2"/>
        <v>2844</v>
      </c>
      <c r="W19" s="53">
        <v>8</v>
      </c>
      <c r="X19" s="127" t="s">
        <v>46</v>
      </c>
      <c r="Y19" s="53" t="s">
        <v>69</v>
      </c>
      <c r="Z19" s="53" t="s">
        <v>78</v>
      </c>
      <c r="AA19" s="53" t="s">
        <v>102</v>
      </c>
      <c r="AB19" s="127" t="s">
        <v>237</v>
      </c>
      <c r="AC19" s="34"/>
      <c r="AE19" s="35" t="s">
        <v>89</v>
      </c>
      <c r="AP19" s="27" t="s">
        <v>112</v>
      </c>
      <c r="AR19" s="23" t="s">
        <v>126</v>
      </c>
      <c r="AV19" s="135" t="s">
        <v>310</v>
      </c>
    </row>
    <row r="20" spans="1:48" x14ac:dyDescent="0.15">
      <c r="A20" s="127" t="s">
        <v>61</v>
      </c>
      <c r="B20" s="127" t="s">
        <v>234</v>
      </c>
      <c r="C20" s="127">
        <v>2019</v>
      </c>
      <c r="D20" s="128" t="s">
        <v>285</v>
      </c>
      <c r="E20" s="127" t="s">
        <v>292</v>
      </c>
      <c r="F20" s="127" t="s">
        <v>293</v>
      </c>
      <c r="G20" s="127" t="s">
        <v>42</v>
      </c>
      <c r="H20" s="53" t="s">
        <v>164</v>
      </c>
      <c r="I20" s="53" t="s">
        <v>159</v>
      </c>
      <c r="J20" s="127" t="s">
        <v>38</v>
      </c>
      <c r="K20" s="53" t="s">
        <v>161</v>
      </c>
      <c r="L20" s="53">
        <v>1</v>
      </c>
      <c r="N20" s="53">
        <v>1</v>
      </c>
      <c r="O20" s="53">
        <v>0.7</v>
      </c>
      <c r="P20" s="53">
        <v>0.75</v>
      </c>
      <c r="Q20" s="75">
        <f t="shared" si="0"/>
        <v>0.72499999999999998</v>
      </c>
      <c r="R20" s="53">
        <v>18.3</v>
      </c>
      <c r="S20" s="53">
        <v>125</v>
      </c>
      <c r="T20" s="16">
        <f t="shared" si="1"/>
        <v>27</v>
      </c>
      <c r="U20" s="53">
        <v>98</v>
      </c>
      <c r="V20" s="129">
        <f t="shared" si="2"/>
        <v>2646</v>
      </c>
      <c r="W20" s="53">
        <v>10</v>
      </c>
      <c r="X20" s="127" t="s">
        <v>46</v>
      </c>
      <c r="Y20" s="53" t="s">
        <v>102</v>
      </c>
      <c r="Z20" s="53" t="s">
        <v>69</v>
      </c>
      <c r="AA20" s="53" t="s">
        <v>78</v>
      </c>
      <c r="AB20" s="127" t="s">
        <v>237</v>
      </c>
      <c r="AC20" s="34"/>
      <c r="AE20" s="22"/>
      <c r="AP20" s="27" t="s">
        <v>113</v>
      </c>
      <c r="AR20" s="23" t="s">
        <v>105</v>
      </c>
      <c r="AV20" s="135" t="s">
        <v>311</v>
      </c>
    </row>
    <row r="21" spans="1:48" x14ac:dyDescent="0.15">
      <c r="A21" s="127" t="s">
        <v>61</v>
      </c>
      <c r="B21" s="127" t="s">
        <v>234</v>
      </c>
      <c r="C21" s="127">
        <v>2019</v>
      </c>
      <c r="D21" s="128" t="s">
        <v>285</v>
      </c>
      <c r="E21" s="127" t="s">
        <v>292</v>
      </c>
      <c r="F21" s="127" t="s">
        <v>293</v>
      </c>
      <c r="G21" s="127" t="s">
        <v>42</v>
      </c>
      <c r="H21" s="53" t="s">
        <v>164</v>
      </c>
      <c r="I21" s="53" t="s">
        <v>159</v>
      </c>
      <c r="J21" s="127" t="s">
        <v>38</v>
      </c>
      <c r="K21" s="53" t="s">
        <v>161</v>
      </c>
      <c r="L21" s="53">
        <v>2</v>
      </c>
      <c r="N21" s="53">
        <v>1</v>
      </c>
      <c r="O21" s="53">
        <v>1</v>
      </c>
      <c r="P21" s="53">
        <v>0.75</v>
      </c>
      <c r="Q21" s="75">
        <f t="shared" si="0"/>
        <v>0.875</v>
      </c>
      <c r="R21" s="53">
        <v>18.3</v>
      </c>
      <c r="S21" s="53">
        <v>132</v>
      </c>
      <c r="T21" s="16">
        <f t="shared" si="1"/>
        <v>25</v>
      </c>
      <c r="U21" s="53">
        <v>98</v>
      </c>
      <c r="V21" s="129">
        <f t="shared" si="2"/>
        <v>2450</v>
      </c>
      <c r="W21" s="53">
        <v>10</v>
      </c>
      <c r="X21" s="127" t="s">
        <v>46</v>
      </c>
      <c r="Y21" s="53" t="s">
        <v>102</v>
      </c>
      <c r="Z21" s="53" t="s">
        <v>69</v>
      </c>
      <c r="AA21" s="53" t="s">
        <v>78</v>
      </c>
      <c r="AB21" s="127" t="s">
        <v>237</v>
      </c>
      <c r="AC21" s="34"/>
      <c r="AE21" s="22"/>
      <c r="AP21" s="27" t="s">
        <v>114</v>
      </c>
      <c r="AR21" s="23" t="s">
        <v>68</v>
      </c>
      <c r="AV21" s="135" t="s">
        <v>312</v>
      </c>
    </row>
    <row r="22" spans="1:48" x14ac:dyDescent="0.15">
      <c r="A22" s="127" t="s">
        <v>61</v>
      </c>
      <c r="B22" s="127" t="s">
        <v>234</v>
      </c>
      <c r="C22" s="127">
        <v>2019</v>
      </c>
      <c r="D22" s="128" t="s">
        <v>285</v>
      </c>
      <c r="E22" s="127" t="s">
        <v>292</v>
      </c>
      <c r="F22" s="127" t="s">
        <v>293</v>
      </c>
      <c r="G22" s="127" t="s">
        <v>42</v>
      </c>
      <c r="H22" s="53" t="s">
        <v>164</v>
      </c>
      <c r="I22" s="53" t="s">
        <v>159</v>
      </c>
      <c r="J22" s="127" t="s">
        <v>38</v>
      </c>
      <c r="K22" s="53" t="s">
        <v>161</v>
      </c>
      <c r="L22" s="53">
        <v>3</v>
      </c>
      <c r="N22" s="53">
        <v>1</v>
      </c>
      <c r="O22" s="53">
        <v>0.5</v>
      </c>
      <c r="P22" s="53">
        <v>0.5</v>
      </c>
      <c r="Q22" s="75">
        <f t="shared" si="0"/>
        <v>0.5</v>
      </c>
      <c r="R22" s="53">
        <v>18</v>
      </c>
      <c r="S22" s="53">
        <v>128</v>
      </c>
      <c r="T22" s="16">
        <f t="shared" si="1"/>
        <v>27</v>
      </c>
      <c r="U22" s="53">
        <v>98</v>
      </c>
      <c r="V22" s="129">
        <f t="shared" si="2"/>
        <v>2646</v>
      </c>
      <c r="W22" s="53">
        <v>10</v>
      </c>
      <c r="X22" s="127" t="s">
        <v>46</v>
      </c>
      <c r="Y22" s="53" t="s">
        <v>102</v>
      </c>
      <c r="Z22" s="53" t="s">
        <v>69</v>
      </c>
      <c r="AA22" s="53" t="s">
        <v>78</v>
      </c>
      <c r="AB22" s="127" t="s">
        <v>237</v>
      </c>
      <c r="AC22" s="34"/>
      <c r="AE22" s="35"/>
      <c r="AP22" s="27" t="s">
        <v>115</v>
      </c>
      <c r="AR22" s="23" t="s">
        <v>83</v>
      </c>
      <c r="AV22" s="23"/>
    </row>
    <row r="23" spans="1:48" x14ac:dyDescent="0.15">
      <c r="A23" s="127" t="s">
        <v>61</v>
      </c>
      <c r="B23" s="127" t="s">
        <v>234</v>
      </c>
      <c r="C23" s="127">
        <v>2019</v>
      </c>
      <c r="D23" s="128" t="s">
        <v>285</v>
      </c>
      <c r="E23" s="127" t="s">
        <v>292</v>
      </c>
      <c r="F23" s="127" t="s">
        <v>293</v>
      </c>
      <c r="G23" s="127" t="s">
        <v>42</v>
      </c>
      <c r="H23" s="53" t="s">
        <v>160</v>
      </c>
      <c r="I23" s="53" t="s">
        <v>159</v>
      </c>
      <c r="J23" s="127" t="s">
        <v>38</v>
      </c>
      <c r="K23" s="53" t="s">
        <v>161</v>
      </c>
      <c r="L23" s="53">
        <v>1</v>
      </c>
      <c r="N23" s="53">
        <v>4</v>
      </c>
      <c r="O23" s="53">
        <v>0.5</v>
      </c>
      <c r="P23" s="53">
        <v>0.5</v>
      </c>
      <c r="Q23" s="75">
        <f t="shared" si="0"/>
        <v>0.5</v>
      </c>
      <c r="R23" s="53">
        <v>19.3</v>
      </c>
      <c r="S23" s="53">
        <v>96</v>
      </c>
      <c r="T23" s="16">
        <f t="shared" si="1"/>
        <v>36</v>
      </c>
      <c r="U23" s="53">
        <v>398</v>
      </c>
      <c r="V23" s="129">
        <f t="shared" si="2"/>
        <v>3582</v>
      </c>
      <c r="W23" s="53">
        <v>10</v>
      </c>
      <c r="X23" s="127" t="s">
        <v>46</v>
      </c>
      <c r="Y23" s="53" t="s">
        <v>102</v>
      </c>
      <c r="Z23" s="53" t="s">
        <v>69</v>
      </c>
      <c r="AA23" s="53" t="s">
        <v>78</v>
      </c>
      <c r="AB23" s="127" t="s">
        <v>237</v>
      </c>
      <c r="AC23" s="34"/>
      <c r="AE23" s="22"/>
      <c r="AP23" s="27" t="s">
        <v>137</v>
      </c>
      <c r="AR23" s="23" t="s">
        <v>61</v>
      </c>
    </row>
    <row r="24" spans="1:48" x14ac:dyDescent="0.15">
      <c r="A24" s="127" t="s">
        <v>61</v>
      </c>
      <c r="B24" s="127" t="s">
        <v>234</v>
      </c>
      <c r="C24" s="127">
        <v>2019</v>
      </c>
      <c r="D24" s="128" t="s">
        <v>285</v>
      </c>
      <c r="E24" s="127" t="s">
        <v>292</v>
      </c>
      <c r="F24" s="127" t="s">
        <v>293</v>
      </c>
      <c r="G24" s="127" t="s">
        <v>42</v>
      </c>
      <c r="H24" s="53" t="s">
        <v>160</v>
      </c>
      <c r="I24" s="53" t="s">
        <v>159</v>
      </c>
      <c r="J24" s="127" t="s">
        <v>38</v>
      </c>
      <c r="K24" s="53" t="s">
        <v>161</v>
      </c>
      <c r="L24" s="53">
        <v>2</v>
      </c>
      <c r="N24" s="53">
        <v>4</v>
      </c>
      <c r="O24" s="53">
        <v>0.5</v>
      </c>
      <c r="P24" s="53">
        <v>0.65</v>
      </c>
      <c r="Q24" s="75">
        <f t="shared" si="0"/>
        <v>0.57499999999999996</v>
      </c>
      <c r="R24" s="53">
        <v>18.8</v>
      </c>
      <c r="S24" s="53">
        <v>95</v>
      </c>
      <c r="T24" s="16">
        <f t="shared" si="1"/>
        <v>36</v>
      </c>
      <c r="U24" s="53">
        <v>398</v>
      </c>
      <c r="V24" s="129">
        <f t="shared" si="2"/>
        <v>3582</v>
      </c>
      <c r="W24" s="53">
        <v>10</v>
      </c>
      <c r="X24" s="127" t="s">
        <v>46</v>
      </c>
      <c r="Y24" s="53" t="s">
        <v>102</v>
      </c>
      <c r="Z24" s="53" t="s">
        <v>69</v>
      </c>
      <c r="AA24" s="53" t="s">
        <v>78</v>
      </c>
      <c r="AB24" s="127" t="s">
        <v>237</v>
      </c>
      <c r="AC24" s="34"/>
      <c r="AE24" s="22"/>
      <c r="AP24" s="27" t="s">
        <v>138</v>
      </c>
      <c r="AR24" s="23" t="s">
        <v>91</v>
      </c>
    </row>
    <row r="25" spans="1:48" x14ac:dyDescent="0.15">
      <c r="A25" s="127" t="s">
        <v>61</v>
      </c>
      <c r="B25" s="127" t="s">
        <v>234</v>
      </c>
      <c r="C25" s="127">
        <v>2019</v>
      </c>
      <c r="D25" s="128" t="s">
        <v>285</v>
      </c>
      <c r="E25" s="127" t="s">
        <v>292</v>
      </c>
      <c r="F25" s="127" t="s">
        <v>293</v>
      </c>
      <c r="G25" s="127" t="s">
        <v>42</v>
      </c>
      <c r="H25" s="53" t="s">
        <v>160</v>
      </c>
      <c r="I25" s="53" t="s">
        <v>159</v>
      </c>
      <c r="J25" s="127" t="s">
        <v>38</v>
      </c>
      <c r="K25" s="53" t="s">
        <v>161</v>
      </c>
      <c r="L25" s="53">
        <v>3</v>
      </c>
      <c r="N25" s="53">
        <v>4</v>
      </c>
      <c r="O25" s="34">
        <v>0.5</v>
      </c>
      <c r="P25" s="53">
        <v>0.5</v>
      </c>
      <c r="Q25" s="75">
        <f t="shared" si="0"/>
        <v>0.5</v>
      </c>
      <c r="R25" s="53">
        <v>19.2</v>
      </c>
      <c r="S25" s="53">
        <v>98</v>
      </c>
      <c r="T25" s="16">
        <f t="shared" si="1"/>
        <v>36</v>
      </c>
      <c r="U25" s="53">
        <v>398</v>
      </c>
      <c r="V25" s="129">
        <f t="shared" si="2"/>
        <v>3582</v>
      </c>
      <c r="W25" s="53">
        <v>10</v>
      </c>
      <c r="X25" s="127" t="s">
        <v>46</v>
      </c>
      <c r="Y25" s="53" t="s">
        <v>102</v>
      </c>
      <c r="Z25" s="53" t="s">
        <v>69</v>
      </c>
      <c r="AA25" s="53" t="s">
        <v>78</v>
      </c>
      <c r="AB25" s="127" t="s">
        <v>237</v>
      </c>
      <c r="AC25" s="34"/>
      <c r="AE25" s="35"/>
      <c r="AP25" s="27" t="s">
        <v>116</v>
      </c>
      <c r="AR25" s="27" t="s">
        <v>92</v>
      </c>
    </row>
    <row r="26" spans="1:48" x14ac:dyDescent="0.15">
      <c r="A26" s="127" t="s">
        <v>61</v>
      </c>
      <c r="B26" s="127" t="s">
        <v>234</v>
      </c>
      <c r="C26" s="127">
        <v>2019</v>
      </c>
      <c r="D26" s="128" t="s">
        <v>285</v>
      </c>
      <c r="E26" s="127" t="s">
        <v>294</v>
      </c>
      <c r="F26" s="127" t="s">
        <v>295</v>
      </c>
      <c r="G26" s="127" t="s">
        <v>42</v>
      </c>
      <c r="H26" s="53" t="s">
        <v>164</v>
      </c>
      <c r="I26" s="53" t="s">
        <v>198</v>
      </c>
      <c r="J26" s="127" t="s">
        <v>38</v>
      </c>
      <c r="K26" s="53" t="s">
        <v>161</v>
      </c>
      <c r="L26" s="53">
        <v>1</v>
      </c>
      <c r="N26" s="53">
        <v>1</v>
      </c>
      <c r="O26" s="34">
        <v>1</v>
      </c>
      <c r="P26" s="53">
        <v>0.55000000000000004</v>
      </c>
      <c r="Q26" s="75">
        <f t="shared" si="0"/>
        <v>0.77500000000000002</v>
      </c>
      <c r="R26" s="53">
        <v>17.100000000000001</v>
      </c>
      <c r="S26" s="53">
        <v>131</v>
      </c>
      <c r="T26" s="16">
        <f t="shared" si="1"/>
        <v>25</v>
      </c>
      <c r="U26" s="53">
        <v>100</v>
      </c>
      <c r="V26" s="129">
        <f t="shared" si="2"/>
        <v>2500</v>
      </c>
      <c r="W26" s="53">
        <v>6</v>
      </c>
      <c r="X26" s="127" t="s">
        <v>39</v>
      </c>
      <c r="Y26" s="53" t="s">
        <v>78</v>
      </c>
      <c r="Z26" s="53" t="s">
        <v>102</v>
      </c>
      <c r="AA26" s="53" t="s">
        <v>90</v>
      </c>
      <c r="AB26" s="127" t="s">
        <v>237</v>
      </c>
      <c r="AC26" s="34"/>
      <c r="AD26" s="34"/>
      <c r="AE26" s="35"/>
      <c r="AP26" s="27" t="s">
        <v>117</v>
      </c>
      <c r="AR26" s="23" t="s">
        <v>153</v>
      </c>
    </row>
    <row r="27" spans="1:48" x14ac:dyDescent="0.15">
      <c r="A27" s="127" t="s">
        <v>61</v>
      </c>
      <c r="B27" s="127" t="s">
        <v>234</v>
      </c>
      <c r="C27" s="127">
        <v>2019</v>
      </c>
      <c r="D27" s="128" t="s">
        <v>285</v>
      </c>
      <c r="E27" s="127" t="s">
        <v>294</v>
      </c>
      <c r="F27" s="127" t="s">
        <v>295</v>
      </c>
      <c r="G27" s="127" t="s">
        <v>42</v>
      </c>
      <c r="H27" s="53" t="s">
        <v>164</v>
      </c>
      <c r="I27" s="53" t="s">
        <v>198</v>
      </c>
      <c r="J27" s="127" t="s">
        <v>38</v>
      </c>
      <c r="K27" s="53" t="s">
        <v>161</v>
      </c>
      <c r="L27" s="53">
        <v>2</v>
      </c>
      <c r="N27" s="53">
        <v>1</v>
      </c>
      <c r="O27" s="34">
        <v>0.75</v>
      </c>
      <c r="P27" s="53">
        <v>0.5</v>
      </c>
      <c r="Q27" s="75">
        <f t="shared" si="0"/>
        <v>0.625</v>
      </c>
      <c r="R27" s="53">
        <v>16.899999999999999</v>
      </c>
      <c r="S27" s="53">
        <v>127</v>
      </c>
      <c r="T27" s="16">
        <f t="shared" si="1"/>
        <v>27</v>
      </c>
      <c r="U27" s="53">
        <v>100</v>
      </c>
      <c r="V27" s="129">
        <f t="shared" si="2"/>
        <v>2700</v>
      </c>
      <c r="W27" s="53">
        <v>6</v>
      </c>
      <c r="X27" s="127" t="s">
        <v>39</v>
      </c>
      <c r="Y27" s="53" t="s">
        <v>78</v>
      </c>
      <c r="Z27" s="53" t="s">
        <v>102</v>
      </c>
      <c r="AA27" s="53" t="s">
        <v>90</v>
      </c>
      <c r="AB27" s="127" t="s">
        <v>237</v>
      </c>
      <c r="AC27" s="34"/>
      <c r="AD27" s="34"/>
      <c r="AE27" s="28"/>
      <c r="AP27" s="27" t="s">
        <v>118</v>
      </c>
      <c r="AR27" s="23"/>
    </row>
    <row r="28" spans="1:48" x14ac:dyDescent="0.15">
      <c r="A28" s="127" t="s">
        <v>61</v>
      </c>
      <c r="B28" s="127" t="s">
        <v>234</v>
      </c>
      <c r="C28" s="127">
        <v>2019</v>
      </c>
      <c r="D28" s="128" t="s">
        <v>285</v>
      </c>
      <c r="E28" s="127" t="s">
        <v>294</v>
      </c>
      <c r="F28" s="127" t="s">
        <v>295</v>
      </c>
      <c r="G28" s="127" t="s">
        <v>42</v>
      </c>
      <c r="H28" s="53" t="s">
        <v>164</v>
      </c>
      <c r="I28" s="53" t="s">
        <v>198</v>
      </c>
      <c r="J28" s="127" t="s">
        <v>38</v>
      </c>
      <c r="K28" s="53" t="s">
        <v>161</v>
      </c>
      <c r="L28" s="53">
        <v>3</v>
      </c>
      <c r="N28" s="53">
        <v>1</v>
      </c>
      <c r="O28" s="34">
        <v>0.55000000000000004</v>
      </c>
      <c r="P28" s="53">
        <v>0.65</v>
      </c>
      <c r="Q28" s="75">
        <f t="shared" si="0"/>
        <v>0.60000000000000009</v>
      </c>
      <c r="R28" s="53">
        <v>13.4</v>
      </c>
      <c r="S28" s="53">
        <v>134</v>
      </c>
      <c r="T28" s="16">
        <f t="shared" si="1"/>
        <v>25</v>
      </c>
      <c r="U28" s="53">
        <v>100</v>
      </c>
      <c r="V28" s="129">
        <f t="shared" si="2"/>
        <v>2500</v>
      </c>
      <c r="W28" s="53">
        <v>6</v>
      </c>
      <c r="X28" s="127" t="s">
        <v>39</v>
      </c>
      <c r="Y28" s="53" t="s">
        <v>78</v>
      </c>
      <c r="Z28" s="53" t="s">
        <v>102</v>
      </c>
      <c r="AA28" s="53" t="s">
        <v>90</v>
      </c>
      <c r="AB28" s="127" t="s">
        <v>237</v>
      </c>
      <c r="AC28" s="34"/>
      <c r="AD28" s="34"/>
      <c r="AP28" s="27"/>
      <c r="AR28" s="23"/>
    </row>
    <row r="29" spans="1:48" x14ac:dyDescent="0.15">
      <c r="A29" s="127" t="s">
        <v>61</v>
      </c>
      <c r="B29" s="127" t="s">
        <v>234</v>
      </c>
      <c r="C29" s="127">
        <v>2019</v>
      </c>
      <c r="D29" s="128" t="s">
        <v>285</v>
      </c>
      <c r="E29" s="127" t="s">
        <v>294</v>
      </c>
      <c r="F29" s="127" t="s">
        <v>295</v>
      </c>
      <c r="G29" s="127" t="s">
        <v>42</v>
      </c>
      <c r="H29" s="53" t="s">
        <v>160</v>
      </c>
      <c r="I29" s="53" t="s">
        <v>159</v>
      </c>
      <c r="J29" s="127" t="s">
        <v>38</v>
      </c>
      <c r="K29" s="53" t="s">
        <v>161</v>
      </c>
      <c r="L29" s="53">
        <v>1</v>
      </c>
      <c r="N29" s="53">
        <v>1</v>
      </c>
      <c r="O29" s="34">
        <v>0.5</v>
      </c>
      <c r="P29" s="53">
        <v>0.5</v>
      </c>
      <c r="Q29" s="75">
        <f t="shared" si="0"/>
        <v>0.5</v>
      </c>
      <c r="R29" s="53">
        <v>16.7</v>
      </c>
      <c r="S29" s="53">
        <v>148</v>
      </c>
      <c r="T29" s="16">
        <f t="shared" si="1"/>
        <v>22</v>
      </c>
      <c r="U29" s="53">
        <v>128</v>
      </c>
      <c r="V29" s="129">
        <f t="shared" si="2"/>
        <v>2816</v>
      </c>
      <c r="W29" s="53">
        <v>6</v>
      </c>
      <c r="X29" s="127" t="s">
        <v>39</v>
      </c>
      <c r="Y29" s="53" t="s">
        <v>78</v>
      </c>
      <c r="Z29" s="53" t="s">
        <v>102</v>
      </c>
      <c r="AA29" s="53" t="s">
        <v>90</v>
      </c>
      <c r="AB29" s="127" t="s">
        <v>237</v>
      </c>
      <c r="AC29" s="34"/>
    </row>
    <row r="30" spans="1:48" x14ac:dyDescent="0.15">
      <c r="A30" s="127" t="s">
        <v>61</v>
      </c>
      <c r="B30" s="127" t="s">
        <v>234</v>
      </c>
      <c r="C30" s="127">
        <v>2019</v>
      </c>
      <c r="D30" s="128" t="s">
        <v>285</v>
      </c>
      <c r="E30" s="127" t="s">
        <v>294</v>
      </c>
      <c r="F30" s="127" t="s">
        <v>295</v>
      </c>
      <c r="G30" s="127" t="s">
        <v>42</v>
      </c>
      <c r="H30" s="53" t="s">
        <v>160</v>
      </c>
      <c r="I30" s="53" t="s">
        <v>159</v>
      </c>
      <c r="J30" s="127" t="s">
        <v>38</v>
      </c>
      <c r="K30" s="53" t="s">
        <v>161</v>
      </c>
      <c r="L30" s="53">
        <v>2</v>
      </c>
      <c r="N30" s="53">
        <v>1</v>
      </c>
      <c r="O30" s="34">
        <v>0.5</v>
      </c>
      <c r="P30" s="53">
        <v>0.6</v>
      </c>
      <c r="Q30" s="75">
        <f t="shared" si="0"/>
        <v>0.55000000000000004</v>
      </c>
      <c r="R30" s="53">
        <v>18.899999999999999</v>
      </c>
      <c r="S30" s="53">
        <v>147</v>
      </c>
      <c r="T30" s="16">
        <f t="shared" si="1"/>
        <v>22</v>
      </c>
      <c r="U30" s="53">
        <v>128</v>
      </c>
      <c r="V30" s="129">
        <f t="shared" si="2"/>
        <v>2816</v>
      </c>
      <c r="W30" s="53">
        <v>6</v>
      </c>
      <c r="X30" s="127" t="s">
        <v>39</v>
      </c>
      <c r="Y30" s="53" t="s">
        <v>78</v>
      </c>
      <c r="Z30" s="53" t="s">
        <v>102</v>
      </c>
      <c r="AA30" s="53" t="s">
        <v>90</v>
      </c>
      <c r="AB30" s="127" t="s">
        <v>237</v>
      </c>
      <c r="AC30" s="34"/>
    </row>
    <row r="31" spans="1:48" x14ac:dyDescent="0.15">
      <c r="A31" s="127" t="s">
        <v>61</v>
      </c>
      <c r="B31" s="127" t="s">
        <v>234</v>
      </c>
      <c r="C31" s="127">
        <v>2019</v>
      </c>
      <c r="D31" s="128" t="s">
        <v>285</v>
      </c>
      <c r="E31" s="127" t="s">
        <v>294</v>
      </c>
      <c r="F31" s="127" t="s">
        <v>295</v>
      </c>
      <c r="G31" s="127" t="s">
        <v>42</v>
      </c>
      <c r="H31" s="53" t="s">
        <v>160</v>
      </c>
      <c r="I31" s="53" t="s">
        <v>159</v>
      </c>
      <c r="J31" s="127" t="s">
        <v>38</v>
      </c>
      <c r="K31" s="53" t="s">
        <v>161</v>
      </c>
      <c r="L31" s="53">
        <v>3</v>
      </c>
      <c r="N31" s="53">
        <v>1</v>
      </c>
      <c r="O31" s="34">
        <v>0.5</v>
      </c>
      <c r="P31" s="53">
        <v>0.5</v>
      </c>
      <c r="Q31" s="75">
        <f t="shared" si="0"/>
        <v>0.5</v>
      </c>
      <c r="R31" s="53">
        <v>19.2</v>
      </c>
      <c r="S31" s="53">
        <v>143</v>
      </c>
      <c r="T31" s="16">
        <f t="shared" si="1"/>
        <v>22</v>
      </c>
      <c r="U31" s="53">
        <v>128</v>
      </c>
      <c r="V31" s="129">
        <f t="shared" si="2"/>
        <v>2816</v>
      </c>
      <c r="W31" s="53">
        <v>6</v>
      </c>
      <c r="X31" s="127" t="s">
        <v>39</v>
      </c>
      <c r="Y31" s="53" t="s">
        <v>78</v>
      </c>
      <c r="Z31" s="53" t="s">
        <v>102</v>
      </c>
      <c r="AA31" s="53" t="s">
        <v>90</v>
      </c>
      <c r="AB31" s="127" t="s">
        <v>237</v>
      </c>
      <c r="AC31" s="34"/>
    </row>
    <row r="32" spans="1:48" x14ac:dyDescent="0.15">
      <c r="A32" s="127" t="s">
        <v>61</v>
      </c>
      <c r="B32" s="127" t="s">
        <v>234</v>
      </c>
      <c r="C32" s="127">
        <v>2019</v>
      </c>
      <c r="D32" s="128" t="s">
        <v>285</v>
      </c>
      <c r="E32" s="127" t="s">
        <v>296</v>
      </c>
      <c r="F32" s="127" t="s">
        <v>297</v>
      </c>
      <c r="G32" s="127" t="s">
        <v>42</v>
      </c>
      <c r="H32" s="53" t="s">
        <v>164</v>
      </c>
      <c r="I32" s="53" t="s">
        <v>159</v>
      </c>
      <c r="J32" s="127" t="s">
        <v>38</v>
      </c>
      <c r="K32" s="53" t="s">
        <v>161</v>
      </c>
      <c r="L32" s="53">
        <v>1</v>
      </c>
      <c r="N32" s="53">
        <v>1</v>
      </c>
      <c r="O32" s="34">
        <v>0.5</v>
      </c>
      <c r="P32" s="53">
        <v>0.5</v>
      </c>
      <c r="Q32" s="75">
        <f t="shared" si="0"/>
        <v>0.5</v>
      </c>
      <c r="R32" s="53">
        <v>16.899999999999999</v>
      </c>
      <c r="S32" s="53">
        <v>106</v>
      </c>
      <c r="T32" s="16">
        <f t="shared" si="1"/>
        <v>33</v>
      </c>
      <c r="U32" s="53">
        <v>98</v>
      </c>
      <c r="V32" s="129">
        <f t="shared" si="2"/>
        <v>3234</v>
      </c>
      <c r="W32" s="53">
        <v>6</v>
      </c>
      <c r="X32" s="127" t="s">
        <v>46</v>
      </c>
      <c r="Y32" s="53" t="s">
        <v>69</v>
      </c>
      <c r="Z32" s="53" t="s">
        <v>47</v>
      </c>
      <c r="AA32" s="53" t="s">
        <v>102</v>
      </c>
      <c r="AB32" s="127" t="s">
        <v>237</v>
      </c>
      <c r="AC32" s="34"/>
    </row>
    <row r="33" spans="1:29" x14ac:dyDescent="0.15">
      <c r="A33" s="127" t="s">
        <v>61</v>
      </c>
      <c r="B33" s="127" t="s">
        <v>234</v>
      </c>
      <c r="C33" s="127">
        <v>2019</v>
      </c>
      <c r="D33" s="128" t="s">
        <v>285</v>
      </c>
      <c r="E33" s="127" t="s">
        <v>296</v>
      </c>
      <c r="F33" s="127" t="s">
        <v>297</v>
      </c>
      <c r="G33" s="127" t="s">
        <v>42</v>
      </c>
      <c r="H33" s="53" t="s">
        <v>164</v>
      </c>
      <c r="I33" s="53" t="s">
        <v>159</v>
      </c>
      <c r="J33" s="127" t="s">
        <v>38</v>
      </c>
      <c r="K33" s="53" t="s">
        <v>161</v>
      </c>
      <c r="L33" s="53">
        <v>2</v>
      </c>
      <c r="N33" s="53">
        <v>1</v>
      </c>
      <c r="O33" s="34">
        <v>0.5</v>
      </c>
      <c r="P33" s="53">
        <v>0.5</v>
      </c>
      <c r="Q33" s="75">
        <f t="shared" si="0"/>
        <v>0.5</v>
      </c>
      <c r="R33" s="53">
        <v>16.899999999999999</v>
      </c>
      <c r="S33" s="53">
        <v>114</v>
      </c>
      <c r="T33" s="16">
        <f t="shared" si="1"/>
        <v>30</v>
      </c>
      <c r="U33" s="53">
        <v>98</v>
      </c>
      <c r="V33" s="129">
        <f t="shared" si="2"/>
        <v>2940</v>
      </c>
      <c r="W33" s="53">
        <v>6</v>
      </c>
      <c r="X33" s="127" t="s">
        <v>46</v>
      </c>
      <c r="Y33" s="53" t="s">
        <v>69</v>
      </c>
      <c r="Z33" s="53" t="s">
        <v>47</v>
      </c>
      <c r="AA33" s="53" t="s">
        <v>102</v>
      </c>
      <c r="AB33" s="127" t="s">
        <v>237</v>
      </c>
      <c r="AC33" s="34"/>
    </row>
    <row r="34" spans="1:29" x14ac:dyDescent="0.15">
      <c r="A34" s="127" t="s">
        <v>61</v>
      </c>
      <c r="B34" s="127" t="s">
        <v>234</v>
      </c>
      <c r="C34" s="127">
        <v>2019</v>
      </c>
      <c r="D34" s="128" t="s">
        <v>285</v>
      </c>
      <c r="E34" s="127" t="s">
        <v>296</v>
      </c>
      <c r="F34" s="127" t="s">
        <v>297</v>
      </c>
      <c r="G34" s="127" t="s">
        <v>42</v>
      </c>
      <c r="H34" s="53" t="s">
        <v>164</v>
      </c>
      <c r="I34" s="53" t="s">
        <v>159</v>
      </c>
      <c r="J34" s="127" t="s">
        <v>38</v>
      </c>
      <c r="K34" s="53" t="s">
        <v>161</v>
      </c>
      <c r="L34" s="53">
        <v>3</v>
      </c>
      <c r="N34" s="53">
        <v>1</v>
      </c>
      <c r="O34" s="34">
        <v>0.5</v>
      </c>
      <c r="P34" s="53">
        <v>0.5</v>
      </c>
      <c r="Q34" s="75">
        <f t="shared" si="0"/>
        <v>0.5</v>
      </c>
      <c r="R34" s="53">
        <v>16.899999999999999</v>
      </c>
      <c r="S34" s="53">
        <v>115</v>
      </c>
      <c r="T34" s="16">
        <f t="shared" si="1"/>
        <v>30</v>
      </c>
      <c r="U34" s="53">
        <v>98</v>
      </c>
      <c r="V34" s="129">
        <f t="shared" si="2"/>
        <v>2940</v>
      </c>
      <c r="W34" s="53">
        <v>6</v>
      </c>
      <c r="X34" s="127" t="s">
        <v>46</v>
      </c>
      <c r="Y34" s="53" t="s">
        <v>69</v>
      </c>
      <c r="Z34" s="53" t="s">
        <v>47</v>
      </c>
      <c r="AA34" s="53" t="s">
        <v>102</v>
      </c>
      <c r="AB34" s="127" t="s">
        <v>237</v>
      </c>
      <c r="AC34" s="34"/>
    </row>
    <row r="35" spans="1:29" x14ac:dyDescent="0.15">
      <c r="A35" s="127" t="s">
        <v>61</v>
      </c>
      <c r="B35" s="127" t="s">
        <v>234</v>
      </c>
      <c r="C35" s="127">
        <v>2019</v>
      </c>
      <c r="D35" s="128" t="s">
        <v>285</v>
      </c>
      <c r="E35" s="127" t="s">
        <v>296</v>
      </c>
      <c r="F35" s="127" t="s">
        <v>297</v>
      </c>
      <c r="G35" s="127" t="s">
        <v>42</v>
      </c>
      <c r="H35" s="53" t="s">
        <v>160</v>
      </c>
      <c r="I35" s="53" t="s">
        <v>159</v>
      </c>
      <c r="J35" s="127" t="s">
        <v>38</v>
      </c>
      <c r="K35" s="53" t="s">
        <v>161</v>
      </c>
      <c r="L35" s="53">
        <v>1</v>
      </c>
      <c r="N35" s="53">
        <v>1</v>
      </c>
      <c r="O35" s="34">
        <v>0.5</v>
      </c>
      <c r="P35" s="53">
        <v>0.5</v>
      </c>
      <c r="Q35" s="75">
        <f t="shared" si="0"/>
        <v>0.5</v>
      </c>
      <c r="R35" s="53">
        <v>17.8</v>
      </c>
      <c r="S35" s="53">
        <v>139</v>
      </c>
      <c r="T35" s="16">
        <f t="shared" si="1"/>
        <v>22</v>
      </c>
      <c r="U35" s="53">
        <v>128</v>
      </c>
      <c r="V35" s="129">
        <f t="shared" si="2"/>
        <v>2816</v>
      </c>
      <c r="W35" s="53">
        <v>6</v>
      </c>
      <c r="X35" s="127" t="s">
        <v>46</v>
      </c>
      <c r="Y35" s="53" t="s">
        <v>69</v>
      </c>
      <c r="Z35" s="53" t="s">
        <v>47</v>
      </c>
      <c r="AA35" s="53" t="s">
        <v>102</v>
      </c>
      <c r="AB35" s="127" t="s">
        <v>237</v>
      </c>
      <c r="AC35" s="34"/>
    </row>
    <row r="36" spans="1:29" x14ac:dyDescent="0.15">
      <c r="A36" s="127" t="s">
        <v>61</v>
      </c>
      <c r="B36" s="127" t="s">
        <v>234</v>
      </c>
      <c r="C36" s="127">
        <v>2019</v>
      </c>
      <c r="D36" s="128" t="s">
        <v>285</v>
      </c>
      <c r="E36" s="127" t="s">
        <v>296</v>
      </c>
      <c r="F36" s="127" t="s">
        <v>297</v>
      </c>
      <c r="G36" s="127" t="s">
        <v>42</v>
      </c>
      <c r="H36" s="53" t="s">
        <v>160</v>
      </c>
      <c r="I36" s="53" t="s">
        <v>159</v>
      </c>
      <c r="J36" s="127" t="s">
        <v>38</v>
      </c>
      <c r="K36" s="53" t="s">
        <v>161</v>
      </c>
      <c r="L36" s="53">
        <v>2</v>
      </c>
      <c r="N36" s="53">
        <v>1</v>
      </c>
      <c r="O36" s="34">
        <v>0.5</v>
      </c>
      <c r="P36" s="53">
        <v>0.5</v>
      </c>
      <c r="Q36" s="75">
        <f t="shared" si="0"/>
        <v>0.5</v>
      </c>
      <c r="R36" s="53">
        <v>19.7</v>
      </c>
      <c r="S36" s="53">
        <v>147</v>
      </c>
      <c r="T36" s="16">
        <f t="shared" si="1"/>
        <v>22</v>
      </c>
      <c r="U36" s="53">
        <v>128</v>
      </c>
      <c r="V36" s="129">
        <f t="shared" si="2"/>
        <v>2816</v>
      </c>
      <c r="W36" s="53">
        <v>6</v>
      </c>
      <c r="X36" s="127" t="s">
        <v>46</v>
      </c>
      <c r="Y36" s="53" t="s">
        <v>69</v>
      </c>
      <c r="Z36" s="53" t="s">
        <v>47</v>
      </c>
      <c r="AA36" s="53" t="s">
        <v>102</v>
      </c>
      <c r="AB36" s="127" t="s">
        <v>237</v>
      </c>
      <c r="AC36" s="34"/>
    </row>
    <row r="37" spans="1:29" x14ac:dyDescent="0.15">
      <c r="A37" s="127" t="s">
        <v>61</v>
      </c>
      <c r="B37" s="127" t="s">
        <v>234</v>
      </c>
      <c r="C37" s="127">
        <v>2019</v>
      </c>
      <c r="D37" s="128" t="s">
        <v>285</v>
      </c>
      <c r="E37" s="127" t="s">
        <v>296</v>
      </c>
      <c r="F37" s="127" t="s">
        <v>297</v>
      </c>
      <c r="G37" s="127" t="s">
        <v>42</v>
      </c>
      <c r="H37" s="53" t="s">
        <v>160</v>
      </c>
      <c r="I37" s="53" t="s">
        <v>159</v>
      </c>
      <c r="J37" s="127" t="s">
        <v>38</v>
      </c>
      <c r="K37" s="53" t="s">
        <v>161</v>
      </c>
      <c r="L37" s="53">
        <v>3</v>
      </c>
      <c r="N37" s="53">
        <v>1</v>
      </c>
      <c r="O37" s="53">
        <v>0.75</v>
      </c>
      <c r="P37" s="53">
        <v>0.65</v>
      </c>
      <c r="Q37" s="75">
        <f t="shared" si="0"/>
        <v>0.7</v>
      </c>
      <c r="R37" s="53">
        <v>17.7</v>
      </c>
      <c r="S37" s="53">
        <v>136</v>
      </c>
      <c r="T37" s="16">
        <f t="shared" si="1"/>
        <v>25</v>
      </c>
      <c r="U37" s="53">
        <v>128</v>
      </c>
      <c r="V37" s="129">
        <f t="shared" si="2"/>
        <v>3200</v>
      </c>
      <c r="W37" s="53">
        <v>6</v>
      </c>
      <c r="X37" s="127" t="s">
        <v>46</v>
      </c>
      <c r="Y37" s="53" t="s">
        <v>69</v>
      </c>
      <c r="Z37" s="53" t="s">
        <v>47</v>
      </c>
      <c r="AA37" s="53" t="s">
        <v>102</v>
      </c>
      <c r="AB37" s="127" t="s">
        <v>237</v>
      </c>
      <c r="AC37" s="34"/>
    </row>
    <row r="38" spans="1:29" x14ac:dyDescent="0.15">
      <c r="A38" s="127" t="s">
        <v>61</v>
      </c>
      <c r="B38" s="127" t="s">
        <v>234</v>
      </c>
      <c r="C38" s="127">
        <v>2019</v>
      </c>
      <c r="D38" s="128" t="s">
        <v>285</v>
      </c>
      <c r="E38" s="127" t="s">
        <v>298</v>
      </c>
      <c r="F38" s="127" t="s">
        <v>299</v>
      </c>
      <c r="G38" s="127" t="s">
        <v>42</v>
      </c>
      <c r="H38" s="53" t="s">
        <v>164</v>
      </c>
      <c r="I38" s="53" t="s">
        <v>159</v>
      </c>
      <c r="J38" s="127" t="s">
        <v>38</v>
      </c>
      <c r="K38" s="53" t="s">
        <v>161</v>
      </c>
      <c r="L38" s="53">
        <v>1</v>
      </c>
      <c r="N38" s="53">
        <v>1</v>
      </c>
      <c r="O38" s="34">
        <v>0.75</v>
      </c>
      <c r="P38" s="53">
        <v>0.75</v>
      </c>
      <c r="Q38" s="75">
        <f t="shared" si="0"/>
        <v>0.75</v>
      </c>
      <c r="R38" s="53">
        <v>17.5</v>
      </c>
      <c r="S38" s="53">
        <v>142</v>
      </c>
      <c r="T38" s="16">
        <f t="shared" si="1"/>
        <v>22</v>
      </c>
      <c r="U38" s="53">
        <v>116</v>
      </c>
      <c r="V38" s="129">
        <f t="shared" si="2"/>
        <v>2552</v>
      </c>
      <c r="W38" s="53">
        <v>6</v>
      </c>
      <c r="X38" s="127" t="s">
        <v>39</v>
      </c>
      <c r="Y38" s="53" t="s">
        <v>102</v>
      </c>
      <c r="Z38" s="53" t="s">
        <v>69</v>
      </c>
      <c r="AA38" s="53" t="s">
        <v>90</v>
      </c>
      <c r="AB38" s="127" t="s">
        <v>237</v>
      </c>
    </row>
    <row r="39" spans="1:29" x14ac:dyDescent="0.15">
      <c r="A39" s="127" t="s">
        <v>61</v>
      </c>
      <c r="B39" s="127" t="s">
        <v>234</v>
      </c>
      <c r="C39" s="127">
        <v>2019</v>
      </c>
      <c r="D39" s="128" t="s">
        <v>285</v>
      </c>
      <c r="E39" s="127" t="s">
        <v>298</v>
      </c>
      <c r="F39" s="127" t="s">
        <v>299</v>
      </c>
      <c r="G39" s="127" t="s">
        <v>42</v>
      </c>
      <c r="H39" s="53" t="s">
        <v>164</v>
      </c>
      <c r="I39" s="53" t="s">
        <v>159</v>
      </c>
      <c r="J39" s="127" t="s">
        <v>38</v>
      </c>
      <c r="K39" s="53" t="s">
        <v>161</v>
      </c>
      <c r="L39" s="53">
        <v>2</v>
      </c>
      <c r="N39" s="53">
        <v>1</v>
      </c>
      <c r="O39" s="34">
        <v>0.5</v>
      </c>
      <c r="P39" s="53">
        <v>0.5</v>
      </c>
      <c r="Q39" s="75">
        <f t="shared" si="0"/>
        <v>0.5</v>
      </c>
      <c r="R39" s="53">
        <v>17.399999999999999</v>
      </c>
      <c r="S39" s="53">
        <v>141</v>
      </c>
      <c r="T39" s="16">
        <f t="shared" si="1"/>
        <v>22</v>
      </c>
      <c r="U39" s="53">
        <v>116</v>
      </c>
      <c r="V39" s="129">
        <f t="shared" si="2"/>
        <v>2552</v>
      </c>
      <c r="W39" s="53">
        <v>6</v>
      </c>
      <c r="X39" s="127" t="s">
        <v>39</v>
      </c>
      <c r="Y39" s="53" t="s">
        <v>102</v>
      </c>
      <c r="Z39" s="53" t="s">
        <v>69</v>
      </c>
      <c r="AA39" s="53" t="s">
        <v>90</v>
      </c>
      <c r="AB39" s="127" t="s">
        <v>237</v>
      </c>
    </row>
    <row r="40" spans="1:29" x14ac:dyDescent="0.15">
      <c r="A40" s="127" t="s">
        <v>61</v>
      </c>
      <c r="B40" s="127" t="s">
        <v>234</v>
      </c>
      <c r="C40" s="127">
        <v>2019</v>
      </c>
      <c r="D40" s="128" t="s">
        <v>285</v>
      </c>
      <c r="E40" s="127" t="s">
        <v>298</v>
      </c>
      <c r="F40" s="127" t="s">
        <v>299</v>
      </c>
      <c r="G40" s="127" t="s">
        <v>42</v>
      </c>
      <c r="H40" s="53" t="s">
        <v>164</v>
      </c>
      <c r="I40" s="53" t="s">
        <v>159</v>
      </c>
      <c r="J40" s="127" t="s">
        <v>38</v>
      </c>
      <c r="K40" s="53" t="s">
        <v>161</v>
      </c>
      <c r="L40" s="53">
        <v>3</v>
      </c>
      <c r="N40" s="53">
        <v>1</v>
      </c>
      <c r="O40" s="34">
        <v>0.5</v>
      </c>
      <c r="P40" s="53">
        <v>0.5</v>
      </c>
      <c r="Q40" s="75">
        <f t="shared" si="0"/>
        <v>0.5</v>
      </c>
      <c r="R40" s="53">
        <v>17.2</v>
      </c>
      <c r="S40" s="53">
        <v>138</v>
      </c>
      <c r="T40" s="16">
        <f t="shared" si="1"/>
        <v>22</v>
      </c>
      <c r="U40" s="53">
        <v>116</v>
      </c>
      <c r="V40" s="129">
        <f t="shared" si="2"/>
        <v>2552</v>
      </c>
      <c r="W40" s="53">
        <v>6</v>
      </c>
      <c r="X40" s="127" t="s">
        <v>39</v>
      </c>
      <c r="Y40" s="53" t="s">
        <v>102</v>
      </c>
      <c r="Z40" s="53" t="s">
        <v>69</v>
      </c>
      <c r="AA40" s="53" t="s">
        <v>90</v>
      </c>
      <c r="AB40" s="127" t="s">
        <v>237</v>
      </c>
    </row>
    <row r="41" spans="1:29" x14ac:dyDescent="0.15">
      <c r="A41" s="127" t="s">
        <v>61</v>
      </c>
      <c r="B41" s="127" t="s">
        <v>234</v>
      </c>
      <c r="C41" s="127">
        <v>2019</v>
      </c>
      <c r="D41" s="128" t="s">
        <v>285</v>
      </c>
      <c r="E41" s="127" t="s">
        <v>298</v>
      </c>
      <c r="F41" s="127" t="s">
        <v>299</v>
      </c>
      <c r="G41" s="127" t="s">
        <v>42</v>
      </c>
      <c r="H41" s="53" t="s">
        <v>160</v>
      </c>
      <c r="I41" s="53" t="s">
        <v>159</v>
      </c>
      <c r="J41" s="127" t="s">
        <v>38</v>
      </c>
      <c r="K41" s="53" t="s">
        <v>161</v>
      </c>
      <c r="L41" s="53">
        <v>1</v>
      </c>
      <c r="N41" s="53">
        <v>1</v>
      </c>
      <c r="O41" s="34">
        <v>0.7</v>
      </c>
      <c r="P41" s="53">
        <v>0.9</v>
      </c>
      <c r="Q41" s="75">
        <f t="shared" si="0"/>
        <v>0.8</v>
      </c>
      <c r="R41" s="53">
        <v>17.7</v>
      </c>
      <c r="S41" s="53">
        <v>151</v>
      </c>
      <c r="T41" s="16">
        <f t="shared" si="1"/>
        <v>22</v>
      </c>
      <c r="U41" s="53">
        <v>116</v>
      </c>
      <c r="V41" s="129">
        <f t="shared" si="2"/>
        <v>2552</v>
      </c>
      <c r="W41" s="53">
        <v>6</v>
      </c>
      <c r="X41" s="127" t="s">
        <v>39</v>
      </c>
      <c r="Y41" s="53" t="s">
        <v>102</v>
      </c>
      <c r="Z41" s="53" t="s">
        <v>69</v>
      </c>
      <c r="AA41" s="53" t="s">
        <v>90</v>
      </c>
      <c r="AB41" s="127" t="s">
        <v>237</v>
      </c>
      <c r="AC41" s="34"/>
    </row>
    <row r="42" spans="1:29" x14ac:dyDescent="0.15">
      <c r="A42" s="127" t="s">
        <v>61</v>
      </c>
      <c r="B42" s="127" t="s">
        <v>234</v>
      </c>
      <c r="C42" s="127">
        <v>2019</v>
      </c>
      <c r="D42" s="128" t="s">
        <v>285</v>
      </c>
      <c r="E42" s="127" t="s">
        <v>298</v>
      </c>
      <c r="F42" s="127" t="s">
        <v>299</v>
      </c>
      <c r="G42" s="127" t="s">
        <v>42</v>
      </c>
      <c r="H42" s="53" t="s">
        <v>160</v>
      </c>
      <c r="I42" s="53" t="s">
        <v>159</v>
      </c>
      <c r="J42" s="127" t="s">
        <v>38</v>
      </c>
      <c r="K42" s="53" t="s">
        <v>161</v>
      </c>
      <c r="L42" s="53">
        <v>2</v>
      </c>
      <c r="N42" s="53">
        <v>1</v>
      </c>
      <c r="O42" s="34">
        <v>0.5</v>
      </c>
      <c r="P42" s="53">
        <v>0.5</v>
      </c>
      <c r="Q42" s="75">
        <f t="shared" si="0"/>
        <v>0.5</v>
      </c>
      <c r="R42" s="53">
        <v>19.600000000000001</v>
      </c>
      <c r="S42" s="53">
        <v>139</v>
      </c>
      <c r="T42" s="16">
        <f t="shared" si="1"/>
        <v>22</v>
      </c>
      <c r="U42" s="53">
        <v>116</v>
      </c>
      <c r="V42" s="129">
        <f t="shared" si="2"/>
        <v>2552</v>
      </c>
      <c r="W42" s="53">
        <v>6</v>
      </c>
      <c r="X42" s="127" t="s">
        <v>39</v>
      </c>
      <c r="Y42" s="53" t="s">
        <v>102</v>
      </c>
      <c r="Z42" s="53" t="s">
        <v>69</v>
      </c>
      <c r="AA42" s="53" t="s">
        <v>90</v>
      </c>
      <c r="AB42" s="127" t="s">
        <v>237</v>
      </c>
      <c r="AC42" s="34"/>
    </row>
    <row r="43" spans="1:29" x14ac:dyDescent="0.15">
      <c r="A43" s="127" t="s">
        <v>61</v>
      </c>
      <c r="B43" s="127" t="s">
        <v>234</v>
      </c>
      <c r="C43" s="127">
        <v>2019</v>
      </c>
      <c r="D43" s="128" t="s">
        <v>285</v>
      </c>
      <c r="E43" s="127" t="s">
        <v>298</v>
      </c>
      <c r="F43" s="127" t="s">
        <v>299</v>
      </c>
      <c r="G43" s="127" t="s">
        <v>42</v>
      </c>
      <c r="H43" s="53" t="s">
        <v>160</v>
      </c>
      <c r="I43" s="53" t="s">
        <v>159</v>
      </c>
      <c r="J43" s="127" t="s">
        <v>38</v>
      </c>
      <c r="K43" s="53" t="s">
        <v>161</v>
      </c>
      <c r="L43" s="53">
        <v>3</v>
      </c>
      <c r="N43" s="53">
        <v>1</v>
      </c>
      <c r="O43" s="34">
        <v>0.5</v>
      </c>
      <c r="P43" s="53">
        <v>0.5</v>
      </c>
      <c r="Q43" s="75">
        <f t="shared" si="0"/>
        <v>0.5</v>
      </c>
      <c r="R43" s="34">
        <v>18.8</v>
      </c>
      <c r="S43" s="53">
        <v>150</v>
      </c>
      <c r="T43" s="16">
        <f t="shared" si="1"/>
        <v>22</v>
      </c>
      <c r="U43" s="53">
        <v>116</v>
      </c>
      <c r="V43" s="129">
        <f t="shared" si="2"/>
        <v>2552</v>
      </c>
      <c r="W43" s="53">
        <v>6</v>
      </c>
      <c r="X43" s="127" t="s">
        <v>39</v>
      </c>
      <c r="Y43" s="53" t="s">
        <v>102</v>
      </c>
      <c r="Z43" s="53" t="s">
        <v>69</v>
      </c>
      <c r="AA43" s="53" t="s">
        <v>90</v>
      </c>
      <c r="AB43" s="127" t="s">
        <v>237</v>
      </c>
      <c r="AC43" s="34"/>
    </row>
    <row r="44" spans="1:29" x14ac:dyDescent="0.15">
      <c r="A44" s="127" t="s">
        <v>61</v>
      </c>
      <c r="B44" s="127" t="s">
        <v>234</v>
      </c>
      <c r="C44" s="127">
        <v>2019</v>
      </c>
      <c r="D44" s="128" t="s">
        <v>285</v>
      </c>
      <c r="E44" s="127" t="s">
        <v>133</v>
      </c>
      <c r="F44" s="127" t="s">
        <v>300</v>
      </c>
      <c r="G44" s="127" t="s">
        <v>42</v>
      </c>
      <c r="H44" s="53" t="s">
        <v>164</v>
      </c>
      <c r="I44" s="53" t="s">
        <v>159</v>
      </c>
      <c r="J44" s="127" t="s">
        <v>38</v>
      </c>
      <c r="K44" s="53" t="s">
        <v>161</v>
      </c>
      <c r="L44" s="53">
        <v>1</v>
      </c>
      <c r="N44" s="53">
        <v>1</v>
      </c>
      <c r="O44" s="53">
        <v>0.75</v>
      </c>
      <c r="P44" s="53">
        <v>0.75</v>
      </c>
      <c r="Q44" s="75">
        <f t="shared" si="0"/>
        <v>0.75</v>
      </c>
      <c r="R44" s="53">
        <v>17.899999999999999</v>
      </c>
      <c r="S44" s="53">
        <v>104</v>
      </c>
      <c r="T44" s="16">
        <f t="shared" si="1"/>
        <v>33</v>
      </c>
      <c r="U44" s="53">
        <v>98</v>
      </c>
      <c r="V44" s="129">
        <f t="shared" si="2"/>
        <v>3234</v>
      </c>
      <c r="W44" s="53">
        <v>16</v>
      </c>
      <c r="X44" s="127" t="s">
        <v>46</v>
      </c>
      <c r="Y44" s="53" t="s">
        <v>78</v>
      </c>
      <c r="Z44" s="53" t="s">
        <v>102</v>
      </c>
      <c r="AA44" s="53" t="s">
        <v>90</v>
      </c>
      <c r="AB44" s="127" t="s">
        <v>237</v>
      </c>
      <c r="AC44" s="34"/>
    </row>
    <row r="45" spans="1:29" x14ac:dyDescent="0.15">
      <c r="A45" s="127" t="s">
        <v>61</v>
      </c>
      <c r="B45" s="127" t="s">
        <v>234</v>
      </c>
      <c r="C45" s="127">
        <v>2019</v>
      </c>
      <c r="D45" s="128" t="s">
        <v>285</v>
      </c>
      <c r="E45" s="127" t="s">
        <v>133</v>
      </c>
      <c r="F45" s="127" t="s">
        <v>300</v>
      </c>
      <c r="G45" s="127" t="s">
        <v>42</v>
      </c>
      <c r="H45" s="53" t="s">
        <v>164</v>
      </c>
      <c r="I45" s="53" t="s">
        <v>159</v>
      </c>
      <c r="J45" s="127" t="s">
        <v>38</v>
      </c>
      <c r="K45" s="53" t="s">
        <v>161</v>
      </c>
      <c r="L45" s="53">
        <v>2</v>
      </c>
      <c r="N45" s="53">
        <v>1</v>
      </c>
      <c r="O45" s="53">
        <v>0.9</v>
      </c>
      <c r="P45" s="53">
        <v>0.95</v>
      </c>
      <c r="Q45" s="75">
        <f t="shared" si="0"/>
        <v>0.92500000000000004</v>
      </c>
      <c r="R45" s="53">
        <v>16.399999999999999</v>
      </c>
      <c r="S45" s="53">
        <v>119</v>
      </c>
      <c r="T45" s="16">
        <f t="shared" si="1"/>
        <v>30</v>
      </c>
      <c r="U45" s="53">
        <v>98</v>
      </c>
      <c r="V45" s="129">
        <f t="shared" si="2"/>
        <v>2940</v>
      </c>
      <c r="W45" s="53">
        <v>16</v>
      </c>
      <c r="X45" s="127" t="s">
        <v>46</v>
      </c>
      <c r="Y45" s="53" t="s">
        <v>78</v>
      </c>
      <c r="Z45" s="53" t="s">
        <v>102</v>
      </c>
      <c r="AA45" s="53" t="s">
        <v>90</v>
      </c>
      <c r="AB45" s="127" t="s">
        <v>237</v>
      </c>
      <c r="AC45" s="34"/>
    </row>
    <row r="46" spans="1:29" x14ac:dyDescent="0.15">
      <c r="A46" s="127" t="s">
        <v>61</v>
      </c>
      <c r="B46" s="127" t="s">
        <v>234</v>
      </c>
      <c r="C46" s="127">
        <v>2019</v>
      </c>
      <c r="D46" s="128" t="s">
        <v>285</v>
      </c>
      <c r="E46" s="127" t="s">
        <v>133</v>
      </c>
      <c r="F46" s="127" t="s">
        <v>300</v>
      </c>
      <c r="G46" s="127" t="s">
        <v>42</v>
      </c>
      <c r="H46" s="53" t="s">
        <v>164</v>
      </c>
      <c r="I46" s="53" t="s">
        <v>159</v>
      </c>
      <c r="J46" s="127" t="s">
        <v>38</v>
      </c>
      <c r="K46" s="53" t="s">
        <v>161</v>
      </c>
      <c r="L46" s="53">
        <v>3</v>
      </c>
      <c r="N46" s="53">
        <v>1</v>
      </c>
      <c r="O46" s="53">
        <v>0.8</v>
      </c>
      <c r="P46" s="53">
        <v>0.75</v>
      </c>
      <c r="Q46" s="75">
        <f t="shared" si="0"/>
        <v>0.77500000000000002</v>
      </c>
      <c r="R46" s="53">
        <v>17.7</v>
      </c>
      <c r="S46" s="53">
        <v>119</v>
      </c>
      <c r="T46" s="16">
        <f t="shared" si="1"/>
        <v>30</v>
      </c>
      <c r="U46" s="53">
        <v>98</v>
      </c>
      <c r="V46" s="129">
        <f t="shared" si="2"/>
        <v>2940</v>
      </c>
      <c r="W46" s="53">
        <v>16</v>
      </c>
      <c r="X46" s="127" t="s">
        <v>46</v>
      </c>
      <c r="Y46" s="53" t="s">
        <v>78</v>
      </c>
      <c r="Z46" s="53" t="s">
        <v>102</v>
      </c>
      <c r="AA46" s="53" t="s">
        <v>90</v>
      </c>
      <c r="AB46" s="127" t="s">
        <v>237</v>
      </c>
      <c r="AC46" s="34"/>
    </row>
    <row r="47" spans="1:29" x14ac:dyDescent="0.15">
      <c r="A47" s="127" t="s">
        <v>61</v>
      </c>
      <c r="B47" s="127" t="s">
        <v>234</v>
      </c>
      <c r="C47" s="127">
        <v>2019</v>
      </c>
      <c r="D47" s="128" t="s">
        <v>285</v>
      </c>
      <c r="E47" s="127" t="s">
        <v>133</v>
      </c>
      <c r="F47" s="127" t="s">
        <v>300</v>
      </c>
      <c r="G47" s="127" t="s">
        <v>42</v>
      </c>
      <c r="H47" s="53" t="s">
        <v>160</v>
      </c>
      <c r="I47" s="53" t="s">
        <v>159</v>
      </c>
      <c r="J47" s="127" t="s">
        <v>38</v>
      </c>
      <c r="K47" s="53" t="s">
        <v>161</v>
      </c>
      <c r="L47" s="53">
        <v>1</v>
      </c>
      <c r="N47" s="53">
        <v>1</v>
      </c>
      <c r="O47" s="53">
        <v>0.5</v>
      </c>
      <c r="P47" s="53">
        <v>0.5</v>
      </c>
      <c r="Q47" s="75">
        <f t="shared" si="0"/>
        <v>0.5</v>
      </c>
      <c r="R47" s="53">
        <v>17.399999999999999</v>
      </c>
      <c r="S47" s="53">
        <v>123</v>
      </c>
      <c r="T47" s="16">
        <f t="shared" si="1"/>
        <v>27</v>
      </c>
      <c r="U47" s="53">
        <v>148</v>
      </c>
      <c r="V47" s="129">
        <f t="shared" si="2"/>
        <v>3996</v>
      </c>
      <c r="W47" s="53">
        <v>16</v>
      </c>
      <c r="X47" s="127" t="s">
        <v>46</v>
      </c>
      <c r="Y47" s="53" t="s">
        <v>78</v>
      </c>
      <c r="Z47" s="53" t="s">
        <v>102</v>
      </c>
      <c r="AA47" s="53" t="s">
        <v>90</v>
      </c>
      <c r="AB47" s="127" t="s">
        <v>237</v>
      </c>
      <c r="AC47" s="34"/>
    </row>
    <row r="48" spans="1:29" x14ac:dyDescent="0.15">
      <c r="A48" s="127" t="s">
        <v>61</v>
      </c>
      <c r="B48" s="127" t="s">
        <v>234</v>
      </c>
      <c r="C48" s="127">
        <v>2019</v>
      </c>
      <c r="D48" s="128" t="s">
        <v>285</v>
      </c>
      <c r="E48" s="127" t="s">
        <v>133</v>
      </c>
      <c r="F48" s="127" t="s">
        <v>300</v>
      </c>
      <c r="G48" s="127" t="s">
        <v>42</v>
      </c>
      <c r="H48" s="53" t="s">
        <v>160</v>
      </c>
      <c r="I48" s="53" t="s">
        <v>159</v>
      </c>
      <c r="J48" s="127" t="s">
        <v>38</v>
      </c>
      <c r="K48" s="53" t="s">
        <v>161</v>
      </c>
      <c r="L48" s="53">
        <v>2</v>
      </c>
      <c r="N48" s="53">
        <v>1</v>
      </c>
      <c r="O48" s="53">
        <v>0.5</v>
      </c>
      <c r="P48" s="53">
        <v>0.5</v>
      </c>
      <c r="Q48" s="75">
        <f t="shared" si="0"/>
        <v>0.5</v>
      </c>
      <c r="R48" s="53">
        <v>17.600000000000001</v>
      </c>
      <c r="S48" s="53">
        <v>104</v>
      </c>
      <c r="T48" s="16">
        <f t="shared" si="1"/>
        <v>33</v>
      </c>
      <c r="U48" s="53">
        <v>148</v>
      </c>
      <c r="V48" s="129">
        <f t="shared" si="2"/>
        <v>4884</v>
      </c>
      <c r="W48" s="53">
        <v>16</v>
      </c>
      <c r="X48" s="127" t="s">
        <v>46</v>
      </c>
      <c r="Y48" s="53" t="s">
        <v>78</v>
      </c>
      <c r="Z48" s="53" t="s">
        <v>102</v>
      </c>
      <c r="AA48" s="53" t="s">
        <v>90</v>
      </c>
      <c r="AB48" s="127" t="s">
        <v>237</v>
      </c>
      <c r="AC48" s="34"/>
    </row>
    <row r="49" spans="1:29" x14ac:dyDescent="0.15">
      <c r="A49" s="127" t="s">
        <v>61</v>
      </c>
      <c r="B49" s="127" t="s">
        <v>234</v>
      </c>
      <c r="C49" s="127">
        <v>2019</v>
      </c>
      <c r="D49" s="128" t="s">
        <v>285</v>
      </c>
      <c r="E49" s="127" t="s">
        <v>133</v>
      </c>
      <c r="F49" s="127" t="s">
        <v>300</v>
      </c>
      <c r="G49" s="127" t="s">
        <v>42</v>
      </c>
      <c r="H49" s="53" t="s">
        <v>160</v>
      </c>
      <c r="I49" s="53" t="s">
        <v>159</v>
      </c>
      <c r="J49" s="127" t="s">
        <v>38</v>
      </c>
      <c r="K49" s="53" t="s">
        <v>161</v>
      </c>
      <c r="L49" s="53">
        <v>3</v>
      </c>
      <c r="N49" s="53">
        <v>1</v>
      </c>
      <c r="O49" s="53">
        <v>0.5</v>
      </c>
      <c r="P49" s="53">
        <v>0.5</v>
      </c>
      <c r="Q49" s="75">
        <f t="shared" si="0"/>
        <v>0.5</v>
      </c>
      <c r="R49" s="53">
        <v>18.8</v>
      </c>
      <c r="S49" s="53">
        <v>116</v>
      </c>
      <c r="T49" s="16">
        <f t="shared" si="1"/>
        <v>30</v>
      </c>
      <c r="U49" s="53">
        <v>148</v>
      </c>
      <c r="V49" s="129">
        <f t="shared" si="2"/>
        <v>4440</v>
      </c>
      <c r="W49" s="53">
        <v>16</v>
      </c>
      <c r="X49" s="127" t="s">
        <v>46</v>
      </c>
      <c r="Y49" s="53" t="s">
        <v>78</v>
      </c>
      <c r="Z49" s="53" t="s">
        <v>102</v>
      </c>
      <c r="AA49" s="53" t="s">
        <v>90</v>
      </c>
      <c r="AB49" s="127" t="s">
        <v>237</v>
      </c>
      <c r="AC49" s="34"/>
    </row>
    <row r="50" spans="1:29" x14ac:dyDescent="0.15">
      <c r="A50" s="127" t="s">
        <v>61</v>
      </c>
      <c r="B50" s="127" t="s">
        <v>234</v>
      </c>
      <c r="C50" s="127">
        <v>2019</v>
      </c>
      <c r="D50" s="128" t="s">
        <v>285</v>
      </c>
      <c r="E50" s="127" t="s">
        <v>301</v>
      </c>
      <c r="F50" s="127" t="s">
        <v>302</v>
      </c>
      <c r="G50" s="127" t="s">
        <v>42</v>
      </c>
      <c r="H50" s="53" t="s">
        <v>164</v>
      </c>
      <c r="I50" s="53" t="s">
        <v>159</v>
      </c>
      <c r="J50" s="127" t="s">
        <v>38</v>
      </c>
      <c r="K50" s="53" t="s">
        <v>161</v>
      </c>
      <c r="L50" s="53">
        <v>1</v>
      </c>
      <c r="N50" s="53">
        <v>1</v>
      </c>
      <c r="O50" s="53">
        <v>0.5</v>
      </c>
      <c r="P50" s="53">
        <v>0.5</v>
      </c>
      <c r="Q50" s="75">
        <f t="shared" si="0"/>
        <v>0.5</v>
      </c>
      <c r="R50" s="53">
        <v>17.5</v>
      </c>
      <c r="S50" s="53">
        <v>139</v>
      </c>
      <c r="T50" s="16">
        <f t="shared" si="1"/>
        <v>22</v>
      </c>
      <c r="U50" s="53">
        <v>128</v>
      </c>
      <c r="V50" s="129">
        <f t="shared" si="2"/>
        <v>2816</v>
      </c>
      <c r="W50" s="53">
        <v>12</v>
      </c>
      <c r="X50" s="127" t="s">
        <v>46</v>
      </c>
      <c r="Y50" s="53" t="s">
        <v>78</v>
      </c>
      <c r="Z50" s="53" t="s">
        <v>102</v>
      </c>
      <c r="AA50" s="53" t="s">
        <v>90</v>
      </c>
      <c r="AB50" s="127" t="s">
        <v>237</v>
      </c>
      <c r="AC50" s="34"/>
    </row>
    <row r="51" spans="1:29" x14ac:dyDescent="0.15">
      <c r="A51" s="127" t="s">
        <v>61</v>
      </c>
      <c r="B51" s="127" t="s">
        <v>234</v>
      </c>
      <c r="C51" s="127">
        <v>2019</v>
      </c>
      <c r="D51" s="128" t="s">
        <v>285</v>
      </c>
      <c r="E51" s="127" t="s">
        <v>301</v>
      </c>
      <c r="F51" s="127" t="s">
        <v>302</v>
      </c>
      <c r="G51" s="127" t="s">
        <v>42</v>
      </c>
      <c r="H51" s="53" t="s">
        <v>164</v>
      </c>
      <c r="I51" s="53" t="s">
        <v>159</v>
      </c>
      <c r="J51" s="127" t="s">
        <v>38</v>
      </c>
      <c r="K51" s="53" t="s">
        <v>161</v>
      </c>
      <c r="L51" s="53">
        <v>2</v>
      </c>
      <c r="N51" s="53">
        <v>1</v>
      </c>
      <c r="O51" s="53">
        <v>0.7</v>
      </c>
      <c r="P51" s="53">
        <v>0.8</v>
      </c>
      <c r="Q51" s="75">
        <f t="shared" si="0"/>
        <v>0.75</v>
      </c>
      <c r="R51" s="53">
        <v>18.100000000000001</v>
      </c>
      <c r="S51" s="53">
        <v>145</v>
      </c>
      <c r="T51" s="16">
        <f t="shared" si="1"/>
        <v>22</v>
      </c>
      <c r="U51" s="53">
        <v>128</v>
      </c>
      <c r="V51" s="129">
        <f t="shared" si="2"/>
        <v>2816</v>
      </c>
      <c r="W51" s="53">
        <v>12</v>
      </c>
      <c r="X51" s="127" t="s">
        <v>46</v>
      </c>
      <c r="Y51" s="53" t="s">
        <v>78</v>
      </c>
      <c r="Z51" s="53" t="s">
        <v>102</v>
      </c>
      <c r="AA51" s="53" t="s">
        <v>90</v>
      </c>
      <c r="AB51" s="127" t="s">
        <v>237</v>
      </c>
      <c r="AC51" s="34"/>
    </row>
    <row r="52" spans="1:29" x14ac:dyDescent="0.15">
      <c r="A52" s="127" t="s">
        <v>61</v>
      </c>
      <c r="B52" s="127" t="s">
        <v>234</v>
      </c>
      <c r="C52" s="127">
        <v>2019</v>
      </c>
      <c r="D52" s="128" t="s">
        <v>285</v>
      </c>
      <c r="E52" s="127" t="s">
        <v>301</v>
      </c>
      <c r="F52" s="127" t="s">
        <v>302</v>
      </c>
      <c r="G52" s="127" t="s">
        <v>42</v>
      </c>
      <c r="H52" s="53" t="s">
        <v>164</v>
      </c>
      <c r="I52" s="53" t="s">
        <v>159</v>
      </c>
      <c r="J52" s="127" t="s">
        <v>38</v>
      </c>
      <c r="K52" s="53" t="s">
        <v>161</v>
      </c>
      <c r="L52" s="53">
        <v>3</v>
      </c>
      <c r="N52" s="53">
        <v>1</v>
      </c>
      <c r="O52" s="53">
        <v>0.9</v>
      </c>
      <c r="P52" s="53">
        <v>0.95</v>
      </c>
      <c r="Q52" s="75">
        <f t="shared" si="0"/>
        <v>0.92500000000000004</v>
      </c>
      <c r="R52" s="53">
        <v>17.2</v>
      </c>
      <c r="S52" s="53">
        <v>142</v>
      </c>
      <c r="T52" s="16">
        <f t="shared" si="1"/>
        <v>22</v>
      </c>
      <c r="U52" s="53">
        <v>128</v>
      </c>
      <c r="V52" s="129">
        <f t="shared" si="2"/>
        <v>2816</v>
      </c>
      <c r="W52" s="53">
        <v>12</v>
      </c>
      <c r="X52" s="127" t="s">
        <v>46</v>
      </c>
      <c r="Y52" s="53" t="s">
        <v>78</v>
      </c>
      <c r="Z52" s="53" t="s">
        <v>102</v>
      </c>
      <c r="AA52" s="53" t="s">
        <v>90</v>
      </c>
      <c r="AB52" s="127" t="s">
        <v>237</v>
      </c>
      <c r="AC52" s="34"/>
    </row>
    <row r="53" spans="1:29" x14ac:dyDescent="0.15">
      <c r="A53" s="127" t="s">
        <v>61</v>
      </c>
      <c r="B53" s="127" t="s">
        <v>234</v>
      </c>
      <c r="C53" s="127">
        <v>2019</v>
      </c>
      <c r="D53" s="128" t="s">
        <v>285</v>
      </c>
      <c r="E53" s="127" t="s">
        <v>301</v>
      </c>
      <c r="F53" s="127" t="s">
        <v>302</v>
      </c>
      <c r="G53" s="127" t="s">
        <v>42</v>
      </c>
      <c r="H53" s="53" t="s">
        <v>160</v>
      </c>
      <c r="I53" s="53" t="s">
        <v>159</v>
      </c>
      <c r="J53" s="127" t="s">
        <v>38</v>
      </c>
      <c r="K53" s="53" t="s">
        <v>161</v>
      </c>
      <c r="L53" s="53">
        <v>1</v>
      </c>
      <c r="N53" s="53">
        <v>1</v>
      </c>
      <c r="O53" s="53">
        <v>0.5</v>
      </c>
      <c r="P53" s="53">
        <v>0.5</v>
      </c>
      <c r="Q53" s="75">
        <f t="shared" si="0"/>
        <v>0.5</v>
      </c>
      <c r="R53" s="53">
        <v>18.399999999999999</v>
      </c>
      <c r="S53" s="53">
        <v>139</v>
      </c>
      <c r="T53" s="16">
        <f t="shared" si="1"/>
        <v>22</v>
      </c>
      <c r="U53" s="53">
        <v>138</v>
      </c>
      <c r="V53" s="129">
        <f t="shared" si="2"/>
        <v>3036</v>
      </c>
      <c r="W53" s="53">
        <v>12</v>
      </c>
      <c r="X53" s="127" t="s">
        <v>46</v>
      </c>
      <c r="Y53" s="53" t="s">
        <v>78</v>
      </c>
      <c r="Z53" s="53" t="s">
        <v>102</v>
      </c>
      <c r="AA53" s="53" t="s">
        <v>90</v>
      </c>
      <c r="AB53" s="127" t="s">
        <v>237</v>
      </c>
      <c r="AC53" s="34"/>
    </row>
    <row r="54" spans="1:29" x14ac:dyDescent="0.15">
      <c r="A54" s="127" t="s">
        <v>61</v>
      </c>
      <c r="B54" s="127" t="s">
        <v>234</v>
      </c>
      <c r="C54" s="127">
        <v>2019</v>
      </c>
      <c r="D54" s="128" t="s">
        <v>285</v>
      </c>
      <c r="E54" s="127" t="s">
        <v>301</v>
      </c>
      <c r="F54" s="127" t="s">
        <v>302</v>
      </c>
      <c r="G54" s="127" t="s">
        <v>42</v>
      </c>
      <c r="H54" s="53" t="s">
        <v>160</v>
      </c>
      <c r="I54" s="53" t="s">
        <v>159</v>
      </c>
      <c r="J54" s="127" t="s">
        <v>38</v>
      </c>
      <c r="K54" s="53" t="s">
        <v>161</v>
      </c>
      <c r="L54" s="53">
        <v>2</v>
      </c>
      <c r="N54" s="53">
        <v>1</v>
      </c>
      <c r="O54" s="53">
        <v>0.5</v>
      </c>
      <c r="P54" s="53">
        <v>0.5</v>
      </c>
      <c r="Q54" s="75">
        <f t="shared" si="0"/>
        <v>0.5</v>
      </c>
      <c r="R54" s="53">
        <v>17.7</v>
      </c>
      <c r="S54" s="53">
        <v>134</v>
      </c>
      <c r="T54" s="16">
        <f t="shared" si="1"/>
        <v>25</v>
      </c>
      <c r="U54" s="53">
        <v>138</v>
      </c>
      <c r="V54" s="129">
        <f t="shared" si="2"/>
        <v>3450</v>
      </c>
      <c r="W54" s="53">
        <v>12</v>
      </c>
      <c r="X54" s="127" t="s">
        <v>46</v>
      </c>
      <c r="Y54" s="53" t="s">
        <v>78</v>
      </c>
      <c r="Z54" s="53" t="s">
        <v>102</v>
      </c>
      <c r="AA54" s="53" t="s">
        <v>90</v>
      </c>
      <c r="AB54" s="127" t="s">
        <v>237</v>
      </c>
      <c r="AC54" s="34"/>
    </row>
    <row r="55" spans="1:29" x14ac:dyDescent="0.15">
      <c r="A55" s="127" t="s">
        <v>61</v>
      </c>
      <c r="B55" s="127" t="s">
        <v>234</v>
      </c>
      <c r="C55" s="127">
        <v>2019</v>
      </c>
      <c r="D55" s="128" t="s">
        <v>285</v>
      </c>
      <c r="E55" s="127" t="s">
        <v>301</v>
      </c>
      <c r="F55" s="127" t="s">
        <v>302</v>
      </c>
      <c r="G55" s="127" t="s">
        <v>42</v>
      </c>
      <c r="H55" s="53" t="s">
        <v>160</v>
      </c>
      <c r="I55" s="53" t="s">
        <v>159</v>
      </c>
      <c r="J55" s="127" t="s">
        <v>38</v>
      </c>
      <c r="K55" s="53" t="s">
        <v>161</v>
      </c>
      <c r="L55" s="53">
        <v>3</v>
      </c>
      <c r="N55" s="53">
        <v>1</v>
      </c>
      <c r="O55" s="53">
        <v>0.5</v>
      </c>
      <c r="P55" s="53">
        <v>0.65</v>
      </c>
      <c r="Q55" s="75">
        <f t="shared" si="0"/>
        <v>0.57499999999999996</v>
      </c>
      <c r="R55" s="53">
        <v>17.8</v>
      </c>
      <c r="S55" s="53">
        <v>142</v>
      </c>
      <c r="T55" s="16">
        <f t="shared" si="1"/>
        <v>22</v>
      </c>
      <c r="U55" s="53">
        <v>138</v>
      </c>
      <c r="V55" s="129">
        <f t="shared" si="2"/>
        <v>3036</v>
      </c>
      <c r="W55" s="53">
        <v>12</v>
      </c>
      <c r="X55" s="127" t="s">
        <v>46</v>
      </c>
      <c r="Y55" s="53" t="s">
        <v>78</v>
      </c>
      <c r="Z55" s="53" t="s">
        <v>102</v>
      </c>
      <c r="AA55" s="53" t="s">
        <v>90</v>
      </c>
      <c r="AB55" s="127" t="s">
        <v>237</v>
      </c>
      <c r="AC55" s="34"/>
    </row>
    <row r="56" spans="1:29" x14ac:dyDescent="0.15">
      <c r="A56" s="127" t="s">
        <v>61</v>
      </c>
      <c r="B56" s="127" t="s">
        <v>234</v>
      </c>
      <c r="C56" s="127">
        <v>2019</v>
      </c>
      <c r="D56" s="128" t="s">
        <v>285</v>
      </c>
      <c r="E56" s="127" t="s">
        <v>303</v>
      </c>
      <c r="F56" s="127" t="s">
        <v>302</v>
      </c>
      <c r="G56" s="127" t="s">
        <v>42</v>
      </c>
      <c r="H56" s="53" t="s">
        <v>164</v>
      </c>
      <c r="I56" s="53" t="s">
        <v>159</v>
      </c>
      <c r="J56" s="127" t="s">
        <v>38</v>
      </c>
      <c r="K56" s="53" t="s">
        <v>161</v>
      </c>
      <c r="L56" s="53">
        <v>1</v>
      </c>
      <c r="N56" s="53">
        <v>1</v>
      </c>
      <c r="O56" s="53">
        <v>0.8</v>
      </c>
      <c r="P56" s="53">
        <v>0.75</v>
      </c>
      <c r="Q56" s="75">
        <f t="shared" si="0"/>
        <v>0.77500000000000002</v>
      </c>
      <c r="R56" s="53">
        <v>16.2</v>
      </c>
      <c r="S56" s="53">
        <v>149</v>
      </c>
      <c r="T56" s="16">
        <f t="shared" si="1"/>
        <v>22</v>
      </c>
      <c r="U56" s="53">
        <v>138</v>
      </c>
      <c r="V56" s="129">
        <f t="shared" si="2"/>
        <v>3036</v>
      </c>
      <c r="W56" s="53">
        <v>16</v>
      </c>
      <c r="X56" s="127" t="s">
        <v>46</v>
      </c>
      <c r="Y56" s="53" t="s">
        <v>102</v>
      </c>
      <c r="Z56" s="53" t="s">
        <v>90</v>
      </c>
      <c r="AA56" s="53" t="s">
        <v>69</v>
      </c>
      <c r="AB56" s="127" t="s">
        <v>237</v>
      </c>
      <c r="AC56" s="34"/>
    </row>
    <row r="57" spans="1:29" x14ac:dyDescent="0.15">
      <c r="A57" s="127" t="s">
        <v>61</v>
      </c>
      <c r="B57" s="127" t="s">
        <v>234</v>
      </c>
      <c r="C57" s="127">
        <v>2019</v>
      </c>
      <c r="D57" s="128" t="s">
        <v>285</v>
      </c>
      <c r="E57" s="127" t="s">
        <v>303</v>
      </c>
      <c r="F57" s="127" t="s">
        <v>302</v>
      </c>
      <c r="G57" s="127" t="s">
        <v>42</v>
      </c>
      <c r="H57" s="53" t="s">
        <v>164</v>
      </c>
      <c r="I57" s="53" t="s">
        <v>159</v>
      </c>
      <c r="J57" s="127" t="s">
        <v>38</v>
      </c>
      <c r="K57" s="53" t="s">
        <v>161</v>
      </c>
      <c r="L57" s="53">
        <v>2</v>
      </c>
      <c r="N57" s="53">
        <v>1</v>
      </c>
      <c r="O57" s="53">
        <v>0.5</v>
      </c>
      <c r="P57" s="53">
        <v>0.65</v>
      </c>
      <c r="Q57" s="75">
        <f t="shared" si="0"/>
        <v>0.57499999999999996</v>
      </c>
      <c r="R57" s="53">
        <v>18.100000000000001</v>
      </c>
      <c r="S57" s="53">
        <v>136</v>
      </c>
      <c r="T57" s="16">
        <f t="shared" si="1"/>
        <v>25</v>
      </c>
      <c r="U57" s="53">
        <v>138</v>
      </c>
      <c r="V57" s="129">
        <f t="shared" si="2"/>
        <v>3450</v>
      </c>
      <c r="W57" s="53">
        <v>16</v>
      </c>
      <c r="X57" s="127" t="s">
        <v>46</v>
      </c>
      <c r="Y57" s="53" t="s">
        <v>102</v>
      </c>
      <c r="Z57" s="53" t="s">
        <v>90</v>
      </c>
      <c r="AA57" s="53" t="s">
        <v>69</v>
      </c>
      <c r="AB57" s="127" t="s">
        <v>237</v>
      </c>
      <c r="AC57" s="34"/>
    </row>
    <row r="58" spans="1:29" x14ac:dyDescent="0.15">
      <c r="A58" s="127" t="s">
        <v>61</v>
      </c>
      <c r="B58" s="127" t="s">
        <v>234</v>
      </c>
      <c r="C58" s="127">
        <v>2019</v>
      </c>
      <c r="D58" s="128" t="s">
        <v>285</v>
      </c>
      <c r="E58" s="127" t="s">
        <v>303</v>
      </c>
      <c r="F58" s="127" t="s">
        <v>302</v>
      </c>
      <c r="G58" s="127" t="s">
        <v>42</v>
      </c>
      <c r="H58" s="53" t="s">
        <v>164</v>
      </c>
      <c r="I58" s="53" t="s">
        <v>159</v>
      </c>
      <c r="J58" s="127" t="s">
        <v>38</v>
      </c>
      <c r="K58" s="53" t="s">
        <v>161</v>
      </c>
      <c r="L58" s="53">
        <v>3</v>
      </c>
      <c r="N58" s="53">
        <v>1</v>
      </c>
      <c r="O58" s="53">
        <v>0.8</v>
      </c>
      <c r="P58" s="53">
        <v>0.85</v>
      </c>
      <c r="Q58" s="75">
        <f t="shared" si="0"/>
        <v>0.82499999999999996</v>
      </c>
      <c r="R58" s="53">
        <v>17.2</v>
      </c>
      <c r="S58" s="53">
        <v>146</v>
      </c>
      <c r="T58" s="16">
        <f t="shared" si="1"/>
        <v>22</v>
      </c>
      <c r="U58" s="53">
        <v>138</v>
      </c>
      <c r="V58" s="129">
        <f t="shared" si="2"/>
        <v>3036</v>
      </c>
      <c r="W58" s="53">
        <v>16</v>
      </c>
      <c r="X58" s="127" t="s">
        <v>46</v>
      </c>
      <c r="Y58" s="53" t="s">
        <v>102</v>
      </c>
      <c r="Z58" s="53" t="s">
        <v>90</v>
      </c>
      <c r="AA58" s="53" t="s">
        <v>69</v>
      </c>
      <c r="AB58" s="127" t="s">
        <v>237</v>
      </c>
      <c r="AC58" s="34"/>
    </row>
    <row r="59" spans="1:29" x14ac:dyDescent="0.15">
      <c r="A59" s="127" t="s">
        <v>61</v>
      </c>
      <c r="B59" s="127" t="s">
        <v>234</v>
      </c>
      <c r="C59" s="127">
        <v>2019</v>
      </c>
      <c r="D59" s="128" t="s">
        <v>285</v>
      </c>
      <c r="E59" s="127" t="s">
        <v>303</v>
      </c>
      <c r="F59" s="127" t="s">
        <v>302</v>
      </c>
      <c r="G59" s="127" t="s">
        <v>42</v>
      </c>
      <c r="H59" s="53" t="s">
        <v>160</v>
      </c>
      <c r="I59" s="53" t="s">
        <v>159</v>
      </c>
      <c r="J59" s="127" t="s">
        <v>38</v>
      </c>
      <c r="K59" s="53" t="s">
        <v>161</v>
      </c>
      <c r="L59" s="53">
        <v>1</v>
      </c>
      <c r="N59" s="53">
        <v>1</v>
      </c>
      <c r="O59" s="53">
        <v>0.5</v>
      </c>
      <c r="P59" s="53">
        <v>0.5</v>
      </c>
      <c r="Q59" s="75">
        <f t="shared" si="0"/>
        <v>0.5</v>
      </c>
      <c r="R59" s="53">
        <v>18.399999999999999</v>
      </c>
      <c r="S59" s="53">
        <v>137</v>
      </c>
      <c r="T59" s="16">
        <f t="shared" si="1"/>
        <v>25</v>
      </c>
      <c r="U59" s="53">
        <v>138</v>
      </c>
      <c r="V59" s="129">
        <f t="shared" si="2"/>
        <v>3450</v>
      </c>
      <c r="W59" s="53">
        <v>16</v>
      </c>
      <c r="X59" s="127" t="s">
        <v>46</v>
      </c>
      <c r="Y59" s="53" t="s">
        <v>102</v>
      </c>
      <c r="Z59" s="53" t="s">
        <v>90</v>
      </c>
      <c r="AA59" s="53" t="s">
        <v>69</v>
      </c>
      <c r="AB59" s="127" t="s">
        <v>237</v>
      </c>
    </row>
    <row r="60" spans="1:29" x14ac:dyDescent="0.15">
      <c r="A60" s="127" t="s">
        <v>61</v>
      </c>
      <c r="B60" s="127" t="s">
        <v>234</v>
      </c>
      <c r="C60" s="127">
        <v>2019</v>
      </c>
      <c r="D60" s="128" t="s">
        <v>285</v>
      </c>
      <c r="E60" s="127" t="s">
        <v>303</v>
      </c>
      <c r="F60" s="127" t="s">
        <v>302</v>
      </c>
      <c r="G60" s="127" t="s">
        <v>42</v>
      </c>
      <c r="H60" s="53" t="s">
        <v>160</v>
      </c>
      <c r="I60" s="53" t="s">
        <v>159</v>
      </c>
      <c r="J60" s="127" t="s">
        <v>38</v>
      </c>
      <c r="K60" s="53" t="s">
        <v>161</v>
      </c>
      <c r="L60" s="53">
        <v>2</v>
      </c>
      <c r="N60" s="53">
        <v>1</v>
      </c>
      <c r="O60" s="53">
        <v>0.5</v>
      </c>
      <c r="P60" s="53">
        <v>0.6</v>
      </c>
      <c r="Q60" s="75">
        <f t="shared" si="0"/>
        <v>0.55000000000000004</v>
      </c>
      <c r="R60" s="53">
        <v>17.899999999999999</v>
      </c>
      <c r="S60" s="53">
        <v>143</v>
      </c>
      <c r="T60" s="16">
        <f t="shared" si="1"/>
        <v>22</v>
      </c>
      <c r="U60" s="53">
        <v>138</v>
      </c>
      <c r="V60" s="129">
        <f t="shared" si="2"/>
        <v>3036</v>
      </c>
      <c r="W60" s="53">
        <v>16</v>
      </c>
      <c r="X60" s="127" t="s">
        <v>46</v>
      </c>
      <c r="Y60" s="53" t="s">
        <v>102</v>
      </c>
      <c r="Z60" s="53" t="s">
        <v>90</v>
      </c>
      <c r="AA60" s="53" t="s">
        <v>69</v>
      </c>
      <c r="AB60" s="127" t="s">
        <v>237</v>
      </c>
    </row>
    <row r="61" spans="1:29" x14ac:dyDescent="0.15">
      <c r="A61" s="127" t="s">
        <v>61</v>
      </c>
      <c r="B61" s="127" t="s">
        <v>234</v>
      </c>
      <c r="C61" s="127">
        <v>2019</v>
      </c>
      <c r="D61" s="128" t="s">
        <v>285</v>
      </c>
      <c r="E61" s="127" t="s">
        <v>303</v>
      </c>
      <c r="F61" s="127" t="s">
        <v>302</v>
      </c>
      <c r="G61" s="127" t="s">
        <v>42</v>
      </c>
      <c r="H61" s="53" t="s">
        <v>160</v>
      </c>
      <c r="I61" s="53" t="s">
        <v>159</v>
      </c>
      <c r="J61" s="127" t="s">
        <v>38</v>
      </c>
      <c r="K61" s="53" t="s">
        <v>161</v>
      </c>
      <c r="L61" s="53">
        <v>3</v>
      </c>
      <c r="N61" s="53">
        <v>1</v>
      </c>
      <c r="O61" s="53">
        <v>0.5</v>
      </c>
      <c r="P61" s="53">
        <v>0.5</v>
      </c>
      <c r="Q61" s="75">
        <f t="shared" si="0"/>
        <v>0.5</v>
      </c>
      <c r="R61" s="53">
        <v>19.100000000000001</v>
      </c>
      <c r="S61" s="53">
        <v>141</v>
      </c>
      <c r="T61" s="16">
        <f t="shared" si="1"/>
        <v>22</v>
      </c>
      <c r="U61" s="53">
        <v>138</v>
      </c>
      <c r="V61" s="129">
        <f t="shared" si="2"/>
        <v>3036</v>
      </c>
      <c r="W61" s="53">
        <v>16</v>
      </c>
      <c r="X61" s="127" t="s">
        <v>46</v>
      </c>
      <c r="Y61" s="53" t="s">
        <v>102</v>
      </c>
      <c r="Z61" s="53" t="s">
        <v>90</v>
      </c>
      <c r="AA61" s="53" t="s">
        <v>69</v>
      </c>
      <c r="AB61" s="127" t="s">
        <v>237</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F1CDFE47-4369-417F-9457-A59F4FDE828A}">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47B6C688-0B90-4396-8E4A-B9C4817DD1A1}">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E4AAE644-751D-4CF0-92E4-94FCDEB9146D}">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0BFA9548-D368-48FD-9381-485FA93FB193}">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06BA66A2-C675-49FB-BD9B-FAADF7E98D08}">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BE877B42-5FF7-4472-8542-90DE5A71FCBC}">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93633F7F-7B35-4D26-995B-AAD8A918045F}">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7D3AC17A-1492-4DEA-885F-6B9260419DC0}"/>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87CB3F28-522E-4E9A-A28E-A5B3C9431D4C}">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B008F2BF-B1AD-47BA-865A-902E98F7469D}">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4770B25D-228B-4443-8B8D-72521904FF66}">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552C510C-4E03-496E-B3A3-167D097C92C8}">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7DDECF1B-A4D9-4E61-A3AD-77EDEA743A1E}">
      <formula1>$AV$2:$AV$22</formula1>
    </dataValidation>
    <dataValidation type="list" allowBlank="1" showInputMessage="1" showErrorMessage="1" sqref="J90:J494 J2:J88" xr:uid="{015AF8FA-0966-4F7F-8A6F-7ABED8EF04B2}">
      <formula1>$AP$2:$AP$25</formula1>
    </dataValidation>
    <dataValidation type="list" allowBlank="1" showInputMessage="1" showErrorMessage="1" sqref="F92:F496 F2:F90" xr:uid="{F343E9F2-2689-4C48-8F2B-2B3E9B6660C0}">
      <formula1>$AH$2:$AH$10</formula1>
    </dataValidation>
    <dataValidation type="list" allowBlank="1" showInputMessage="1" showErrorMessage="1" sqref="E92:E496 E2:E90" xr:uid="{8D98F056-CF44-4535-8BCD-D64386BF4F31}">
      <formula1>$AG$2:$AG$11</formula1>
    </dataValidation>
    <dataValidation type="list" allowBlank="1" showInputMessage="1" showErrorMessage="1" sqref="A90:A494 A2:A88" xr:uid="{4C57A57B-71D2-4F12-876A-4BC64B16B5F4}">
      <formula1>$AE$2:$AE$19</formula1>
    </dataValidation>
    <dataValidation type="list" allowBlank="1" showInputMessage="1" showErrorMessage="1" sqref="H90:H494 H2:H88" xr:uid="{EF959FCB-1861-4EC5-8C79-CCD8506579E7}">
      <formula1>$AL$2:$AL$8</formula1>
    </dataValidation>
    <dataValidation type="list" allowBlank="1" showInputMessage="1" showErrorMessage="1" sqref="Y90:AA494 Y2:AA88" xr:uid="{4A95E426-0379-4B3B-8D2C-BBF705E7FA18}">
      <formula1>$AV$2:$AV$21</formula1>
    </dataValidation>
    <dataValidation type="decimal" allowBlank="1" showInputMessage="1" showErrorMessage="1" error="硬度を正しく入力して下さい。" sqref="O90:P494 O18:P19 P15 P13 O62:P88 O23:P43" xr:uid="{E210B1C1-0FD7-4090-98B9-D8731AA8EC2F}">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6702-D138-4CCF-8CFB-7A028B3E9403}">
  <dimension ref="A1:BA145"/>
  <sheetViews>
    <sheetView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313</v>
      </c>
      <c r="O1" s="56" t="s">
        <v>14</v>
      </c>
      <c r="P1" s="56" t="s">
        <v>15</v>
      </c>
      <c r="Q1" s="3" t="s">
        <v>16</v>
      </c>
      <c r="R1" s="56" t="s">
        <v>17</v>
      </c>
      <c r="S1" s="56" t="s">
        <v>18</v>
      </c>
      <c r="T1" s="3" t="s">
        <v>19</v>
      </c>
      <c r="U1" s="58" t="s">
        <v>314</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234</v>
      </c>
      <c r="C2" s="62">
        <v>2019</v>
      </c>
      <c r="D2" s="137" t="s">
        <v>285</v>
      </c>
      <c r="E2" s="53" t="s">
        <v>315</v>
      </c>
      <c r="F2" s="53" t="s">
        <v>316</v>
      </c>
      <c r="G2" s="53" t="s">
        <v>36</v>
      </c>
      <c r="H2" s="53" t="s">
        <v>160</v>
      </c>
      <c r="I2" s="53" t="s">
        <v>159</v>
      </c>
      <c r="J2" s="53" t="s">
        <v>38</v>
      </c>
      <c r="K2" s="53" t="s">
        <v>161</v>
      </c>
      <c r="L2" s="53">
        <v>1</v>
      </c>
      <c r="N2" s="53">
        <v>4</v>
      </c>
      <c r="O2" s="53">
        <v>0.45</v>
      </c>
      <c r="P2" s="53">
        <v>0.45</v>
      </c>
      <c r="Q2" s="75">
        <f>IF(OR(O2="",P2=""),"",AVERAGE(O2,P2))</f>
        <v>0.45</v>
      </c>
      <c r="R2" s="53">
        <v>16.600000000000001</v>
      </c>
      <c r="S2" s="53">
        <v>119</v>
      </c>
      <c r="T2" s="16">
        <f t="shared" ref="T2:T61" si="0">IF(H2="","",IF(OR(H2="GREEN",H2="GK"),IF(S2&gt;=$AX$2,VLOOKUP(S2,$AX$2:$AY$12,2,1),""),IF(S2&gt;=$AZ$2,VLOOKUP(S2,$AZ$2:$BA$12,2,1),"")))</f>
        <v>30</v>
      </c>
      <c r="U2" s="53">
        <v>398</v>
      </c>
      <c r="V2" s="16">
        <f t="shared" ref="V2:V61" si="1">IF(J2="","",IF(OR(J2="GREEN",J2="GK"),IF(U2&gt;=$AX$2,VLOOKUP(U2,$AX$2:$AY$12,2,1),""),IF(U2&gt;=$AZ$2,VLOOKUP(U2,$AZ$2:$BA$12,2,1),"")))</f>
        <v>16</v>
      </c>
      <c r="W2" s="53">
        <v>2</v>
      </c>
      <c r="X2" s="53" t="s">
        <v>46</v>
      </c>
      <c r="Y2" s="53" t="s">
        <v>78</v>
      </c>
      <c r="Z2" s="53" t="s">
        <v>90</v>
      </c>
      <c r="AA2" s="53" t="s">
        <v>102</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234</v>
      </c>
      <c r="C3" s="62">
        <v>2019</v>
      </c>
      <c r="D3" s="137" t="s">
        <v>285</v>
      </c>
      <c r="E3" s="53" t="s">
        <v>315</v>
      </c>
      <c r="F3" s="53" t="s">
        <v>316</v>
      </c>
      <c r="G3" s="53" t="s">
        <v>36</v>
      </c>
      <c r="H3" s="53" t="s">
        <v>160</v>
      </c>
      <c r="I3" s="53" t="s">
        <v>159</v>
      </c>
      <c r="J3" s="53" t="s">
        <v>38</v>
      </c>
      <c r="K3" s="53" t="s">
        <v>161</v>
      </c>
      <c r="L3" s="53">
        <v>2</v>
      </c>
      <c r="N3" s="53">
        <v>4</v>
      </c>
      <c r="O3" s="53">
        <v>0.38</v>
      </c>
      <c r="P3" s="53">
        <v>0.41</v>
      </c>
      <c r="Q3" s="75">
        <f t="shared" ref="Q3:Q61" si="2">IF(OR(O3="",P3=""),"",AVERAGE(O3,P3))</f>
        <v>0.39500000000000002</v>
      </c>
      <c r="R3" s="53">
        <v>16.399999999999999</v>
      </c>
      <c r="S3" s="53">
        <v>110</v>
      </c>
      <c r="T3" s="16">
        <f t="shared" si="0"/>
        <v>33</v>
      </c>
      <c r="U3" s="53">
        <v>398</v>
      </c>
      <c r="V3" s="16">
        <f t="shared" si="1"/>
        <v>16</v>
      </c>
      <c r="W3" s="53">
        <v>2</v>
      </c>
      <c r="X3" s="53" t="s">
        <v>46</v>
      </c>
      <c r="Y3" s="53" t="s">
        <v>78</v>
      </c>
      <c r="Z3" s="53" t="s">
        <v>90</v>
      </c>
      <c r="AA3" s="53" t="s">
        <v>102</v>
      </c>
      <c r="AB3" s="53" t="s">
        <v>317</v>
      </c>
      <c r="AE3" s="22" t="s">
        <v>41</v>
      </c>
      <c r="AG3" s="138" t="s">
        <v>321</v>
      </c>
      <c r="AH3" s="139" t="s">
        <v>316</v>
      </c>
      <c r="AJ3" s="23" t="s">
        <v>42</v>
      </c>
      <c r="AL3" s="23" t="s">
        <v>128</v>
      </c>
      <c r="AN3" s="23" t="s">
        <v>43</v>
      </c>
      <c r="AP3" s="23" t="s">
        <v>44</v>
      </c>
      <c r="AR3" s="23" t="s">
        <v>45</v>
      </c>
      <c r="AT3" s="23" t="s">
        <v>46</v>
      </c>
      <c r="AV3" s="23" t="s">
        <v>322</v>
      </c>
      <c r="AX3" s="24">
        <v>72</v>
      </c>
      <c r="AY3" s="25">
        <v>46</v>
      </c>
      <c r="AZ3" s="25">
        <v>71</v>
      </c>
      <c r="BA3" s="26">
        <v>42</v>
      </c>
    </row>
    <row r="4" spans="1:53" x14ac:dyDescent="0.15">
      <c r="A4" s="53" t="s">
        <v>59</v>
      </c>
      <c r="B4" s="53" t="s">
        <v>234</v>
      </c>
      <c r="C4" s="62">
        <v>2019</v>
      </c>
      <c r="D4" s="137" t="s">
        <v>285</v>
      </c>
      <c r="E4" s="53" t="s">
        <v>315</v>
      </c>
      <c r="F4" s="53" t="s">
        <v>316</v>
      </c>
      <c r="G4" s="53" t="s">
        <v>36</v>
      </c>
      <c r="H4" s="53" t="s">
        <v>160</v>
      </c>
      <c r="I4" s="53" t="s">
        <v>323</v>
      </c>
      <c r="J4" s="53" t="s">
        <v>38</v>
      </c>
      <c r="K4" s="53" t="s">
        <v>161</v>
      </c>
      <c r="L4" s="53">
        <v>3</v>
      </c>
      <c r="N4" s="53">
        <v>4</v>
      </c>
      <c r="O4" s="53">
        <v>0.43</v>
      </c>
      <c r="P4" s="53">
        <v>0.45</v>
      </c>
      <c r="Q4" s="75">
        <f t="shared" si="2"/>
        <v>0.44</v>
      </c>
      <c r="R4" s="53">
        <v>16.2</v>
      </c>
      <c r="S4" s="53">
        <v>111</v>
      </c>
      <c r="T4" s="16">
        <f t="shared" si="0"/>
        <v>33</v>
      </c>
      <c r="U4" s="53">
        <v>398</v>
      </c>
      <c r="V4" s="16">
        <f t="shared" si="1"/>
        <v>16</v>
      </c>
      <c r="W4" s="53">
        <v>2</v>
      </c>
      <c r="X4" s="53" t="s">
        <v>46</v>
      </c>
      <c r="Y4" s="53" t="s">
        <v>78</v>
      </c>
      <c r="Z4" s="53" t="s">
        <v>90</v>
      </c>
      <c r="AA4" s="53" t="s">
        <v>102</v>
      </c>
      <c r="AB4" s="53" t="s">
        <v>317</v>
      </c>
      <c r="AE4" s="22" t="s">
        <v>34</v>
      </c>
      <c r="AG4" s="138" t="s">
        <v>324</v>
      </c>
      <c r="AH4" s="139" t="s">
        <v>325</v>
      </c>
      <c r="AJ4" s="27" t="s">
        <v>48</v>
      </c>
      <c r="AL4" s="27" t="s">
        <v>129</v>
      </c>
      <c r="AN4" s="28" t="s">
        <v>49</v>
      </c>
      <c r="AP4" s="23" t="s">
        <v>93</v>
      </c>
      <c r="AR4" s="23" t="s">
        <v>326</v>
      </c>
      <c r="AT4" s="28"/>
      <c r="AV4" s="23" t="s">
        <v>327</v>
      </c>
      <c r="AX4" s="24">
        <v>75</v>
      </c>
      <c r="AY4" s="25">
        <v>42</v>
      </c>
      <c r="AZ4" s="25">
        <v>76</v>
      </c>
      <c r="BA4" s="26">
        <v>39</v>
      </c>
    </row>
    <row r="5" spans="1:53" x14ac:dyDescent="0.15">
      <c r="A5" s="53" t="s">
        <v>59</v>
      </c>
      <c r="B5" s="53" t="s">
        <v>234</v>
      </c>
      <c r="C5" s="62">
        <v>2019</v>
      </c>
      <c r="D5" s="137" t="s">
        <v>285</v>
      </c>
      <c r="E5" s="53" t="s">
        <v>315</v>
      </c>
      <c r="F5" s="53" t="s">
        <v>316</v>
      </c>
      <c r="G5" s="53" t="s">
        <v>36</v>
      </c>
      <c r="H5" s="53" t="s">
        <v>164</v>
      </c>
      <c r="I5" s="53" t="s">
        <v>159</v>
      </c>
      <c r="J5" s="53" t="s">
        <v>38</v>
      </c>
      <c r="K5" s="53" t="s">
        <v>161</v>
      </c>
      <c r="L5" s="53">
        <v>1</v>
      </c>
      <c r="N5" s="53">
        <v>5</v>
      </c>
      <c r="O5" s="53">
        <v>0.47</v>
      </c>
      <c r="P5" s="53">
        <v>0.49</v>
      </c>
      <c r="Q5" s="75">
        <f t="shared" si="2"/>
        <v>0.48</v>
      </c>
      <c r="R5" s="53">
        <v>15.9</v>
      </c>
      <c r="S5" s="53">
        <v>94</v>
      </c>
      <c r="T5" s="16">
        <f t="shared" si="0"/>
        <v>36</v>
      </c>
      <c r="U5" s="53">
        <v>318</v>
      </c>
      <c r="V5" s="16">
        <f t="shared" si="1"/>
        <v>16</v>
      </c>
      <c r="W5" s="53">
        <v>2</v>
      </c>
      <c r="X5" s="53" t="s">
        <v>46</v>
      </c>
      <c r="Y5" s="53" t="s">
        <v>78</v>
      </c>
      <c r="Z5" s="53" t="s">
        <v>90</v>
      </c>
      <c r="AA5" s="53" t="s">
        <v>102</v>
      </c>
      <c r="AB5" s="53" t="s">
        <v>317</v>
      </c>
      <c r="AE5" s="22" t="s">
        <v>51</v>
      </c>
      <c r="AG5" s="138" t="s">
        <v>328</v>
      </c>
      <c r="AH5" s="139" t="s">
        <v>329</v>
      </c>
      <c r="AJ5" s="28"/>
      <c r="AL5" s="73" t="s">
        <v>66</v>
      </c>
      <c r="AN5" s="73" t="s">
        <v>52</v>
      </c>
      <c r="AP5" s="23" t="s">
        <v>246</v>
      </c>
      <c r="AR5" s="23" t="s">
        <v>54</v>
      </c>
      <c r="AV5" s="23" t="s">
        <v>330</v>
      </c>
      <c r="AX5" s="24">
        <v>84</v>
      </c>
      <c r="AY5" s="25">
        <v>39</v>
      </c>
      <c r="AZ5" s="25">
        <v>84</v>
      </c>
      <c r="BA5" s="26">
        <v>36</v>
      </c>
    </row>
    <row r="6" spans="1:53" x14ac:dyDescent="0.15">
      <c r="A6" s="53" t="s">
        <v>59</v>
      </c>
      <c r="B6" s="53" t="s">
        <v>234</v>
      </c>
      <c r="C6" s="62">
        <v>2019</v>
      </c>
      <c r="D6" s="137" t="s">
        <v>285</v>
      </c>
      <c r="E6" s="53" t="s">
        <v>315</v>
      </c>
      <c r="F6" s="53" t="s">
        <v>316</v>
      </c>
      <c r="G6" s="53" t="s">
        <v>36</v>
      </c>
      <c r="H6" s="53" t="s">
        <v>164</v>
      </c>
      <c r="I6" s="53" t="s">
        <v>159</v>
      </c>
      <c r="J6" s="53" t="s">
        <v>38</v>
      </c>
      <c r="K6" s="53" t="s">
        <v>161</v>
      </c>
      <c r="L6" s="53">
        <v>2</v>
      </c>
      <c r="N6" s="53">
        <v>5</v>
      </c>
      <c r="O6" s="53">
        <v>0.59</v>
      </c>
      <c r="P6" s="53">
        <v>0.65</v>
      </c>
      <c r="Q6" s="75">
        <f t="shared" si="2"/>
        <v>0.62</v>
      </c>
      <c r="R6" s="53">
        <v>15.8</v>
      </c>
      <c r="S6" s="53">
        <v>94</v>
      </c>
      <c r="T6" s="16">
        <f t="shared" si="0"/>
        <v>36</v>
      </c>
      <c r="U6" s="53">
        <v>318</v>
      </c>
      <c r="V6" s="16">
        <f t="shared" si="1"/>
        <v>16</v>
      </c>
      <c r="W6" s="53">
        <v>2</v>
      </c>
      <c r="X6" s="53" t="s">
        <v>46</v>
      </c>
      <c r="Y6" s="53" t="s">
        <v>78</v>
      </c>
      <c r="Z6" s="53" t="s">
        <v>90</v>
      </c>
      <c r="AA6" s="53" t="s">
        <v>102</v>
      </c>
      <c r="AB6" s="53" t="s">
        <v>317</v>
      </c>
      <c r="AE6" s="22" t="s">
        <v>56</v>
      </c>
      <c r="AG6" s="138" t="s">
        <v>331</v>
      </c>
      <c r="AH6" s="139" t="s">
        <v>332</v>
      </c>
      <c r="AL6" s="73" t="s">
        <v>99</v>
      </c>
      <c r="AN6" s="73" t="s">
        <v>57</v>
      </c>
      <c r="AP6" s="23" t="s">
        <v>53</v>
      </c>
      <c r="AR6" s="23" t="s">
        <v>333</v>
      </c>
      <c r="AV6" s="23" t="s">
        <v>60</v>
      </c>
      <c r="AX6" s="24">
        <v>97</v>
      </c>
      <c r="AY6" s="25">
        <v>36</v>
      </c>
      <c r="AZ6" s="25">
        <v>99</v>
      </c>
      <c r="BA6" s="26">
        <v>33</v>
      </c>
    </row>
    <row r="7" spans="1:53" x14ac:dyDescent="0.15">
      <c r="A7" s="53" t="s">
        <v>59</v>
      </c>
      <c r="B7" s="53" t="s">
        <v>234</v>
      </c>
      <c r="C7" s="62">
        <v>2019</v>
      </c>
      <c r="D7" s="137" t="s">
        <v>285</v>
      </c>
      <c r="E7" s="53" t="s">
        <v>315</v>
      </c>
      <c r="F7" s="53" t="s">
        <v>316</v>
      </c>
      <c r="G7" s="53" t="s">
        <v>36</v>
      </c>
      <c r="H7" s="53" t="s">
        <v>164</v>
      </c>
      <c r="I7" s="53" t="s">
        <v>159</v>
      </c>
      <c r="J7" s="53" t="s">
        <v>38</v>
      </c>
      <c r="K7" s="53" t="s">
        <v>161</v>
      </c>
      <c r="L7" s="53">
        <v>3</v>
      </c>
      <c r="N7" s="53">
        <v>5</v>
      </c>
      <c r="O7" s="53">
        <v>0.53</v>
      </c>
      <c r="P7" s="53">
        <v>0.61</v>
      </c>
      <c r="Q7" s="75">
        <f t="shared" si="2"/>
        <v>0.57000000000000006</v>
      </c>
      <c r="R7" s="53">
        <v>15.3</v>
      </c>
      <c r="S7" s="53">
        <v>93</v>
      </c>
      <c r="T7" s="16">
        <f t="shared" si="0"/>
        <v>36</v>
      </c>
      <c r="U7" s="53">
        <v>318</v>
      </c>
      <c r="V7" s="16">
        <f t="shared" si="1"/>
        <v>16</v>
      </c>
      <c r="W7" s="53">
        <v>2</v>
      </c>
      <c r="X7" s="53" t="s">
        <v>46</v>
      </c>
      <c r="Y7" s="53" t="s">
        <v>78</v>
      </c>
      <c r="Z7" s="53" t="s">
        <v>90</v>
      </c>
      <c r="AA7" s="53" t="s">
        <v>102</v>
      </c>
      <c r="AB7" s="53" t="s">
        <v>317</v>
      </c>
      <c r="AE7" s="22" t="s">
        <v>61</v>
      </c>
      <c r="AG7" s="138" t="s">
        <v>334</v>
      </c>
      <c r="AH7" s="139" t="s">
        <v>335</v>
      </c>
      <c r="AL7" s="34" t="s">
        <v>109</v>
      </c>
      <c r="AP7" s="23" t="s">
        <v>58</v>
      </c>
      <c r="AR7" s="23" t="s">
        <v>336</v>
      </c>
      <c r="AV7" s="23" t="s">
        <v>64</v>
      </c>
      <c r="AX7" s="24">
        <v>109</v>
      </c>
      <c r="AY7" s="25">
        <v>33</v>
      </c>
      <c r="AZ7" s="25">
        <v>113</v>
      </c>
      <c r="BA7" s="26">
        <v>30</v>
      </c>
    </row>
    <row r="8" spans="1:53" x14ac:dyDescent="0.15">
      <c r="A8" s="53" t="s">
        <v>59</v>
      </c>
      <c r="B8" s="53" t="s">
        <v>234</v>
      </c>
      <c r="C8" s="62">
        <v>2019</v>
      </c>
      <c r="D8" s="137" t="s">
        <v>285</v>
      </c>
      <c r="E8" s="53" t="s">
        <v>318</v>
      </c>
      <c r="F8" s="53" t="s">
        <v>319</v>
      </c>
      <c r="G8" s="53" t="s">
        <v>36</v>
      </c>
      <c r="H8" s="53" t="s">
        <v>160</v>
      </c>
      <c r="I8" s="53" t="s">
        <v>159</v>
      </c>
      <c r="J8" s="53" t="s">
        <v>38</v>
      </c>
      <c r="K8" s="53" t="s">
        <v>161</v>
      </c>
      <c r="L8" s="53">
        <v>1</v>
      </c>
      <c r="N8" s="53">
        <v>4</v>
      </c>
      <c r="O8" s="53">
        <v>0.25</v>
      </c>
      <c r="P8" s="53">
        <v>0.27</v>
      </c>
      <c r="Q8" s="75">
        <f t="shared" si="2"/>
        <v>0.26</v>
      </c>
      <c r="R8" s="53">
        <v>17</v>
      </c>
      <c r="S8" s="53">
        <v>98</v>
      </c>
      <c r="T8" s="16">
        <f t="shared" si="0"/>
        <v>36</v>
      </c>
      <c r="U8" s="53">
        <v>377</v>
      </c>
      <c r="V8" s="16">
        <f t="shared" si="1"/>
        <v>16</v>
      </c>
      <c r="W8" s="53">
        <v>10</v>
      </c>
      <c r="X8" s="53" t="s">
        <v>39</v>
      </c>
      <c r="Y8" s="53" t="s">
        <v>78</v>
      </c>
      <c r="Z8" s="53" t="s">
        <v>102</v>
      </c>
      <c r="AA8" s="53" t="s">
        <v>90</v>
      </c>
      <c r="AB8" s="53" t="s">
        <v>317</v>
      </c>
      <c r="AE8" s="22" t="s">
        <v>59</v>
      </c>
      <c r="AG8" s="140" t="s">
        <v>162</v>
      </c>
      <c r="AH8" s="139" t="s">
        <v>337</v>
      </c>
      <c r="AL8" s="34" t="s">
        <v>134</v>
      </c>
      <c r="AP8" s="23" t="s">
        <v>62</v>
      </c>
      <c r="AR8" s="23" t="s">
        <v>81</v>
      </c>
      <c r="AV8" s="23" t="s">
        <v>97</v>
      </c>
      <c r="AX8" s="24">
        <v>119</v>
      </c>
      <c r="AY8" s="25">
        <v>30</v>
      </c>
      <c r="AZ8" s="25">
        <v>121</v>
      </c>
      <c r="BA8" s="26">
        <v>27</v>
      </c>
    </row>
    <row r="9" spans="1:53" x14ac:dyDescent="0.15">
      <c r="A9" s="53" t="s">
        <v>59</v>
      </c>
      <c r="B9" s="53" t="s">
        <v>234</v>
      </c>
      <c r="C9" s="62">
        <v>2019</v>
      </c>
      <c r="D9" s="137" t="s">
        <v>285</v>
      </c>
      <c r="E9" s="53" t="s">
        <v>318</v>
      </c>
      <c r="F9" s="53" t="s">
        <v>319</v>
      </c>
      <c r="G9" s="53" t="s">
        <v>36</v>
      </c>
      <c r="H9" s="53" t="s">
        <v>160</v>
      </c>
      <c r="I9" s="53" t="s">
        <v>159</v>
      </c>
      <c r="J9" s="53" t="s">
        <v>38</v>
      </c>
      <c r="K9" s="53" t="s">
        <v>161</v>
      </c>
      <c r="L9" s="53">
        <v>2</v>
      </c>
      <c r="N9" s="53">
        <v>4</v>
      </c>
      <c r="O9" s="53">
        <v>0.3</v>
      </c>
      <c r="P9" s="53">
        <v>0.35</v>
      </c>
      <c r="Q9" s="75">
        <f t="shared" si="2"/>
        <v>0.32499999999999996</v>
      </c>
      <c r="R9" s="53">
        <v>16.3</v>
      </c>
      <c r="S9" s="53">
        <v>99</v>
      </c>
      <c r="T9" s="16">
        <f t="shared" si="0"/>
        <v>33</v>
      </c>
      <c r="U9" s="53">
        <v>377</v>
      </c>
      <c r="V9" s="16">
        <f t="shared" si="1"/>
        <v>16</v>
      </c>
      <c r="W9" s="53">
        <v>10</v>
      </c>
      <c r="X9" s="53" t="s">
        <v>39</v>
      </c>
      <c r="Y9" s="53" t="s">
        <v>78</v>
      </c>
      <c r="Z9" s="53" t="s">
        <v>102</v>
      </c>
      <c r="AA9" s="53" t="s">
        <v>90</v>
      </c>
      <c r="AB9" s="53" t="s">
        <v>317</v>
      </c>
      <c r="AE9" s="22" t="s">
        <v>98</v>
      </c>
      <c r="AG9" s="140" t="s">
        <v>338</v>
      </c>
      <c r="AH9" s="139" t="s">
        <v>337</v>
      </c>
      <c r="AL9" s="73"/>
      <c r="AP9" s="23" t="s">
        <v>339</v>
      </c>
      <c r="AR9" s="23" t="s">
        <v>89</v>
      </c>
      <c r="AV9" s="23" t="s">
        <v>102</v>
      </c>
      <c r="AX9" s="24">
        <v>128</v>
      </c>
      <c r="AY9" s="25">
        <v>27</v>
      </c>
      <c r="AZ9" s="25">
        <v>129</v>
      </c>
      <c r="BA9" s="26">
        <v>25</v>
      </c>
    </row>
    <row r="10" spans="1:53" x14ac:dyDescent="0.15">
      <c r="A10" s="53" t="s">
        <v>59</v>
      </c>
      <c r="B10" s="53" t="s">
        <v>234</v>
      </c>
      <c r="C10" s="62">
        <v>2019</v>
      </c>
      <c r="D10" s="137" t="s">
        <v>285</v>
      </c>
      <c r="E10" s="53" t="s">
        <v>318</v>
      </c>
      <c r="F10" s="53" t="s">
        <v>319</v>
      </c>
      <c r="G10" s="53" t="s">
        <v>36</v>
      </c>
      <c r="H10" s="53" t="s">
        <v>160</v>
      </c>
      <c r="I10" s="53" t="s">
        <v>159</v>
      </c>
      <c r="J10" s="53" t="s">
        <v>38</v>
      </c>
      <c r="K10" s="53" t="s">
        <v>161</v>
      </c>
      <c r="L10" s="53">
        <v>3</v>
      </c>
      <c r="N10" s="53">
        <v>4</v>
      </c>
      <c r="O10" s="53">
        <v>0.32</v>
      </c>
      <c r="P10" s="53">
        <v>0.31</v>
      </c>
      <c r="Q10" s="75">
        <f t="shared" si="2"/>
        <v>0.315</v>
      </c>
      <c r="R10" s="53">
        <v>16.2</v>
      </c>
      <c r="S10" s="53">
        <v>97</v>
      </c>
      <c r="T10" s="16">
        <f t="shared" si="0"/>
        <v>36</v>
      </c>
      <c r="U10" s="53">
        <v>377</v>
      </c>
      <c r="V10" s="16">
        <f t="shared" si="1"/>
        <v>16</v>
      </c>
      <c r="W10" s="53">
        <v>10</v>
      </c>
      <c r="X10" s="53" t="s">
        <v>39</v>
      </c>
      <c r="Y10" s="53" t="s">
        <v>78</v>
      </c>
      <c r="Z10" s="53" t="s">
        <v>102</v>
      </c>
      <c r="AA10" s="53" t="s">
        <v>90</v>
      </c>
      <c r="AB10" s="53" t="s">
        <v>317</v>
      </c>
      <c r="AE10" s="22" t="s">
        <v>103</v>
      </c>
      <c r="AG10" s="138" t="s">
        <v>340</v>
      </c>
      <c r="AH10" s="139" t="s">
        <v>329</v>
      </c>
      <c r="AL10" s="83"/>
      <c r="AP10" s="23" t="s">
        <v>100</v>
      </c>
      <c r="AR10" s="23" t="s">
        <v>123</v>
      </c>
      <c r="AV10" s="23" t="s">
        <v>106</v>
      </c>
      <c r="AX10" s="24">
        <v>138</v>
      </c>
      <c r="AY10" s="25">
        <v>25</v>
      </c>
      <c r="AZ10" s="25">
        <v>138</v>
      </c>
      <c r="BA10" s="26">
        <v>22</v>
      </c>
    </row>
    <row r="11" spans="1:53" x14ac:dyDescent="0.15">
      <c r="A11" s="53" t="s">
        <v>59</v>
      </c>
      <c r="B11" s="53" t="s">
        <v>234</v>
      </c>
      <c r="C11" s="62">
        <v>2019</v>
      </c>
      <c r="D11" s="137" t="s">
        <v>285</v>
      </c>
      <c r="E11" s="53" t="s">
        <v>318</v>
      </c>
      <c r="F11" s="53" t="s">
        <v>319</v>
      </c>
      <c r="G11" s="53" t="s">
        <v>36</v>
      </c>
      <c r="H11" s="53" t="s">
        <v>164</v>
      </c>
      <c r="I11" s="53" t="s">
        <v>159</v>
      </c>
      <c r="J11" s="53" t="s">
        <v>38</v>
      </c>
      <c r="K11" s="53" t="s">
        <v>161</v>
      </c>
      <c r="L11" s="53">
        <v>1</v>
      </c>
      <c r="N11" s="53">
        <v>4</v>
      </c>
      <c r="O11" s="53">
        <v>0.54</v>
      </c>
      <c r="P11" s="53">
        <v>0.5</v>
      </c>
      <c r="Q11" s="75">
        <f t="shared" si="2"/>
        <v>0.52</v>
      </c>
      <c r="R11" s="53">
        <v>13.5</v>
      </c>
      <c r="S11" s="53">
        <v>77</v>
      </c>
      <c r="T11" s="16">
        <f t="shared" si="0"/>
        <v>39</v>
      </c>
      <c r="U11" s="53">
        <v>297</v>
      </c>
      <c r="V11" s="16">
        <f t="shared" si="1"/>
        <v>16</v>
      </c>
      <c r="W11" s="53">
        <v>5</v>
      </c>
      <c r="X11" s="53" t="s">
        <v>39</v>
      </c>
      <c r="Y11" s="53" t="s">
        <v>78</v>
      </c>
      <c r="Z11" s="53" t="s">
        <v>102</v>
      </c>
      <c r="AA11" s="53" t="s">
        <v>90</v>
      </c>
      <c r="AB11" s="53" t="s">
        <v>317</v>
      </c>
      <c r="AE11" s="22" t="s">
        <v>65</v>
      </c>
      <c r="AG11" s="140" t="s">
        <v>341</v>
      </c>
      <c r="AH11" s="139" t="s">
        <v>342</v>
      </c>
      <c r="AL11" s="83"/>
      <c r="AP11" s="23" t="s">
        <v>343</v>
      </c>
      <c r="AR11" s="23" t="s">
        <v>344</v>
      </c>
      <c r="AV11" s="23" t="s">
        <v>345</v>
      </c>
      <c r="AX11" s="24">
        <v>151</v>
      </c>
      <c r="AY11" s="25">
        <v>22</v>
      </c>
      <c r="AZ11" s="25">
        <v>152</v>
      </c>
      <c r="BA11" s="26">
        <v>18</v>
      </c>
    </row>
    <row r="12" spans="1:53" x14ac:dyDescent="0.15">
      <c r="A12" s="53" t="s">
        <v>59</v>
      </c>
      <c r="B12" s="53" t="s">
        <v>234</v>
      </c>
      <c r="C12" s="62">
        <v>2019</v>
      </c>
      <c r="D12" s="137" t="s">
        <v>285</v>
      </c>
      <c r="E12" s="53" t="s">
        <v>318</v>
      </c>
      <c r="F12" s="53" t="s">
        <v>319</v>
      </c>
      <c r="G12" s="53" t="s">
        <v>36</v>
      </c>
      <c r="H12" s="53" t="s">
        <v>164</v>
      </c>
      <c r="I12" s="53" t="s">
        <v>159</v>
      </c>
      <c r="J12" s="53" t="s">
        <v>38</v>
      </c>
      <c r="K12" s="53" t="s">
        <v>161</v>
      </c>
      <c r="L12" s="53">
        <v>2</v>
      </c>
      <c r="N12" s="53">
        <v>4</v>
      </c>
      <c r="O12" s="53">
        <v>0.52</v>
      </c>
      <c r="P12" s="53">
        <v>0.5</v>
      </c>
      <c r="Q12" s="75">
        <f t="shared" si="2"/>
        <v>0.51</v>
      </c>
      <c r="R12" s="53">
        <v>13.8</v>
      </c>
      <c r="S12" s="53">
        <v>92</v>
      </c>
      <c r="T12" s="16">
        <f t="shared" si="0"/>
        <v>36</v>
      </c>
      <c r="U12" s="53">
        <v>297</v>
      </c>
      <c r="V12" s="16">
        <f t="shared" si="1"/>
        <v>16</v>
      </c>
      <c r="W12" s="53">
        <v>5</v>
      </c>
      <c r="X12" s="53" t="s">
        <v>39</v>
      </c>
      <c r="Y12" s="53" t="s">
        <v>78</v>
      </c>
      <c r="Z12" s="53" t="s">
        <v>102</v>
      </c>
      <c r="AA12" s="53" t="s">
        <v>90</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234</v>
      </c>
      <c r="C13" s="62">
        <v>2019</v>
      </c>
      <c r="D13" s="137" t="s">
        <v>285</v>
      </c>
      <c r="E13" s="53" t="s">
        <v>318</v>
      </c>
      <c r="F13" s="53" t="s">
        <v>319</v>
      </c>
      <c r="G13" s="53" t="s">
        <v>36</v>
      </c>
      <c r="H13" s="53" t="s">
        <v>164</v>
      </c>
      <c r="I13" s="53" t="s">
        <v>159</v>
      </c>
      <c r="J13" s="53" t="s">
        <v>38</v>
      </c>
      <c r="K13" s="53" t="s">
        <v>161</v>
      </c>
      <c r="L13" s="53">
        <v>3</v>
      </c>
      <c r="N13" s="53">
        <v>4</v>
      </c>
      <c r="O13" s="53">
        <v>0.53</v>
      </c>
      <c r="P13" s="53">
        <v>0.51</v>
      </c>
      <c r="Q13" s="75">
        <f t="shared" si="2"/>
        <v>0.52</v>
      </c>
      <c r="R13" s="53">
        <v>13.8</v>
      </c>
      <c r="S13" s="53">
        <v>86</v>
      </c>
      <c r="T13" s="16">
        <f t="shared" si="0"/>
        <v>36</v>
      </c>
      <c r="U13" s="53">
        <v>297</v>
      </c>
      <c r="V13" s="16">
        <f t="shared" si="1"/>
        <v>16</v>
      </c>
      <c r="W13" s="53">
        <v>5</v>
      </c>
      <c r="X13" s="53" t="s">
        <v>39</v>
      </c>
      <c r="Y13" s="53" t="s">
        <v>78</v>
      </c>
      <c r="Z13" s="53" t="s">
        <v>102</v>
      </c>
      <c r="AA13" s="53" t="s">
        <v>90</v>
      </c>
      <c r="AB13" s="53" t="s">
        <v>317</v>
      </c>
      <c r="AE13" s="22" t="s">
        <v>73</v>
      </c>
      <c r="AG13" s="23"/>
      <c r="AH13" s="23"/>
      <c r="AP13" s="23" t="s">
        <v>71</v>
      </c>
      <c r="AR13" s="23" t="s">
        <v>103</v>
      </c>
      <c r="AV13" s="23" t="s">
        <v>75</v>
      </c>
    </row>
    <row r="14" spans="1:53" x14ac:dyDescent="0.15">
      <c r="A14" s="53" t="s">
        <v>59</v>
      </c>
      <c r="B14" s="53" t="s">
        <v>234</v>
      </c>
      <c r="C14" s="62">
        <v>2019</v>
      </c>
      <c r="D14" s="137" t="s">
        <v>285</v>
      </c>
      <c r="E14" s="53" t="s">
        <v>328</v>
      </c>
      <c r="F14" s="53" t="s">
        <v>329</v>
      </c>
      <c r="G14" s="53" t="s">
        <v>36</v>
      </c>
      <c r="H14" s="53" t="s">
        <v>160</v>
      </c>
      <c r="I14" s="53" t="s">
        <v>159</v>
      </c>
      <c r="J14" s="53" t="s">
        <v>38</v>
      </c>
      <c r="K14" s="53" t="s">
        <v>161</v>
      </c>
      <c r="L14" s="53">
        <v>1</v>
      </c>
      <c r="N14" s="53">
        <v>3</v>
      </c>
      <c r="O14" s="53">
        <v>0.28999999999999998</v>
      </c>
      <c r="P14" s="53">
        <v>0.31</v>
      </c>
      <c r="Q14" s="75">
        <f t="shared" si="2"/>
        <v>0.3</v>
      </c>
      <c r="R14" s="53">
        <v>17.3</v>
      </c>
      <c r="S14" s="53">
        <v>110</v>
      </c>
      <c r="T14" s="16">
        <f t="shared" si="0"/>
        <v>33</v>
      </c>
      <c r="U14" s="53">
        <v>399</v>
      </c>
      <c r="V14" s="16">
        <f t="shared" si="1"/>
        <v>16</v>
      </c>
      <c r="W14" s="53">
        <v>4</v>
      </c>
      <c r="X14" s="53" t="s">
        <v>39</v>
      </c>
      <c r="Y14" s="53" t="s">
        <v>78</v>
      </c>
      <c r="Z14" s="53" t="s">
        <v>90</v>
      </c>
      <c r="AA14" s="53" t="s">
        <v>102</v>
      </c>
      <c r="AB14" s="53" t="s">
        <v>317</v>
      </c>
      <c r="AE14" s="22" t="s">
        <v>76</v>
      </c>
      <c r="AG14" s="23"/>
      <c r="AH14" s="23"/>
      <c r="AP14" s="23" t="s">
        <v>346</v>
      </c>
      <c r="AR14" s="23" t="s">
        <v>125</v>
      </c>
      <c r="AV14" s="23" t="s">
        <v>78</v>
      </c>
    </row>
    <row r="15" spans="1:53" x14ac:dyDescent="0.15">
      <c r="A15" s="53" t="s">
        <v>59</v>
      </c>
      <c r="B15" s="53" t="s">
        <v>234</v>
      </c>
      <c r="C15" s="62">
        <v>2019</v>
      </c>
      <c r="D15" s="137" t="s">
        <v>285</v>
      </c>
      <c r="E15" s="53" t="s">
        <v>328</v>
      </c>
      <c r="F15" s="53" t="s">
        <v>329</v>
      </c>
      <c r="G15" s="53" t="s">
        <v>36</v>
      </c>
      <c r="H15" s="53" t="s">
        <v>160</v>
      </c>
      <c r="I15" s="53" t="s">
        <v>159</v>
      </c>
      <c r="J15" s="53" t="s">
        <v>38</v>
      </c>
      <c r="K15" s="53" t="s">
        <v>161</v>
      </c>
      <c r="L15" s="53">
        <v>2</v>
      </c>
      <c r="N15" s="53">
        <v>3</v>
      </c>
      <c r="O15" s="53">
        <v>0.28000000000000003</v>
      </c>
      <c r="P15" s="53">
        <v>0.3</v>
      </c>
      <c r="Q15" s="75">
        <f t="shared" si="2"/>
        <v>0.29000000000000004</v>
      </c>
      <c r="R15" s="53">
        <v>16.3</v>
      </c>
      <c r="S15" s="53">
        <v>109</v>
      </c>
      <c r="T15" s="16">
        <f t="shared" si="0"/>
        <v>33</v>
      </c>
      <c r="U15" s="53">
        <v>399</v>
      </c>
      <c r="V15" s="16">
        <f t="shared" si="1"/>
        <v>16</v>
      </c>
      <c r="W15" s="53">
        <v>4</v>
      </c>
      <c r="X15" s="53" t="s">
        <v>39</v>
      </c>
      <c r="Y15" s="53" t="s">
        <v>78</v>
      </c>
      <c r="Z15" s="53" t="s">
        <v>90</v>
      </c>
      <c r="AA15" s="53" t="s">
        <v>102</v>
      </c>
      <c r="AB15" s="53" t="s">
        <v>317</v>
      </c>
      <c r="AE15" s="22" t="s">
        <v>79</v>
      </c>
      <c r="AG15" s="23"/>
      <c r="AH15" s="23"/>
      <c r="AP15" s="23" t="s">
        <v>347</v>
      </c>
      <c r="AR15" s="23" t="s">
        <v>94</v>
      </c>
      <c r="AV15" s="23" t="s">
        <v>107</v>
      </c>
    </row>
    <row r="16" spans="1:53" x14ac:dyDescent="0.15">
      <c r="A16" s="53" t="s">
        <v>59</v>
      </c>
      <c r="B16" s="53" t="s">
        <v>234</v>
      </c>
      <c r="C16" s="62">
        <v>2019</v>
      </c>
      <c r="D16" s="137" t="s">
        <v>285</v>
      </c>
      <c r="E16" s="53" t="s">
        <v>328</v>
      </c>
      <c r="F16" s="53" t="s">
        <v>329</v>
      </c>
      <c r="G16" s="53" t="s">
        <v>36</v>
      </c>
      <c r="H16" s="53" t="s">
        <v>160</v>
      </c>
      <c r="I16" s="53" t="s">
        <v>159</v>
      </c>
      <c r="J16" s="53" t="s">
        <v>38</v>
      </c>
      <c r="K16" s="53" t="s">
        <v>161</v>
      </c>
      <c r="L16" s="53">
        <v>3</v>
      </c>
      <c r="N16" s="53">
        <v>3</v>
      </c>
      <c r="O16" s="53">
        <v>0.32</v>
      </c>
      <c r="P16" s="53">
        <v>0.33</v>
      </c>
      <c r="Q16" s="75">
        <f t="shared" si="2"/>
        <v>0.32500000000000001</v>
      </c>
      <c r="R16" s="53">
        <v>16.8</v>
      </c>
      <c r="S16" s="53">
        <v>109</v>
      </c>
      <c r="T16" s="16">
        <f t="shared" si="0"/>
        <v>33</v>
      </c>
      <c r="U16" s="53">
        <v>399</v>
      </c>
      <c r="V16" s="16">
        <f t="shared" si="1"/>
        <v>16</v>
      </c>
      <c r="W16" s="53">
        <v>4</v>
      </c>
      <c r="X16" s="53" t="s">
        <v>39</v>
      </c>
      <c r="Y16" s="53" t="s">
        <v>78</v>
      </c>
      <c r="Z16" s="53" t="s">
        <v>90</v>
      </c>
      <c r="AA16" s="53" t="s">
        <v>102</v>
      </c>
      <c r="AB16" s="53" t="s">
        <v>317</v>
      </c>
      <c r="AE16" s="22" t="s">
        <v>82</v>
      </c>
      <c r="AG16" s="28"/>
      <c r="AH16" s="28"/>
      <c r="AP16" s="23" t="s">
        <v>80</v>
      </c>
      <c r="AR16" s="23" t="s">
        <v>63</v>
      </c>
      <c r="AV16" s="23" t="s">
        <v>84</v>
      </c>
    </row>
    <row r="17" spans="1:48" x14ac:dyDescent="0.15">
      <c r="A17" s="53" t="s">
        <v>59</v>
      </c>
      <c r="B17" s="53" t="s">
        <v>234</v>
      </c>
      <c r="C17" s="62">
        <v>2019</v>
      </c>
      <c r="D17" s="137" t="s">
        <v>285</v>
      </c>
      <c r="E17" s="53" t="s">
        <v>328</v>
      </c>
      <c r="F17" s="53" t="s">
        <v>329</v>
      </c>
      <c r="G17" s="53" t="s">
        <v>36</v>
      </c>
      <c r="H17" s="53" t="s">
        <v>164</v>
      </c>
      <c r="I17" s="53" t="s">
        <v>159</v>
      </c>
      <c r="J17" s="53" t="s">
        <v>38</v>
      </c>
      <c r="K17" s="53" t="s">
        <v>161</v>
      </c>
      <c r="L17" s="53">
        <v>1</v>
      </c>
      <c r="N17" s="53">
        <v>4</v>
      </c>
      <c r="O17" s="53">
        <v>0.28999999999999998</v>
      </c>
      <c r="P17" s="53">
        <v>0.26</v>
      </c>
      <c r="Q17" s="75">
        <f t="shared" si="2"/>
        <v>0.27500000000000002</v>
      </c>
      <c r="R17" s="53">
        <v>14.8</v>
      </c>
      <c r="S17" s="53">
        <v>102</v>
      </c>
      <c r="T17" s="16">
        <f t="shared" si="0"/>
        <v>33</v>
      </c>
      <c r="U17" s="53">
        <v>399</v>
      </c>
      <c r="V17" s="16">
        <f t="shared" si="1"/>
        <v>16</v>
      </c>
      <c r="W17" s="53">
        <v>4</v>
      </c>
      <c r="X17" s="53" t="s">
        <v>39</v>
      </c>
      <c r="Y17" s="53" t="s">
        <v>78</v>
      </c>
      <c r="Z17" s="53" t="s">
        <v>90</v>
      </c>
      <c r="AA17" s="53" t="s">
        <v>102</v>
      </c>
      <c r="AB17" s="53" t="s">
        <v>317</v>
      </c>
      <c r="AE17" s="22" t="s">
        <v>85</v>
      </c>
      <c r="AP17" s="27" t="s">
        <v>110</v>
      </c>
      <c r="AR17" s="23" t="s">
        <v>96</v>
      </c>
      <c r="AV17" s="23" t="s">
        <v>86</v>
      </c>
    </row>
    <row r="18" spans="1:48" x14ac:dyDescent="0.15">
      <c r="A18" s="53" t="s">
        <v>59</v>
      </c>
      <c r="B18" s="53" t="s">
        <v>234</v>
      </c>
      <c r="C18" s="62">
        <v>2019</v>
      </c>
      <c r="D18" s="137" t="s">
        <v>285</v>
      </c>
      <c r="E18" s="53" t="s">
        <v>328</v>
      </c>
      <c r="F18" s="53" t="s">
        <v>329</v>
      </c>
      <c r="G18" s="53" t="s">
        <v>36</v>
      </c>
      <c r="H18" s="53" t="s">
        <v>164</v>
      </c>
      <c r="I18" s="53" t="s">
        <v>159</v>
      </c>
      <c r="J18" s="53" t="s">
        <v>38</v>
      </c>
      <c r="K18" s="53" t="s">
        <v>161</v>
      </c>
      <c r="L18" s="53">
        <v>2</v>
      </c>
      <c r="N18" s="53">
        <v>4</v>
      </c>
      <c r="O18" s="53">
        <v>0.28999999999999998</v>
      </c>
      <c r="P18" s="53">
        <v>0.27</v>
      </c>
      <c r="Q18" s="75">
        <f t="shared" si="2"/>
        <v>0.28000000000000003</v>
      </c>
      <c r="R18" s="53">
        <v>16</v>
      </c>
      <c r="S18" s="53">
        <v>106</v>
      </c>
      <c r="T18" s="16">
        <f t="shared" si="0"/>
        <v>33</v>
      </c>
      <c r="U18" s="53">
        <v>399</v>
      </c>
      <c r="V18" s="16">
        <f t="shared" si="1"/>
        <v>16</v>
      </c>
      <c r="W18" s="53">
        <v>4</v>
      </c>
      <c r="X18" s="53" t="s">
        <v>39</v>
      </c>
      <c r="Y18" s="53" t="s">
        <v>78</v>
      </c>
      <c r="Z18" s="53" t="s">
        <v>90</v>
      </c>
      <c r="AA18" s="53" t="s">
        <v>102</v>
      </c>
      <c r="AB18" s="53" t="s">
        <v>317</v>
      </c>
      <c r="AE18" s="22" t="s">
        <v>87</v>
      </c>
      <c r="AP18" s="27" t="s">
        <v>348</v>
      </c>
      <c r="AR18" s="23" t="s">
        <v>101</v>
      </c>
      <c r="AV18" s="23" t="s">
        <v>88</v>
      </c>
    </row>
    <row r="19" spans="1:48" x14ac:dyDescent="0.15">
      <c r="A19" s="53" t="s">
        <v>59</v>
      </c>
      <c r="B19" s="53" t="s">
        <v>234</v>
      </c>
      <c r="C19" s="62">
        <v>2019</v>
      </c>
      <c r="D19" s="137" t="s">
        <v>285</v>
      </c>
      <c r="E19" s="53" t="s">
        <v>328</v>
      </c>
      <c r="F19" s="53" t="s">
        <v>329</v>
      </c>
      <c r="G19" s="53" t="s">
        <v>36</v>
      </c>
      <c r="H19" s="53" t="s">
        <v>164</v>
      </c>
      <c r="I19" s="53" t="s">
        <v>159</v>
      </c>
      <c r="J19" s="53" t="s">
        <v>38</v>
      </c>
      <c r="K19" s="53" t="s">
        <v>161</v>
      </c>
      <c r="L19" s="53">
        <v>3</v>
      </c>
      <c r="N19" s="53">
        <v>4</v>
      </c>
      <c r="O19" s="53">
        <v>0.24</v>
      </c>
      <c r="P19" s="53">
        <v>0.25</v>
      </c>
      <c r="Q19" s="75">
        <f t="shared" si="2"/>
        <v>0.245</v>
      </c>
      <c r="R19" s="53">
        <v>15.2</v>
      </c>
      <c r="S19" s="53">
        <v>98</v>
      </c>
      <c r="T19" s="16">
        <f t="shared" si="0"/>
        <v>36</v>
      </c>
      <c r="U19" s="53">
        <v>399</v>
      </c>
      <c r="V19" s="16">
        <f t="shared" si="1"/>
        <v>16</v>
      </c>
      <c r="W19" s="53">
        <v>4</v>
      </c>
      <c r="X19" s="53" t="s">
        <v>39</v>
      </c>
      <c r="Y19" s="53" t="s">
        <v>78</v>
      </c>
      <c r="Z19" s="53" t="s">
        <v>90</v>
      </c>
      <c r="AA19" s="53" t="s">
        <v>102</v>
      </c>
      <c r="AB19" s="53" t="s">
        <v>317</v>
      </c>
      <c r="AE19" s="35" t="s">
        <v>89</v>
      </c>
      <c r="AP19" s="27" t="s">
        <v>112</v>
      </c>
      <c r="AR19" s="23" t="s">
        <v>126</v>
      </c>
      <c r="AV19" s="23" t="s">
        <v>349</v>
      </c>
    </row>
    <row r="20" spans="1:48" x14ac:dyDescent="0.15">
      <c r="A20" s="53" t="s">
        <v>59</v>
      </c>
      <c r="B20" s="53" t="s">
        <v>234</v>
      </c>
      <c r="C20" s="62">
        <v>2019</v>
      </c>
      <c r="D20" s="137" t="s">
        <v>285</v>
      </c>
      <c r="E20" s="53" t="s">
        <v>340</v>
      </c>
      <c r="F20" s="53" t="s">
        <v>329</v>
      </c>
      <c r="G20" s="53" t="s">
        <v>36</v>
      </c>
      <c r="H20" s="53" t="s">
        <v>160</v>
      </c>
      <c r="I20" s="53" t="s">
        <v>159</v>
      </c>
      <c r="J20" s="53" t="s">
        <v>38</v>
      </c>
      <c r="K20" s="53" t="s">
        <v>161</v>
      </c>
      <c r="L20" s="53">
        <v>1</v>
      </c>
      <c r="N20" s="53">
        <v>4</v>
      </c>
      <c r="O20" s="53">
        <v>0.28999999999999998</v>
      </c>
      <c r="P20" s="53">
        <v>0.35</v>
      </c>
      <c r="Q20" s="75">
        <f t="shared" si="2"/>
        <v>0.31999999999999995</v>
      </c>
      <c r="R20" s="53">
        <v>16.8</v>
      </c>
      <c r="S20" s="53">
        <v>97</v>
      </c>
      <c r="T20" s="16">
        <f t="shared" si="0"/>
        <v>36</v>
      </c>
      <c r="U20" s="53">
        <v>537</v>
      </c>
      <c r="V20" s="16">
        <f t="shared" si="1"/>
        <v>16</v>
      </c>
      <c r="W20" s="53">
        <v>2</v>
      </c>
      <c r="X20" s="53" t="s">
        <v>46</v>
      </c>
      <c r="Y20" s="53" t="s">
        <v>78</v>
      </c>
      <c r="Z20" s="53" t="s">
        <v>102</v>
      </c>
      <c r="AA20" s="53" t="s">
        <v>88</v>
      </c>
      <c r="AB20" s="53" t="s">
        <v>317</v>
      </c>
      <c r="AE20" s="35"/>
      <c r="AP20" s="27" t="s">
        <v>113</v>
      </c>
      <c r="AR20" s="23" t="s">
        <v>105</v>
      </c>
      <c r="AV20" s="27" t="s">
        <v>135</v>
      </c>
    </row>
    <row r="21" spans="1:48" x14ac:dyDescent="0.15">
      <c r="A21" s="53" t="s">
        <v>59</v>
      </c>
      <c r="B21" s="53" t="s">
        <v>234</v>
      </c>
      <c r="C21" s="62">
        <v>2019</v>
      </c>
      <c r="D21" s="137" t="s">
        <v>285</v>
      </c>
      <c r="E21" s="53" t="s">
        <v>340</v>
      </c>
      <c r="F21" s="53" t="s">
        <v>329</v>
      </c>
      <c r="G21" s="53" t="s">
        <v>36</v>
      </c>
      <c r="H21" s="53" t="s">
        <v>160</v>
      </c>
      <c r="I21" s="53" t="s">
        <v>159</v>
      </c>
      <c r="J21" s="53" t="s">
        <v>38</v>
      </c>
      <c r="K21" s="53" t="s">
        <v>161</v>
      </c>
      <c r="L21" s="53">
        <v>2</v>
      </c>
      <c r="N21" s="53">
        <v>4</v>
      </c>
      <c r="O21" s="53">
        <v>0.27</v>
      </c>
      <c r="P21" s="53">
        <v>0.27</v>
      </c>
      <c r="Q21" s="75">
        <f t="shared" si="2"/>
        <v>0.27</v>
      </c>
      <c r="R21" s="53">
        <v>16.100000000000001</v>
      </c>
      <c r="S21" s="53">
        <v>100</v>
      </c>
      <c r="T21" s="16">
        <f t="shared" si="0"/>
        <v>33</v>
      </c>
      <c r="U21" s="53">
        <v>537</v>
      </c>
      <c r="V21" s="16">
        <f t="shared" si="1"/>
        <v>16</v>
      </c>
      <c r="W21" s="53">
        <v>2</v>
      </c>
      <c r="X21" s="53" t="s">
        <v>46</v>
      </c>
      <c r="Y21" s="53" t="s">
        <v>78</v>
      </c>
      <c r="Z21" s="53" t="s">
        <v>102</v>
      </c>
      <c r="AA21" s="53" t="s">
        <v>88</v>
      </c>
      <c r="AB21" s="53" t="s">
        <v>317</v>
      </c>
      <c r="AE21" s="28"/>
      <c r="AP21" s="27" t="s">
        <v>350</v>
      </c>
      <c r="AR21" s="23" t="s">
        <v>68</v>
      </c>
      <c r="AV21" s="27" t="s">
        <v>136</v>
      </c>
    </row>
    <row r="22" spans="1:48" x14ac:dyDescent="0.15">
      <c r="A22" s="53" t="s">
        <v>59</v>
      </c>
      <c r="B22" s="53" t="s">
        <v>234</v>
      </c>
      <c r="C22" s="62">
        <v>2019</v>
      </c>
      <c r="D22" s="137" t="s">
        <v>285</v>
      </c>
      <c r="E22" s="53" t="s">
        <v>340</v>
      </c>
      <c r="F22" s="53" t="s">
        <v>329</v>
      </c>
      <c r="G22" s="53" t="s">
        <v>36</v>
      </c>
      <c r="H22" s="53" t="s">
        <v>160</v>
      </c>
      <c r="I22" s="53" t="s">
        <v>159</v>
      </c>
      <c r="J22" s="53" t="s">
        <v>38</v>
      </c>
      <c r="K22" s="53" t="s">
        <v>161</v>
      </c>
      <c r="L22" s="53">
        <v>3</v>
      </c>
      <c r="N22" s="53">
        <v>4</v>
      </c>
      <c r="O22" s="53">
        <v>0.32</v>
      </c>
      <c r="P22" s="53">
        <v>0.33</v>
      </c>
      <c r="Q22" s="75">
        <f t="shared" si="2"/>
        <v>0.32500000000000001</v>
      </c>
      <c r="R22" s="53">
        <v>16.5</v>
      </c>
      <c r="S22" s="53">
        <v>100</v>
      </c>
      <c r="T22" s="16">
        <f t="shared" si="0"/>
        <v>33</v>
      </c>
      <c r="U22" s="53">
        <v>537</v>
      </c>
      <c r="V22" s="16">
        <f t="shared" si="1"/>
        <v>16</v>
      </c>
      <c r="W22" s="53">
        <v>2</v>
      </c>
      <c r="X22" s="53" t="s">
        <v>46</v>
      </c>
      <c r="Y22" s="53" t="s">
        <v>78</v>
      </c>
      <c r="Z22" s="53" t="s">
        <v>102</v>
      </c>
      <c r="AA22" s="53" t="s">
        <v>88</v>
      </c>
      <c r="AB22" s="53" t="s">
        <v>317</v>
      </c>
      <c r="AP22" s="27" t="s">
        <v>351</v>
      </c>
      <c r="AR22" s="23" t="s">
        <v>83</v>
      </c>
      <c r="AV22" s="27" t="s">
        <v>352</v>
      </c>
    </row>
    <row r="23" spans="1:48" x14ac:dyDescent="0.15">
      <c r="A23" s="53" t="s">
        <v>59</v>
      </c>
      <c r="B23" s="53" t="s">
        <v>234</v>
      </c>
      <c r="C23" s="62">
        <v>2019</v>
      </c>
      <c r="D23" s="137" t="s">
        <v>285</v>
      </c>
      <c r="E23" s="53" t="s">
        <v>340</v>
      </c>
      <c r="F23" s="53" t="s">
        <v>329</v>
      </c>
      <c r="G23" s="53" t="s">
        <v>36</v>
      </c>
      <c r="H23" s="53" t="s">
        <v>164</v>
      </c>
      <c r="I23" s="53" t="s">
        <v>159</v>
      </c>
      <c r="J23" s="53" t="s">
        <v>38</v>
      </c>
      <c r="K23" s="53" t="s">
        <v>161</v>
      </c>
      <c r="L23" s="53">
        <v>1</v>
      </c>
      <c r="N23" s="53">
        <v>4</v>
      </c>
      <c r="O23" s="53">
        <v>0.26</v>
      </c>
      <c r="P23" s="53">
        <v>0.24</v>
      </c>
      <c r="Q23" s="75">
        <f t="shared" si="2"/>
        <v>0.25</v>
      </c>
      <c r="R23" s="53">
        <v>16</v>
      </c>
      <c r="S23" s="53">
        <v>99</v>
      </c>
      <c r="T23" s="16">
        <f t="shared" si="0"/>
        <v>33</v>
      </c>
      <c r="U23" s="53">
        <v>429</v>
      </c>
      <c r="V23" s="16">
        <f t="shared" si="1"/>
        <v>16</v>
      </c>
      <c r="W23" s="53">
        <v>2</v>
      </c>
      <c r="X23" s="53" t="s">
        <v>46</v>
      </c>
      <c r="Y23" s="53" t="s">
        <v>78</v>
      </c>
      <c r="Z23" s="53" t="s">
        <v>102</v>
      </c>
      <c r="AA23" s="53" t="s">
        <v>88</v>
      </c>
      <c r="AB23" s="53" t="s">
        <v>317</v>
      </c>
      <c r="AP23" s="27" t="s">
        <v>137</v>
      </c>
      <c r="AR23" s="23" t="s">
        <v>61</v>
      </c>
      <c r="AV23" s="27" t="s">
        <v>353</v>
      </c>
    </row>
    <row r="24" spans="1:48" x14ac:dyDescent="0.15">
      <c r="A24" s="53" t="s">
        <v>59</v>
      </c>
      <c r="B24" s="53" t="s">
        <v>234</v>
      </c>
      <c r="C24" s="62">
        <v>2019</v>
      </c>
      <c r="D24" s="137" t="s">
        <v>285</v>
      </c>
      <c r="E24" s="53" t="s">
        <v>340</v>
      </c>
      <c r="F24" s="53" t="s">
        <v>329</v>
      </c>
      <c r="G24" s="53" t="s">
        <v>36</v>
      </c>
      <c r="H24" s="53" t="s">
        <v>164</v>
      </c>
      <c r="I24" s="53" t="s">
        <v>159</v>
      </c>
      <c r="J24" s="53" t="s">
        <v>38</v>
      </c>
      <c r="K24" s="53" t="s">
        <v>161</v>
      </c>
      <c r="L24" s="53">
        <v>2</v>
      </c>
      <c r="N24" s="53">
        <v>4</v>
      </c>
      <c r="O24" s="53">
        <v>0.3</v>
      </c>
      <c r="P24" s="53">
        <v>0.34</v>
      </c>
      <c r="Q24" s="75">
        <f t="shared" si="2"/>
        <v>0.32</v>
      </c>
      <c r="R24" s="53">
        <v>15</v>
      </c>
      <c r="S24" s="53">
        <v>97</v>
      </c>
      <c r="T24" s="16">
        <f t="shared" si="0"/>
        <v>36</v>
      </c>
      <c r="U24" s="53">
        <v>429</v>
      </c>
      <c r="V24" s="16">
        <f t="shared" si="1"/>
        <v>16</v>
      </c>
      <c r="W24" s="53">
        <v>2</v>
      </c>
      <c r="X24" s="53" t="s">
        <v>46</v>
      </c>
      <c r="Y24" s="53" t="s">
        <v>78</v>
      </c>
      <c r="Z24" s="53" t="s">
        <v>102</v>
      </c>
      <c r="AA24" s="53" t="s">
        <v>88</v>
      </c>
      <c r="AB24" s="53" t="s">
        <v>317</v>
      </c>
      <c r="AP24" s="27" t="s">
        <v>138</v>
      </c>
      <c r="AR24" s="23" t="s">
        <v>91</v>
      </c>
      <c r="AV24" s="27" t="s">
        <v>354</v>
      </c>
    </row>
    <row r="25" spans="1:48" x14ac:dyDescent="0.15">
      <c r="A25" s="53" t="s">
        <v>59</v>
      </c>
      <c r="B25" s="53" t="s">
        <v>234</v>
      </c>
      <c r="C25" s="62">
        <v>2019</v>
      </c>
      <c r="D25" s="137" t="s">
        <v>285</v>
      </c>
      <c r="E25" s="53" t="s">
        <v>340</v>
      </c>
      <c r="F25" s="53" t="s">
        <v>329</v>
      </c>
      <c r="G25" s="53" t="s">
        <v>36</v>
      </c>
      <c r="H25" s="53" t="s">
        <v>164</v>
      </c>
      <c r="I25" s="53" t="s">
        <v>159</v>
      </c>
      <c r="J25" s="53" t="s">
        <v>38</v>
      </c>
      <c r="K25" s="53" t="s">
        <v>161</v>
      </c>
      <c r="L25" s="53">
        <v>3</v>
      </c>
      <c r="N25" s="53">
        <v>4</v>
      </c>
      <c r="O25" s="53">
        <v>0.31</v>
      </c>
      <c r="P25" s="53">
        <v>0.32</v>
      </c>
      <c r="Q25" s="75">
        <f t="shared" si="2"/>
        <v>0.315</v>
      </c>
      <c r="R25" s="53">
        <v>15.1</v>
      </c>
      <c r="S25" s="53">
        <v>105</v>
      </c>
      <c r="T25" s="16">
        <f t="shared" si="0"/>
        <v>33</v>
      </c>
      <c r="U25" s="53">
        <v>429</v>
      </c>
      <c r="V25" s="16">
        <f t="shared" si="1"/>
        <v>16</v>
      </c>
      <c r="W25" s="53">
        <v>2</v>
      </c>
      <c r="X25" s="53" t="s">
        <v>46</v>
      </c>
      <c r="Y25" s="53" t="s">
        <v>78</v>
      </c>
      <c r="Z25" s="53" t="s">
        <v>102</v>
      </c>
      <c r="AA25" s="53" t="s">
        <v>88</v>
      </c>
      <c r="AB25" s="53" t="s">
        <v>317</v>
      </c>
      <c r="AP25" s="27" t="s">
        <v>116</v>
      </c>
      <c r="AR25" s="27" t="s">
        <v>92</v>
      </c>
      <c r="AV25" s="27" t="s">
        <v>355</v>
      </c>
    </row>
    <row r="26" spans="1:48" x14ac:dyDescent="0.15">
      <c r="A26" s="53" t="s">
        <v>59</v>
      </c>
      <c r="B26" s="53" t="s">
        <v>234</v>
      </c>
      <c r="C26" s="62">
        <v>2019</v>
      </c>
      <c r="D26" s="137" t="s">
        <v>285</v>
      </c>
      <c r="E26" s="53" t="s">
        <v>338</v>
      </c>
      <c r="F26" s="53" t="s">
        <v>337</v>
      </c>
      <c r="G26" s="53" t="s">
        <v>36</v>
      </c>
      <c r="H26" s="53" t="s">
        <v>160</v>
      </c>
      <c r="I26" s="53" t="s">
        <v>159</v>
      </c>
      <c r="J26" s="53" t="s">
        <v>38</v>
      </c>
      <c r="K26" s="53" t="s">
        <v>161</v>
      </c>
      <c r="L26" s="53">
        <v>1</v>
      </c>
      <c r="N26" s="53">
        <v>1</v>
      </c>
      <c r="O26" s="53">
        <v>0.3</v>
      </c>
      <c r="P26" s="53">
        <v>0.27</v>
      </c>
      <c r="Q26" s="75">
        <f t="shared" si="2"/>
        <v>0.28500000000000003</v>
      </c>
      <c r="R26" s="53">
        <v>18</v>
      </c>
      <c r="S26" s="53">
        <v>135</v>
      </c>
      <c r="T26" s="16">
        <f t="shared" si="0"/>
        <v>25</v>
      </c>
      <c r="U26" s="53">
        <v>138</v>
      </c>
      <c r="V26" s="16">
        <f t="shared" si="1"/>
        <v>22</v>
      </c>
      <c r="W26" s="53">
        <v>5</v>
      </c>
      <c r="X26" s="53" t="s">
        <v>39</v>
      </c>
      <c r="Y26" s="53" t="s">
        <v>78</v>
      </c>
      <c r="Z26" s="53" t="s">
        <v>55</v>
      </c>
      <c r="AA26" s="53" t="s">
        <v>90</v>
      </c>
      <c r="AB26" s="53" t="s">
        <v>317</v>
      </c>
      <c r="AP26" s="27" t="s">
        <v>117</v>
      </c>
      <c r="AR26" s="27" t="s">
        <v>356</v>
      </c>
      <c r="AV26" s="27"/>
    </row>
    <row r="27" spans="1:48" x14ac:dyDescent="0.15">
      <c r="A27" s="53" t="s">
        <v>59</v>
      </c>
      <c r="B27" s="53" t="s">
        <v>234</v>
      </c>
      <c r="C27" s="62">
        <v>2019</v>
      </c>
      <c r="D27" s="137" t="s">
        <v>285</v>
      </c>
      <c r="E27" s="53" t="s">
        <v>338</v>
      </c>
      <c r="F27" s="53" t="s">
        <v>337</v>
      </c>
      <c r="G27" s="53" t="s">
        <v>36</v>
      </c>
      <c r="H27" s="53" t="s">
        <v>160</v>
      </c>
      <c r="I27" s="53" t="s">
        <v>159</v>
      </c>
      <c r="J27" s="53" t="s">
        <v>38</v>
      </c>
      <c r="K27" s="53" t="s">
        <v>161</v>
      </c>
      <c r="L27" s="53">
        <v>2</v>
      </c>
      <c r="N27" s="53">
        <v>1</v>
      </c>
      <c r="O27" s="53">
        <v>0.23</v>
      </c>
      <c r="P27" s="53">
        <v>0.25</v>
      </c>
      <c r="Q27" s="75">
        <f t="shared" si="2"/>
        <v>0.24</v>
      </c>
      <c r="R27" s="53">
        <v>16.7</v>
      </c>
      <c r="S27" s="53">
        <v>133</v>
      </c>
      <c r="T27" s="16">
        <f t="shared" si="0"/>
        <v>25</v>
      </c>
      <c r="U27" s="53">
        <v>138</v>
      </c>
      <c r="V27" s="16">
        <f t="shared" si="1"/>
        <v>22</v>
      </c>
      <c r="W27" s="53">
        <v>5</v>
      </c>
      <c r="X27" s="53" t="s">
        <v>39</v>
      </c>
      <c r="Y27" s="53" t="s">
        <v>78</v>
      </c>
      <c r="Z27" s="53" t="s">
        <v>55</v>
      </c>
      <c r="AA27" s="53" t="s">
        <v>90</v>
      </c>
      <c r="AB27" s="53" t="s">
        <v>317</v>
      </c>
      <c r="AP27" s="27" t="s">
        <v>118</v>
      </c>
      <c r="AR27" s="28" t="s">
        <v>153</v>
      </c>
      <c r="AV27" s="27"/>
    </row>
    <row r="28" spans="1:48" x14ac:dyDescent="0.15">
      <c r="A28" s="53" t="s">
        <v>59</v>
      </c>
      <c r="B28" s="53" t="s">
        <v>234</v>
      </c>
      <c r="C28" s="62">
        <v>2019</v>
      </c>
      <c r="D28" s="137" t="s">
        <v>285</v>
      </c>
      <c r="E28" s="53" t="s">
        <v>338</v>
      </c>
      <c r="F28" s="53" t="s">
        <v>337</v>
      </c>
      <c r="G28" s="53" t="s">
        <v>36</v>
      </c>
      <c r="H28" s="53" t="s">
        <v>160</v>
      </c>
      <c r="I28" s="53" t="s">
        <v>159</v>
      </c>
      <c r="J28" s="53" t="s">
        <v>38</v>
      </c>
      <c r="K28" s="53" t="s">
        <v>161</v>
      </c>
      <c r="L28" s="53">
        <v>3</v>
      </c>
      <c r="N28" s="53">
        <v>1</v>
      </c>
      <c r="O28" s="53">
        <v>0.33</v>
      </c>
      <c r="P28" s="53">
        <v>0.31</v>
      </c>
      <c r="Q28" s="75">
        <f t="shared" si="2"/>
        <v>0.32</v>
      </c>
      <c r="R28" s="53">
        <v>17.399999999999999</v>
      </c>
      <c r="S28" s="53">
        <v>136</v>
      </c>
      <c r="T28" s="16">
        <f t="shared" si="0"/>
        <v>25</v>
      </c>
      <c r="U28" s="53">
        <v>138</v>
      </c>
      <c r="V28" s="16">
        <f t="shared" si="1"/>
        <v>22</v>
      </c>
      <c r="W28" s="53">
        <v>5</v>
      </c>
      <c r="X28" s="53" t="s">
        <v>39</v>
      </c>
      <c r="Y28" s="53" t="s">
        <v>78</v>
      </c>
      <c r="Z28" s="53" t="s">
        <v>55</v>
      </c>
      <c r="AA28" s="53" t="s">
        <v>90</v>
      </c>
      <c r="AB28" s="53" t="s">
        <v>317</v>
      </c>
      <c r="AV28" s="27"/>
    </row>
    <row r="29" spans="1:48" x14ac:dyDescent="0.15">
      <c r="A29" s="53" t="s">
        <v>59</v>
      </c>
      <c r="B29" s="53" t="s">
        <v>234</v>
      </c>
      <c r="C29" s="62">
        <v>2019</v>
      </c>
      <c r="D29" s="137" t="s">
        <v>285</v>
      </c>
      <c r="E29" s="53" t="s">
        <v>338</v>
      </c>
      <c r="F29" s="53" t="s">
        <v>337</v>
      </c>
      <c r="G29" s="53" t="s">
        <v>36</v>
      </c>
      <c r="H29" s="53" t="s">
        <v>164</v>
      </c>
      <c r="I29" s="53" t="s">
        <v>159</v>
      </c>
      <c r="J29" s="53" t="s">
        <v>38</v>
      </c>
      <c r="K29" s="53" t="s">
        <v>161</v>
      </c>
      <c r="L29" s="53">
        <v>1</v>
      </c>
      <c r="N29" s="53">
        <v>4</v>
      </c>
      <c r="O29" s="53">
        <v>0.38</v>
      </c>
      <c r="P29" s="53">
        <v>0.38</v>
      </c>
      <c r="Q29" s="75">
        <f t="shared" si="2"/>
        <v>0.38</v>
      </c>
      <c r="R29" s="53">
        <v>16.2</v>
      </c>
      <c r="S29" s="53">
        <v>101</v>
      </c>
      <c r="T29" s="16">
        <f t="shared" si="0"/>
        <v>33</v>
      </c>
      <c r="U29" s="53">
        <v>398</v>
      </c>
      <c r="V29" s="16">
        <f t="shared" si="1"/>
        <v>16</v>
      </c>
      <c r="W29" s="53">
        <v>5</v>
      </c>
      <c r="X29" s="53" t="s">
        <v>39</v>
      </c>
      <c r="Y29" s="53" t="s">
        <v>78</v>
      </c>
      <c r="Z29" s="53" t="s">
        <v>55</v>
      </c>
      <c r="AA29" s="53" t="s">
        <v>90</v>
      </c>
      <c r="AB29" s="53" t="s">
        <v>317</v>
      </c>
      <c r="AV29" s="27"/>
    </row>
    <row r="30" spans="1:48" x14ac:dyDescent="0.15">
      <c r="A30" s="53" t="s">
        <v>59</v>
      </c>
      <c r="B30" s="53" t="s">
        <v>234</v>
      </c>
      <c r="C30" s="62">
        <v>2019</v>
      </c>
      <c r="D30" s="137" t="s">
        <v>285</v>
      </c>
      <c r="E30" s="53" t="s">
        <v>338</v>
      </c>
      <c r="F30" s="53" t="s">
        <v>337</v>
      </c>
      <c r="G30" s="53" t="s">
        <v>36</v>
      </c>
      <c r="H30" s="53" t="s">
        <v>164</v>
      </c>
      <c r="I30" s="53" t="s">
        <v>159</v>
      </c>
      <c r="J30" s="53" t="s">
        <v>38</v>
      </c>
      <c r="K30" s="53" t="s">
        <v>161</v>
      </c>
      <c r="L30" s="53">
        <v>2</v>
      </c>
      <c r="N30" s="53">
        <v>4</v>
      </c>
      <c r="O30" s="53">
        <v>0.45</v>
      </c>
      <c r="P30" s="53">
        <v>0.35</v>
      </c>
      <c r="Q30" s="75">
        <f t="shared" si="2"/>
        <v>0.4</v>
      </c>
      <c r="R30" s="53">
        <v>16.7</v>
      </c>
      <c r="S30" s="53">
        <v>106</v>
      </c>
      <c r="T30" s="16">
        <f t="shared" si="0"/>
        <v>33</v>
      </c>
      <c r="U30" s="53">
        <v>398</v>
      </c>
      <c r="V30" s="16">
        <f t="shared" si="1"/>
        <v>16</v>
      </c>
      <c r="W30" s="53">
        <v>5</v>
      </c>
      <c r="X30" s="53" t="s">
        <v>39</v>
      </c>
      <c r="Y30" s="53" t="s">
        <v>78</v>
      </c>
      <c r="Z30" s="53" t="s">
        <v>55</v>
      </c>
      <c r="AA30" s="53" t="s">
        <v>90</v>
      </c>
      <c r="AB30" s="53" t="s">
        <v>317</v>
      </c>
      <c r="AV30" s="27"/>
    </row>
    <row r="31" spans="1:48" x14ac:dyDescent="0.15">
      <c r="A31" s="53" t="s">
        <v>59</v>
      </c>
      <c r="B31" s="53" t="s">
        <v>234</v>
      </c>
      <c r="C31" s="62">
        <v>2019</v>
      </c>
      <c r="D31" s="137" t="s">
        <v>285</v>
      </c>
      <c r="E31" s="53" t="s">
        <v>338</v>
      </c>
      <c r="F31" s="53" t="s">
        <v>337</v>
      </c>
      <c r="G31" s="53" t="s">
        <v>36</v>
      </c>
      <c r="H31" s="53" t="s">
        <v>164</v>
      </c>
      <c r="I31" s="53" t="s">
        <v>159</v>
      </c>
      <c r="J31" s="53" t="s">
        <v>38</v>
      </c>
      <c r="K31" s="53" t="s">
        <v>161</v>
      </c>
      <c r="L31" s="53">
        <v>3</v>
      </c>
      <c r="N31" s="53">
        <v>4</v>
      </c>
      <c r="O31" s="53">
        <v>0.39</v>
      </c>
      <c r="P31" s="53">
        <v>0.42</v>
      </c>
      <c r="Q31" s="75">
        <f t="shared" si="2"/>
        <v>0.40500000000000003</v>
      </c>
      <c r="R31" s="53">
        <v>15.9</v>
      </c>
      <c r="S31" s="53">
        <v>95</v>
      </c>
      <c r="T31" s="16">
        <f t="shared" si="0"/>
        <v>36</v>
      </c>
      <c r="U31" s="53">
        <v>398</v>
      </c>
      <c r="V31" s="16">
        <f t="shared" si="1"/>
        <v>16</v>
      </c>
      <c r="W31" s="53">
        <v>5</v>
      </c>
      <c r="X31" s="53" t="s">
        <v>39</v>
      </c>
      <c r="Y31" s="53" t="s">
        <v>78</v>
      </c>
      <c r="Z31" s="53" t="s">
        <v>55</v>
      </c>
      <c r="AA31" s="53" t="s">
        <v>90</v>
      </c>
      <c r="AB31" s="53" t="s">
        <v>317</v>
      </c>
      <c r="AV31" s="27"/>
    </row>
    <row r="32" spans="1:48" x14ac:dyDescent="0.15">
      <c r="A32" s="53" t="s">
        <v>59</v>
      </c>
      <c r="B32" s="53" t="s">
        <v>234</v>
      </c>
      <c r="C32" s="62">
        <v>2019</v>
      </c>
      <c r="D32" s="137" t="s">
        <v>285</v>
      </c>
      <c r="E32" s="53" t="s">
        <v>162</v>
      </c>
      <c r="F32" s="53" t="s">
        <v>337</v>
      </c>
      <c r="G32" s="53" t="s">
        <v>36</v>
      </c>
      <c r="H32" s="53" t="s">
        <v>160</v>
      </c>
      <c r="I32" s="53" t="s">
        <v>159</v>
      </c>
      <c r="J32" s="53" t="s">
        <v>38</v>
      </c>
      <c r="K32" s="53" t="s">
        <v>161</v>
      </c>
      <c r="L32" s="53">
        <v>1</v>
      </c>
      <c r="N32" s="53">
        <v>1</v>
      </c>
      <c r="O32" s="53">
        <v>0.54</v>
      </c>
      <c r="P32" s="53">
        <v>0.63</v>
      </c>
      <c r="Q32" s="75">
        <f t="shared" si="2"/>
        <v>0.58499999999999996</v>
      </c>
      <c r="R32" s="53">
        <v>15.7</v>
      </c>
      <c r="S32" s="53">
        <v>154</v>
      </c>
      <c r="T32" s="16">
        <f t="shared" si="0"/>
        <v>18</v>
      </c>
      <c r="U32" s="53">
        <v>158</v>
      </c>
      <c r="V32" s="16">
        <f t="shared" si="1"/>
        <v>18</v>
      </c>
      <c r="W32" s="53">
        <v>6</v>
      </c>
      <c r="X32" s="53" t="s">
        <v>46</v>
      </c>
      <c r="Y32" s="53" t="s">
        <v>78</v>
      </c>
      <c r="Z32" s="53" t="s">
        <v>69</v>
      </c>
      <c r="AA32" s="53" t="s">
        <v>55</v>
      </c>
      <c r="AB32" s="53" t="s">
        <v>317</v>
      </c>
      <c r="AV32" s="27"/>
    </row>
    <row r="33" spans="1:48" x14ac:dyDescent="0.15">
      <c r="A33" s="53" t="s">
        <v>59</v>
      </c>
      <c r="B33" s="53" t="s">
        <v>234</v>
      </c>
      <c r="C33" s="62">
        <v>2019</v>
      </c>
      <c r="D33" s="137" t="s">
        <v>285</v>
      </c>
      <c r="E33" s="53" t="s">
        <v>162</v>
      </c>
      <c r="F33" s="53" t="s">
        <v>337</v>
      </c>
      <c r="G33" s="53" t="s">
        <v>36</v>
      </c>
      <c r="H33" s="53" t="s">
        <v>160</v>
      </c>
      <c r="I33" s="53" t="s">
        <v>159</v>
      </c>
      <c r="J33" s="53" t="s">
        <v>38</v>
      </c>
      <c r="K33" s="53" t="s">
        <v>161</v>
      </c>
      <c r="L33" s="53">
        <v>2</v>
      </c>
      <c r="N33" s="53">
        <v>1</v>
      </c>
      <c r="O33" s="53">
        <v>0.47</v>
      </c>
      <c r="P33" s="53">
        <v>0.51</v>
      </c>
      <c r="Q33" s="75">
        <f t="shared" si="2"/>
        <v>0.49</v>
      </c>
      <c r="R33" s="53">
        <v>15.5</v>
      </c>
      <c r="S33" s="53">
        <v>155</v>
      </c>
      <c r="T33" s="16">
        <f t="shared" si="0"/>
        <v>18</v>
      </c>
      <c r="U33" s="53">
        <v>158</v>
      </c>
      <c r="V33" s="16">
        <f t="shared" si="1"/>
        <v>18</v>
      </c>
      <c r="W33" s="53">
        <v>6</v>
      </c>
      <c r="X33" s="53" t="s">
        <v>46</v>
      </c>
      <c r="Y33" s="53" t="s">
        <v>78</v>
      </c>
      <c r="Z33" s="53" t="s">
        <v>69</v>
      </c>
      <c r="AA33" s="53" t="s">
        <v>55</v>
      </c>
      <c r="AB33" s="53" t="s">
        <v>317</v>
      </c>
      <c r="AV33" s="27"/>
    </row>
    <row r="34" spans="1:48" x14ac:dyDescent="0.15">
      <c r="A34" s="53" t="s">
        <v>59</v>
      </c>
      <c r="B34" s="53" t="s">
        <v>234</v>
      </c>
      <c r="C34" s="62">
        <v>2019</v>
      </c>
      <c r="D34" s="137" t="s">
        <v>285</v>
      </c>
      <c r="E34" s="53" t="s">
        <v>162</v>
      </c>
      <c r="F34" s="53" t="s">
        <v>337</v>
      </c>
      <c r="G34" s="53" t="s">
        <v>36</v>
      </c>
      <c r="H34" s="53" t="s">
        <v>160</v>
      </c>
      <c r="I34" s="53" t="s">
        <v>159</v>
      </c>
      <c r="J34" s="53" t="s">
        <v>38</v>
      </c>
      <c r="K34" s="53" t="s">
        <v>161</v>
      </c>
      <c r="L34" s="53">
        <v>3</v>
      </c>
      <c r="N34" s="53">
        <v>1</v>
      </c>
      <c r="O34" s="53">
        <v>0.59</v>
      </c>
      <c r="P34" s="53">
        <v>0.54</v>
      </c>
      <c r="Q34" s="75">
        <f t="shared" si="2"/>
        <v>0.56499999999999995</v>
      </c>
      <c r="R34" s="53">
        <v>16.899999999999999</v>
      </c>
      <c r="S34" s="53">
        <v>176</v>
      </c>
      <c r="T34" s="16">
        <f t="shared" si="0"/>
        <v>18</v>
      </c>
      <c r="U34" s="53">
        <v>158</v>
      </c>
      <c r="V34" s="16">
        <f t="shared" si="1"/>
        <v>18</v>
      </c>
      <c r="W34" s="53">
        <v>6</v>
      </c>
      <c r="X34" s="53" t="s">
        <v>46</v>
      </c>
      <c r="Y34" s="53" t="s">
        <v>78</v>
      </c>
      <c r="Z34" s="53" t="s">
        <v>69</v>
      </c>
      <c r="AA34" s="53" t="s">
        <v>55</v>
      </c>
      <c r="AB34" s="53" t="s">
        <v>317</v>
      </c>
      <c r="AV34" s="27"/>
    </row>
    <row r="35" spans="1:48" x14ac:dyDescent="0.15">
      <c r="A35" s="53" t="s">
        <v>59</v>
      </c>
      <c r="B35" s="53" t="s">
        <v>234</v>
      </c>
      <c r="C35" s="62">
        <v>2019</v>
      </c>
      <c r="D35" s="137" t="s">
        <v>285</v>
      </c>
      <c r="E35" s="53" t="s">
        <v>162</v>
      </c>
      <c r="F35" s="53" t="s">
        <v>337</v>
      </c>
      <c r="G35" s="53" t="s">
        <v>36</v>
      </c>
      <c r="H35" s="53" t="s">
        <v>164</v>
      </c>
      <c r="I35" s="53" t="s">
        <v>159</v>
      </c>
      <c r="J35" s="53" t="s">
        <v>38</v>
      </c>
      <c r="K35" s="53" t="s">
        <v>161</v>
      </c>
      <c r="L35" s="53">
        <v>1</v>
      </c>
      <c r="N35" s="53">
        <v>1</v>
      </c>
      <c r="O35" s="53">
        <v>0.52</v>
      </c>
      <c r="P35" s="53">
        <v>0.63</v>
      </c>
      <c r="Q35" s="75">
        <f t="shared" si="2"/>
        <v>0.57499999999999996</v>
      </c>
      <c r="R35" s="53">
        <v>14.8</v>
      </c>
      <c r="S35" s="53">
        <v>152</v>
      </c>
      <c r="T35" s="16">
        <f t="shared" si="0"/>
        <v>18</v>
      </c>
      <c r="U35" s="53">
        <v>158</v>
      </c>
      <c r="V35" s="16">
        <f t="shared" si="1"/>
        <v>18</v>
      </c>
      <c r="W35" s="53">
        <v>6</v>
      </c>
      <c r="X35" s="53" t="s">
        <v>46</v>
      </c>
      <c r="Y35" s="53" t="s">
        <v>78</v>
      </c>
      <c r="Z35" s="53" t="s">
        <v>69</v>
      </c>
      <c r="AA35" s="53" t="s">
        <v>55</v>
      </c>
      <c r="AB35" s="53" t="s">
        <v>317</v>
      </c>
      <c r="AV35" s="27"/>
    </row>
    <row r="36" spans="1:48" x14ac:dyDescent="0.15">
      <c r="A36" s="53" t="s">
        <v>59</v>
      </c>
      <c r="B36" s="53" t="s">
        <v>234</v>
      </c>
      <c r="C36" s="62">
        <v>2019</v>
      </c>
      <c r="D36" s="137" t="s">
        <v>285</v>
      </c>
      <c r="E36" s="53" t="s">
        <v>162</v>
      </c>
      <c r="F36" s="53" t="s">
        <v>337</v>
      </c>
      <c r="G36" s="53" t="s">
        <v>36</v>
      </c>
      <c r="H36" s="53" t="s">
        <v>164</v>
      </c>
      <c r="I36" s="53" t="s">
        <v>159</v>
      </c>
      <c r="J36" s="53" t="s">
        <v>38</v>
      </c>
      <c r="K36" s="53" t="s">
        <v>161</v>
      </c>
      <c r="L36" s="53">
        <v>2</v>
      </c>
      <c r="N36" s="53">
        <v>1</v>
      </c>
      <c r="O36" s="53">
        <v>0.57999999999999996</v>
      </c>
      <c r="P36" s="53">
        <v>0.62</v>
      </c>
      <c r="Q36" s="75">
        <f t="shared" si="2"/>
        <v>0.6</v>
      </c>
      <c r="R36" s="53">
        <v>14.6</v>
      </c>
      <c r="S36" s="53">
        <v>149</v>
      </c>
      <c r="T36" s="16">
        <f t="shared" si="0"/>
        <v>22</v>
      </c>
      <c r="U36" s="53">
        <v>158</v>
      </c>
      <c r="V36" s="16">
        <f t="shared" si="1"/>
        <v>18</v>
      </c>
      <c r="W36" s="53">
        <v>6</v>
      </c>
      <c r="X36" s="53" t="s">
        <v>46</v>
      </c>
      <c r="Y36" s="53" t="s">
        <v>78</v>
      </c>
      <c r="Z36" s="53" t="s">
        <v>69</v>
      </c>
      <c r="AA36" s="53" t="s">
        <v>55</v>
      </c>
      <c r="AB36" s="53" t="s">
        <v>317</v>
      </c>
      <c r="AV36" s="27"/>
    </row>
    <row r="37" spans="1:48" x14ac:dyDescent="0.15">
      <c r="A37" s="53" t="s">
        <v>59</v>
      </c>
      <c r="B37" s="53" t="s">
        <v>234</v>
      </c>
      <c r="C37" s="62">
        <v>2019</v>
      </c>
      <c r="D37" s="137" t="s">
        <v>285</v>
      </c>
      <c r="E37" s="53" t="s">
        <v>162</v>
      </c>
      <c r="F37" s="53" t="s">
        <v>337</v>
      </c>
      <c r="G37" s="53" t="s">
        <v>36</v>
      </c>
      <c r="H37" s="53" t="s">
        <v>164</v>
      </c>
      <c r="I37" s="53" t="s">
        <v>159</v>
      </c>
      <c r="J37" s="53" t="s">
        <v>38</v>
      </c>
      <c r="K37" s="53" t="s">
        <v>161</v>
      </c>
      <c r="L37" s="53">
        <v>3</v>
      </c>
      <c r="N37" s="53">
        <v>1</v>
      </c>
      <c r="O37" s="53">
        <v>0.53</v>
      </c>
      <c r="P37" s="53">
        <v>0.54</v>
      </c>
      <c r="Q37" s="75">
        <f t="shared" si="2"/>
        <v>0.53500000000000003</v>
      </c>
      <c r="R37" s="53">
        <v>14.8</v>
      </c>
      <c r="S37" s="53">
        <v>155</v>
      </c>
      <c r="T37" s="16">
        <f t="shared" si="0"/>
        <v>18</v>
      </c>
      <c r="U37" s="53">
        <v>158</v>
      </c>
      <c r="V37" s="16">
        <f t="shared" si="1"/>
        <v>18</v>
      </c>
      <c r="W37" s="53">
        <v>6</v>
      </c>
      <c r="X37" s="53" t="s">
        <v>46</v>
      </c>
      <c r="Y37" s="53" t="s">
        <v>78</v>
      </c>
      <c r="Z37" s="53" t="s">
        <v>69</v>
      </c>
      <c r="AA37" s="53" t="s">
        <v>55</v>
      </c>
      <c r="AB37" s="53" t="s">
        <v>317</v>
      </c>
      <c r="AV37" s="27"/>
    </row>
    <row r="38" spans="1:48" x14ac:dyDescent="0.15">
      <c r="A38" s="53" t="s">
        <v>59</v>
      </c>
      <c r="B38" s="53" t="s">
        <v>234</v>
      </c>
      <c r="C38" s="62">
        <v>2019</v>
      </c>
      <c r="D38" s="137" t="s">
        <v>285</v>
      </c>
      <c r="E38" s="53" t="s">
        <v>334</v>
      </c>
      <c r="F38" s="53" t="s">
        <v>335</v>
      </c>
      <c r="G38" s="53" t="s">
        <v>36</v>
      </c>
      <c r="H38" s="53" t="s">
        <v>160</v>
      </c>
      <c r="I38" s="53" t="s">
        <v>159</v>
      </c>
      <c r="J38" s="53" t="s">
        <v>38</v>
      </c>
      <c r="K38" s="53" t="s">
        <v>161</v>
      </c>
      <c r="L38" s="53">
        <v>1</v>
      </c>
      <c r="N38" s="53">
        <v>3</v>
      </c>
      <c r="O38" s="53">
        <v>0.52</v>
      </c>
      <c r="P38" s="53">
        <v>0.44</v>
      </c>
      <c r="Q38" s="75">
        <f t="shared" si="2"/>
        <v>0.48</v>
      </c>
      <c r="R38" s="53">
        <v>16.8</v>
      </c>
      <c r="S38" s="53">
        <v>135</v>
      </c>
      <c r="T38" s="16">
        <f t="shared" si="0"/>
        <v>25</v>
      </c>
      <c r="U38" s="53">
        <v>399</v>
      </c>
      <c r="V38" s="16">
        <f t="shared" si="1"/>
        <v>16</v>
      </c>
      <c r="W38" s="53">
        <v>6</v>
      </c>
      <c r="X38" s="53" t="s">
        <v>39</v>
      </c>
      <c r="Y38" s="53" t="s">
        <v>78</v>
      </c>
      <c r="Z38" s="53" t="s">
        <v>69</v>
      </c>
      <c r="AA38" s="53" t="s">
        <v>90</v>
      </c>
      <c r="AB38" s="53" t="s">
        <v>317</v>
      </c>
      <c r="AV38" s="27"/>
    </row>
    <row r="39" spans="1:48" x14ac:dyDescent="0.15">
      <c r="A39" s="53" t="s">
        <v>59</v>
      </c>
      <c r="B39" s="53" t="s">
        <v>234</v>
      </c>
      <c r="C39" s="62">
        <v>2019</v>
      </c>
      <c r="D39" s="137" t="s">
        <v>285</v>
      </c>
      <c r="E39" s="53" t="s">
        <v>334</v>
      </c>
      <c r="F39" s="53" t="s">
        <v>335</v>
      </c>
      <c r="G39" s="53" t="s">
        <v>36</v>
      </c>
      <c r="H39" s="53" t="s">
        <v>160</v>
      </c>
      <c r="I39" s="53" t="s">
        <v>159</v>
      </c>
      <c r="J39" s="53" t="s">
        <v>38</v>
      </c>
      <c r="K39" s="53" t="s">
        <v>161</v>
      </c>
      <c r="L39" s="53">
        <v>2</v>
      </c>
      <c r="N39" s="53">
        <v>3</v>
      </c>
      <c r="O39" s="53">
        <v>0.37</v>
      </c>
      <c r="P39" s="53">
        <v>0.38</v>
      </c>
      <c r="Q39" s="75">
        <f t="shared" si="2"/>
        <v>0.375</v>
      </c>
      <c r="R39" s="53">
        <v>16.100000000000001</v>
      </c>
      <c r="S39" s="53">
        <v>131</v>
      </c>
      <c r="T39" s="16">
        <f t="shared" si="0"/>
        <v>25</v>
      </c>
      <c r="U39" s="53">
        <v>399</v>
      </c>
      <c r="V39" s="16">
        <f t="shared" si="1"/>
        <v>16</v>
      </c>
      <c r="W39" s="53">
        <v>6</v>
      </c>
      <c r="X39" s="53" t="s">
        <v>39</v>
      </c>
      <c r="Y39" s="53" t="s">
        <v>78</v>
      </c>
      <c r="Z39" s="53" t="s">
        <v>69</v>
      </c>
      <c r="AA39" s="53" t="s">
        <v>90</v>
      </c>
      <c r="AB39" s="53" t="s">
        <v>317</v>
      </c>
      <c r="AV39" s="27"/>
    </row>
    <row r="40" spans="1:48" x14ac:dyDescent="0.15">
      <c r="A40" s="53" t="s">
        <v>59</v>
      </c>
      <c r="B40" s="53" t="s">
        <v>234</v>
      </c>
      <c r="C40" s="62">
        <v>2019</v>
      </c>
      <c r="D40" s="137" t="s">
        <v>285</v>
      </c>
      <c r="E40" s="53" t="s">
        <v>334</v>
      </c>
      <c r="F40" s="53" t="s">
        <v>335</v>
      </c>
      <c r="G40" s="53" t="s">
        <v>36</v>
      </c>
      <c r="H40" s="53" t="s">
        <v>160</v>
      </c>
      <c r="I40" s="53" t="s">
        <v>159</v>
      </c>
      <c r="J40" s="53" t="s">
        <v>38</v>
      </c>
      <c r="K40" s="53" t="s">
        <v>161</v>
      </c>
      <c r="L40" s="53">
        <v>3</v>
      </c>
      <c r="N40" s="53">
        <v>3</v>
      </c>
      <c r="O40" s="53">
        <v>0.54</v>
      </c>
      <c r="P40" s="53">
        <v>0.49</v>
      </c>
      <c r="Q40" s="75">
        <f t="shared" si="2"/>
        <v>0.51500000000000001</v>
      </c>
      <c r="R40" s="53">
        <v>16.600000000000001</v>
      </c>
      <c r="S40" s="53">
        <v>134</v>
      </c>
      <c r="T40" s="16">
        <f t="shared" si="0"/>
        <v>25</v>
      </c>
      <c r="U40" s="53">
        <v>399</v>
      </c>
      <c r="V40" s="16">
        <f t="shared" si="1"/>
        <v>16</v>
      </c>
      <c r="W40" s="53">
        <v>6</v>
      </c>
      <c r="X40" s="53" t="s">
        <v>39</v>
      </c>
      <c r="Y40" s="53" t="s">
        <v>78</v>
      </c>
      <c r="Z40" s="53" t="s">
        <v>69</v>
      </c>
      <c r="AA40" s="53" t="s">
        <v>90</v>
      </c>
      <c r="AB40" s="53" t="s">
        <v>317</v>
      </c>
      <c r="AV40" s="27"/>
    </row>
    <row r="41" spans="1:48" x14ac:dyDescent="0.15">
      <c r="A41" s="53" t="s">
        <v>59</v>
      </c>
      <c r="B41" s="53" t="s">
        <v>234</v>
      </c>
      <c r="C41" s="62">
        <v>2019</v>
      </c>
      <c r="D41" s="137" t="s">
        <v>285</v>
      </c>
      <c r="E41" s="53" t="s">
        <v>334</v>
      </c>
      <c r="F41" s="53" t="s">
        <v>335</v>
      </c>
      <c r="G41" s="53" t="s">
        <v>36</v>
      </c>
      <c r="H41" s="53" t="s">
        <v>164</v>
      </c>
      <c r="I41" s="53" t="s">
        <v>159</v>
      </c>
      <c r="J41" s="53" t="s">
        <v>38</v>
      </c>
      <c r="K41" s="53" t="s">
        <v>161</v>
      </c>
      <c r="L41" s="53">
        <v>1</v>
      </c>
      <c r="N41" s="53">
        <v>3</v>
      </c>
      <c r="O41" s="53">
        <v>0.6</v>
      </c>
      <c r="P41" s="53">
        <v>0.53</v>
      </c>
      <c r="Q41" s="75">
        <f t="shared" si="2"/>
        <v>0.56499999999999995</v>
      </c>
      <c r="R41" s="53">
        <v>14.1</v>
      </c>
      <c r="S41" s="53">
        <v>128</v>
      </c>
      <c r="T41" s="16">
        <f t="shared" si="0"/>
        <v>27</v>
      </c>
      <c r="U41" s="53">
        <v>299</v>
      </c>
      <c r="V41" s="16">
        <f t="shared" si="1"/>
        <v>16</v>
      </c>
      <c r="W41" s="53">
        <v>6</v>
      </c>
      <c r="X41" s="53" t="s">
        <v>39</v>
      </c>
      <c r="Y41" s="53" t="s">
        <v>78</v>
      </c>
      <c r="Z41" s="53" t="s">
        <v>69</v>
      </c>
      <c r="AA41" s="53" t="s">
        <v>90</v>
      </c>
      <c r="AB41" s="53" t="s">
        <v>317</v>
      </c>
      <c r="AV41" s="27"/>
    </row>
    <row r="42" spans="1:48" x14ac:dyDescent="0.15">
      <c r="A42" s="53" t="s">
        <v>59</v>
      </c>
      <c r="B42" s="53" t="s">
        <v>234</v>
      </c>
      <c r="C42" s="62">
        <v>2019</v>
      </c>
      <c r="D42" s="137" t="s">
        <v>285</v>
      </c>
      <c r="E42" s="53" t="s">
        <v>334</v>
      </c>
      <c r="F42" s="53" t="s">
        <v>335</v>
      </c>
      <c r="G42" s="53" t="s">
        <v>36</v>
      </c>
      <c r="H42" s="53" t="s">
        <v>164</v>
      </c>
      <c r="I42" s="53" t="s">
        <v>159</v>
      </c>
      <c r="J42" s="53" t="s">
        <v>38</v>
      </c>
      <c r="K42" s="53" t="s">
        <v>161</v>
      </c>
      <c r="L42" s="53">
        <v>2</v>
      </c>
      <c r="N42" s="53">
        <v>3</v>
      </c>
      <c r="O42" s="53">
        <v>0.57999999999999996</v>
      </c>
      <c r="P42" s="53">
        <v>0.56999999999999995</v>
      </c>
      <c r="Q42" s="75">
        <f t="shared" si="2"/>
        <v>0.57499999999999996</v>
      </c>
      <c r="R42" s="53">
        <v>13.5</v>
      </c>
      <c r="S42" s="53">
        <v>130</v>
      </c>
      <c r="T42" s="16">
        <f t="shared" si="0"/>
        <v>25</v>
      </c>
      <c r="U42" s="53">
        <v>299</v>
      </c>
      <c r="V42" s="16">
        <f t="shared" si="1"/>
        <v>16</v>
      </c>
      <c r="W42" s="53">
        <v>6</v>
      </c>
      <c r="X42" s="53" t="s">
        <v>39</v>
      </c>
      <c r="Y42" s="53" t="s">
        <v>78</v>
      </c>
      <c r="Z42" s="53" t="s">
        <v>69</v>
      </c>
      <c r="AA42" s="53" t="s">
        <v>90</v>
      </c>
      <c r="AB42" s="53" t="s">
        <v>317</v>
      </c>
      <c r="AV42" s="27"/>
    </row>
    <row r="43" spans="1:48" x14ac:dyDescent="0.15">
      <c r="A43" s="53" t="s">
        <v>59</v>
      </c>
      <c r="B43" s="53" t="s">
        <v>234</v>
      </c>
      <c r="C43" s="62">
        <v>2019</v>
      </c>
      <c r="D43" s="137" t="s">
        <v>285</v>
      </c>
      <c r="E43" s="53" t="s">
        <v>334</v>
      </c>
      <c r="F43" s="53" t="s">
        <v>335</v>
      </c>
      <c r="G43" s="53" t="s">
        <v>36</v>
      </c>
      <c r="H43" s="53" t="s">
        <v>164</v>
      </c>
      <c r="I43" s="53" t="s">
        <v>159</v>
      </c>
      <c r="J43" s="53" t="s">
        <v>38</v>
      </c>
      <c r="K43" s="53" t="s">
        <v>161</v>
      </c>
      <c r="L43" s="53">
        <v>3</v>
      </c>
      <c r="N43" s="53">
        <v>3</v>
      </c>
      <c r="O43" s="53">
        <v>0.56999999999999995</v>
      </c>
      <c r="P43" s="53">
        <v>0.55000000000000004</v>
      </c>
      <c r="Q43" s="75">
        <f t="shared" si="2"/>
        <v>0.56000000000000005</v>
      </c>
      <c r="R43" s="53">
        <v>14.4</v>
      </c>
      <c r="S43" s="53">
        <v>132</v>
      </c>
      <c r="T43" s="16">
        <f t="shared" si="0"/>
        <v>25</v>
      </c>
      <c r="U43" s="53">
        <v>299</v>
      </c>
      <c r="V43" s="16">
        <f t="shared" si="1"/>
        <v>16</v>
      </c>
      <c r="W43" s="53">
        <v>6</v>
      </c>
      <c r="X43" s="53" t="s">
        <v>39</v>
      </c>
      <c r="Y43" s="53" t="s">
        <v>78</v>
      </c>
      <c r="Z43" s="53" t="s">
        <v>69</v>
      </c>
      <c r="AA43" s="53" t="s">
        <v>90</v>
      </c>
      <c r="AB43" s="53" t="s">
        <v>317</v>
      </c>
      <c r="AV43" s="27"/>
    </row>
    <row r="44" spans="1:48" x14ac:dyDescent="0.15">
      <c r="A44" s="53" t="s">
        <v>59</v>
      </c>
      <c r="B44" s="53" t="s">
        <v>234</v>
      </c>
      <c r="C44" s="62">
        <v>2019</v>
      </c>
      <c r="D44" s="137" t="s">
        <v>285</v>
      </c>
      <c r="E44" s="53" t="s">
        <v>324</v>
      </c>
      <c r="F44" s="53" t="s">
        <v>325</v>
      </c>
      <c r="G44" s="53" t="s">
        <v>36</v>
      </c>
      <c r="H44" s="53" t="s">
        <v>160</v>
      </c>
      <c r="I44" s="53" t="s">
        <v>159</v>
      </c>
      <c r="J44" s="53" t="s">
        <v>38</v>
      </c>
      <c r="K44" s="53" t="s">
        <v>161</v>
      </c>
      <c r="L44" s="53">
        <v>1</v>
      </c>
      <c r="N44" s="53">
        <v>4</v>
      </c>
      <c r="O44" s="53">
        <v>0.27</v>
      </c>
      <c r="P44" s="53">
        <v>0.33</v>
      </c>
      <c r="Q44" s="75">
        <f t="shared" si="2"/>
        <v>0.30000000000000004</v>
      </c>
      <c r="R44" s="53">
        <v>17.5</v>
      </c>
      <c r="S44" s="53">
        <v>110</v>
      </c>
      <c r="T44" s="16">
        <f t="shared" si="0"/>
        <v>33</v>
      </c>
      <c r="U44" s="53">
        <v>450</v>
      </c>
      <c r="V44" s="16">
        <f t="shared" si="1"/>
        <v>16</v>
      </c>
      <c r="W44" s="53">
        <v>1</v>
      </c>
      <c r="X44" s="53" t="s">
        <v>39</v>
      </c>
      <c r="Y44" s="53" t="s">
        <v>69</v>
      </c>
      <c r="Z44" s="53" t="s">
        <v>78</v>
      </c>
      <c r="AA44" s="53" t="s">
        <v>102</v>
      </c>
      <c r="AB44" s="53" t="s">
        <v>317</v>
      </c>
      <c r="AV44" s="27"/>
    </row>
    <row r="45" spans="1:48" x14ac:dyDescent="0.15">
      <c r="A45" s="53" t="s">
        <v>59</v>
      </c>
      <c r="B45" s="53" t="s">
        <v>234</v>
      </c>
      <c r="C45" s="62">
        <v>2019</v>
      </c>
      <c r="D45" s="137" t="s">
        <v>285</v>
      </c>
      <c r="E45" s="53" t="s">
        <v>324</v>
      </c>
      <c r="F45" s="53" t="s">
        <v>325</v>
      </c>
      <c r="G45" s="53" t="s">
        <v>36</v>
      </c>
      <c r="H45" s="53" t="s">
        <v>160</v>
      </c>
      <c r="I45" s="53" t="s">
        <v>159</v>
      </c>
      <c r="J45" s="53" t="s">
        <v>38</v>
      </c>
      <c r="K45" s="53" t="s">
        <v>161</v>
      </c>
      <c r="L45" s="53">
        <v>2</v>
      </c>
      <c r="N45" s="53">
        <v>4</v>
      </c>
      <c r="O45" s="53">
        <v>0.39</v>
      </c>
      <c r="P45" s="53">
        <v>0.35</v>
      </c>
      <c r="Q45" s="75">
        <f t="shared" si="2"/>
        <v>0.37</v>
      </c>
      <c r="R45" s="53">
        <v>16.2</v>
      </c>
      <c r="S45" s="53">
        <v>114</v>
      </c>
      <c r="T45" s="16">
        <f t="shared" si="0"/>
        <v>30</v>
      </c>
      <c r="U45" s="53">
        <v>450</v>
      </c>
      <c r="V45" s="16">
        <f t="shared" si="1"/>
        <v>16</v>
      </c>
      <c r="W45" s="53">
        <v>1</v>
      </c>
      <c r="X45" s="53" t="s">
        <v>39</v>
      </c>
      <c r="Y45" s="53" t="s">
        <v>69</v>
      </c>
      <c r="Z45" s="53" t="s">
        <v>78</v>
      </c>
      <c r="AA45" s="53" t="s">
        <v>102</v>
      </c>
      <c r="AB45" s="53" t="s">
        <v>317</v>
      </c>
      <c r="AV45" s="27"/>
    </row>
    <row r="46" spans="1:48" x14ac:dyDescent="0.15">
      <c r="A46" s="53" t="s">
        <v>59</v>
      </c>
      <c r="B46" s="53" t="s">
        <v>234</v>
      </c>
      <c r="C46" s="62">
        <v>2019</v>
      </c>
      <c r="D46" s="137" t="s">
        <v>285</v>
      </c>
      <c r="E46" s="53" t="s">
        <v>324</v>
      </c>
      <c r="F46" s="53" t="s">
        <v>325</v>
      </c>
      <c r="G46" s="53" t="s">
        <v>36</v>
      </c>
      <c r="H46" s="53" t="s">
        <v>160</v>
      </c>
      <c r="I46" s="53" t="s">
        <v>159</v>
      </c>
      <c r="J46" s="53" t="s">
        <v>38</v>
      </c>
      <c r="K46" s="53" t="s">
        <v>161</v>
      </c>
      <c r="L46" s="53">
        <v>3</v>
      </c>
      <c r="N46" s="53">
        <v>4</v>
      </c>
      <c r="O46" s="53">
        <v>0.33</v>
      </c>
      <c r="P46" s="53">
        <v>0.36</v>
      </c>
      <c r="Q46" s="75">
        <f t="shared" si="2"/>
        <v>0.34499999999999997</v>
      </c>
      <c r="R46" s="53">
        <v>17.100000000000001</v>
      </c>
      <c r="S46" s="53">
        <v>111</v>
      </c>
      <c r="T46" s="16">
        <f t="shared" si="0"/>
        <v>33</v>
      </c>
      <c r="U46" s="53">
        <v>450</v>
      </c>
      <c r="V46" s="16">
        <f t="shared" si="1"/>
        <v>16</v>
      </c>
      <c r="W46" s="53">
        <v>1</v>
      </c>
      <c r="X46" s="53" t="s">
        <v>39</v>
      </c>
      <c r="Y46" s="53" t="s">
        <v>69</v>
      </c>
      <c r="Z46" s="53" t="s">
        <v>78</v>
      </c>
      <c r="AA46" s="53" t="s">
        <v>102</v>
      </c>
      <c r="AB46" s="53" t="s">
        <v>317</v>
      </c>
      <c r="AV46" s="27"/>
    </row>
    <row r="47" spans="1:48" x14ac:dyDescent="0.15">
      <c r="A47" s="53" t="s">
        <v>59</v>
      </c>
      <c r="B47" s="53" t="s">
        <v>234</v>
      </c>
      <c r="C47" s="62">
        <v>2019</v>
      </c>
      <c r="D47" s="137" t="s">
        <v>285</v>
      </c>
      <c r="E47" s="53" t="s">
        <v>324</v>
      </c>
      <c r="F47" s="53" t="s">
        <v>325</v>
      </c>
      <c r="G47" s="53" t="s">
        <v>36</v>
      </c>
      <c r="H47" s="53" t="s">
        <v>164</v>
      </c>
      <c r="I47" s="53" t="s">
        <v>159</v>
      </c>
      <c r="J47" s="53" t="s">
        <v>38</v>
      </c>
      <c r="K47" s="53" t="s">
        <v>161</v>
      </c>
      <c r="L47" s="53">
        <v>1</v>
      </c>
      <c r="N47" s="53">
        <v>4</v>
      </c>
      <c r="O47" s="53">
        <v>0.61</v>
      </c>
      <c r="P47" s="53">
        <v>0.56000000000000005</v>
      </c>
      <c r="Q47" s="75">
        <f t="shared" si="2"/>
        <v>0.58499999999999996</v>
      </c>
      <c r="R47" s="53">
        <v>14.7</v>
      </c>
      <c r="S47" s="53">
        <v>92</v>
      </c>
      <c r="T47" s="16">
        <f t="shared" si="0"/>
        <v>36</v>
      </c>
      <c r="U47" s="53">
        <v>298</v>
      </c>
      <c r="V47" s="16">
        <f t="shared" si="1"/>
        <v>16</v>
      </c>
      <c r="W47" s="53">
        <v>1</v>
      </c>
      <c r="X47" s="53" t="s">
        <v>39</v>
      </c>
      <c r="Y47" s="53" t="s">
        <v>69</v>
      </c>
      <c r="Z47" s="53" t="s">
        <v>78</v>
      </c>
      <c r="AA47" s="53" t="s">
        <v>102</v>
      </c>
      <c r="AB47" s="53" t="s">
        <v>317</v>
      </c>
      <c r="AV47" s="27"/>
    </row>
    <row r="48" spans="1:48" x14ac:dyDescent="0.15">
      <c r="A48" s="53" t="s">
        <v>59</v>
      </c>
      <c r="B48" s="53" t="s">
        <v>234</v>
      </c>
      <c r="C48" s="62">
        <v>2019</v>
      </c>
      <c r="D48" s="137" t="s">
        <v>285</v>
      </c>
      <c r="E48" s="53" t="s">
        <v>324</v>
      </c>
      <c r="F48" s="53" t="s">
        <v>325</v>
      </c>
      <c r="G48" s="53" t="s">
        <v>36</v>
      </c>
      <c r="H48" s="53" t="s">
        <v>164</v>
      </c>
      <c r="I48" s="53" t="s">
        <v>159</v>
      </c>
      <c r="J48" s="53" t="s">
        <v>38</v>
      </c>
      <c r="K48" s="53" t="s">
        <v>161</v>
      </c>
      <c r="L48" s="53">
        <v>2</v>
      </c>
      <c r="N48" s="53">
        <v>4</v>
      </c>
      <c r="O48" s="53">
        <v>0.54</v>
      </c>
      <c r="P48" s="53">
        <v>0.59</v>
      </c>
      <c r="Q48" s="75">
        <f t="shared" si="2"/>
        <v>0.56499999999999995</v>
      </c>
      <c r="R48" s="53">
        <v>14.5</v>
      </c>
      <c r="S48" s="53">
        <v>96</v>
      </c>
      <c r="T48" s="16">
        <f t="shared" si="0"/>
        <v>36</v>
      </c>
      <c r="U48" s="53">
        <v>298</v>
      </c>
      <c r="V48" s="16">
        <f t="shared" si="1"/>
        <v>16</v>
      </c>
      <c r="W48" s="53">
        <v>1</v>
      </c>
      <c r="X48" s="53" t="s">
        <v>39</v>
      </c>
      <c r="Y48" s="53" t="s">
        <v>69</v>
      </c>
      <c r="Z48" s="53" t="s">
        <v>78</v>
      </c>
      <c r="AA48" s="53" t="s">
        <v>102</v>
      </c>
      <c r="AB48" s="53" t="s">
        <v>317</v>
      </c>
      <c r="AV48" s="27"/>
    </row>
    <row r="49" spans="1:48" x14ac:dyDescent="0.15">
      <c r="A49" s="53" t="s">
        <v>59</v>
      </c>
      <c r="B49" s="53" t="s">
        <v>234</v>
      </c>
      <c r="C49" s="62">
        <v>2019</v>
      </c>
      <c r="D49" s="137" t="s">
        <v>285</v>
      </c>
      <c r="E49" s="53" t="s">
        <v>324</v>
      </c>
      <c r="F49" s="53" t="s">
        <v>325</v>
      </c>
      <c r="G49" s="53" t="s">
        <v>36</v>
      </c>
      <c r="H49" s="53" t="s">
        <v>164</v>
      </c>
      <c r="I49" s="53" t="s">
        <v>159</v>
      </c>
      <c r="J49" s="53" t="s">
        <v>38</v>
      </c>
      <c r="K49" s="53" t="s">
        <v>161</v>
      </c>
      <c r="L49" s="53">
        <v>3</v>
      </c>
      <c r="N49" s="53">
        <v>4</v>
      </c>
      <c r="O49" s="53">
        <v>0.56999999999999995</v>
      </c>
      <c r="P49" s="53">
        <v>0.55000000000000004</v>
      </c>
      <c r="Q49" s="75">
        <f t="shared" si="2"/>
        <v>0.56000000000000005</v>
      </c>
      <c r="R49" s="53">
        <v>14.2</v>
      </c>
      <c r="S49" s="53">
        <v>94</v>
      </c>
      <c r="T49" s="16">
        <f t="shared" si="0"/>
        <v>36</v>
      </c>
      <c r="U49" s="53">
        <v>298</v>
      </c>
      <c r="V49" s="16">
        <f t="shared" si="1"/>
        <v>16</v>
      </c>
      <c r="W49" s="53">
        <v>1</v>
      </c>
      <c r="X49" s="53" t="s">
        <v>39</v>
      </c>
      <c r="Y49" s="53" t="s">
        <v>69</v>
      </c>
      <c r="Z49" s="53" t="s">
        <v>78</v>
      </c>
      <c r="AA49" s="53" t="s">
        <v>102</v>
      </c>
      <c r="AB49" s="53" t="s">
        <v>317</v>
      </c>
      <c r="AV49" s="27"/>
    </row>
    <row r="50" spans="1:48" x14ac:dyDescent="0.15">
      <c r="A50" s="53" t="s">
        <v>59</v>
      </c>
      <c r="B50" s="53" t="s">
        <v>234</v>
      </c>
      <c r="C50" s="62">
        <v>2019</v>
      </c>
      <c r="D50" s="137" t="s">
        <v>285</v>
      </c>
      <c r="E50" s="53" t="s">
        <v>341</v>
      </c>
      <c r="F50" s="53" t="s">
        <v>342</v>
      </c>
      <c r="G50" s="53" t="s">
        <v>36</v>
      </c>
      <c r="H50" s="53" t="s">
        <v>160</v>
      </c>
      <c r="I50" s="53" t="s">
        <v>159</v>
      </c>
      <c r="J50" s="53" t="s">
        <v>38</v>
      </c>
      <c r="K50" s="53" t="s">
        <v>161</v>
      </c>
      <c r="L50" s="53">
        <v>1</v>
      </c>
      <c r="N50" s="53">
        <v>4</v>
      </c>
      <c r="O50" s="53">
        <v>0.27</v>
      </c>
      <c r="P50" s="53">
        <v>0.23</v>
      </c>
      <c r="Q50" s="75">
        <f t="shared" si="2"/>
        <v>0.25</v>
      </c>
      <c r="R50" s="53">
        <v>17.2</v>
      </c>
      <c r="S50" s="53">
        <v>124</v>
      </c>
      <c r="T50" s="16">
        <f t="shared" si="0"/>
        <v>27</v>
      </c>
      <c r="U50" s="53">
        <v>458</v>
      </c>
      <c r="V50" s="16">
        <f t="shared" si="1"/>
        <v>16</v>
      </c>
      <c r="W50" s="53">
        <v>4</v>
      </c>
      <c r="X50" s="53" t="s">
        <v>46</v>
      </c>
      <c r="Y50" s="53" t="s">
        <v>78</v>
      </c>
      <c r="Z50" s="53" t="s">
        <v>55</v>
      </c>
      <c r="AA50" s="53" t="s">
        <v>90</v>
      </c>
      <c r="AB50" s="53" t="s">
        <v>317</v>
      </c>
      <c r="AV50" s="27"/>
    </row>
    <row r="51" spans="1:48" x14ac:dyDescent="0.15">
      <c r="A51" s="53" t="s">
        <v>59</v>
      </c>
      <c r="B51" s="53" t="s">
        <v>234</v>
      </c>
      <c r="C51" s="62">
        <v>2019</v>
      </c>
      <c r="D51" s="137" t="s">
        <v>285</v>
      </c>
      <c r="E51" s="53" t="s">
        <v>341</v>
      </c>
      <c r="F51" s="53" t="s">
        <v>342</v>
      </c>
      <c r="G51" s="53" t="s">
        <v>36</v>
      </c>
      <c r="H51" s="53" t="s">
        <v>160</v>
      </c>
      <c r="I51" s="53" t="s">
        <v>159</v>
      </c>
      <c r="J51" s="53" t="s">
        <v>38</v>
      </c>
      <c r="K51" s="53" t="s">
        <v>161</v>
      </c>
      <c r="L51" s="53">
        <v>2</v>
      </c>
      <c r="N51" s="53">
        <v>4</v>
      </c>
      <c r="O51" s="53">
        <v>0.26</v>
      </c>
      <c r="P51" s="53">
        <v>0.32</v>
      </c>
      <c r="Q51" s="75">
        <f t="shared" si="2"/>
        <v>0.29000000000000004</v>
      </c>
      <c r="R51" s="53">
        <v>17.5</v>
      </c>
      <c r="S51" s="53">
        <v>124</v>
      </c>
      <c r="T51" s="16">
        <f t="shared" si="0"/>
        <v>27</v>
      </c>
      <c r="U51" s="53">
        <v>458</v>
      </c>
      <c r="V51" s="16">
        <f t="shared" si="1"/>
        <v>16</v>
      </c>
      <c r="W51" s="53">
        <v>4</v>
      </c>
      <c r="X51" s="53" t="s">
        <v>46</v>
      </c>
      <c r="Y51" s="53" t="s">
        <v>78</v>
      </c>
      <c r="Z51" s="53" t="s">
        <v>55</v>
      </c>
      <c r="AA51" s="53" t="s">
        <v>90</v>
      </c>
      <c r="AB51" s="53" t="s">
        <v>317</v>
      </c>
      <c r="AV51" s="27"/>
    </row>
    <row r="52" spans="1:48" x14ac:dyDescent="0.15">
      <c r="A52" s="53" t="s">
        <v>59</v>
      </c>
      <c r="B52" s="53" t="s">
        <v>234</v>
      </c>
      <c r="C52" s="62">
        <v>2019</v>
      </c>
      <c r="D52" s="137" t="s">
        <v>285</v>
      </c>
      <c r="E52" s="53" t="s">
        <v>341</v>
      </c>
      <c r="F52" s="53" t="s">
        <v>342</v>
      </c>
      <c r="G52" s="53" t="s">
        <v>36</v>
      </c>
      <c r="H52" s="53" t="s">
        <v>160</v>
      </c>
      <c r="I52" s="53" t="s">
        <v>159</v>
      </c>
      <c r="J52" s="53" t="s">
        <v>38</v>
      </c>
      <c r="K52" s="53" t="s">
        <v>161</v>
      </c>
      <c r="L52" s="53">
        <v>3</v>
      </c>
      <c r="N52" s="53">
        <v>4</v>
      </c>
      <c r="O52" s="53">
        <v>0.31</v>
      </c>
      <c r="P52" s="53">
        <v>0.28000000000000003</v>
      </c>
      <c r="Q52" s="75">
        <f t="shared" si="2"/>
        <v>0.29500000000000004</v>
      </c>
      <c r="R52" s="53">
        <v>17.399999999999999</v>
      </c>
      <c r="S52" s="53">
        <v>126</v>
      </c>
      <c r="T52" s="16">
        <f t="shared" si="0"/>
        <v>27</v>
      </c>
      <c r="U52" s="53">
        <v>458</v>
      </c>
      <c r="V52" s="16">
        <f t="shared" si="1"/>
        <v>16</v>
      </c>
      <c r="W52" s="53">
        <v>4</v>
      </c>
      <c r="X52" s="53" t="s">
        <v>46</v>
      </c>
      <c r="Y52" s="53" t="s">
        <v>78</v>
      </c>
      <c r="Z52" s="53" t="s">
        <v>55</v>
      </c>
      <c r="AA52" s="53" t="s">
        <v>90</v>
      </c>
      <c r="AB52" s="53" t="s">
        <v>317</v>
      </c>
      <c r="AV52" s="27"/>
    </row>
    <row r="53" spans="1:48" x14ac:dyDescent="0.15">
      <c r="A53" s="53" t="s">
        <v>59</v>
      </c>
      <c r="B53" s="53" t="s">
        <v>234</v>
      </c>
      <c r="C53" s="62">
        <v>2019</v>
      </c>
      <c r="D53" s="137" t="s">
        <v>285</v>
      </c>
      <c r="E53" s="53" t="s">
        <v>341</v>
      </c>
      <c r="F53" s="53" t="s">
        <v>342</v>
      </c>
      <c r="G53" s="53" t="s">
        <v>36</v>
      </c>
      <c r="H53" s="53" t="s">
        <v>164</v>
      </c>
      <c r="I53" s="53" t="s">
        <v>159</v>
      </c>
      <c r="J53" s="53" t="s">
        <v>38</v>
      </c>
      <c r="K53" s="53" t="s">
        <v>161</v>
      </c>
      <c r="L53" s="53">
        <v>1</v>
      </c>
      <c r="N53" s="53">
        <v>4</v>
      </c>
      <c r="O53" s="53">
        <v>0.26</v>
      </c>
      <c r="P53" s="53">
        <v>0.25</v>
      </c>
      <c r="Q53" s="75">
        <f t="shared" si="2"/>
        <v>0.255</v>
      </c>
      <c r="R53" s="53">
        <v>15.7</v>
      </c>
      <c r="S53" s="53">
        <v>137</v>
      </c>
      <c r="T53" s="16">
        <f t="shared" si="0"/>
        <v>25</v>
      </c>
      <c r="U53" s="53">
        <v>358</v>
      </c>
      <c r="V53" s="16">
        <f t="shared" si="1"/>
        <v>16</v>
      </c>
      <c r="W53" s="53">
        <v>4</v>
      </c>
      <c r="X53" s="53" t="s">
        <v>46</v>
      </c>
      <c r="Y53" s="53" t="s">
        <v>78</v>
      </c>
      <c r="Z53" s="53" t="s">
        <v>55</v>
      </c>
      <c r="AA53" s="53" t="s">
        <v>90</v>
      </c>
      <c r="AB53" s="53" t="s">
        <v>317</v>
      </c>
      <c r="AV53" s="27"/>
    </row>
    <row r="54" spans="1:48" x14ac:dyDescent="0.15">
      <c r="A54" s="53" t="s">
        <v>59</v>
      </c>
      <c r="B54" s="53" t="s">
        <v>234</v>
      </c>
      <c r="C54" s="62">
        <v>2019</v>
      </c>
      <c r="D54" s="137" t="s">
        <v>285</v>
      </c>
      <c r="E54" s="53" t="s">
        <v>341</v>
      </c>
      <c r="F54" s="53" t="s">
        <v>342</v>
      </c>
      <c r="G54" s="53" t="s">
        <v>36</v>
      </c>
      <c r="H54" s="53" t="s">
        <v>164</v>
      </c>
      <c r="I54" s="53" t="s">
        <v>159</v>
      </c>
      <c r="J54" s="53" t="s">
        <v>38</v>
      </c>
      <c r="K54" s="53" t="s">
        <v>161</v>
      </c>
      <c r="L54" s="53">
        <v>2</v>
      </c>
      <c r="N54" s="53">
        <v>4</v>
      </c>
      <c r="O54" s="53">
        <v>0.24</v>
      </c>
      <c r="P54" s="53">
        <v>0.27</v>
      </c>
      <c r="Q54" s="75">
        <f t="shared" si="2"/>
        <v>0.255</v>
      </c>
      <c r="R54" s="53">
        <v>16.899999999999999</v>
      </c>
      <c r="S54" s="53">
        <v>149</v>
      </c>
      <c r="T54" s="16">
        <f t="shared" si="0"/>
        <v>22</v>
      </c>
      <c r="U54" s="53">
        <v>358</v>
      </c>
      <c r="V54" s="16">
        <f t="shared" si="1"/>
        <v>16</v>
      </c>
      <c r="W54" s="53">
        <v>4</v>
      </c>
      <c r="X54" s="53" t="s">
        <v>46</v>
      </c>
      <c r="Y54" s="53" t="s">
        <v>78</v>
      </c>
      <c r="Z54" s="53" t="s">
        <v>55</v>
      </c>
      <c r="AA54" s="53" t="s">
        <v>90</v>
      </c>
      <c r="AB54" s="53" t="s">
        <v>317</v>
      </c>
      <c r="AV54" s="27"/>
    </row>
    <row r="55" spans="1:48" x14ac:dyDescent="0.15">
      <c r="A55" s="53" t="s">
        <v>59</v>
      </c>
      <c r="B55" s="53" t="s">
        <v>234</v>
      </c>
      <c r="C55" s="62">
        <v>2019</v>
      </c>
      <c r="D55" s="137" t="s">
        <v>285</v>
      </c>
      <c r="E55" s="53" t="s">
        <v>341</v>
      </c>
      <c r="F55" s="53" t="s">
        <v>342</v>
      </c>
      <c r="G55" s="53" t="s">
        <v>36</v>
      </c>
      <c r="H55" s="53" t="s">
        <v>164</v>
      </c>
      <c r="I55" s="53" t="s">
        <v>159</v>
      </c>
      <c r="J55" s="53" t="s">
        <v>38</v>
      </c>
      <c r="K55" s="53" t="s">
        <v>161</v>
      </c>
      <c r="L55" s="53">
        <v>3</v>
      </c>
      <c r="N55" s="53">
        <v>4</v>
      </c>
      <c r="O55" s="53">
        <v>0.24</v>
      </c>
      <c r="P55" s="53">
        <v>0.26</v>
      </c>
      <c r="Q55" s="75">
        <f t="shared" si="2"/>
        <v>0.25</v>
      </c>
      <c r="R55" s="53">
        <v>15.9</v>
      </c>
      <c r="S55" s="53">
        <v>145</v>
      </c>
      <c r="T55" s="16">
        <f t="shared" si="0"/>
        <v>22</v>
      </c>
      <c r="U55" s="53">
        <v>358</v>
      </c>
      <c r="V55" s="16">
        <f t="shared" si="1"/>
        <v>16</v>
      </c>
      <c r="W55" s="53">
        <v>4</v>
      </c>
      <c r="X55" s="53" t="s">
        <v>46</v>
      </c>
      <c r="Y55" s="53" t="s">
        <v>78</v>
      </c>
      <c r="Z55" s="53" t="s">
        <v>55</v>
      </c>
      <c r="AA55" s="53" t="s">
        <v>90</v>
      </c>
      <c r="AB55" s="53" t="s">
        <v>317</v>
      </c>
      <c r="AV55" s="27"/>
    </row>
    <row r="56" spans="1:48" x14ac:dyDescent="0.15">
      <c r="A56" s="53" t="s">
        <v>59</v>
      </c>
      <c r="B56" s="53" t="s">
        <v>234</v>
      </c>
      <c r="C56" s="62">
        <v>2019</v>
      </c>
      <c r="D56" s="137" t="s">
        <v>285</v>
      </c>
      <c r="E56" s="53" t="s">
        <v>331</v>
      </c>
      <c r="F56" s="53" t="s">
        <v>332</v>
      </c>
      <c r="G56" s="53" t="s">
        <v>36</v>
      </c>
      <c r="H56" s="53" t="s">
        <v>160</v>
      </c>
      <c r="I56" s="53" t="s">
        <v>159</v>
      </c>
      <c r="J56" s="53" t="s">
        <v>38</v>
      </c>
      <c r="K56" s="53" t="s">
        <v>161</v>
      </c>
      <c r="L56" s="53">
        <v>1</v>
      </c>
      <c r="N56" s="53">
        <v>4</v>
      </c>
      <c r="O56" s="53">
        <v>0.3</v>
      </c>
      <c r="P56" s="53">
        <v>0.26</v>
      </c>
      <c r="Q56" s="75">
        <f t="shared" si="2"/>
        <v>0.28000000000000003</v>
      </c>
      <c r="R56" s="53">
        <v>17.2</v>
      </c>
      <c r="S56" s="53">
        <v>108</v>
      </c>
      <c r="T56" s="16">
        <f t="shared" si="0"/>
        <v>33</v>
      </c>
      <c r="U56" s="53">
        <v>518</v>
      </c>
      <c r="V56" s="16">
        <f t="shared" si="1"/>
        <v>16</v>
      </c>
      <c r="W56" s="53">
        <v>4</v>
      </c>
      <c r="X56" s="53" t="s">
        <v>39</v>
      </c>
      <c r="Y56" s="53" t="s">
        <v>78</v>
      </c>
      <c r="Z56" s="53" t="s">
        <v>102</v>
      </c>
      <c r="AA56" s="53" t="s">
        <v>69</v>
      </c>
      <c r="AB56" s="53" t="s">
        <v>317</v>
      </c>
      <c r="AV56" s="27"/>
    </row>
    <row r="57" spans="1:48" x14ac:dyDescent="0.15">
      <c r="A57" s="53" t="s">
        <v>59</v>
      </c>
      <c r="B57" s="53" t="s">
        <v>234</v>
      </c>
      <c r="C57" s="62">
        <v>2019</v>
      </c>
      <c r="D57" s="137" t="s">
        <v>285</v>
      </c>
      <c r="E57" s="53" t="s">
        <v>331</v>
      </c>
      <c r="F57" s="53" t="s">
        <v>332</v>
      </c>
      <c r="G57" s="53" t="s">
        <v>36</v>
      </c>
      <c r="H57" s="53" t="s">
        <v>160</v>
      </c>
      <c r="I57" s="53" t="s">
        <v>159</v>
      </c>
      <c r="J57" s="53" t="s">
        <v>38</v>
      </c>
      <c r="K57" s="53" t="s">
        <v>161</v>
      </c>
      <c r="L57" s="53">
        <v>2</v>
      </c>
      <c r="N57" s="53">
        <v>4</v>
      </c>
      <c r="O57" s="53">
        <v>0.36</v>
      </c>
      <c r="P57" s="53">
        <v>0.34</v>
      </c>
      <c r="Q57" s="75">
        <f t="shared" si="2"/>
        <v>0.35</v>
      </c>
      <c r="R57" s="53">
        <v>15.9</v>
      </c>
      <c r="S57" s="53">
        <v>111</v>
      </c>
      <c r="T57" s="16">
        <f t="shared" si="0"/>
        <v>33</v>
      </c>
      <c r="U57" s="53">
        <v>518</v>
      </c>
      <c r="V57" s="16">
        <f t="shared" si="1"/>
        <v>16</v>
      </c>
      <c r="W57" s="53">
        <v>4</v>
      </c>
      <c r="X57" s="53" t="s">
        <v>39</v>
      </c>
      <c r="Y57" s="53" t="s">
        <v>78</v>
      </c>
      <c r="Z57" s="53" t="s">
        <v>102</v>
      </c>
      <c r="AA57" s="53" t="s">
        <v>69</v>
      </c>
      <c r="AB57" s="53" t="s">
        <v>317</v>
      </c>
      <c r="AV57" s="27"/>
    </row>
    <row r="58" spans="1:48" x14ac:dyDescent="0.15">
      <c r="A58" s="53" t="s">
        <v>59</v>
      </c>
      <c r="B58" s="53" t="s">
        <v>234</v>
      </c>
      <c r="C58" s="62">
        <v>2019</v>
      </c>
      <c r="D58" s="137" t="s">
        <v>285</v>
      </c>
      <c r="E58" s="53" t="s">
        <v>331</v>
      </c>
      <c r="F58" s="53" t="s">
        <v>332</v>
      </c>
      <c r="G58" s="53" t="s">
        <v>36</v>
      </c>
      <c r="H58" s="53" t="s">
        <v>160</v>
      </c>
      <c r="I58" s="53" t="s">
        <v>159</v>
      </c>
      <c r="J58" s="53" t="s">
        <v>38</v>
      </c>
      <c r="K58" s="53" t="s">
        <v>161</v>
      </c>
      <c r="L58" s="53">
        <v>3</v>
      </c>
      <c r="N58" s="53">
        <v>4</v>
      </c>
      <c r="O58" s="53">
        <v>0.37</v>
      </c>
      <c r="P58" s="53">
        <v>0.36</v>
      </c>
      <c r="Q58" s="75">
        <f t="shared" si="2"/>
        <v>0.36499999999999999</v>
      </c>
      <c r="R58" s="53">
        <v>16.100000000000001</v>
      </c>
      <c r="S58" s="53">
        <v>111</v>
      </c>
      <c r="T58" s="16">
        <f t="shared" si="0"/>
        <v>33</v>
      </c>
      <c r="U58" s="53">
        <v>518</v>
      </c>
      <c r="V58" s="16">
        <f t="shared" si="1"/>
        <v>16</v>
      </c>
      <c r="W58" s="53">
        <v>4</v>
      </c>
      <c r="X58" s="53" t="s">
        <v>39</v>
      </c>
      <c r="Y58" s="53" t="s">
        <v>78</v>
      </c>
      <c r="Z58" s="53" t="s">
        <v>102</v>
      </c>
      <c r="AA58" s="53" t="s">
        <v>69</v>
      </c>
      <c r="AB58" s="53" t="s">
        <v>317</v>
      </c>
      <c r="AV58" s="27"/>
    </row>
    <row r="59" spans="1:48" x14ac:dyDescent="0.15">
      <c r="A59" s="53" t="s">
        <v>59</v>
      </c>
      <c r="B59" s="53" t="s">
        <v>234</v>
      </c>
      <c r="C59" s="62">
        <v>2019</v>
      </c>
      <c r="D59" s="137" t="s">
        <v>285</v>
      </c>
      <c r="E59" s="53" t="s">
        <v>331</v>
      </c>
      <c r="F59" s="53" t="s">
        <v>332</v>
      </c>
      <c r="G59" s="53" t="s">
        <v>36</v>
      </c>
      <c r="H59" s="53" t="s">
        <v>164</v>
      </c>
      <c r="I59" s="53" t="s">
        <v>159</v>
      </c>
      <c r="J59" s="53" t="s">
        <v>38</v>
      </c>
      <c r="K59" s="53" t="s">
        <v>161</v>
      </c>
      <c r="L59" s="53">
        <v>1</v>
      </c>
      <c r="N59" s="53">
        <v>4</v>
      </c>
      <c r="O59" s="53">
        <v>0.56000000000000005</v>
      </c>
      <c r="P59" s="53">
        <v>0.53</v>
      </c>
      <c r="Q59" s="75">
        <f t="shared" si="2"/>
        <v>0.54500000000000004</v>
      </c>
      <c r="R59" s="53">
        <v>14.5</v>
      </c>
      <c r="S59" s="53">
        <v>91</v>
      </c>
      <c r="T59" s="16">
        <f t="shared" si="0"/>
        <v>36</v>
      </c>
      <c r="U59" s="53">
        <v>308</v>
      </c>
      <c r="V59" s="16">
        <f t="shared" si="1"/>
        <v>16</v>
      </c>
      <c r="W59" s="53">
        <v>4</v>
      </c>
      <c r="X59" s="53" t="s">
        <v>39</v>
      </c>
      <c r="Y59" s="53" t="s">
        <v>78</v>
      </c>
      <c r="Z59" s="53" t="s">
        <v>102</v>
      </c>
      <c r="AA59" s="53" t="s">
        <v>69</v>
      </c>
      <c r="AB59" s="53" t="s">
        <v>317</v>
      </c>
      <c r="AV59" s="27"/>
    </row>
    <row r="60" spans="1:48" x14ac:dyDescent="0.15">
      <c r="A60" s="53" t="s">
        <v>59</v>
      </c>
      <c r="B60" s="53" t="s">
        <v>234</v>
      </c>
      <c r="C60" s="62">
        <v>2019</v>
      </c>
      <c r="D60" s="137" t="s">
        <v>285</v>
      </c>
      <c r="E60" s="53" t="s">
        <v>331</v>
      </c>
      <c r="F60" s="53" t="s">
        <v>332</v>
      </c>
      <c r="G60" s="53" t="s">
        <v>36</v>
      </c>
      <c r="H60" s="53" t="s">
        <v>164</v>
      </c>
      <c r="I60" s="53" t="s">
        <v>159</v>
      </c>
      <c r="J60" s="53" t="s">
        <v>38</v>
      </c>
      <c r="K60" s="53" t="s">
        <v>161</v>
      </c>
      <c r="L60" s="53">
        <v>2</v>
      </c>
      <c r="N60" s="53">
        <v>4</v>
      </c>
      <c r="O60" s="53">
        <v>0.44</v>
      </c>
      <c r="P60" s="53">
        <v>0.5</v>
      </c>
      <c r="Q60" s="75">
        <f t="shared" si="2"/>
        <v>0.47</v>
      </c>
      <c r="R60" s="53">
        <v>16.2</v>
      </c>
      <c r="S60" s="53">
        <v>89</v>
      </c>
      <c r="T60" s="16">
        <f t="shared" si="0"/>
        <v>36</v>
      </c>
      <c r="U60" s="53">
        <v>308</v>
      </c>
      <c r="V60" s="16">
        <f t="shared" si="1"/>
        <v>16</v>
      </c>
      <c r="W60" s="53">
        <v>4</v>
      </c>
      <c r="X60" s="53" t="s">
        <v>39</v>
      </c>
      <c r="Y60" s="53" t="s">
        <v>78</v>
      </c>
      <c r="Z60" s="53" t="s">
        <v>102</v>
      </c>
      <c r="AA60" s="53" t="s">
        <v>69</v>
      </c>
      <c r="AB60" s="53" t="s">
        <v>317</v>
      </c>
      <c r="AV60" s="27"/>
    </row>
    <row r="61" spans="1:48" x14ac:dyDescent="0.15">
      <c r="A61" s="53" t="s">
        <v>59</v>
      </c>
      <c r="B61" s="53" t="s">
        <v>234</v>
      </c>
      <c r="C61" s="62">
        <v>2019</v>
      </c>
      <c r="D61" s="137" t="s">
        <v>285</v>
      </c>
      <c r="E61" s="53" t="s">
        <v>331</v>
      </c>
      <c r="F61" s="53" t="s">
        <v>332</v>
      </c>
      <c r="G61" s="53" t="s">
        <v>36</v>
      </c>
      <c r="H61" s="53" t="s">
        <v>164</v>
      </c>
      <c r="I61" s="53" t="s">
        <v>159</v>
      </c>
      <c r="J61" s="53" t="s">
        <v>38</v>
      </c>
      <c r="K61" s="53" t="s">
        <v>161</v>
      </c>
      <c r="L61" s="53">
        <v>3</v>
      </c>
      <c r="N61" s="53">
        <v>4</v>
      </c>
      <c r="O61" s="53">
        <v>0.51</v>
      </c>
      <c r="P61" s="53">
        <v>0.54</v>
      </c>
      <c r="Q61" s="75">
        <f t="shared" si="2"/>
        <v>0.52500000000000002</v>
      </c>
      <c r="R61" s="53">
        <v>15.6</v>
      </c>
      <c r="S61" s="53">
        <v>93</v>
      </c>
      <c r="T61" s="16">
        <f t="shared" si="0"/>
        <v>36</v>
      </c>
      <c r="U61" s="53">
        <v>308</v>
      </c>
      <c r="V61" s="16">
        <f t="shared" si="1"/>
        <v>16</v>
      </c>
      <c r="W61" s="53">
        <v>4</v>
      </c>
      <c r="X61" s="53" t="s">
        <v>39</v>
      </c>
      <c r="Y61" s="53" t="s">
        <v>78</v>
      </c>
      <c r="Z61" s="53" t="s">
        <v>102</v>
      </c>
      <c r="AA61" s="53" t="s">
        <v>69</v>
      </c>
      <c r="AB61" s="53" t="s">
        <v>317</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2D5BED2C-BB65-44BF-B894-FC7925B6E5E9}">
      <formula1>$AR$2:$AR$27</formula1>
    </dataValidation>
    <dataValidation type="list" allowBlank="1" showInputMessage="1" showErrorMessage="1" sqref="E2:E485" xr:uid="{F2FA964C-2084-476A-9379-F700580EAA1D}">
      <formula1>$AG$2:$AG$11</formula1>
    </dataValidation>
    <dataValidation type="list" allowBlank="1" showInputMessage="1" showErrorMessage="1" sqref="H2:H485" xr:uid="{E6965B49-0554-4DE6-9E79-F7FF1B8E328F}">
      <formula1>$AL$2:$AL$8</formula1>
    </dataValidation>
    <dataValidation type="decimal" allowBlank="1" showInputMessage="1" showErrorMessage="1" error="硬度を正しく入力して下さい。" sqref="O2:P485" xr:uid="{158EC604-3B7D-43CA-8DF9-A5DEF435CF85}">
      <formula1>0</formula1>
      <formula2>7</formula2>
    </dataValidation>
    <dataValidation type="list" allowBlank="1" showInputMessage="1" showErrorMessage="1" sqref="F2:F1439" xr:uid="{F26FC516-1089-479A-BB65-59903D9EC3F1}">
      <formula1>$AH$2:$AH$11</formula1>
    </dataValidation>
    <dataValidation type="list" allowBlank="1" showInputMessage="1" showErrorMessage="1" sqref="Y2:AA576" xr:uid="{F80B2065-0C97-4D2D-8FE5-43C32C38B38A}">
      <formula1>$AV$2:$AV$38</formula1>
    </dataValidation>
    <dataValidation type="list" allowBlank="1" showInputMessage="1" showErrorMessage="1" sqref="J2:J72" xr:uid="{43C7BC72-A8DD-43CF-9ED9-5C1A5FE0FF40}">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62958D50-B65C-4F24-88A3-5485CD4DD330}">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24948AC6-7466-4492-BA3A-6A2958D7DD6D}">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E49DBB2D-3633-4873-BBF0-59AA5CDECE72}">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E2CFF467-A9C8-4A8B-A040-59129CE4C387}">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1FBF28FD-6D6E-4171-8824-17216901FC73}">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B80AAC24-AFDD-4B97-8681-D8B1D9917CAF}">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542152C7-A81F-45A7-91A7-4BFF6DE0303F}">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4F3C4218-71A0-4C72-B011-DF7F064ECDF9}">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9D485C5B-84D1-4412-A3DC-B964804DDF5C}">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26962C63-37D5-4360-9AD5-6CD5CB6C040F}">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0E5F1CEE-5036-4A3B-A870-6F857BAAA738}">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F06F6C12-501B-4CE0-A772-D3E9420BB2E3}">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C54D-5D02-4A27-83A7-F7DB81FBBC4B}">
  <dimension ref="A1:BA443"/>
  <sheetViews>
    <sheetView zoomScale="85" zoomScaleNormal="85" zoomScaleSheetLayoutView="100" workbookViewId="0">
      <selection activeCell="E2" sqref="E2"/>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357</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234</v>
      </c>
      <c r="C2" s="146">
        <v>2019</v>
      </c>
      <c r="D2" s="147" t="s">
        <v>358</v>
      </c>
      <c r="E2" s="146" t="s">
        <v>359</v>
      </c>
      <c r="F2" s="146" t="s">
        <v>360</v>
      </c>
      <c r="G2" s="148" t="s">
        <v>36</v>
      </c>
      <c r="H2" s="149" t="s">
        <v>164</v>
      </c>
      <c r="I2" s="127" t="s">
        <v>159</v>
      </c>
      <c r="J2" s="150" t="s">
        <v>38</v>
      </c>
      <c r="K2" s="127" t="s">
        <v>161</v>
      </c>
      <c r="L2" s="151">
        <v>1</v>
      </c>
      <c r="M2" s="152"/>
      <c r="N2" s="152">
        <v>1</v>
      </c>
      <c r="O2" s="152">
        <v>0.6</v>
      </c>
      <c r="P2" s="152">
        <v>0.65</v>
      </c>
      <c r="Q2" s="153">
        <f>IF(OR(O2="",P2=""),"",AVERAGE(O2,P2))</f>
        <v>0.625</v>
      </c>
      <c r="R2" s="154">
        <v>13.4</v>
      </c>
      <c r="S2" s="149">
        <v>128</v>
      </c>
      <c r="T2" s="155">
        <f t="shared" ref="T2:T65" si="0">IF(H2="","",IF(OR(H2="GREEN",H2="GK"),IF(S2&gt;=$AX$2,VLOOKUP(S2,$AX$2:$AY$7,2,1),""),IF(S2&gt;=$AZ$2,VLOOKUP(S2,$AZ$2:$BA$7,2,1),"")))</f>
        <v>30</v>
      </c>
      <c r="U2" s="127">
        <v>128</v>
      </c>
      <c r="V2" s="155">
        <f t="shared" ref="V2:V65" si="1">IF(OR(N2="",U2="",T2=""),"",U2/N2*T2)</f>
        <v>3840</v>
      </c>
      <c r="W2" s="156">
        <v>6</v>
      </c>
      <c r="X2" s="157" t="s">
        <v>46</v>
      </c>
      <c r="Y2" s="157" t="s">
        <v>102</v>
      </c>
      <c r="Z2" s="157" t="s">
        <v>88</v>
      </c>
      <c r="AA2" s="157" t="s">
        <v>78</v>
      </c>
      <c r="AB2" s="53" t="s">
        <v>237</v>
      </c>
      <c r="AE2" s="64" t="s">
        <v>35</v>
      </c>
      <c r="AG2" s="67" t="s">
        <v>359</v>
      </c>
      <c r="AH2" s="67" t="s">
        <v>360</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361</v>
      </c>
      <c r="E3" s="158" t="s">
        <v>359</v>
      </c>
      <c r="F3" s="158" t="s">
        <v>360</v>
      </c>
      <c r="G3" s="161" t="s">
        <v>36</v>
      </c>
      <c r="H3" s="127" t="s">
        <v>164</v>
      </c>
      <c r="I3" s="127" t="s">
        <v>159</v>
      </c>
      <c r="J3" s="127" t="s">
        <v>38</v>
      </c>
      <c r="K3" s="127" t="s">
        <v>161</v>
      </c>
      <c r="L3" s="53">
        <v>2</v>
      </c>
      <c r="N3" s="53">
        <v>1</v>
      </c>
      <c r="O3" s="53">
        <v>0.6</v>
      </c>
      <c r="P3" s="34">
        <v>0.55000000000000004</v>
      </c>
      <c r="Q3" s="162">
        <f t="shared" ref="Q3:Q66" si="2">IF(OR(O3="",P3=""),"",AVERAGE(O3,P3))</f>
        <v>0.57499999999999996</v>
      </c>
      <c r="R3" s="163">
        <v>14.1</v>
      </c>
      <c r="S3" s="163">
        <v>122</v>
      </c>
      <c r="T3" s="16">
        <f t="shared" si="0"/>
        <v>30</v>
      </c>
      <c r="U3" s="164">
        <v>128</v>
      </c>
      <c r="V3" s="38">
        <f t="shared" si="1"/>
        <v>3840</v>
      </c>
      <c r="W3" s="165">
        <v>6</v>
      </c>
      <c r="X3" s="166" t="s">
        <v>46</v>
      </c>
      <c r="Y3" s="166" t="s">
        <v>102</v>
      </c>
      <c r="Z3" s="166" t="s">
        <v>88</v>
      </c>
      <c r="AA3" s="157" t="s">
        <v>78</v>
      </c>
      <c r="AB3" s="53" t="s">
        <v>158</v>
      </c>
      <c r="AE3" s="22" t="s">
        <v>41</v>
      </c>
      <c r="AG3" s="67" t="s">
        <v>362</v>
      </c>
      <c r="AH3" s="67" t="s">
        <v>363</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361</v>
      </c>
      <c r="E4" s="158" t="s">
        <v>359</v>
      </c>
      <c r="F4" s="158" t="s">
        <v>360</v>
      </c>
      <c r="G4" s="161" t="s">
        <v>36</v>
      </c>
      <c r="H4" s="127" t="s">
        <v>164</v>
      </c>
      <c r="I4" s="127" t="s">
        <v>159</v>
      </c>
      <c r="J4" s="127" t="s">
        <v>38</v>
      </c>
      <c r="K4" s="127" t="s">
        <v>161</v>
      </c>
      <c r="L4" s="53">
        <v>3</v>
      </c>
      <c r="N4" s="53">
        <v>1</v>
      </c>
      <c r="O4" s="53">
        <v>0.55000000000000004</v>
      </c>
      <c r="P4" s="34">
        <v>0.6</v>
      </c>
      <c r="Q4" s="75">
        <f t="shared" si="2"/>
        <v>0.57499999999999996</v>
      </c>
      <c r="R4" s="168">
        <v>13.6</v>
      </c>
      <c r="S4" s="168">
        <v>120</v>
      </c>
      <c r="T4" s="16">
        <f t="shared" si="0"/>
        <v>30</v>
      </c>
      <c r="U4" s="169">
        <v>128</v>
      </c>
      <c r="V4" s="38">
        <f t="shared" si="1"/>
        <v>3840</v>
      </c>
      <c r="W4" s="165">
        <v>6</v>
      </c>
      <c r="X4" s="166" t="s">
        <v>46</v>
      </c>
      <c r="Y4" s="166" t="s">
        <v>102</v>
      </c>
      <c r="Z4" s="166" t="s">
        <v>88</v>
      </c>
      <c r="AA4" s="157" t="s">
        <v>78</v>
      </c>
      <c r="AB4" s="53" t="s">
        <v>158</v>
      </c>
      <c r="AE4" s="22" t="s">
        <v>34</v>
      </c>
      <c r="AG4" s="67" t="s">
        <v>364</v>
      </c>
      <c r="AH4" s="67" t="s">
        <v>363</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361</v>
      </c>
      <c r="E5" s="158" t="s">
        <v>359</v>
      </c>
      <c r="F5" s="158" t="s">
        <v>360</v>
      </c>
      <c r="G5" s="161" t="s">
        <v>36</v>
      </c>
      <c r="H5" s="127" t="s">
        <v>160</v>
      </c>
      <c r="I5" s="127" t="s">
        <v>159</v>
      </c>
      <c r="J5" s="127" t="s">
        <v>38</v>
      </c>
      <c r="K5" s="127" t="s">
        <v>161</v>
      </c>
      <c r="L5" s="53">
        <v>1</v>
      </c>
      <c r="N5" s="53">
        <v>1</v>
      </c>
      <c r="O5" s="53">
        <v>0.85</v>
      </c>
      <c r="P5" s="53">
        <v>0.8</v>
      </c>
      <c r="Q5" s="75">
        <f t="shared" si="2"/>
        <v>0.82499999999999996</v>
      </c>
      <c r="R5" s="168">
        <v>15.4</v>
      </c>
      <c r="S5" s="168">
        <v>123</v>
      </c>
      <c r="T5" s="16">
        <f t="shared" si="0"/>
        <v>30</v>
      </c>
      <c r="U5" s="169">
        <v>138</v>
      </c>
      <c r="V5" s="38">
        <f t="shared" si="1"/>
        <v>4140</v>
      </c>
      <c r="W5" s="165">
        <v>6</v>
      </c>
      <c r="X5" s="166" t="s">
        <v>46</v>
      </c>
      <c r="Y5" s="166" t="s">
        <v>102</v>
      </c>
      <c r="Z5" s="166" t="s">
        <v>88</v>
      </c>
      <c r="AA5" s="157" t="s">
        <v>78</v>
      </c>
      <c r="AB5" s="53" t="s">
        <v>158</v>
      </c>
      <c r="AE5" s="22" t="s">
        <v>51</v>
      </c>
      <c r="AG5" s="67" t="s">
        <v>359</v>
      </c>
      <c r="AH5" s="67" t="s">
        <v>365</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361</v>
      </c>
      <c r="E6" s="158" t="s">
        <v>359</v>
      </c>
      <c r="F6" s="158" t="s">
        <v>360</v>
      </c>
      <c r="G6" s="161" t="s">
        <v>36</v>
      </c>
      <c r="H6" s="127" t="s">
        <v>160</v>
      </c>
      <c r="I6" s="127" t="s">
        <v>159</v>
      </c>
      <c r="J6" s="127" t="s">
        <v>38</v>
      </c>
      <c r="K6" s="127" t="s">
        <v>161</v>
      </c>
      <c r="L6" s="53">
        <v>2</v>
      </c>
      <c r="N6" s="53">
        <v>1</v>
      </c>
      <c r="O6" s="53">
        <v>0.8</v>
      </c>
      <c r="P6" s="53">
        <v>0.8</v>
      </c>
      <c r="Q6" s="75">
        <f t="shared" si="2"/>
        <v>0.8</v>
      </c>
      <c r="R6" s="168">
        <v>15.9</v>
      </c>
      <c r="S6" s="168">
        <v>121</v>
      </c>
      <c r="T6" s="16">
        <f t="shared" si="0"/>
        <v>30</v>
      </c>
      <c r="U6" s="169">
        <v>138</v>
      </c>
      <c r="V6" s="38">
        <f t="shared" si="1"/>
        <v>4140</v>
      </c>
      <c r="W6" s="165">
        <v>6</v>
      </c>
      <c r="X6" s="166" t="s">
        <v>46</v>
      </c>
      <c r="Y6" s="166" t="s">
        <v>102</v>
      </c>
      <c r="Z6" s="166" t="s">
        <v>88</v>
      </c>
      <c r="AA6" s="157" t="s">
        <v>78</v>
      </c>
      <c r="AB6" s="53" t="s">
        <v>158</v>
      </c>
      <c r="AE6" s="22" t="s">
        <v>56</v>
      </c>
      <c r="AG6" s="67" t="s">
        <v>211</v>
      </c>
      <c r="AH6" s="67" t="s">
        <v>366</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361</v>
      </c>
      <c r="E7" s="158" t="s">
        <v>359</v>
      </c>
      <c r="F7" s="158" t="s">
        <v>360</v>
      </c>
      <c r="G7" s="161" t="s">
        <v>36</v>
      </c>
      <c r="H7" s="127" t="s">
        <v>160</v>
      </c>
      <c r="I7" s="127" t="s">
        <v>159</v>
      </c>
      <c r="J7" s="127" t="s">
        <v>38</v>
      </c>
      <c r="K7" s="127" t="s">
        <v>161</v>
      </c>
      <c r="L7" s="53">
        <v>3</v>
      </c>
      <c r="N7" s="53">
        <v>1</v>
      </c>
      <c r="O7" s="53">
        <v>0.9</v>
      </c>
      <c r="P7" s="53">
        <v>1</v>
      </c>
      <c r="Q7" s="75">
        <f t="shared" si="2"/>
        <v>0.95</v>
      </c>
      <c r="R7" s="168">
        <v>15.5</v>
      </c>
      <c r="S7" s="168">
        <v>116</v>
      </c>
      <c r="T7" s="16">
        <f t="shared" si="0"/>
        <v>30</v>
      </c>
      <c r="U7" s="169">
        <v>138</v>
      </c>
      <c r="V7" s="38">
        <f t="shared" si="1"/>
        <v>4140</v>
      </c>
      <c r="W7" s="165">
        <v>6</v>
      </c>
      <c r="X7" s="166" t="s">
        <v>46</v>
      </c>
      <c r="Y7" s="166" t="s">
        <v>102</v>
      </c>
      <c r="Z7" s="166" t="s">
        <v>88</v>
      </c>
      <c r="AA7" s="157" t="s">
        <v>78</v>
      </c>
      <c r="AB7" s="53" t="s">
        <v>158</v>
      </c>
      <c r="AE7" s="22" t="s">
        <v>61</v>
      </c>
      <c r="AG7" s="67" t="s">
        <v>367</v>
      </c>
      <c r="AH7" s="67" t="s">
        <v>366</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361</v>
      </c>
      <c r="E8" s="159" t="s">
        <v>362</v>
      </c>
      <c r="F8" s="158" t="s">
        <v>363</v>
      </c>
      <c r="G8" s="161" t="s">
        <v>36</v>
      </c>
      <c r="H8" s="127" t="s">
        <v>164</v>
      </c>
      <c r="I8" s="127" t="s">
        <v>159</v>
      </c>
      <c r="J8" s="127" t="s">
        <v>38</v>
      </c>
      <c r="K8" s="127" t="s">
        <v>161</v>
      </c>
      <c r="L8" s="53">
        <v>1</v>
      </c>
      <c r="N8" s="53">
        <v>1</v>
      </c>
      <c r="O8" s="53">
        <v>0.85</v>
      </c>
      <c r="P8" s="53">
        <v>0.9</v>
      </c>
      <c r="Q8" s="75">
        <f t="shared" si="2"/>
        <v>0.875</v>
      </c>
      <c r="R8" s="168">
        <v>14.8</v>
      </c>
      <c r="S8" s="168">
        <v>117</v>
      </c>
      <c r="T8" s="16">
        <f t="shared" si="0"/>
        <v>30</v>
      </c>
      <c r="U8" s="164">
        <v>128</v>
      </c>
      <c r="V8" s="38">
        <f t="shared" si="1"/>
        <v>3840</v>
      </c>
      <c r="W8" s="165">
        <v>4</v>
      </c>
      <c r="X8" s="166" t="s">
        <v>46</v>
      </c>
      <c r="Y8" s="172" t="s">
        <v>102</v>
      </c>
      <c r="Z8" s="166" t="s">
        <v>78</v>
      </c>
      <c r="AA8" s="157" t="s">
        <v>88</v>
      </c>
      <c r="AB8" s="53" t="s">
        <v>158</v>
      </c>
      <c r="AE8" s="22" t="s">
        <v>59</v>
      </c>
      <c r="AG8" s="67" t="s">
        <v>211</v>
      </c>
      <c r="AH8" s="67" t="s">
        <v>368</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361</v>
      </c>
      <c r="E9" s="159" t="s">
        <v>362</v>
      </c>
      <c r="F9" s="158" t="s">
        <v>363</v>
      </c>
      <c r="G9" s="161" t="s">
        <v>36</v>
      </c>
      <c r="H9" s="127" t="s">
        <v>369</v>
      </c>
      <c r="I9" s="127" t="s">
        <v>159</v>
      </c>
      <c r="J9" s="127" t="s">
        <v>38</v>
      </c>
      <c r="K9" s="127" t="s">
        <v>161</v>
      </c>
      <c r="L9" s="53">
        <v>2</v>
      </c>
      <c r="N9" s="53">
        <v>1</v>
      </c>
      <c r="O9" s="53">
        <v>1</v>
      </c>
      <c r="P9" s="53">
        <v>0.85</v>
      </c>
      <c r="Q9" s="75">
        <f t="shared" si="2"/>
        <v>0.92500000000000004</v>
      </c>
      <c r="R9" s="168">
        <v>14.4</v>
      </c>
      <c r="S9" s="168">
        <v>127</v>
      </c>
      <c r="T9" s="16">
        <f t="shared" si="0"/>
        <v>30</v>
      </c>
      <c r="U9" s="164">
        <v>128</v>
      </c>
      <c r="V9" s="38">
        <f t="shared" si="1"/>
        <v>3840</v>
      </c>
      <c r="W9" s="165">
        <v>4</v>
      </c>
      <c r="X9" s="166" t="s">
        <v>46</v>
      </c>
      <c r="Y9" s="172" t="s">
        <v>102</v>
      </c>
      <c r="Z9" s="166" t="s">
        <v>78</v>
      </c>
      <c r="AA9" s="157" t="s">
        <v>88</v>
      </c>
      <c r="AB9" s="53" t="s">
        <v>158</v>
      </c>
      <c r="AE9" s="22" t="s">
        <v>98</v>
      </c>
      <c r="AG9" s="67" t="s">
        <v>139</v>
      </c>
      <c r="AH9" s="67" t="s">
        <v>368</v>
      </c>
      <c r="AL9" s="73"/>
      <c r="AP9" s="23" t="s">
        <v>95</v>
      </c>
      <c r="AR9" s="23" t="s">
        <v>89</v>
      </c>
      <c r="AV9" s="23" t="s">
        <v>102</v>
      </c>
      <c r="AX9" s="31">
        <v>180</v>
      </c>
      <c r="AY9" s="32">
        <v>18</v>
      </c>
      <c r="AZ9" s="32">
        <v>181</v>
      </c>
      <c r="BA9" s="33">
        <v>16</v>
      </c>
    </row>
    <row r="10" spans="1:53" x14ac:dyDescent="0.15">
      <c r="A10" s="158" t="s">
        <v>34</v>
      </c>
      <c r="B10" s="158" t="s">
        <v>157</v>
      </c>
      <c r="C10" s="158">
        <v>2019</v>
      </c>
      <c r="D10" s="160" t="s">
        <v>361</v>
      </c>
      <c r="E10" s="159" t="s">
        <v>362</v>
      </c>
      <c r="F10" s="158" t="s">
        <v>363</v>
      </c>
      <c r="G10" s="161" t="s">
        <v>36</v>
      </c>
      <c r="H10" s="127" t="s">
        <v>164</v>
      </c>
      <c r="I10" s="127" t="s">
        <v>159</v>
      </c>
      <c r="J10" s="127" t="s">
        <v>38</v>
      </c>
      <c r="K10" s="127" t="s">
        <v>161</v>
      </c>
      <c r="L10" s="53">
        <v>3</v>
      </c>
      <c r="N10" s="53">
        <v>1</v>
      </c>
      <c r="O10" s="53">
        <v>0.9</v>
      </c>
      <c r="P10" s="53">
        <v>0.85</v>
      </c>
      <c r="Q10" s="75">
        <f t="shared" si="2"/>
        <v>0.875</v>
      </c>
      <c r="R10" s="168">
        <v>14.6</v>
      </c>
      <c r="S10" s="168">
        <v>117</v>
      </c>
      <c r="T10" s="16">
        <f t="shared" si="0"/>
        <v>30</v>
      </c>
      <c r="U10" s="164">
        <v>128</v>
      </c>
      <c r="V10" s="38">
        <f t="shared" si="1"/>
        <v>3840</v>
      </c>
      <c r="W10" s="165">
        <v>4</v>
      </c>
      <c r="X10" s="166" t="s">
        <v>46</v>
      </c>
      <c r="Y10" s="172" t="s">
        <v>102</v>
      </c>
      <c r="Z10" s="166" t="s">
        <v>78</v>
      </c>
      <c r="AA10" s="157" t="s">
        <v>88</v>
      </c>
      <c r="AB10" s="53" t="s">
        <v>158</v>
      </c>
      <c r="AE10" s="22" t="s">
        <v>103</v>
      </c>
      <c r="AG10" s="67" t="s">
        <v>133</v>
      </c>
      <c r="AH10" s="67" t="s">
        <v>370</v>
      </c>
      <c r="AL10" s="34"/>
      <c r="AP10" s="23" t="s">
        <v>100</v>
      </c>
      <c r="AR10" s="23" t="s">
        <v>123</v>
      </c>
      <c r="AV10" s="23" t="s">
        <v>106</v>
      </c>
    </row>
    <row r="11" spans="1:53" x14ac:dyDescent="0.15">
      <c r="A11" s="158" t="s">
        <v>34</v>
      </c>
      <c r="B11" s="158" t="s">
        <v>157</v>
      </c>
      <c r="C11" s="159">
        <v>2019</v>
      </c>
      <c r="D11" s="160" t="s">
        <v>361</v>
      </c>
      <c r="E11" s="159" t="s">
        <v>362</v>
      </c>
      <c r="F11" s="158" t="s">
        <v>363</v>
      </c>
      <c r="G11" s="161" t="s">
        <v>36</v>
      </c>
      <c r="H11" s="127" t="s">
        <v>160</v>
      </c>
      <c r="I11" s="127" t="s">
        <v>159</v>
      </c>
      <c r="J11" s="127" t="s">
        <v>38</v>
      </c>
      <c r="K11" s="127" t="s">
        <v>161</v>
      </c>
      <c r="L11" s="53">
        <v>1</v>
      </c>
      <c r="N11" s="53">
        <v>1</v>
      </c>
      <c r="O11" s="53">
        <v>0.6</v>
      </c>
      <c r="P11" s="53">
        <v>0.65</v>
      </c>
      <c r="Q11" s="75">
        <f t="shared" si="2"/>
        <v>0.625</v>
      </c>
      <c r="R11" s="168">
        <v>15.9</v>
      </c>
      <c r="S11" s="168">
        <v>107</v>
      </c>
      <c r="T11" s="16">
        <f t="shared" si="0"/>
        <v>33</v>
      </c>
      <c r="U11" s="164">
        <v>128</v>
      </c>
      <c r="V11" s="38">
        <f t="shared" si="1"/>
        <v>4224</v>
      </c>
      <c r="W11" s="165">
        <v>4</v>
      </c>
      <c r="X11" s="166" t="s">
        <v>46</v>
      </c>
      <c r="Y11" s="172" t="s">
        <v>102</v>
      </c>
      <c r="Z11" s="166" t="s">
        <v>78</v>
      </c>
      <c r="AA11" s="172" t="s">
        <v>88</v>
      </c>
      <c r="AB11" s="53" t="s">
        <v>158</v>
      </c>
      <c r="AE11" s="22" t="s">
        <v>65</v>
      </c>
      <c r="AG11" s="23" t="s">
        <v>271</v>
      </c>
      <c r="AH11" s="23" t="s">
        <v>371</v>
      </c>
      <c r="AL11" s="34"/>
      <c r="AP11" s="23" t="s">
        <v>104</v>
      </c>
      <c r="AR11" s="23" t="s">
        <v>87</v>
      </c>
      <c r="AV11" s="23" t="s">
        <v>69</v>
      </c>
    </row>
    <row r="12" spans="1:53" x14ac:dyDescent="0.15">
      <c r="A12" s="158" t="s">
        <v>34</v>
      </c>
      <c r="B12" s="158" t="s">
        <v>157</v>
      </c>
      <c r="C12" s="158">
        <v>2019</v>
      </c>
      <c r="D12" s="160" t="s">
        <v>361</v>
      </c>
      <c r="E12" s="159" t="s">
        <v>362</v>
      </c>
      <c r="F12" s="158" t="s">
        <v>363</v>
      </c>
      <c r="G12" s="161" t="s">
        <v>36</v>
      </c>
      <c r="H12" s="127" t="s">
        <v>160</v>
      </c>
      <c r="I12" s="127" t="s">
        <v>159</v>
      </c>
      <c r="J12" s="127" t="s">
        <v>38</v>
      </c>
      <c r="K12" s="127" t="s">
        <v>161</v>
      </c>
      <c r="L12" s="53">
        <v>2</v>
      </c>
      <c r="N12" s="53">
        <v>1</v>
      </c>
      <c r="O12" s="53">
        <v>0.65</v>
      </c>
      <c r="P12" s="53">
        <v>0.7</v>
      </c>
      <c r="Q12" s="75">
        <f t="shared" si="2"/>
        <v>0.67500000000000004</v>
      </c>
      <c r="R12" s="168">
        <v>15.5</v>
      </c>
      <c r="S12" s="168">
        <v>108</v>
      </c>
      <c r="T12" s="16">
        <f t="shared" si="0"/>
        <v>33</v>
      </c>
      <c r="U12" s="164">
        <v>128</v>
      </c>
      <c r="V12" s="38">
        <f t="shared" si="1"/>
        <v>4224</v>
      </c>
      <c r="W12" s="165">
        <v>4</v>
      </c>
      <c r="X12" s="166" t="s">
        <v>46</v>
      </c>
      <c r="Y12" s="172" t="s">
        <v>102</v>
      </c>
      <c r="Z12" s="166" t="s">
        <v>78</v>
      </c>
      <c r="AA12" s="172" t="s">
        <v>88</v>
      </c>
      <c r="AB12" s="53" t="s">
        <v>158</v>
      </c>
      <c r="AE12" s="22" t="s">
        <v>70</v>
      </c>
      <c r="AG12" s="23"/>
      <c r="AH12" s="23"/>
      <c r="AL12" s="34"/>
      <c r="AP12" s="23" t="s">
        <v>67</v>
      </c>
      <c r="AR12" s="23" t="s">
        <v>124</v>
      </c>
      <c r="AV12" s="23" t="s">
        <v>72</v>
      </c>
    </row>
    <row r="13" spans="1:53" x14ac:dyDescent="0.15">
      <c r="A13" s="158" t="s">
        <v>34</v>
      </c>
      <c r="B13" s="158" t="s">
        <v>157</v>
      </c>
      <c r="C13" s="159">
        <v>2019</v>
      </c>
      <c r="D13" s="160" t="s">
        <v>361</v>
      </c>
      <c r="E13" s="159" t="s">
        <v>362</v>
      </c>
      <c r="F13" s="158" t="s">
        <v>363</v>
      </c>
      <c r="G13" s="161" t="s">
        <v>36</v>
      </c>
      <c r="H13" s="127" t="s">
        <v>160</v>
      </c>
      <c r="I13" s="127" t="s">
        <v>159</v>
      </c>
      <c r="J13" s="127" t="s">
        <v>38</v>
      </c>
      <c r="K13" s="127" t="s">
        <v>161</v>
      </c>
      <c r="L13" s="53">
        <v>3</v>
      </c>
      <c r="N13" s="53">
        <v>1</v>
      </c>
      <c r="O13" s="53">
        <v>0.6</v>
      </c>
      <c r="P13" s="53">
        <v>0.55000000000000004</v>
      </c>
      <c r="Q13" s="75">
        <f t="shared" si="2"/>
        <v>0.57499999999999996</v>
      </c>
      <c r="R13" s="168">
        <v>15.8</v>
      </c>
      <c r="S13" s="168">
        <v>106</v>
      </c>
      <c r="T13" s="16">
        <f t="shared" si="0"/>
        <v>33</v>
      </c>
      <c r="U13" s="164">
        <v>128</v>
      </c>
      <c r="V13" s="38">
        <f t="shared" si="1"/>
        <v>4224</v>
      </c>
      <c r="W13" s="165">
        <v>4</v>
      </c>
      <c r="X13" s="166" t="s">
        <v>46</v>
      </c>
      <c r="Y13" s="172" t="s">
        <v>102</v>
      </c>
      <c r="Z13" s="166" t="s">
        <v>78</v>
      </c>
      <c r="AA13" s="172" t="s">
        <v>88</v>
      </c>
      <c r="AB13" s="53" t="s">
        <v>158</v>
      </c>
      <c r="AE13" s="22" t="s">
        <v>73</v>
      </c>
      <c r="AG13" s="28"/>
      <c r="AH13" s="28"/>
      <c r="AP13" s="23" t="s">
        <v>71</v>
      </c>
      <c r="AR13" s="23" t="s">
        <v>103</v>
      </c>
      <c r="AV13" s="23" t="s">
        <v>75</v>
      </c>
    </row>
    <row r="14" spans="1:53" x14ac:dyDescent="0.15">
      <c r="A14" s="158" t="s">
        <v>34</v>
      </c>
      <c r="B14" s="158" t="s">
        <v>157</v>
      </c>
      <c r="C14" s="158">
        <v>2019</v>
      </c>
      <c r="D14" s="160" t="s">
        <v>361</v>
      </c>
      <c r="E14" s="159" t="s">
        <v>364</v>
      </c>
      <c r="F14" s="158" t="s">
        <v>363</v>
      </c>
      <c r="G14" s="161" t="s">
        <v>36</v>
      </c>
      <c r="H14" s="127" t="s">
        <v>164</v>
      </c>
      <c r="I14" s="127" t="s">
        <v>159</v>
      </c>
      <c r="J14" s="127" t="s">
        <v>38</v>
      </c>
      <c r="K14" s="127" t="s">
        <v>161</v>
      </c>
      <c r="L14" s="53">
        <v>1</v>
      </c>
      <c r="N14" s="53">
        <v>1</v>
      </c>
      <c r="O14" s="53">
        <v>1.1000000000000001</v>
      </c>
      <c r="P14" s="53">
        <v>0.95</v>
      </c>
      <c r="Q14" s="75">
        <f t="shared" si="2"/>
        <v>1.0249999999999999</v>
      </c>
      <c r="R14" s="168">
        <v>15.2</v>
      </c>
      <c r="S14" s="168">
        <v>136</v>
      </c>
      <c r="T14" s="16">
        <f t="shared" si="0"/>
        <v>30</v>
      </c>
      <c r="U14" s="164">
        <v>79</v>
      </c>
      <c r="V14" s="38">
        <f t="shared" si="1"/>
        <v>2370</v>
      </c>
      <c r="W14" s="165">
        <v>5</v>
      </c>
      <c r="X14" s="166" t="s">
        <v>46</v>
      </c>
      <c r="Y14" s="172" t="s">
        <v>78</v>
      </c>
      <c r="Z14" s="172" t="s">
        <v>88</v>
      </c>
      <c r="AA14" s="172" t="s">
        <v>102</v>
      </c>
      <c r="AB14" s="53" t="s">
        <v>158</v>
      </c>
      <c r="AC14" s="34"/>
      <c r="AE14" s="22" t="s">
        <v>76</v>
      </c>
      <c r="AP14" s="23" t="s">
        <v>74</v>
      </c>
      <c r="AR14" s="23" t="s">
        <v>125</v>
      </c>
      <c r="AV14" s="23" t="s">
        <v>78</v>
      </c>
    </row>
    <row r="15" spans="1:53" x14ac:dyDescent="0.15">
      <c r="A15" s="158" t="s">
        <v>34</v>
      </c>
      <c r="B15" s="158" t="s">
        <v>157</v>
      </c>
      <c r="C15" s="159">
        <v>2019</v>
      </c>
      <c r="D15" s="160" t="s">
        <v>361</v>
      </c>
      <c r="E15" s="159" t="s">
        <v>364</v>
      </c>
      <c r="F15" s="158" t="s">
        <v>363</v>
      </c>
      <c r="G15" s="161" t="s">
        <v>36</v>
      </c>
      <c r="H15" s="127" t="s">
        <v>164</v>
      </c>
      <c r="I15" s="127" t="s">
        <v>159</v>
      </c>
      <c r="J15" s="127" t="s">
        <v>38</v>
      </c>
      <c r="K15" s="127" t="s">
        <v>161</v>
      </c>
      <c r="L15" s="53">
        <v>2</v>
      </c>
      <c r="N15" s="53">
        <v>1</v>
      </c>
      <c r="O15" s="53">
        <v>0.9</v>
      </c>
      <c r="P15" s="53">
        <v>0.85</v>
      </c>
      <c r="Q15" s="75">
        <f t="shared" si="2"/>
        <v>0.875</v>
      </c>
      <c r="R15" s="168">
        <v>15.8</v>
      </c>
      <c r="S15" s="168">
        <v>134</v>
      </c>
      <c r="T15" s="16">
        <f t="shared" si="0"/>
        <v>30</v>
      </c>
      <c r="U15" s="164">
        <v>79</v>
      </c>
      <c r="V15" s="38">
        <f t="shared" si="1"/>
        <v>2370</v>
      </c>
      <c r="W15" s="165">
        <v>5</v>
      </c>
      <c r="X15" s="166" t="s">
        <v>46</v>
      </c>
      <c r="Y15" s="172" t="s">
        <v>78</v>
      </c>
      <c r="Z15" s="172" t="s">
        <v>88</v>
      </c>
      <c r="AA15" s="172" t="s">
        <v>102</v>
      </c>
      <c r="AB15" s="53" t="s">
        <v>158</v>
      </c>
      <c r="AC15" s="34"/>
      <c r="AE15" s="22" t="s">
        <v>79</v>
      </c>
      <c r="AP15" s="23" t="s">
        <v>77</v>
      </c>
      <c r="AR15" s="23" t="s">
        <v>94</v>
      </c>
      <c r="AV15" s="23" t="s">
        <v>107</v>
      </c>
    </row>
    <row r="16" spans="1:53" x14ac:dyDescent="0.15">
      <c r="A16" s="158" t="s">
        <v>34</v>
      </c>
      <c r="B16" s="158" t="s">
        <v>157</v>
      </c>
      <c r="C16" s="158">
        <v>2019</v>
      </c>
      <c r="D16" s="160" t="s">
        <v>361</v>
      </c>
      <c r="E16" s="159" t="s">
        <v>364</v>
      </c>
      <c r="F16" s="158" t="s">
        <v>363</v>
      </c>
      <c r="G16" s="161" t="s">
        <v>36</v>
      </c>
      <c r="H16" s="127" t="s">
        <v>164</v>
      </c>
      <c r="I16" s="127" t="s">
        <v>159</v>
      </c>
      <c r="J16" s="127" t="s">
        <v>38</v>
      </c>
      <c r="K16" s="127" t="s">
        <v>161</v>
      </c>
      <c r="L16" s="53">
        <v>3</v>
      </c>
      <c r="N16" s="53">
        <v>1</v>
      </c>
      <c r="O16" s="53">
        <v>1.1499999999999999</v>
      </c>
      <c r="P16" s="53">
        <v>1.1000000000000001</v>
      </c>
      <c r="Q16" s="75">
        <f t="shared" si="2"/>
        <v>1.125</v>
      </c>
      <c r="R16" s="168">
        <v>15.4</v>
      </c>
      <c r="S16" s="168">
        <v>133</v>
      </c>
      <c r="T16" s="16">
        <f t="shared" si="0"/>
        <v>30</v>
      </c>
      <c r="U16" s="164">
        <v>79</v>
      </c>
      <c r="V16" s="38">
        <f t="shared" si="1"/>
        <v>2370</v>
      </c>
      <c r="W16" s="165">
        <v>5</v>
      </c>
      <c r="X16" s="166" t="s">
        <v>46</v>
      </c>
      <c r="Y16" s="172" t="s">
        <v>78</v>
      </c>
      <c r="Z16" s="172" t="s">
        <v>88</v>
      </c>
      <c r="AA16" s="172" t="s">
        <v>102</v>
      </c>
      <c r="AB16" s="53" t="s">
        <v>158</v>
      </c>
      <c r="AC16" s="34"/>
      <c r="AE16" s="22" t="s">
        <v>82</v>
      </c>
      <c r="AP16" s="23" t="s">
        <v>80</v>
      </c>
      <c r="AR16" s="23" t="s">
        <v>63</v>
      </c>
      <c r="AV16" s="23" t="s">
        <v>84</v>
      </c>
    </row>
    <row r="17" spans="1:48" x14ac:dyDescent="0.15">
      <c r="A17" s="158" t="s">
        <v>34</v>
      </c>
      <c r="B17" s="158" t="s">
        <v>234</v>
      </c>
      <c r="C17" s="159">
        <v>2019</v>
      </c>
      <c r="D17" s="160" t="s">
        <v>361</v>
      </c>
      <c r="E17" s="159" t="s">
        <v>364</v>
      </c>
      <c r="F17" s="158" t="s">
        <v>363</v>
      </c>
      <c r="G17" s="161" t="s">
        <v>36</v>
      </c>
      <c r="H17" s="127" t="s">
        <v>160</v>
      </c>
      <c r="I17" s="127" t="s">
        <v>159</v>
      </c>
      <c r="J17" s="127" t="s">
        <v>38</v>
      </c>
      <c r="K17" s="127" t="s">
        <v>161</v>
      </c>
      <c r="L17" s="53">
        <v>1</v>
      </c>
      <c r="N17" s="53">
        <v>1</v>
      </c>
      <c r="O17" s="53">
        <v>0.65</v>
      </c>
      <c r="P17" s="53">
        <v>0.6</v>
      </c>
      <c r="Q17" s="75">
        <f t="shared" si="2"/>
        <v>0.625</v>
      </c>
      <c r="R17" s="168">
        <v>18.100000000000001</v>
      </c>
      <c r="S17" s="168">
        <v>112</v>
      </c>
      <c r="T17" s="16">
        <f t="shared" si="0"/>
        <v>33</v>
      </c>
      <c r="U17" s="164">
        <v>79</v>
      </c>
      <c r="V17" s="38">
        <f t="shared" si="1"/>
        <v>2607</v>
      </c>
      <c r="W17" s="165">
        <v>5</v>
      </c>
      <c r="X17" s="166" t="s">
        <v>46</v>
      </c>
      <c r="Y17" s="172" t="s">
        <v>78</v>
      </c>
      <c r="Z17" s="172" t="s">
        <v>88</v>
      </c>
      <c r="AA17" s="172" t="s">
        <v>102</v>
      </c>
      <c r="AB17" s="53" t="s">
        <v>158</v>
      </c>
      <c r="AC17" s="34"/>
      <c r="AE17" s="22" t="s">
        <v>85</v>
      </c>
      <c r="AP17" s="27" t="s">
        <v>110</v>
      </c>
      <c r="AR17" s="23" t="s">
        <v>96</v>
      </c>
      <c r="AV17" s="23" t="s">
        <v>86</v>
      </c>
    </row>
    <row r="18" spans="1:48" x14ac:dyDescent="0.15">
      <c r="A18" s="158" t="s">
        <v>34</v>
      </c>
      <c r="B18" s="158" t="s">
        <v>157</v>
      </c>
      <c r="C18" s="158">
        <v>2019</v>
      </c>
      <c r="D18" s="160" t="s">
        <v>361</v>
      </c>
      <c r="E18" s="159" t="s">
        <v>364</v>
      </c>
      <c r="F18" s="158" t="s">
        <v>363</v>
      </c>
      <c r="G18" s="161" t="s">
        <v>36</v>
      </c>
      <c r="H18" s="127" t="s">
        <v>160</v>
      </c>
      <c r="I18" s="127" t="s">
        <v>159</v>
      </c>
      <c r="J18" s="127" t="s">
        <v>38</v>
      </c>
      <c r="K18" s="127" t="s">
        <v>161</v>
      </c>
      <c r="L18" s="53">
        <v>2</v>
      </c>
      <c r="N18" s="53">
        <v>1</v>
      </c>
      <c r="O18" s="53">
        <v>0.7</v>
      </c>
      <c r="P18" s="53">
        <v>0.55000000000000004</v>
      </c>
      <c r="Q18" s="75">
        <f t="shared" si="2"/>
        <v>0.625</v>
      </c>
      <c r="R18" s="168">
        <v>17.7</v>
      </c>
      <c r="S18" s="168">
        <v>111</v>
      </c>
      <c r="T18" s="16">
        <f t="shared" si="0"/>
        <v>33</v>
      </c>
      <c r="U18" s="164">
        <v>79</v>
      </c>
      <c r="V18" s="38">
        <f t="shared" si="1"/>
        <v>2607</v>
      </c>
      <c r="W18" s="165">
        <v>5</v>
      </c>
      <c r="X18" s="166" t="s">
        <v>46</v>
      </c>
      <c r="Y18" s="172" t="s">
        <v>78</v>
      </c>
      <c r="Z18" s="172" t="s">
        <v>88</v>
      </c>
      <c r="AA18" s="172" t="s">
        <v>102</v>
      </c>
      <c r="AB18" s="53" t="s">
        <v>158</v>
      </c>
      <c r="AC18" s="34"/>
      <c r="AE18" s="22" t="s">
        <v>87</v>
      </c>
      <c r="AP18" s="27" t="s">
        <v>111</v>
      </c>
      <c r="AR18" s="23" t="s">
        <v>101</v>
      </c>
      <c r="AV18" s="23" t="s">
        <v>88</v>
      </c>
    </row>
    <row r="19" spans="1:48" x14ac:dyDescent="0.15">
      <c r="A19" s="158" t="s">
        <v>34</v>
      </c>
      <c r="B19" s="158" t="s">
        <v>157</v>
      </c>
      <c r="C19" s="159">
        <v>2019</v>
      </c>
      <c r="D19" s="160" t="s">
        <v>361</v>
      </c>
      <c r="E19" s="159" t="s">
        <v>364</v>
      </c>
      <c r="F19" s="158" t="s">
        <v>363</v>
      </c>
      <c r="G19" s="161" t="s">
        <v>36</v>
      </c>
      <c r="H19" s="127" t="s">
        <v>160</v>
      </c>
      <c r="I19" s="127" t="s">
        <v>159</v>
      </c>
      <c r="J19" s="127" t="s">
        <v>38</v>
      </c>
      <c r="K19" s="127" t="s">
        <v>161</v>
      </c>
      <c r="L19" s="53">
        <v>3</v>
      </c>
      <c r="N19" s="53">
        <v>1</v>
      </c>
      <c r="O19" s="53">
        <v>0.6</v>
      </c>
      <c r="P19" s="53">
        <v>0.55000000000000004</v>
      </c>
      <c r="Q19" s="75">
        <f t="shared" si="2"/>
        <v>0.57499999999999996</v>
      </c>
      <c r="R19" s="168">
        <v>20</v>
      </c>
      <c r="S19" s="168">
        <v>110</v>
      </c>
      <c r="T19" s="16">
        <f t="shared" si="0"/>
        <v>33</v>
      </c>
      <c r="U19" s="164">
        <v>79</v>
      </c>
      <c r="V19" s="38">
        <f t="shared" si="1"/>
        <v>2607</v>
      </c>
      <c r="W19" s="165">
        <v>5</v>
      </c>
      <c r="X19" s="166" t="s">
        <v>46</v>
      </c>
      <c r="Y19" s="172" t="s">
        <v>78</v>
      </c>
      <c r="Z19" s="172" t="s">
        <v>88</v>
      </c>
      <c r="AA19" s="172" t="s">
        <v>102</v>
      </c>
      <c r="AB19" s="53" t="s">
        <v>158</v>
      </c>
      <c r="AC19" s="34"/>
      <c r="AE19" s="35" t="s">
        <v>89</v>
      </c>
      <c r="AP19" s="27" t="s">
        <v>112</v>
      </c>
      <c r="AR19" s="23" t="s">
        <v>126</v>
      </c>
      <c r="AV19" s="23" t="s">
        <v>90</v>
      </c>
    </row>
    <row r="20" spans="1:48" x14ac:dyDescent="0.15">
      <c r="A20" s="158" t="s">
        <v>34</v>
      </c>
      <c r="B20" s="158" t="s">
        <v>157</v>
      </c>
      <c r="C20" s="158">
        <v>2019</v>
      </c>
      <c r="D20" s="160" t="s">
        <v>361</v>
      </c>
      <c r="E20" s="159" t="s">
        <v>359</v>
      </c>
      <c r="F20" s="158" t="s">
        <v>365</v>
      </c>
      <c r="G20" s="161" t="s">
        <v>36</v>
      </c>
      <c r="H20" s="127" t="s">
        <v>164</v>
      </c>
      <c r="I20" s="127" t="s">
        <v>159</v>
      </c>
      <c r="J20" s="127" t="s">
        <v>38</v>
      </c>
      <c r="K20" s="127" t="s">
        <v>161</v>
      </c>
      <c r="L20" s="53">
        <v>1</v>
      </c>
      <c r="N20" s="53">
        <v>1</v>
      </c>
      <c r="O20" s="53">
        <v>0.55000000000000004</v>
      </c>
      <c r="P20" s="53">
        <v>0.6</v>
      </c>
      <c r="Q20" s="75">
        <f t="shared" si="2"/>
        <v>0.57499999999999996</v>
      </c>
      <c r="R20" s="168">
        <v>14.2</v>
      </c>
      <c r="S20" s="168">
        <v>118</v>
      </c>
      <c r="T20" s="16">
        <f t="shared" si="0"/>
        <v>30</v>
      </c>
      <c r="U20" s="164">
        <v>128</v>
      </c>
      <c r="V20" s="38">
        <f t="shared" si="1"/>
        <v>3840</v>
      </c>
      <c r="W20" s="165">
        <v>4</v>
      </c>
      <c r="X20" s="166" t="s">
        <v>39</v>
      </c>
      <c r="Y20" s="172" t="s">
        <v>102</v>
      </c>
      <c r="Z20" s="172" t="s">
        <v>88</v>
      </c>
      <c r="AA20" s="172" t="s">
        <v>78</v>
      </c>
      <c r="AB20" s="53" t="s">
        <v>158</v>
      </c>
      <c r="AE20" s="35"/>
      <c r="AP20" s="27" t="s">
        <v>113</v>
      </c>
      <c r="AR20" s="23" t="s">
        <v>105</v>
      </c>
      <c r="AV20" s="27" t="s">
        <v>135</v>
      </c>
    </row>
    <row r="21" spans="1:48" x14ac:dyDescent="0.15">
      <c r="A21" s="158" t="s">
        <v>34</v>
      </c>
      <c r="B21" s="158" t="s">
        <v>157</v>
      </c>
      <c r="C21" s="159">
        <v>2019</v>
      </c>
      <c r="D21" s="160" t="s">
        <v>361</v>
      </c>
      <c r="E21" s="159" t="s">
        <v>359</v>
      </c>
      <c r="F21" s="158" t="s">
        <v>365</v>
      </c>
      <c r="G21" s="161" t="s">
        <v>36</v>
      </c>
      <c r="H21" s="127" t="s">
        <v>164</v>
      </c>
      <c r="I21" s="127" t="s">
        <v>159</v>
      </c>
      <c r="J21" s="127" t="s">
        <v>38</v>
      </c>
      <c r="K21" s="127" t="s">
        <v>161</v>
      </c>
      <c r="L21" s="53">
        <v>2</v>
      </c>
      <c r="N21" s="53">
        <v>1</v>
      </c>
      <c r="O21" s="53">
        <v>0.55000000000000004</v>
      </c>
      <c r="P21" s="53">
        <v>0.6</v>
      </c>
      <c r="Q21" s="75">
        <f t="shared" si="2"/>
        <v>0.57499999999999996</v>
      </c>
      <c r="R21" s="168">
        <v>14.4</v>
      </c>
      <c r="S21" s="168">
        <v>124</v>
      </c>
      <c r="T21" s="16">
        <f t="shared" si="0"/>
        <v>30</v>
      </c>
      <c r="U21" s="164">
        <v>128</v>
      </c>
      <c r="V21" s="38">
        <f t="shared" si="1"/>
        <v>3840</v>
      </c>
      <c r="W21" s="165">
        <v>4</v>
      </c>
      <c r="X21" s="166" t="s">
        <v>39</v>
      </c>
      <c r="Y21" s="172" t="s">
        <v>102</v>
      </c>
      <c r="Z21" s="172" t="s">
        <v>88</v>
      </c>
      <c r="AA21" s="172" t="s">
        <v>78</v>
      </c>
      <c r="AB21" s="53" t="s">
        <v>158</v>
      </c>
      <c r="AE21" s="28"/>
      <c r="AP21" s="27" t="s">
        <v>114</v>
      </c>
      <c r="AR21" s="23" t="s">
        <v>68</v>
      </c>
      <c r="AV21" s="27" t="s">
        <v>136</v>
      </c>
    </row>
    <row r="22" spans="1:48" x14ac:dyDescent="0.15">
      <c r="A22" s="158" t="s">
        <v>34</v>
      </c>
      <c r="B22" s="158" t="s">
        <v>157</v>
      </c>
      <c r="C22" s="158">
        <v>2019</v>
      </c>
      <c r="D22" s="160" t="s">
        <v>361</v>
      </c>
      <c r="E22" s="159" t="s">
        <v>359</v>
      </c>
      <c r="F22" s="158" t="s">
        <v>365</v>
      </c>
      <c r="G22" s="161" t="s">
        <v>36</v>
      </c>
      <c r="H22" s="127" t="s">
        <v>164</v>
      </c>
      <c r="I22" s="127" t="s">
        <v>159</v>
      </c>
      <c r="J22" s="127" t="s">
        <v>38</v>
      </c>
      <c r="K22" s="127" t="s">
        <v>161</v>
      </c>
      <c r="L22" s="53">
        <v>3</v>
      </c>
      <c r="N22" s="53">
        <v>1</v>
      </c>
      <c r="O22" s="53">
        <v>0.6</v>
      </c>
      <c r="P22" s="34">
        <v>0.65</v>
      </c>
      <c r="Q22" s="75">
        <f t="shared" si="2"/>
        <v>0.625</v>
      </c>
      <c r="R22" s="168">
        <v>13.2</v>
      </c>
      <c r="S22" s="168">
        <v>120</v>
      </c>
      <c r="T22" s="16">
        <f t="shared" si="0"/>
        <v>30</v>
      </c>
      <c r="U22" s="164">
        <v>128</v>
      </c>
      <c r="V22" s="38">
        <f t="shared" si="1"/>
        <v>3840</v>
      </c>
      <c r="W22" s="165">
        <v>4</v>
      </c>
      <c r="X22" s="166" t="s">
        <v>39</v>
      </c>
      <c r="Y22" s="172" t="s">
        <v>102</v>
      </c>
      <c r="Z22" s="172" t="s">
        <v>88</v>
      </c>
      <c r="AA22" s="172" t="s">
        <v>78</v>
      </c>
      <c r="AB22" s="53" t="s">
        <v>158</v>
      </c>
      <c r="AP22" s="27" t="s">
        <v>115</v>
      </c>
      <c r="AR22" s="23" t="s">
        <v>83</v>
      </c>
      <c r="AV22" s="23"/>
    </row>
    <row r="23" spans="1:48" x14ac:dyDescent="0.15">
      <c r="A23" s="158" t="s">
        <v>34</v>
      </c>
      <c r="B23" s="158" t="s">
        <v>157</v>
      </c>
      <c r="C23" s="159">
        <v>2019</v>
      </c>
      <c r="D23" s="160" t="s">
        <v>361</v>
      </c>
      <c r="E23" s="159" t="s">
        <v>359</v>
      </c>
      <c r="F23" s="158" t="s">
        <v>365</v>
      </c>
      <c r="G23" s="161" t="s">
        <v>36</v>
      </c>
      <c r="H23" s="127" t="s">
        <v>160</v>
      </c>
      <c r="I23" s="127" t="s">
        <v>159</v>
      </c>
      <c r="J23" s="127" t="s">
        <v>38</v>
      </c>
      <c r="K23" s="127" t="s">
        <v>161</v>
      </c>
      <c r="L23" s="53">
        <v>1</v>
      </c>
      <c r="N23" s="53">
        <v>1</v>
      </c>
      <c r="O23" s="53">
        <v>0.75</v>
      </c>
      <c r="P23" s="34">
        <v>0.8</v>
      </c>
      <c r="Q23" s="75">
        <f t="shared" si="2"/>
        <v>0.77500000000000002</v>
      </c>
      <c r="R23" s="168">
        <v>15.6</v>
      </c>
      <c r="S23" s="168">
        <v>118</v>
      </c>
      <c r="T23" s="16">
        <f t="shared" si="0"/>
        <v>30</v>
      </c>
      <c r="U23" s="164">
        <v>138</v>
      </c>
      <c r="V23" s="38">
        <f t="shared" si="1"/>
        <v>4140</v>
      </c>
      <c r="W23" s="165">
        <v>4</v>
      </c>
      <c r="X23" s="166" t="s">
        <v>39</v>
      </c>
      <c r="Y23" s="172" t="s">
        <v>102</v>
      </c>
      <c r="Z23" s="172" t="s">
        <v>88</v>
      </c>
      <c r="AA23" s="172" t="s">
        <v>78</v>
      </c>
      <c r="AB23" s="53" t="s">
        <v>158</v>
      </c>
      <c r="AP23" s="27" t="s">
        <v>137</v>
      </c>
      <c r="AR23" s="23" t="s">
        <v>61</v>
      </c>
      <c r="AV23" s="23"/>
    </row>
    <row r="24" spans="1:48" x14ac:dyDescent="0.15">
      <c r="A24" s="158" t="s">
        <v>34</v>
      </c>
      <c r="B24" s="158" t="s">
        <v>157</v>
      </c>
      <c r="C24" s="158">
        <v>2019</v>
      </c>
      <c r="D24" s="160" t="s">
        <v>361</v>
      </c>
      <c r="E24" s="159" t="s">
        <v>359</v>
      </c>
      <c r="F24" s="158" t="s">
        <v>365</v>
      </c>
      <c r="G24" s="161" t="s">
        <v>36</v>
      </c>
      <c r="H24" s="127" t="s">
        <v>160</v>
      </c>
      <c r="I24" s="127" t="s">
        <v>159</v>
      </c>
      <c r="J24" s="127" t="s">
        <v>38</v>
      </c>
      <c r="K24" s="127" t="s">
        <v>161</v>
      </c>
      <c r="L24" s="53">
        <v>2</v>
      </c>
      <c r="N24" s="53">
        <v>1</v>
      </c>
      <c r="O24" s="53">
        <v>0.8</v>
      </c>
      <c r="P24" s="34">
        <v>0.7</v>
      </c>
      <c r="Q24" s="75">
        <f t="shared" si="2"/>
        <v>0.75</v>
      </c>
      <c r="R24" s="168">
        <v>15.8</v>
      </c>
      <c r="S24" s="168">
        <v>122</v>
      </c>
      <c r="T24" s="16">
        <f t="shared" si="0"/>
        <v>30</v>
      </c>
      <c r="U24" s="164">
        <v>138</v>
      </c>
      <c r="V24" s="38">
        <f t="shared" si="1"/>
        <v>4140</v>
      </c>
      <c r="W24" s="165">
        <v>4</v>
      </c>
      <c r="X24" s="166" t="s">
        <v>39</v>
      </c>
      <c r="Y24" s="172" t="s">
        <v>102</v>
      </c>
      <c r="Z24" s="172" t="s">
        <v>88</v>
      </c>
      <c r="AA24" s="172" t="s">
        <v>78</v>
      </c>
      <c r="AB24" s="53" t="s">
        <v>158</v>
      </c>
      <c r="AP24" s="27" t="s">
        <v>138</v>
      </c>
      <c r="AR24" s="23" t="s">
        <v>91</v>
      </c>
      <c r="AV24" s="23"/>
    </row>
    <row r="25" spans="1:48" x14ac:dyDescent="0.15">
      <c r="A25" s="158" t="s">
        <v>34</v>
      </c>
      <c r="B25" s="158" t="s">
        <v>157</v>
      </c>
      <c r="C25" s="159">
        <v>2019</v>
      </c>
      <c r="D25" s="160" t="s">
        <v>361</v>
      </c>
      <c r="E25" s="159" t="s">
        <v>359</v>
      </c>
      <c r="F25" s="158" t="s">
        <v>365</v>
      </c>
      <c r="G25" s="161" t="s">
        <v>36</v>
      </c>
      <c r="H25" s="127" t="s">
        <v>160</v>
      </c>
      <c r="I25" s="127" t="s">
        <v>159</v>
      </c>
      <c r="J25" s="127" t="s">
        <v>38</v>
      </c>
      <c r="K25" s="127" t="s">
        <v>161</v>
      </c>
      <c r="L25" s="53">
        <v>3</v>
      </c>
      <c r="N25" s="53">
        <v>1</v>
      </c>
      <c r="O25" s="53">
        <v>0.85</v>
      </c>
      <c r="P25" s="34">
        <v>0.75</v>
      </c>
      <c r="Q25" s="75">
        <f t="shared" si="2"/>
        <v>0.8</v>
      </c>
      <c r="R25" s="168">
        <v>15.8</v>
      </c>
      <c r="S25" s="168">
        <v>115</v>
      </c>
      <c r="T25" s="16">
        <f t="shared" si="0"/>
        <v>30</v>
      </c>
      <c r="U25" s="164">
        <v>138</v>
      </c>
      <c r="V25" s="38">
        <f t="shared" si="1"/>
        <v>4140</v>
      </c>
      <c r="W25" s="165">
        <v>4</v>
      </c>
      <c r="X25" s="166" t="s">
        <v>39</v>
      </c>
      <c r="Y25" s="172" t="s">
        <v>102</v>
      </c>
      <c r="Z25" s="172" t="s">
        <v>88</v>
      </c>
      <c r="AA25" s="172" t="s">
        <v>78</v>
      </c>
      <c r="AB25" s="53" t="s">
        <v>158</v>
      </c>
      <c r="AP25" s="27" t="s">
        <v>116</v>
      </c>
      <c r="AR25" s="27" t="s">
        <v>92</v>
      </c>
      <c r="AV25" s="23"/>
    </row>
    <row r="26" spans="1:48" x14ac:dyDescent="0.15">
      <c r="A26" s="158" t="s">
        <v>34</v>
      </c>
      <c r="B26" s="158" t="s">
        <v>157</v>
      </c>
      <c r="C26" s="158">
        <v>2019</v>
      </c>
      <c r="D26" s="160" t="s">
        <v>361</v>
      </c>
      <c r="E26" s="159" t="s">
        <v>211</v>
      </c>
      <c r="F26" s="158" t="s">
        <v>366</v>
      </c>
      <c r="G26" s="161" t="s">
        <v>42</v>
      </c>
      <c r="H26" s="127" t="s">
        <v>164</v>
      </c>
      <c r="I26" s="127" t="s">
        <v>159</v>
      </c>
      <c r="J26" s="127" t="s">
        <v>38</v>
      </c>
      <c r="K26" s="127" t="s">
        <v>161</v>
      </c>
      <c r="L26" s="53">
        <v>1</v>
      </c>
      <c r="N26" s="53">
        <v>4</v>
      </c>
      <c r="O26" s="53">
        <v>0.45</v>
      </c>
      <c r="P26" s="53">
        <v>0.4</v>
      </c>
      <c r="Q26" s="75">
        <f t="shared" si="2"/>
        <v>0.42500000000000004</v>
      </c>
      <c r="R26" s="168">
        <v>15</v>
      </c>
      <c r="S26" s="168">
        <v>103</v>
      </c>
      <c r="T26" s="16">
        <f t="shared" si="0"/>
        <v>33</v>
      </c>
      <c r="U26" s="164">
        <v>377</v>
      </c>
      <c r="V26" s="38">
        <f t="shared" si="1"/>
        <v>3110.25</v>
      </c>
      <c r="W26" s="165">
        <v>8</v>
      </c>
      <c r="X26" s="166" t="s">
        <v>46</v>
      </c>
      <c r="Y26" s="172" t="s">
        <v>78</v>
      </c>
      <c r="Z26" s="172" t="s">
        <v>88</v>
      </c>
      <c r="AA26" s="172" t="s">
        <v>102</v>
      </c>
      <c r="AB26" s="53" t="s">
        <v>158</v>
      </c>
      <c r="AP26" s="27" t="s">
        <v>117</v>
      </c>
      <c r="AR26" s="23" t="s">
        <v>153</v>
      </c>
      <c r="AV26" s="27"/>
    </row>
    <row r="27" spans="1:48" x14ac:dyDescent="0.15">
      <c r="A27" s="158" t="s">
        <v>34</v>
      </c>
      <c r="B27" s="158" t="s">
        <v>157</v>
      </c>
      <c r="C27" s="159">
        <v>2019</v>
      </c>
      <c r="D27" s="160" t="s">
        <v>361</v>
      </c>
      <c r="E27" s="159" t="s">
        <v>211</v>
      </c>
      <c r="F27" s="158" t="s">
        <v>366</v>
      </c>
      <c r="G27" s="161" t="s">
        <v>42</v>
      </c>
      <c r="H27" s="127" t="s">
        <v>164</v>
      </c>
      <c r="I27" s="127" t="s">
        <v>159</v>
      </c>
      <c r="J27" s="127" t="s">
        <v>38</v>
      </c>
      <c r="K27" s="127" t="s">
        <v>161</v>
      </c>
      <c r="L27" s="53">
        <v>2</v>
      </c>
      <c r="N27" s="53">
        <v>4</v>
      </c>
      <c r="O27" s="34">
        <v>0.4</v>
      </c>
      <c r="P27" s="53">
        <v>0.5</v>
      </c>
      <c r="Q27" s="75">
        <f t="shared" si="2"/>
        <v>0.45</v>
      </c>
      <c r="R27" s="168">
        <v>15.3</v>
      </c>
      <c r="S27" s="168">
        <v>100</v>
      </c>
      <c r="T27" s="16">
        <f t="shared" si="0"/>
        <v>33</v>
      </c>
      <c r="U27" s="164">
        <v>377</v>
      </c>
      <c r="V27" s="38">
        <f t="shared" si="1"/>
        <v>3110.25</v>
      </c>
      <c r="W27" s="165">
        <v>8</v>
      </c>
      <c r="X27" s="166" t="s">
        <v>46</v>
      </c>
      <c r="Y27" s="172" t="s">
        <v>78</v>
      </c>
      <c r="Z27" s="172" t="s">
        <v>88</v>
      </c>
      <c r="AA27" s="172" t="s">
        <v>102</v>
      </c>
      <c r="AB27" s="53" t="s">
        <v>158</v>
      </c>
      <c r="AP27" s="27" t="s">
        <v>118</v>
      </c>
      <c r="AR27" s="23"/>
    </row>
    <row r="28" spans="1:48" x14ac:dyDescent="0.15">
      <c r="A28" s="158" t="s">
        <v>34</v>
      </c>
      <c r="B28" s="158" t="s">
        <v>157</v>
      </c>
      <c r="C28" s="158">
        <v>2019</v>
      </c>
      <c r="D28" s="160" t="s">
        <v>361</v>
      </c>
      <c r="E28" s="159" t="s">
        <v>211</v>
      </c>
      <c r="F28" s="158" t="s">
        <v>366</v>
      </c>
      <c r="G28" s="161" t="s">
        <v>42</v>
      </c>
      <c r="H28" s="127" t="s">
        <v>164</v>
      </c>
      <c r="I28" s="127" t="s">
        <v>159</v>
      </c>
      <c r="J28" s="127" t="s">
        <v>38</v>
      </c>
      <c r="K28" s="127" t="s">
        <v>161</v>
      </c>
      <c r="L28" s="53">
        <v>3</v>
      </c>
      <c r="N28" s="53">
        <v>4</v>
      </c>
      <c r="O28" s="34">
        <v>0.4</v>
      </c>
      <c r="P28" s="53">
        <v>0.45</v>
      </c>
      <c r="Q28" s="75">
        <f t="shared" si="2"/>
        <v>0.42500000000000004</v>
      </c>
      <c r="R28" s="168">
        <v>14.9</v>
      </c>
      <c r="S28" s="168">
        <v>104</v>
      </c>
      <c r="T28" s="16">
        <f t="shared" si="0"/>
        <v>33</v>
      </c>
      <c r="U28" s="164">
        <v>377</v>
      </c>
      <c r="V28" s="38">
        <f t="shared" si="1"/>
        <v>3110.25</v>
      </c>
      <c r="W28" s="165">
        <v>8</v>
      </c>
      <c r="X28" s="166" t="s">
        <v>46</v>
      </c>
      <c r="Y28" s="172" t="s">
        <v>78</v>
      </c>
      <c r="Z28" s="172" t="s">
        <v>88</v>
      </c>
      <c r="AA28" s="172" t="s">
        <v>102</v>
      </c>
      <c r="AB28" s="53" t="s">
        <v>158</v>
      </c>
      <c r="AR28" s="23"/>
    </row>
    <row r="29" spans="1:48" x14ac:dyDescent="0.15">
      <c r="A29" s="158" t="s">
        <v>34</v>
      </c>
      <c r="B29" s="158" t="s">
        <v>157</v>
      </c>
      <c r="C29" s="158">
        <v>2019</v>
      </c>
      <c r="D29" s="160" t="s">
        <v>361</v>
      </c>
      <c r="E29" s="159" t="s">
        <v>211</v>
      </c>
      <c r="F29" s="158" t="s">
        <v>366</v>
      </c>
      <c r="G29" s="161" t="s">
        <v>42</v>
      </c>
      <c r="H29" s="127" t="s">
        <v>160</v>
      </c>
      <c r="I29" s="127" t="s">
        <v>159</v>
      </c>
      <c r="J29" s="127" t="s">
        <v>38</v>
      </c>
      <c r="K29" s="127" t="s">
        <v>161</v>
      </c>
      <c r="L29" s="53">
        <v>1</v>
      </c>
      <c r="N29" s="53">
        <v>1</v>
      </c>
      <c r="O29" s="53">
        <v>0.55000000000000004</v>
      </c>
      <c r="P29" s="53">
        <v>0.5</v>
      </c>
      <c r="Q29" s="75">
        <f t="shared" si="2"/>
        <v>0.52500000000000002</v>
      </c>
      <c r="R29" s="168">
        <v>16.3</v>
      </c>
      <c r="S29" s="168">
        <v>137</v>
      </c>
      <c r="T29" s="16">
        <f t="shared" si="0"/>
        <v>30</v>
      </c>
      <c r="U29" s="164">
        <v>97</v>
      </c>
      <c r="V29" s="38">
        <f t="shared" si="1"/>
        <v>2910</v>
      </c>
      <c r="W29" s="165">
        <v>8</v>
      </c>
      <c r="X29" s="166" t="s">
        <v>46</v>
      </c>
      <c r="Y29" s="172" t="s">
        <v>78</v>
      </c>
      <c r="Z29" s="172" t="s">
        <v>88</v>
      </c>
      <c r="AA29" s="172" t="s">
        <v>102</v>
      </c>
      <c r="AB29" s="53" t="s">
        <v>158</v>
      </c>
      <c r="AR29" s="28"/>
    </row>
    <row r="30" spans="1:48" x14ac:dyDescent="0.15">
      <c r="A30" s="158" t="s">
        <v>34</v>
      </c>
      <c r="B30" s="158" t="s">
        <v>157</v>
      </c>
      <c r="C30" s="159">
        <v>2019</v>
      </c>
      <c r="D30" s="160" t="s">
        <v>361</v>
      </c>
      <c r="E30" s="159" t="s">
        <v>211</v>
      </c>
      <c r="F30" s="158" t="s">
        <v>366</v>
      </c>
      <c r="G30" s="161" t="s">
        <v>42</v>
      </c>
      <c r="H30" s="127" t="s">
        <v>160</v>
      </c>
      <c r="I30" s="127" t="s">
        <v>159</v>
      </c>
      <c r="J30" s="127" t="s">
        <v>38</v>
      </c>
      <c r="K30" s="127" t="s">
        <v>161</v>
      </c>
      <c r="L30" s="53">
        <v>2</v>
      </c>
      <c r="N30" s="53">
        <v>1</v>
      </c>
      <c r="O30" s="53">
        <v>0.6</v>
      </c>
      <c r="P30" s="53">
        <v>0.55000000000000004</v>
      </c>
      <c r="Q30" s="75">
        <f t="shared" si="2"/>
        <v>0.57499999999999996</v>
      </c>
      <c r="R30" s="168">
        <v>16.100000000000001</v>
      </c>
      <c r="S30" s="168">
        <v>144</v>
      </c>
      <c r="T30" s="16">
        <f t="shared" si="0"/>
        <v>30</v>
      </c>
      <c r="U30" s="164">
        <v>97</v>
      </c>
      <c r="V30" s="38">
        <f t="shared" si="1"/>
        <v>2910</v>
      </c>
      <c r="W30" s="165">
        <v>8</v>
      </c>
      <c r="X30" s="166" t="s">
        <v>46</v>
      </c>
      <c r="Y30" s="172" t="s">
        <v>78</v>
      </c>
      <c r="Z30" s="172" t="s">
        <v>88</v>
      </c>
      <c r="AA30" s="172" t="s">
        <v>102</v>
      </c>
      <c r="AB30" s="53" t="s">
        <v>158</v>
      </c>
    </row>
    <row r="31" spans="1:48" x14ac:dyDescent="0.15">
      <c r="A31" s="158" t="s">
        <v>34</v>
      </c>
      <c r="B31" s="158" t="s">
        <v>157</v>
      </c>
      <c r="C31" s="158">
        <v>2019</v>
      </c>
      <c r="D31" s="160" t="s">
        <v>361</v>
      </c>
      <c r="E31" s="159" t="s">
        <v>211</v>
      </c>
      <c r="F31" s="158" t="s">
        <v>366</v>
      </c>
      <c r="G31" s="161" t="s">
        <v>42</v>
      </c>
      <c r="H31" s="127" t="s">
        <v>160</v>
      </c>
      <c r="I31" s="127" t="s">
        <v>159</v>
      </c>
      <c r="J31" s="127" t="s">
        <v>38</v>
      </c>
      <c r="K31" s="127" t="s">
        <v>161</v>
      </c>
      <c r="L31" s="53">
        <v>3</v>
      </c>
      <c r="N31" s="53">
        <v>1</v>
      </c>
      <c r="O31" s="53">
        <v>0.55000000000000004</v>
      </c>
      <c r="P31" s="53">
        <v>0.6</v>
      </c>
      <c r="Q31" s="75">
        <f t="shared" si="2"/>
        <v>0.57499999999999996</v>
      </c>
      <c r="R31" s="168">
        <v>16.5</v>
      </c>
      <c r="S31" s="168">
        <v>145</v>
      </c>
      <c r="T31" s="16">
        <f t="shared" si="0"/>
        <v>30</v>
      </c>
      <c r="U31" s="164">
        <v>97</v>
      </c>
      <c r="V31" s="38">
        <f t="shared" si="1"/>
        <v>2910</v>
      </c>
      <c r="W31" s="165">
        <v>8</v>
      </c>
      <c r="X31" s="166" t="s">
        <v>46</v>
      </c>
      <c r="Y31" s="172" t="s">
        <v>78</v>
      </c>
      <c r="Z31" s="172" t="s">
        <v>88</v>
      </c>
      <c r="AA31" s="172" t="s">
        <v>102</v>
      </c>
      <c r="AB31" s="53" t="s">
        <v>158</v>
      </c>
    </row>
    <row r="32" spans="1:48" ht="14.25" customHeight="1" x14ac:dyDescent="0.15">
      <c r="A32" s="158" t="s">
        <v>34</v>
      </c>
      <c r="B32" s="158" t="s">
        <v>157</v>
      </c>
      <c r="C32" s="159">
        <v>2019</v>
      </c>
      <c r="D32" s="160" t="s">
        <v>361</v>
      </c>
      <c r="E32" s="159" t="s">
        <v>271</v>
      </c>
      <c r="F32" s="158" t="s">
        <v>366</v>
      </c>
      <c r="G32" s="161" t="s">
        <v>42</v>
      </c>
      <c r="H32" s="127" t="s">
        <v>164</v>
      </c>
      <c r="I32" s="127" t="s">
        <v>159</v>
      </c>
      <c r="J32" s="127" t="s">
        <v>38</v>
      </c>
      <c r="K32" s="127" t="s">
        <v>161</v>
      </c>
      <c r="L32" s="53">
        <v>1</v>
      </c>
      <c r="N32" s="53">
        <v>1</v>
      </c>
      <c r="O32" s="53">
        <v>0.85</v>
      </c>
      <c r="P32" s="53">
        <v>0.8</v>
      </c>
      <c r="Q32" s="75">
        <f t="shared" si="2"/>
        <v>0.82499999999999996</v>
      </c>
      <c r="R32" s="168">
        <v>15.5</v>
      </c>
      <c r="S32" s="168">
        <v>113</v>
      </c>
      <c r="T32" s="16">
        <f t="shared" si="0"/>
        <v>30</v>
      </c>
      <c r="U32" s="164">
        <v>89</v>
      </c>
      <c r="V32" s="38">
        <f t="shared" si="1"/>
        <v>2670</v>
      </c>
      <c r="W32" s="165">
        <v>8</v>
      </c>
      <c r="X32" s="166" t="s">
        <v>46</v>
      </c>
      <c r="Y32" s="172" t="s">
        <v>102</v>
      </c>
      <c r="Z32" s="172" t="s">
        <v>90</v>
      </c>
      <c r="AA32" s="172" t="s">
        <v>88</v>
      </c>
      <c r="AB32" s="53" t="s">
        <v>158</v>
      </c>
    </row>
    <row r="33" spans="1:28" x14ac:dyDescent="0.15">
      <c r="A33" s="158" t="s">
        <v>34</v>
      </c>
      <c r="B33" s="158" t="s">
        <v>157</v>
      </c>
      <c r="C33" s="158">
        <v>2019</v>
      </c>
      <c r="D33" s="160" t="s">
        <v>361</v>
      </c>
      <c r="E33" s="159" t="s">
        <v>271</v>
      </c>
      <c r="F33" s="158" t="s">
        <v>366</v>
      </c>
      <c r="G33" s="161" t="s">
        <v>42</v>
      </c>
      <c r="H33" s="127" t="s">
        <v>164</v>
      </c>
      <c r="I33" s="127" t="s">
        <v>159</v>
      </c>
      <c r="J33" s="127" t="s">
        <v>38</v>
      </c>
      <c r="K33" s="127" t="s">
        <v>161</v>
      </c>
      <c r="L33" s="53">
        <v>2</v>
      </c>
      <c r="N33" s="53">
        <v>1</v>
      </c>
      <c r="O33" s="53">
        <v>0.9</v>
      </c>
      <c r="P33" s="53">
        <v>0.85</v>
      </c>
      <c r="Q33" s="75">
        <f t="shared" si="2"/>
        <v>0.875</v>
      </c>
      <c r="R33" s="168">
        <v>15.9</v>
      </c>
      <c r="S33" s="168">
        <v>110</v>
      </c>
      <c r="T33" s="16">
        <f t="shared" si="0"/>
        <v>33</v>
      </c>
      <c r="U33" s="164">
        <v>89</v>
      </c>
      <c r="V33" s="38">
        <f t="shared" si="1"/>
        <v>2937</v>
      </c>
      <c r="W33" s="165">
        <v>8</v>
      </c>
      <c r="X33" s="166" t="s">
        <v>46</v>
      </c>
      <c r="Y33" s="172" t="s">
        <v>102</v>
      </c>
      <c r="Z33" s="172" t="s">
        <v>90</v>
      </c>
      <c r="AA33" s="172" t="s">
        <v>88</v>
      </c>
      <c r="AB33" s="53" t="s">
        <v>158</v>
      </c>
    </row>
    <row r="34" spans="1:28" x14ac:dyDescent="0.15">
      <c r="A34" s="158" t="s">
        <v>34</v>
      </c>
      <c r="B34" s="158" t="s">
        <v>157</v>
      </c>
      <c r="C34" s="159">
        <v>2019</v>
      </c>
      <c r="D34" s="160" t="s">
        <v>361</v>
      </c>
      <c r="E34" s="159" t="s">
        <v>271</v>
      </c>
      <c r="F34" s="158" t="s">
        <v>366</v>
      </c>
      <c r="G34" s="161" t="s">
        <v>42</v>
      </c>
      <c r="H34" s="127" t="s">
        <v>164</v>
      </c>
      <c r="I34" s="127" t="s">
        <v>159</v>
      </c>
      <c r="J34" s="127" t="s">
        <v>38</v>
      </c>
      <c r="K34" s="127" t="s">
        <v>161</v>
      </c>
      <c r="L34" s="53">
        <v>3</v>
      </c>
      <c r="N34" s="53">
        <v>1</v>
      </c>
      <c r="O34" s="53">
        <v>0.8</v>
      </c>
      <c r="P34" s="34">
        <v>0.85</v>
      </c>
      <c r="Q34" s="75">
        <f t="shared" si="2"/>
        <v>0.82499999999999996</v>
      </c>
      <c r="R34" s="168">
        <v>15.5</v>
      </c>
      <c r="S34" s="168">
        <v>107</v>
      </c>
      <c r="T34" s="16">
        <f t="shared" si="0"/>
        <v>33</v>
      </c>
      <c r="U34" s="164">
        <v>89</v>
      </c>
      <c r="V34" s="38">
        <f t="shared" si="1"/>
        <v>2937</v>
      </c>
      <c r="W34" s="165">
        <v>8</v>
      </c>
      <c r="X34" s="166" t="s">
        <v>46</v>
      </c>
      <c r="Y34" s="172" t="s">
        <v>102</v>
      </c>
      <c r="Z34" s="172" t="s">
        <v>90</v>
      </c>
      <c r="AA34" s="172" t="s">
        <v>88</v>
      </c>
      <c r="AB34" s="53" t="s">
        <v>158</v>
      </c>
    </row>
    <row r="35" spans="1:28" x14ac:dyDescent="0.15">
      <c r="A35" s="158" t="s">
        <v>34</v>
      </c>
      <c r="B35" s="158" t="s">
        <v>157</v>
      </c>
      <c r="C35" s="158">
        <v>2019</v>
      </c>
      <c r="D35" s="160" t="s">
        <v>361</v>
      </c>
      <c r="E35" s="159" t="s">
        <v>271</v>
      </c>
      <c r="F35" s="158" t="s">
        <v>366</v>
      </c>
      <c r="G35" s="161" t="s">
        <v>42</v>
      </c>
      <c r="H35" s="127" t="s">
        <v>160</v>
      </c>
      <c r="I35" s="127" t="s">
        <v>159</v>
      </c>
      <c r="J35" s="127" t="s">
        <v>38</v>
      </c>
      <c r="K35" s="127" t="s">
        <v>161</v>
      </c>
      <c r="L35" s="53">
        <v>1</v>
      </c>
      <c r="N35" s="53">
        <v>1</v>
      </c>
      <c r="O35" s="53">
        <v>0.45</v>
      </c>
      <c r="P35" s="53">
        <v>0.5</v>
      </c>
      <c r="Q35" s="75">
        <f t="shared" si="2"/>
        <v>0.47499999999999998</v>
      </c>
      <c r="R35" s="168">
        <v>15.3</v>
      </c>
      <c r="S35" s="168">
        <v>130</v>
      </c>
      <c r="T35" s="16">
        <f t="shared" si="0"/>
        <v>30</v>
      </c>
      <c r="U35" s="164">
        <v>138</v>
      </c>
      <c r="V35" s="38">
        <f t="shared" si="1"/>
        <v>4140</v>
      </c>
      <c r="W35" s="165">
        <v>8</v>
      </c>
      <c r="X35" s="166" t="s">
        <v>46</v>
      </c>
      <c r="Y35" s="172" t="s">
        <v>102</v>
      </c>
      <c r="Z35" s="172" t="s">
        <v>90</v>
      </c>
      <c r="AA35" s="172" t="s">
        <v>88</v>
      </c>
      <c r="AB35" s="53" t="s">
        <v>158</v>
      </c>
    </row>
    <row r="36" spans="1:28" x14ac:dyDescent="0.15">
      <c r="A36" s="158" t="s">
        <v>34</v>
      </c>
      <c r="B36" s="158" t="s">
        <v>157</v>
      </c>
      <c r="C36" s="159">
        <v>2019</v>
      </c>
      <c r="D36" s="160" t="s">
        <v>361</v>
      </c>
      <c r="E36" s="159" t="s">
        <v>271</v>
      </c>
      <c r="F36" s="158" t="s">
        <v>366</v>
      </c>
      <c r="G36" s="161" t="s">
        <v>42</v>
      </c>
      <c r="H36" s="127" t="s">
        <v>160</v>
      </c>
      <c r="I36" s="127" t="s">
        <v>159</v>
      </c>
      <c r="J36" s="127" t="s">
        <v>38</v>
      </c>
      <c r="K36" s="127" t="s">
        <v>161</v>
      </c>
      <c r="L36" s="53">
        <v>2</v>
      </c>
      <c r="N36" s="53">
        <v>1</v>
      </c>
      <c r="O36" s="53">
        <v>0.5</v>
      </c>
      <c r="P36" s="53">
        <v>0.45</v>
      </c>
      <c r="Q36" s="75">
        <f t="shared" si="2"/>
        <v>0.47499999999999998</v>
      </c>
      <c r="R36" s="168">
        <v>15.6</v>
      </c>
      <c r="S36" s="168">
        <v>132</v>
      </c>
      <c r="T36" s="16">
        <f t="shared" si="0"/>
        <v>30</v>
      </c>
      <c r="U36" s="164">
        <v>138</v>
      </c>
      <c r="V36" s="38">
        <f t="shared" si="1"/>
        <v>4140</v>
      </c>
      <c r="W36" s="165">
        <v>8</v>
      </c>
      <c r="X36" s="166" t="s">
        <v>46</v>
      </c>
      <c r="Y36" s="172" t="s">
        <v>102</v>
      </c>
      <c r="Z36" s="172" t="s">
        <v>90</v>
      </c>
      <c r="AA36" s="172" t="s">
        <v>88</v>
      </c>
      <c r="AB36" s="53" t="s">
        <v>158</v>
      </c>
    </row>
    <row r="37" spans="1:28" x14ac:dyDescent="0.15">
      <c r="A37" s="158" t="s">
        <v>34</v>
      </c>
      <c r="B37" s="158" t="s">
        <v>157</v>
      </c>
      <c r="C37" s="158">
        <v>2019</v>
      </c>
      <c r="D37" s="160" t="s">
        <v>361</v>
      </c>
      <c r="E37" s="159" t="s">
        <v>271</v>
      </c>
      <c r="F37" s="158" t="s">
        <v>366</v>
      </c>
      <c r="G37" s="161" t="s">
        <v>42</v>
      </c>
      <c r="H37" s="127" t="s">
        <v>160</v>
      </c>
      <c r="I37" s="127" t="s">
        <v>159</v>
      </c>
      <c r="J37" s="127" t="s">
        <v>38</v>
      </c>
      <c r="K37" s="127" t="s">
        <v>161</v>
      </c>
      <c r="L37" s="53">
        <v>3</v>
      </c>
      <c r="N37" s="53">
        <v>1</v>
      </c>
      <c r="O37" s="53">
        <v>0.5</v>
      </c>
      <c r="P37" s="53">
        <v>0.5</v>
      </c>
      <c r="Q37" s="75">
        <f t="shared" si="2"/>
        <v>0.5</v>
      </c>
      <c r="R37" s="168">
        <v>15.2</v>
      </c>
      <c r="S37" s="168">
        <v>122</v>
      </c>
      <c r="T37" s="16">
        <f t="shared" si="0"/>
        <v>30</v>
      </c>
      <c r="U37" s="164">
        <v>138</v>
      </c>
      <c r="V37" s="38">
        <f t="shared" si="1"/>
        <v>4140</v>
      </c>
      <c r="W37" s="165">
        <v>8</v>
      </c>
      <c r="X37" s="166" t="s">
        <v>46</v>
      </c>
      <c r="Y37" s="172" t="s">
        <v>102</v>
      </c>
      <c r="Z37" s="172" t="s">
        <v>90</v>
      </c>
      <c r="AA37" s="172" t="s">
        <v>88</v>
      </c>
      <c r="AB37" s="53" t="s">
        <v>158</v>
      </c>
    </row>
    <row r="38" spans="1:28" x14ac:dyDescent="0.15">
      <c r="A38" s="158" t="s">
        <v>34</v>
      </c>
      <c r="B38" s="158" t="s">
        <v>157</v>
      </c>
      <c r="C38" s="159">
        <v>2019</v>
      </c>
      <c r="D38" s="160" t="s">
        <v>361</v>
      </c>
      <c r="E38" s="159" t="s">
        <v>211</v>
      </c>
      <c r="F38" s="158" t="s">
        <v>368</v>
      </c>
      <c r="G38" s="161" t="s">
        <v>42</v>
      </c>
      <c r="H38" s="127" t="s">
        <v>164</v>
      </c>
      <c r="I38" s="127" t="s">
        <v>159</v>
      </c>
      <c r="J38" s="127" t="s">
        <v>38</v>
      </c>
      <c r="K38" s="127" t="s">
        <v>161</v>
      </c>
      <c r="L38" s="53">
        <v>1</v>
      </c>
      <c r="N38" s="53">
        <v>4</v>
      </c>
      <c r="O38" s="53">
        <v>0.4</v>
      </c>
      <c r="P38" s="53">
        <v>0.45</v>
      </c>
      <c r="Q38" s="75">
        <f t="shared" si="2"/>
        <v>0.42500000000000004</v>
      </c>
      <c r="R38" s="168">
        <v>15.2</v>
      </c>
      <c r="S38" s="168">
        <v>102</v>
      </c>
      <c r="T38" s="16">
        <f t="shared" si="0"/>
        <v>33</v>
      </c>
      <c r="U38" s="164">
        <v>377</v>
      </c>
      <c r="V38" s="38">
        <f t="shared" si="1"/>
        <v>3110.25</v>
      </c>
      <c r="W38" s="165">
        <v>8</v>
      </c>
      <c r="X38" s="166" t="s">
        <v>39</v>
      </c>
      <c r="Y38" s="172" t="s">
        <v>102</v>
      </c>
      <c r="Z38" s="172" t="s">
        <v>88</v>
      </c>
      <c r="AA38" s="172" t="s">
        <v>78</v>
      </c>
      <c r="AB38" s="53" t="s">
        <v>158</v>
      </c>
    </row>
    <row r="39" spans="1:28" x14ac:dyDescent="0.15">
      <c r="A39" s="158" t="s">
        <v>34</v>
      </c>
      <c r="B39" s="158" t="s">
        <v>157</v>
      </c>
      <c r="C39" s="158">
        <v>2019</v>
      </c>
      <c r="D39" s="160" t="s">
        <v>361</v>
      </c>
      <c r="E39" s="159" t="s">
        <v>211</v>
      </c>
      <c r="F39" s="158" t="s">
        <v>368</v>
      </c>
      <c r="G39" s="161" t="s">
        <v>42</v>
      </c>
      <c r="H39" s="127" t="s">
        <v>164</v>
      </c>
      <c r="I39" s="127" t="s">
        <v>159</v>
      </c>
      <c r="J39" s="127" t="s">
        <v>38</v>
      </c>
      <c r="K39" s="127" t="s">
        <v>161</v>
      </c>
      <c r="L39" s="53">
        <v>2</v>
      </c>
      <c r="N39" s="53">
        <v>4</v>
      </c>
      <c r="O39" s="53">
        <v>0.4</v>
      </c>
      <c r="P39" s="53">
        <v>0.4</v>
      </c>
      <c r="Q39" s="75">
        <f t="shared" si="2"/>
        <v>0.4</v>
      </c>
      <c r="R39" s="168">
        <v>14.9</v>
      </c>
      <c r="S39" s="168">
        <v>103</v>
      </c>
      <c r="T39" s="16">
        <f t="shared" si="0"/>
        <v>33</v>
      </c>
      <c r="U39" s="164">
        <v>377</v>
      </c>
      <c r="V39" s="38">
        <f t="shared" si="1"/>
        <v>3110.25</v>
      </c>
      <c r="W39" s="165">
        <v>8</v>
      </c>
      <c r="X39" s="166" t="s">
        <v>39</v>
      </c>
      <c r="Y39" s="172" t="s">
        <v>102</v>
      </c>
      <c r="Z39" s="172" t="s">
        <v>88</v>
      </c>
      <c r="AA39" s="172" t="s">
        <v>78</v>
      </c>
      <c r="AB39" s="53" t="s">
        <v>158</v>
      </c>
    </row>
    <row r="40" spans="1:28" ht="12.75" customHeight="1" x14ac:dyDescent="0.15">
      <c r="A40" s="158" t="s">
        <v>34</v>
      </c>
      <c r="B40" s="158" t="s">
        <v>157</v>
      </c>
      <c r="C40" s="159">
        <v>2019</v>
      </c>
      <c r="D40" s="160" t="s">
        <v>361</v>
      </c>
      <c r="E40" s="159" t="s">
        <v>211</v>
      </c>
      <c r="F40" s="158" t="s">
        <v>368</v>
      </c>
      <c r="G40" s="161" t="s">
        <v>42</v>
      </c>
      <c r="H40" s="127" t="s">
        <v>164</v>
      </c>
      <c r="I40" s="127" t="s">
        <v>159</v>
      </c>
      <c r="J40" s="127" t="s">
        <v>38</v>
      </c>
      <c r="K40" s="127" t="s">
        <v>161</v>
      </c>
      <c r="L40" s="53">
        <v>3</v>
      </c>
      <c r="N40" s="53">
        <v>4</v>
      </c>
      <c r="O40" s="53">
        <v>0.5</v>
      </c>
      <c r="P40" s="53">
        <v>0.45</v>
      </c>
      <c r="Q40" s="75">
        <f t="shared" si="2"/>
        <v>0.47499999999999998</v>
      </c>
      <c r="R40" s="168">
        <v>15.5</v>
      </c>
      <c r="S40" s="168">
        <v>104</v>
      </c>
      <c r="T40" s="16">
        <f t="shared" si="0"/>
        <v>33</v>
      </c>
      <c r="U40" s="164">
        <v>377</v>
      </c>
      <c r="V40" s="38">
        <f t="shared" si="1"/>
        <v>3110.25</v>
      </c>
      <c r="W40" s="165">
        <v>8</v>
      </c>
      <c r="X40" s="166" t="s">
        <v>39</v>
      </c>
      <c r="Y40" s="172" t="s">
        <v>102</v>
      </c>
      <c r="Z40" s="172" t="s">
        <v>88</v>
      </c>
      <c r="AA40" s="172" t="s">
        <v>78</v>
      </c>
      <c r="AB40" s="53" t="s">
        <v>158</v>
      </c>
    </row>
    <row r="41" spans="1:28" ht="12.75" customHeight="1" x14ac:dyDescent="0.15">
      <c r="A41" s="127" t="s">
        <v>34</v>
      </c>
      <c r="B41" s="158" t="s">
        <v>157</v>
      </c>
      <c r="C41" s="159">
        <v>2019</v>
      </c>
      <c r="D41" s="160" t="s">
        <v>361</v>
      </c>
      <c r="E41" s="159" t="s">
        <v>211</v>
      </c>
      <c r="F41" s="158" t="s">
        <v>368</v>
      </c>
      <c r="G41" s="161" t="s">
        <v>42</v>
      </c>
      <c r="H41" s="127" t="s">
        <v>160</v>
      </c>
      <c r="I41" s="127" t="s">
        <v>159</v>
      </c>
      <c r="J41" s="127" t="s">
        <v>38</v>
      </c>
      <c r="K41" s="127" t="s">
        <v>161</v>
      </c>
      <c r="L41" s="53">
        <v>1</v>
      </c>
      <c r="N41" s="53">
        <v>1</v>
      </c>
      <c r="O41" s="53">
        <v>0.6</v>
      </c>
      <c r="P41" s="53">
        <v>0.55000000000000004</v>
      </c>
      <c r="Q41" s="75">
        <f t="shared" si="2"/>
        <v>0.57499999999999996</v>
      </c>
      <c r="R41" s="168">
        <v>15.9</v>
      </c>
      <c r="S41" s="168">
        <v>142</v>
      </c>
      <c r="T41" s="16">
        <f t="shared" si="0"/>
        <v>30</v>
      </c>
      <c r="U41" s="164">
        <v>97</v>
      </c>
      <c r="V41" s="38">
        <f t="shared" si="1"/>
        <v>2910</v>
      </c>
      <c r="W41" s="53">
        <v>8</v>
      </c>
      <c r="X41" s="166" t="s">
        <v>39</v>
      </c>
      <c r="Y41" s="173" t="s">
        <v>102</v>
      </c>
      <c r="Z41" s="173" t="s">
        <v>88</v>
      </c>
      <c r="AA41" s="173" t="s">
        <v>78</v>
      </c>
      <c r="AB41" s="53" t="s">
        <v>158</v>
      </c>
    </row>
    <row r="42" spans="1:28" ht="12.75" customHeight="1" x14ac:dyDescent="0.15">
      <c r="A42" s="127" t="s">
        <v>34</v>
      </c>
      <c r="B42" s="158" t="s">
        <v>157</v>
      </c>
      <c r="C42" s="159">
        <v>2019</v>
      </c>
      <c r="D42" s="160" t="s">
        <v>361</v>
      </c>
      <c r="E42" s="159" t="s">
        <v>211</v>
      </c>
      <c r="F42" s="158" t="s">
        <v>368</v>
      </c>
      <c r="G42" s="161" t="s">
        <v>42</v>
      </c>
      <c r="H42" s="127" t="s">
        <v>160</v>
      </c>
      <c r="I42" s="127" t="s">
        <v>159</v>
      </c>
      <c r="J42" s="127" t="s">
        <v>38</v>
      </c>
      <c r="K42" s="127" t="s">
        <v>161</v>
      </c>
      <c r="L42" s="53">
        <v>2</v>
      </c>
      <c r="N42" s="53">
        <v>1</v>
      </c>
      <c r="O42" s="53">
        <v>0.6</v>
      </c>
      <c r="P42" s="53">
        <v>0.6</v>
      </c>
      <c r="Q42" s="75">
        <f t="shared" si="2"/>
        <v>0.6</v>
      </c>
      <c r="R42" s="168">
        <v>16.2</v>
      </c>
      <c r="S42" s="168">
        <v>141</v>
      </c>
      <c r="T42" s="16">
        <f t="shared" si="0"/>
        <v>30</v>
      </c>
      <c r="U42" s="164">
        <v>97</v>
      </c>
      <c r="V42" s="38">
        <f t="shared" si="1"/>
        <v>2910</v>
      </c>
      <c r="W42" s="53">
        <v>8</v>
      </c>
      <c r="X42" s="166" t="s">
        <v>39</v>
      </c>
      <c r="Y42" s="173" t="s">
        <v>102</v>
      </c>
      <c r="Z42" s="173" t="s">
        <v>88</v>
      </c>
      <c r="AA42" s="173" t="s">
        <v>78</v>
      </c>
      <c r="AB42" s="53" t="s">
        <v>158</v>
      </c>
    </row>
    <row r="43" spans="1:28" ht="12.75" customHeight="1" x14ac:dyDescent="0.15">
      <c r="A43" s="127" t="s">
        <v>34</v>
      </c>
      <c r="B43" s="158" t="s">
        <v>157</v>
      </c>
      <c r="C43" s="159">
        <v>2019</v>
      </c>
      <c r="D43" s="160" t="s">
        <v>361</v>
      </c>
      <c r="E43" s="159" t="s">
        <v>211</v>
      </c>
      <c r="F43" s="158" t="s">
        <v>368</v>
      </c>
      <c r="G43" s="161" t="s">
        <v>42</v>
      </c>
      <c r="H43" s="127" t="s">
        <v>160</v>
      </c>
      <c r="I43" s="127" t="s">
        <v>159</v>
      </c>
      <c r="J43" s="127" t="s">
        <v>38</v>
      </c>
      <c r="K43" s="127" t="s">
        <v>161</v>
      </c>
      <c r="L43" s="53">
        <v>3</v>
      </c>
      <c r="N43" s="53">
        <v>1</v>
      </c>
      <c r="O43" s="53">
        <v>0.5</v>
      </c>
      <c r="P43" s="53">
        <v>0.55000000000000004</v>
      </c>
      <c r="Q43" s="75">
        <f t="shared" si="2"/>
        <v>0.52500000000000002</v>
      </c>
      <c r="R43" s="168">
        <v>16</v>
      </c>
      <c r="S43" s="168">
        <v>138</v>
      </c>
      <c r="T43" s="16">
        <f t="shared" si="0"/>
        <v>30</v>
      </c>
      <c r="U43" s="164">
        <v>97</v>
      </c>
      <c r="V43" s="38">
        <f t="shared" si="1"/>
        <v>2910</v>
      </c>
      <c r="W43" s="53">
        <v>8</v>
      </c>
      <c r="X43" s="166" t="s">
        <v>39</v>
      </c>
      <c r="Y43" s="173" t="s">
        <v>102</v>
      </c>
      <c r="Z43" s="173" t="s">
        <v>88</v>
      </c>
      <c r="AA43" s="173" t="s">
        <v>78</v>
      </c>
      <c r="AB43" s="53" t="s">
        <v>158</v>
      </c>
    </row>
    <row r="44" spans="1:28" x14ac:dyDescent="0.15">
      <c r="A44" s="53" t="s">
        <v>34</v>
      </c>
      <c r="B44" s="158" t="s">
        <v>157</v>
      </c>
      <c r="C44" s="159">
        <v>2019</v>
      </c>
      <c r="D44" s="160" t="s">
        <v>361</v>
      </c>
      <c r="E44" s="159" t="s">
        <v>139</v>
      </c>
      <c r="F44" s="158" t="s">
        <v>368</v>
      </c>
      <c r="G44" s="161" t="s">
        <v>36</v>
      </c>
      <c r="H44" s="127" t="s">
        <v>164</v>
      </c>
      <c r="I44" s="127" t="s">
        <v>159</v>
      </c>
      <c r="J44" s="53" t="s">
        <v>38</v>
      </c>
      <c r="K44" s="127" t="s">
        <v>161</v>
      </c>
      <c r="L44" s="53">
        <v>1</v>
      </c>
      <c r="N44" s="53">
        <v>1</v>
      </c>
      <c r="O44" s="53">
        <v>0.55000000000000004</v>
      </c>
      <c r="P44" s="53">
        <v>0.5</v>
      </c>
      <c r="Q44" s="75">
        <f t="shared" si="2"/>
        <v>0.52500000000000002</v>
      </c>
      <c r="R44" s="168">
        <v>16.100000000000001</v>
      </c>
      <c r="S44" s="168">
        <v>115</v>
      </c>
      <c r="T44" s="16">
        <f t="shared" si="0"/>
        <v>30</v>
      </c>
      <c r="U44" s="164">
        <v>108</v>
      </c>
      <c r="V44" s="16">
        <f t="shared" si="1"/>
        <v>3240</v>
      </c>
      <c r="W44" s="53">
        <v>14</v>
      </c>
      <c r="X44" s="166" t="s">
        <v>46</v>
      </c>
      <c r="Y44" s="173" t="s">
        <v>88</v>
      </c>
      <c r="Z44" s="173" t="s">
        <v>78</v>
      </c>
      <c r="AA44" s="173" t="s">
        <v>102</v>
      </c>
      <c r="AB44" s="53" t="s">
        <v>158</v>
      </c>
    </row>
    <row r="45" spans="1:28" x14ac:dyDescent="0.15">
      <c r="A45" s="53" t="s">
        <v>34</v>
      </c>
      <c r="B45" s="158" t="s">
        <v>157</v>
      </c>
      <c r="C45" s="158">
        <v>2019</v>
      </c>
      <c r="D45" s="160" t="s">
        <v>361</v>
      </c>
      <c r="E45" s="159" t="s">
        <v>139</v>
      </c>
      <c r="F45" s="158" t="s">
        <v>368</v>
      </c>
      <c r="G45" s="161" t="s">
        <v>36</v>
      </c>
      <c r="H45" s="127" t="s">
        <v>164</v>
      </c>
      <c r="I45" s="127" t="s">
        <v>159</v>
      </c>
      <c r="J45" s="53" t="s">
        <v>38</v>
      </c>
      <c r="K45" s="127" t="s">
        <v>161</v>
      </c>
      <c r="L45" s="53">
        <v>2</v>
      </c>
      <c r="N45" s="53">
        <v>1</v>
      </c>
      <c r="O45" s="53">
        <v>0.5</v>
      </c>
      <c r="P45" s="53">
        <v>0.5</v>
      </c>
      <c r="Q45" s="75">
        <f t="shared" si="2"/>
        <v>0.5</v>
      </c>
      <c r="R45" s="168">
        <v>16.399999999999999</v>
      </c>
      <c r="S45" s="168">
        <v>103</v>
      </c>
      <c r="T45" s="16">
        <f t="shared" si="0"/>
        <v>33</v>
      </c>
      <c r="U45" s="164">
        <v>108</v>
      </c>
      <c r="V45" s="16">
        <f t="shared" si="1"/>
        <v>3564</v>
      </c>
      <c r="W45" s="53">
        <v>14</v>
      </c>
      <c r="X45" s="166" t="s">
        <v>46</v>
      </c>
      <c r="Y45" s="173" t="s">
        <v>88</v>
      </c>
      <c r="Z45" s="173" t="s">
        <v>78</v>
      </c>
      <c r="AA45" s="173" t="s">
        <v>102</v>
      </c>
      <c r="AB45" s="53" t="s">
        <v>158</v>
      </c>
    </row>
    <row r="46" spans="1:28" x14ac:dyDescent="0.15">
      <c r="A46" s="53" t="s">
        <v>34</v>
      </c>
      <c r="B46" s="158" t="s">
        <v>157</v>
      </c>
      <c r="C46" s="159">
        <v>2019</v>
      </c>
      <c r="D46" s="160" t="s">
        <v>361</v>
      </c>
      <c r="E46" s="159" t="s">
        <v>139</v>
      </c>
      <c r="F46" s="158" t="s">
        <v>368</v>
      </c>
      <c r="G46" s="161" t="s">
        <v>36</v>
      </c>
      <c r="H46" s="127" t="s">
        <v>164</v>
      </c>
      <c r="I46" s="127" t="s">
        <v>159</v>
      </c>
      <c r="J46" s="53" t="s">
        <v>38</v>
      </c>
      <c r="K46" s="127" t="s">
        <v>161</v>
      </c>
      <c r="L46" s="53">
        <v>3</v>
      </c>
      <c r="N46" s="53">
        <v>1</v>
      </c>
      <c r="O46" s="53">
        <v>0.6</v>
      </c>
      <c r="P46" s="53">
        <v>0.55000000000000004</v>
      </c>
      <c r="Q46" s="75">
        <f t="shared" si="2"/>
        <v>0.57499999999999996</v>
      </c>
      <c r="R46" s="168">
        <v>15.8</v>
      </c>
      <c r="S46" s="168">
        <v>114</v>
      </c>
      <c r="T46" s="16">
        <f t="shared" si="0"/>
        <v>30</v>
      </c>
      <c r="U46" s="164">
        <v>108</v>
      </c>
      <c r="V46" s="16">
        <f t="shared" si="1"/>
        <v>3240</v>
      </c>
      <c r="W46" s="53">
        <v>14</v>
      </c>
      <c r="X46" s="166" t="s">
        <v>46</v>
      </c>
      <c r="Y46" s="173" t="s">
        <v>88</v>
      </c>
      <c r="Z46" s="173" t="s">
        <v>78</v>
      </c>
      <c r="AA46" s="173" t="s">
        <v>102</v>
      </c>
      <c r="AB46" s="53" t="s">
        <v>158</v>
      </c>
    </row>
    <row r="47" spans="1:28" x14ac:dyDescent="0.15">
      <c r="A47" s="53" t="s">
        <v>34</v>
      </c>
      <c r="B47" s="34" t="s">
        <v>157</v>
      </c>
      <c r="C47" s="53">
        <v>2019</v>
      </c>
      <c r="D47" s="174" t="s">
        <v>361</v>
      </c>
      <c r="E47" s="53" t="s">
        <v>139</v>
      </c>
      <c r="F47" s="158" t="s">
        <v>368</v>
      </c>
      <c r="G47" s="161" t="s">
        <v>36</v>
      </c>
      <c r="H47" s="127" t="s">
        <v>160</v>
      </c>
      <c r="I47" s="127" t="s">
        <v>159</v>
      </c>
      <c r="J47" s="53" t="s">
        <v>38</v>
      </c>
      <c r="K47" s="127" t="s">
        <v>161</v>
      </c>
      <c r="L47" s="53">
        <v>1</v>
      </c>
      <c r="N47" s="53">
        <v>1</v>
      </c>
      <c r="O47" s="53">
        <v>1.05</v>
      </c>
      <c r="P47" s="53">
        <v>0.95</v>
      </c>
      <c r="Q47" s="75">
        <f t="shared" si="2"/>
        <v>1</v>
      </c>
      <c r="R47" s="168">
        <v>16.7</v>
      </c>
      <c r="S47" s="168">
        <v>99</v>
      </c>
      <c r="T47" s="16">
        <f t="shared" si="0"/>
        <v>33</v>
      </c>
      <c r="U47" s="53">
        <v>108</v>
      </c>
      <c r="V47" s="16">
        <f t="shared" si="1"/>
        <v>3564</v>
      </c>
      <c r="W47" s="53">
        <v>14</v>
      </c>
      <c r="X47" s="166" t="s">
        <v>46</v>
      </c>
      <c r="Y47" s="53" t="s">
        <v>88</v>
      </c>
      <c r="Z47" s="53" t="s">
        <v>78</v>
      </c>
      <c r="AA47" s="53" t="s">
        <v>102</v>
      </c>
      <c r="AB47" s="53" t="s">
        <v>158</v>
      </c>
    </row>
    <row r="48" spans="1:28" x14ac:dyDescent="0.15">
      <c r="A48" s="53" t="s">
        <v>34</v>
      </c>
      <c r="B48" s="34" t="s">
        <v>157</v>
      </c>
      <c r="C48" s="53">
        <v>2019</v>
      </c>
      <c r="D48" s="174" t="s">
        <v>361</v>
      </c>
      <c r="E48" s="53" t="s">
        <v>139</v>
      </c>
      <c r="F48" s="158" t="s">
        <v>368</v>
      </c>
      <c r="G48" s="161" t="s">
        <v>36</v>
      </c>
      <c r="H48" s="127" t="s">
        <v>160</v>
      </c>
      <c r="I48" s="127" t="s">
        <v>159</v>
      </c>
      <c r="J48" s="53" t="s">
        <v>38</v>
      </c>
      <c r="K48" s="127" t="s">
        <v>161</v>
      </c>
      <c r="L48" s="53">
        <v>2</v>
      </c>
      <c r="N48" s="53">
        <v>1</v>
      </c>
      <c r="O48" s="53">
        <v>0.95</v>
      </c>
      <c r="P48" s="53">
        <v>0.9</v>
      </c>
      <c r="Q48" s="75">
        <f t="shared" si="2"/>
        <v>0.92500000000000004</v>
      </c>
      <c r="R48" s="168">
        <v>15.8</v>
      </c>
      <c r="S48" s="168">
        <v>96</v>
      </c>
      <c r="T48" s="16">
        <f t="shared" si="0"/>
        <v>36</v>
      </c>
      <c r="U48" s="53">
        <v>108</v>
      </c>
      <c r="V48" s="16">
        <f t="shared" si="1"/>
        <v>3888</v>
      </c>
      <c r="W48" s="53">
        <v>14</v>
      </c>
      <c r="X48" s="166" t="s">
        <v>46</v>
      </c>
      <c r="Y48" s="53" t="s">
        <v>88</v>
      </c>
      <c r="Z48" s="53" t="s">
        <v>78</v>
      </c>
      <c r="AA48" s="53" t="s">
        <v>102</v>
      </c>
      <c r="AB48" s="53" t="s">
        <v>158</v>
      </c>
    </row>
    <row r="49" spans="1:28" x14ac:dyDescent="0.15">
      <c r="A49" s="53" t="s">
        <v>34</v>
      </c>
      <c r="B49" s="34" t="s">
        <v>157</v>
      </c>
      <c r="C49" s="53">
        <v>2019</v>
      </c>
      <c r="D49" s="174" t="s">
        <v>361</v>
      </c>
      <c r="E49" s="53" t="s">
        <v>139</v>
      </c>
      <c r="F49" s="158" t="s">
        <v>368</v>
      </c>
      <c r="G49" s="161" t="s">
        <v>36</v>
      </c>
      <c r="H49" s="127" t="s">
        <v>160</v>
      </c>
      <c r="I49" s="127" t="s">
        <v>159</v>
      </c>
      <c r="J49" s="53" t="s">
        <v>38</v>
      </c>
      <c r="K49" s="127" t="s">
        <v>161</v>
      </c>
      <c r="L49" s="53">
        <v>3</v>
      </c>
      <c r="N49" s="53">
        <v>1</v>
      </c>
      <c r="O49" s="53">
        <v>1</v>
      </c>
      <c r="P49" s="53">
        <v>0.95</v>
      </c>
      <c r="Q49" s="75">
        <f t="shared" si="2"/>
        <v>0.97499999999999998</v>
      </c>
      <c r="R49" s="168">
        <v>16.100000000000001</v>
      </c>
      <c r="S49" s="168">
        <v>97</v>
      </c>
      <c r="T49" s="16">
        <f t="shared" si="0"/>
        <v>36</v>
      </c>
      <c r="U49" s="53">
        <v>108</v>
      </c>
      <c r="V49" s="16">
        <f t="shared" si="1"/>
        <v>3888</v>
      </c>
      <c r="W49" s="53">
        <v>14</v>
      </c>
      <c r="X49" s="166" t="s">
        <v>46</v>
      </c>
      <c r="Y49" s="53" t="s">
        <v>88</v>
      </c>
      <c r="Z49" s="53" t="s">
        <v>78</v>
      </c>
      <c r="AA49" s="53" t="s">
        <v>102</v>
      </c>
      <c r="AB49" s="53" t="s">
        <v>158</v>
      </c>
    </row>
    <row r="50" spans="1:28" x14ac:dyDescent="0.15">
      <c r="A50" s="53" t="s">
        <v>34</v>
      </c>
      <c r="B50" s="53" t="s">
        <v>157</v>
      </c>
      <c r="C50" s="53">
        <v>2019</v>
      </c>
      <c r="D50" s="174" t="s">
        <v>361</v>
      </c>
      <c r="E50" s="53" t="s">
        <v>133</v>
      </c>
      <c r="F50" s="158" t="s">
        <v>370</v>
      </c>
      <c r="G50" s="161" t="s">
        <v>36</v>
      </c>
      <c r="H50" s="53" t="s">
        <v>164</v>
      </c>
      <c r="I50" s="53" t="s">
        <v>159</v>
      </c>
      <c r="J50" s="53" t="s">
        <v>38</v>
      </c>
      <c r="K50" s="127" t="s">
        <v>161</v>
      </c>
      <c r="L50" s="53">
        <v>1</v>
      </c>
      <c r="N50" s="53">
        <v>1</v>
      </c>
      <c r="O50" s="53">
        <v>0.95</v>
      </c>
      <c r="P50" s="53">
        <v>1</v>
      </c>
      <c r="Q50" s="75">
        <f t="shared" si="2"/>
        <v>0.97499999999999998</v>
      </c>
      <c r="R50" s="53">
        <v>16.399999999999999</v>
      </c>
      <c r="S50" s="53">
        <v>127</v>
      </c>
      <c r="T50" s="16">
        <f t="shared" si="0"/>
        <v>30</v>
      </c>
      <c r="U50" s="53">
        <v>98</v>
      </c>
      <c r="V50" s="16">
        <f t="shared" si="1"/>
        <v>2940</v>
      </c>
      <c r="W50" s="53">
        <v>20</v>
      </c>
      <c r="X50" s="166" t="s">
        <v>46</v>
      </c>
      <c r="Y50" s="53" t="s">
        <v>78</v>
      </c>
      <c r="Z50" s="53" t="s">
        <v>102</v>
      </c>
      <c r="AA50" s="53" t="s">
        <v>88</v>
      </c>
      <c r="AB50" s="53" t="s">
        <v>158</v>
      </c>
    </row>
    <row r="51" spans="1:28" x14ac:dyDescent="0.15">
      <c r="A51" s="53" t="s">
        <v>34</v>
      </c>
      <c r="B51" s="53" t="s">
        <v>157</v>
      </c>
      <c r="C51" s="53">
        <v>2019</v>
      </c>
      <c r="D51" s="174" t="s">
        <v>361</v>
      </c>
      <c r="E51" s="53" t="s">
        <v>133</v>
      </c>
      <c r="F51" s="158" t="s">
        <v>370</v>
      </c>
      <c r="G51" s="161" t="s">
        <v>36</v>
      </c>
      <c r="H51" s="53" t="s">
        <v>164</v>
      </c>
      <c r="I51" s="53" t="s">
        <v>159</v>
      </c>
      <c r="J51" s="53" t="s">
        <v>38</v>
      </c>
      <c r="K51" s="127" t="s">
        <v>161</v>
      </c>
      <c r="L51" s="53">
        <v>2</v>
      </c>
      <c r="N51" s="53">
        <v>1</v>
      </c>
      <c r="O51" s="53">
        <v>1</v>
      </c>
      <c r="P51" s="53">
        <v>1.1000000000000001</v>
      </c>
      <c r="Q51" s="75">
        <f t="shared" si="2"/>
        <v>1.05</v>
      </c>
      <c r="R51" s="53">
        <v>15.7</v>
      </c>
      <c r="S51" s="53">
        <v>121</v>
      </c>
      <c r="T51" s="16">
        <f t="shared" si="0"/>
        <v>30</v>
      </c>
      <c r="U51" s="53">
        <v>98</v>
      </c>
      <c r="V51" s="16">
        <f t="shared" si="1"/>
        <v>2940</v>
      </c>
      <c r="W51" s="53">
        <v>20</v>
      </c>
      <c r="X51" s="166" t="s">
        <v>46</v>
      </c>
      <c r="Y51" s="53" t="s">
        <v>78</v>
      </c>
      <c r="Z51" s="53" t="s">
        <v>102</v>
      </c>
      <c r="AA51" s="53" t="s">
        <v>88</v>
      </c>
      <c r="AB51" s="53" t="s">
        <v>158</v>
      </c>
    </row>
    <row r="52" spans="1:28" x14ac:dyDescent="0.15">
      <c r="A52" s="53" t="s">
        <v>34</v>
      </c>
      <c r="B52" s="53" t="s">
        <v>157</v>
      </c>
      <c r="C52" s="53">
        <v>2019</v>
      </c>
      <c r="D52" s="174" t="s">
        <v>361</v>
      </c>
      <c r="E52" s="53" t="s">
        <v>133</v>
      </c>
      <c r="F52" s="158" t="s">
        <v>370</v>
      </c>
      <c r="G52" s="161" t="s">
        <v>36</v>
      </c>
      <c r="H52" s="53" t="s">
        <v>164</v>
      </c>
      <c r="I52" s="53" t="s">
        <v>159</v>
      </c>
      <c r="J52" s="53" t="s">
        <v>38</v>
      </c>
      <c r="K52" s="127" t="s">
        <v>161</v>
      </c>
      <c r="L52" s="53">
        <v>3</v>
      </c>
      <c r="N52" s="53">
        <v>1</v>
      </c>
      <c r="O52" s="53">
        <v>1.05</v>
      </c>
      <c r="P52" s="53">
        <v>1</v>
      </c>
      <c r="Q52" s="75">
        <f t="shared" si="2"/>
        <v>1.0249999999999999</v>
      </c>
      <c r="R52" s="53">
        <v>15.5</v>
      </c>
      <c r="S52" s="53">
        <v>116</v>
      </c>
      <c r="T52" s="16">
        <f t="shared" si="0"/>
        <v>30</v>
      </c>
      <c r="U52" s="53">
        <v>98</v>
      </c>
      <c r="V52" s="16">
        <f t="shared" si="1"/>
        <v>2940</v>
      </c>
      <c r="W52" s="53">
        <v>20</v>
      </c>
      <c r="X52" s="166" t="s">
        <v>46</v>
      </c>
      <c r="Y52" s="53" t="s">
        <v>78</v>
      </c>
      <c r="Z52" s="53" t="s">
        <v>102</v>
      </c>
      <c r="AA52" s="53" t="s">
        <v>88</v>
      </c>
      <c r="AB52" s="53" t="s">
        <v>158</v>
      </c>
    </row>
    <row r="53" spans="1:28" x14ac:dyDescent="0.15">
      <c r="A53" s="53" t="s">
        <v>34</v>
      </c>
      <c r="B53" s="53" t="s">
        <v>157</v>
      </c>
      <c r="C53" s="53">
        <v>2019</v>
      </c>
      <c r="D53" s="174" t="s">
        <v>361</v>
      </c>
      <c r="E53" s="53" t="s">
        <v>133</v>
      </c>
      <c r="F53" s="158" t="s">
        <v>370</v>
      </c>
      <c r="G53" s="161" t="s">
        <v>36</v>
      </c>
      <c r="H53" s="53" t="s">
        <v>160</v>
      </c>
      <c r="I53" s="53" t="s">
        <v>159</v>
      </c>
      <c r="J53" s="53" t="s">
        <v>38</v>
      </c>
      <c r="K53" s="127" t="s">
        <v>161</v>
      </c>
      <c r="L53" s="53">
        <v>1</v>
      </c>
      <c r="N53" s="53">
        <v>1</v>
      </c>
      <c r="O53" s="53">
        <v>0.8</v>
      </c>
      <c r="P53" s="53">
        <v>0.9</v>
      </c>
      <c r="Q53" s="75">
        <f t="shared" si="2"/>
        <v>0.85000000000000009</v>
      </c>
      <c r="R53" s="53">
        <v>16.100000000000001</v>
      </c>
      <c r="S53" s="53">
        <v>146</v>
      </c>
      <c r="T53" s="16">
        <f t="shared" si="0"/>
        <v>30</v>
      </c>
      <c r="U53" s="53">
        <v>138</v>
      </c>
      <c r="V53" s="16">
        <f t="shared" si="1"/>
        <v>4140</v>
      </c>
      <c r="W53" s="53">
        <v>20</v>
      </c>
      <c r="X53" s="166" t="s">
        <v>46</v>
      </c>
      <c r="Y53" s="53" t="s">
        <v>78</v>
      </c>
      <c r="Z53" s="53" t="s">
        <v>102</v>
      </c>
      <c r="AA53" s="53" t="s">
        <v>88</v>
      </c>
      <c r="AB53" s="53" t="s">
        <v>158</v>
      </c>
    </row>
    <row r="54" spans="1:28" x14ac:dyDescent="0.15">
      <c r="A54" s="53" t="s">
        <v>34</v>
      </c>
      <c r="B54" s="53" t="s">
        <v>157</v>
      </c>
      <c r="C54" s="53">
        <v>2019</v>
      </c>
      <c r="D54" s="174" t="s">
        <v>361</v>
      </c>
      <c r="E54" s="53" t="s">
        <v>133</v>
      </c>
      <c r="F54" s="158" t="s">
        <v>370</v>
      </c>
      <c r="G54" s="161" t="s">
        <v>36</v>
      </c>
      <c r="H54" s="53" t="s">
        <v>160</v>
      </c>
      <c r="I54" s="53" t="s">
        <v>159</v>
      </c>
      <c r="J54" s="53" t="s">
        <v>38</v>
      </c>
      <c r="K54" s="127" t="s">
        <v>161</v>
      </c>
      <c r="L54" s="53">
        <v>2</v>
      </c>
      <c r="N54" s="53">
        <v>1</v>
      </c>
      <c r="O54" s="53">
        <v>0.85</v>
      </c>
      <c r="P54" s="53">
        <v>0.8</v>
      </c>
      <c r="Q54" s="75">
        <f t="shared" si="2"/>
        <v>0.82499999999999996</v>
      </c>
      <c r="R54" s="53">
        <v>15.4</v>
      </c>
      <c r="S54" s="53">
        <v>140</v>
      </c>
      <c r="T54" s="16">
        <f t="shared" si="0"/>
        <v>30</v>
      </c>
      <c r="U54" s="53">
        <v>138</v>
      </c>
      <c r="V54" s="16">
        <f t="shared" si="1"/>
        <v>4140</v>
      </c>
      <c r="W54" s="53">
        <v>20</v>
      </c>
      <c r="X54" s="166" t="s">
        <v>46</v>
      </c>
      <c r="Y54" s="53" t="s">
        <v>78</v>
      </c>
      <c r="Z54" s="53" t="s">
        <v>102</v>
      </c>
      <c r="AA54" s="53" t="s">
        <v>88</v>
      </c>
      <c r="AB54" s="53" t="s">
        <v>158</v>
      </c>
    </row>
    <row r="55" spans="1:28" x14ac:dyDescent="0.15">
      <c r="A55" s="53" t="s">
        <v>34</v>
      </c>
      <c r="B55" s="53" t="s">
        <v>157</v>
      </c>
      <c r="C55" s="53">
        <v>2019</v>
      </c>
      <c r="D55" s="174" t="s">
        <v>361</v>
      </c>
      <c r="E55" s="53" t="s">
        <v>133</v>
      </c>
      <c r="F55" s="158" t="s">
        <v>370</v>
      </c>
      <c r="G55" s="161" t="s">
        <v>36</v>
      </c>
      <c r="H55" s="53" t="s">
        <v>160</v>
      </c>
      <c r="I55" s="53" t="s">
        <v>159</v>
      </c>
      <c r="J55" s="53" t="s">
        <v>38</v>
      </c>
      <c r="K55" s="127" t="s">
        <v>161</v>
      </c>
      <c r="L55" s="53">
        <v>3</v>
      </c>
      <c r="N55" s="53">
        <v>1</v>
      </c>
      <c r="O55" s="53">
        <v>0.8</v>
      </c>
      <c r="P55" s="53">
        <v>0.75</v>
      </c>
      <c r="Q55" s="75">
        <f t="shared" si="2"/>
        <v>0.77500000000000002</v>
      </c>
      <c r="R55" s="53">
        <v>16.2</v>
      </c>
      <c r="S55" s="53">
        <v>144</v>
      </c>
      <c r="T55" s="16">
        <f t="shared" si="0"/>
        <v>30</v>
      </c>
      <c r="U55" s="53">
        <v>138</v>
      </c>
      <c r="V55" s="16">
        <f t="shared" si="1"/>
        <v>4140</v>
      </c>
      <c r="W55" s="53">
        <v>20</v>
      </c>
      <c r="X55" s="166" t="s">
        <v>46</v>
      </c>
      <c r="Y55" s="53" t="s">
        <v>78</v>
      </c>
      <c r="Z55" s="53" t="s">
        <v>102</v>
      </c>
      <c r="AA55" s="53" t="s">
        <v>88</v>
      </c>
      <c r="AB55" s="53" t="s">
        <v>158</v>
      </c>
    </row>
    <row r="56" spans="1:28" x14ac:dyDescent="0.15">
      <c r="A56" s="53" t="s">
        <v>34</v>
      </c>
      <c r="B56" s="53" t="s">
        <v>157</v>
      </c>
      <c r="C56" s="53">
        <v>2019</v>
      </c>
      <c r="D56" s="174" t="s">
        <v>361</v>
      </c>
      <c r="E56" s="53" t="s">
        <v>271</v>
      </c>
      <c r="F56" s="158" t="s">
        <v>371</v>
      </c>
      <c r="G56" s="161" t="s">
        <v>36</v>
      </c>
      <c r="H56" s="53" t="s">
        <v>164</v>
      </c>
      <c r="I56" s="53" t="s">
        <v>159</v>
      </c>
      <c r="J56" s="53" t="s">
        <v>38</v>
      </c>
      <c r="K56" s="127" t="s">
        <v>161</v>
      </c>
      <c r="L56" s="53">
        <v>1</v>
      </c>
      <c r="N56" s="53">
        <v>1</v>
      </c>
      <c r="O56" s="53">
        <v>0.8</v>
      </c>
      <c r="P56" s="53">
        <v>0.85</v>
      </c>
      <c r="Q56" s="75">
        <f t="shared" si="2"/>
        <v>0.82499999999999996</v>
      </c>
      <c r="R56" s="53">
        <v>15.5</v>
      </c>
      <c r="S56" s="53">
        <v>112</v>
      </c>
      <c r="T56" s="16">
        <f t="shared" si="0"/>
        <v>33</v>
      </c>
      <c r="U56" s="53">
        <v>89</v>
      </c>
      <c r="V56" s="16">
        <f t="shared" si="1"/>
        <v>2937</v>
      </c>
      <c r="W56" s="53">
        <v>4</v>
      </c>
      <c r="X56" s="166" t="s">
        <v>46</v>
      </c>
      <c r="Y56" s="53" t="s">
        <v>102</v>
      </c>
      <c r="Z56" s="53" t="s">
        <v>90</v>
      </c>
      <c r="AA56" s="53" t="s">
        <v>88</v>
      </c>
      <c r="AB56" s="53" t="s">
        <v>158</v>
      </c>
    </row>
    <row r="57" spans="1:28" x14ac:dyDescent="0.15">
      <c r="A57" s="53" t="s">
        <v>34</v>
      </c>
      <c r="B57" s="53" t="s">
        <v>157</v>
      </c>
      <c r="C57" s="53">
        <v>2019</v>
      </c>
      <c r="D57" s="174" t="s">
        <v>361</v>
      </c>
      <c r="E57" s="53" t="s">
        <v>271</v>
      </c>
      <c r="F57" s="158" t="s">
        <v>371</v>
      </c>
      <c r="G57" s="161" t="s">
        <v>36</v>
      </c>
      <c r="H57" s="53" t="s">
        <v>164</v>
      </c>
      <c r="I57" s="53" t="s">
        <v>159</v>
      </c>
      <c r="J57" s="53" t="s">
        <v>38</v>
      </c>
      <c r="K57" s="127" t="s">
        <v>161</v>
      </c>
      <c r="L57" s="53">
        <v>2</v>
      </c>
      <c r="N57" s="53">
        <v>1</v>
      </c>
      <c r="O57" s="53">
        <v>0.85</v>
      </c>
      <c r="P57" s="53">
        <v>0.9</v>
      </c>
      <c r="Q57" s="75">
        <f t="shared" si="2"/>
        <v>0.875</v>
      </c>
      <c r="R57" s="53">
        <v>15.7</v>
      </c>
      <c r="S57" s="53">
        <v>113</v>
      </c>
      <c r="T57" s="16">
        <f t="shared" si="0"/>
        <v>30</v>
      </c>
      <c r="U57" s="53">
        <v>89</v>
      </c>
      <c r="V57" s="16">
        <f t="shared" si="1"/>
        <v>2670</v>
      </c>
      <c r="W57" s="53">
        <v>4</v>
      </c>
      <c r="X57" s="166" t="s">
        <v>46</v>
      </c>
      <c r="Y57" s="53" t="s">
        <v>102</v>
      </c>
      <c r="Z57" s="53" t="s">
        <v>90</v>
      </c>
      <c r="AA57" s="53" t="s">
        <v>88</v>
      </c>
      <c r="AB57" s="53" t="s">
        <v>158</v>
      </c>
    </row>
    <row r="58" spans="1:28" x14ac:dyDescent="0.15">
      <c r="A58" s="53" t="s">
        <v>34</v>
      </c>
      <c r="B58" s="53" t="s">
        <v>157</v>
      </c>
      <c r="C58" s="53">
        <v>2019</v>
      </c>
      <c r="D58" s="174" t="s">
        <v>361</v>
      </c>
      <c r="E58" s="53" t="s">
        <v>271</v>
      </c>
      <c r="F58" s="158" t="s">
        <v>371</v>
      </c>
      <c r="G58" s="161" t="s">
        <v>36</v>
      </c>
      <c r="H58" s="53" t="s">
        <v>164</v>
      </c>
      <c r="I58" s="53" t="s">
        <v>159</v>
      </c>
      <c r="J58" s="53" t="s">
        <v>38</v>
      </c>
      <c r="K58" s="127" t="s">
        <v>161</v>
      </c>
      <c r="L58" s="53">
        <v>3</v>
      </c>
      <c r="N58" s="53">
        <v>1</v>
      </c>
      <c r="O58" s="53">
        <v>0.9</v>
      </c>
      <c r="P58" s="53">
        <v>0.8</v>
      </c>
      <c r="Q58" s="75">
        <f t="shared" si="2"/>
        <v>0.85000000000000009</v>
      </c>
      <c r="R58" s="53">
        <v>15.3</v>
      </c>
      <c r="S58" s="53">
        <v>110</v>
      </c>
      <c r="T58" s="16">
        <f t="shared" si="0"/>
        <v>33</v>
      </c>
      <c r="U58" s="53">
        <v>89</v>
      </c>
      <c r="V58" s="16">
        <f t="shared" si="1"/>
        <v>2937</v>
      </c>
      <c r="W58" s="53">
        <v>4</v>
      </c>
      <c r="X58" s="166" t="s">
        <v>46</v>
      </c>
      <c r="Y58" s="53" t="s">
        <v>102</v>
      </c>
      <c r="Z58" s="53" t="s">
        <v>90</v>
      </c>
      <c r="AA58" s="53" t="s">
        <v>88</v>
      </c>
      <c r="AB58" s="53" t="s">
        <v>158</v>
      </c>
    </row>
    <row r="59" spans="1:28" x14ac:dyDescent="0.15">
      <c r="A59" s="53" t="s">
        <v>34</v>
      </c>
      <c r="B59" s="53" t="s">
        <v>157</v>
      </c>
      <c r="C59" s="53">
        <v>2019</v>
      </c>
      <c r="D59" s="174" t="s">
        <v>361</v>
      </c>
      <c r="E59" s="53" t="s">
        <v>271</v>
      </c>
      <c r="F59" s="158" t="s">
        <v>371</v>
      </c>
      <c r="G59" s="161" t="s">
        <v>36</v>
      </c>
      <c r="H59" s="53" t="s">
        <v>160</v>
      </c>
      <c r="I59" s="53" t="s">
        <v>159</v>
      </c>
      <c r="J59" s="53" t="s">
        <v>38</v>
      </c>
      <c r="K59" s="127" t="s">
        <v>161</v>
      </c>
      <c r="L59" s="53">
        <v>1</v>
      </c>
      <c r="N59" s="53">
        <v>1</v>
      </c>
      <c r="O59" s="53">
        <v>0.5</v>
      </c>
      <c r="P59" s="53">
        <v>0.45</v>
      </c>
      <c r="Q59" s="75">
        <f t="shared" si="2"/>
        <v>0.47499999999999998</v>
      </c>
      <c r="R59" s="53">
        <v>15.8</v>
      </c>
      <c r="S59" s="53">
        <v>134</v>
      </c>
      <c r="T59" s="16">
        <f t="shared" si="0"/>
        <v>30</v>
      </c>
      <c r="U59" s="53">
        <v>158</v>
      </c>
      <c r="V59" s="16">
        <f t="shared" si="1"/>
        <v>4740</v>
      </c>
      <c r="W59" s="53">
        <v>4</v>
      </c>
      <c r="X59" s="166" t="s">
        <v>46</v>
      </c>
      <c r="Y59" s="53" t="s">
        <v>102</v>
      </c>
      <c r="Z59" s="53" t="s">
        <v>90</v>
      </c>
      <c r="AA59" s="53" t="s">
        <v>88</v>
      </c>
      <c r="AB59" s="53" t="s">
        <v>158</v>
      </c>
    </row>
    <row r="60" spans="1:28" x14ac:dyDescent="0.15">
      <c r="A60" s="53" t="s">
        <v>34</v>
      </c>
      <c r="B60" s="53" t="s">
        <v>157</v>
      </c>
      <c r="C60" s="53">
        <v>2019</v>
      </c>
      <c r="D60" s="174" t="s">
        <v>361</v>
      </c>
      <c r="E60" s="53" t="s">
        <v>271</v>
      </c>
      <c r="F60" s="158" t="s">
        <v>371</v>
      </c>
      <c r="G60" s="161" t="s">
        <v>36</v>
      </c>
      <c r="H60" s="53" t="s">
        <v>160</v>
      </c>
      <c r="I60" s="53" t="s">
        <v>159</v>
      </c>
      <c r="J60" s="53" t="s">
        <v>38</v>
      </c>
      <c r="K60" s="127" t="s">
        <v>161</v>
      </c>
      <c r="L60" s="53">
        <v>2</v>
      </c>
      <c r="N60" s="53">
        <v>1</v>
      </c>
      <c r="O60" s="53">
        <v>0.5</v>
      </c>
      <c r="P60" s="53">
        <v>0.5</v>
      </c>
      <c r="Q60" s="75">
        <f t="shared" si="2"/>
        <v>0.5</v>
      </c>
      <c r="R60" s="53">
        <v>15.3</v>
      </c>
      <c r="S60" s="53">
        <v>136</v>
      </c>
      <c r="T60" s="16">
        <f t="shared" si="0"/>
        <v>30</v>
      </c>
      <c r="U60" s="53">
        <v>158</v>
      </c>
      <c r="V60" s="16">
        <f t="shared" si="1"/>
        <v>4740</v>
      </c>
      <c r="W60" s="53">
        <v>4</v>
      </c>
      <c r="X60" s="166" t="s">
        <v>46</v>
      </c>
      <c r="Y60" s="53" t="s">
        <v>102</v>
      </c>
      <c r="Z60" s="53" t="s">
        <v>90</v>
      </c>
      <c r="AA60" s="53" t="s">
        <v>88</v>
      </c>
      <c r="AB60" s="53" t="s">
        <v>158</v>
      </c>
    </row>
    <row r="61" spans="1:28" x14ac:dyDescent="0.15">
      <c r="A61" s="53" t="s">
        <v>34</v>
      </c>
      <c r="B61" s="53" t="s">
        <v>157</v>
      </c>
      <c r="C61" s="53">
        <v>2019</v>
      </c>
      <c r="D61" s="174" t="s">
        <v>361</v>
      </c>
      <c r="E61" s="53" t="s">
        <v>271</v>
      </c>
      <c r="F61" s="158" t="s">
        <v>371</v>
      </c>
      <c r="G61" s="161" t="s">
        <v>36</v>
      </c>
      <c r="H61" s="53" t="s">
        <v>160</v>
      </c>
      <c r="I61" s="53" t="s">
        <v>159</v>
      </c>
      <c r="J61" s="53" t="s">
        <v>38</v>
      </c>
      <c r="K61" s="127" t="s">
        <v>161</v>
      </c>
      <c r="L61" s="53">
        <v>3</v>
      </c>
      <c r="N61" s="53">
        <v>1</v>
      </c>
      <c r="O61" s="53">
        <v>0.4</v>
      </c>
      <c r="P61" s="53">
        <v>0.5</v>
      </c>
      <c r="Q61" s="75">
        <f t="shared" si="2"/>
        <v>0.45</v>
      </c>
      <c r="R61" s="53">
        <v>15.5</v>
      </c>
      <c r="S61" s="53">
        <v>132</v>
      </c>
      <c r="T61" s="16">
        <f t="shared" si="0"/>
        <v>30</v>
      </c>
      <c r="U61" s="53">
        <v>158</v>
      </c>
      <c r="V61" s="16">
        <f t="shared" si="1"/>
        <v>4740</v>
      </c>
      <c r="W61" s="53">
        <v>4</v>
      </c>
      <c r="X61" s="166" t="s">
        <v>46</v>
      </c>
      <c r="Y61" s="53" t="s">
        <v>102</v>
      </c>
      <c r="Z61" s="53" t="s">
        <v>90</v>
      </c>
      <c r="AA61" s="53" t="s">
        <v>88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2A0C0DA7-E5D9-485C-A274-81DF744247DF}">
      <formula1>$AH$2:$AH$11</formula1>
    </dataValidation>
    <dataValidation type="list" allowBlank="1" showInputMessage="1" showErrorMessage="1" sqref="E2:E491" xr:uid="{893F8332-03C4-4AF3-AF96-43557DFED476}">
      <formula1>$AG$2:$AG$11</formula1>
    </dataValidation>
    <dataValidation type="decimal" allowBlank="1" showInputMessage="1" showErrorMessage="1" error="硬度を正しく入力して下さい。" sqref="O2:P491" xr:uid="{BDCA2640-3927-4FBF-8152-8DF931B79EAF}">
      <formula1>0</formula1>
      <formula2>7</formula2>
    </dataValidation>
    <dataValidation type="list" allowBlank="1" showInputMessage="1" showErrorMessage="1" sqref="Y2:AA491" xr:uid="{C148DBF6-F7BA-470B-8BC1-A5D047946372}">
      <formula1>$AV$2:$AV$21</formula1>
    </dataValidation>
    <dataValidation type="list" allowBlank="1" showInputMessage="1" showErrorMessage="1" sqref="K444:K491" xr:uid="{C530D90D-5943-4BEF-9F11-C3D2721225F2}">
      <formula1>$AR$2:$AR$25</formula1>
    </dataValidation>
    <dataValidation type="list" allowBlank="1" showInputMessage="1" showErrorMessage="1" sqref="I2:I491" xr:uid="{DCDFFBE9-2F52-4E54-AED8-BD8BFC234AC3}">
      <formula1>$AN$5:$AN$6</formula1>
    </dataValidation>
    <dataValidation type="list" allowBlank="1" showInputMessage="1" showErrorMessage="1" sqref="H2:H491" xr:uid="{A5E743B8-D1E7-4D5B-ABD9-659BE3CA811E}">
      <formula1>$AL$2:$AL$8</formula1>
    </dataValidation>
    <dataValidation type="list" allowBlank="1" showInputMessage="1" showErrorMessage="1" sqref="A2:A491" xr:uid="{02CF7DD1-1F96-477E-A7EE-7B45CF46BF1F}">
      <formula1>$AE$2:$AE$19</formula1>
    </dataValidation>
    <dataValidation type="list" allowBlank="1" showInputMessage="1" showErrorMessage="1" sqref="X2:X491" xr:uid="{ABC2A0D5-577D-45AF-8105-5B8DFC05FB2A}">
      <formula1>$AT$2:$AT$3</formula1>
    </dataValidation>
    <dataValidation type="list" allowBlank="1" showInputMessage="1" showErrorMessage="1" sqref="G2:G491" xr:uid="{EB38F549-94E0-487E-8B72-C96CE968966A}">
      <formula1>$AJ$2:$AJ$4</formula1>
    </dataValidation>
    <dataValidation type="list" allowBlank="1" showInputMessage="1" showErrorMessage="1" sqref="J2:J491" xr:uid="{8E121171-E6B1-432D-A0A4-457AC93005D5}">
      <formula1>$AP$2:$AP$27</formula1>
    </dataValidation>
    <dataValidation operator="equal" allowBlank="1" showInputMessage="1" showErrorMessage="1" sqref="B2:B46" xr:uid="{D84B42F6-4B9D-41FA-A8E1-4FDEBACF28A3}"/>
    <dataValidation type="list" allowBlank="1" showInputMessage="1" showErrorMessage="1" sqref="F492:F64242" xr:uid="{957679BB-3D71-4B07-B75E-95C54F4A5416}">
      <formula1>$AH$2:$AH$8</formula1>
    </dataValidation>
    <dataValidation type="list" allowBlank="1" showInputMessage="1" showErrorMessage="1" sqref="E492:E64242" xr:uid="{0A16D348-52B2-41AA-B798-776A375E5BC7}">
      <formula1>$AG$2:$AG$9</formula1>
    </dataValidation>
    <dataValidation type="list" allowBlank="1" showInputMessage="1" showErrorMessage="1" sqref="H492:H64242" xr:uid="{AF2DB188-BA02-4C3A-B2B7-69CEC290956B}">
      <formula1>$AL$2:$AL$10</formula1>
    </dataValidation>
    <dataValidation type="list" allowBlank="1" showInputMessage="1" showErrorMessage="1" sqref="K492:K64242" xr:uid="{8C6F3E60-D5D7-4124-9F31-4BD08A20656E}">
      <formula1>$AR$2:$AR$28</formula1>
    </dataValidation>
    <dataValidation type="list" allowBlank="1" showInputMessage="1" showErrorMessage="1" sqref="Y492:AA64242" xr:uid="{8721D526-4DC6-4D29-A3A4-0ED6AAA9E9A2}">
      <formula1>$AV$2:$AV$26</formula1>
    </dataValidation>
    <dataValidation type="list" allowBlank="1" showInputMessage="1" showErrorMessage="1" sqref="I492:I64242" xr:uid="{6C318D98-11C1-4BB9-AB9E-A408D09C0419}">
      <formula1>$AN$2:$AN$6</formula1>
    </dataValidation>
    <dataValidation type="list" allowBlank="1" showInputMessage="1" showErrorMessage="1" sqref="J492:J64242" xr:uid="{918D7814-2984-46FD-911D-76132D25AF4F}">
      <formula1>$AP$2:$AP$16</formula1>
    </dataValidation>
    <dataValidation type="list" allowBlank="1" showInputMessage="1" showErrorMessage="1" sqref="K2:K443" xr:uid="{6644A914-8183-4369-A706-C52CE91D0038}">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9153-0FDB-4BF5-9FFF-93E7B2A08BE7}">
  <dimension ref="A1:BA149"/>
  <sheetViews>
    <sheetView tabSelected="1" zoomScale="70" zoomScaleNormal="70" workbookViewId="0">
      <pane ySplit="1" topLeftCell="A2" activePane="bottomLeft" state="frozen"/>
      <selection pane="bottomLeft" activeCell="M31" sqref="M31"/>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314</v>
      </c>
      <c r="V1" s="5" t="s">
        <v>20</v>
      </c>
      <c r="W1" s="56" t="s">
        <v>21</v>
      </c>
      <c r="X1" s="45" t="s">
        <v>22</v>
      </c>
      <c r="Y1" s="45" t="s">
        <v>23</v>
      </c>
      <c r="Z1" s="45" t="s">
        <v>372</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234</v>
      </c>
      <c r="C2" s="53">
        <v>2019</v>
      </c>
      <c r="D2" s="176" t="s">
        <v>373</v>
      </c>
      <c r="E2" s="53" t="s">
        <v>374</v>
      </c>
      <c r="F2" s="53" t="s">
        <v>375</v>
      </c>
      <c r="G2" s="53" t="s">
        <v>36</v>
      </c>
      <c r="H2" s="53" t="s">
        <v>164</v>
      </c>
      <c r="I2" s="53" t="s">
        <v>159</v>
      </c>
      <c r="J2" s="53" t="s">
        <v>38</v>
      </c>
      <c r="K2" s="53" t="s">
        <v>161</v>
      </c>
      <c r="L2" s="53">
        <v>1</v>
      </c>
      <c r="N2" s="53">
        <v>1</v>
      </c>
      <c r="O2" s="53">
        <v>0.45</v>
      </c>
      <c r="P2" s="53">
        <v>0.7</v>
      </c>
      <c r="Q2" s="75">
        <f t="shared" ref="Q2:Q81" si="0">IF(OR(O2="",P2=""),"",AVERAGE(O2,P2))</f>
        <v>0.57499999999999996</v>
      </c>
      <c r="R2" s="53">
        <v>14.1</v>
      </c>
      <c r="S2" s="53">
        <v>108</v>
      </c>
      <c r="T2" s="16">
        <f t="shared" ref="T2:T89" si="1">IF(H2="","",IF(OR(H2="GREEN",H2="GK"),IF(S2&gt;=$AX$2,VLOOKUP(S2,$AX$2:$AY$9,2,1),""),IF(S2&gt;=$AZ$2,VLOOKUP(S2,$AZ$2:$BA$9,2,1),"")))</f>
        <v>33</v>
      </c>
      <c r="U2" s="53">
        <v>85</v>
      </c>
      <c r="V2" s="16">
        <f t="shared" ref="V2:V89" si="2">IF(OR(N2="",U2="",T2=""),"",U2/N2*T2)</f>
        <v>2805</v>
      </c>
      <c r="W2" s="53">
        <v>2</v>
      </c>
      <c r="X2" s="53" t="s">
        <v>46</v>
      </c>
      <c r="Y2" s="53" t="s">
        <v>78</v>
      </c>
      <c r="Z2" s="53" t="s">
        <v>88</v>
      </c>
      <c r="AA2" s="53" t="s">
        <v>102</v>
      </c>
      <c r="AB2" s="53" t="s">
        <v>237</v>
      </c>
      <c r="AE2" s="64" t="s">
        <v>35</v>
      </c>
      <c r="AG2" s="177" t="s">
        <v>364</v>
      </c>
      <c r="AH2" s="67" t="s">
        <v>376</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234</v>
      </c>
      <c r="C3" s="53">
        <v>2019</v>
      </c>
      <c r="D3" s="176" t="s">
        <v>373</v>
      </c>
      <c r="E3" s="53" t="s">
        <v>374</v>
      </c>
      <c r="F3" s="53" t="s">
        <v>375</v>
      </c>
      <c r="G3" s="53" t="s">
        <v>36</v>
      </c>
      <c r="H3" s="53" t="s">
        <v>164</v>
      </c>
      <c r="I3" s="53" t="s">
        <v>159</v>
      </c>
      <c r="J3" s="53" t="s">
        <v>38</v>
      </c>
      <c r="K3" s="53" t="s">
        <v>161</v>
      </c>
      <c r="L3" s="53">
        <v>2</v>
      </c>
      <c r="N3" s="53">
        <v>1</v>
      </c>
      <c r="O3" s="53">
        <v>0.5</v>
      </c>
      <c r="P3" s="53">
        <v>0.6</v>
      </c>
      <c r="Q3" s="75">
        <f t="shared" si="0"/>
        <v>0.55000000000000004</v>
      </c>
      <c r="R3" s="53">
        <v>14.3</v>
      </c>
      <c r="S3" s="53">
        <v>106</v>
      </c>
      <c r="T3" s="16">
        <f t="shared" si="1"/>
        <v>33</v>
      </c>
      <c r="U3" s="53">
        <v>85</v>
      </c>
      <c r="V3" s="16">
        <f t="shared" si="2"/>
        <v>2805</v>
      </c>
      <c r="W3" s="53">
        <v>2</v>
      </c>
      <c r="X3" s="53" t="s">
        <v>46</v>
      </c>
      <c r="Y3" s="53" t="s">
        <v>78</v>
      </c>
      <c r="Z3" s="53" t="s">
        <v>88</v>
      </c>
      <c r="AA3" s="53" t="s">
        <v>102</v>
      </c>
      <c r="AB3" s="53" t="s">
        <v>237</v>
      </c>
      <c r="AE3" s="22" t="s">
        <v>41</v>
      </c>
      <c r="AG3" s="178" t="s">
        <v>377</v>
      </c>
      <c r="AH3" s="67" t="s">
        <v>378</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234</v>
      </c>
      <c r="C4" s="53">
        <v>2019</v>
      </c>
      <c r="D4" s="176" t="s">
        <v>373</v>
      </c>
      <c r="E4" s="53" t="s">
        <v>374</v>
      </c>
      <c r="F4" s="53" t="s">
        <v>375</v>
      </c>
      <c r="G4" s="53" t="s">
        <v>36</v>
      </c>
      <c r="H4" s="53" t="s">
        <v>164</v>
      </c>
      <c r="I4" s="53" t="s">
        <v>159</v>
      </c>
      <c r="J4" s="53" t="s">
        <v>38</v>
      </c>
      <c r="K4" s="53" t="s">
        <v>161</v>
      </c>
      <c r="L4" s="53">
        <v>3</v>
      </c>
      <c r="N4" s="53">
        <v>1</v>
      </c>
      <c r="O4" s="53">
        <v>0.2</v>
      </c>
      <c r="P4" s="53">
        <v>0.2</v>
      </c>
      <c r="Q4" s="75">
        <f t="shared" si="0"/>
        <v>0.2</v>
      </c>
      <c r="R4" s="53">
        <v>14.4</v>
      </c>
      <c r="S4" s="53">
        <v>114</v>
      </c>
      <c r="T4" s="16">
        <f t="shared" si="1"/>
        <v>30</v>
      </c>
      <c r="U4" s="53">
        <v>85</v>
      </c>
      <c r="V4" s="16">
        <f t="shared" si="2"/>
        <v>2550</v>
      </c>
      <c r="W4" s="53">
        <v>2</v>
      </c>
      <c r="X4" s="53" t="s">
        <v>46</v>
      </c>
      <c r="Y4" s="53" t="s">
        <v>78</v>
      </c>
      <c r="Z4" s="53" t="s">
        <v>88</v>
      </c>
      <c r="AA4" s="53" t="s">
        <v>102</v>
      </c>
      <c r="AB4" s="53" t="s">
        <v>237</v>
      </c>
      <c r="AE4" s="22" t="s">
        <v>34</v>
      </c>
      <c r="AG4" s="178" t="s">
        <v>379</v>
      </c>
      <c r="AH4" s="67" t="s">
        <v>380</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234</v>
      </c>
      <c r="C5" s="53">
        <v>2019</v>
      </c>
      <c r="D5" s="176" t="s">
        <v>373</v>
      </c>
      <c r="E5" s="53" t="s">
        <v>374</v>
      </c>
      <c r="F5" s="53" t="s">
        <v>375</v>
      </c>
      <c r="G5" s="53" t="s">
        <v>36</v>
      </c>
      <c r="H5" s="53" t="s">
        <v>160</v>
      </c>
      <c r="I5" s="53" t="s">
        <v>159</v>
      </c>
      <c r="J5" s="53" t="s">
        <v>38</v>
      </c>
      <c r="K5" s="53" t="s">
        <v>161</v>
      </c>
      <c r="L5" s="53">
        <v>1</v>
      </c>
      <c r="N5" s="53">
        <v>1</v>
      </c>
      <c r="O5" s="53">
        <v>0.2</v>
      </c>
      <c r="P5" s="53">
        <v>0.6</v>
      </c>
      <c r="Q5" s="75">
        <f t="shared" si="0"/>
        <v>0.4</v>
      </c>
      <c r="R5" s="53">
        <v>17.2</v>
      </c>
      <c r="S5" s="53">
        <v>122</v>
      </c>
      <c r="T5" s="16">
        <f t="shared" si="1"/>
        <v>30</v>
      </c>
      <c r="U5" s="53">
        <v>100</v>
      </c>
      <c r="V5" s="16">
        <f t="shared" si="2"/>
        <v>3000</v>
      </c>
      <c r="W5" s="53">
        <v>2</v>
      </c>
      <c r="X5" s="53" t="s">
        <v>46</v>
      </c>
      <c r="Y5" s="53" t="s">
        <v>78</v>
      </c>
      <c r="Z5" s="53" t="s">
        <v>88</v>
      </c>
      <c r="AA5" s="53" t="s">
        <v>102</v>
      </c>
      <c r="AB5" s="53" t="s">
        <v>237</v>
      </c>
      <c r="AE5" s="22" t="s">
        <v>51</v>
      </c>
      <c r="AG5" s="178" t="s">
        <v>381</v>
      </c>
      <c r="AH5" s="67" t="s">
        <v>382</v>
      </c>
      <c r="AJ5" s="28"/>
      <c r="AL5" s="73" t="s">
        <v>66</v>
      </c>
      <c r="AN5" s="73" t="s">
        <v>52</v>
      </c>
      <c r="AP5" s="23" t="s">
        <v>119</v>
      </c>
      <c r="AR5" s="23" t="s">
        <v>54</v>
      </c>
      <c r="AV5" s="23" t="s">
        <v>55</v>
      </c>
      <c r="AX5" s="24">
        <v>84</v>
      </c>
      <c r="AY5" s="25">
        <v>39</v>
      </c>
      <c r="AZ5" s="25">
        <v>84</v>
      </c>
      <c r="BA5" s="26">
        <v>36</v>
      </c>
    </row>
    <row r="6" spans="1:53" x14ac:dyDescent="0.15">
      <c r="A6" s="53" t="s">
        <v>34</v>
      </c>
      <c r="B6" s="53" t="s">
        <v>234</v>
      </c>
      <c r="C6" s="53">
        <v>2019</v>
      </c>
      <c r="D6" s="176" t="s">
        <v>373</v>
      </c>
      <c r="E6" s="53" t="s">
        <v>374</v>
      </c>
      <c r="F6" s="53" t="s">
        <v>375</v>
      </c>
      <c r="G6" s="53" t="s">
        <v>36</v>
      </c>
      <c r="H6" s="53" t="s">
        <v>160</v>
      </c>
      <c r="I6" s="53" t="s">
        <v>159</v>
      </c>
      <c r="J6" s="53" t="s">
        <v>38</v>
      </c>
      <c r="K6" s="53" t="s">
        <v>161</v>
      </c>
      <c r="L6" s="53">
        <v>2</v>
      </c>
      <c r="N6" s="53">
        <v>1</v>
      </c>
      <c r="O6" s="53">
        <v>0.2</v>
      </c>
      <c r="P6" s="53">
        <v>0.55000000000000004</v>
      </c>
      <c r="Q6" s="75">
        <f t="shared" si="0"/>
        <v>0.375</v>
      </c>
      <c r="R6" s="53">
        <v>17.8</v>
      </c>
      <c r="S6" s="53">
        <v>124</v>
      </c>
      <c r="T6" s="16">
        <f t="shared" si="1"/>
        <v>30</v>
      </c>
      <c r="U6" s="53">
        <v>100</v>
      </c>
      <c r="V6" s="16">
        <f t="shared" si="2"/>
        <v>3000</v>
      </c>
      <c r="W6" s="53">
        <v>2</v>
      </c>
      <c r="X6" s="53" t="s">
        <v>46</v>
      </c>
      <c r="Y6" s="53" t="s">
        <v>78</v>
      </c>
      <c r="Z6" s="53" t="s">
        <v>88</v>
      </c>
      <c r="AA6" s="53" t="s">
        <v>102</v>
      </c>
      <c r="AB6" s="53" t="s">
        <v>237</v>
      </c>
      <c r="AE6" s="22" t="s">
        <v>56</v>
      </c>
      <c r="AG6" s="178" t="s">
        <v>383</v>
      </c>
      <c r="AH6" s="67" t="s">
        <v>384</v>
      </c>
      <c r="AL6" s="73" t="s">
        <v>99</v>
      </c>
      <c r="AN6" s="73" t="s">
        <v>57</v>
      </c>
      <c r="AP6" s="23" t="s">
        <v>53</v>
      </c>
      <c r="AR6" s="23" t="s">
        <v>59</v>
      </c>
      <c r="AV6" s="23" t="s">
        <v>60</v>
      </c>
      <c r="AX6" s="24">
        <v>97</v>
      </c>
      <c r="AY6" s="25">
        <v>36</v>
      </c>
      <c r="AZ6" s="25">
        <v>99</v>
      </c>
      <c r="BA6" s="26">
        <v>33</v>
      </c>
    </row>
    <row r="7" spans="1:53" x14ac:dyDescent="0.15">
      <c r="A7" s="53" t="s">
        <v>34</v>
      </c>
      <c r="B7" s="53" t="s">
        <v>234</v>
      </c>
      <c r="C7" s="53">
        <v>2019</v>
      </c>
      <c r="D7" s="176" t="s">
        <v>373</v>
      </c>
      <c r="E7" s="53" t="s">
        <v>374</v>
      </c>
      <c r="F7" s="53" t="s">
        <v>375</v>
      </c>
      <c r="G7" s="53" t="s">
        <v>36</v>
      </c>
      <c r="H7" s="53" t="s">
        <v>160</v>
      </c>
      <c r="I7" s="53" t="s">
        <v>159</v>
      </c>
      <c r="J7" s="53" t="s">
        <v>38</v>
      </c>
      <c r="K7" s="53" t="s">
        <v>161</v>
      </c>
      <c r="L7" s="53">
        <v>3</v>
      </c>
      <c r="N7" s="53">
        <v>1</v>
      </c>
      <c r="O7" s="53">
        <v>0.6</v>
      </c>
      <c r="P7" s="53">
        <v>0.5</v>
      </c>
      <c r="Q7" s="75">
        <f t="shared" si="0"/>
        <v>0.55000000000000004</v>
      </c>
      <c r="R7" s="53">
        <v>15.8</v>
      </c>
      <c r="S7" s="53">
        <v>118</v>
      </c>
      <c r="T7" s="16">
        <f t="shared" si="1"/>
        <v>30</v>
      </c>
      <c r="U7" s="53">
        <v>100</v>
      </c>
      <c r="V7" s="16">
        <f t="shared" si="2"/>
        <v>3000</v>
      </c>
      <c r="W7" s="53">
        <v>2</v>
      </c>
      <c r="X7" s="53" t="s">
        <v>46</v>
      </c>
      <c r="Y7" s="53" t="s">
        <v>78</v>
      </c>
      <c r="Z7" s="53" t="s">
        <v>88</v>
      </c>
      <c r="AA7" s="53" t="s">
        <v>102</v>
      </c>
      <c r="AB7" s="53" t="s">
        <v>237</v>
      </c>
      <c r="AE7" s="22" t="s">
        <v>61</v>
      </c>
      <c r="AG7" s="178" t="s">
        <v>271</v>
      </c>
      <c r="AH7" s="67" t="s">
        <v>385</v>
      </c>
      <c r="AL7" s="34" t="s">
        <v>109</v>
      </c>
      <c r="AP7" s="23" t="s">
        <v>58</v>
      </c>
      <c r="AR7" s="23" t="s">
        <v>122</v>
      </c>
      <c r="AV7" s="23" t="s">
        <v>64</v>
      </c>
      <c r="AX7" s="24">
        <v>109</v>
      </c>
      <c r="AY7" s="25">
        <v>33</v>
      </c>
      <c r="AZ7" s="25">
        <v>113</v>
      </c>
      <c r="BA7" s="26">
        <v>30</v>
      </c>
    </row>
    <row r="8" spans="1:53" x14ac:dyDescent="0.15">
      <c r="A8" s="53" t="s">
        <v>34</v>
      </c>
      <c r="B8" s="53" t="s">
        <v>234</v>
      </c>
      <c r="C8" s="53">
        <v>2019</v>
      </c>
      <c r="D8" s="176" t="s">
        <v>373</v>
      </c>
      <c r="E8" s="53" t="s">
        <v>374</v>
      </c>
      <c r="F8" s="53" t="s">
        <v>375</v>
      </c>
      <c r="G8" s="53" t="s">
        <v>36</v>
      </c>
      <c r="H8" s="53" t="s">
        <v>160</v>
      </c>
      <c r="I8" s="53" t="s">
        <v>159</v>
      </c>
      <c r="J8" s="53" t="s">
        <v>38</v>
      </c>
      <c r="K8" s="53" t="s">
        <v>161</v>
      </c>
      <c r="L8" s="53">
        <v>1</v>
      </c>
      <c r="N8" s="53">
        <v>5</v>
      </c>
      <c r="O8" s="53">
        <v>0.85</v>
      </c>
      <c r="P8" s="53">
        <v>0.8</v>
      </c>
      <c r="Q8" s="75">
        <f t="shared" si="0"/>
        <v>0.82499999999999996</v>
      </c>
      <c r="R8" s="53">
        <v>14.9</v>
      </c>
      <c r="S8" s="53">
        <v>73</v>
      </c>
      <c r="T8" s="16">
        <f t="shared" si="1"/>
        <v>42</v>
      </c>
      <c r="U8" s="53">
        <v>319</v>
      </c>
      <c r="V8" s="16">
        <f t="shared" si="2"/>
        <v>2679.6</v>
      </c>
      <c r="W8" s="53">
        <v>2</v>
      </c>
      <c r="X8" s="53" t="s">
        <v>46</v>
      </c>
      <c r="Y8" s="53" t="s">
        <v>78</v>
      </c>
      <c r="Z8" s="53" t="s">
        <v>88</v>
      </c>
      <c r="AA8" s="53" t="s">
        <v>102</v>
      </c>
      <c r="AB8" s="53" t="s">
        <v>237</v>
      </c>
      <c r="AE8" s="22" t="s">
        <v>59</v>
      </c>
      <c r="AG8" s="178" t="s">
        <v>386</v>
      </c>
      <c r="AH8" s="67" t="s">
        <v>387</v>
      </c>
      <c r="AL8" s="34" t="s">
        <v>134</v>
      </c>
      <c r="AP8" s="23" t="s">
        <v>62</v>
      </c>
      <c r="AR8" s="23" t="s">
        <v>81</v>
      </c>
      <c r="AV8" s="23" t="s">
        <v>97</v>
      </c>
      <c r="AX8" s="24">
        <v>151</v>
      </c>
      <c r="AY8" s="25">
        <v>22</v>
      </c>
      <c r="AZ8" s="25">
        <v>152</v>
      </c>
      <c r="BA8" s="26">
        <v>18</v>
      </c>
    </row>
    <row r="9" spans="1:53" x14ac:dyDescent="0.15">
      <c r="A9" s="53" t="s">
        <v>34</v>
      </c>
      <c r="B9" s="53" t="s">
        <v>234</v>
      </c>
      <c r="C9" s="53">
        <v>2019</v>
      </c>
      <c r="D9" s="176" t="s">
        <v>373</v>
      </c>
      <c r="E9" s="53" t="s">
        <v>374</v>
      </c>
      <c r="F9" s="53" t="s">
        <v>375</v>
      </c>
      <c r="G9" s="53" t="s">
        <v>36</v>
      </c>
      <c r="H9" s="53" t="s">
        <v>160</v>
      </c>
      <c r="I9" s="53" t="s">
        <v>159</v>
      </c>
      <c r="J9" s="53" t="s">
        <v>38</v>
      </c>
      <c r="K9" s="53" t="s">
        <v>161</v>
      </c>
      <c r="L9" s="53">
        <v>2</v>
      </c>
      <c r="N9" s="53">
        <v>5</v>
      </c>
      <c r="O9" s="53">
        <v>0.55000000000000004</v>
      </c>
      <c r="P9" s="53">
        <v>0.55000000000000004</v>
      </c>
      <c r="Q9" s="75">
        <f t="shared" si="0"/>
        <v>0.55000000000000004</v>
      </c>
      <c r="R9" s="53">
        <v>14.1</v>
      </c>
      <c r="S9" s="53">
        <v>70</v>
      </c>
      <c r="T9" s="16">
        <f t="shared" si="1"/>
        <v>50</v>
      </c>
      <c r="U9" s="53">
        <v>319</v>
      </c>
      <c r="V9" s="16">
        <f t="shared" si="2"/>
        <v>3190</v>
      </c>
      <c r="W9" s="53">
        <v>2</v>
      </c>
      <c r="X9" s="53" t="s">
        <v>46</v>
      </c>
      <c r="Y9" s="53" t="s">
        <v>78</v>
      </c>
      <c r="Z9" s="53" t="s">
        <v>88</v>
      </c>
      <c r="AA9" s="53" t="s">
        <v>102</v>
      </c>
      <c r="AB9" s="53" t="s">
        <v>237</v>
      </c>
      <c r="AE9" s="22" t="s">
        <v>98</v>
      </c>
      <c r="AG9" s="178" t="s">
        <v>388</v>
      </c>
      <c r="AH9" s="67" t="s">
        <v>389</v>
      </c>
      <c r="AL9" s="73"/>
      <c r="AP9" s="23" t="s">
        <v>95</v>
      </c>
      <c r="AR9" s="23" t="s">
        <v>89</v>
      </c>
      <c r="AV9" s="23" t="s">
        <v>102</v>
      </c>
      <c r="AX9" s="31">
        <v>180</v>
      </c>
      <c r="AY9" s="32">
        <v>18</v>
      </c>
      <c r="AZ9" s="32">
        <v>181</v>
      </c>
      <c r="BA9" s="33">
        <v>16</v>
      </c>
    </row>
    <row r="10" spans="1:53" x14ac:dyDescent="0.15">
      <c r="A10" s="53" t="s">
        <v>34</v>
      </c>
      <c r="B10" s="53" t="s">
        <v>234</v>
      </c>
      <c r="C10" s="53">
        <v>2019</v>
      </c>
      <c r="D10" s="176" t="s">
        <v>373</v>
      </c>
      <c r="E10" s="53" t="s">
        <v>374</v>
      </c>
      <c r="F10" s="53" t="s">
        <v>375</v>
      </c>
      <c r="G10" s="53" t="s">
        <v>36</v>
      </c>
      <c r="H10" s="53" t="s">
        <v>160</v>
      </c>
      <c r="I10" s="53" t="s">
        <v>159</v>
      </c>
      <c r="J10" s="53" t="s">
        <v>38</v>
      </c>
      <c r="K10" s="53" t="s">
        <v>161</v>
      </c>
      <c r="L10" s="53">
        <v>3</v>
      </c>
      <c r="N10" s="53">
        <v>5</v>
      </c>
      <c r="O10" s="53">
        <v>0.6</v>
      </c>
      <c r="P10" s="53">
        <v>0.6</v>
      </c>
      <c r="Q10" s="75">
        <f t="shared" si="0"/>
        <v>0.6</v>
      </c>
      <c r="R10" s="53">
        <v>13.8</v>
      </c>
      <c r="S10" s="53">
        <v>73</v>
      </c>
      <c r="T10" s="16">
        <f t="shared" si="1"/>
        <v>42</v>
      </c>
      <c r="U10" s="53">
        <v>319</v>
      </c>
      <c r="V10" s="16">
        <f t="shared" si="2"/>
        <v>2679.6</v>
      </c>
      <c r="W10" s="53">
        <v>2</v>
      </c>
      <c r="X10" s="53" t="s">
        <v>46</v>
      </c>
      <c r="Y10" s="53" t="s">
        <v>78</v>
      </c>
      <c r="Z10" s="53" t="s">
        <v>88</v>
      </c>
      <c r="AA10" s="53" t="s">
        <v>102</v>
      </c>
      <c r="AB10" s="53" t="s">
        <v>237</v>
      </c>
      <c r="AE10" s="22" t="s">
        <v>103</v>
      </c>
      <c r="AG10" s="178" t="s">
        <v>374</v>
      </c>
      <c r="AH10" s="67" t="s">
        <v>375</v>
      </c>
      <c r="AL10" s="34"/>
      <c r="AP10" s="23" t="s">
        <v>100</v>
      </c>
      <c r="AR10" s="23" t="s">
        <v>123</v>
      </c>
      <c r="AV10" s="23" t="s">
        <v>106</v>
      </c>
    </row>
    <row r="11" spans="1:53" x14ac:dyDescent="0.15">
      <c r="A11" s="53" t="s">
        <v>34</v>
      </c>
      <c r="B11" s="53" t="s">
        <v>234</v>
      </c>
      <c r="C11" s="53">
        <v>2019</v>
      </c>
      <c r="D11" s="176" t="s">
        <v>373</v>
      </c>
      <c r="E11" s="53" t="s">
        <v>386</v>
      </c>
      <c r="F11" s="53" t="s">
        <v>387</v>
      </c>
      <c r="G11" s="53" t="s">
        <v>36</v>
      </c>
      <c r="H11" s="53" t="s">
        <v>369</v>
      </c>
      <c r="I11" s="53" t="s">
        <v>159</v>
      </c>
      <c r="J11" s="53" t="s">
        <v>38</v>
      </c>
      <c r="K11" s="53" t="s">
        <v>161</v>
      </c>
      <c r="L11" s="53">
        <v>1</v>
      </c>
      <c r="N11" s="53">
        <v>1</v>
      </c>
      <c r="O11" s="53">
        <v>0.7</v>
      </c>
      <c r="P11" s="53">
        <v>0.75</v>
      </c>
      <c r="Q11" s="75">
        <f t="shared" si="0"/>
        <v>0.72499999999999998</v>
      </c>
      <c r="R11" s="53">
        <v>12.5</v>
      </c>
      <c r="S11" s="53">
        <v>126</v>
      </c>
      <c r="T11" s="16">
        <f t="shared" si="1"/>
        <v>30</v>
      </c>
      <c r="U11" s="53">
        <v>105</v>
      </c>
      <c r="V11" s="16">
        <f t="shared" si="2"/>
        <v>3150</v>
      </c>
      <c r="W11" s="53">
        <v>2</v>
      </c>
      <c r="X11" s="53" t="s">
        <v>46</v>
      </c>
      <c r="Y11" s="53" t="s">
        <v>78</v>
      </c>
      <c r="Z11" s="53" t="s">
        <v>102</v>
      </c>
      <c r="AA11" s="53" t="s">
        <v>55</v>
      </c>
      <c r="AB11" s="53" t="s">
        <v>237</v>
      </c>
      <c r="AE11" s="22" t="s">
        <v>65</v>
      </c>
      <c r="AG11" s="178" t="s">
        <v>211</v>
      </c>
      <c r="AH11" s="67" t="s">
        <v>390</v>
      </c>
      <c r="AL11" s="34"/>
      <c r="AP11" s="23" t="s">
        <v>104</v>
      </c>
      <c r="AR11" s="23" t="s">
        <v>87</v>
      </c>
      <c r="AV11" s="23" t="s">
        <v>69</v>
      </c>
    </row>
    <row r="12" spans="1:53" x14ac:dyDescent="0.15">
      <c r="A12" s="53" t="s">
        <v>34</v>
      </c>
      <c r="B12" s="53" t="s">
        <v>234</v>
      </c>
      <c r="C12" s="53">
        <v>2019</v>
      </c>
      <c r="D12" s="176" t="s">
        <v>373</v>
      </c>
      <c r="E12" s="53" t="s">
        <v>386</v>
      </c>
      <c r="F12" s="53" t="s">
        <v>387</v>
      </c>
      <c r="G12" s="53" t="s">
        <v>36</v>
      </c>
      <c r="H12" s="53" t="s">
        <v>369</v>
      </c>
      <c r="I12" s="53" t="s">
        <v>159</v>
      </c>
      <c r="J12" s="53" t="s">
        <v>38</v>
      </c>
      <c r="K12" s="53" t="s">
        <v>161</v>
      </c>
      <c r="L12" s="53">
        <v>2</v>
      </c>
      <c r="N12" s="53">
        <v>1</v>
      </c>
      <c r="O12" s="53">
        <v>0.75</v>
      </c>
      <c r="P12" s="53">
        <v>0.75</v>
      </c>
      <c r="Q12" s="75">
        <f t="shared" si="0"/>
        <v>0.75</v>
      </c>
      <c r="R12" s="53">
        <v>14.6</v>
      </c>
      <c r="S12" s="53">
        <v>124</v>
      </c>
      <c r="T12" s="16">
        <f t="shared" si="1"/>
        <v>30</v>
      </c>
      <c r="U12" s="53">
        <v>105</v>
      </c>
      <c r="V12" s="16">
        <f t="shared" si="2"/>
        <v>3150</v>
      </c>
      <c r="W12" s="53">
        <v>2</v>
      </c>
      <c r="X12" s="53" t="s">
        <v>46</v>
      </c>
      <c r="Y12" s="53" t="s">
        <v>78</v>
      </c>
      <c r="Z12" s="53" t="s">
        <v>102</v>
      </c>
      <c r="AA12" s="53" t="s">
        <v>55</v>
      </c>
      <c r="AB12" s="53" t="s">
        <v>237</v>
      </c>
      <c r="AE12" s="22" t="s">
        <v>70</v>
      </c>
      <c r="AG12" s="28"/>
      <c r="AH12" s="23"/>
      <c r="AL12" s="34"/>
      <c r="AP12" s="23" t="s">
        <v>67</v>
      </c>
      <c r="AR12" s="23" t="s">
        <v>124</v>
      </c>
      <c r="AV12" s="23" t="s">
        <v>72</v>
      </c>
    </row>
    <row r="13" spans="1:53" x14ac:dyDescent="0.15">
      <c r="A13" s="53" t="s">
        <v>34</v>
      </c>
      <c r="B13" s="53" t="s">
        <v>234</v>
      </c>
      <c r="C13" s="53">
        <v>2019</v>
      </c>
      <c r="D13" s="176" t="s">
        <v>373</v>
      </c>
      <c r="E13" s="53" t="s">
        <v>386</v>
      </c>
      <c r="F13" s="53" t="s">
        <v>387</v>
      </c>
      <c r="G13" s="53" t="s">
        <v>36</v>
      </c>
      <c r="H13" s="53" t="s">
        <v>369</v>
      </c>
      <c r="I13" s="53" t="s">
        <v>159</v>
      </c>
      <c r="J13" s="53" t="s">
        <v>38</v>
      </c>
      <c r="K13" s="53" t="s">
        <v>161</v>
      </c>
      <c r="L13" s="53">
        <v>3</v>
      </c>
      <c r="N13" s="53">
        <v>1</v>
      </c>
      <c r="O13" s="53">
        <v>0.9</v>
      </c>
      <c r="P13" s="53">
        <v>0.75</v>
      </c>
      <c r="Q13" s="75">
        <f t="shared" si="0"/>
        <v>0.82499999999999996</v>
      </c>
      <c r="R13" s="53">
        <v>12.4</v>
      </c>
      <c r="S13" s="53">
        <v>130</v>
      </c>
      <c r="T13" s="16">
        <f t="shared" si="1"/>
        <v>30</v>
      </c>
      <c r="U13" s="53">
        <v>105</v>
      </c>
      <c r="V13" s="16">
        <f t="shared" si="2"/>
        <v>3150</v>
      </c>
      <c r="W13" s="53">
        <v>2</v>
      </c>
      <c r="X13" s="53" t="s">
        <v>46</v>
      </c>
      <c r="Y13" s="53" t="s">
        <v>78</v>
      </c>
      <c r="Z13" s="53" t="s">
        <v>102</v>
      </c>
      <c r="AA13" s="53" t="s">
        <v>55</v>
      </c>
      <c r="AB13" s="53" t="s">
        <v>237</v>
      </c>
      <c r="AE13" s="22" t="s">
        <v>73</v>
      </c>
      <c r="AH13" s="28"/>
      <c r="AP13" s="23" t="s">
        <v>71</v>
      </c>
      <c r="AR13" s="23" t="s">
        <v>103</v>
      </c>
      <c r="AV13" s="23" t="s">
        <v>75</v>
      </c>
    </row>
    <row r="14" spans="1:53" x14ac:dyDescent="0.15">
      <c r="A14" s="53" t="s">
        <v>34</v>
      </c>
      <c r="B14" s="53" t="s">
        <v>234</v>
      </c>
      <c r="C14" s="53">
        <v>2019</v>
      </c>
      <c r="D14" s="176" t="s">
        <v>373</v>
      </c>
      <c r="E14" s="53" t="s">
        <v>386</v>
      </c>
      <c r="F14" s="53" t="s">
        <v>387</v>
      </c>
      <c r="G14" s="53" t="s">
        <v>36</v>
      </c>
      <c r="H14" s="53" t="s">
        <v>160</v>
      </c>
      <c r="I14" s="53" t="s">
        <v>159</v>
      </c>
      <c r="J14" s="53" t="s">
        <v>38</v>
      </c>
      <c r="K14" s="53" t="s">
        <v>161</v>
      </c>
      <c r="L14" s="53">
        <v>1</v>
      </c>
      <c r="N14" s="53">
        <v>1</v>
      </c>
      <c r="O14" s="53">
        <v>0.9</v>
      </c>
      <c r="P14" s="53">
        <v>1.05</v>
      </c>
      <c r="Q14" s="75">
        <f t="shared" si="0"/>
        <v>0.97500000000000009</v>
      </c>
      <c r="R14" s="53">
        <v>14.7</v>
      </c>
      <c r="S14" s="53">
        <v>132</v>
      </c>
      <c r="T14" s="16">
        <f t="shared" si="1"/>
        <v>30</v>
      </c>
      <c r="U14" s="53">
        <v>105</v>
      </c>
      <c r="V14" s="16">
        <f t="shared" si="2"/>
        <v>3150</v>
      </c>
      <c r="W14" s="53">
        <v>3</v>
      </c>
      <c r="X14" s="53" t="s">
        <v>46</v>
      </c>
      <c r="Y14" s="53" t="s">
        <v>78</v>
      </c>
      <c r="Z14" s="53" t="s">
        <v>102</v>
      </c>
      <c r="AA14" s="53" t="s">
        <v>55</v>
      </c>
      <c r="AB14" s="53" t="s">
        <v>237</v>
      </c>
      <c r="AE14" s="22" t="s">
        <v>76</v>
      </c>
      <c r="AG14" s="179"/>
      <c r="AP14" s="23" t="s">
        <v>74</v>
      </c>
      <c r="AR14" s="23" t="s">
        <v>125</v>
      </c>
      <c r="AV14" s="23" t="s">
        <v>78</v>
      </c>
    </row>
    <row r="15" spans="1:53" x14ac:dyDescent="0.15">
      <c r="A15" s="53" t="s">
        <v>34</v>
      </c>
      <c r="B15" s="53" t="s">
        <v>234</v>
      </c>
      <c r="C15" s="53">
        <v>2019</v>
      </c>
      <c r="D15" s="176" t="s">
        <v>373</v>
      </c>
      <c r="E15" s="53" t="s">
        <v>386</v>
      </c>
      <c r="F15" s="53" t="s">
        <v>387</v>
      </c>
      <c r="G15" s="53" t="s">
        <v>36</v>
      </c>
      <c r="H15" s="53" t="s">
        <v>160</v>
      </c>
      <c r="I15" s="53" t="s">
        <v>159</v>
      </c>
      <c r="J15" s="53" t="s">
        <v>38</v>
      </c>
      <c r="K15" s="53" t="s">
        <v>161</v>
      </c>
      <c r="L15" s="53">
        <v>2</v>
      </c>
      <c r="N15" s="53">
        <v>1</v>
      </c>
      <c r="O15" s="53">
        <v>0.8</v>
      </c>
      <c r="P15" s="53">
        <v>0.55000000000000004</v>
      </c>
      <c r="Q15" s="75">
        <f t="shared" si="0"/>
        <v>0.67500000000000004</v>
      </c>
      <c r="R15" s="53">
        <v>16.100000000000001</v>
      </c>
      <c r="S15" s="53">
        <v>128</v>
      </c>
      <c r="T15" s="16">
        <f t="shared" si="1"/>
        <v>30</v>
      </c>
      <c r="U15" s="53">
        <v>105</v>
      </c>
      <c r="V15" s="16">
        <f t="shared" si="2"/>
        <v>3150</v>
      </c>
      <c r="W15" s="53">
        <v>3</v>
      </c>
      <c r="X15" s="53" t="s">
        <v>46</v>
      </c>
      <c r="Y15" s="53" t="s">
        <v>78</v>
      </c>
      <c r="Z15" s="53" t="s">
        <v>102</v>
      </c>
      <c r="AA15" s="53" t="s">
        <v>55</v>
      </c>
      <c r="AB15" s="53" t="s">
        <v>237</v>
      </c>
      <c r="AE15" s="22" t="s">
        <v>79</v>
      </c>
      <c r="AP15" s="23" t="s">
        <v>77</v>
      </c>
      <c r="AR15" s="23" t="s">
        <v>94</v>
      </c>
      <c r="AV15" s="23" t="s">
        <v>107</v>
      </c>
    </row>
    <row r="16" spans="1:53" x14ac:dyDescent="0.15">
      <c r="A16" s="53" t="s">
        <v>34</v>
      </c>
      <c r="B16" s="53" t="s">
        <v>234</v>
      </c>
      <c r="C16" s="53">
        <v>2019</v>
      </c>
      <c r="D16" s="176" t="s">
        <v>373</v>
      </c>
      <c r="E16" s="53" t="s">
        <v>386</v>
      </c>
      <c r="F16" s="53" t="s">
        <v>387</v>
      </c>
      <c r="G16" s="53" t="s">
        <v>36</v>
      </c>
      <c r="H16" s="53" t="s">
        <v>160</v>
      </c>
      <c r="I16" s="53" t="s">
        <v>159</v>
      </c>
      <c r="J16" s="53" t="s">
        <v>38</v>
      </c>
      <c r="K16" s="53" t="s">
        <v>161</v>
      </c>
      <c r="L16" s="53">
        <v>3</v>
      </c>
      <c r="N16" s="53">
        <v>1</v>
      </c>
      <c r="O16" s="53">
        <v>0.55000000000000004</v>
      </c>
      <c r="P16" s="53">
        <v>0.8</v>
      </c>
      <c r="Q16" s="75">
        <f t="shared" si="0"/>
        <v>0.67500000000000004</v>
      </c>
      <c r="R16" s="53">
        <v>14.1</v>
      </c>
      <c r="S16" s="53">
        <v>128</v>
      </c>
      <c r="T16" s="16">
        <f t="shared" si="1"/>
        <v>30</v>
      </c>
      <c r="U16" s="53">
        <v>105</v>
      </c>
      <c r="V16" s="16">
        <f t="shared" si="2"/>
        <v>3150</v>
      </c>
      <c r="W16" s="53">
        <v>3</v>
      </c>
      <c r="X16" s="53" t="s">
        <v>46</v>
      </c>
      <c r="Y16" s="53" t="s">
        <v>78</v>
      </c>
      <c r="Z16" s="53" t="s">
        <v>102</v>
      </c>
      <c r="AA16" s="53" t="s">
        <v>55</v>
      </c>
      <c r="AB16" s="53" t="s">
        <v>237</v>
      </c>
      <c r="AE16" s="22" t="s">
        <v>82</v>
      </c>
      <c r="AP16" s="23" t="s">
        <v>80</v>
      </c>
      <c r="AR16" s="23" t="s">
        <v>63</v>
      </c>
      <c r="AV16" s="23" t="s">
        <v>84</v>
      </c>
    </row>
    <row r="17" spans="1:48" x14ac:dyDescent="0.15">
      <c r="A17" s="53" t="s">
        <v>34</v>
      </c>
      <c r="B17" s="53" t="s">
        <v>234</v>
      </c>
      <c r="C17" s="53">
        <v>2019</v>
      </c>
      <c r="D17" s="176" t="s">
        <v>373</v>
      </c>
      <c r="E17" s="53" t="s">
        <v>386</v>
      </c>
      <c r="F17" s="53" t="s">
        <v>387</v>
      </c>
      <c r="G17" s="53" t="s">
        <v>36</v>
      </c>
      <c r="H17" s="53" t="s">
        <v>160</v>
      </c>
      <c r="I17" s="53" t="s">
        <v>159</v>
      </c>
      <c r="J17" s="53" t="s">
        <v>38</v>
      </c>
      <c r="K17" s="53" t="s">
        <v>161</v>
      </c>
      <c r="L17" s="53">
        <v>1</v>
      </c>
      <c r="N17" s="53">
        <v>8</v>
      </c>
      <c r="O17" s="53">
        <v>0.55000000000000004</v>
      </c>
      <c r="P17" s="53">
        <v>0.6</v>
      </c>
      <c r="Q17" s="75">
        <f t="shared" si="0"/>
        <v>0.57499999999999996</v>
      </c>
      <c r="R17" s="53">
        <v>14.1</v>
      </c>
      <c r="S17" s="53">
        <v>108</v>
      </c>
      <c r="T17" s="16">
        <f t="shared" si="1"/>
        <v>33</v>
      </c>
      <c r="U17" s="53">
        <v>645</v>
      </c>
      <c r="V17" s="16">
        <f t="shared" si="2"/>
        <v>2660.625</v>
      </c>
      <c r="W17" s="53">
        <v>3</v>
      </c>
      <c r="X17" s="53" t="s">
        <v>46</v>
      </c>
      <c r="Y17" s="53" t="s">
        <v>78</v>
      </c>
      <c r="Z17" s="53" t="s">
        <v>102</v>
      </c>
      <c r="AA17" s="53" t="s">
        <v>55</v>
      </c>
      <c r="AB17" s="53" t="s">
        <v>237</v>
      </c>
      <c r="AE17" s="22" t="s">
        <v>85</v>
      </c>
      <c r="AP17" s="27" t="s">
        <v>110</v>
      </c>
      <c r="AR17" s="23" t="s">
        <v>96</v>
      </c>
      <c r="AV17" s="23" t="s">
        <v>86</v>
      </c>
    </row>
    <row r="18" spans="1:48" x14ac:dyDescent="0.15">
      <c r="A18" s="53" t="s">
        <v>34</v>
      </c>
      <c r="B18" s="53" t="s">
        <v>234</v>
      </c>
      <c r="C18" s="53">
        <v>2019</v>
      </c>
      <c r="D18" s="176" t="s">
        <v>373</v>
      </c>
      <c r="E18" s="53" t="s">
        <v>386</v>
      </c>
      <c r="F18" s="53" t="s">
        <v>387</v>
      </c>
      <c r="G18" s="53" t="s">
        <v>36</v>
      </c>
      <c r="H18" s="53" t="s">
        <v>160</v>
      </c>
      <c r="I18" s="53" t="s">
        <v>159</v>
      </c>
      <c r="J18" s="53" t="s">
        <v>38</v>
      </c>
      <c r="K18" s="53" t="s">
        <v>161</v>
      </c>
      <c r="L18" s="53">
        <v>2</v>
      </c>
      <c r="N18" s="53">
        <v>8</v>
      </c>
      <c r="O18" s="53">
        <v>0.75</v>
      </c>
      <c r="P18" s="53">
        <v>0.75</v>
      </c>
      <c r="Q18" s="75">
        <f t="shared" si="0"/>
        <v>0.75</v>
      </c>
      <c r="R18" s="53">
        <v>12.4</v>
      </c>
      <c r="S18" s="53">
        <v>108</v>
      </c>
      <c r="T18" s="16">
        <f t="shared" si="1"/>
        <v>33</v>
      </c>
      <c r="U18" s="53">
        <v>645</v>
      </c>
      <c r="V18" s="16">
        <f t="shared" si="2"/>
        <v>2660.625</v>
      </c>
      <c r="W18" s="53">
        <v>3</v>
      </c>
      <c r="X18" s="53" t="s">
        <v>46</v>
      </c>
      <c r="Y18" s="53" t="s">
        <v>78</v>
      </c>
      <c r="Z18" s="53" t="s">
        <v>102</v>
      </c>
      <c r="AA18" s="53" t="s">
        <v>55</v>
      </c>
      <c r="AB18" s="53" t="s">
        <v>237</v>
      </c>
      <c r="AE18" s="22" t="s">
        <v>87</v>
      </c>
      <c r="AP18" s="27" t="s">
        <v>111</v>
      </c>
      <c r="AR18" s="23" t="s">
        <v>101</v>
      </c>
      <c r="AV18" s="23" t="s">
        <v>88</v>
      </c>
    </row>
    <row r="19" spans="1:48" x14ac:dyDescent="0.15">
      <c r="A19" s="53" t="s">
        <v>34</v>
      </c>
      <c r="B19" s="53" t="s">
        <v>234</v>
      </c>
      <c r="C19" s="53">
        <v>2019</v>
      </c>
      <c r="D19" s="176" t="s">
        <v>373</v>
      </c>
      <c r="E19" s="53" t="s">
        <v>386</v>
      </c>
      <c r="F19" s="53" t="s">
        <v>387</v>
      </c>
      <c r="G19" s="53" t="s">
        <v>36</v>
      </c>
      <c r="H19" s="53" t="s">
        <v>160</v>
      </c>
      <c r="I19" s="53" t="s">
        <v>159</v>
      </c>
      <c r="J19" s="53" t="s">
        <v>38</v>
      </c>
      <c r="K19" s="53" t="s">
        <v>161</v>
      </c>
      <c r="L19" s="53">
        <v>3</v>
      </c>
      <c r="N19" s="53">
        <v>8</v>
      </c>
      <c r="O19" s="53">
        <v>0.75</v>
      </c>
      <c r="P19" s="53">
        <v>0.8</v>
      </c>
      <c r="Q19" s="75">
        <f t="shared" si="0"/>
        <v>0.77500000000000002</v>
      </c>
      <c r="R19" s="53">
        <v>14</v>
      </c>
      <c r="S19" s="53">
        <v>116</v>
      </c>
      <c r="T19" s="16">
        <f t="shared" si="1"/>
        <v>30</v>
      </c>
      <c r="U19" s="53">
        <v>645</v>
      </c>
      <c r="V19" s="16">
        <f t="shared" si="2"/>
        <v>2418.75</v>
      </c>
      <c r="W19" s="53">
        <v>3</v>
      </c>
      <c r="X19" s="53" t="s">
        <v>46</v>
      </c>
      <c r="Y19" s="53" t="s">
        <v>78</v>
      </c>
      <c r="Z19" s="53" t="s">
        <v>102</v>
      </c>
      <c r="AA19" s="53" t="s">
        <v>55</v>
      </c>
      <c r="AB19" s="53" t="s">
        <v>237</v>
      </c>
      <c r="AE19" s="35" t="s">
        <v>89</v>
      </c>
      <c r="AP19" s="27" t="s">
        <v>112</v>
      </c>
      <c r="AR19" s="23" t="s">
        <v>126</v>
      </c>
      <c r="AV19" s="23" t="s">
        <v>90</v>
      </c>
    </row>
    <row r="20" spans="1:48" x14ac:dyDescent="0.15">
      <c r="A20" s="53" t="s">
        <v>34</v>
      </c>
      <c r="B20" s="53" t="s">
        <v>234</v>
      </c>
      <c r="C20" s="53">
        <v>2019</v>
      </c>
      <c r="D20" s="176" t="s">
        <v>373</v>
      </c>
      <c r="E20" s="53" t="s">
        <v>388</v>
      </c>
      <c r="F20" s="53" t="s">
        <v>380</v>
      </c>
      <c r="G20" s="53" t="s">
        <v>36</v>
      </c>
      <c r="H20" s="53" t="s">
        <v>164</v>
      </c>
      <c r="I20" s="53" t="s">
        <v>159</v>
      </c>
      <c r="J20" s="53" t="s">
        <v>38</v>
      </c>
      <c r="K20" s="53" t="s">
        <v>161</v>
      </c>
      <c r="L20" s="53">
        <v>1</v>
      </c>
      <c r="N20" s="53">
        <v>1</v>
      </c>
      <c r="O20" s="53">
        <v>0.75</v>
      </c>
      <c r="P20" s="53">
        <v>0.5</v>
      </c>
      <c r="Q20" s="75">
        <f t="shared" si="0"/>
        <v>0.625</v>
      </c>
      <c r="R20" s="53">
        <v>13.7</v>
      </c>
      <c r="S20" s="53">
        <v>120</v>
      </c>
      <c r="T20" s="16">
        <f t="shared" si="1"/>
        <v>30</v>
      </c>
      <c r="U20" s="53">
        <v>120</v>
      </c>
      <c r="V20" s="16">
        <f t="shared" si="2"/>
        <v>3600</v>
      </c>
      <c r="W20" s="53">
        <v>5</v>
      </c>
      <c r="X20" s="53" t="s">
        <v>46</v>
      </c>
      <c r="Y20" s="53" t="s">
        <v>78</v>
      </c>
      <c r="Z20" s="53" t="s">
        <v>102</v>
      </c>
      <c r="AA20" s="53" t="s">
        <v>90</v>
      </c>
      <c r="AB20" s="53" t="s">
        <v>237</v>
      </c>
      <c r="AP20" s="27" t="s">
        <v>113</v>
      </c>
      <c r="AR20" s="23" t="s">
        <v>105</v>
      </c>
      <c r="AV20" s="27" t="s">
        <v>135</v>
      </c>
    </row>
    <row r="21" spans="1:48" x14ac:dyDescent="0.15">
      <c r="A21" s="53" t="s">
        <v>34</v>
      </c>
      <c r="B21" s="53" t="s">
        <v>234</v>
      </c>
      <c r="C21" s="53">
        <v>2019</v>
      </c>
      <c r="D21" s="176" t="s">
        <v>373</v>
      </c>
      <c r="E21" s="53" t="s">
        <v>388</v>
      </c>
      <c r="F21" s="53" t="s">
        <v>380</v>
      </c>
      <c r="G21" s="53" t="s">
        <v>36</v>
      </c>
      <c r="H21" s="53" t="s">
        <v>164</v>
      </c>
      <c r="I21" s="53" t="s">
        <v>159</v>
      </c>
      <c r="J21" s="53" t="s">
        <v>38</v>
      </c>
      <c r="K21" s="53" t="s">
        <v>161</v>
      </c>
      <c r="L21" s="53">
        <v>2</v>
      </c>
      <c r="N21" s="53">
        <v>1</v>
      </c>
      <c r="O21" s="53">
        <v>0.7</v>
      </c>
      <c r="P21" s="53">
        <v>0.65</v>
      </c>
      <c r="Q21" s="75">
        <f t="shared" si="0"/>
        <v>0.67500000000000004</v>
      </c>
      <c r="R21" s="53">
        <v>14.1</v>
      </c>
      <c r="S21" s="53">
        <v>124</v>
      </c>
      <c r="T21" s="16">
        <f t="shared" si="1"/>
        <v>30</v>
      </c>
      <c r="U21" s="53">
        <v>124</v>
      </c>
      <c r="V21" s="16">
        <f t="shared" si="2"/>
        <v>3720</v>
      </c>
      <c r="W21" s="53">
        <v>5</v>
      </c>
      <c r="X21" s="53" t="s">
        <v>46</v>
      </c>
      <c r="Y21" s="53" t="s">
        <v>78</v>
      </c>
      <c r="Z21" s="53" t="s">
        <v>102</v>
      </c>
      <c r="AA21" s="53" t="s">
        <v>90</v>
      </c>
      <c r="AB21" s="53" t="s">
        <v>237</v>
      </c>
      <c r="AP21" s="27" t="s">
        <v>114</v>
      </c>
      <c r="AR21" s="23" t="s">
        <v>68</v>
      </c>
      <c r="AV21" s="27" t="s">
        <v>136</v>
      </c>
    </row>
    <row r="22" spans="1:48" x14ac:dyDescent="0.15">
      <c r="A22" s="53" t="s">
        <v>34</v>
      </c>
      <c r="B22" s="53" t="s">
        <v>234</v>
      </c>
      <c r="C22" s="53">
        <v>2019</v>
      </c>
      <c r="D22" s="176" t="s">
        <v>373</v>
      </c>
      <c r="E22" s="53" t="s">
        <v>388</v>
      </c>
      <c r="F22" s="53" t="s">
        <v>380</v>
      </c>
      <c r="G22" s="53" t="s">
        <v>36</v>
      </c>
      <c r="H22" s="53" t="s">
        <v>164</v>
      </c>
      <c r="I22" s="53" t="s">
        <v>159</v>
      </c>
      <c r="J22" s="53" t="s">
        <v>38</v>
      </c>
      <c r="K22" s="53" t="s">
        <v>161</v>
      </c>
      <c r="L22" s="53">
        <v>3</v>
      </c>
      <c r="N22" s="53">
        <v>1</v>
      </c>
      <c r="O22" s="53">
        <v>0.2</v>
      </c>
      <c r="P22" s="53">
        <v>0.2</v>
      </c>
      <c r="Q22" s="75">
        <f t="shared" si="0"/>
        <v>0.2</v>
      </c>
      <c r="R22" s="53">
        <v>10.9</v>
      </c>
      <c r="S22" s="53">
        <v>116</v>
      </c>
      <c r="T22" s="16">
        <f t="shared" si="1"/>
        <v>30</v>
      </c>
      <c r="U22" s="53">
        <v>116</v>
      </c>
      <c r="V22" s="16">
        <f t="shared" si="2"/>
        <v>3480</v>
      </c>
      <c r="W22" s="53">
        <v>5</v>
      </c>
      <c r="X22" s="53" t="s">
        <v>46</v>
      </c>
      <c r="Y22" s="53" t="s">
        <v>78</v>
      </c>
      <c r="Z22" s="53" t="s">
        <v>102</v>
      </c>
      <c r="AA22" s="53" t="s">
        <v>90</v>
      </c>
      <c r="AB22" s="53" t="s">
        <v>237</v>
      </c>
      <c r="AP22" s="27" t="s">
        <v>115</v>
      </c>
      <c r="AR22" s="23" t="s">
        <v>83</v>
      </c>
      <c r="AV22" s="27"/>
    </row>
    <row r="23" spans="1:48" x14ac:dyDescent="0.15">
      <c r="A23" s="53" t="s">
        <v>34</v>
      </c>
      <c r="B23" s="53" t="s">
        <v>234</v>
      </c>
      <c r="C23" s="53">
        <v>2019</v>
      </c>
      <c r="D23" s="176" t="s">
        <v>373</v>
      </c>
      <c r="E23" s="53" t="s">
        <v>388</v>
      </c>
      <c r="F23" s="53" t="s">
        <v>380</v>
      </c>
      <c r="G23" s="53" t="s">
        <v>36</v>
      </c>
      <c r="H23" s="53" t="s">
        <v>164</v>
      </c>
      <c r="I23" s="53" t="s">
        <v>198</v>
      </c>
      <c r="J23" s="53" t="s">
        <v>38</v>
      </c>
      <c r="K23" s="53" t="s">
        <v>161</v>
      </c>
      <c r="L23" s="53">
        <v>1</v>
      </c>
      <c r="N23" s="53">
        <v>4</v>
      </c>
      <c r="O23" s="53">
        <v>0.2</v>
      </c>
      <c r="P23" s="53">
        <v>0.2</v>
      </c>
      <c r="Q23" s="75">
        <f t="shared" si="0"/>
        <v>0.2</v>
      </c>
      <c r="R23" s="53">
        <v>12.3</v>
      </c>
      <c r="S23" s="53">
        <v>96</v>
      </c>
      <c r="T23" s="16">
        <f t="shared" si="1"/>
        <v>36</v>
      </c>
      <c r="U23" s="53">
        <v>96</v>
      </c>
      <c r="V23" s="16">
        <f t="shared" si="2"/>
        <v>864</v>
      </c>
      <c r="W23" s="53">
        <v>5</v>
      </c>
      <c r="X23" s="53" t="s">
        <v>46</v>
      </c>
      <c r="Y23" s="53" t="s">
        <v>78</v>
      </c>
      <c r="Z23" s="53" t="s">
        <v>102</v>
      </c>
      <c r="AA23" s="53" t="s">
        <v>90</v>
      </c>
      <c r="AB23" s="53" t="s">
        <v>237</v>
      </c>
      <c r="AP23" s="27" t="s">
        <v>117</v>
      </c>
      <c r="AR23" s="23" t="s">
        <v>153</v>
      </c>
    </row>
    <row r="24" spans="1:48" x14ac:dyDescent="0.15">
      <c r="A24" s="53" t="s">
        <v>34</v>
      </c>
      <c r="B24" s="53" t="s">
        <v>234</v>
      </c>
      <c r="C24" s="53">
        <v>2019</v>
      </c>
      <c r="D24" s="176" t="s">
        <v>373</v>
      </c>
      <c r="E24" s="53" t="s">
        <v>388</v>
      </c>
      <c r="F24" s="53" t="s">
        <v>380</v>
      </c>
      <c r="G24" s="53" t="s">
        <v>36</v>
      </c>
      <c r="H24" s="53" t="s">
        <v>164</v>
      </c>
      <c r="I24" s="53" t="s">
        <v>198</v>
      </c>
      <c r="J24" s="53" t="s">
        <v>38</v>
      </c>
      <c r="K24" s="53" t="s">
        <v>161</v>
      </c>
      <c r="L24" s="53">
        <v>2</v>
      </c>
      <c r="N24" s="53">
        <v>4</v>
      </c>
      <c r="O24" s="53">
        <v>0.2</v>
      </c>
      <c r="P24" s="53">
        <v>0.2</v>
      </c>
      <c r="Q24" s="75">
        <f t="shared" si="0"/>
        <v>0.2</v>
      </c>
      <c r="R24" s="53">
        <v>14.2</v>
      </c>
      <c r="S24" s="53">
        <v>100</v>
      </c>
      <c r="T24" s="16">
        <f t="shared" si="1"/>
        <v>33</v>
      </c>
      <c r="U24" s="53">
        <v>100</v>
      </c>
      <c r="V24" s="16">
        <f t="shared" si="2"/>
        <v>825</v>
      </c>
      <c r="W24" s="53">
        <v>5</v>
      </c>
      <c r="X24" s="53" t="s">
        <v>46</v>
      </c>
      <c r="Y24" s="53" t="s">
        <v>78</v>
      </c>
      <c r="Z24" s="53" t="s">
        <v>102</v>
      </c>
      <c r="AA24" s="53" t="s">
        <v>90</v>
      </c>
      <c r="AB24" s="53" t="s">
        <v>237</v>
      </c>
      <c r="AP24" s="27" t="s">
        <v>118</v>
      </c>
    </row>
    <row r="25" spans="1:48" x14ac:dyDescent="0.15">
      <c r="A25" s="53" t="s">
        <v>34</v>
      </c>
      <c r="B25" s="53" t="s">
        <v>234</v>
      </c>
      <c r="C25" s="53">
        <v>2019</v>
      </c>
      <c r="D25" s="176" t="s">
        <v>373</v>
      </c>
      <c r="E25" s="53" t="s">
        <v>388</v>
      </c>
      <c r="F25" s="53" t="s">
        <v>380</v>
      </c>
      <c r="G25" s="53" t="s">
        <v>36</v>
      </c>
      <c r="H25" s="53" t="s">
        <v>164</v>
      </c>
      <c r="I25" s="53" t="s">
        <v>198</v>
      </c>
      <c r="J25" s="53" t="s">
        <v>38</v>
      </c>
      <c r="K25" s="53" t="s">
        <v>161</v>
      </c>
      <c r="L25" s="53">
        <v>3</v>
      </c>
      <c r="N25" s="53">
        <v>4</v>
      </c>
      <c r="O25" s="53">
        <v>0.2</v>
      </c>
      <c r="P25" s="53">
        <v>0.2</v>
      </c>
      <c r="Q25" s="75">
        <f t="shared" si="0"/>
        <v>0.2</v>
      </c>
      <c r="R25" s="53">
        <v>14.5</v>
      </c>
      <c r="S25" s="53">
        <v>98</v>
      </c>
      <c r="T25" s="16">
        <f t="shared" si="1"/>
        <v>36</v>
      </c>
      <c r="U25" s="53">
        <v>98</v>
      </c>
      <c r="V25" s="16">
        <f t="shared" si="2"/>
        <v>882</v>
      </c>
      <c r="W25" s="53">
        <v>5</v>
      </c>
      <c r="X25" s="53" t="s">
        <v>46</v>
      </c>
      <c r="Y25" s="53" t="s">
        <v>78</v>
      </c>
      <c r="Z25" s="53" t="s">
        <v>102</v>
      </c>
      <c r="AA25" s="53" t="s">
        <v>90</v>
      </c>
      <c r="AB25" s="53" t="s">
        <v>237</v>
      </c>
    </row>
    <row r="26" spans="1:48" x14ac:dyDescent="0.15">
      <c r="A26" s="53" t="s">
        <v>34</v>
      </c>
      <c r="B26" s="53" t="s">
        <v>234</v>
      </c>
      <c r="C26" s="53">
        <v>2019</v>
      </c>
      <c r="D26" s="176" t="s">
        <v>373</v>
      </c>
      <c r="E26" s="53" t="s">
        <v>388</v>
      </c>
      <c r="F26" s="53" t="s">
        <v>380</v>
      </c>
      <c r="G26" s="53" t="s">
        <v>36</v>
      </c>
      <c r="H26" s="53" t="s">
        <v>164</v>
      </c>
      <c r="I26" s="53" t="s">
        <v>159</v>
      </c>
      <c r="J26" s="53" t="s">
        <v>38</v>
      </c>
      <c r="K26" s="53" t="s">
        <v>161</v>
      </c>
      <c r="L26" s="53">
        <v>1</v>
      </c>
      <c r="N26" s="53">
        <v>8</v>
      </c>
      <c r="O26" s="53">
        <v>0.2</v>
      </c>
      <c r="P26" s="53">
        <v>0.2</v>
      </c>
      <c r="Q26" s="75">
        <f t="shared" si="0"/>
        <v>0.2</v>
      </c>
      <c r="R26" s="53">
        <v>16.100000000000001</v>
      </c>
      <c r="S26" s="53">
        <v>92</v>
      </c>
      <c r="T26" s="16">
        <f t="shared" si="1"/>
        <v>36</v>
      </c>
      <c r="U26" s="53">
        <v>92</v>
      </c>
      <c r="V26" s="16">
        <f t="shared" si="2"/>
        <v>414</v>
      </c>
      <c r="W26" s="53">
        <v>5</v>
      </c>
      <c r="X26" s="53" t="s">
        <v>46</v>
      </c>
      <c r="Y26" s="53" t="s">
        <v>78</v>
      </c>
      <c r="Z26" s="53" t="s">
        <v>102</v>
      </c>
      <c r="AA26" s="53" t="s">
        <v>90</v>
      </c>
      <c r="AB26" s="53" t="s">
        <v>237</v>
      </c>
    </row>
    <row r="27" spans="1:48" x14ac:dyDescent="0.15">
      <c r="A27" s="53" t="s">
        <v>34</v>
      </c>
      <c r="B27" s="53" t="s">
        <v>234</v>
      </c>
      <c r="C27" s="53">
        <v>2019</v>
      </c>
      <c r="D27" s="176" t="s">
        <v>373</v>
      </c>
      <c r="E27" s="53" t="s">
        <v>388</v>
      </c>
      <c r="F27" s="53" t="s">
        <v>380</v>
      </c>
      <c r="G27" s="53" t="s">
        <v>36</v>
      </c>
      <c r="H27" s="53" t="s">
        <v>164</v>
      </c>
      <c r="I27" s="53" t="s">
        <v>159</v>
      </c>
      <c r="J27" s="53" t="s">
        <v>38</v>
      </c>
      <c r="K27" s="53" t="s">
        <v>161</v>
      </c>
      <c r="L27" s="53">
        <v>2</v>
      </c>
      <c r="N27" s="53">
        <v>8</v>
      </c>
      <c r="O27" s="53">
        <v>0.5</v>
      </c>
      <c r="P27" s="53">
        <v>0.5</v>
      </c>
      <c r="Q27" s="75">
        <f t="shared" si="0"/>
        <v>0.5</v>
      </c>
      <c r="R27" s="53">
        <v>14.7</v>
      </c>
      <c r="S27" s="53">
        <v>93</v>
      </c>
      <c r="T27" s="16">
        <f t="shared" si="1"/>
        <v>36</v>
      </c>
      <c r="U27" s="53">
        <v>93</v>
      </c>
      <c r="V27" s="16">
        <f t="shared" si="2"/>
        <v>418.5</v>
      </c>
      <c r="W27" s="53">
        <v>5</v>
      </c>
      <c r="X27" s="53" t="s">
        <v>46</v>
      </c>
      <c r="Y27" s="53" t="s">
        <v>78</v>
      </c>
      <c r="Z27" s="53" t="s">
        <v>102</v>
      </c>
      <c r="AA27" s="53" t="s">
        <v>90</v>
      </c>
      <c r="AB27" s="53" t="s">
        <v>237</v>
      </c>
    </row>
    <row r="28" spans="1:48" x14ac:dyDescent="0.15">
      <c r="A28" s="53" t="s">
        <v>34</v>
      </c>
      <c r="B28" s="53" t="s">
        <v>234</v>
      </c>
      <c r="C28" s="53">
        <v>2019</v>
      </c>
      <c r="D28" s="176" t="s">
        <v>373</v>
      </c>
      <c r="E28" s="53" t="s">
        <v>388</v>
      </c>
      <c r="F28" s="53" t="s">
        <v>380</v>
      </c>
      <c r="G28" s="53" t="s">
        <v>36</v>
      </c>
      <c r="H28" s="53" t="s">
        <v>164</v>
      </c>
      <c r="I28" s="53" t="s">
        <v>159</v>
      </c>
      <c r="J28" s="53" t="s">
        <v>38</v>
      </c>
      <c r="K28" s="53" t="s">
        <v>161</v>
      </c>
      <c r="L28" s="53">
        <v>3</v>
      </c>
      <c r="N28" s="53">
        <v>8</v>
      </c>
      <c r="O28" s="53">
        <v>0.2</v>
      </c>
      <c r="P28" s="53">
        <v>0.2</v>
      </c>
      <c r="Q28" s="75">
        <f>IF(OR(O28="",P28=""),"",AVERAGE(O28,P28))</f>
        <v>0.2</v>
      </c>
      <c r="R28" s="53">
        <v>14.3</v>
      </c>
      <c r="S28" s="53">
        <v>84</v>
      </c>
      <c r="T28" s="16">
        <f t="shared" si="1"/>
        <v>36</v>
      </c>
      <c r="U28" s="53">
        <v>84</v>
      </c>
      <c r="V28" s="16">
        <f t="shared" si="2"/>
        <v>378</v>
      </c>
      <c r="W28" s="53">
        <v>5</v>
      </c>
      <c r="X28" s="53" t="s">
        <v>46</v>
      </c>
      <c r="Y28" s="53" t="s">
        <v>78</v>
      </c>
      <c r="Z28" s="53" t="s">
        <v>102</v>
      </c>
      <c r="AA28" s="53" t="s">
        <v>90</v>
      </c>
      <c r="AB28" s="53" t="s">
        <v>237</v>
      </c>
    </row>
    <row r="29" spans="1:48" x14ac:dyDescent="0.15">
      <c r="A29" s="53" t="s">
        <v>34</v>
      </c>
      <c r="B29" s="53" t="s">
        <v>234</v>
      </c>
      <c r="C29" s="53">
        <v>2019</v>
      </c>
      <c r="D29" s="176" t="s">
        <v>373</v>
      </c>
      <c r="E29" s="53" t="s">
        <v>388</v>
      </c>
      <c r="F29" s="53" t="s">
        <v>380</v>
      </c>
      <c r="G29" s="53" t="s">
        <v>36</v>
      </c>
      <c r="H29" s="53" t="s">
        <v>160</v>
      </c>
      <c r="I29" s="53" t="s">
        <v>159</v>
      </c>
      <c r="J29" s="53" t="s">
        <v>38</v>
      </c>
      <c r="K29" s="53" t="s">
        <v>161</v>
      </c>
      <c r="L29" s="53">
        <v>1</v>
      </c>
      <c r="N29" s="53">
        <v>1</v>
      </c>
      <c r="O29" s="53">
        <v>0.5</v>
      </c>
      <c r="P29" s="53">
        <v>0.6</v>
      </c>
      <c r="Q29" s="75">
        <f t="shared" si="0"/>
        <v>0.55000000000000004</v>
      </c>
      <c r="R29" s="53">
        <v>15.1</v>
      </c>
      <c r="S29" s="53">
        <v>120</v>
      </c>
      <c r="T29" s="16">
        <f t="shared" si="1"/>
        <v>30</v>
      </c>
      <c r="U29" s="53">
        <v>120</v>
      </c>
      <c r="V29" s="16">
        <f t="shared" si="2"/>
        <v>3600</v>
      </c>
      <c r="W29" s="53">
        <v>5</v>
      </c>
      <c r="X29" s="53" t="s">
        <v>46</v>
      </c>
      <c r="Y29" s="53" t="s">
        <v>78</v>
      </c>
      <c r="Z29" s="53" t="s">
        <v>102</v>
      </c>
      <c r="AA29" s="53" t="s">
        <v>90</v>
      </c>
      <c r="AB29" s="53" t="s">
        <v>237</v>
      </c>
    </row>
    <row r="30" spans="1:48" x14ac:dyDescent="0.15">
      <c r="A30" s="53" t="s">
        <v>34</v>
      </c>
      <c r="B30" s="53" t="s">
        <v>234</v>
      </c>
      <c r="C30" s="53">
        <v>2019</v>
      </c>
      <c r="D30" s="176" t="s">
        <v>373</v>
      </c>
      <c r="E30" s="53" t="s">
        <v>388</v>
      </c>
      <c r="F30" s="53" t="s">
        <v>380</v>
      </c>
      <c r="G30" s="53" t="s">
        <v>36</v>
      </c>
      <c r="H30" s="53" t="s">
        <v>160</v>
      </c>
      <c r="I30" s="53" t="s">
        <v>159</v>
      </c>
      <c r="J30" s="53" t="s">
        <v>38</v>
      </c>
      <c r="K30" s="53" t="s">
        <v>161</v>
      </c>
      <c r="L30" s="53">
        <v>2</v>
      </c>
      <c r="N30" s="53">
        <v>1</v>
      </c>
      <c r="O30" s="53">
        <v>0.55000000000000004</v>
      </c>
      <c r="P30" s="53">
        <v>0.75</v>
      </c>
      <c r="Q30" s="75">
        <f t="shared" si="0"/>
        <v>0.65</v>
      </c>
      <c r="R30" s="53">
        <v>14.3</v>
      </c>
      <c r="S30" s="53">
        <v>124</v>
      </c>
      <c r="T30" s="16">
        <f t="shared" si="1"/>
        <v>30</v>
      </c>
      <c r="U30" s="53">
        <v>124</v>
      </c>
      <c r="V30" s="16">
        <f t="shared" si="2"/>
        <v>3720</v>
      </c>
      <c r="W30" s="53">
        <v>5</v>
      </c>
      <c r="X30" s="53" t="s">
        <v>46</v>
      </c>
      <c r="Y30" s="53" t="s">
        <v>78</v>
      </c>
      <c r="Z30" s="53" t="s">
        <v>102</v>
      </c>
      <c r="AA30" s="53" t="s">
        <v>90</v>
      </c>
      <c r="AB30" s="53" t="s">
        <v>237</v>
      </c>
    </row>
    <row r="31" spans="1:48" x14ac:dyDescent="0.15">
      <c r="A31" s="53" t="s">
        <v>34</v>
      </c>
      <c r="B31" s="53" t="s">
        <v>234</v>
      </c>
      <c r="C31" s="53">
        <v>2019</v>
      </c>
      <c r="D31" s="176" t="s">
        <v>373</v>
      </c>
      <c r="E31" s="53" t="s">
        <v>388</v>
      </c>
      <c r="F31" s="53" t="s">
        <v>380</v>
      </c>
      <c r="G31" s="53" t="s">
        <v>36</v>
      </c>
      <c r="H31" s="53" t="s">
        <v>160</v>
      </c>
      <c r="I31" s="53" t="s">
        <v>159</v>
      </c>
      <c r="J31" s="53" t="s">
        <v>38</v>
      </c>
      <c r="K31" s="53" t="s">
        <v>161</v>
      </c>
      <c r="L31" s="53">
        <v>3</v>
      </c>
      <c r="N31" s="53">
        <v>1</v>
      </c>
      <c r="O31" s="53">
        <v>0.75</v>
      </c>
      <c r="P31" s="53">
        <v>0.2</v>
      </c>
      <c r="Q31" s="75">
        <f t="shared" si="0"/>
        <v>0.47499999999999998</v>
      </c>
      <c r="R31" s="53">
        <v>15.2</v>
      </c>
      <c r="S31" s="53">
        <v>124</v>
      </c>
      <c r="T31" s="16">
        <f t="shared" si="1"/>
        <v>30</v>
      </c>
      <c r="U31" s="53">
        <v>124</v>
      </c>
      <c r="V31" s="16">
        <f t="shared" si="2"/>
        <v>3720</v>
      </c>
      <c r="W31" s="53">
        <v>5</v>
      </c>
      <c r="X31" s="53" t="s">
        <v>46</v>
      </c>
      <c r="Y31" s="53" t="s">
        <v>78</v>
      </c>
      <c r="Z31" s="53" t="s">
        <v>102</v>
      </c>
      <c r="AA31" s="53" t="s">
        <v>90</v>
      </c>
      <c r="AB31" s="53" t="s">
        <v>237</v>
      </c>
    </row>
    <row r="32" spans="1:48" x14ac:dyDescent="0.15">
      <c r="A32" s="53" t="s">
        <v>34</v>
      </c>
      <c r="B32" s="53" t="s">
        <v>234</v>
      </c>
      <c r="C32" s="53">
        <v>2019</v>
      </c>
      <c r="D32" s="176" t="s">
        <v>373</v>
      </c>
      <c r="E32" s="53" t="s">
        <v>388</v>
      </c>
      <c r="F32" s="53" t="s">
        <v>380</v>
      </c>
      <c r="G32" s="53" t="s">
        <v>36</v>
      </c>
      <c r="H32" s="53" t="s">
        <v>160</v>
      </c>
      <c r="I32" s="53" t="s">
        <v>159</v>
      </c>
      <c r="J32" s="53" t="s">
        <v>38</v>
      </c>
      <c r="K32" s="53" t="s">
        <v>161</v>
      </c>
      <c r="L32" s="53">
        <v>1</v>
      </c>
      <c r="N32" s="53">
        <v>8</v>
      </c>
      <c r="O32" s="53">
        <v>0.6</v>
      </c>
      <c r="P32" s="53">
        <v>0.65</v>
      </c>
      <c r="Q32" s="75">
        <f t="shared" si="0"/>
        <v>0.625</v>
      </c>
      <c r="R32" s="53">
        <v>14</v>
      </c>
      <c r="S32" s="53">
        <v>108</v>
      </c>
      <c r="T32" s="16">
        <f t="shared" si="1"/>
        <v>33</v>
      </c>
      <c r="U32" s="53">
        <v>108</v>
      </c>
      <c r="V32" s="16">
        <f t="shared" si="2"/>
        <v>445.5</v>
      </c>
      <c r="W32" s="53">
        <v>5</v>
      </c>
      <c r="X32" s="53" t="s">
        <v>46</v>
      </c>
      <c r="Y32" s="53" t="s">
        <v>78</v>
      </c>
      <c r="Z32" s="53" t="s">
        <v>102</v>
      </c>
      <c r="AA32" s="53" t="s">
        <v>90</v>
      </c>
      <c r="AB32" s="53" t="s">
        <v>237</v>
      </c>
    </row>
    <row r="33" spans="1:28" x14ac:dyDescent="0.15">
      <c r="A33" s="53" t="s">
        <v>34</v>
      </c>
      <c r="B33" s="53" t="s">
        <v>234</v>
      </c>
      <c r="C33" s="53">
        <v>2019</v>
      </c>
      <c r="D33" s="176" t="s">
        <v>373</v>
      </c>
      <c r="E33" s="53" t="s">
        <v>388</v>
      </c>
      <c r="F33" s="53" t="s">
        <v>380</v>
      </c>
      <c r="G33" s="53" t="s">
        <v>36</v>
      </c>
      <c r="H33" s="53" t="s">
        <v>160</v>
      </c>
      <c r="I33" s="53" t="s">
        <v>159</v>
      </c>
      <c r="J33" s="53" t="s">
        <v>38</v>
      </c>
      <c r="K33" s="53" t="s">
        <v>161</v>
      </c>
      <c r="L33" s="53">
        <v>2</v>
      </c>
      <c r="N33" s="53">
        <v>8</v>
      </c>
      <c r="O33" s="53">
        <v>0.65</v>
      </c>
      <c r="P33" s="53">
        <v>0.55000000000000004</v>
      </c>
      <c r="Q33" s="75">
        <f t="shared" si="0"/>
        <v>0.60000000000000009</v>
      </c>
      <c r="R33" s="53">
        <v>14.3</v>
      </c>
      <c r="S33" s="53">
        <v>114</v>
      </c>
      <c r="T33" s="16">
        <f t="shared" si="1"/>
        <v>30</v>
      </c>
      <c r="U33" s="53">
        <v>114</v>
      </c>
      <c r="V33" s="16">
        <f t="shared" si="2"/>
        <v>427.5</v>
      </c>
      <c r="W33" s="53">
        <v>5</v>
      </c>
      <c r="X33" s="53" t="s">
        <v>46</v>
      </c>
      <c r="Y33" s="53" t="s">
        <v>78</v>
      </c>
      <c r="Z33" s="53" t="s">
        <v>102</v>
      </c>
      <c r="AA33" s="53" t="s">
        <v>90</v>
      </c>
      <c r="AB33" s="53" t="s">
        <v>237</v>
      </c>
    </row>
    <row r="34" spans="1:28" x14ac:dyDescent="0.15">
      <c r="A34" s="53" t="s">
        <v>34</v>
      </c>
      <c r="B34" s="53" t="s">
        <v>234</v>
      </c>
      <c r="C34" s="53">
        <v>2019</v>
      </c>
      <c r="D34" s="176" t="s">
        <v>373</v>
      </c>
      <c r="E34" s="53" t="s">
        <v>388</v>
      </c>
      <c r="F34" s="53" t="s">
        <v>380</v>
      </c>
      <c r="G34" s="53" t="s">
        <v>36</v>
      </c>
      <c r="H34" s="53" t="s">
        <v>160</v>
      </c>
      <c r="I34" s="53" t="s">
        <v>159</v>
      </c>
      <c r="J34" s="53" t="s">
        <v>38</v>
      </c>
      <c r="K34" s="53" t="s">
        <v>161</v>
      </c>
      <c r="L34" s="53">
        <v>3</v>
      </c>
      <c r="N34" s="53">
        <v>8</v>
      </c>
      <c r="O34" s="53">
        <v>0.7</v>
      </c>
      <c r="P34" s="53">
        <v>0.85</v>
      </c>
      <c r="Q34" s="75">
        <f>IF(OR(O34="",P34=""),"",AVERAGE(O34,P34))</f>
        <v>0.77499999999999991</v>
      </c>
      <c r="R34" s="53">
        <v>14.5</v>
      </c>
      <c r="S34" s="53">
        <v>114</v>
      </c>
      <c r="T34" s="16">
        <f t="shared" si="1"/>
        <v>30</v>
      </c>
      <c r="U34" s="53">
        <v>114</v>
      </c>
      <c r="V34" s="16">
        <f t="shared" si="2"/>
        <v>427.5</v>
      </c>
      <c r="W34" s="53">
        <v>5</v>
      </c>
      <c r="X34" s="53" t="s">
        <v>46</v>
      </c>
      <c r="Y34" s="53" t="s">
        <v>78</v>
      </c>
      <c r="Z34" s="53" t="s">
        <v>102</v>
      </c>
      <c r="AA34" s="53" t="s">
        <v>90</v>
      </c>
      <c r="AB34" s="53" t="s">
        <v>237</v>
      </c>
    </row>
    <row r="35" spans="1:28" x14ac:dyDescent="0.15">
      <c r="A35" s="53" t="s">
        <v>34</v>
      </c>
      <c r="B35" s="53" t="s">
        <v>234</v>
      </c>
      <c r="C35" s="53">
        <v>2019</v>
      </c>
      <c r="D35" s="176" t="s">
        <v>373</v>
      </c>
      <c r="E35" s="53" t="s">
        <v>388</v>
      </c>
      <c r="F35" s="53" t="s">
        <v>380</v>
      </c>
      <c r="G35" s="53" t="s">
        <v>36</v>
      </c>
      <c r="H35" s="53" t="s">
        <v>160</v>
      </c>
      <c r="I35" s="53" t="s">
        <v>198</v>
      </c>
      <c r="J35" s="53" t="s">
        <v>38</v>
      </c>
      <c r="K35" s="53" t="s">
        <v>161</v>
      </c>
      <c r="L35" s="53">
        <v>1</v>
      </c>
      <c r="N35" s="53">
        <v>4</v>
      </c>
      <c r="O35" s="53">
        <v>0.2</v>
      </c>
      <c r="P35" s="53">
        <v>0.2</v>
      </c>
      <c r="Q35" s="75">
        <f t="shared" ref="Q35:Q36" si="3">IF(OR(O35="",P35=""),"",AVERAGE(O35,P35))</f>
        <v>0.2</v>
      </c>
      <c r="R35" s="53">
        <v>15.7</v>
      </c>
      <c r="S35" s="53">
        <v>108</v>
      </c>
      <c r="T35" s="16">
        <f t="shared" si="1"/>
        <v>33</v>
      </c>
      <c r="U35" s="53">
        <v>108</v>
      </c>
      <c r="V35" s="16">
        <f t="shared" si="2"/>
        <v>891</v>
      </c>
      <c r="W35" s="53">
        <v>5</v>
      </c>
      <c r="X35" s="53" t="s">
        <v>46</v>
      </c>
      <c r="Y35" s="53" t="s">
        <v>78</v>
      </c>
      <c r="Z35" s="53" t="s">
        <v>102</v>
      </c>
      <c r="AA35" s="53" t="s">
        <v>90</v>
      </c>
      <c r="AB35" s="53" t="s">
        <v>237</v>
      </c>
    </row>
    <row r="36" spans="1:28" x14ac:dyDescent="0.15">
      <c r="A36" s="53" t="s">
        <v>34</v>
      </c>
      <c r="B36" s="53" t="s">
        <v>234</v>
      </c>
      <c r="C36" s="53">
        <v>2019</v>
      </c>
      <c r="D36" s="176" t="s">
        <v>373</v>
      </c>
      <c r="E36" s="53" t="s">
        <v>388</v>
      </c>
      <c r="F36" s="53" t="s">
        <v>380</v>
      </c>
      <c r="G36" s="53" t="s">
        <v>36</v>
      </c>
      <c r="H36" s="53" t="s">
        <v>160</v>
      </c>
      <c r="I36" s="53" t="s">
        <v>198</v>
      </c>
      <c r="J36" s="53" t="s">
        <v>38</v>
      </c>
      <c r="K36" s="53" t="s">
        <v>161</v>
      </c>
      <c r="L36" s="53">
        <v>2</v>
      </c>
      <c r="N36" s="53">
        <v>4</v>
      </c>
      <c r="O36" s="53">
        <v>0.2</v>
      </c>
      <c r="P36" s="53">
        <v>0.2</v>
      </c>
      <c r="Q36" s="75">
        <f t="shared" si="3"/>
        <v>0.2</v>
      </c>
      <c r="R36" s="53">
        <v>15.2</v>
      </c>
      <c r="S36" s="53">
        <v>116</v>
      </c>
      <c r="T36" s="16">
        <f t="shared" si="1"/>
        <v>30</v>
      </c>
      <c r="U36" s="53">
        <v>116</v>
      </c>
      <c r="V36" s="16">
        <f t="shared" si="2"/>
        <v>870</v>
      </c>
      <c r="W36" s="53">
        <v>5</v>
      </c>
      <c r="X36" s="53" t="s">
        <v>46</v>
      </c>
      <c r="Y36" s="53" t="s">
        <v>78</v>
      </c>
      <c r="Z36" s="53" t="s">
        <v>102</v>
      </c>
      <c r="AA36" s="53" t="s">
        <v>90</v>
      </c>
      <c r="AB36" s="53" t="s">
        <v>237</v>
      </c>
    </row>
    <row r="37" spans="1:28" x14ac:dyDescent="0.15">
      <c r="A37" s="53" t="s">
        <v>34</v>
      </c>
      <c r="B37" s="53" t="s">
        <v>234</v>
      </c>
      <c r="C37" s="53">
        <v>2019</v>
      </c>
      <c r="D37" s="176" t="s">
        <v>373</v>
      </c>
      <c r="E37" s="53" t="s">
        <v>388</v>
      </c>
      <c r="F37" s="53" t="s">
        <v>380</v>
      </c>
      <c r="G37" s="53" t="s">
        <v>36</v>
      </c>
      <c r="H37" s="53" t="s">
        <v>160</v>
      </c>
      <c r="I37" s="53" t="s">
        <v>198</v>
      </c>
      <c r="J37" s="53" t="s">
        <v>38</v>
      </c>
      <c r="K37" s="53" t="s">
        <v>161</v>
      </c>
      <c r="L37" s="53">
        <v>3</v>
      </c>
      <c r="N37" s="53">
        <v>4</v>
      </c>
      <c r="O37" s="53">
        <v>0.2</v>
      </c>
      <c r="P37" s="53">
        <v>0.2</v>
      </c>
      <c r="Q37" s="75">
        <f>IF(OR(O37="",P37=""),"",AVERAGE(O37,P37))</f>
        <v>0.2</v>
      </c>
      <c r="R37" s="53">
        <v>18</v>
      </c>
      <c r="S37" s="53">
        <v>118</v>
      </c>
      <c r="T37" s="16">
        <f t="shared" si="1"/>
        <v>30</v>
      </c>
      <c r="U37" s="53">
        <v>118</v>
      </c>
      <c r="V37" s="16">
        <f t="shared" si="2"/>
        <v>885</v>
      </c>
      <c r="W37" s="53">
        <v>5</v>
      </c>
      <c r="X37" s="53" t="s">
        <v>46</v>
      </c>
      <c r="Y37" s="53" t="s">
        <v>78</v>
      </c>
      <c r="Z37" s="53" t="s">
        <v>102</v>
      </c>
      <c r="AA37" s="53" t="s">
        <v>90</v>
      </c>
      <c r="AB37" s="53" t="s">
        <v>237</v>
      </c>
    </row>
    <row r="38" spans="1:28" x14ac:dyDescent="0.15">
      <c r="A38" s="53" t="s">
        <v>34</v>
      </c>
      <c r="B38" s="53" t="s">
        <v>234</v>
      </c>
      <c r="C38" s="53">
        <v>2019</v>
      </c>
      <c r="D38" s="176" t="s">
        <v>373</v>
      </c>
      <c r="E38" s="53" t="s">
        <v>379</v>
      </c>
      <c r="F38" s="53" t="s">
        <v>380</v>
      </c>
      <c r="G38" s="53" t="s">
        <v>36</v>
      </c>
      <c r="H38" s="53" t="s">
        <v>164</v>
      </c>
      <c r="I38" s="53" t="s">
        <v>159</v>
      </c>
      <c r="J38" s="53" t="s">
        <v>38</v>
      </c>
      <c r="K38" s="53" t="s">
        <v>161</v>
      </c>
      <c r="L38" s="53">
        <v>1</v>
      </c>
      <c r="N38" s="53">
        <v>1</v>
      </c>
      <c r="O38" s="53">
        <v>0.2</v>
      </c>
      <c r="P38" s="53">
        <v>0.45</v>
      </c>
      <c r="Q38" s="75">
        <f t="shared" ref="Q38:Q39" si="4">IF(OR(O38="",P38=""),"",AVERAGE(O38,P38))</f>
        <v>0.32500000000000001</v>
      </c>
      <c r="R38" s="53">
        <v>13.8</v>
      </c>
      <c r="S38" s="53">
        <v>13.8</v>
      </c>
      <c r="T38" s="16">
        <f t="shared" si="1"/>
        <v>50</v>
      </c>
      <c r="U38" s="53">
        <v>144</v>
      </c>
      <c r="V38" s="16">
        <f t="shared" si="2"/>
        <v>7200</v>
      </c>
      <c r="W38" s="53">
        <v>5</v>
      </c>
      <c r="X38" s="53" t="s">
        <v>46</v>
      </c>
      <c r="Y38" s="53" t="s">
        <v>102</v>
      </c>
      <c r="Z38" s="53" t="s">
        <v>88</v>
      </c>
      <c r="AA38" s="53" t="s">
        <v>78</v>
      </c>
      <c r="AB38" s="53" t="s">
        <v>237</v>
      </c>
    </row>
    <row r="39" spans="1:28" x14ac:dyDescent="0.15">
      <c r="A39" s="53" t="s">
        <v>34</v>
      </c>
      <c r="B39" s="53" t="s">
        <v>234</v>
      </c>
      <c r="C39" s="53">
        <v>2019</v>
      </c>
      <c r="D39" s="176" t="s">
        <v>373</v>
      </c>
      <c r="E39" s="53" t="s">
        <v>379</v>
      </c>
      <c r="F39" s="53" t="s">
        <v>380</v>
      </c>
      <c r="G39" s="53" t="s">
        <v>36</v>
      </c>
      <c r="H39" s="53" t="s">
        <v>164</v>
      </c>
      <c r="I39" s="53" t="s">
        <v>159</v>
      </c>
      <c r="J39" s="53" t="s">
        <v>38</v>
      </c>
      <c r="K39" s="53" t="s">
        <v>161</v>
      </c>
      <c r="L39" s="53">
        <v>2</v>
      </c>
      <c r="N39" s="53">
        <v>1</v>
      </c>
      <c r="O39" s="53">
        <v>0.6</v>
      </c>
      <c r="P39" s="53">
        <v>0.5</v>
      </c>
      <c r="Q39" s="75">
        <f t="shared" si="4"/>
        <v>0.55000000000000004</v>
      </c>
      <c r="R39" s="53">
        <v>12.3</v>
      </c>
      <c r="S39" s="53">
        <v>12.3</v>
      </c>
      <c r="T39" s="16">
        <f t="shared" si="1"/>
        <v>50</v>
      </c>
      <c r="U39" s="53">
        <v>144</v>
      </c>
      <c r="V39" s="16">
        <f t="shared" si="2"/>
        <v>7200</v>
      </c>
      <c r="W39" s="53">
        <v>5</v>
      </c>
      <c r="X39" s="53" t="s">
        <v>46</v>
      </c>
      <c r="Y39" s="53" t="s">
        <v>102</v>
      </c>
      <c r="Z39" s="53" t="s">
        <v>88</v>
      </c>
      <c r="AA39" s="53" t="s">
        <v>78</v>
      </c>
      <c r="AB39" s="53" t="s">
        <v>237</v>
      </c>
    </row>
    <row r="40" spans="1:28" x14ac:dyDescent="0.15">
      <c r="A40" s="53" t="s">
        <v>34</v>
      </c>
      <c r="B40" s="53" t="s">
        <v>234</v>
      </c>
      <c r="C40" s="53">
        <v>2019</v>
      </c>
      <c r="D40" s="176" t="s">
        <v>373</v>
      </c>
      <c r="E40" s="53" t="s">
        <v>379</v>
      </c>
      <c r="F40" s="53" t="s">
        <v>380</v>
      </c>
      <c r="G40" s="53" t="s">
        <v>36</v>
      </c>
      <c r="H40" s="53" t="s">
        <v>164</v>
      </c>
      <c r="I40" s="53" t="s">
        <v>159</v>
      </c>
      <c r="J40" s="53" t="s">
        <v>38</v>
      </c>
      <c r="K40" s="53" t="s">
        <v>161</v>
      </c>
      <c r="L40" s="53">
        <v>3</v>
      </c>
      <c r="N40" s="53">
        <v>1</v>
      </c>
      <c r="O40" s="53">
        <v>0.5</v>
      </c>
      <c r="P40" s="53">
        <v>0.55000000000000004</v>
      </c>
      <c r="Q40" s="75">
        <f>IF(OR(O40="",P40=""),"",AVERAGE(O40,P40))</f>
        <v>0.52500000000000002</v>
      </c>
      <c r="R40" s="53">
        <v>12.3</v>
      </c>
      <c r="S40" s="53">
        <v>12.3</v>
      </c>
      <c r="T40" s="16">
        <f t="shared" si="1"/>
        <v>50</v>
      </c>
      <c r="U40" s="53">
        <v>136</v>
      </c>
      <c r="V40" s="16">
        <f t="shared" si="2"/>
        <v>6800</v>
      </c>
      <c r="W40" s="53">
        <v>5</v>
      </c>
      <c r="X40" s="53" t="s">
        <v>46</v>
      </c>
      <c r="Y40" s="53" t="s">
        <v>102</v>
      </c>
      <c r="Z40" s="53" t="s">
        <v>88</v>
      </c>
      <c r="AA40" s="53" t="s">
        <v>78</v>
      </c>
      <c r="AB40" s="53" t="s">
        <v>237</v>
      </c>
    </row>
    <row r="41" spans="1:28" x14ac:dyDescent="0.15">
      <c r="A41" s="53" t="s">
        <v>34</v>
      </c>
      <c r="B41" s="53" t="s">
        <v>234</v>
      </c>
      <c r="C41" s="53">
        <v>2019</v>
      </c>
      <c r="D41" s="176" t="s">
        <v>373</v>
      </c>
      <c r="E41" s="53" t="s">
        <v>379</v>
      </c>
      <c r="F41" s="53" t="s">
        <v>380</v>
      </c>
      <c r="G41" s="53" t="s">
        <v>36</v>
      </c>
      <c r="H41" s="53" t="s">
        <v>164</v>
      </c>
      <c r="I41" s="53" t="s">
        <v>159</v>
      </c>
      <c r="J41" s="53" t="s">
        <v>38</v>
      </c>
      <c r="K41" s="53" t="s">
        <v>161</v>
      </c>
      <c r="L41" s="53">
        <v>1</v>
      </c>
      <c r="N41" s="53">
        <v>9</v>
      </c>
      <c r="O41" s="53">
        <v>0.6</v>
      </c>
      <c r="P41" s="53">
        <v>0.65</v>
      </c>
      <c r="Q41" s="75">
        <f t="shared" si="0"/>
        <v>0.625</v>
      </c>
      <c r="R41" s="53">
        <v>15</v>
      </c>
      <c r="S41" s="53">
        <v>15</v>
      </c>
      <c r="T41" s="16">
        <f t="shared" si="1"/>
        <v>50</v>
      </c>
      <c r="U41" s="53">
        <v>98</v>
      </c>
      <c r="V41" s="16">
        <f t="shared" si="2"/>
        <v>544.44444444444446</v>
      </c>
      <c r="W41" s="53">
        <v>5</v>
      </c>
      <c r="X41" s="53" t="s">
        <v>46</v>
      </c>
      <c r="Y41" s="53" t="s">
        <v>102</v>
      </c>
      <c r="Z41" s="53" t="s">
        <v>88</v>
      </c>
      <c r="AA41" s="53" t="s">
        <v>78</v>
      </c>
      <c r="AB41" s="53" t="s">
        <v>237</v>
      </c>
    </row>
    <row r="42" spans="1:28" x14ac:dyDescent="0.15">
      <c r="A42" s="53" t="s">
        <v>34</v>
      </c>
      <c r="B42" s="53" t="s">
        <v>234</v>
      </c>
      <c r="C42" s="53">
        <v>2019</v>
      </c>
      <c r="D42" s="176" t="s">
        <v>373</v>
      </c>
      <c r="E42" s="53" t="s">
        <v>379</v>
      </c>
      <c r="F42" s="53" t="s">
        <v>380</v>
      </c>
      <c r="G42" s="53" t="s">
        <v>36</v>
      </c>
      <c r="H42" s="53" t="s">
        <v>164</v>
      </c>
      <c r="I42" s="53" t="s">
        <v>159</v>
      </c>
      <c r="J42" s="53" t="s">
        <v>38</v>
      </c>
      <c r="K42" s="53" t="s">
        <v>161</v>
      </c>
      <c r="L42" s="53">
        <v>2</v>
      </c>
      <c r="N42" s="53">
        <v>9</v>
      </c>
      <c r="O42" s="53">
        <v>0.45</v>
      </c>
      <c r="P42" s="53">
        <v>0.45</v>
      </c>
      <c r="Q42" s="75">
        <f t="shared" si="0"/>
        <v>0.45</v>
      </c>
      <c r="R42" s="53">
        <v>15.1</v>
      </c>
      <c r="S42" s="53">
        <v>15.1</v>
      </c>
      <c r="T42" s="16">
        <f t="shared" si="1"/>
        <v>50</v>
      </c>
      <c r="U42" s="53">
        <v>102</v>
      </c>
      <c r="V42" s="16">
        <f t="shared" si="2"/>
        <v>566.66666666666674</v>
      </c>
      <c r="W42" s="53">
        <v>5</v>
      </c>
      <c r="X42" s="53" t="s">
        <v>46</v>
      </c>
      <c r="Y42" s="53" t="s">
        <v>102</v>
      </c>
      <c r="Z42" s="53" t="s">
        <v>88</v>
      </c>
      <c r="AA42" s="53" t="s">
        <v>78</v>
      </c>
      <c r="AB42" s="53" t="s">
        <v>237</v>
      </c>
    </row>
    <row r="43" spans="1:28" x14ac:dyDescent="0.15">
      <c r="A43" s="53" t="s">
        <v>34</v>
      </c>
      <c r="B43" s="53" t="s">
        <v>234</v>
      </c>
      <c r="C43" s="53">
        <v>2019</v>
      </c>
      <c r="D43" s="176" t="s">
        <v>373</v>
      </c>
      <c r="E43" s="53" t="s">
        <v>379</v>
      </c>
      <c r="F43" s="53" t="s">
        <v>380</v>
      </c>
      <c r="G43" s="53" t="s">
        <v>36</v>
      </c>
      <c r="H43" s="53" t="s">
        <v>164</v>
      </c>
      <c r="I43" s="53" t="s">
        <v>159</v>
      </c>
      <c r="J43" s="53" t="s">
        <v>38</v>
      </c>
      <c r="K43" s="53" t="s">
        <v>161</v>
      </c>
      <c r="L43" s="53">
        <v>3</v>
      </c>
      <c r="N43" s="53">
        <v>9</v>
      </c>
      <c r="O43" s="53">
        <v>0.5</v>
      </c>
      <c r="P43" s="53">
        <v>0.65</v>
      </c>
      <c r="Q43" s="75">
        <f t="shared" si="0"/>
        <v>0.57499999999999996</v>
      </c>
      <c r="R43" s="53">
        <v>14.6</v>
      </c>
      <c r="S43" s="53">
        <v>14.6</v>
      </c>
      <c r="T43" s="16">
        <f t="shared" si="1"/>
        <v>50</v>
      </c>
      <c r="U43" s="53">
        <v>106</v>
      </c>
      <c r="V43" s="16">
        <f t="shared" si="2"/>
        <v>588.88888888888891</v>
      </c>
      <c r="W43" s="53">
        <v>5</v>
      </c>
      <c r="X43" s="53" t="s">
        <v>46</v>
      </c>
      <c r="Y43" s="53" t="s">
        <v>102</v>
      </c>
      <c r="Z43" s="53" t="s">
        <v>88</v>
      </c>
      <c r="AA43" s="53" t="s">
        <v>78</v>
      </c>
      <c r="AB43" s="53" t="s">
        <v>237</v>
      </c>
    </row>
    <row r="44" spans="1:28" x14ac:dyDescent="0.15">
      <c r="A44" s="53" t="s">
        <v>34</v>
      </c>
      <c r="B44" s="53" t="s">
        <v>234</v>
      </c>
      <c r="C44" s="53">
        <v>2019</v>
      </c>
      <c r="D44" s="176" t="s">
        <v>373</v>
      </c>
      <c r="E44" s="53" t="s">
        <v>379</v>
      </c>
      <c r="F44" s="53" t="s">
        <v>380</v>
      </c>
      <c r="G44" s="53" t="s">
        <v>36</v>
      </c>
      <c r="H44" s="53" t="s">
        <v>160</v>
      </c>
      <c r="I44" s="53" t="s">
        <v>159</v>
      </c>
      <c r="J44" s="53" t="s">
        <v>38</v>
      </c>
      <c r="K44" s="53" t="s">
        <v>161</v>
      </c>
      <c r="L44" s="53">
        <v>1</v>
      </c>
      <c r="N44" s="53">
        <v>1</v>
      </c>
      <c r="O44" s="53">
        <v>0.7</v>
      </c>
      <c r="P44" s="53">
        <v>0.2</v>
      </c>
      <c r="Q44" s="75">
        <f t="shared" si="0"/>
        <v>0.44999999999999996</v>
      </c>
      <c r="R44" s="53">
        <v>16.7</v>
      </c>
      <c r="S44" s="53">
        <v>16.7</v>
      </c>
      <c r="T44" s="16">
        <f t="shared" si="1"/>
        <v>50</v>
      </c>
      <c r="U44" s="53">
        <v>140</v>
      </c>
      <c r="V44" s="16">
        <f t="shared" si="2"/>
        <v>7000</v>
      </c>
      <c r="W44" s="53">
        <v>2</v>
      </c>
      <c r="X44" s="53" t="s">
        <v>46</v>
      </c>
      <c r="Y44" s="53" t="s">
        <v>102</v>
      </c>
      <c r="Z44" s="53" t="s">
        <v>88</v>
      </c>
      <c r="AA44" s="53" t="s">
        <v>78</v>
      </c>
      <c r="AB44" s="53" t="s">
        <v>237</v>
      </c>
    </row>
    <row r="45" spans="1:28" x14ac:dyDescent="0.15">
      <c r="A45" s="53" t="s">
        <v>34</v>
      </c>
      <c r="B45" s="53" t="s">
        <v>234</v>
      </c>
      <c r="C45" s="53">
        <v>2019</v>
      </c>
      <c r="D45" s="176" t="s">
        <v>373</v>
      </c>
      <c r="E45" s="53" t="s">
        <v>379</v>
      </c>
      <c r="F45" s="53" t="s">
        <v>380</v>
      </c>
      <c r="G45" s="53" t="s">
        <v>36</v>
      </c>
      <c r="H45" s="53" t="s">
        <v>160</v>
      </c>
      <c r="I45" s="53" t="s">
        <v>159</v>
      </c>
      <c r="J45" s="53" t="s">
        <v>38</v>
      </c>
      <c r="K45" s="53" t="s">
        <v>161</v>
      </c>
      <c r="L45" s="53">
        <v>2</v>
      </c>
      <c r="N45" s="53">
        <v>1</v>
      </c>
      <c r="O45" s="53">
        <v>0.6</v>
      </c>
      <c r="P45" s="53">
        <v>0.45</v>
      </c>
      <c r="Q45" s="75">
        <f t="shared" si="0"/>
        <v>0.52500000000000002</v>
      </c>
      <c r="R45" s="53">
        <v>16.100000000000001</v>
      </c>
      <c r="S45" s="53">
        <v>16.100000000000001</v>
      </c>
      <c r="T45" s="16">
        <f t="shared" si="1"/>
        <v>50</v>
      </c>
      <c r="U45" s="53">
        <v>138</v>
      </c>
      <c r="V45" s="16">
        <f t="shared" si="2"/>
        <v>6900</v>
      </c>
      <c r="W45" s="53">
        <v>2</v>
      </c>
      <c r="X45" s="53" t="s">
        <v>46</v>
      </c>
      <c r="Y45" s="53" t="s">
        <v>102</v>
      </c>
      <c r="Z45" s="53" t="s">
        <v>88</v>
      </c>
      <c r="AA45" s="53" t="s">
        <v>78</v>
      </c>
      <c r="AB45" s="53" t="s">
        <v>237</v>
      </c>
    </row>
    <row r="46" spans="1:28" x14ac:dyDescent="0.15">
      <c r="A46" s="53" t="s">
        <v>34</v>
      </c>
      <c r="B46" s="53" t="s">
        <v>234</v>
      </c>
      <c r="C46" s="53">
        <v>2019</v>
      </c>
      <c r="D46" s="176" t="s">
        <v>373</v>
      </c>
      <c r="E46" s="53" t="s">
        <v>379</v>
      </c>
      <c r="F46" s="53" t="s">
        <v>380</v>
      </c>
      <c r="G46" s="53" t="s">
        <v>36</v>
      </c>
      <c r="H46" s="53" t="s">
        <v>160</v>
      </c>
      <c r="I46" s="53" t="s">
        <v>159</v>
      </c>
      <c r="J46" s="53" t="s">
        <v>38</v>
      </c>
      <c r="K46" s="53" t="s">
        <v>161</v>
      </c>
      <c r="L46" s="53">
        <v>3</v>
      </c>
      <c r="N46" s="53">
        <v>1</v>
      </c>
      <c r="O46" s="53">
        <v>0.2</v>
      </c>
      <c r="P46" s="53">
        <v>0.2</v>
      </c>
      <c r="Q46" s="75">
        <f t="shared" si="0"/>
        <v>0.2</v>
      </c>
      <c r="R46" s="53">
        <v>17</v>
      </c>
      <c r="S46" s="53">
        <v>17</v>
      </c>
      <c r="T46" s="16">
        <f t="shared" si="1"/>
        <v>50</v>
      </c>
      <c r="U46" s="53">
        <v>140</v>
      </c>
      <c r="V46" s="16">
        <f t="shared" si="2"/>
        <v>7000</v>
      </c>
      <c r="W46" s="53">
        <v>2</v>
      </c>
      <c r="X46" s="53" t="s">
        <v>46</v>
      </c>
      <c r="Y46" s="53" t="s">
        <v>102</v>
      </c>
      <c r="Z46" s="53" t="s">
        <v>88</v>
      </c>
      <c r="AA46" s="53" t="s">
        <v>78</v>
      </c>
      <c r="AB46" s="53" t="s">
        <v>237</v>
      </c>
    </row>
    <row r="47" spans="1:28" x14ac:dyDescent="0.15">
      <c r="A47" s="53" t="s">
        <v>34</v>
      </c>
      <c r="B47" s="53" t="s">
        <v>234</v>
      </c>
      <c r="C47" s="53">
        <v>2019</v>
      </c>
      <c r="D47" s="176" t="s">
        <v>373</v>
      </c>
      <c r="E47" s="53" t="s">
        <v>377</v>
      </c>
      <c r="F47" s="53" t="s">
        <v>378</v>
      </c>
      <c r="G47" s="53" t="s">
        <v>36</v>
      </c>
      <c r="H47" s="53" t="s">
        <v>164</v>
      </c>
      <c r="I47" s="53" t="s">
        <v>159</v>
      </c>
      <c r="J47" s="53" t="s">
        <v>38</v>
      </c>
      <c r="K47" s="53" t="s">
        <v>161</v>
      </c>
      <c r="L47" s="53">
        <v>1</v>
      </c>
      <c r="N47" s="53">
        <v>1</v>
      </c>
      <c r="O47" s="53">
        <v>0.95</v>
      </c>
      <c r="P47" s="53">
        <v>1.2</v>
      </c>
      <c r="Q47" s="75">
        <f t="shared" si="0"/>
        <v>1.075</v>
      </c>
      <c r="R47" s="53">
        <v>15.3</v>
      </c>
      <c r="S47" s="53">
        <v>128</v>
      </c>
      <c r="T47" s="16">
        <f t="shared" si="1"/>
        <v>30</v>
      </c>
      <c r="U47" s="53">
        <v>108</v>
      </c>
      <c r="V47" s="16">
        <f t="shared" si="2"/>
        <v>3240</v>
      </c>
      <c r="W47" s="53">
        <v>2</v>
      </c>
      <c r="X47" s="53" t="s">
        <v>46</v>
      </c>
      <c r="Y47" s="53" t="s">
        <v>88</v>
      </c>
      <c r="Z47" s="53" t="s">
        <v>90</v>
      </c>
      <c r="AA47" s="53" t="s">
        <v>78</v>
      </c>
      <c r="AB47" s="53" t="s">
        <v>237</v>
      </c>
    </row>
    <row r="48" spans="1:28" x14ac:dyDescent="0.15">
      <c r="A48" s="53" t="s">
        <v>34</v>
      </c>
      <c r="B48" s="53" t="s">
        <v>234</v>
      </c>
      <c r="C48" s="53">
        <v>2019</v>
      </c>
      <c r="D48" s="176" t="s">
        <v>373</v>
      </c>
      <c r="E48" s="53" t="s">
        <v>377</v>
      </c>
      <c r="F48" s="53" t="s">
        <v>378</v>
      </c>
      <c r="G48" s="53" t="s">
        <v>36</v>
      </c>
      <c r="H48" s="53" t="s">
        <v>164</v>
      </c>
      <c r="I48" s="53" t="s">
        <v>159</v>
      </c>
      <c r="J48" s="53" t="s">
        <v>38</v>
      </c>
      <c r="K48" s="53" t="s">
        <v>161</v>
      </c>
      <c r="L48" s="53">
        <v>2</v>
      </c>
      <c r="N48" s="53">
        <v>1</v>
      </c>
      <c r="O48" s="53">
        <v>0.9</v>
      </c>
      <c r="P48" s="53">
        <v>1.05</v>
      </c>
      <c r="Q48" s="75">
        <f t="shared" si="0"/>
        <v>0.97500000000000009</v>
      </c>
      <c r="R48" s="53">
        <v>15.4</v>
      </c>
      <c r="S48" s="53">
        <v>132</v>
      </c>
      <c r="T48" s="16">
        <f t="shared" si="1"/>
        <v>30</v>
      </c>
      <c r="U48" s="53">
        <v>108</v>
      </c>
      <c r="V48" s="16">
        <f t="shared" si="2"/>
        <v>3240</v>
      </c>
      <c r="W48" s="53">
        <v>2</v>
      </c>
      <c r="X48" s="53" t="s">
        <v>46</v>
      </c>
      <c r="Y48" s="53" t="s">
        <v>88</v>
      </c>
      <c r="Z48" s="53" t="s">
        <v>90</v>
      </c>
      <c r="AA48" s="53" t="s">
        <v>78</v>
      </c>
      <c r="AB48" s="53" t="s">
        <v>237</v>
      </c>
    </row>
    <row r="49" spans="1:28" x14ac:dyDescent="0.15">
      <c r="A49" s="53" t="s">
        <v>34</v>
      </c>
      <c r="B49" s="53" t="s">
        <v>234</v>
      </c>
      <c r="C49" s="53">
        <v>2019</v>
      </c>
      <c r="D49" s="176" t="s">
        <v>373</v>
      </c>
      <c r="E49" s="53" t="s">
        <v>377</v>
      </c>
      <c r="F49" s="53" t="s">
        <v>378</v>
      </c>
      <c r="G49" s="53" t="s">
        <v>36</v>
      </c>
      <c r="H49" s="53" t="s">
        <v>164</v>
      </c>
      <c r="I49" s="53" t="s">
        <v>159</v>
      </c>
      <c r="J49" s="53" t="s">
        <v>38</v>
      </c>
      <c r="K49" s="53" t="s">
        <v>161</v>
      </c>
      <c r="L49" s="53">
        <v>3</v>
      </c>
      <c r="N49" s="53">
        <v>1</v>
      </c>
      <c r="O49" s="53">
        <v>1.1000000000000001</v>
      </c>
      <c r="P49" s="53">
        <v>1.1000000000000001</v>
      </c>
      <c r="Q49" s="75">
        <f t="shared" si="0"/>
        <v>1.1000000000000001</v>
      </c>
      <c r="R49" s="53">
        <v>14.2</v>
      </c>
      <c r="S49" s="53">
        <v>134</v>
      </c>
      <c r="T49" s="16">
        <f t="shared" si="1"/>
        <v>30</v>
      </c>
      <c r="U49" s="53">
        <v>108</v>
      </c>
      <c r="V49" s="16">
        <f t="shared" si="2"/>
        <v>3240</v>
      </c>
      <c r="W49" s="53">
        <v>2</v>
      </c>
      <c r="X49" s="53" t="s">
        <v>46</v>
      </c>
      <c r="Y49" s="53" t="s">
        <v>88</v>
      </c>
      <c r="Z49" s="53" t="s">
        <v>90</v>
      </c>
      <c r="AA49" s="53" t="s">
        <v>78</v>
      </c>
      <c r="AB49" s="53" t="s">
        <v>237</v>
      </c>
    </row>
    <row r="50" spans="1:28" x14ac:dyDescent="0.15">
      <c r="A50" s="53" t="s">
        <v>34</v>
      </c>
      <c r="B50" s="53" t="s">
        <v>234</v>
      </c>
      <c r="C50" s="53">
        <v>2019</v>
      </c>
      <c r="D50" s="176" t="s">
        <v>373</v>
      </c>
      <c r="E50" s="53" t="s">
        <v>377</v>
      </c>
      <c r="F50" s="53" t="s">
        <v>378</v>
      </c>
      <c r="G50" s="53" t="s">
        <v>36</v>
      </c>
      <c r="H50" s="53" t="s">
        <v>164</v>
      </c>
      <c r="I50" s="53" t="s">
        <v>159</v>
      </c>
      <c r="J50" s="53" t="s">
        <v>38</v>
      </c>
      <c r="K50" s="53" t="s">
        <v>161</v>
      </c>
      <c r="L50" s="53">
        <v>1</v>
      </c>
      <c r="N50" s="53">
        <v>4</v>
      </c>
      <c r="O50" s="53">
        <v>7.4999999999999997E-2</v>
      </c>
      <c r="P50" s="53">
        <v>0.9</v>
      </c>
      <c r="Q50" s="75">
        <f t="shared" si="0"/>
        <v>0.48749999999999999</v>
      </c>
      <c r="R50" s="53">
        <v>14</v>
      </c>
      <c r="S50" s="53">
        <v>87</v>
      </c>
      <c r="T50" s="16">
        <f t="shared" si="1"/>
        <v>36</v>
      </c>
      <c r="U50" s="53">
        <v>321</v>
      </c>
      <c r="V50" s="16">
        <f t="shared" si="2"/>
        <v>2889</v>
      </c>
      <c r="W50" s="53">
        <v>2</v>
      </c>
      <c r="X50" s="53" t="s">
        <v>46</v>
      </c>
      <c r="Y50" s="53" t="s">
        <v>88</v>
      </c>
      <c r="Z50" s="53" t="s">
        <v>90</v>
      </c>
      <c r="AA50" s="53" t="s">
        <v>78</v>
      </c>
      <c r="AB50" s="53" t="s">
        <v>237</v>
      </c>
    </row>
    <row r="51" spans="1:28" x14ac:dyDescent="0.15">
      <c r="A51" s="53" t="s">
        <v>34</v>
      </c>
      <c r="B51" s="53" t="s">
        <v>234</v>
      </c>
      <c r="C51" s="53">
        <v>2019</v>
      </c>
      <c r="D51" s="176" t="s">
        <v>373</v>
      </c>
      <c r="E51" s="53" t="s">
        <v>377</v>
      </c>
      <c r="F51" s="53" t="s">
        <v>378</v>
      </c>
      <c r="G51" s="53" t="s">
        <v>36</v>
      </c>
      <c r="H51" s="53" t="s">
        <v>164</v>
      </c>
      <c r="I51" s="53" t="s">
        <v>159</v>
      </c>
      <c r="J51" s="53" t="s">
        <v>38</v>
      </c>
      <c r="K51" s="53" t="s">
        <v>161</v>
      </c>
      <c r="L51" s="53">
        <v>2</v>
      </c>
      <c r="N51" s="53">
        <v>4</v>
      </c>
      <c r="O51" s="53">
        <v>0.75</v>
      </c>
      <c r="P51" s="53">
        <v>0.8</v>
      </c>
      <c r="Q51" s="75">
        <f t="shared" si="0"/>
        <v>0.77500000000000002</v>
      </c>
      <c r="R51" s="53">
        <v>14.6</v>
      </c>
      <c r="S51" s="53">
        <v>90</v>
      </c>
      <c r="T51" s="16">
        <f t="shared" si="1"/>
        <v>36</v>
      </c>
      <c r="U51" s="53">
        <v>321</v>
      </c>
      <c r="V51" s="16">
        <f t="shared" si="2"/>
        <v>2889</v>
      </c>
      <c r="W51" s="53">
        <v>2</v>
      </c>
      <c r="X51" s="53" t="s">
        <v>46</v>
      </c>
      <c r="Y51" s="53" t="s">
        <v>88</v>
      </c>
      <c r="Z51" s="53" t="s">
        <v>90</v>
      </c>
      <c r="AA51" s="53" t="s">
        <v>78</v>
      </c>
      <c r="AB51" s="53" t="s">
        <v>237</v>
      </c>
    </row>
    <row r="52" spans="1:28" x14ac:dyDescent="0.15">
      <c r="A52" s="53" t="s">
        <v>34</v>
      </c>
      <c r="B52" s="53" t="s">
        <v>234</v>
      </c>
      <c r="C52" s="53">
        <v>2019</v>
      </c>
      <c r="D52" s="176" t="s">
        <v>373</v>
      </c>
      <c r="E52" s="53" t="s">
        <v>377</v>
      </c>
      <c r="F52" s="53" t="s">
        <v>378</v>
      </c>
      <c r="G52" s="53" t="s">
        <v>36</v>
      </c>
      <c r="H52" s="53" t="s">
        <v>164</v>
      </c>
      <c r="I52" s="53" t="s">
        <v>159</v>
      </c>
      <c r="J52" s="53" t="s">
        <v>38</v>
      </c>
      <c r="K52" s="53" t="s">
        <v>161</v>
      </c>
      <c r="L52" s="53">
        <v>3</v>
      </c>
      <c r="N52" s="53">
        <v>4</v>
      </c>
      <c r="O52" s="53">
        <v>0.6</v>
      </c>
      <c r="P52" s="53">
        <v>0.55000000000000004</v>
      </c>
      <c r="Q52" s="75">
        <f t="shared" si="0"/>
        <v>0.57499999999999996</v>
      </c>
      <c r="R52" s="53">
        <v>12.8</v>
      </c>
      <c r="S52" s="53">
        <v>92</v>
      </c>
      <c r="T52" s="16">
        <f t="shared" si="1"/>
        <v>36</v>
      </c>
      <c r="U52" s="53">
        <v>321</v>
      </c>
      <c r="V52" s="16">
        <f t="shared" si="2"/>
        <v>2889</v>
      </c>
      <c r="W52" s="53">
        <v>2</v>
      </c>
      <c r="X52" s="53" t="s">
        <v>46</v>
      </c>
      <c r="Y52" s="53" t="s">
        <v>88</v>
      </c>
      <c r="Z52" s="53" t="s">
        <v>90</v>
      </c>
      <c r="AA52" s="53" t="s">
        <v>78</v>
      </c>
      <c r="AB52" s="53" t="s">
        <v>237</v>
      </c>
    </row>
    <row r="53" spans="1:28" x14ac:dyDescent="0.15">
      <c r="A53" s="53" t="s">
        <v>34</v>
      </c>
      <c r="B53" s="53" t="s">
        <v>234</v>
      </c>
      <c r="C53" s="53">
        <v>2019</v>
      </c>
      <c r="D53" s="176" t="s">
        <v>373</v>
      </c>
      <c r="E53" s="53" t="s">
        <v>377</v>
      </c>
      <c r="F53" s="53" t="s">
        <v>378</v>
      </c>
      <c r="G53" s="53" t="s">
        <v>36</v>
      </c>
      <c r="H53" s="53" t="s">
        <v>160</v>
      </c>
      <c r="I53" s="53" t="s">
        <v>159</v>
      </c>
      <c r="J53" s="53" t="s">
        <v>38</v>
      </c>
      <c r="K53" s="53" t="s">
        <v>161</v>
      </c>
      <c r="L53" s="53">
        <v>1</v>
      </c>
      <c r="N53" s="53">
        <v>1</v>
      </c>
      <c r="O53" s="53">
        <v>1.1000000000000001</v>
      </c>
      <c r="P53" s="53">
        <v>0.75</v>
      </c>
      <c r="Q53" s="75">
        <f t="shared" si="0"/>
        <v>0.92500000000000004</v>
      </c>
      <c r="R53" s="53">
        <v>14.1</v>
      </c>
      <c r="S53" s="53">
        <v>122</v>
      </c>
      <c r="T53" s="16">
        <f t="shared" si="1"/>
        <v>30</v>
      </c>
      <c r="U53" s="53">
        <v>108</v>
      </c>
      <c r="V53" s="16">
        <f t="shared" si="2"/>
        <v>3240</v>
      </c>
      <c r="W53" s="53">
        <v>2</v>
      </c>
      <c r="X53" s="53" t="s">
        <v>46</v>
      </c>
      <c r="Y53" s="53" t="s">
        <v>88</v>
      </c>
      <c r="Z53" s="53" t="s">
        <v>90</v>
      </c>
      <c r="AA53" s="53" t="s">
        <v>78</v>
      </c>
      <c r="AB53" s="53" t="s">
        <v>237</v>
      </c>
    </row>
    <row r="54" spans="1:28" x14ac:dyDescent="0.15">
      <c r="A54" s="53" t="s">
        <v>34</v>
      </c>
      <c r="B54" s="53" t="s">
        <v>234</v>
      </c>
      <c r="C54" s="53">
        <v>2019</v>
      </c>
      <c r="D54" s="176" t="s">
        <v>373</v>
      </c>
      <c r="E54" s="53" t="s">
        <v>377</v>
      </c>
      <c r="F54" s="53" t="s">
        <v>378</v>
      </c>
      <c r="G54" s="53" t="s">
        <v>36</v>
      </c>
      <c r="H54" s="53" t="s">
        <v>160</v>
      </c>
      <c r="I54" s="53" t="s">
        <v>159</v>
      </c>
      <c r="J54" s="53" t="s">
        <v>38</v>
      </c>
      <c r="K54" s="53" t="s">
        <v>161</v>
      </c>
      <c r="L54" s="53">
        <v>2</v>
      </c>
      <c r="N54" s="53">
        <v>1</v>
      </c>
      <c r="O54" s="53">
        <v>1.1499999999999999</v>
      </c>
      <c r="P54" s="53">
        <v>0.85</v>
      </c>
      <c r="Q54" s="75">
        <f t="shared" si="0"/>
        <v>1</v>
      </c>
      <c r="R54" s="53">
        <v>15.4</v>
      </c>
      <c r="S54" s="53">
        <v>120</v>
      </c>
      <c r="T54" s="16">
        <f t="shared" si="1"/>
        <v>30</v>
      </c>
      <c r="U54" s="53">
        <v>108</v>
      </c>
      <c r="V54" s="16">
        <f t="shared" si="2"/>
        <v>3240</v>
      </c>
      <c r="W54" s="53">
        <v>2</v>
      </c>
      <c r="X54" s="53" t="s">
        <v>46</v>
      </c>
      <c r="Y54" s="53" t="s">
        <v>88</v>
      </c>
      <c r="Z54" s="53" t="s">
        <v>90</v>
      </c>
      <c r="AA54" s="53" t="s">
        <v>78</v>
      </c>
      <c r="AB54" s="53" t="s">
        <v>237</v>
      </c>
    </row>
    <row r="55" spans="1:28" x14ac:dyDescent="0.15">
      <c r="A55" s="53" t="s">
        <v>34</v>
      </c>
      <c r="B55" s="53" t="s">
        <v>234</v>
      </c>
      <c r="C55" s="53">
        <v>2019</v>
      </c>
      <c r="D55" s="176" t="s">
        <v>373</v>
      </c>
      <c r="E55" s="53" t="s">
        <v>377</v>
      </c>
      <c r="F55" s="53" t="s">
        <v>378</v>
      </c>
      <c r="G55" s="53" t="s">
        <v>36</v>
      </c>
      <c r="H55" s="53" t="s">
        <v>160</v>
      </c>
      <c r="I55" s="53" t="s">
        <v>159</v>
      </c>
      <c r="J55" s="53" t="s">
        <v>38</v>
      </c>
      <c r="K55" s="53" t="s">
        <v>161</v>
      </c>
      <c r="L55" s="53">
        <v>3</v>
      </c>
      <c r="N55" s="53">
        <v>1</v>
      </c>
      <c r="O55" s="53">
        <v>1.05</v>
      </c>
      <c r="P55" s="53">
        <v>1.1000000000000001</v>
      </c>
      <c r="Q55" s="75">
        <f t="shared" si="0"/>
        <v>1.0750000000000002</v>
      </c>
      <c r="R55" s="53">
        <v>14.1</v>
      </c>
      <c r="S55" s="53">
        <v>120</v>
      </c>
      <c r="T55" s="16">
        <f t="shared" si="1"/>
        <v>30</v>
      </c>
      <c r="U55" s="53">
        <v>108</v>
      </c>
      <c r="V55" s="16">
        <f t="shared" si="2"/>
        <v>3240</v>
      </c>
      <c r="W55" s="53">
        <v>2</v>
      </c>
      <c r="X55" s="53" t="s">
        <v>46</v>
      </c>
      <c r="Y55" s="53" t="s">
        <v>88</v>
      </c>
      <c r="Z55" s="53" t="s">
        <v>90</v>
      </c>
      <c r="AA55" s="53" t="s">
        <v>78</v>
      </c>
      <c r="AB55" s="53" t="s">
        <v>237</v>
      </c>
    </row>
    <row r="56" spans="1:28" x14ac:dyDescent="0.15">
      <c r="A56" s="53" t="s">
        <v>34</v>
      </c>
      <c r="B56" s="53" t="s">
        <v>234</v>
      </c>
      <c r="C56" s="53">
        <v>2019</v>
      </c>
      <c r="D56" s="176" t="s">
        <v>373</v>
      </c>
      <c r="E56" s="53" t="s">
        <v>377</v>
      </c>
      <c r="F56" s="53" t="s">
        <v>378</v>
      </c>
      <c r="G56" s="53" t="s">
        <v>36</v>
      </c>
      <c r="H56" s="53" t="s">
        <v>160</v>
      </c>
      <c r="I56" s="53" t="s">
        <v>159</v>
      </c>
      <c r="J56" s="53" t="s">
        <v>38</v>
      </c>
      <c r="K56" s="53" t="s">
        <v>161</v>
      </c>
      <c r="L56" s="53">
        <v>1</v>
      </c>
      <c r="N56" s="53">
        <v>4</v>
      </c>
      <c r="O56" s="53">
        <v>0.7</v>
      </c>
      <c r="P56" s="53">
        <v>0.55000000000000004</v>
      </c>
      <c r="Q56" s="75">
        <f t="shared" si="0"/>
        <v>0.625</v>
      </c>
      <c r="R56" s="53">
        <v>15.2</v>
      </c>
      <c r="S56" s="53">
        <v>114</v>
      </c>
      <c r="T56" s="16">
        <f t="shared" si="1"/>
        <v>30</v>
      </c>
      <c r="U56" s="53">
        <v>429</v>
      </c>
      <c r="V56" s="16">
        <f t="shared" si="2"/>
        <v>3217.5</v>
      </c>
      <c r="W56" s="53">
        <v>2</v>
      </c>
      <c r="X56" s="53" t="s">
        <v>46</v>
      </c>
      <c r="Y56" s="53" t="s">
        <v>88</v>
      </c>
      <c r="Z56" s="53" t="s">
        <v>90</v>
      </c>
      <c r="AA56" s="53" t="s">
        <v>78</v>
      </c>
      <c r="AB56" s="53" t="s">
        <v>237</v>
      </c>
    </row>
    <row r="57" spans="1:28" x14ac:dyDescent="0.15">
      <c r="A57" s="53" t="s">
        <v>34</v>
      </c>
      <c r="B57" s="53" t="s">
        <v>234</v>
      </c>
      <c r="C57" s="53">
        <v>2019</v>
      </c>
      <c r="D57" s="176" t="s">
        <v>373</v>
      </c>
      <c r="E57" s="53" t="s">
        <v>377</v>
      </c>
      <c r="F57" s="53" t="s">
        <v>378</v>
      </c>
      <c r="G57" s="53" t="s">
        <v>36</v>
      </c>
      <c r="H57" s="53" t="s">
        <v>160</v>
      </c>
      <c r="I57" s="53" t="s">
        <v>159</v>
      </c>
      <c r="J57" s="53" t="s">
        <v>38</v>
      </c>
      <c r="K57" s="53" t="s">
        <v>161</v>
      </c>
      <c r="L57" s="53">
        <v>2</v>
      </c>
      <c r="N57" s="53">
        <v>4</v>
      </c>
      <c r="O57" s="53">
        <v>0.45</v>
      </c>
      <c r="P57" s="53">
        <v>0.5</v>
      </c>
      <c r="Q57" s="75">
        <f t="shared" si="0"/>
        <v>0.47499999999999998</v>
      </c>
      <c r="R57" s="53">
        <v>14.2</v>
      </c>
      <c r="S57" s="53">
        <v>114</v>
      </c>
      <c r="T57" s="16">
        <f t="shared" si="1"/>
        <v>30</v>
      </c>
      <c r="U57" s="53">
        <v>429</v>
      </c>
      <c r="V57" s="16">
        <f t="shared" si="2"/>
        <v>3217.5</v>
      </c>
      <c r="W57" s="53">
        <v>2</v>
      </c>
      <c r="X57" s="53" t="s">
        <v>46</v>
      </c>
      <c r="Y57" s="53" t="s">
        <v>88</v>
      </c>
      <c r="Z57" s="53" t="s">
        <v>90</v>
      </c>
      <c r="AA57" s="53" t="s">
        <v>78</v>
      </c>
      <c r="AB57" s="53" t="s">
        <v>237</v>
      </c>
    </row>
    <row r="58" spans="1:28" x14ac:dyDescent="0.15">
      <c r="A58" s="53" t="s">
        <v>34</v>
      </c>
      <c r="B58" s="53" t="s">
        <v>234</v>
      </c>
      <c r="C58" s="53">
        <v>2019</v>
      </c>
      <c r="D58" s="176" t="s">
        <v>373</v>
      </c>
      <c r="E58" s="53" t="s">
        <v>377</v>
      </c>
      <c r="F58" s="53" t="s">
        <v>378</v>
      </c>
      <c r="G58" s="53" t="s">
        <v>36</v>
      </c>
      <c r="H58" s="53" t="s">
        <v>160</v>
      </c>
      <c r="I58" s="53" t="s">
        <v>159</v>
      </c>
      <c r="J58" s="53" t="s">
        <v>38</v>
      </c>
      <c r="K58" s="53" t="s">
        <v>161</v>
      </c>
      <c r="L58" s="53">
        <v>3</v>
      </c>
      <c r="N58" s="53">
        <v>4</v>
      </c>
      <c r="O58" s="53">
        <v>0.75</v>
      </c>
      <c r="P58" s="53">
        <v>0.8</v>
      </c>
      <c r="Q58" s="75">
        <f t="shared" si="0"/>
        <v>0.77500000000000002</v>
      </c>
      <c r="R58" s="53">
        <v>14.3</v>
      </c>
      <c r="S58" s="53">
        <v>108</v>
      </c>
      <c r="T58" s="16">
        <f t="shared" si="1"/>
        <v>33</v>
      </c>
      <c r="U58" s="53">
        <v>429</v>
      </c>
      <c r="V58" s="16">
        <f t="shared" si="2"/>
        <v>3539.25</v>
      </c>
      <c r="W58" s="53">
        <v>2</v>
      </c>
      <c r="X58" s="53" t="s">
        <v>46</v>
      </c>
      <c r="Y58" s="53" t="s">
        <v>88</v>
      </c>
      <c r="Z58" s="53" t="s">
        <v>90</v>
      </c>
      <c r="AA58" s="53" t="s">
        <v>78</v>
      </c>
      <c r="AB58" s="53" t="s">
        <v>237</v>
      </c>
    </row>
    <row r="59" spans="1:28" x14ac:dyDescent="0.15">
      <c r="A59" s="53" t="s">
        <v>34</v>
      </c>
      <c r="B59" s="53" t="s">
        <v>234</v>
      </c>
      <c r="C59" s="53">
        <v>2019</v>
      </c>
      <c r="D59" s="176" t="s">
        <v>373</v>
      </c>
      <c r="E59" s="53" t="s">
        <v>211</v>
      </c>
      <c r="F59" s="53" t="s">
        <v>390</v>
      </c>
      <c r="G59" s="53" t="s">
        <v>36</v>
      </c>
      <c r="H59" s="53" t="s">
        <v>164</v>
      </c>
      <c r="I59" s="53" t="s">
        <v>159</v>
      </c>
      <c r="J59" s="53" t="s">
        <v>38</v>
      </c>
      <c r="K59" s="53" t="s">
        <v>161</v>
      </c>
      <c r="L59" s="53">
        <v>1</v>
      </c>
      <c r="N59" s="53">
        <v>1</v>
      </c>
      <c r="O59" s="53">
        <v>0.6</v>
      </c>
      <c r="P59" s="53">
        <v>0.65</v>
      </c>
      <c r="Q59" s="75">
        <f t="shared" si="0"/>
        <v>0.625</v>
      </c>
      <c r="R59" s="53">
        <v>14.4</v>
      </c>
      <c r="S59" s="53">
        <v>118</v>
      </c>
      <c r="T59" s="16">
        <f t="shared" si="1"/>
        <v>30</v>
      </c>
      <c r="U59" s="53">
        <v>104</v>
      </c>
      <c r="V59" s="16">
        <f t="shared" si="2"/>
        <v>3120</v>
      </c>
      <c r="W59" s="53">
        <v>2</v>
      </c>
      <c r="X59" s="53" t="s">
        <v>46</v>
      </c>
      <c r="Y59" s="53" t="s">
        <v>88</v>
      </c>
      <c r="Z59" s="53" t="s">
        <v>90</v>
      </c>
      <c r="AA59" s="53" t="s">
        <v>78</v>
      </c>
      <c r="AB59" s="53" t="s">
        <v>237</v>
      </c>
    </row>
    <row r="60" spans="1:28" x14ac:dyDescent="0.15">
      <c r="A60" s="53" t="s">
        <v>34</v>
      </c>
      <c r="B60" s="53" t="s">
        <v>234</v>
      </c>
      <c r="C60" s="53">
        <v>2019</v>
      </c>
      <c r="D60" s="176" t="s">
        <v>373</v>
      </c>
      <c r="E60" s="53" t="s">
        <v>211</v>
      </c>
      <c r="F60" s="53" t="s">
        <v>390</v>
      </c>
      <c r="G60" s="53" t="s">
        <v>36</v>
      </c>
      <c r="H60" s="53" t="s">
        <v>164</v>
      </c>
      <c r="I60" s="53" t="s">
        <v>159</v>
      </c>
      <c r="J60" s="53" t="s">
        <v>38</v>
      </c>
      <c r="K60" s="53" t="s">
        <v>161</v>
      </c>
      <c r="L60" s="53">
        <v>2</v>
      </c>
      <c r="N60" s="53">
        <v>1</v>
      </c>
      <c r="O60" s="53">
        <v>0.2</v>
      </c>
      <c r="P60" s="53">
        <v>0.2</v>
      </c>
      <c r="Q60" s="75">
        <f t="shared" si="0"/>
        <v>0.2</v>
      </c>
      <c r="R60" s="53">
        <v>14.4</v>
      </c>
      <c r="S60" s="53">
        <v>120</v>
      </c>
      <c r="T60" s="16">
        <f t="shared" si="1"/>
        <v>30</v>
      </c>
      <c r="U60" s="53">
        <v>104</v>
      </c>
      <c r="V60" s="16">
        <f t="shared" si="2"/>
        <v>3120</v>
      </c>
      <c r="W60" s="53">
        <v>2</v>
      </c>
      <c r="X60" s="53" t="s">
        <v>46</v>
      </c>
      <c r="Y60" s="53" t="s">
        <v>102</v>
      </c>
      <c r="Z60" s="53" t="s">
        <v>90</v>
      </c>
      <c r="AA60" s="53" t="s">
        <v>78</v>
      </c>
      <c r="AB60" s="53" t="s">
        <v>237</v>
      </c>
    </row>
    <row r="61" spans="1:28" x14ac:dyDescent="0.15">
      <c r="A61" s="53" t="s">
        <v>34</v>
      </c>
      <c r="B61" s="53" t="s">
        <v>234</v>
      </c>
      <c r="C61" s="53">
        <v>2019</v>
      </c>
      <c r="D61" s="176" t="s">
        <v>373</v>
      </c>
      <c r="E61" s="53" t="s">
        <v>211</v>
      </c>
      <c r="F61" s="53" t="s">
        <v>390</v>
      </c>
      <c r="G61" s="53" t="s">
        <v>36</v>
      </c>
      <c r="H61" s="53" t="s">
        <v>164</v>
      </c>
      <c r="I61" s="53" t="s">
        <v>159</v>
      </c>
      <c r="J61" s="53" t="s">
        <v>38</v>
      </c>
      <c r="K61" s="53" t="s">
        <v>161</v>
      </c>
      <c r="L61" s="53">
        <v>3</v>
      </c>
      <c r="N61" s="53">
        <v>1</v>
      </c>
      <c r="O61" s="53">
        <v>0.75</v>
      </c>
      <c r="P61" s="53">
        <v>0.5</v>
      </c>
      <c r="Q61" s="75">
        <f t="shared" si="0"/>
        <v>0.625</v>
      </c>
      <c r="R61" s="53">
        <v>14.3</v>
      </c>
      <c r="S61" s="53">
        <v>116</v>
      </c>
      <c r="T61" s="16">
        <f t="shared" si="1"/>
        <v>30</v>
      </c>
      <c r="U61" s="53">
        <v>104</v>
      </c>
      <c r="V61" s="16">
        <f t="shared" si="2"/>
        <v>3120</v>
      </c>
      <c r="W61" s="53">
        <v>2</v>
      </c>
      <c r="X61" s="53" t="s">
        <v>46</v>
      </c>
      <c r="Y61" s="53" t="s">
        <v>102</v>
      </c>
      <c r="Z61" s="53" t="s">
        <v>90</v>
      </c>
      <c r="AA61" s="53" t="s">
        <v>78</v>
      </c>
      <c r="AB61" s="53" t="s">
        <v>237</v>
      </c>
    </row>
    <row r="62" spans="1:28" x14ac:dyDescent="0.15">
      <c r="A62" s="53" t="s">
        <v>34</v>
      </c>
      <c r="B62" s="53" t="s">
        <v>234</v>
      </c>
      <c r="C62" s="53">
        <v>2019</v>
      </c>
      <c r="D62" s="176" t="s">
        <v>373</v>
      </c>
      <c r="E62" s="53" t="s">
        <v>211</v>
      </c>
      <c r="F62" s="53" t="s">
        <v>390</v>
      </c>
      <c r="G62" s="53" t="s">
        <v>36</v>
      </c>
      <c r="H62" s="53" t="s">
        <v>164</v>
      </c>
      <c r="I62" s="53" t="s">
        <v>159</v>
      </c>
      <c r="J62" s="53" t="s">
        <v>38</v>
      </c>
      <c r="K62" s="53" t="s">
        <v>161</v>
      </c>
      <c r="L62" s="53">
        <v>1</v>
      </c>
      <c r="N62" s="53">
        <v>4</v>
      </c>
      <c r="O62" s="53">
        <v>0.2</v>
      </c>
      <c r="P62" s="53">
        <v>0.2</v>
      </c>
      <c r="Q62" s="75">
        <f t="shared" si="0"/>
        <v>0.2</v>
      </c>
      <c r="R62" s="53">
        <v>14</v>
      </c>
      <c r="S62" s="53">
        <v>99</v>
      </c>
      <c r="T62" s="16">
        <f t="shared" si="1"/>
        <v>33</v>
      </c>
      <c r="U62" s="53">
        <v>407</v>
      </c>
      <c r="V62" s="16">
        <f t="shared" si="2"/>
        <v>3357.75</v>
      </c>
      <c r="W62" s="53">
        <v>2</v>
      </c>
      <c r="X62" s="53" t="s">
        <v>46</v>
      </c>
      <c r="Y62" s="53" t="s">
        <v>102</v>
      </c>
      <c r="Z62" s="53" t="s">
        <v>90</v>
      </c>
      <c r="AA62" s="53" t="s">
        <v>78</v>
      </c>
      <c r="AB62" s="53" t="s">
        <v>237</v>
      </c>
    </row>
    <row r="63" spans="1:28" x14ac:dyDescent="0.15">
      <c r="A63" s="53" t="s">
        <v>34</v>
      </c>
      <c r="B63" s="53" t="s">
        <v>234</v>
      </c>
      <c r="C63" s="53">
        <v>2019</v>
      </c>
      <c r="D63" s="176" t="s">
        <v>373</v>
      </c>
      <c r="E63" s="53" t="s">
        <v>211</v>
      </c>
      <c r="F63" s="53" t="s">
        <v>390</v>
      </c>
      <c r="G63" s="53" t="s">
        <v>36</v>
      </c>
      <c r="H63" s="53" t="s">
        <v>164</v>
      </c>
      <c r="I63" s="53" t="s">
        <v>159</v>
      </c>
      <c r="J63" s="53" t="s">
        <v>38</v>
      </c>
      <c r="K63" s="53" t="s">
        <v>161</v>
      </c>
      <c r="L63" s="53">
        <v>2</v>
      </c>
      <c r="N63" s="53">
        <v>4</v>
      </c>
      <c r="O63" s="53">
        <v>0.2</v>
      </c>
      <c r="P63" s="53">
        <v>0.2</v>
      </c>
      <c r="Q63" s="75">
        <f t="shared" si="0"/>
        <v>0.2</v>
      </c>
      <c r="R63" s="53">
        <v>11.8</v>
      </c>
      <c r="S63" s="53">
        <v>95</v>
      </c>
      <c r="T63" s="16">
        <f t="shared" si="1"/>
        <v>36</v>
      </c>
      <c r="U63" s="53">
        <v>407</v>
      </c>
      <c r="V63" s="16">
        <f t="shared" si="2"/>
        <v>3663</v>
      </c>
      <c r="W63" s="53">
        <v>2</v>
      </c>
      <c r="X63" s="53" t="s">
        <v>46</v>
      </c>
      <c r="Y63" s="53" t="s">
        <v>102</v>
      </c>
      <c r="Z63" s="53" t="s">
        <v>90</v>
      </c>
      <c r="AA63" s="53" t="s">
        <v>78</v>
      </c>
      <c r="AB63" s="53" t="s">
        <v>237</v>
      </c>
    </row>
    <row r="64" spans="1:28" x14ac:dyDescent="0.15">
      <c r="A64" s="53" t="s">
        <v>34</v>
      </c>
      <c r="B64" s="53" t="s">
        <v>234</v>
      </c>
      <c r="C64" s="53">
        <v>2019</v>
      </c>
      <c r="D64" s="176" t="s">
        <v>373</v>
      </c>
      <c r="E64" s="53" t="s">
        <v>211</v>
      </c>
      <c r="F64" s="53" t="s">
        <v>390</v>
      </c>
      <c r="G64" s="53" t="s">
        <v>36</v>
      </c>
      <c r="H64" s="53" t="s">
        <v>164</v>
      </c>
      <c r="I64" s="53" t="s">
        <v>159</v>
      </c>
      <c r="J64" s="53" t="s">
        <v>38</v>
      </c>
      <c r="K64" s="53" t="s">
        <v>161</v>
      </c>
      <c r="L64" s="53">
        <v>3</v>
      </c>
      <c r="N64" s="53">
        <v>4</v>
      </c>
      <c r="O64" s="53">
        <v>0.2</v>
      </c>
      <c r="P64" s="53">
        <v>0.5</v>
      </c>
      <c r="Q64" s="75">
        <f t="shared" si="0"/>
        <v>0.35</v>
      </c>
      <c r="R64" s="53">
        <v>13.8</v>
      </c>
      <c r="S64" s="53">
        <v>94</v>
      </c>
      <c r="T64" s="16">
        <f t="shared" si="1"/>
        <v>36</v>
      </c>
      <c r="U64" s="53">
        <v>407</v>
      </c>
      <c r="V64" s="16">
        <f t="shared" si="2"/>
        <v>3663</v>
      </c>
      <c r="W64" s="53">
        <v>2</v>
      </c>
      <c r="X64" s="53" t="s">
        <v>46</v>
      </c>
      <c r="Y64" s="53" t="s">
        <v>102</v>
      </c>
      <c r="Z64" s="53" t="s">
        <v>90</v>
      </c>
      <c r="AA64" s="53" t="s">
        <v>78</v>
      </c>
      <c r="AB64" s="53" t="s">
        <v>237</v>
      </c>
    </row>
    <row r="65" spans="1:28" x14ac:dyDescent="0.15">
      <c r="A65" s="53" t="s">
        <v>34</v>
      </c>
      <c r="B65" s="53" t="s">
        <v>234</v>
      </c>
      <c r="C65" s="53">
        <v>2019</v>
      </c>
      <c r="D65" s="176" t="s">
        <v>373</v>
      </c>
      <c r="E65" s="53" t="s">
        <v>211</v>
      </c>
      <c r="F65" s="53" t="s">
        <v>390</v>
      </c>
      <c r="G65" s="53" t="s">
        <v>36</v>
      </c>
      <c r="H65" s="53" t="s">
        <v>160</v>
      </c>
      <c r="I65" s="53" t="s">
        <v>159</v>
      </c>
      <c r="J65" s="53" t="s">
        <v>38</v>
      </c>
      <c r="K65" s="53" t="s">
        <v>161</v>
      </c>
      <c r="L65" s="53">
        <v>1</v>
      </c>
      <c r="N65" s="53">
        <v>1</v>
      </c>
      <c r="O65" s="53">
        <v>0.75</v>
      </c>
      <c r="P65" s="53">
        <v>0.5</v>
      </c>
      <c r="Q65" s="75">
        <f t="shared" si="0"/>
        <v>0.625</v>
      </c>
      <c r="R65" s="53">
        <v>17.399999999999999</v>
      </c>
      <c r="S65" s="53">
        <v>140</v>
      </c>
      <c r="T65" s="16">
        <f t="shared" si="1"/>
        <v>30</v>
      </c>
      <c r="U65" s="53">
        <v>104</v>
      </c>
      <c r="V65" s="16">
        <f t="shared" si="2"/>
        <v>3120</v>
      </c>
      <c r="W65" s="53">
        <v>2</v>
      </c>
      <c r="X65" s="53" t="s">
        <v>46</v>
      </c>
      <c r="Y65" s="53" t="s">
        <v>102</v>
      </c>
      <c r="Z65" s="53" t="s">
        <v>90</v>
      </c>
      <c r="AA65" s="53" t="s">
        <v>78</v>
      </c>
      <c r="AB65" s="53" t="s">
        <v>237</v>
      </c>
    </row>
    <row r="66" spans="1:28" x14ac:dyDescent="0.15">
      <c r="A66" s="53" t="s">
        <v>34</v>
      </c>
      <c r="B66" s="53" t="s">
        <v>234</v>
      </c>
      <c r="C66" s="53">
        <v>2019</v>
      </c>
      <c r="D66" s="176" t="s">
        <v>373</v>
      </c>
      <c r="E66" s="53" t="s">
        <v>211</v>
      </c>
      <c r="F66" s="53" t="s">
        <v>390</v>
      </c>
      <c r="G66" s="53" t="s">
        <v>36</v>
      </c>
      <c r="H66" s="53" t="s">
        <v>160</v>
      </c>
      <c r="I66" s="53" t="s">
        <v>159</v>
      </c>
      <c r="J66" s="53" t="s">
        <v>38</v>
      </c>
      <c r="K66" s="53" t="s">
        <v>161</v>
      </c>
      <c r="L66" s="53">
        <v>2</v>
      </c>
      <c r="N66" s="53">
        <v>1</v>
      </c>
      <c r="O66" s="53">
        <v>0.45</v>
      </c>
      <c r="P66" s="53">
        <v>0.2</v>
      </c>
      <c r="Q66" s="75">
        <f t="shared" si="0"/>
        <v>0.32500000000000001</v>
      </c>
      <c r="R66" s="53">
        <v>17.2</v>
      </c>
      <c r="S66" s="53">
        <v>134</v>
      </c>
      <c r="T66" s="16">
        <f t="shared" si="1"/>
        <v>30</v>
      </c>
      <c r="U66" s="53">
        <v>104</v>
      </c>
      <c r="V66" s="16">
        <f t="shared" si="2"/>
        <v>3120</v>
      </c>
      <c r="W66" s="53">
        <v>2</v>
      </c>
      <c r="X66" s="53" t="s">
        <v>46</v>
      </c>
      <c r="Y66" s="53" t="s">
        <v>102</v>
      </c>
      <c r="Z66" s="53" t="s">
        <v>90</v>
      </c>
      <c r="AA66" s="53" t="s">
        <v>78</v>
      </c>
      <c r="AB66" s="53" t="s">
        <v>237</v>
      </c>
    </row>
    <row r="67" spans="1:28" x14ac:dyDescent="0.15">
      <c r="A67" s="53" t="s">
        <v>34</v>
      </c>
      <c r="B67" s="53" t="s">
        <v>234</v>
      </c>
      <c r="C67" s="53">
        <v>2019</v>
      </c>
      <c r="D67" s="176" t="s">
        <v>373</v>
      </c>
      <c r="E67" s="53" t="s">
        <v>211</v>
      </c>
      <c r="F67" s="53" t="s">
        <v>390</v>
      </c>
      <c r="G67" s="53" t="s">
        <v>36</v>
      </c>
      <c r="H67" s="53" t="s">
        <v>160</v>
      </c>
      <c r="I67" s="53" t="s">
        <v>159</v>
      </c>
      <c r="J67" s="53" t="s">
        <v>38</v>
      </c>
      <c r="K67" s="53" t="s">
        <v>161</v>
      </c>
      <c r="L67" s="53">
        <v>3</v>
      </c>
      <c r="N67" s="53">
        <v>1</v>
      </c>
      <c r="O67" s="53">
        <v>0.5</v>
      </c>
      <c r="P67" s="53">
        <v>0.45</v>
      </c>
      <c r="Q67" s="75">
        <f t="shared" si="0"/>
        <v>0.47499999999999998</v>
      </c>
      <c r="R67" s="53">
        <v>18.100000000000001</v>
      </c>
      <c r="S67" s="53">
        <v>146</v>
      </c>
      <c r="T67" s="16">
        <f t="shared" si="1"/>
        <v>30</v>
      </c>
      <c r="U67" s="53">
        <v>104</v>
      </c>
      <c r="V67" s="16">
        <f t="shared" si="2"/>
        <v>3120</v>
      </c>
      <c r="W67" s="53">
        <v>2</v>
      </c>
      <c r="X67" s="53" t="s">
        <v>46</v>
      </c>
      <c r="Y67" s="53" t="s">
        <v>102</v>
      </c>
      <c r="Z67" s="53" t="s">
        <v>90</v>
      </c>
      <c r="AA67" s="53" t="s">
        <v>78</v>
      </c>
      <c r="AB67" s="53" t="s">
        <v>237</v>
      </c>
    </row>
    <row r="68" spans="1:28" x14ac:dyDescent="0.15">
      <c r="A68" s="53" t="s">
        <v>34</v>
      </c>
      <c r="B68" s="53" t="s">
        <v>234</v>
      </c>
      <c r="C68" s="53">
        <v>2019</v>
      </c>
      <c r="D68" s="176" t="s">
        <v>373</v>
      </c>
      <c r="E68" s="53" t="s">
        <v>211</v>
      </c>
      <c r="F68" s="53" t="s">
        <v>390</v>
      </c>
      <c r="G68" s="53" t="s">
        <v>36</v>
      </c>
      <c r="H68" s="53" t="s">
        <v>160</v>
      </c>
      <c r="I68" s="53" t="s">
        <v>159</v>
      </c>
      <c r="J68" s="53" t="s">
        <v>38</v>
      </c>
      <c r="K68" s="53" t="s">
        <v>161</v>
      </c>
      <c r="L68" s="53">
        <v>1</v>
      </c>
      <c r="N68" s="53">
        <v>4</v>
      </c>
      <c r="O68" s="53">
        <v>0.95</v>
      </c>
      <c r="P68" s="53">
        <v>0.2</v>
      </c>
      <c r="Q68" s="75">
        <f t="shared" si="0"/>
        <v>0.57499999999999996</v>
      </c>
      <c r="R68" s="53">
        <v>17</v>
      </c>
      <c r="S68" s="53">
        <v>114</v>
      </c>
      <c r="T68" s="16">
        <f t="shared" si="1"/>
        <v>30</v>
      </c>
      <c r="U68" s="53">
        <v>407</v>
      </c>
      <c r="V68" s="16">
        <f t="shared" si="2"/>
        <v>3052.5</v>
      </c>
      <c r="W68" s="53">
        <v>2</v>
      </c>
      <c r="X68" s="53" t="s">
        <v>46</v>
      </c>
      <c r="Y68" s="53" t="s">
        <v>102</v>
      </c>
      <c r="Z68" s="53" t="s">
        <v>90</v>
      </c>
      <c r="AA68" s="53" t="s">
        <v>78</v>
      </c>
      <c r="AB68" s="53" t="s">
        <v>237</v>
      </c>
    </row>
    <row r="69" spans="1:28" x14ac:dyDescent="0.15">
      <c r="A69" s="53" t="s">
        <v>34</v>
      </c>
      <c r="B69" s="53" t="s">
        <v>234</v>
      </c>
      <c r="C69" s="53">
        <v>2019</v>
      </c>
      <c r="D69" s="176" t="s">
        <v>373</v>
      </c>
      <c r="E69" s="53" t="s">
        <v>211</v>
      </c>
      <c r="F69" s="53" t="s">
        <v>390</v>
      </c>
      <c r="G69" s="53" t="s">
        <v>36</v>
      </c>
      <c r="H69" s="53" t="s">
        <v>160</v>
      </c>
      <c r="I69" s="53" t="s">
        <v>159</v>
      </c>
      <c r="J69" s="53" t="s">
        <v>38</v>
      </c>
      <c r="K69" s="53" t="s">
        <v>161</v>
      </c>
      <c r="L69" s="53">
        <v>2</v>
      </c>
      <c r="N69" s="53">
        <v>4</v>
      </c>
      <c r="O69" s="53">
        <v>0.2</v>
      </c>
      <c r="P69" s="53">
        <v>0.2</v>
      </c>
      <c r="Q69" s="75">
        <f t="shared" si="0"/>
        <v>0.2</v>
      </c>
      <c r="R69" s="53">
        <v>15.2</v>
      </c>
      <c r="S69" s="53">
        <v>116</v>
      </c>
      <c r="T69" s="16">
        <f t="shared" si="1"/>
        <v>30</v>
      </c>
      <c r="U69" s="53">
        <v>407</v>
      </c>
      <c r="V69" s="16">
        <f t="shared" si="2"/>
        <v>3052.5</v>
      </c>
      <c r="W69" s="53">
        <v>2</v>
      </c>
      <c r="X69" s="53" t="s">
        <v>46</v>
      </c>
      <c r="Y69" s="53" t="s">
        <v>102</v>
      </c>
      <c r="Z69" s="53" t="s">
        <v>90</v>
      </c>
      <c r="AA69" s="53" t="s">
        <v>78</v>
      </c>
      <c r="AB69" s="53" t="s">
        <v>237</v>
      </c>
    </row>
    <row r="70" spans="1:28" x14ac:dyDescent="0.15">
      <c r="A70" s="53" t="s">
        <v>34</v>
      </c>
      <c r="B70" s="53" t="s">
        <v>234</v>
      </c>
      <c r="C70" s="53">
        <v>2019</v>
      </c>
      <c r="D70" s="176" t="s">
        <v>373</v>
      </c>
      <c r="E70" s="53" t="s">
        <v>211</v>
      </c>
      <c r="F70" s="53" t="s">
        <v>390</v>
      </c>
      <c r="G70" s="53" t="s">
        <v>36</v>
      </c>
      <c r="H70" s="53" t="s">
        <v>160</v>
      </c>
      <c r="I70" s="53" t="s">
        <v>159</v>
      </c>
      <c r="J70" s="53" t="s">
        <v>38</v>
      </c>
      <c r="K70" s="53" t="s">
        <v>161</v>
      </c>
      <c r="L70" s="53">
        <v>3</v>
      </c>
      <c r="N70" s="53">
        <v>4</v>
      </c>
      <c r="O70" s="53">
        <v>0.2</v>
      </c>
      <c r="P70" s="53">
        <v>0.55000000000000004</v>
      </c>
      <c r="Q70" s="75">
        <f t="shared" si="0"/>
        <v>0.375</v>
      </c>
      <c r="R70" s="53">
        <v>16.2</v>
      </c>
      <c r="S70" s="53">
        <v>108</v>
      </c>
      <c r="T70" s="16">
        <f t="shared" si="1"/>
        <v>33</v>
      </c>
      <c r="U70" s="53">
        <v>407</v>
      </c>
      <c r="V70" s="16">
        <f t="shared" si="2"/>
        <v>3357.75</v>
      </c>
      <c r="W70" s="53">
        <v>2</v>
      </c>
      <c r="X70" s="53" t="s">
        <v>46</v>
      </c>
      <c r="Y70" s="53" t="s">
        <v>102</v>
      </c>
      <c r="Z70" s="53" t="s">
        <v>90</v>
      </c>
      <c r="AA70" s="53" t="s">
        <v>78</v>
      </c>
      <c r="AB70" s="53" t="s">
        <v>237</v>
      </c>
    </row>
    <row r="71" spans="1:28" x14ac:dyDescent="0.15">
      <c r="A71" s="53" t="s">
        <v>34</v>
      </c>
      <c r="B71" s="53" t="s">
        <v>234</v>
      </c>
      <c r="C71" s="53">
        <v>2019</v>
      </c>
      <c r="D71" s="176" t="s">
        <v>373</v>
      </c>
      <c r="E71" s="53" t="s">
        <v>381</v>
      </c>
      <c r="F71" s="53" t="s">
        <v>382</v>
      </c>
      <c r="G71" s="53" t="s">
        <v>36</v>
      </c>
      <c r="H71" s="53" t="s">
        <v>164</v>
      </c>
      <c r="I71" s="53" t="s">
        <v>159</v>
      </c>
      <c r="J71" s="53" t="s">
        <v>38</v>
      </c>
      <c r="K71" s="53" t="s">
        <v>161</v>
      </c>
      <c r="L71" s="53">
        <v>1</v>
      </c>
      <c r="N71" s="53">
        <v>1</v>
      </c>
      <c r="O71" s="53">
        <v>0.55000000000000004</v>
      </c>
      <c r="P71" s="53">
        <v>0.45</v>
      </c>
      <c r="Q71" s="75">
        <f t="shared" si="0"/>
        <v>0.5</v>
      </c>
      <c r="R71" s="53">
        <v>14</v>
      </c>
      <c r="S71" s="53">
        <v>102</v>
      </c>
      <c r="T71" s="16">
        <f t="shared" si="1"/>
        <v>33</v>
      </c>
      <c r="U71" s="53">
        <v>127</v>
      </c>
      <c r="V71" s="16">
        <f t="shared" si="2"/>
        <v>4191</v>
      </c>
      <c r="W71" s="53">
        <v>1</v>
      </c>
      <c r="X71" s="53" t="s">
        <v>46</v>
      </c>
      <c r="Y71" s="53" t="s">
        <v>78</v>
      </c>
      <c r="Z71" s="53" t="s">
        <v>102</v>
      </c>
      <c r="AA71" s="53" t="s">
        <v>69</v>
      </c>
      <c r="AB71" s="53" t="s">
        <v>237</v>
      </c>
    </row>
    <row r="72" spans="1:28" x14ac:dyDescent="0.15">
      <c r="A72" s="53" t="s">
        <v>34</v>
      </c>
      <c r="B72" s="53" t="s">
        <v>234</v>
      </c>
      <c r="C72" s="53">
        <v>2019</v>
      </c>
      <c r="D72" s="176" t="s">
        <v>373</v>
      </c>
      <c r="E72" s="53" t="s">
        <v>381</v>
      </c>
      <c r="F72" s="53" t="s">
        <v>382</v>
      </c>
      <c r="G72" s="53" t="s">
        <v>36</v>
      </c>
      <c r="H72" s="53" t="s">
        <v>164</v>
      </c>
      <c r="I72" s="53" t="s">
        <v>159</v>
      </c>
      <c r="J72" s="53" t="s">
        <v>38</v>
      </c>
      <c r="K72" s="53" t="s">
        <v>161</v>
      </c>
      <c r="L72" s="53">
        <v>2</v>
      </c>
      <c r="N72" s="53">
        <v>1</v>
      </c>
      <c r="O72" s="53">
        <v>0.55000000000000004</v>
      </c>
      <c r="P72" s="53">
        <v>0.5</v>
      </c>
      <c r="Q72" s="75">
        <f t="shared" si="0"/>
        <v>0.52500000000000002</v>
      </c>
      <c r="R72" s="53">
        <v>11.5</v>
      </c>
      <c r="S72" s="53">
        <v>126</v>
      </c>
      <c r="T72" s="16">
        <f t="shared" si="1"/>
        <v>30</v>
      </c>
      <c r="U72" s="53">
        <v>127</v>
      </c>
      <c r="V72" s="16">
        <f t="shared" si="2"/>
        <v>3810</v>
      </c>
      <c r="W72" s="53">
        <v>1</v>
      </c>
      <c r="X72" s="53" t="s">
        <v>46</v>
      </c>
      <c r="Y72" s="53" t="s">
        <v>78</v>
      </c>
      <c r="Z72" s="53" t="s">
        <v>102</v>
      </c>
      <c r="AA72" s="53" t="s">
        <v>69</v>
      </c>
      <c r="AB72" s="53" t="s">
        <v>237</v>
      </c>
    </row>
    <row r="73" spans="1:28" x14ac:dyDescent="0.15">
      <c r="A73" s="53" t="s">
        <v>34</v>
      </c>
      <c r="B73" s="53" t="s">
        <v>234</v>
      </c>
      <c r="C73" s="53">
        <v>2019</v>
      </c>
      <c r="D73" s="176" t="s">
        <v>373</v>
      </c>
      <c r="E73" s="53" t="s">
        <v>381</v>
      </c>
      <c r="F73" s="53" t="s">
        <v>382</v>
      </c>
      <c r="G73" s="53" t="s">
        <v>36</v>
      </c>
      <c r="H73" s="53" t="s">
        <v>164</v>
      </c>
      <c r="I73" s="53" t="s">
        <v>159</v>
      </c>
      <c r="J73" s="53" t="s">
        <v>38</v>
      </c>
      <c r="K73" s="53" t="s">
        <v>161</v>
      </c>
      <c r="L73" s="53">
        <v>3</v>
      </c>
      <c r="N73" s="53">
        <v>1</v>
      </c>
      <c r="O73" s="53">
        <v>0.2</v>
      </c>
      <c r="P73" s="53">
        <v>0.2</v>
      </c>
      <c r="Q73" s="75">
        <f t="shared" si="0"/>
        <v>0.2</v>
      </c>
      <c r="R73" s="53">
        <v>13.7</v>
      </c>
      <c r="S73" s="53">
        <v>126</v>
      </c>
      <c r="T73" s="16">
        <f t="shared" si="1"/>
        <v>30</v>
      </c>
      <c r="U73" s="53">
        <v>127</v>
      </c>
      <c r="V73" s="16">
        <f t="shared" si="2"/>
        <v>3810</v>
      </c>
      <c r="W73" s="53">
        <v>1</v>
      </c>
      <c r="X73" s="53" t="s">
        <v>46</v>
      </c>
      <c r="Y73" s="53" t="s">
        <v>78</v>
      </c>
      <c r="Z73" s="53" t="s">
        <v>102</v>
      </c>
      <c r="AA73" s="53" t="s">
        <v>69</v>
      </c>
      <c r="AB73" s="53" t="s">
        <v>237</v>
      </c>
    </row>
    <row r="74" spans="1:28" x14ac:dyDescent="0.15">
      <c r="A74" s="53" t="s">
        <v>34</v>
      </c>
      <c r="B74" s="53" t="s">
        <v>234</v>
      </c>
      <c r="C74" s="53">
        <v>2019</v>
      </c>
      <c r="D74" s="176" t="s">
        <v>373</v>
      </c>
      <c r="E74" s="53" t="s">
        <v>381</v>
      </c>
      <c r="F74" s="53" t="s">
        <v>382</v>
      </c>
      <c r="G74" s="53" t="s">
        <v>36</v>
      </c>
      <c r="H74" s="53" t="s">
        <v>164</v>
      </c>
      <c r="I74" s="53" t="s">
        <v>159</v>
      </c>
      <c r="J74" s="53" t="s">
        <v>38</v>
      </c>
      <c r="K74" s="53" t="s">
        <v>161</v>
      </c>
      <c r="L74" s="53">
        <v>1</v>
      </c>
      <c r="N74" s="53">
        <v>1</v>
      </c>
      <c r="O74" s="53">
        <v>0.55000000000000004</v>
      </c>
      <c r="P74" s="53">
        <v>0.45</v>
      </c>
      <c r="Q74" s="75">
        <f t="shared" si="0"/>
        <v>0.5</v>
      </c>
      <c r="R74" s="53">
        <v>15.5</v>
      </c>
      <c r="S74" s="53">
        <v>122</v>
      </c>
      <c r="T74" s="16">
        <f t="shared" si="1"/>
        <v>30</v>
      </c>
      <c r="U74" s="53">
        <v>138</v>
      </c>
      <c r="V74" s="16">
        <f t="shared" si="2"/>
        <v>4140</v>
      </c>
      <c r="W74" s="53">
        <v>3</v>
      </c>
      <c r="X74" s="53" t="s">
        <v>46</v>
      </c>
      <c r="Y74" s="53" t="s">
        <v>78</v>
      </c>
      <c r="Z74" s="53" t="s">
        <v>102</v>
      </c>
      <c r="AA74" s="53" t="s">
        <v>69</v>
      </c>
      <c r="AB74" s="53" t="s">
        <v>237</v>
      </c>
    </row>
    <row r="75" spans="1:28" x14ac:dyDescent="0.15">
      <c r="A75" s="53" t="s">
        <v>34</v>
      </c>
      <c r="B75" s="53" t="s">
        <v>234</v>
      </c>
      <c r="C75" s="53">
        <v>2019</v>
      </c>
      <c r="D75" s="176" t="s">
        <v>373</v>
      </c>
      <c r="E75" s="53" t="s">
        <v>381</v>
      </c>
      <c r="F75" s="53" t="s">
        <v>382</v>
      </c>
      <c r="G75" s="53" t="s">
        <v>36</v>
      </c>
      <c r="H75" s="53" t="s">
        <v>160</v>
      </c>
      <c r="I75" s="53" t="s">
        <v>159</v>
      </c>
      <c r="J75" s="53" t="s">
        <v>38</v>
      </c>
      <c r="K75" s="53" t="s">
        <v>161</v>
      </c>
      <c r="L75" s="53">
        <v>2</v>
      </c>
      <c r="N75" s="53">
        <v>1</v>
      </c>
      <c r="O75" s="53">
        <v>0.2</v>
      </c>
      <c r="P75" s="53">
        <v>0.2</v>
      </c>
      <c r="Q75" s="75">
        <f t="shared" si="0"/>
        <v>0.2</v>
      </c>
      <c r="R75" s="53">
        <v>14.9</v>
      </c>
      <c r="S75" s="53">
        <v>128</v>
      </c>
      <c r="T75" s="16">
        <f t="shared" si="1"/>
        <v>30</v>
      </c>
      <c r="U75" s="53">
        <v>138</v>
      </c>
      <c r="V75" s="16">
        <f t="shared" si="2"/>
        <v>4140</v>
      </c>
      <c r="W75" s="53">
        <v>3</v>
      </c>
      <c r="X75" s="53" t="s">
        <v>46</v>
      </c>
      <c r="Y75" s="53" t="s">
        <v>78</v>
      </c>
      <c r="Z75" s="53" t="s">
        <v>102</v>
      </c>
      <c r="AA75" s="53" t="s">
        <v>69</v>
      </c>
      <c r="AB75" s="53" t="s">
        <v>237</v>
      </c>
    </row>
    <row r="76" spans="1:28" x14ac:dyDescent="0.15">
      <c r="A76" s="53" t="s">
        <v>34</v>
      </c>
      <c r="B76" s="53" t="s">
        <v>234</v>
      </c>
      <c r="C76" s="53">
        <v>2019</v>
      </c>
      <c r="D76" s="176" t="s">
        <v>373</v>
      </c>
      <c r="E76" s="53" t="s">
        <v>381</v>
      </c>
      <c r="F76" s="53" t="s">
        <v>382</v>
      </c>
      <c r="G76" s="53" t="s">
        <v>36</v>
      </c>
      <c r="H76" s="53" t="s">
        <v>160</v>
      </c>
      <c r="I76" s="53" t="s">
        <v>159</v>
      </c>
      <c r="J76" s="53" t="s">
        <v>38</v>
      </c>
      <c r="K76" s="53" t="s">
        <v>161</v>
      </c>
      <c r="L76" s="53">
        <v>3</v>
      </c>
      <c r="N76" s="53">
        <v>1</v>
      </c>
      <c r="O76" s="53">
        <v>0.2</v>
      </c>
      <c r="P76" s="53">
        <v>0.45</v>
      </c>
      <c r="Q76" s="75">
        <f t="shared" si="0"/>
        <v>0.32500000000000001</v>
      </c>
      <c r="R76" s="53">
        <v>14.3</v>
      </c>
      <c r="S76" s="53">
        <v>144</v>
      </c>
      <c r="T76" s="16">
        <f t="shared" si="1"/>
        <v>30</v>
      </c>
      <c r="U76" s="53">
        <v>138</v>
      </c>
      <c r="V76" s="16">
        <f t="shared" si="2"/>
        <v>4140</v>
      </c>
      <c r="W76" s="53">
        <v>3</v>
      </c>
      <c r="X76" s="53" t="s">
        <v>46</v>
      </c>
      <c r="Y76" s="53" t="s">
        <v>78</v>
      </c>
      <c r="Z76" s="53" t="s">
        <v>102</v>
      </c>
      <c r="AA76" s="53" t="s">
        <v>69</v>
      </c>
      <c r="AB76" s="53" t="s">
        <v>237</v>
      </c>
    </row>
    <row r="77" spans="1:28" x14ac:dyDescent="0.15">
      <c r="A77" s="53" t="s">
        <v>34</v>
      </c>
      <c r="B77" s="53" t="s">
        <v>234</v>
      </c>
      <c r="C77" s="53">
        <v>2019</v>
      </c>
      <c r="D77" s="176" t="s">
        <v>373</v>
      </c>
      <c r="E77" s="53" t="s">
        <v>381</v>
      </c>
      <c r="F77" s="53" t="s">
        <v>382</v>
      </c>
      <c r="G77" s="53" t="s">
        <v>36</v>
      </c>
      <c r="H77" s="53" t="s">
        <v>160</v>
      </c>
      <c r="I77" s="53" t="s">
        <v>159</v>
      </c>
      <c r="J77" s="53" t="s">
        <v>38</v>
      </c>
      <c r="K77" s="53" t="s">
        <v>161</v>
      </c>
      <c r="L77" s="53">
        <v>1</v>
      </c>
      <c r="N77" s="53">
        <v>4</v>
      </c>
      <c r="O77" s="53">
        <v>0.45</v>
      </c>
      <c r="P77" s="53">
        <v>0.45</v>
      </c>
      <c r="Q77" s="75">
        <f t="shared" si="0"/>
        <v>0.45</v>
      </c>
      <c r="R77" s="53">
        <v>17.899999999999999</v>
      </c>
      <c r="S77" s="53">
        <v>142</v>
      </c>
      <c r="T77" s="16">
        <f t="shared" si="1"/>
        <v>30</v>
      </c>
      <c r="U77" s="53">
        <v>537</v>
      </c>
      <c r="V77" s="16">
        <f t="shared" si="2"/>
        <v>4027.5</v>
      </c>
      <c r="W77" s="53">
        <v>3</v>
      </c>
      <c r="X77" s="53" t="s">
        <v>46</v>
      </c>
      <c r="Y77" s="53" t="s">
        <v>78</v>
      </c>
      <c r="Z77" s="53" t="s">
        <v>102</v>
      </c>
      <c r="AA77" s="53" t="s">
        <v>69</v>
      </c>
      <c r="AB77" s="53" t="s">
        <v>237</v>
      </c>
    </row>
    <row r="78" spans="1:28" x14ac:dyDescent="0.15">
      <c r="A78" s="53" t="s">
        <v>34</v>
      </c>
      <c r="B78" s="53" t="s">
        <v>234</v>
      </c>
      <c r="C78" s="53">
        <v>2019</v>
      </c>
      <c r="D78" s="176" t="s">
        <v>373</v>
      </c>
      <c r="E78" s="53" t="s">
        <v>381</v>
      </c>
      <c r="F78" s="53" t="s">
        <v>382</v>
      </c>
      <c r="G78" s="53" t="s">
        <v>36</v>
      </c>
      <c r="H78" s="53" t="s">
        <v>160</v>
      </c>
      <c r="I78" s="53" t="s">
        <v>159</v>
      </c>
      <c r="J78" s="53" t="s">
        <v>38</v>
      </c>
      <c r="K78" s="53" t="s">
        <v>161</v>
      </c>
      <c r="L78" s="53">
        <v>2</v>
      </c>
      <c r="N78" s="53">
        <v>4</v>
      </c>
      <c r="O78" s="53">
        <v>0.45</v>
      </c>
      <c r="P78" s="53">
        <v>0.65</v>
      </c>
      <c r="Q78" s="75">
        <f t="shared" si="0"/>
        <v>0.55000000000000004</v>
      </c>
      <c r="R78" s="53">
        <v>14.2</v>
      </c>
      <c r="S78" s="53">
        <v>142</v>
      </c>
      <c r="T78" s="16">
        <f t="shared" si="1"/>
        <v>30</v>
      </c>
      <c r="U78" s="53">
        <v>537</v>
      </c>
      <c r="V78" s="16">
        <f t="shared" si="2"/>
        <v>4027.5</v>
      </c>
      <c r="W78" s="53">
        <v>3</v>
      </c>
      <c r="X78" s="53" t="s">
        <v>46</v>
      </c>
      <c r="Y78" s="53" t="s">
        <v>78</v>
      </c>
      <c r="Z78" s="53" t="s">
        <v>102</v>
      </c>
      <c r="AA78" s="53" t="s">
        <v>69</v>
      </c>
      <c r="AB78" s="53" t="s">
        <v>237</v>
      </c>
    </row>
    <row r="79" spans="1:28" x14ac:dyDescent="0.15">
      <c r="A79" s="53" t="s">
        <v>34</v>
      </c>
      <c r="B79" s="53" t="s">
        <v>234</v>
      </c>
      <c r="C79" s="53">
        <v>2019</v>
      </c>
      <c r="D79" s="176" t="s">
        <v>373</v>
      </c>
      <c r="E79" s="53" t="s">
        <v>381</v>
      </c>
      <c r="F79" s="53" t="s">
        <v>382</v>
      </c>
      <c r="G79" s="53" t="s">
        <v>36</v>
      </c>
      <c r="H79" s="53" t="s">
        <v>160</v>
      </c>
      <c r="I79" s="53" t="s">
        <v>159</v>
      </c>
      <c r="J79" s="53" t="s">
        <v>38</v>
      </c>
      <c r="K79" s="53" t="s">
        <v>161</v>
      </c>
      <c r="L79" s="53">
        <v>3</v>
      </c>
      <c r="N79" s="53">
        <v>4</v>
      </c>
      <c r="O79" s="53">
        <v>0.65</v>
      </c>
      <c r="P79" s="53">
        <v>0.55000000000000004</v>
      </c>
      <c r="Q79" s="75">
        <f t="shared" si="0"/>
        <v>0.60000000000000009</v>
      </c>
      <c r="R79" s="53">
        <v>15.4</v>
      </c>
      <c r="S79" s="53">
        <v>138</v>
      </c>
      <c r="T79" s="16">
        <f t="shared" si="1"/>
        <v>30</v>
      </c>
      <c r="U79" s="53">
        <v>537</v>
      </c>
      <c r="V79" s="16">
        <f t="shared" si="2"/>
        <v>4027.5</v>
      </c>
      <c r="W79" s="53">
        <v>3</v>
      </c>
      <c r="X79" s="53" t="s">
        <v>46</v>
      </c>
      <c r="Y79" s="53" t="s">
        <v>78</v>
      </c>
      <c r="Z79" s="53" t="s">
        <v>102</v>
      </c>
      <c r="AA79" s="53" t="s">
        <v>69</v>
      </c>
      <c r="AB79" s="53" t="s">
        <v>237</v>
      </c>
    </row>
    <row r="80" spans="1:28" x14ac:dyDescent="0.15">
      <c r="A80" s="53" t="s">
        <v>34</v>
      </c>
      <c r="B80" s="53" t="s">
        <v>234</v>
      </c>
      <c r="C80" s="53">
        <v>2019</v>
      </c>
      <c r="D80" s="176" t="s">
        <v>373</v>
      </c>
      <c r="E80" s="53" t="s">
        <v>364</v>
      </c>
      <c r="F80" s="53" t="s">
        <v>376</v>
      </c>
      <c r="G80" s="53" t="s">
        <v>36</v>
      </c>
      <c r="H80" s="53" t="s">
        <v>164</v>
      </c>
      <c r="I80" s="53" t="s">
        <v>159</v>
      </c>
      <c r="J80" s="53" t="s">
        <v>38</v>
      </c>
      <c r="K80" s="53" t="s">
        <v>161</v>
      </c>
      <c r="L80" s="53">
        <v>1</v>
      </c>
      <c r="N80" s="53">
        <v>1</v>
      </c>
      <c r="O80" s="53">
        <v>0.45</v>
      </c>
      <c r="P80" s="53">
        <v>0.2</v>
      </c>
      <c r="Q80" s="75">
        <f t="shared" si="0"/>
        <v>0.32500000000000001</v>
      </c>
      <c r="R80" s="53">
        <v>15.6</v>
      </c>
      <c r="S80" s="53">
        <v>148</v>
      </c>
      <c r="T80" s="16">
        <f t="shared" si="1"/>
        <v>30</v>
      </c>
      <c r="U80" s="53">
        <v>138</v>
      </c>
      <c r="V80" s="16">
        <f t="shared" si="2"/>
        <v>4140</v>
      </c>
      <c r="W80" s="53">
        <v>2</v>
      </c>
      <c r="X80" s="53" t="s">
        <v>46</v>
      </c>
      <c r="Y80" s="53" t="s">
        <v>78</v>
      </c>
      <c r="Z80" s="53" t="s">
        <v>69</v>
      </c>
      <c r="AA80" s="53" t="s">
        <v>88</v>
      </c>
      <c r="AB80" s="53" t="s">
        <v>237</v>
      </c>
    </row>
    <row r="81" spans="1:28" x14ac:dyDescent="0.15">
      <c r="A81" s="53" t="s">
        <v>34</v>
      </c>
      <c r="B81" s="53" t="s">
        <v>234</v>
      </c>
      <c r="C81" s="53">
        <v>2019</v>
      </c>
      <c r="D81" s="176" t="s">
        <v>373</v>
      </c>
      <c r="E81" s="53" t="s">
        <v>364</v>
      </c>
      <c r="F81" s="53" t="s">
        <v>376</v>
      </c>
      <c r="G81" s="53" t="s">
        <v>36</v>
      </c>
      <c r="H81" s="53" t="s">
        <v>164</v>
      </c>
      <c r="I81" s="53" t="s">
        <v>159</v>
      </c>
      <c r="J81" s="53" t="s">
        <v>38</v>
      </c>
      <c r="K81" s="53" t="s">
        <v>161</v>
      </c>
      <c r="L81" s="53">
        <v>2</v>
      </c>
      <c r="N81" s="53">
        <v>1</v>
      </c>
      <c r="O81" s="53">
        <v>0.5</v>
      </c>
      <c r="P81" s="53">
        <v>0.2</v>
      </c>
      <c r="Q81" s="75">
        <f t="shared" si="0"/>
        <v>0.35</v>
      </c>
      <c r="R81" s="53">
        <v>15.2</v>
      </c>
      <c r="S81" s="53">
        <v>146</v>
      </c>
      <c r="T81" s="16">
        <f t="shared" si="1"/>
        <v>30</v>
      </c>
      <c r="U81" s="53">
        <v>138</v>
      </c>
      <c r="V81" s="16">
        <f t="shared" si="2"/>
        <v>4140</v>
      </c>
      <c r="W81" s="53">
        <v>2</v>
      </c>
      <c r="X81" s="53" t="s">
        <v>46</v>
      </c>
      <c r="Y81" s="53" t="s">
        <v>78</v>
      </c>
      <c r="Z81" s="53" t="s">
        <v>69</v>
      </c>
      <c r="AA81" s="53" t="s">
        <v>88</v>
      </c>
      <c r="AB81" s="53" t="s">
        <v>237</v>
      </c>
    </row>
    <row r="82" spans="1:28" x14ac:dyDescent="0.15">
      <c r="A82" s="53" t="s">
        <v>34</v>
      </c>
      <c r="B82" s="53" t="s">
        <v>234</v>
      </c>
      <c r="C82" s="53">
        <v>2019</v>
      </c>
      <c r="D82" s="176" t="s">
        <v>373</v>
      </c>
      <c r="E82" s="53" t="s">
        <v>364</v>
      </c>
      <c r="F82" s="53" t="s">
        <v>376</v>
      </c>
      <c r="G82" s="53" t="s">
        <v>36</v>
      </c>
      <c r="H82" s="53" t="s">
        <v>164</v>
      </c>
      <c r="I82" s="53" t="s">
        <v>159</v>
      </c>
      <c r="J82" s="53" t="s">
        <v>38</v>
      </c>
      <c r="K82" s="53" t="s">
        <v>161</v>
      </c>
      <c r="L82" s="53">
        <v>3</v>
      </c>
      <c r="N82" s="53">
        <v>1</v>
      </c>
      <c r="O82" s="53">
        <v>0.2</v>
      </c>
      <c r="P82" s="53">
        <v>0.2</v>
      </c>
      <c r="Q82" s="75">
        <f t="shared" ref="Q82:Q103" si="5">IF(OR(O82="",P82=""),"",AVERAGE(O82,P82))</f>
        <v>0.2</v>
      </c>
      <c r="R82" s="53">
        <v>15.1</v>
      </c>
      <c r="S82" s="53">
        <v>142</v>
      </c>
      <c r="T82" s="16">
        <f t="shared" si="1"/>
        <v>30</v>
      </c>
      <c r="U82" s="53">
        <v>138</v>
      </c>
      <c r="V82" s="16">
        <f t="shared" si="2"/>
        <v>4140</v>
      </c>
      <c r="W82" s="53">
        <v>2</v>
      </c>
      <c r="X82" s="53" t="s">
        <v>46</v>
      </c>
      <c r="Y82" s="53" t="s">
        <v>78</v>
      </c>
      <c r="Z82" s="53" t="s">
        <v>69</v>
      </c>
      <c r="AA82" s="53" t="s">
        <v>88</v>
      </c>
      <c r="AB82" s="53" t="s">
        <v>237</v>
      </c>
    </row>
    <row r="83" spans="1:28" x14ac:dyDescent="0.15">
      <c r="A83" s="53" t="s">
        <v>34</v>
      </c>
      <c r="B83" s="53" t="s">
        <v>234</v>
      </c>
      <c r="C83" s="53">
        <v>2019</v>
      </c>
      <c r="D83" s="176" t="s">
        <v>373</v>
      </c>
      <c r="E83" s="53" t="s">
        <v>364</v>
      </c>
      <c r="F83" s="53" t="s">
        <v>376</v>
      </c>
      <c r="G83" s="53" t="s">
        <v>36</v>
      </c>
      <c r="H83" s="53" t="s">
        <v>160</v>
      </c>
      <c r="I83" s="53" t="s">
        <v>159</v>
      </c>
      <c r="J83" s="53" t="s">
        <v>38</v>
      </c>
      <c r="K83" s="53" t="s">
        <v>161</v>
      </c>
      <c r="L83" s="53">
        <v>1</v>
      </c>
      <c r="N83" s="53">
        <v>1</v>
      </c>
      <c r="O83" s="53">
        <v>0.5</v>
      </c>
      <c r="P83" s="53">
        <v>0.5</v>
      </c>
      <c r="Q83" s="75">
        <f t="shared" si="5"/>
        <v>0.5</v>
      </c>
      <c r="R83" s="53">
        <v>16.100000000000001</v>
      </c>
      <c r="S83" s="53">
        <v>114</v>
      </c>
      <c r="T83" s="16">
        <f t="shared" si="1"/>
        <v>30</v>
      </c>
      <c r="U83" s="53">
        <v>105</v>
      </c>
      <c r="V83" s="16">
        <f t="shared" si="2"/>
        <v>3150</v>
      </c>
      <c r="W83" s="53">
        <v>2</v>
      </c>
      <c r="X83" s="53" t="s">
        <v>46</v>
      </c>
      <c r="Y83" s="53" t="s">
        <v>78</v>
      </c>
      <c r="Z83" s="53" t="s">
        <v>69</v>
      </c>
      <c r="AA83" s="53" t="s">
        <v>88</v>
      </c>
      <c r="AB83" s="53" t="s">
        <v>237</v>
      </c>
    </row>
    <row r="84" spans="1:28" x14ac:dyDescent="0.15">
      <c r="A84" s="53" t="s">
        <v>34</v>
      </c>
      <c r="B84" s="53" t="s">
        <v>234</v>
      </c>
      <c r="C84" s="53">
        <v>2019</v>
      </c>
      <c r="D84" s="176" t="s">
        <v>373</v>
      </c>
      <c r="E84" s="53" t="s">
        <v>364</v>
      </c>
      <c r="F84" s="53" t="s">
        <v>376</v>
      </c>
      <c r="G84" s="53" t="s">
        <v>36</v>
      </c>
      <c r="H84" s="53" t="s">
        <v>160</v>
      </c>
      <c r="I84" s="53" t="s">
        <v>159</v>
      </c>
      <c r="J84" s="53" t="s">
        <v>38</v>
      </c>
      <c r="K84" s="53" t="s">
        <v>161</v>
      </c>
      <c r="L84" s="53">
        <v>2</v>
      </c>
      <c r="N84" s="53">
        <v>1</v>
      </c>
      <c r="O84" s="53">
        <v>0.9</v>
      </c>
      <c r="P84" s="53">
        <v>0.7</v>
      </c>
      <c r="Q84" s="16">
        <f t="shared" si="5"/>
        <v>0.8</v>
      </c>
      <c r="R84" s="53">
        <v>14.7</v>
      </c>
      <c r="S84" s="53">
        <v>110</v>
      </c>
      <c r="T84" s="16">
        <f t="shared" si="1"/>
        <v>33</v>
      </c>
      <c r="U84" s="53">
        <v>105</v>
      </c>
      <c r="V84" s="16">
        <f t="shared" si="2"/>
        <v>3465</v>
      </c>
      <c r="W84" s="53">
        <v>2</v>
      </c>
      <c r="X84" s="53" t="s">
        <v>46</v>
      </c>
      <c r="Y84" s="53" t="s">
        <v>78</v>
      </c>
      <c r="Z84" s="53" t="s">
        <v>69</v>
      </c>
      <c r="AA84" s="53" t="s">
        <v>88</v>
      </c>
      <c r="AB84" s="53" t="s">
        <v>237</v>
      </c>
    </row>
    <row r="85" spans="1:28" x14ac:dyDescent="0.15">
      <c r="A85" s="53" t="s">
        <v>34</v>
      </c>
      <c r="B85" s="53" t="s">
        <v>234</v>
      </c>
      <c r="C85" s="53">
        <v>2019</v>
      </c>
      <c r="D85" s="176" t="s">
        <v>373</v>
      </c>
      <c r="E85" s="53" t="s">
        <v>364</v>
      </c>
      <c r="F85" s="53" t="s">
        <v>376</v>
      </c>
      <c r="G85" s="53" t="s">
        <v>36</v>
      </c>
      <c r="H85" s="53" t="s">
        <v>160</v>
      </c>
      <c r="I85" s="53" t="s">
        <v>159</v>
      </c>
      <c r="J85" s="53" t="s">
        <v>38</v>
      </c>
      <c r="K85" s="53" t="s">
        <v>161</v>
      </c>
      <c r="L85" s="53">
        <v>3</v>
      </c>
      <c r="N85" s="53">
        <v>1</v>
      </c>
      <c r="O85" s="53">
        <v>0.7</v>
      </c>
      <c r="P85" s="53">
        <v>0.5</v>
      </c>
      <c r="Q85" s="16">
        <f t="shared" si="5"/>
        <v>0.6</v>
      </c>
      <c r="R85" s="53">
        <v>16.7</v>
      </c>
      <c r="S85" s="53">
        <v>112</v>
      </c>
      <c r="T85" s="16">
        <f t="shared" si="1"/>
        <v>33</v>
      </c>
      <c r="U85" s="53">
        <v>105</v>
      </c>
      <c r="V85" s="16">
        <f t="shared" si="2"/>
        <v>3465</v>
      </c>
      <c r="W85" s="53">
        <v>2</v>
      </c>
      <c r="X85" s="53" t="s">
        <v>46</v>
      </c>
      <c r="Y85" s="53" t="s">
        <v>78</v>
      </c>
      <c r="Z85" s="53" t="s">
        <v>102</v>
      </c>
      <c r="AA85" s="53" t="s">
        <v>69</v>
      </c>
      <c r="AB85" s="53" t="s">
        <v>237</v>
      </c>
    </row>
    <row r="86" spans="1:28" x14ac:dyDescent="0.15">
      <c r="A86" s="53" t="s">
        <v>34</v>
      </c>
      <c r="B86" s="53" t="s">
        <v>234</v>
      </c>
      <c r="C86" s="53">
        <v>2019</v>
      </c>
      <c r="D86" s="176" t="s">
        <v>373</v>
      </c>
      <c r="E86" s="53" t="s">
        <v>271</v>
      </c>
      <c r="F86" s="53" t="s">
        <v>385</v>
      </c>
      <c r="G86" s="53" t="s">
        <v>36</v>
      </c>
      <c r="H86" s="53" t="s">
        <v>164</v>
      </c>
      <c r="I86" s="53" t="s">
        <v>159</v>
      </c>
      <c r="J86" s="53" t="s">
        <v>38</v>
      </c>
      <c r="K86" s="53" t="s">
        <v>161</v>
      </c>
      <c r="L86" s="53">
        <v>2</v>
      </c>
      <c r="N86" s="53">
        <v>1</v>
      </c>
      <c r="O86" s="53">
        <v>0.55000000000000004</v>
      </c>
      <c r="P86" s="53">
        <v>0.7</v>
      </c>
      <c r="Q86" s="16">
        <f t="shared" si="5"/>
        <v>0.625</v>
      </c>
      <c r="R86" s="53">
        <v>16.8</v>
      </c>
      <c r="S86" s="53">
        <v>128</v>
      </c>
      <c r="T86" s="16">
        <f t="shared" si="1"/>
        <v>30</v>
      </c>
      <c r="U86" s="53">
        <v>96</v>
      </c>
      <c r="V86" s="16">
        <f t="shared" si="2"/>
        <v>2880</v>
      </c>
      <c r="W86" s="53">
        <v>2</v>
      </c>
      <c r="X86" s="53" t="s">
        <v>46</v>
      </c>
      <c r="Y86" s="53" t="s">
        <v>78</v>
      </c>
      <c r="Z86" s="53" t="s">
        <v>102</v>
      </c>
      <c r="AA86" s="53" t="s">
        <v>69</v>
      </c>
      <c r="AB86" s="53" t="s">
        <v>237</v>
      </c>
    </row>
    <row r="87" spans="1:28" x14ac:dyDescent="0.15">
      <c r="A87" s="53" t="s">
        <v>34</v>
      </c>
      <c r="B87" s="53" t="s">
        <v>234</v>
      </c>
      <c r="C87" s="53">
        <v>2019</v>
      </c>
      <c r="D87" s="176" t="s">
        <v>373</v>
      </c>
      <c r="E87" s="53" t="s">
        <v>271</v>
      </c>
      <c r="F87" s="53" t="s">
        <v>385</v>
      </c>
      <c r="G87" s="53" t="s">
        <v>36</v>
      </c>
      <c r="H87" s="53" t="s">
        <v>164</v>
      </c>
      <c r="I87" s="53" t="s">
        <v>159</v>
      </c>
      <c r="J87" s="53" t="s">
        <v>38</v>
      </c>
      <c r="K87" s="53" t="s">
        <v>161</v>
      </c>
      <c r="L87" s="53">
        <v>3</v>
      </c>
      <c r="N87" s="53">
        <v>1</v>
      </c>
      <c r="O87" s="53">
        <v>0.6</v>
      </c>
      <c r="P87" s="53">
        <v>0.75</v>
      </c>
      <c r="Q87" s="16">
        <f t="shared" si="5"/>
        <v>0.67500000000000004</v>
      </c>
      <c r="R87" s="53">
        <v>13.8</v>
      </c>
      <c r="S87" s="53">
        <v>126</v>
      </c>
      <c r="T87" s="16">
        <f t="shared" si="1"/>
        <v>30</v>
      </c>
      <c r="U87" s="53">
        <v>96</v>
      </c>
      <c r="V87" s="16">
        <f t="shared" si="2"/>
        <v>2880</v>
      </c>
      <c r="W87" s="53">
        <v>2</v>
      </c>
      <c r="X87" s="53" t="s">
        <v>46</v>
      </c>
      <c r="Y87" s="53" t="s">
        <v>78</v>
      </c>
      <c r="Z87" s="53" t="s">
        <v>102</v>
      </c>
      <c r="AA87" s="53" t="s">
        <v>69</v>
      </c>
      <c r="AB87" s="53" t="s">
        <v>237</v>
      </c>
    </row>
    <row r="88" spans="1:28" x14ac:dyDescent="0.15">
      <c r="A88" s="53" t="s">
        <v>34</v>
      </c>
      <c r="B88" s="53" t="s">
        <v>234</v>
      </c>
      <c r="C88" s="53">
        <v>2019</v>
      </c>
      <c r="D88" s="176" t="s">
        <v>373</v>
      </c>
      <c r="E88" s="53" t="s">
        <v>271</v>
      </c>
      <c r="F88" s="53" t="s">
        <v>385</v>
      </c>
      <c r="G88" s="53" t="s">
        <v>36</v>
      </c>
      <c r="H88" s="53" t="s">
        <v>164</v>
      </c>
      <c r="I88" s="53" t="s">
        <v>159</v>
      </c>
      <c r="J88" s="53" t="s">
        <v>38</v>
      </c>
      <c r="K88" s="53" t="s">
        <v>161</v>
      </c>
      <c r="L88" s="53">
        <v>1</v>
      </c>
      <c r="N88" s="53">
        <v>1</v>
      </c>
      <c r="O88" s="53">
        <v>0.5</v>
      </c>
      <c r="P88" s="53">
        <v>0.2</v>
      </c>
      <c r="Q88" s="16">
        <f t="shared" si="5"/>
        <v>0.35</v>
      </c>
      <c r="R88" s="53">
        <v>14.6</v>
      </c>
      <c r="S88" s="53">
        <v>134</v>
      </c>
      <c r="T88" s="16">
        <f t="shared" si="1"/>
        <v>30</v>
      </c>
      <c r="U88" s="53">
        <v>96</v>
      </c>
      <c r="V88" s="16">
        <f t="shared" si="2"/>
        <v>2880</v>
      </c>
      <c r="W88" s="53">
        <v>2</v>
      </c>
      <c r="X88" s="53" t="s">
        <v>46</v>
      </c>
      <c r="Y88" s="53" t="s">
        <v>78</v>
      </c>
      <c r="Z88" s="53" t="s">
        <v>102</v>
      </c>
      <c r="AA88" s="53" t="s">
        <v>69</v>
      </c>
      <c r="AB88" s="53" t="s">
        <v>237</v>
      </c>
    </row>
    <row r="89" spans="1:28" x14ac:dyDescent="0.15">
      <c r="A89" s="53" t="s">
        <v>34</v>
      </c>
      <c r="B89" s="53" t="s">
        <v>234</v>
      </c>
      <c r="C89" s="53">
        <v>2019</v>
      </c>
      <c r="D89" s="176" t="s">
        <v>373</v>
      </c>
      <c r="E89" s="53" t="s">
        <v>383</v>
      </c>
      <c r="F89" s="53" t="s">
        <v>384</v>
      </c>
      <c r="G89" s="53" t="s">
        <v>36</v>
      </c>
      <c r="H89" s="53" t="s">
        <v>164</v>
      </c>
      <c r="I89" s="53" t="s">
        <v>159</v>
      </c>
      <c r="J89" s="53" t="s">
        <v>38</v>
      </c>
      <c r="K89" s="53" t="s">
        <v>161</v>
      </c>
      <c r="L89" s="53">
        <v>1</v>
      </c>
      <c r="N89" s="53">
        <v>1</v>
      </c>
      <c r="O89" s="53">
        <v>0.6</v>
      </c>
      <c r="P89" s="53">
        <v>0.5</v>
      </c>
      <c r="Q89" s="16">
        <f t="shared" si="5"/>
        <v>0.55000000000000004</v>
      </c>
      <c r="R89" s="53">
        <v>12.9</v>
      </c>
      <c r="S89" s="53">
        <v>110</v>
      </c>
      <c r="T89" s="16">
        <f t="shared" si="1"/>
        <v>33</v>
      </c>
      <c r="U89" s="53">
        <v>105</v>
      </c>
      <c r="V89" s="16">
        <f t="shared" si="2"/>
        <v>3465</v>
      </c>
      <c r="W89" s="53">
        <v>3</v>
      </c>
      <c r="X89" s="53" t="s">
        <v>46</v>
      </c>
      <c r="Y89" s="53" t="s">
        <v>102</v>
      </c>
      <c r="Z89" s="53" t="s">
        <v>78</v>
      </c>
      <c r="AA89" s="53" t="s">
        <v>69</v>
      </c>
      <c r="AB89" s="53" t="s">
        <v>237</v>
      </c>
    </row>
    <row r="90" spans="1:28" x14ac:dyDescent="0.15">
      <c r="A90" s="53" t="s">
        <v>34</v>
      </c>
      <c r="B90" s="53" t="s">
        <v>234</v>
      </c>
      <c r="C90" s="53">
        <v>2019</v>
      </c>
      <c r="D90" s="176" t="s">
        <v>373</v>
      </c>
      <c r="E90" s="53" t="s">
        <v>383</v>
      </c>
      <c r="F90" s="53" t="s">
        <v>384</v>
      </c>
      <c r="G90" s="53" t="s">
        <v>36</v>
      </c>
      <c r="H90" s="53" t="s">
        <v>164</v>
      </c>
      <c r="I90" s="53" t="s">
        <v>159</v>
      </c>
      <c r="J90" s="53" t="s">
        <v>38</v>
      </c>
      <c r="K90" s="53" t="s">
        <v>161</v>
      </c>
      <c r="L90" s="53">
        <v>2</v>
      </c>
      <c r="N90" s="53">
        <v>1</v>
      </c>
      <c r="O90" s="53">
        <v>0.65</v>
      </c>
      <c r="P90" s="53">
        <v>0.6</v>
      </c>
      <c r="Q90" s="16">
        <f t="shared" si="5"/>
        <v>0.625</v>
      </c>
      <c r="R90" s="53">
        <v>13.8</v>
      </c>
      <c r="S90" s="53">
        <v>108</v>
      </c>
      <c r="T90" s="16">
        <f t="shared" ref="T90:T103" si="6">IF(H90="","",IF(OR(H90="GREEN",H90="GK"),IF(S90&gt;=$AX$2,VLOOKUP(S90,$AX$2:$AY$9,2,1),""),IF(S90&gt;=$AZ$2,VLOOKUP(S90,$AZ$2:$BA$9,2,1),"")))</f>
        <v>33</v>
      </c>
      <c r="U90" s="53">
        <v>105</v>
      </c>
      <c r="V90" s="16">
        <f t="shared" ref="V90:V103" si="7">IF(OR(N90="",U90="",T90=""),"",U90/N90*T90)</f>
        <v>3465</v>
      </c>
      <c r="W90" s="53">
        <v>3</v>
      </c>
      <c r="X90" s="53" t="s">
        <v>46</v>
      </c>
      <c r="Y90" s="53" t="s">
        <v>102</v>
      </c>
      <c r="Z90" s="53" t="s">
        <v>78</v>
      </c>
      <c r="AA90" s="53" t="s">
        <v>69</v>
      </c>
      <c r="AB90" s="53" t="s">
        <v>237</v>
      </c>
    </row>
    <row r="91" spans="1:28" x14ac:dyDescent="0.15">
      <c r="A91" s="53" t="s">
        <v>34</v>
      </c>
      <c r="B91" s="53" t="s">
        <v>234</v>
      </c>
      <c r="C91" s="53">
        <v>2019</v>
      </c>
      <c r="D91" s="176" t="s">
        <v>373</v>
      </c>
      <c r="E91" s="53" t="s">
        <v>383</v>
      </c>
      <c r="F91" s="53" t="s">
        <v>384</v>
      </c>
      <c r="G91" s="53" t="s">
        <v>36</v>
      </c>
      <c r="H91" s="53" t="s">
        <v>164</v>
      </c>
      <c r="I91" s="53" t="s">
        <v>159</v>
      </c>
      <c r="J91" s="53" t="s">
        <v>38</v>
      </c>
      <c r="K91" s="53" t="s">
        <v>161</v>
      </c>
      <c r="L91" s="53">
        <v>3</v>
      </c>
      <c r="N91" s="53">
        <v>1</v>
      </c>
      <c r="O91" s="53">
        <v>0.55000000000000004</v>
      </c>
      <c r="P91" s="53">
        <v>0.6</v>
      </c>
      <c r="Q91" s="16">
        <f t="shared" si="5"/>
        <v>0.57499999999999996</v>
      </c>
      <c r="R91" s="53">
        <v>14.8</v>
      </c>
      <c r="S91" s="53">
        <v>116</v>
      </c>
      <c r="T91" s="16">
        <f t="shared" si="6"/>
        <v>30</v>
      </c>
      <c r="U91" s="53">
        <v>105</v>
      </c>
      <c r="V91" s="16">
        <f t="shared" si="7"/>
        <v>3150</v>
      </c>
      <c r="W91" s="53">
        <v>3</v>
      </c>
      <c r="X91" s="53" t="s">
        <v>46</v>
      </c>
      <c r="Y91" s="53" t="s">
        <v>102</v>
      </c>
      <c r="Z91" s="53" t="s">
        <v>78</v>
      </c>
      <c r="AA91" s="53" t="s">
        <v>69</v>
      </c>
      <c r="AB91" s="53" t="s">
        <v>237</v>
      </c>
    </row>
    <row r="92" spans="1:28" x14ac:dyDescent="0.15">
      <c r="A92" s="53" t="s">
        <v>34</v>
      </c>
      <c r="B92" s="53" t="s">
        <v>234</v>
      </c>
      <c r="C92" s="53">
        <v>2019</v>
      </c>
      <c r="D92" s="176" t="s">
        <v>373</v>
      </c>
      <c r="E92" s="53" t="s">
        <v>383</v>
      </c>
      <c r="F92" s="53" t="s">
        <v>384</v>
      </c>
      <c r="G92" s="53" t="s">
        <v>36</v>
      </c>
      <c r="H92" s="53" t="s">
        <v>164</v>
      </c>
      <c r="I92" s="53" t="s">
        <v>198</v>
      </c>
      <c r="J92" s="53" t="s">
        <v>38</v>
      </c>
      <c r="K92" s="53" t="s">
        <v>161</v>
      </c>
      <c r="L92" s="53">
        <v>1</v>
      </c>
      <c r="N92" s="53">
        <v>4</v>
      </c>
      <c r="O92" s="53">
        <v>0.45</v>
      </c>
      <c r="P92" s="53">
        <v>0.45</v>
      </c>
      <c r="Q92" s="16">
        <f t="shared" si="5"/>
        <v>0.45</v>
      </c>
      <c r="R92" s="53">
        <v>12.7</v>
      </c>
      <c r="S92" s="53">
        <v>112</v>
      </c>
      <c r="T92" s="16">
        <f t="shared" si="6"/>
        <v>33</v>
      </c>
      <c r="U92" s="53">
        <v>410</v>
      </c>
      <c r="V92" s="16">
        <f t="shared" si="7"/>
        <v>3382.5</v>
      </c>
      <c r="W92" s="53">
        <v>3</v>
      </c>
      <c r="X92" s="53" t="s">
        <v>46</v>
      </c>
      <c r="Y92" s="53" t="s">
        <v>102</v>
      </c>
      <c r="Z92" s="53" t="s">
        <v>78</v>
      </c>
      <c r="AA92" s="53" t="s">
        <v>69</v>
      </c>
      <c r="AB92" s="53" t="s">
        <v>237</v>
      </c>
    </row>
    <row r="93" spans="1:28" x14ac:dyDescent="0.15">
      <c r="A93" s="53" t="s">
        <v>34</v>
      </c>
      <c r="B93" s="53" t="s">
        <v>234</v>
      </c>
      <c r="C93" s="53">
        <v>2019</v>
      </c>
      <c r="D93" s="176" t="s">
        <v>373</v>
      </c>
      <c r="E93" s="53" t="s">
        <v>383</v>
      </c>
      <c r="F93" s="53" t="s">
        <v>384</v>
      </c>
      <c r="G93" s="53" t="s">
        <v>36</v>
      </c>
      <c r="H93" s="53" t="s">
        <v>164</v>
      </c>
      <c r="I93" s="53" t="s">
        <v>198</v>
      </c>
      <c r="J93" s="53" t="s">
        <v>38</v>
      </c>
      <c r="K93" s="53" t="s">
        <v>161</v>
      </c>
      <c r="L93" s="53">
        <v>2</v>
      </c>
      <c r="N93" s="53">
        <v>4</v>
      </c>
      <c r="O93" s="53">
        <v>0.2</v>
      </c>
      <c r="P93" s="53">
        <v>0.2</v>
      </c>
      <c r="Q93" s="16">
        <f t="shared" si="5"/>
        <v>0.2</v>
      </c>
      <c r="R93" s="53">
        <v>11</v>
      </c>
      <c r="S93" s="53">
        <v>106</v>
      </c>
      <c r="T93" s="16">
        <f t="shared" si="6"/>
        <v>33</v>
      </c>
      <c r="U93" s="53">
        <v>410</v>
      </c>
      <c r="V93" s="16">
        <f t="shared" si="7"/>
        <v>3382.5</v>
      </c>
      <c r="W93" s="53">
        <v>3</v>
      </c>
      <c r="X93" s="53" t="s">
        <v>46</v>
      </c>
      <c r="Y93" s="53" t="s">
        <v>102</v>
      </c>
      <c r="Z93" s="53" t="s">
        <v>78</v>
      </c>
      <c r="AA93" s="53" t="s">
        <v>69</v>
      </c>
      <c r="AB93" s="53" t="s">
        <v>237</v>
      </c>
    </row>
    <row r="94" spans="1:28" x14ac:dyDescent="0.15">
      <c r="A94" s="53" t="s">
        <v>34</v>
      </c>
      <c r="B94" s="53" t="s">
        <v>234</v>
      </c>
      <c r="C94" s="53">
        <v>2019</v>
      </c>
      <c r="D94" s="176" t="s">
        <v>373</v>
      </c>
      <c r="E94" s="53" t="s">
        <v>383</v>
      </c>
      <c r="F94" s="53" t="s">
        <v>384</v>
      </c>
      <c r="G94" s="53" t="s">
        <v>36</v>
      </c>
      <c r="H94" s="53" t="s">
        <v>164</v>
      </c>
      <c r="I94" s="53" t="s">
        <v>198</v>
      </c>
      <c r="J94" s="53" t="s">
        <v>38</v>
      </c>
      <c r="K94" s="53" t="s">
        <v>161</v>
      </c>
      <c r="L94" s="53">
        <v>3</v>
      </c>
      <c r="N94" s="53">
        <v>4</v>
      </c>
      <c r="O94" s="53">
        <v>0.2</v>
      </c>
      <c r="P94" s="53">
        <v>0.2</v>
      </c>
      <c r="Q94" s="16">
        <f t="shared" si="5"/>
        <v>0.2</v>
      </c>
      <c r="R94" s="53">
        <v>14.1</v>
      </c>
      <c r="S94" s="53">
        <v>106</v>
      </c>
      <c r="T94" s="16">
        <f t="shared" si="6"/>
        <v>33</v>
      </c>
      <c r="U94" s="53">
        <v>410</v>
      </c>
      <c r="V94" s="16">
        <f t="shared" si="7"/>
        <v>3382.5</v>
      </c>
      <c r="W94" s="53">
        <v>3</v>
      </c>
      <c r="X94" s="53" t="s">
        <v>46</v>
      </c>
      <c r="Y94" s="53" t="s">
        <v>102</v>
      </c>
      <c r="Z94" s="53" t="s">
        <v>78</v>
      </c>
      <c r="AA94" s="53" t="s">
        <v>69</v>
      </c>
      <c r="AB94" s="53" t="s">
        <v>237</v>
      </c>
    </row>
    <row r="95" spans="1:28" x14ac:dyDescent="0.15">
      <c r="A95" s="53" t="s">
        <v>34</v>
      </c>
      <c r="B95" s="53" t="s">
        <v>234</v>
      </c>
      <c r="C95" s="53">
        <v>2019</v>
      </c>
      <c r="D95" s="176" t="s">
        <v>373</v>
      </c>
      <c r="E95" s="53" t="s">
        <v>383</v>
      </c>
      <c r="F95" s="53" t="s">
        <v>384</v>
      </c>
      <c r="G95" s="53" t="s">
        <v>36</v>
      </c>
      <c r="H95" s="53" t="s">
        <v>164</v>
      </c>
      <c r="I95" s="53" t="s">
        <v>159</v>
      </c>
      <c r="J95" s="53" t="s">
        <v>38</v>
      </c>
      <c r="K95" s="53" t="s">
        <v>161</v>
      </c>
      <c r="L95" s="53">
        <v>1</v>
      </c>
      <c r="N95" s="53">
        <v>4</v>
      </c>
      <c r="O95" s="53">
        <v>0.45</v>
      </c>
      <c r="P95" s="53">
        <v>0.45</v>
      </c>
      <c r="Q95" s="16">
        <f t="shared" si="5"/>
        <v>0.45</v>
      </c>
      <c r="R95" s="53">
        <v>12.4</v>
      </c>
      <c r="S95" s="53">
        <v>102</v>
      </c>
      <c r="T95" s="16">
        <f t="shared" si="6"/>
        <v>33</v>
      </c>
      <c r="U95" s="53">
        <v>429</v>
      </c>
      <c r="V95" s="16">
        <f t="shared" si="7"/>
        <v>3539.25</v>
      </c>
      <c r="W95" s="53">
        <v>3</v>
      </c>
      <c r="X95" s="53" t="s">
        <v>46</v>
      </c>
      <c r="Y95" s="53" t="s">
        <v>102</v>
      </c>
      <c r="Z95" s="53" t="s">
        <v>78</v>
      </c>
      <c r="AA95" s="53" t="s">
        <v>69</v>
      </c>
      <c r="AB95" s="53" t="s">
        <v>237</v>
      </c>
    </row>
    <row r="96" spans="1:28" x14ac:dyDescent="0.15">
      <c r="A96" s="53" t="s">
        <v>34</v>
      </c>
      <c r="B96" s="53" t="s">
        <v>234</v>
      </c>
      <c r="C96" s="53">
        <v>2019</v>
      </c>
      <c r="D96" s="176" t="s">
        <v>373</v>
      </c>
      <c r="E96" s="53" t="s">
        <v>383</v>
      </c>
      <c r="F96" s="53" t="s">
        <v>384</v>
      </c>
      <c r="G96" s="53" t="s">
        <v>36</v>
      </c>
      <c r="H96" s="53" t="s">
        <v>164</v>
      </c>
      <c r="I96" s="53" t="s">
        <v>159</v>
      </c>
      <c r="J96" s="53" t="s">
        <v>38</v>
      </c>
      <c r="K96" s="53" t="s">
        <v>161</v>
      </c>
      <c r="L96" s="53">
        <v>2</v>
      </c>
      <c r="N96" s="53">
        <v>4</v>
      </c>
      <c r="O96" s="53">
        <v>0.45</v>
      </c>
      <c r="P96" s="53">
        <v>0.2</v>
      </c>
      <c r="Q96" s="16">
        <f t="shared" si="5"/>
        <v>0.32500000000000001</v>
      </c>
      <c r="R96" s="53">
        <v>14.4</v>
      </c>
      <c r="S96" s="53">
        <v>102</v>
      </c>
      <c r="T96" s="16">
        <f t="shared" si="6"/>
        <v>33</v>
      </c>
      <c r="U96" s="53">
        <v>429</v>
      </c>
      <c r="V96" s="16">
        <f t="shared" si="7"/>
        <v>3539.25</v>
      </c>
      <c r="W96" s="53">
        <v>3</v>
      </c>
      <c r="X96" s="53" t="s">
        <v>46</v>
      </c>
      <c r="Y96" s="53" t="s">
        <v>102</v>
      </c>
      <c r="Z96" s="53" t="s">
        <v>78</v>
      </c>
      <c r="AA96" s="53" t="s">
        <v>69</v>
      </c>
      <c r="AB96" s="53" t="s">
        <v>237</v>
      </c>
    </row>
    <row r="97" spans="1:28" x14ac:dyDescent="0.15">
      <c r="A97" s="53" t="s">
        <v>34</v>
      </c>
      <c r="B97" s="53" t="s">
        <v>234</v>
      </c>
      <c r="C97" s="53">
        <v>2019</v>
      </c>
      <c r="D97" s="176" t="s">
        <v>373</v>
      </c>
      <c r="E97" s="53" t="s">
        <v>383</v>
      </c>
      <c r="F97" s="53" t="s">
        <v>384</v>
      </c>
      <c r="G97" s="53" t="s">
        <v>36</v>
      </c>
      <c r="H97" s="53" t="s">
        <v>164</v>
      </c>
      <c r="I97" s="53" t="s">
        <v>159</v>
      </c>
      <c r="J97" s="53" t="s">
        <v>38</v>
      </c>
      <c r="K97" s="53" t="s">
        <v>161</v>
      </c>
      <c r="L97" s="53">
        <v>3</v>
      </c>
      <c r="N97" s="53">
        <v>4</v>
      </c>
      <c r="O97" s="53">
        <v>0.2</v>
      </c>
      <c r="P97" s="53">
        <v>0.45</v>
      </c>
      <c r="Q97" s="16">
        <f t="shared" si="5"/>
        <v>0.32500000000000001</v>
      </c>
      <c r="R97" s="53">
        <v>13.9</v>
      </c>
      <c r="S97" s="53">
        <v>98</v>
      </c>
      <c r="T97" s="16">
        <f t="shared" si="6"/>
        <v>36</v>
      </c>
      <c r="U97" s="53">
        <v>429</v>
      </c>
      <c r="V97" s="16">
        <f t="shared" si="7"/>
        <v>3861</v>
      </c>
      <c r="W97" s="53">
        <v>3</v>
      </c>
      <c r="X97" s="53" t="s">
        <v>46</v>
      </c>
      <c r="Y97" s="53" t="s">
        <v>102</v>
      </c>
      <c r="Z97" s="53" t="s">
        <v>78</v>
      </c>
      <c r="AA97" s="53" t="s">
        <v>69</v>
      </c>
      <c r="AB97" s="53" t="s">
        <v>237</v>
      </c>
    </row>
    <row r="98" spans="1:28" x14ac:dyDescent="0.15">
      <c r="A98" s="53" t="s">
        <v>34</v>
      </c>
      <c r="B98" s="53" t="s">
        <v>234</v>
      </c>
      <c r="C98" s="53">
        <v>2019</v>
      </c>
      <c r="D98" s="176" t="s">
        <v>373</v>
      </c>
      <c r="E98" s="53" t="s">
        <v>383</v>
      </c>
      <c r="F98" s="53" t="s">
        <v>384</v>
      </c>
      <c r="G98" s="53" t="s">
        <v>36</v>
      </c>
      <c r="H98" s="53" t="s">
        <v>160</v>
      </c>
      <c r="I98" s="53" t="s">
        <v>159</v>
      </c>
      <c r="J98" s="53" t="s">
        <v>38</v>
      </c>
      <c r="K98" s="53" t="s">
        <v>161</v>
      </c>
      <c r="L98" s="53">
        <v>1</v>
      </c>
      <c r="N98" s="53">
        <v>1</v>
      </c>
      <c r="O98" s="53">
        <v>0.5</v>
      </c>
      <c r="P98" s="53">
        <v>0.5</v>
      </c>
      <c r="Q98" s="16">
        <f t="shared" si="5"/>
        <v>0.5</v>
      </c>
      <c r="R98" s="53">
        <v>16.100000000000001</v>
      </c>
      <c r="S98" s="53">
        <v>138</v>
      </c>
      <c r="T98" s="16">
        <f t="shared" si="6"/>
        <v>30</v>
      </c>
      <c r="U98" s="53">
        <v>105</v>
      </c>
      <c r="V98" s="16">
        <f t="shared" si="7"/>
        <v>3150</v>
      </c>
      <c r="W98" s="53">
        <v>3</v>
      </c>
      <c r="X98" s="53" t="s">
        <v>46</v>
      </c>
      <c r="Y98" s="53" t="s">
        <v>102</v>
      </c>
      <c r="Z98" s="53" t="s">
        <v>78</v>
      </c>
      <c r="AA98" s="53" t="s">
        <v>69</v>
      </c>
      <c r="AB98" s="53" t="s">
        <v>237</v>
      </c>
    </row>
    <row r="99" spans="1:28" x14ac:dyDescent="0.15">
      <c r="A99" s="53" t="s">
        <v>34</v>
      </c>
      <c r="B99" s="53" t="s">
        <v>234</v>
      </c>
      <c r="C99" s="53">
        <v>2019</v>
      </c>
      <c r="D99" s="176" t="s">
        <v>373</v>
      </c>
      <c r="E99" s="53" t="s">
        <v>383</v>
      </c>
      <c r="F99" s="53" t="s">
        <v>384</v>
      </c>
      <c r="G99" s="53" t="s">
        <v>36</v>
      </c>
      <c r="H99" s="53" t="s">
        <v>160</v>
      </c>
      <c r="I99" s="53" t="s">
        <v>159</v>
      </c>
      <c r="J99" s="53" t="s">
        <v>38</v>
      </c>
      <c r="K99" s="53" t="s">
        <v>161</v>
      </c>
      <c r="L99" s="53">
        <v>2</v>
      </c>
      <c r="N99" s="53">
        <v>1</v>
      </c>
      <c r="O99" s="53">
        <v>0.55000000000000004</v>
      </c>
      <c r="P99" s="53">
        <v>0.75</v>
      </c>
      <c r="Q99" s="16">
        <f t="shared" si="5"/>
        <v>0.65</v>
      </c>
      <c r="R99" s="53">
        <v>14.4</v>
      </c>
      <c r="S99" s="53">
        <v>136</v>
      </c>
      <c r="T99" s="16">
        <f t="shared" si="6"/>
        <v>30</v>
      </c>
      <c r="U99" s="53">
        <v>105</v>
      </c>
      <c r="V99" s="16">
        <f t="shared" si="7"/>
        <v>3150</v>
      </c>
      <c r="W99" s="53">
        <v>3</v>
      </c>
      <c r="X99" s="53" t="s">
        <v>46</v>
      </c>
      <c r="Y99" s="53" t="s">
        <v>102</v>
      </c>
      <c r="Z99" s="53" t="s">
        <v>78</v>
      </c>
      <c r="AA99" s="53" t="s">
        <v>69</v>
      </c>
      <c r="AB99" s="53" t="s">
        <v>237</v>
      </c>
    </row>
    <row r="100" spans="1:28" x14ac:dyDescent="0.15">
      <c r="A100" s="53" t="s">
        <v>34</v>
      </c>
      <c r="B100" s="53" t="s">
        <v>234</v>
      </c>
      <c r="C100" s="53">
        <v>2019</v>
      </c>
      <c r="D100" s="176" t="s">
        <v>373</v>
      </c>
      <c r="E100" s="53" t="s">
        <v>383</v>
      </c>
      <c r="F100" s="53" t="s">
        <v>384</v>
      </c>
      <c r="G100" s="53" t="s">
        <v>36</v>
      </c>
      <c r="H100" s="53" t="s">
        <v>160</v>
      </c>
      <c r="I100" s="53" t="s">
        <v>159</v>
      </c>
      <c r="J100" s="53" t="s">
        <v>38</v>
      </c>
      <c r="K100" s="53" t="s">
        <v>161</v>
      </c>
      <c r="L100" s="53">
        <v>3</v>
      </c>
      <c r="N100" s="53">
        <v>1</v>
      </c>
      <c r="O100" s="53">
        <v>0.65</v>
      </c>
      <c r="P100" s="53">
        <v>0.5</v>
      </c>
      <c r="Q100" s="16">
        <f t="shared" si="5"/>
        <v>0.57499999999999996</v>
      </c>
      <c r="R100" s="53">
        <v>14.9</v>
      </c>
      <c r="S100" s="53">
        <v>134</v>
      </c>
      <c r="T100" s="16">
        <f t="shared" si="6"/>
        <v>30</v>
      </c>
      <c r="U100" s="53">
        <v>105</v>
      </c>
      <c r="V100" s="16">
        <f t="shared" si="7"/>
        <v>3150</v>
      </c>
      <c r="W100" s="53">
        <v>3</v>
      </c>
      <c r="X100" s="53" t="s">
        <v>46</v>
      </c>
      <c r="Y100" s="53" t="s">
        <v>102</v>
      </c>
      <c r="Z100" s="53" t="s">
        <v>78</v>
      </c>
      <c r="AA100" s="53" t="s">
        <v>69</v>
      </c>
      <c r="AB100" s="53" t="s">
        <v>237</v>
      </c>
    </row>
    <row r="101" spans="1:28" x14ac:dyDescent="0.15">
      <c r="A101" s="53" t="s">
        <v>34</v>
      </c>
      <c r="B101" s="53" t="s">
        <v>234</v>
      </c>
      <c r="C101" s="53">
        <v>2019</v>
      </c>
      <c r="D101" s="176" t="s">
        <v>373</v>
      </c>
      <c r="E101" s="53" t="s">
        <v>383</v>
      </c>
      <c r="F101" s="53" t="s">
        <v>384</v>
      </c>
      <c r="G101" s="53" t="s">
        <v>36</v>
      </c>
      <c r="H101" s="53" t="s">
        <v>160</v>
      </c>
      <c r="I101" s="53" t="s">
        <v>159</v>
      </c>
      <c r="J101" s="53" t="s">
        <v>38</v>
      </c>
      <c r="K101" s="53" t="s">
        <v>161</v>
      </c>
      <c r="L101" s="53">
        <v>1</v>
      </c>
      <c r="N101" s="53">
        <v>4</v>
      </c>
      <c r="O101" s="53">
        <v>0.5</v>
      </c>
      <c r="P101" s="53">
        <v>0.2</v>
      </c>
      <c r="Q101" s="16">
        <f t="shared" si="5"/>
        <v>0.35</v>
      </c>
      <c r="R101" s="53">
        <v>14.8</v>
      </c>
      <c r="S101" s="53">
        <v>114</v>
      </c>
      <c r="T101" s="16">
        <f t="shared" si="6"/>
        <v>30</v>
      </c>
      <c r="U101" s="53">
        <v>537</v>
      </c>
      <c r="V101" s="16">
        <f t="shared" si="7"/>
        <v>4027.5</v>
      </c>
      <c r="W101" s="53">
        <v>3</v>
      </c>
      <c r="X101" s="53" t="s">
        <v>46</v>
      </c>
      <c r="Y101" s="53" t="s">
        <v>102</v>
      </c>
      <c r="Z101" s="53" t="s">
        <v>78</v>
      </c>
      <c r="AA101" s="53" t="s">
        <v>69</v>
      </c>
      <c r="AB101" s="53" t="s">
        <v>237</v>
      </c>
    </row>
    <row r="102" spans="1:28" x14ac:dyDescent="0.15">
      <c r="A102" s="53" t="s">
        <v>34</v>
      </c>
      <c r="B102" s="53" t="s">
        <v>234</v>
      </c>
      <c r="C102" s="53">
        <v>2019</v>
      </c>
      <c r="D102" s="176" t="s">
        <v>373</v>
      </c>
      <c r="E102" s="53" t="s">
        <v>383</v>
      </c>
      <c r="F102" s="53" t="s">
        <v>384</v>
      </c>
      <c r="G102" s="53" t="s">
        <v>36</v>
      </c>
      <c r="H102" s="53" t="s">
        <v>160</v>
      </c>
      <c r="I102" s="53" t="s">
        <v>159</v>
      </c>
      <c r="J102" s="53" t="s">
        <v>38</v>
      </c>
      <c r="K102" s="53" t="s">
        <v>161</v>
      </c>
      <c r="L102" s="53">
        <v>2</v>
      </c>
      <c r="N102" s="53">
        <v>4</v>
      </c>
      <c r="O102" s="53">
        <v>0.2</v>
      </c>
      <c r="P102" s="53">
        <v>0.2</v>
      </c>
      <c r="Q102" s="16">
        <f t="shared" si="5"/>
        <v>0.2</v>
      </c>
      <c r="R102" s="53">
        <v>16.3</v>
      </c>
      <c r="S102" s="53">
        <v>108</v>
      </c>
      <c r="T102" s="16">
        <f t="shared" si="6"/>
        <v>33</v>
      </c>
      <c r="U102" s="53">
        <v>537</v>
      </c>
      <c r="V102" s="16">
        <f t="shared" si="7"/>
        <v>4430.25</v>
      </c>
      <c r="W102" s="53">
        <v>3</v>
      </c>
      <c r="X102" s="53" t="s">
        <v>46</v>
      </c>
      <c r="Y102" s="53" t="s">
        <v>102</v>
      </c>
      <c r="Z102" s="53" t="s">
        <v>78</v>
      </c>
      <c r="AA102" s="53" t="s">
        <v>69</v>
      </c>
      <c r="AB102" s="53" t="s">
        <v>237</v>
      </c>
    </row>
    <row r="103" spans="1:28" x14ac:dyDescent="0.15">
      <c r="A103" s="53" t="s">
        <v>34</v>
      </c>
      <c r="B103" s="53" t="s">
        <v>234</v>
      </c>
      <c r="C103" s="53">
        <v>2019</v>
      </c>
      <c r="D103" s="176" t="s">
        <v>373</v>
      </c>
      <c r="E103" s="53" t="s">
        <v>383</v>
      </c>
      <c r="F103" s="53" t="s">
        <v>384</v>
      </c>
      <c r="G103" s="53" t="s">
        <v>36</v>
      </c>
      <c r="H103" s="53" t="s">
        <v>160</v>
      </c>
      <c r="I103" s="53" t="s">
        <v>159</v>
      </c>
      <c r="J103" s="53" t="s">
        <v>38</v>
      </c>
      <c r="K103" s="53" t="s">
        <v>161</v>
      </c>
      <c r="L103" s="53">
        <v>3</v>
      </c>
      <c r="N103" s="53">
        <v>4</v>
      </c>
      <c r="O103" s="53">
        <v>0.45</v>
      </c>
      <c r="P103" s="53">
        <v>0.2</v>
      </c>
      <c r="Q103" s="16">
        <f t="shared" si="5"/>
        <v>0.32500000000000001</v>
      </c>
      <c r="R103" s="53">
        <v>15.1</v>
      </c>
      <c r="S103" s="53">
        <v>108</v>
      </c>
      <c r="T103" s="16">
        <f t="shared" si="6"/>
        <v>33</v>
      </c>
      <c r="U103" s="53">
        <v>537</v>
      </c>
      <c r="V103" s="16">
        <f t="shared" si="7"/>
        <v>4430.25</v>
      </c>
      <c r="W103" s="53">
        <v>3</v>
      </c>
      <c r="X103" s="53" t="s">
        <v>46</v>
      </c>
      <c r="Y103" s="53" t="s">
        <v>102</v>
      </c>
      <c r="Z103" s="53" t="s">
        <v>78</v>
      </c>
      <c r="AA103" s="53" t="s">
        <v>69</v>
      </c>
      <c r="AB103" s="53" t="s">
        <v>237</v>
      </c>
    </row>
    <row r="104" spans="1:28" x14ac:dyDescent="0.15">
      <c r="D104" s="176"/>
    </row>
    <row r="105" spans="1:28" x14ac:dyDescent="0.15">
      <c r="D105" s="176"/>
    </row>
    <row r="106" spans="1:28" x14ac:dyDescent="0.15">
      <c r="D106" s="176"/>
    </row>
    <row r="107" spans="1:28" x14ac:dyDescent="0.15">
      <c r="D107" s="176"/>
    </row>
    <row r="108" spans="1:28" x14ac:dyDescent="0.15">
      <c r="D108" s="176"/>
    </row>
    <row r="109" spans="1:28" x14ac:dyDescent="0.15">
      <c r="D109" s="176"/>
    </row>
    <row r="110" spans="1:28" x14ac:dyDescent="0.15">
      <c r="D110" s="176"/>
    </row>
    <row r="111" spans="1:28" x14ac:dyDescent="0.15">
      <c r="D111" s="176"/>
    </row>
    <row r="112" spans="1:28"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K2:K781" xr:uid="{554733E4-FFAF-499A-B9CF-FE65018EAA4B}">
      <formula1>$AR$2:$AR$23</formula1>
    </dataValidation>
    <dataValidation operator="equal" allowBlank="1" showInputMessage="1" showErrorMessage="1" sqref="B2:B149" xr:uid="{5FBD8F5D-67B3-4819-A22D-BCAB53E42E06}"/>
    <dataValidation type="list" allowBlank="1" showInputMessage="1" showErrorMessage="1" sqref="A2:A468" xr:uid="{F3A66E49-BDC6-440D-8718-A7E5CC78A71C}">
      <formula1>$AE$2:$AE$19</formula1>
    </dataValidation>
    <dataValidation type="list" allowBlank="1" showInputMessage="1" showErrorMessage="1" sqref="Y2:AA469" xr:uid="{87DDEA64-88DD-4D80-BB70-38968D2AD419}">
      <formula1>$AV$2:$AV$21</formula1>
    </dataValidation>
    <dataValidation type="list" allowBlank="1" showInputMessage="1" showErrorMessage="1" sqref="H2:H469" xr:uid="{A2440218-C620-4CCF-985C-6A6CFD0003A6}">
      <formula1>$AL$2:$AL$8</formula1>
    </dataValidation>
    <dataValidation type="list" allowBlank="1" showInputMessage="1" showErrorMessage="1" sqref="X2:X469" xr:uid="{7279CEA4-3291-44E5-9E2C-4F42FDDF9624}">
      <formula1>$AT$2:$AT$3</formula1>
    </dataValidation>
    <dataValidation type="list" allowBlank="1" showInputMessage="1" showErrorMessage="1" sqref="G2:G469" xr:uid="{B18458C7-E7B2-4948-A62B-A888C592FE91}">
      <formula1>$AJ$2:$AJ$4</formula1>
    </dataValidation>
    <dataValidation type="list" allowBlank="1" showInputMessage="1" showErrorMessage="1" sqref="I2:I469" xr:uid="{51965041-944A-41D6-9A37-AE3FCDA9083B}">
      <formula1>$AN$5:$AN$6</formula1>
    </dataValidation>
    <dataValidation type="list" allowBlank="1" showInputMessage="1" showErrorMessage="1" sqref="J2:J469" xr:uid="{B852ACFD-CB15-4454-8BEF-E796A872F59D}">
      <formula1>$AP$2:$AP$24</formula1>
    </dataValidation>
    <dataValidation type="list" allowBlank="1" showInputMessage="1" showErrorMessage="1" sqref="F2:F469" xr:uid="{F7D730D3-1937-44F6-90D8-5EEACF248A45}">
      <formula1>$AH$2:$AH$11</formula1>
    </dataValidation>
    <dataValidation type="list" allowBlank="1" showInputMessage="1" showErrorMessage="1" sqref="E2:E469" xr:uid="{F4EE9836-8E18-464E-A0E7-4C6E474AF286}">
      <formula1>$AG$2:$AG$11</formula1>
    </dataValidation>
    <dataValidation type="decimal" allowBlank="1" showInputMessage="1" showErrorMessage="1" error="硬度を正しく入力して下さい。" sqref="O2:P49 O59:P469" xr:uid="{7FAB25CD-E37E-4100-9934-0184AB633CB8}">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AFC6FA-1AEF-45B0-9F89-0D634450C28B}"/>
</file>

<file path=customXml/itemProps2.xml><?xml version="1.0" encoding="utf-8"?>
<ds:datastoreItem xmlns:ds="http://schemas.openxmlformats.org/officeDocument/2006/customXml" ds:itemID="{A2B96715-E1AE-4E95-B666-2C3C88DC72DD}"/>
</file>

<file path=customXml/itemProps3.xml><?xml version="1.0" encoding="utf-8"?>
<ds:datastoreItem xmlns:ds="http://schemas.openxmlformats.org/officeDocument/2006/customXml" ds:itemID="{FC1A32BB-7687-4DCF-89DA-B698F4DB25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2019-09-25T02:52:49Z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