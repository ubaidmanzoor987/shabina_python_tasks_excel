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192.168.11.200\000_全国共有\2-Zespri\品質調査\2019\35週\"/>
    </mc:Choice>
  </mc:AlternateContent>
  <xr:revisionPtr revIDLastSave="0" documentId="13_ncr:1_{DAC64E87-1375-4B38-ABE9-3910D1C75A3C}" xr6:coauthVersionLast="44" xr6:coauthVersionMax="44"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24" r:id="rId3"/>
    <sheet name="osaka" sheetId="19" r:id="rId4"/>
    <sheet name="hiroshima" sheetId="20" r:id="rId5"/>
    <sheet name="fukuoka" sheetId="21" r:id="rId6"/>
    <sheet name="tokyo-east(ota)" sheetId="23" r:id="rId7"/>
    <sheet name="tokyo-west(kato)" sheetId="22" r:id="rId8"/>
  </sheets>
  <definedNames>
    <definedName name="_xlnm._FilterDatabase" localSheetId="5" hidden="1">fukuoka!$A$1:$BA$145</definedName>
    <definedName name="_xlnm._FilterDatabase" localSheetId="4" hidden="1">hiroshima!$A$1:$BA$1</definedName>
    <definedName name="_xlnm._FilterDatabase" localSheetId="1" hidden="1">miyagi!$A$1:$BA$363</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0">#REF!</definedName>
    <definedName name="aaa" localSheetId="6">#REF!</definedName>
    <definedName name="aaa">#REF!</definedName>
    <definedName name="Brand" localSheetId="0">#REF!</definedName>
    <definedName name="Brand" localSheetId="6">#REF!</definedName>
    <definedName name="Brand">#REF!</definedName>
    <definedName name="District" localSheetId="0">#REF!</definedName>
    <definedName name="District" localSheetId="6">#REF!</definedName>
    <definedName name="District">#REF!</definedName>
    <definedName name="Fruit" localSheetId="0">#REF!</definedName>
    <definedName name="Fruit" localSheetId="6">#REF!</definedName>
    <definedName name="Fruit">#REF!</definedName>
    <definedName name="GoldSIZE" localSheetId="0">#REF!</definedName>
    <definedName name="GoldSIZE" localSheetId="6">#REF!</definedName>
    <definedName name="GoldSIZE">#REF!</definedName>
    <definedName name="GreenSIZE" localSheetId="0">#REF!</definedName>
    <definedName name="GreenSIZE" localSheetId="6">#REF!</definedName>
    <definedName name="GreenSIZE">#REF!</definedName>
    <definedName name="GrowingMethod" localSheetId="0">#REF!</definedName>
    <definedName name="GrowingMethod" localSheetId="6">#REF!</definedName>
    <definedName name="GrowingMethod">#REF!</definedName>
    <definedName name="hiroshima" localSheetId="6">#REF!</definedName>
    <definedName name="hiroshima">#REF!</definedName>
    <definedName name="kk" localSheetId="6">#REF!</definedName>
    <definedName name="kk">#REF!</definedName>
    <definedName name="ｌｌｌｌｌ" localSheetId="6">#REF!</definedName>
    <definedName name="ｌｌｌｌｌ">#REF!</definedName>
    <definedName name="miyagi" localSheetId="6">#REF!</definedName>
    <definedName name="miyagi">#REF!</definedName>
    <definedName name="miyagi2" localSheetId="6">#REF!</definedName>
    <definedName name="miyagi2">#REF!</definedName>
    <definedName name="Origin" localSheetId="0">#REF!</definedName>
    <definedName name="Origin" localSheetId="6">#REF!</definedName>
    <definedName name="Origin">#REF!</definedName>
    <definedName name="_xlnm.Print_Area" localSheetId="6">'tokyo-east(ota)'!$A$1:$AH$49</definedName>
    <definedName name="Shelf" localSheetId="0">#REF!</definedName>
    <definedName name="Shelf" localSheetId="6">#REF!</definedName>
    <definedName name="Shelf">#REF!</definedName>
    <definedName name="Shop" localSheetId="0">#REF!</definedName>
    <definedName name="Shop" localSheetId="6">#REF!</definedName>
    <definedName name="Shop">#REF!</definedName>
    <definedName name="ShopName1" localSheetId="0">#REF!</definedName>
    <definedName name="ShopName1" localSheetId="6">#REF!</definedName>
    <definedName name="ShopName1">#REF!</definedName>
    <definedName name="ShopName2" localSheetId="0">#REF!</definedName>
    <definedName name="ShopName2" localSheetId="6">#REF!</definedName>
    <definedName name="ShopName2">#REF!</definedName>
    <definedName name="Variety" localSheetId="0">#REF!</definedName>
    <definedName name="Variety" localSheetId="6">#REF!</definedName>
    <definedName name="Variety">#REF!</definedName>
    <definedName name="yaginuma" localSheetId="6">#REF!</definedName>
    <definedName name="yaginuma">#REF!</definedName>
    <definedName name="検索店舗名" localSheetId="0">#REF!</definedName>
    <definedName name="検索店舗名" localSheetId="6">#REF!</definedName>
    <definedName name="検索店舗名">#REF!</definedName>
    <definedName name="栽培方法">#REF!</definedName>
    <definedName name="販売ユニット個数" localSheetId="0">#REF!</definedName>
    <definedName name="販売ユニット個数" localSheetId="6">#REF!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58" i="24" l="1"/>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T106" i="22" l="1"/>
  <c r="V106" i="22" s="1"/>
  <c r="Q106" i="22"/>
  <c r="T105" i="22"/>
  <c r="V105" i="22" s="1"/>
  <c r="Q105" i="22"/>
  <c r="T104" i="22"/>
  <c r="V104" i="22" s="1"/>
  <c r="Q104" i="22"/>
  <c r="T103" i="22"/>
  <c r="V103" i="22" s="1"/>
  <c r="Q103" i="22"/>
  <c r="T102" i="22"/>
  <c r="V102" i="22" s="1"/>
  <c r="Q102" i="22"/>
  <c r="T101" i="22"/>
  <c r="V101" i="22" s="1"/>
  <c r="Q101" i="22"/>
  <c r="T100" i="22"/>
  <c r="V100" i="22" s="1"/>
  <c r="Q100" i="22"/>
  <c r="T99" i="22"/>
  <c r="V99" i="22" s="1"/>
  <c r="Q99" i="22"/>
  <c r="T98" i="22"/>
  <c r="V98" i="22" s="1"/>
  <c r="Q98" i="22"/>
  <c r="T97" i="22"/>
  <c r="V97" i="22" s="1"/>
  <c r="Q97" i="22"/>
  <c r="T96" i="22"/>
  <c r="V96" i="22" s="1"/>
  <c r="Q96" i="22"/>
  <c r="T95" i="22"/>
  <c r="V95" i="22" s="1"/>
  <c r="Q95" i="22"/>
  <c r="T94" i="22"/>
  <c r="V94" i="22" s="1"/>
  <c r="Q94" i="22"/>
  <c r="T93" i="22"/>
  <c r="V93" i="22" s="1"/>
  <c r="Q93" i="22"/>
  <c r="T92" i="22"/>
  <c r="V92" i="22" s="1"/>
  <c r="Q92" i="22"/>
  <c r="T91" i="22"/>
  <c r="V91" i="22" s="1"/>
  <c r="Q91" i="22"/>
  <c r="T90" i="22"/>
  <c r="V90" i="22" s="1"/>
  <c r="Q90" i="22"/>
  <c r="T89" i="22"/>
  <c r="V89" i="22" s="1"/>
  <c r="Q89" i="22"/>
  <c r="T88" i="22"/>
  <c r="V88" i="22" s="1"/>
  <c r="Q88" i="22"/>
  <c r="T87" i="22"/>
  <c r="V87" i="22" s="1"/>
  <c r="Q87" i="22"/>
  <c r="T86" i="22"/>
  <c r="V86" i="22" s="1"/>
  <c r="Q86" i="22"/>
  <c r="T85" i="22"/>
  <c r="V85" i="22" s="1"/>
  <c r="Q85" i="22"/>
  <c r="T84" i="22"/>
  <c r="V84" i="22" s="1"/>
  <c r="Q84" i="22"/>
  <c r="T83" i="22"/>
  <c r="V83" i="22" s="1"/>
  <c r="Q83" i="22"/>
  <c r="T82" i="22"/>
  <c r="V82" i="22" s="1"/>
  <c r="Q82" i="22"/>
  <c r="T81" i="22"/>
  <c r="V81" i="22" s="1"/>
  <c r="Q81" i="22"/>
  <c r="T80" i="22"/>
  <c r="V80" i="22" s="1"/>
  <c r="Q80" i="22"/>
  <c r="T79" i="22"/>
  <c r="V79" i="22" s="1"/>
  <c r="Q79" i="22"/>
  <c r="T78" i="22"/>
  <c r="V78" i="22" s="1"/>
  <c r="Q78" i="22"/>
  <c r="T77" i="22"/>
  <c r="V77" i="22" s="1"/>
  <c r="Q77" i="22"/>
  <c r="T76" i="22"/>
  <c r="V76" i="22" s="1"/>
  <c r="Q76" i="22"/>
  <c r="T75" i="22"/>
  <c r="V75" i="22" s="1"/>
  <c r="Q75" i="22"/>
  <c r="T74" i="22"/>
  <c r="V74" i="22" s="1"/>
  <c r="Q74" i="22"/>
  <c r="T73" i="22"/>
  <c r="V73" i="22" s="1"/>
  <c r="Q73" i="22"/>
  <c r="T72" i="22"/>
  <c r="V72" i="22" s="1"/>
  <c r="Q72" i="22"/>
  <c r="T71" i="22"/>
  <c r="V71" i="22" s="1"/>
  <c r="Q71" i="22"/>
  <c r="T70" i="22"/>
  <c r="V70" i="22" s="1"/>
  <c r="Q70" i="22"/>
  <c r="T69" i="22"/>
  <c r="V69" i="22" s="1"/>
  <c r="Q69" i="22"/>
  <c r="T68" i="22"/>
  <c r="V68" i="22" s="1"/>
  <c r="Q68" i="22"/>
  <c r="T67" i="22"/>
  <c r="V67" i="22" s="1"/>
  <c r="Q67" i="22"/>
  <c r="T66" i="22"/>
  <c r="V66" i="22" s="1"/>
  <c r="Q66" i="22"/>
  <c r="T65" i="22"/>
  <c r="V65" i="22" s="1"/>
  <c r="Q65" i="22"/>
  <c r="T64" i="22"/>
  <c r="V64" i="22" s="1"/>
  <c r="Q64" i="22"/>
  <c r="T63" i="22"/>
  <c r="V63" i="22" s="1"/>
  <c r="Q63" i="22"/>
  <c r="T62" i="22"/>
  <c r="V62" i="22" s="1"/>
  <c r="Q62" i="22"/>
  <c r="T61" i="22"/>
  <c r="V61" i="22" s="1"/>
  <c r="Q61" i="22"/>
  <c r="T60" i="22"/>
  <c r="V60" i="22" s="1"/>
  <c r="Q60" i="22"/>
  <c r="T59" i="22"/>
  <c r="V59" i="22" s="1"/>
  <c r="Q59" i="22"/>
  <c r="T58" i="22"/>
  <c r="V58" i="22" s="1"/>
  <c r="Q58" i="22"/>
  <c r="T57" i="22"/>
  <c r="V57" i="22" s="1"/>
  <c r="Q57" i="22"/>
  <c r="T56" i="22"/>
  <c r="V56" i="22" s="1"/>
  <c r="Q56" i="22"/>
  <c r="T55" i="22"/>
  <c r="V55" i="22" s="1"/>
  <c r="Q55" i="22"/>
  <c r="T54" i="22"/>
  <c r="V54" i="22" s="1"/>
  <c r="Q54" i="22"/>
  <c r="T53" i="22"/>
  <c r="V53" i="22" s="1"/>
  <c r="Q53" i="22"/>
  <c r="T52" i="22"/>
  <c r="V52" i="22" s="1"/>
  <c r="Q52" i="22"/>
  <c r="T51" i="22"/>
  <c r="V51" i="22" s="1"/>
  <c r="Q51" i="22"/>
  <c r="T50" i="22"/>
  <c r="V50" i="22" s="1"/>
  <c r="Q50" i="22"/>
  <c r="T49" i="22"/>
  <c r="V49" i="22" s="1"/>
  <c r="Q49" i="22"/>
  <c r="T48" i="22"/>
  <c r="V48" i="22" s="1"/>
  <c r="Q48" i="22"/>
  <c r="T47" i="22"/>
  <c r="V47" i="22" s="1"/>
  <c r="Q47" i="22"/>
  <c r="T46" i="22"/>
  <c r="V46" i="22" s="1"/>
  <c r="Q46" i="22"/>
  <c r="T45" i="22"/>
  <c r="V45" i="22" s="1"/>
  <c r="Q45" i="22"/>
  <c r="T44" i="22"/>
  <c r="V44" i="22" s="1"/>
  <c r="Q44" i="22"/>
  <c r="T43" i="22"/>
  <c r="V43" i="22" s="1"/>
  <c r="Q43" i="22"/>
  <c r="T42" i="22"/>
  <c r="V42" i="22" s="1"/>
  <c r="Q42" i="22"/>
  <c r="T41" i="22"/>
  <c r="V41" i="22" s="1"/>
  <c r="Q41" i="22"/>
  <c r="T40" i="22"/>
  <c r="V40" i="22" s="1"/>
  <c r="Q40" i="22"/>
  <c r="T39" i="22"/>
  <c r="V39" i="22" s="1"/>
  <c r="Q39" i="22"/>
  <c r="T38" i="22"/>
  <c r="V38" i="22" s="1"/>
  <c r="Q38" i="22"/>
  <c r="T37" i="22"/>
  <c r="V37" i="22" s="1"/>
  <c r="Q37" i="22"/>
  <c r="T36" i="22"/>
  <c r="V36" i="22" s="1"/>
  <c r="Q36" i="22"/>
  <c r="T35" i="22"/>
  <c r="V35" i="22" s="1"/>
  <c r="Q35" i="22"/>
  <c r="T34" i="22"/>
  <c r="V34" i="22" s="1"/>
  <c r="Q34" i="22"/>
  <c r="T33" i="22"/>
  <c r="V33" i="22" s="1"/>
  <c r="Q33" i="22"/>
  <c r="T32" i="22"/>
  <c r="V32" i="22" s="1"/>
  <c r="Q32" i="22"/>
  <c r="T31" i="22"/>
  <c r="V31" i="22" s="1"/>
  <c r="Q31" i="22"/>
  <c r="T30" i="22"/>
  <c r="V30" i="22" s="1"/>
  <c r="Q30" i="22"/>
  <c r="T29" i="22"/>
  <c r="V29" i="22" s="1"/>
  <c r="Q29" i="22"/>
  <c r="T28" i="22"/>
  <c r="V28" i="22" s="1"/>
  <c r="Q28" i="22"/>
  <c r="T27" i="22"/>
  <c r="V27" i="22" s="1"/>
  <c r="Q27" i="22"/>
  <c r="T26" i="22"/>
  <c r="V26" i="22" s="1"/>
  <c r="Q26" i="22"/>
  <c r="T25" i="22"/>
  <c r="V25" i="22" s="1"/>
  <c r="Q25" i="22"/>
  <c r="T24" i="22"/>
  <c r="V24" i="22" s="1"/>
  <c r="Q24" i="22"/>
  <c r="T23" i="22"/>
  <c r="V23" i="22" s="1"/>
  <c r="Q23" i="22"/>
  <c r="T22" i="22"/>
  <c r="V22" i="22" s="1"/>
  <c r="Q22" i="22"/>
  <c r="T21" i="22"/>
  <c r="V21" i="22" s="1"/>
  <c r="Q21" i="22"/>
  <c r="T20" i="22"/>
  <c r="V20" i="22" s="1"/>
  <c r="Q20" i="22"/>
  <c r="T19" i="22"/>
  <c r="V19" i="22" s="1"/>
  <c r="Q19" i="22"/>
  <c r="T18" i="22"/>
  <c r="V18" i="22" s="1"/>
  <c r="Q18" i="22"/>
  <c r="T17" i="22"/>
  <c r="V17" i="22" s="1"/>
  <c r="Q17" i="22"/>
  <c r="T16" i="22"/>
  <c r="V16" i="22" s="1"/>
  <c r="Q16" i="22"/>
  <c r="T15" i="22"/>
  <c r="V15" i="22" s="1"/>
  <c r="Q15" i="22"/>
  <c r="T14" i="22"/>
  <c r="V14" i="22" s="1"/>
  <c r="Q14" i="22"/>
  <c r="T13" i="22"/>
  <c r="V13" i="22" s="1"/>
  <c r="Q13" i="22"/>
  <c r="T12" i="22"/>
  <c r="V12" i="22" s="1"/>
  <c r="Q12" i="22"/>
  <c r="T11" i="22"/>
  <c r="V11" i="22" s="1"/>
  <c r="Q11" i="22"/>
  <c r="T10" i="22"/>
  <c r="V10" i="22" s="1"/>
  <c r="Q10" i="22"/>
  <c r="T9" i="22"/>
  <c r="V9" i="22" s="1"/>
  <c r="Q9" i="22"/>
  <c r="T8" i="22"/>
  <c r="V8" i="22" s="1"/>
  <c r="Q8" i="22"/>
  <c r="T7" i="22"/>
  <c r="V7" i="22" s="1"/>
  <c r="Q7" i="22"/>
  <c r="T6" i="22"/>
  <c r="V6" i="22" s="1"/>
  <c r="Q6" i="22"/>
  <c r="T5" i="22"/>
  <c r="V5" i="22" s="1"/>
  <c r="Q5" i="22"/>
  <c r="T4" i="22"/>
  <c r="V4" i="22" s="1"/>
  <c r="Q4" i="22"/>
  <c r="T3" i="22"/>
  <c r="V3" i="22" s="1"/>
  <c r="Q3" i="22"/>
  <c r="T2" i="22"/>
  <c r="V2" i="22" s="1"/>
  <c r="Q2" i="22"/>
  <c r="V145" i="21" l="1"/>
  <c r="T145" i="21"/>
  <c r="Q145" i="21"/>
  <c r="V144" i="21"/>
  <c r="T144" i="21"/>
  <c r="Q144" i="21"/>
  <c r="V143" i="21"/>
  <c r="T143" i="21"/>
  <c r="Q143" i="21"/>
  <c r="V142" i="21"/>
  <c r="T142" i="21"/>
  <c r="Q142" i="21"/>
  <c r="V141" i="21"/>
  <c r="T141" i="21"/>
  <c r="Q141" i="21"/>
  <c r="V140" i="21"/>
  <c r="T140" i="21"/>
  <c r="Q140" i="21"/>
  <c r="V139" i="21"/>
  <c r="T139" i="21"/>
  <c r="Q139" i="21"/>
  <c r="V138" i="21"/>
  <c r="T138" i="21"/>
  <c r="Q138" i="21"/>
  <c r="V137" i="21"/>
  <c r="T137" i="21"/>
  <c r="Q137" i="21"/>
  <c r="V136" i="21"/>
  <c r="T136" i="21"/>
  <c r="Q136" i="21"/>
  <c r="V135" i="21"/>
  <c r="T135" i="21"/>
  <c r="Q135" i="21"/>
  <c r="V134" i="21"/>
  <c r="T134" i="21"/>
  <c r="Q134" i="21"/>
  <c r="V133" i="21"/>
  <c r="T133" i="21"/>
  <c r="Q133" i="21"/>
  <c r="V132" i="21"/>
  <c r="T132" i="21"/>
  <c r="Q132" i="21"/>
  <c r="V131" i="21"/>
  <c r="T131" i="21"/>
  <c r="Q131" i="21"/>
  <c r="V130" i="21"/>
  <c r="T130" i="21"/>
  <c r="Q130" i="21"/>
  <c r="V129" i="21"/>
  <c r="T129" i="21"/>
  <c r="Q129" i="21"/>
  <c r="V128" i="21"/>
  <c r="T128" i="21"/>
  <c r="Q128" i="21"/>
  <c r="V127" i="21"/>
  <c r="T127" i="21"/>
  <c r="Q127" i="21"/>
  <c r="V126" i="21"/>
  <c r="T126" i="21"/>
  <c r="Q126" i="21"/>
  <c r="V125" i="21"/>
  <c r="T125" i="21"/>
  <c r="Q125" i="21"/>
  <c r="V124" i="21"/>
  <c r="T124" i="21"/>
  <c r="Q124" i="21"/>
  <c r="V123" i="21"/>
  <c r="T123" i="21"/>
  <c r="Q123" i="21"/>
  <c r="V122" i="21"/>
  <c r="T122" i="21"/>
  <c r="Q122" i="21"/>
  <c r="V121" i="21"/>
  <c r="T121" i="21"/>
  <c r="Q121" i="21"/>
  <c r="V120" i="21"/>
  <c r="T120" i="21"/>
  <c r="Q120" i="21"/>
  <c r="V119" i="21"/>
  <c r="T119" i="21"/>
  <c r="Q119" i="21"/>
  <c r="V118" i="21"/>
  <c r="T118" i="21"/>
  <c r="Q118" i="21"/>
  <c r="V117" i="21"/>
  <c r="T117" i="21"/>
  <c r="Q117" i="21"/>
  <c r="V116" i="21"/>
  <c r="T116" i="21"/>
  <c r="Q116" i="21"/>
  <c r="V115" i="21"/>
  <c r="T115" i="21"/>
  <c r="Q115" i="21"/>
  <c r="V114" i="21"/>
  <c r="T114" i="21"/>
  <c r="Q114" i="21"/>
  <c r="V113" i="21"/>
  <c r="T113" i="21"/>
  <c r="Q113" i="21"/>
  <c r="V112" i="21"/>
  <c r="T112" i="21"/>
  <c r="Q112" i="21"/>
  <c r="V111" i="21"/>
  <c r="T111" i="21"/>
  <c r="Q111" i="21"/>
  <c r="V110" i="21"/>
  <c r="T110" i="21"/>
  <c r="Q110" i="21"/>
  <c r="V109" i="21"/>
  <c r="T109" i="21"/>
  <c r="Q109" i="21"/>
  <c r="V108" i="21"/>
  <c r="T108" i="21"/>
  <c r="Q108" i="21"/>
  <c r="V107" i="21"/>
  <c r="T107" i="21"/>
  <c r="Q107" i="21"/>
  <c r="V106" i="21"/>
  <c r="T106" i="21"/>
  <c r="Q106" i="21"/>
  <c r="V105" i="21"/>
  <c r="T105" i="21"/>
  <c r="Q105" i="21"/>
  <c r="V104" i="21"/>
  <c r="T104" i="21"/>
  <c r="Q104" i="21"/>
  <c r="V103" i="21"/>
  <c r="T103" i="21"/>
  <c r="Q103" i="21"/>
  <c r="V102" i="21"/>
  <c r="T102" i="21"/>
  <c r="Q102" i="21"/>
  <c r="V101" i="21"/>
  <c r="T101" i="21"/>
  <c r="Q101" i="21"/>
  <c r="V100" i="21"/>
  <c r="T100" i="21"/>
  <c r="Q100" i="21"/>
  <c r="V99" i="21"/>
  <c r="T99" i="21"/>
  <c r="Q99" i="21"/>
  <c r="V98" i="21"/>
  <c r="T98" i="21"/>
  <c r="Q98" i="21"/>
  <c r="V97" i="21"/>
  <c r="T97" i="21"/>
  <c r="Q97" i="21"/>
  <c r="V96" i="21"/>
  <c r="T96" i="21"/>
  <c r="Q96" i="21"/>
  <c r="V95" i="21"/>
  <c r="T95" i="21"/>
  <c r="Q95" i="21"/>
  <c r="V94" i="21"/>
  <c r="T94" i="21"/>
  <c r="Q94" i="21"/>
  <c r="V58" i="21"/>
  <c r="T58" i="21"/>
  <c r="Q58" i="21"/>
  <c r="V57" i="21"/>
  <c r="T57" i="21"/>
  <c r="Q57" i="21"/>
  <c r="V56" i="21"/>
  <c r="T56" i="21"/>
  <c r="Q56" i="21"/>
  <c r="V55" i="21"/>
  <c r="T55" i="21"/>
  <c r="Q55" i="21"/>
  <c r="V54" i="21"/>
  <c r="T54" i="21"/>
  <c r="Q54" i="21"/>
  <c r="V53" i="21"/>
  <c r="T53" i="21"/>
  <c r="Q53" i="21"/>
  <c r="V52" i="21"/>
  <c r="T52" i="21"/>
  <c r="Q52" i="21"/>
  <c r="V51" i="21"/>
  <c r="T51" i="21"/>
  <c r="Q51" i="21"/>
  <c r="V50" i="21"/>
  <c r="T50" i="21"/>
  <c r="Q50" i="21"/>
  <c r="V49" i="21"/>
  <c r="T49" i="21"/>
  <c r="Q49" i="21"/>
  <c r="V48" i="21"/>
  <c r="T48" i="21"/>
  <c r="Q48" i="21"/>
  <c r="V47" i="21"/>
  <c r="T47" i="21"/>
  <c r="Q47" i="21"/>
  <c r="V46" i="21"/>
  <c r="T46" i="21"/>
  <c r="Q46" i="21"/>
  <c r="V45" i="21"/>
  <c r="T45" i="21"/>
  <c r="Q45" i="21"/>
  <c r="V44" i="21"/>
  <c r="T44" i="21"/>
  <c r="Q44" i="21"/>
  <c r="V43" i="21"/>
  <c r="T43" i="21"/>
  <c r="Q43" i="21"/>
  <c r="V42" i="21"/>
  <c r="T42" i="21"/>
  <c r="Q42" i="21"/>
  <c r="V41" i="21"/>
  <c r="T41" i="21"/>
  <c r="Q41" i="21"/>
  <c r="V40" i="21"/>
  <c r="T40" i="21"/>
  <c r="Q40" i="21"/>
  <c r="V39" i="21"/>
  <c r="T39" i="21"/>
  <c r="Q39" i="21"/>
  <c r="V38" i="21"/>
  <c r="T38" i="21"/>
  <c r="Q38" i="21"/>
  <c r="V37" i="21"/>
  <c r="T37" i="21"/>
  <c r="Q37" i="21"/>
  <c r="V36" i="21"/>
  <c r="T36" i="21"/>
  <c r="Q36" i="21"/>
  <c r="V35" i="21"/>
  <c r="T35" i="21"/>
  <c r="Q35" i="21"/>
  <c r="V34" i="21"/>
  <c r="T34" i="21"/>
  <c r="Q34" i="21"/>
  <c r="V33" i="21"/>
  <c r="T33" i="21"/>
  <c r="Q33" i="21"/>
  <c r="V32" i="21"/>
  <c r="T32" i="21"/>
  <c r="Q32" i="21"/>
  <c r="V31" i="21"/>
  <c r="T31" i="21"/>
  <c r="Q31" i="21"/>
  <c r="V30" i="21"/>
  <c r="T30" i="21"/>
  <c r="Q30" i="21"/>
  <c r="V29" i="21"/>
  <c r="T29" i="21"/>
  <c r="Q29" i="21"/>
  <c r="V28" i="21"/>
  <c r="T28" i="21"/>
  <c r="Q28" i="21"/>
  <c r="V27" i="21"/>
  <c r="T27" i="21"/>
  <c r="Q27" i="21"/>
  <c r="V26" i="21"/>
  <c r="T26" i="21"/>
  <c r="Q26" i="21"/>
  <c r="V25" i="21"/>
  <c r="T25" i="21"/>
  <c r="Q25" i="21"/>
  <c r="V24" i="21"/>
  <c r="T24" i="21"/>
  <c r="Q24" i="21"/>
  <c r="V23" i="21"/>
  <c r="T23" i="21"/>
  <c r="Q23" i="21"/>
  <c r="V22" i="21"/>
  <c r="T22" i="21"/>
  <c r="Q22" i="21"/>
  <c r="V21" i="21"/>
  <c r="T21" i="21"/>
  <c r="Q21" i="21"/>
  <c r="V20" i="21"/>
  <c r="T20" i="21"/>
  <c r="Q20" i="21"/>
  <c r="V19" i="21"/>
  <c r="T19" i="21"/>
  <c r="Q19" i="21"/>
  <c r="V18" i="21"/>
  <c r="T18" i="21"/>
  <c r="Q18" i="21"/>
  <c r="V17" i="21"/>
  <c r="T17" i="21"/>
  <c r="Q17" i="21"/>
  <c r="V16" i="21"/>
  <c r="T16" i="21"/>
  <c r="Q16" i="21"/>
  <c r="V15" i="21"/>
  <c r="T15" i="21"/>
  <c r="Q15" i="21"/>
  <c r="V14" i="21"/>
  <c r="T14" i="21"/>
  <c r="Q14" i="21"/>
  <c r="V13" i="21"/>
  <c r="T13" i="21"/>
  <c r="Q13" i="21"/>
  <c r="V12" i="21"/>
  <c r="T12" i="21"/>
  <c r="Q12" i="21"/>
  <c r="V11" i="21"/>
  <c r="T11" i="21"/>
  <c r="Q11" i="21"/>
  <c r="V10" i="21"/>
  <c r="T10" i="21"/>
  <c r="Q10" i="21"/>
  <c r="V9" i="21"/>
  <c r="T9" i="21"/>
  <c r="Q9" i="21"/>
  <c r="V8" i="21"/>
  <c r="T8" i="21"/>
  <c r="Q8" i="21"/>
  <c r="V7" i="21"/>
  <c r="T7" i="21"/>
  <c r="Q7" i="21"/>
  <c r="V6" i="21"/>
  <c r="T6" i="21"/>
  <c r="Q6" i="21"/>
  <c r="V5" i="21"/>
  <c r="T5" i="21"/>
  <c r="Q5" i="21"/>
  <c r="V4" i="21"/>
  <c r="T4" i="21"/>
  <c r="Q4" i="21"/>
  <c r="V3" i="21"/>
  <c r="T3" i="21"/>
  <c r="Q3" i="21"/>
  <c r="V2" i="21"/>
  <c r="T2" i="21"/>
  <c r="Q2" i="21"/>
  <c r="T70" i="20" l="1"/>
  <c r="V70" i="20" s="1"/>
  <c r="Q70" i="20"/>
  <c r="T69" i="20"/>
  <c r="V69" i="20" s="1"/>
  <c r="Q69" i="20"/>
  <c r="T68" i="20"/>
  <c r="V68" i="20" s="1"/>
  <c r="Q68"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85" i="19" l="1"/>
  <c r="V85" i="19" s="1"/>
  <c r="Q85" i="19"/>
  <c r="T84" i="19"/>
  <c r="V84" i="19" s="1"/>
  <c r="Q84" i="19"/>
  <c r="T83" i="19"/>
  <c r="V83" i="19" s="1"/>
  <c r="Q83" i="19"/>
  <c r="T82" i="19"/>
  <c r="V82" i="19" s="1"/>
  <c r="Q82" i="19"/>
  <c r="T81" i="19"/>
  <c r="V81" i="19" s="1"/>
  <c r="Q81" i="19"/>
  <c r="T80" i="19"/>
  <c r="V80" i="19" s="1"/>
  <c r="Q80" i="19"/>
  <c r="T79" i="19"/>
  <c r="V79" i="19" s="1"/>
  <c r="Q79" i="19"/>
  <c r="T78" i="19"/>
  <c r="V78" i="19" s="1"/>
  <c r="Q78" i="19"/>
  <c r="T77" i="19"/>
  <c r="V77" i="19" s="1"/>
  <c r="Q77" i="19"/>
  <c r="T76" i="19"/>
  <c r="V76" i="19" s="1"/>
  <c r="Q76" i="19"/>
  <c r="T75" i="19"/>
  <c r="V75" i="19" s="1"/>
  <c r="Q75" i="19"/>
  <c r="T74" i="19"/>
  <c r="V74" i="19" s="1"/>
  <c r="Q74" i="19"/>
  <c r="T73" i="19"/>
  <c r="V73" i="19" s="1"/>
  <c r="Q73" i="19"/>
  <c r="T72" i="19"/>
  <c r="V72" i="19" s="1"/>
  <c r="Q72" i="19"/>
  <c r="T71" i="19"/>
  <c r="V71" i="19" s="1"/>
  <c r="Q71" i="19"/>
  <c r="T70" i="19"/>
  <c r="V70" i="19" s="1"/>
  <c r="Q70" i="19"/>
  <c r="T69" i="19"/>
  <c r="V69" i="19" s="1"/>
  <c r="Q69" i="19"/>
  <c r="T68" i="19"/>
  <c r="V68" i="19" s="1"/>
  <c r="Q68" i="19"/>
  <c r="T67" i="19"/>
  <c r="V67" i="19" s="1"/>
  <c r="Q67" i="19"/>
  <c r="T66" i="19"/>
  <c r="V66" i="19" s="1"/>
  <c r="Q66" i="19"/>
  <c r="T65" i="19"/>
  <c r="V65" i="19" s="1"/>
  <c r="Q65" i="19"/>
  <c r="T64" i="19"/>
  <c r="V64" i="19" s="1"/>
  <c r="Q64" i="19"/>
  <c r="T63" i="19"/>
  <c r="V63" i="19" s="1"/>
  <c r="Q63" i="19"/>
  <c r="T62" i="19"/>
  <c r="V62" i="19" s="1"/>
  <c r="Q62" i="19"/>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63" i="18"/>
  <c r="T362" i="18"/>
  <c r="T361" i="18"/>
  <c r="T360" i="18"/>
  <c r="T359" i="18"/>
  <c r="T358" i="18"/>
  <c r="T357" i="18"/>
  <c r="T356" i="18"/>
  <c r="T355" i="18"/>
  <c r="T354" i="18"/>
  <c r="T353" i="18"/>
  <c r="T352" i="18"/>
  <c r="T351" i="18"/>
  <c r="T350" i="18"/>
  <c r="T349" i="18"/>
  <c r="T348" i="18"/>
  <c r="T347" i="18"/>
  <c r="T346" i="18"/>
  <c r="T345" i="18"/>
  <c r="T344" i="18"/>
  <c r="T343" i="18"/>
  <c r="V343" i="18" s="1"/>
  <c r="V342" i="18"/>
  <c r="T342" i="18"/>
  <c r="V341" i="18"/>
  <c r="T341" i="18"/>
  <c r="T340" i="18"/>
  <c r="V340" i="18" s="1"/>
  <c r="T339" i="18"/>
  <c r="V339" i="18" s="1"/>
  <c r="V338" i="18"/>
  <c r="T338" i="18"/>
  <c r="T337" i="18"/>
  <c r="V337" i="18" s="1"/>
  <c r="V336" i="18"/>
  <c r="T336" i="18"/>
  <c r="V335" i="18"/>
  <c r="T335" i="18"/>
  <c r="Q335" i="18"/>
  <c r="T334" i="18"/>
  <c r="V334" i="18" s="1"/>
  <c r="Q334" i="18"/>
  <c r="V333" i="18"/>
  <c r="T333" i="18"/>
  <c r="Q333" i="18"/>
  <c r="V332" i="18"/>
  <c r="T332" i="18"/>
  <c r="Q332" i="18"/>
  <c r="V331" i="18"/>
  <c r="T331" i="18"/>
  <c r="Q331" i="18"/>
  <c r="T330" i="18"/>
  <c r="V330" i="18" s="1"/>
  <c r="Q330" i="18"/>
  <c r="V329" i="18"/>
  <c r="T329" i="18"/>
  <c r="Q329" i="18"/>
  <c r="V328" i="18"/>
  <c r="T328" i="18"/>
  <c r="Q328" i="18"/>
  <c r="V327" i="18"/>
  <c r="T327" i="18"/>
  <c r="Q327" i="18"/>
  <c r="T326" i="18"/>
  <c r="V326" i="18" s="1"/>
  <c r="Q326" i="18"/>
  <c r="V325" i="18"/>
  <c r="T325" i="18"/>
  <c r="Q325" i="18"/>
  <c r="V324" i="18"/>
  <c r="T324" i="18"/>
  <c r="Q324" i="18"/>
  <c r="V323" i="18"/>
  <c r="T323" i="18"/>
  <c r="Q323" i="18"/>
  <c r="T322" i="18"/>
  <c r="V322" i="18" s="1"/>
  <c r="Q322" i="18"/>
  <c r="V321" i="18"/>
  <c r="T321" i="18"/>
  <c r="Q321" i="18"/>
  <c r="V320" i="18"/>
  <c r="T320" i="18"/>
  <c r="Q320" i="18"/>
  <c r="V319" i="18"/>
  <c r="T319" i="18"/>
  <c r="Q319" i="18"/>
  <c r="T318" i="18"/>
  <c r="V318" i="18" s="1"/>
  <c r="Q318" i="18"/>
  <c r="V317" i="18"/>
  <c r="T317" i="18"/>
  <c r="Q317" i="18"/>
  <c r="V316" i="18"/>
  <c r="T316" i="18"/>
  <c r="Q316" i="18"/>
  <c r="V315" i="18"/>
  <c r="T315" i="18"/>
  <c r="Q315" i="18"/>
  <c r="T314" i="18"/>
  <c r="V314" i="18" s="1"/>
  <c r="Q314" i="18"/>
  <c r="V313" i="18"/>
  <c r="T313" i="18"/>
  <c r="Q313" i="18"/>
  <c r="V312" i="18"/>
  <c r="T312" i="18"/>
  <c r="Q312" i="18"/>
  <c r="V311" i="18"/>
  <c r="T311" i="18"/>
  <c r="Q311" i="18"/>
  <c r="T310" i="18"/>
  <c r="V310" i="18" s="1"/>
  <c r="Q310" i="18"/>
  <c r="V309" i="18"/>
  <c r="T309" i="18"/>
  <c r="Q309" i="18"/>
  <c r="V308" i="18"/>
  <c r="T308" i="18"/>
  <c r="Q308" i="18"/>
  <c r="V307" i="18"/>
  <c r="T307" i="18"/>
  <c r="Q307" i="18"/>
  <c r="T306" i="18"/>
  <c r="V306" i="18" s="1"/>
  <c r="Q306" i="18"/>
  <c r="V305" i="18"/>
  <c r="T305" i="18"/>
  <c r="Q305" i="18"/>
  <c r="V304" i="18"/>
  <c r="T304" i="18"/>
  <c r="Q304" i="18"/>
  <c r="V303" i="18"/>
  <c r="T303" i="18"/>
  <c r="Q303" i="18"/>
  <c r="T302" i="18"/>
  <c r="V302" i="18" s="1"/>
  <c r="Q302" i="18"/>
  <c r="V301" i="18"/>
  <c r="T301" i="18"/>
  <c r="Q301" i="18"/>
  <c r="V300" i="18"/>
  <c r="T300" i="18"/>
  <c r="Q300" i="18"/>
  <c r="V299" i="18"/>
  <c r="T299" i="18"/>
  <c r="Q299" i="18"/>
  <c r="T298" i="18"/>
  <c r="V298" i="18" s="1"/>
  <c r="Q298" i="18"/>
  <c r="V297" i="18"/>
  <c r="T297" i="18"/>
  <c r="Q297" i="18"/>
  <c r="V296" i="18"/>
  <c r="T296" i="18"/>
  <c r="Q296" i="18"/>
  <c r="V295" i="18"/>
  <c r="T295" i="18"/>
  <c r="Q295" i="18"/>
  <c r="T294" i="18"/>
  <c r="V294" i="18" s="1"/>
  <c r="Q294" i="18"/>
  <c r="V293" i="18"/>
  <c r="T293" i="18"/>
  <c r="Q293" i="18"/>
  <c r="V292" i="18"/>
  <c r="T292" i="18"/>
  <c r="Q292" i="18"/>
  <c r="V291" i="18"/>
  <c r="T291" i="18"/>
  <c r="Q291" i="18"/>
  <c r="T290" i="18"/>
  <c r="V290" i="18" s="1"/>
  <c r="Q290" i="18"/>
  <c r="V289" i="18"/>
  <c r="T289" i="18"/>
  <c r="Q289" i="18"/>
  <c r="V288" i="18"/>
  <c r="T288" i="18"/>
  <c r="Q288" i="18"/>
  <c r="V287" i="18"/>
  <c r="T287" i="18"/>
  <c r="Q287" i="18"/>
  <c r="T286" i="18"/>
  <c r="V286" i="18" s="1"/>
  <c r="Q286" i="18"/>
  <c r="V285" i="18"/>
  <c r="T285" i="18"/>
  <c r="Q285" i="18"/>
  <c r="V284" i="18"/>
  <c r="T284" i="18"/>
  <c r="Q284" i="18"/>
  <c r="V283" i="18"/>
  <c r="T283" i="18"/>
  <c r="Q283" i="18"/>
  <c r="T282" i="18"/>
  <c r="V282" i="18" s="1"/>
  <c r="Q282" i="18"/>
  <c r="V281" i="18"/>
  <c r="T281" i="18"/>
  <c r="Q281" i="18"/>
  <c r="V280" i="18"/>
  <c r="T280" i="18"/>
  <c r="Q280" i="18"/>
  <c r="V279" i="18"/>
  <c r="T279" i="18"/>
  <c r="Q279" i="18"/>
  <c r="T278" i="18"/>
  <c r="V278" i="18" s="1"/>
  <c r="Q278" i="18"/>
  <c r="V277" i="18"/>
  <c r="T277" i="18"/>
  <c r="Q277" i="18"/>
  <c r="V276" i="18"/>
  <c r="T276" i="18"/>
  <c r="Q276" i="18"/>
  <c r="V275" i="18"/>
  <c r="T275" i="18"/>
  <c r="Q275" i="18"/>
  <c r="T274" i="18"/>
  <c r="V274" i="18" s="1"/>
  <c r="Q274" i="18"/>
  <c r="V273" i="18"/>
  <c r="T273" i="18"/>
  <c r="Q273" i="18"/>
  <c r="V272" i="18"/>
  <c r="T272" i="18"/>
  <c r="Q272" i="18"/>
  <c r="V271" i="18"/>
  <c r="T271" i="18"/>
  <c r="Q271" i="18"/>
  <c r="T270" i="18"/>
  <c r="V270" i="18" s="1"/>
  <c r="Q270" i="18"/>
  <c r="V269" i="18"/>
  <c r="T269" i="18"/>
  <c r="Q269" i="18"/>
  <c r="V268" i="18"/>
  <c r="T268" i="18"/>
  <c r="Q268" i="18"/>
  <c r="V267" i="18"/>
  <c r="T267" i="18"/>
  <c r="Q267" i="18"/>
  <c r="T266" i="18"/>
  <c r="V266" i="18" s="1"/>
  <c r="Q266" i="18"/>
  <c r="V265" i="18"/>
  <c r="T265" i="18"/>
  <c r="Q265" i="18"/>
  <c r="V264" i="18"/>
  <c r="T264" i="18"/>
  <c r="Q264" i="18"/>
  <c r="V263" i="18"/>
  <c r="T263" i="18"/>
  <c r="Q263" i="18"/>
  <c r="T262" i="18"/>
  <c r="V262" i="18" s="1"/>
  <c r="Q262" i="18"/>
  <c r="V261" i="18"/>
  <c r="T261" i="18"/>
  <c r="Q261" i="18"/>
  <c r="V260" i="18"/>
  <c r="T260" i="18"/>
  <c r="Q260" i="18"/>
  <c r="V259" i="18"/>
  <c r="T259" i="18"/>
  <c r="Q259" i="18"/>
  <c r="T258" i="18"/>
  <c r="V258" i="18" s="1"/>
  <c r="Q258" i="18"/>
  <c r="V257" i="18"/>
  <c r="T257" i="18"/>
  <c r="Q257" i="18"/>
  <c r="V256" i="18"/>
  <c r="T256" i="18"/>
  <c r="Q256" i="18"/>
  <c r="V255" i="18"/>
  <c r="T255" i="18"/>
  <c r="Q255" i="18"/>
  <c r="T254" i="18"/>
  <c r="V254" i="18" s="1"/>
  <c r="Q254" i="18"/>
  <c r="V253" i="18"/>
  <c r="T253" i="18"/>
  <c r="Q253" i="18"/>
  <c r="V252" i="18"/>
  <c r="T252" i="18"/>
  <c r="Q252" i="18"/>
  <c r="T251" i="18"/>
  <c r="V251" i="18" s="1"/>
  <c r="Q251" i="18"/>
  <c r="T250" i="18"/>
  <c r="V250" i="18" s="1"/>
  <c r="Q250" i="18"/>
  <c r="V249" i="18"/>
  <c r="T249" i="18"/>
  <c r="Q249" i="18"/>
  <c r="V248" i="18"/>
  <c r="T248" i="18"/>
  <c r="Q248" i="18"/>
  <c r="T247" i="18"/>
  <c r="V247" i="18" s="1"/>
  <c r="Q247" i="18"/>
  <c r="T246" i="18"/>
  <c r="V246" i="18" s="1"/>
  <c r="Q246" i="18"/>
  <c r="V245" i="18"/>
  <c r="T245" i="18"/>
  <c r="Q245" i="18"/>
  <c r="V244" i="18"/>
  <c r="T244" i="18"/>
  <c r="Q244" i="18"/>
  <c r="T243" i="18"/>
  <c r="V243" i="18" s="1"/>
  <c r="Q243" i="18"/>
  <c r="T242" i="18"/>
  <c r="V242" i="18" s="1"/>
  <c r="Q242" i="18"/>
  <c r="V241" i="18"/>
  <c r="T241" i="18"/>
  <c r="Q241" i="18"/>
  <c r="V240" i="18"/>
  <c r="T240" i="18"/>
  <c r="Q240" i="18"/>
  <c r="T239" i="18"/>
  <c r="V239" i="18" s="1"/>
  <c r="Q239" i="18"/>
  <c r="T238" i="18"/>
  <c r="V238" i="18" s="1"/>
  <c r="Q238" i="18"/>
  <c r="V237" i="18"/>
  <c r="T237" i="18"/>
  <c r="Q237" i="18"/>
  <c r="V236" i="18"/>
  <c r="T236" i="18"/>
  <c r="Q236" i="18"/>
  <c r="T235" i="18"/>
  <c r="V235" i="18" s="1"/>
  <c r="Q235" i="18"/>
  <c r="T234" i="18"/>
  <c r="V234" i="18" s="1"/>
  <c r="Q234" i="18"/>
  <c r="V233" i="18"/>
  <c r="T233" i="18"/>
  <c r="Q233" i="18"/>
  <c r="V232" i="18"/>
  <c r="T232" i="18"/>
  <c r="Q232" i="18"/>
  <c r="T231" i="18"/>
  <c r="V231" i="18" s="1"/>
  <c r="Q231" i="18"/>
  <c r="T230" i="18"/>
  <c r="V230" i="18" s="1"/>
  <c r="Q230" i="18"/>
  <c r="V229" i="18"/>
  <c r="T229" i="18"/>
  <c r="Q229" i="18"/>
  <c r="V228" i="18"/>
  <c r="T228" i="18"/>
  <c r="Q228" i="18"/>
  <c r="T227" i="18"/>
  <c r="V227" i="18" s="1"/>
  <c r="Q227" i="18"/>
  <c r="T226" i="18"/>
  <c r="V226" i="18" s="1"/>
  <c r="Q226" i="18"/>
  <c r="V225" i="18"/>
  <c r="T225" i="18"/>
  <c r="Q225" i="18"/>
  <c r="V224" i="18"/>
  <c r="T224" i="18"/>
  <c r="Q224" i="18"/>
  <c r="T223" i="18"/>
  <c r="V223" i="18" s="1"/>
  <c r="Q223" i="18"/>
  <c r="T222" i="18"/>
  <c r="V222" i="18" s="1"/>
  <c r="Q222" i="18"/>
  <c r="V221" i="18"/>
  <c r="T221" i="18"/>
  <c r="Q221" i="18"/>
  <c r="V220" i="18"/>
  <c r="T220" i="18"/>
  <c r="Q220" i="18"/>
  <c r="T219" i="18"/>
  <c r="V219" i="18" s="1"/>
  <c r="Q219" i="18"/>
  <c r="T218" i="18"/>
  <c r="V218" i="18" s="1"/>
  <c r="Q218" i="18"/>
  <c r="V217" i="18"/>
  <c r="T217" i="18"/>
  <c r="Q217" i="18"/>
  <c r="V216" i="18"/>
  <c r="T216" i="18"/>
  <c r="Q216" i="18"/>
  <c r="T215" i="18"/>
  <c r="V215" i="18" s="1"/>
  <c r="Q215" i="18"/>
  <c r="T214" i="18"/>
  <c r="V214" i="18" s="1"/>
  <c r="Q214" i="18"/>
  <c r="V213" i="18"/>
  <c r="T213" i="18"/>
  <c r="Q213" i="18"/>
  <c r="V212" i="18"/>
  <c r="T212" i="18"/>
  <c r="Q212" i="18"/>
  <c r="T211" i="18"/>
  <c r="V211" i="18" s="1"/>
  <c r="Q211" i="18"/>
  <c r="T210" i="18"/>
  <c r="V210" i="18" s="1"/>
  <c r="Q210" i="18"/>
  <c r="V209" i="18"/>
  <c r="T209" i="18"/>
  <c r="Q209" i="18"/>
  <c r="V208" i="18"/>
  <c r="T208" i="18"/>
  <c r="Q208" i="18"/>
  <c r="T207" i="18"/>
  <c r="V207" i="18" s="1"/>
  <c r="Q207" i="18"/>
  <c r="T206" i="18"/>
  <c r="V206" i="18" s="1"/>
  <c r="Q206" i="18"/>
  <c r="V205" i="18"/>
  <c r="T205" i="18"/>
  <c r="Q205" i="18"/>
  <c r="V204" i="18"/>
  <c r="T204" i="18"/>
  <c r="Q204" i="18"/>
  <c r="T203" i="18"/>
  <c r="V203" i="18" s="1"/>
  <c r="Q203" i="18"/>
  <c r="T202" i="18"/>
  <c r="V202" i="18" s="1"/>
  <c r="Q202" i="18"/>
  <c r="V201" i="18"/>
  <c r="T201" i="18"/>
  <c r="Q201" i="18"/>
  <c r="V200" i="18"/>
  <c r="T200" i="18"/>
  <c r="Q200" i="18"/>
  <c r="T199" i="18"/>
  <c r="V199" i="18" s="1"/>
  <c r="Q199" i="18"/>
  <c r="T198" i="18"/>
  <c r="V198" i="18" s="1"/>
  <c r="Q198" i="18"/>
  <c r="V197" i="18"/>
  <c r="T197" i="18"/>
  <c r="Q197" i="18"/>
  <c r="V196" i="18"/>
  <c r="T196" i="18"/>
  <c r="Q196" i="18"/>
  <c r="T195" i="18"/>
  <c r="V195" i="18" s="1"/>
  <c r="Q195" i="18"/>
  <c r="T194" i="18"/>
  <c r="V194" i="18" s="1"/>
  <c r="Q194" i="18"/>
  <c r="V193" i="18"/>
  <c r="T193" i="18"/>
  <c r="Q193" i="18"/>
  <c r="V192" i="18"/>
  <c r="T192" i="18"/>
  <c r="Q192" i="18"/>
  <c r="T191" i="18"/>
  <c r="V191" i="18" s="1"/>
  <c r="Q191" i="18"/>
  <c r="T190" i="18"/>
  <c r="V190" i="18" s="1"/>
  <c r="Q190" i="18"/>
  <c r="V189" i="18"/>
  <c r="T189" i="18"/>
  <c r="Q189" i="18"/>
  <c r="V188" i="18"/>
  <c r="T188" i="18"/>
  <c r="Q188" i="18"/>
  <c r="T187" i="18"/>
  <c r="V187" i="18" s="1"/>
  <c r="Q187" i="18"/>
  <c r="T186" i="18"/>
  <c r="V186" i="18" s="1"/>
  <c r="Q186" i="18"/>
  <c r="T185" i="18"/>
  <c r="V185" i="18" s="1"/>
  <c r="Q185" i="18"/>
  <c r="V184" i="18"/>
  <c r="T184" i="18"/>
  <c r="Q184" i="18"/>
  <c r="T183" i="18"/>
  <c r="V183" i="18" s="1"/>
  <c r="Q183" i="18"/>
  <c r="T182" i="18"/>
  <c r="V182" i="18" s="1"/>
  <c r="Q182" i="18"/>
  <c r="T181" i="18"/>
  <c r="V181" i="18" s="1"/>
  <c r="Q181" i="18"/>
  <c r="V180" i="18"/>
  <c r="T180" i="18"/>
  <c r="Q180" i="18"/>
  <c r="T179" i="18"/>
  <c r="V179" i="18" s="1"/>
  <c r="Q179" i="18"/>
  <c r="T178" i="18"/>
  <c r="V178" i="18" s="1"/>
  <c r="Q178" i="18"/>
  <c r="T177" i="18"/>
  <c r="V177" i="18" s="1"/>
  <c r="Q177" i="18"/>
  <c r="V176" i="18"/>
  <c r="T176" i="18"/>
  <c r="Q176" i="18"/>
  <c r="T175" i="18"/>
  <c r="V175" i="18" s="1"/>
  <c r="Q175" i="18"/>
  <c r="T174" i="18"/>
  <c r="V174" i="18" s="1"/>
  <c r="Q174" i="18"/>
  <c r="T173" i="18"/>
  <c r="V173" i="18" s="1"/>
  <c r="Q173" i="18"/>
  <c r="V172" i="18"/>
  <c r="T172" i="18"/>
  <c r="Q172" i="18"/>
  <c r="T171" i="18"/>
  <c r="V171" i="18" s="1"/>
  <c r="Q171" i="18"/>
  <c r="T170" i="18"/>
  <c r="V170" i="18" s="1"/>
  <c r="Q170" i="18"/>
  <c r="T169" i="18"/>
  <c r="V169" i="18" s="1"/>
  <c r="Q169" i="18"/>
  <c r="V168" i="18"/>
  <c r="T168" i="18"/>
  <c r="Q168" i="18"/>
  <c r="T167" i="18"/>
  <c r="V167" i="18" s="1"/>
  <c r="Q167" i="18"/>
  <c r="T166" i="18"/>
  <c r="V166" i="18" s="1"/>
  <c r="Q166" i="18"/>
  <c r="T165" i="18"/>
  <c r="V165" i="18" s="1"/>
  <c r="Q165" i="18"/>
  <c r="V164" i="18"/>
  <c r="T164" i="18"/>
  <c r="Q164" i="18"/>
  <c r="T163" i="18"/>
  <c r="V163" i="18" s="1"/>
  <c r="Q163" i="18"/>
  <c r="T162" i="18"/>
  <c r="V162" i="18" s="1"/>
  <c r="Q162" i="18"/>
  <c r="T161" i="18"/>
  <c r="V161" i="18" s="1"/>
  <c r="Q161" i="18"/>
  <c r="V160" i="18"/>
  <c r="T160" i="18"/>
  <c r="Q160" i="18"/>
  <c r="T159" i="18"/>
  <c r="V159" i="18" s="1"/>
  <c r="Q159" i="18"/>
  <c r="T158" i="18"/>
  <c r="V158" i="18" s="1"/>
  <c r="Q158" i="18"/>
  <c r="T157" i="18"/>
  <c r="V157" i="18" s="1"/>
  <c r="Q157" i="18"/>
  <c r="V156" i="18"/>
  <c r="T156" i="18"/>
  <c r="Q156" i="18"/>
  <c r="T155" i="18"/>
  <c r="V155" i="18" s="1"/>
  <c r="Q155" i="18"/>
  <c r="T154" i="18"/>
  <c r="V154" i="18" s="1"/>
  <c r="Q154" i="18"/>
  <c r="T153" i="18"/>
  <c r="V153" i="18" s="1"/>
  <c r="Q153" i="18"/>
  <c r="V152" i="18"/>
  <c r="T152" i="18"/>
  <c r="Q152" i="18"/>
  <c r="T151" i="18"/>
  <c r="V151" i="18" s="1"/>
  <c r="Q151" i="18"/>
  <c r="T150" i="18"/>
  <c r="V150" i="18" s="1"/>
  <c r="Q150" i="18"/>
  <c r="T149" i="18"/>
  <c r="V149" i="18" s="1"/>
  <c r="Q149" i="18"/>
  <c r="V148" i="18"/>
  <c r="T148" i="18"/>
  <c r="Q148" i="18"/>
  <c r="T147" i="18"/>
  <c r="V147" i="18" s="1"/>
  <c r="Q147" i="18"/>
  <c r="T146" i="18"/>
  <c r="V146" i="18" s="1"/>
  <c r="Q146" i="18"/>
  <c r="T145" i="18"/>
  <c r="V145" i="18" s="1"/>
  <c r="Q145" i="18"/>
  <c r="V144" i="18"/>
  <c r="T144" i="18"/>
  <c r="Q144" i="18"/>
  <c r="T143" i="18"/>
  <c r="V143" i="18" s="1"/>
  <c r="Q143" i="18"/>
  <c r="T142" i="18"/>
  <c r="V142" i="18" s="1"/>
  <c r="Q142" i="18"/>
  <c r="T141" i="18"/>
  <c r="V141" i="18" s="1"/>
  <c r="Q141" i="18"/>
  <c r="V140" i="18"/>
  <c r="T140" i="18"/>
  <c r="Q140" i="18"/>
  <c r="T139" i="18"/>
  <c r="V139" i="18" s="1"/>
  <c r="Q139" i="18"/>
  <c r="T138" i="18"/>
  <c r="V138" i="18" s="1"/>
  <c r="Q138" i="18"/>
  <c r="T137" i="18"/>
  <c r="V137" i="18" s="1"/>
  <c r="Q137" i="18"/>
  <c r="V136" i="18"/>
  <c r="T136" i="18"/>
  <c r="Q136" i="18"/>
  <c r="T135" i="18"/>
  <c r="V135" i="18" s="1"/>
  <c r="Q135" i="18"/>
  <c r="T134" i="18"/>
  <c r="V134" i="18" s="1"/>
  <c r="Q134" i="18"/>
  <c r="T124" i="18"/>
  <c r="V124" i="18" s="1"/>
  <c r="Q124" i="18"/>
  <c r="T123" i="18"/>
  <c r="V123" i="18" s="1"/>
  <c r="Q123" i="18"/>
  <c r="T122" i="18"/>
  <c r="V122" i="18" s="1"/>
  <c r="Q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T111" i="18"/>
  <c r="V111" i="18" s="1"/>
  <c r="Q111" i="18"/>
  <c r="T110" i="18"/>
  <c r="V110" i="18" s="1"/>
  <c r="Q110" i="18"/>
  <c r="T109" i="18"/>
  <c r="V109" i="18" s="1"/>
  <c r="Q109" i="18"/>
  <c r="T108" i="18"/>
  <c r="V108" i="18" s="1"/>
  <c r="Q108" i="18"/>
  <c r="T107" i="18"/>
  <c r="V107" i="18" s="1"/>
  <c r="Q107" i="18"/>
  <c r="T106" i="18"/>
  <c r="V106" i="18" s="1"/>
  <c r="Q106" i="18"/>
  <c r="T105" i="18"/>
  <c r="V105" i="18" s="1"/>
  <c r="Q105" i="18"/>
  <c r="T104" i="18"/>
  <c r="V104" i="18" s="1"/>
  <c r="Q104" i="18"/>
  <c r="T103" i="18"/>
  <c r="V103" i="18" s="1"/>
  <c r="Q103" i="18"/>
  <c r="T102" i="18"/>
  <c r="V102" i="18" s="1"/>
  <c r="Q102" i="18"/>
  <c r="T101" i="18"/>
  <c r="V101" i="18" s="1"/>
  <c r="Q101" i="18"/>
  <c r="T100" i="18"/>
  <c r="Q100" i="18"/>
  <c r="T99" i="18"/>
  <c r="Q99" i="18"/>
  <c r="V98" i="18"/>
  <c r="T98" i="18"/>
  <c r="Q98" i="18"/>
  <c r="T97" i="18"/>
  <c r="Q97" i="18"/>
  <c r="T96" i="18"/>
  <c r="Q96" i="18"/>
  <c r="T95" i="18"/>
  <c r="V95" i="18" s="1"/>
  <c r="Q95" i="18"/>
  <c r="T94" i="18"/>
  <c r="Q94" i="18"/>
  <c r="T93" i="18"/>
  <c r="Q93" i="18"/>
  <c r="T92" i="18"/>
  <c r="Q92" i="18"/>
  <c r="T91" i="18"/>
  <c r="Q91" i="18"/>
  <c r="T90" i="18"/>
  <c r="Q90" i="18"/>
  <c r="T89" i="18"/>
  <c r="Q89" i="18"/>
  <c r="T88" i="18"/>
  <c r="Q88" i="18"/>
  <c r="T87" i="18"/>
  <c r="Q87" i="18"/>
  <c r="T86" i="18"/>
  <c r="Q86" i="18"/>
  <c r="T85" i="18"/>
  <c r="Q85" i="18"/>
  <c r="T84" i="18"/>
  <c r="Q84" i="18"/>
  <c r="T83" i="18"/>
  <c r="Q83" i="18"/>
  <c r="T82" i="18"/>
  <c r="Q82" i="18"/>
  <c r="T81" i="18"/>
  <c r="Q81" i="18"/>
  <c r="T80" i="18"/>
  <c r="Q80" i="18"/>
  <c r="V79" i="18"/>
  <c r="T79" i="18"/>
  <c r="Q79" i="18"/>
  <c r="T78" i="18"/>
  <c r="V78" i="18" s="1"/>
  <c r="Q78" i="18"/>
  <c r="V77" i="18"/>
  <c r="T77" i="18"/>
  <c r="Q77" i="18"/>
  <c r="T76" i="18"/>
  <c r="V76" i="18" s="1"/>
  <c r="Q76" i="18"/>
  <c r="V75" i="18"/>
  <c r="T75" i="18"/>
  <c r="Q75" i="18"/>
  <c r="T74" i="18"/>
  <c r="V74" i="18" s="1"/>
  <c r="Q74" i="18"/>
  <c r="V73" i="18"/>
  <c r="T73" i="18"/>
  <c r="Q73" i="18"/>
  <c r="T72" i="18"/>
  <c r="V72" i="18" s="1"/>
  <c r="Q72" i="18"/>
  <c r="V71" i="18"/>
  <c r="T71" i="18"/>
  <c r="Q71" i="18"/>
  <c r="T70" i="18"/>
  <c r="V70" i="18" s="1"/>
  <c r="Q70" i="18"/>
  <c r="V69" i="18"/>
  <c r="T69" i="18"/>
  <c r="Q69" i="18"/>
  <c r="T68" i="18"/>
  <c r="V68" i="18" s="1"/>
  <c r="Q68" i="18"/>
  <c r="V67" i="18"/>
  <c r="T67" i="18"/>
  <c r="Q67" i="18"/>
  <c r="T66" i="18"/>
  <c r="V66" i="18" s="1"/>
  <c r="Q66" i="18"/>
  <c r="V65" i="18"/>
  <c r="T65" i="18"/>
  <c r="Q65" i="18"/>
  <c r="T64" i="18"/>
  <c r="V64" i="18" s="1"/>
  <c r="Q64" i="18"/>
  <c r="V63" i="18"/>
  <c r="T63" i="18"/>
  <c r="Q63" i="18"/>
  <c r="T62" i="18"/>
  <c r="V62" i="18" s="1"/>
  <c r="Q62" i="18"/>
  <c r="V61" i="18"/>
  <c r="T61" i="18"/>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T46" i="18"/>
  <c r="V46" i="18" s="1"/>
  <c r="Q46" i="18"/>
  <c r="T45" i="18"/>
  <c r="V45" i="18" s="1"/>
  <c r="Q45" i="18"/>
  <c r="T44" i="18"/>
  <c r="V44" i="18" s="1"/>
  <c r="Q44" i="18"/>
  <c r="T43" i="18"/>
  <c r="V43" i="18" s="1"/>
  <c r="Q43" i="18"/>
  <c r="T42" i="18"/>
  <c r="V42" i="18" s="1"/>
  <c r="Q42" i="18"/>
  <c r="T41" i="18"/>
  <c r="V41" i="18" s="1"/>
  <c r="Q41" i="18"/>
  <c r="T40" i="18"/>
  <c r="V40" i="18" s="1"/>
  <c r="Q40" i="18"/>
  <c r="T39" i="18"/>
  <c r="V39" i="18" s="1"/>
  <c r="Q39" i="18"/>
  <c r="T38" i="18"/>
  <c r="V38" i="18" s="1"/>
  <c r="Q38" i="18"/>
  <c r="T37" i="18"/>
  <c r="V37" i="18" s="1"/>
  <c r="Q37" i="18"/>
  <c r="T36" i="18"/>
  <c r="V36" i="18" s="1"/>
  <c r="Q36" i="18"/>
  <c r="T35" i="18"/>
  <c r="V35" i="18" s="1"/>
  <c r="Q35" i="18"/>
  <c r="T34" i="18"/>
  <c r="V34" i="18" s="1"/>
  <c r="Q34" i="18"/>
  <c r="T33" i="18"/>
  <c r="V33" i="18" s="1"/>
  <c r="Q33" i="18"/>
  <c r="T32" i="18"/>
  <c r="V32" i="18" s="1"/>
  <c r="Q32" i="18"/>
  <c r="T31" i="18"/>
  <c r="V31" i="18" s="1"/>
  <c r="Q31" i="18"/>
  <c r="T30" i="18"/>
  <c r="V30" i="18" s="1"/>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<sst xmlns="http://schemas.openxmlformats.org/spreadsheetml/2006/main" count="10023" uniqueCount="390">
  <si>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</si>
  <si>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</si>
  <si>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</si>
  <si>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</si>
  <si>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</si>
  <si>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</si>
  <si>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</si>
  <si>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</si>
  <si>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</si>
  <si>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</si>
  <si>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</si>
  <si>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</si>
  <si>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</si>
  <si>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</si>
  <si>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</si>
  <si>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</si>
  <si>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</si>
  <si>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</si>
  <si>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</si>
  <si>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</si>
  <si>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</si>
  <si>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</si>
  <si>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</si>
  <si>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</si>
  <si>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</si>
  <si>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</si>
  <si>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</si>
  <si>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</si>
  <si>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</si>
  <si>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</si>
  <si>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</si>
  <si>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</si>
  <si>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</si>
  <si>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</si>
  <si>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</si>
  <si>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</si>
  <si>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</si>
  <si>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</si>
  <si>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</si>
  <si>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</si>
  <si>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</si>
  <si>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</si>
  <si>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</si>
  <si>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</si>
  <si>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</si>
  <si>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</si>
  <si>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</si>
  <si>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</si>
  <si>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</si>
  <si>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</si>
  <si>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</si>
  <si>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</si>
  <si>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</si>
  <si>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</si>
  <si>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</si>
  <si>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</si>
  <si>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</si>
  <si>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</si>
  <si>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</si>
  <si>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</si>
  <si>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</si>
  <si>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</si>
  <si>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</si>
  <si>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</si>
  <si>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</si>
  <si>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</si>
  <si>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</si>
  <si>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</si>
  <si>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</si>
  <si>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</si>
  <si>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</si>
  <si>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</si>
  <si>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</si>
  <si>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</si>
  <si>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</si>
  <si>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</si>
  <si>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</si>
  <si>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</si>
  <si>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</si>
  <si>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</si>
  <si>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</si>
  <si>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</si>
  <si>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</si>
  <si>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</si>
  <si>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</si>
  <si>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</si>
  <si>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</si>
  <si>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</si>
  <si>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</si>
  <si>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</si>
  <si>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</si>
  <si>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</si>
  <si>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</si>
  <si>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</si>
  <si>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</si>
  <si>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</si>
  <si>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</si>
  <si>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</si>
  <si>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</si>
  <si>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</si>
  <si>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</si>
  <si>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</si>
  <si>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</si>
  <si>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</si>
  <si>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</si>
  <si>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</si>
  <si>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</si>
  <si>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</si>
  <si>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</si>
  <si>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</si>
  <si>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</si>
  <si>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</si>
  <si>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</si>
  <si>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</si>
  <si>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</si>
  <si>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</si>
  <si>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</si>
  <si>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</si>
  <si>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</si>
  <si>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</si>
  <si>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</si>
  <si>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</si>
  <si>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</si>
  <si>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</si>
  <si>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</si>
  <si>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</si>
  <si>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</si>
  <si>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</si>
  <si>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</si>
  <si>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</si>
  <si>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</si>
  <si>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</si>
  <si>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</si>
  <si>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</si>
  <si>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</si>
  <si>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</si>
  <si>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</si>
  <si>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</si>
  <si>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</si>
  <si>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</si>
  <si>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</si>
  <si>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</si>
  <si>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</si>
  <si>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</si>
  <si>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</si>
  <si>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</si>
  <si>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</si>
  <si>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</si>
  <si>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</si>
  <si>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</si>
  <si>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</si>
  <si>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</si>
  <si>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</si>
  <si>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</si>
  <si>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</si>
  <si>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</si>
  <si>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</si>
  <si>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</si>
  <si>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</si>
  <si>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</si>
  <si>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</si>
  <si>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</si>
  <si>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</si>
  <si>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</si>
  <si>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</si>
  <si>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27.08.2019</t>
  </si>
  <si>
    <t>27.08.2019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</si>
  <si>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</si>
  <si>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</si>
  <si>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</si>
  <si>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</si>
  <si>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</si>
  <si>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</si>
  <si>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</si>
  <si>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</si>
  <si>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</si>
  <si>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</si>
  <si>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</si>
  <si>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</si>
  <si>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</si>
  <si>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</si>
  <si>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</si>
  <si>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</si>
  <si>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26.08.2019</t>
    <phoneticPr fontId="16"/>
  </si>
  <si>
    <t>利府店</t>
  </si>
  <si>
    <t>その他グリーン</t>
  </si>
  <si>
    <t>みやぎ生協</t>
  </si>
  <si>
    <t>その他ゴールド</t>
  </si>
  <si>
    <t>26.08.2019</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</si>
  <si>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</si>
  <si>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</si>
  <si>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</si>
  <si>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</si>
  <si>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</si>
  <si>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</si>
  <si>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</si>
  <si>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</si>
  <si>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</si>
  <si>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</si>
  <si>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</si>
  <si>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</si>
  <si>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</si>
  <si>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</si>
  <si>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</si>
  <si>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</si>
  <si>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</si>
  <si>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</si>
  <si>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</si>
  <si>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</si>
  <si>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</si>
  <si>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</si>
  <si>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</si>
  <si>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</si>
  <si>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</si>
  <si>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</si>
  <si>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</si>
  <si>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</si>
  <si>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</si>
  <si>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</si>
  <si>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</si>
  <si>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</si>
  <si>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</si>
  <si>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</si>
  <si>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</si>
  <si>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</si>
  <si>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</si>
  <si>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</si>
  <si>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</si>
  <si>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</si>
  <si>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</si>
  <si>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</si>
  <si>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</si>
  <si>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</si>
  <si>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</si>
  <si>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</si>
  <si>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30.08.2019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</si>
  <si>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</si>
  <si>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</si>
  <si>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</si>
  <si>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</si>
  <si>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</si>
  <si>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</si>
  <si>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</si>
  <si>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</si>
  <si>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</si>
  <si>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</si>
  <si>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</si>
  <si>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</si>
  <si>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</si>
  <si>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</si>
  <si>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</si>
  <si>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</si>
  <si>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</si>
  <si>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</si>
  <si>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</si>
  <si>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</si>
  <si>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</si>
  <si>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JP</t>
    <phoneticPr fontId="3"/>
  </si>
  <si>
    <t>28.08.2019</t>
    <phoneticPr fontId="3"/>
  </si>
  <si>
    <t>福や</t>
  </si>
  <si>
    <t>鉄砲町店</t>
    <rPh sb="3" eb="4">
      <t>テン</t>
    </rPh>
    <phoneticPr fontId="3"/>
  </si>
  <si>
    <t>JPY</t>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</si>
  <si>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</si>
  <si>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</si>
  <si>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</si>
  <si>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</si>
  <si>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</si>
  <si>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</si>
  <si>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</si>
  <si>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</si>
  <si>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</si>
  <si>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</si>
  <si>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</si>
  <si>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</si>
  <si>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</si>
  <si>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</si>
  <si>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</si>
  <si>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</si>
  <si>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</si>
  <si>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</si>
  <si>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</si>
  <si>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</si>
  <si>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</si>
  <si>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</si>
  <si>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</si>
  <si>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</si>
  <si>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</si>
  <si>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</si>
  <si>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販売
ユニット
個数</t>
    <phoneticPr fontId="4"/>
  </si>
  <si>
    <t>U/P JPY</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</si>
  <si>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</si>
  <si>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</si>
  <si>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</si>
  <si>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</si>
  <si>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</si>
  <si>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</si>
  <si>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</si>
  <si>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</si>
  <si>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</si>
  <si>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</si>
  <si>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</si>
  <si>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</si>
  <si>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</si>
  <si>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</si>
  <si>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</si>
  <si>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</si>
  <si>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</si>
  <si>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</si>
  <si>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</si>
  <si>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</si>
  <si>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</si>
  <si>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</si>
  <si>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</si>
  <si>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</si>
  <si>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</si>
  <si>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</si>
  <si>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</si>
  <si>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</si>
  <si>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</si>
  <si>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</si>
  <si>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</si>
  <si>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</si>
  <si>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</si>
  <si>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</si>
  <si>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</si>
  <si>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</si>
  <si>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</si>
  <si>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</si>
  <si>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</si>
  <si>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</si>
  <si>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</si>
  <si>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</si>
  <si>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</si>
  <si>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２番人気
果実</t>
    <phoneticPr fontId="3"/>
  </si>
  <si>
    <t>25.08.2019</t>
    <phoneticPr fontId="3"/>
  </si>
  <si>
    <t>いなげや</t>
  </si>
  <si>
    <t>江戸川春江店</t>
  </si>
  <si>
    <t>マルエツ</t>
  </si>
  <si>
    <t>松江店</t>
  </si>
  <si>
    <t>マックスバリュエクスプレス</t>
  </si>
  <si>
    <t>松島店</t>
    <rPh sb="1" eb="2">
      <t>シマ</t>
    </rPh>
    <phoneticPr fontId="3"/>
  </si>
  <si>
    <t>ヤマイチ</t>
  </si>
  <si>
    <t>中央店</t>
    <rPh sb="0" eb="2">
      <t>チュウオウ</t>
    </rPh>
    <phoneticPr fontId="3"/>
  </si>
  <si>
    <t>コモディイイダ</t>
  </si>
  <si>
    <t>西瑞江店</t>
  </si>
  <si>
    <t>鹿骨店</t>
  </si>
  <si>
    <t>東武ストア</t>
  </si>
  <si>
    <t>新小岩店</t>
  </si>
  <si>
    <t>サミットストア</t>
  </si>
  <si>
    <t>江戸川区役所前店</t>
    <rPh sb="0" eb="6">
      <t>エドガワクヤクショ</t>
    </rPh>
    <rPh sb="6" eb="7">
      <t>マエ</t>
    </rPh>
    <rPh sb="7" eb="8">
      <t>ミセ</t>
    </rPh>
    <phoneticPr fontId="3"/>
  </si>
  <si>
    <t>ビッグ・エー</t>
  </si>
  <si>
    <t>江戸川本一色店</t>
  </si>
  <si>
    <t>江戸川中央店</t>
  </si>
  <si>
    <t>店舗名</t>
    <phoneticPr fontId="3"/>
  </si>
  <si>
    <t>29.08.2019</t>
    <phoneticPr fontId="3"/>
  </si>
  <si>
    <t>サミット</t>
  </si>
  <si>
    <t>久が原食品館</t>
  </si>
  <si>
    <t>29.08.2019</t>
  </si>
  <si>
    <t>東急ストア</t>
  </si>
  <si>
    <t>蒲田</t>
  </si>
  <si>
    <t>大森西</t>
  </si>
  <si>
    <t>大森</t>
  </si>
  <si>
    <t>カドヤ</t>
  </si>
  <si>
    <t>大井町</t>
  </si>
  <si>
    <t>HW</t>
    <phoneticPr fontId="3"/>
  </si>
  <si>
    <t>品川シーサイド</t>
  </si>
  <si>
    <t>大崎ニューシティ</t>
  </si>
  <si>
    <t>30.08.2019</t>
    <phoneticPr fontId="3"/>
  </si>
  <si>
    <t>旬楽膳</t>
    <rPh sb="0" eb="1">
      <t>シュン</t>
    </rPh>
    <rPh sb="1" eb="2">
      <t>ラク</t>
    </rPh>
    <rPh sb="2" eb="3">
      <t>ゼン</t>
    </rPh>
    <phoneticPr fontId="4"/>
  </si>
  <si>
    <t>日進店</t>
    <rPh sb="0" eb="2">
      <t>ニッシン</t>
    </rPh>
    <rPh sb="2" eb="3">
      <t>ミセ</t>
    </rPh>
    <phoneticPr fontId="4"/>
  </si>
  <si>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</si>
  <si>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</si>
  <si>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</si>
  <si>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</si>
  <si>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</si>
  <si>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</si>
  <si>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</si>
  <si>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</si>
  <si>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</si>
  <si>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</si>
  <si>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</si>
  <si>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</si>
  <si>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</si>
  <si>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</si>
  <si>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</si>
  <si>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</si>
  <si>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カネスエ</t>
  </si>
  <si>
    <t>カネトク</t>
  </si>
  <si>
    <t>フェルナ</t>
  </si>
  <si>
    <t>アピタ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</si>
</sst>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7" fillId="0" borderId="22" xfId="2" applyFont="1" applyBorder="1" applyAlignment="1">
      <alignment horizontal="center" vertical="center"/>
    </xf>
    <xf numFmtId="0" fontId="17"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7" fillId="0" borderId="12" xfId="2"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2" applyFont="1">
      <alignment vertical="center"/>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49" fontId="7" fillId="0" borderId="5" xfId="1" applyNumberFormat="1" applyFont="1" applyBorder="1" applyAlignment="1">
      <alignment horizontal="center" vertical="center" wrapText="1"/>
    </xf>
    <xf numFmtId="14" fontId="18" fillId="0" borderId="0" xfId="1" applyNumberFormat="1" applyFont="1" applyAlignment="1">
      <alignment horizontal="center"/>
    </xf>
    <xf numFmtId="0" fontId="19"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8" fillId="0" borderId="0" xfId="1" applyFont="1"/>
    <xf numFmtId="0" fontId="15" fillId="0" borderId="6" xfId="0" applyFont="1" applyBorder="1">
      <alignment vertical="center"/>
    </xf>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8" fillId="0" borderId="0" xfId="1" applyNumberFormat="1" applyFont="1"/>
    <xf numFmtId="0" fontId="1" fillId="0" borderId="12" xfId="1" applyBorder="1" applyAlignment="1">
      <alignment shrinkToFit="1"/>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S62" sqref="S6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0.5</v>
      </c>
      <c r="P2" s="15">
        <v>0.5</v>
      </c>
      <c r="Q2" s="51">
        <f t="shared" ref="Q2:Q65" si="0">IF(OR(O2="",P2=""),"",AVERAGE(O2,P2))</f>
        <v>0.5</v>
      </c>
      <c r="R2" s="15">
        <v>14.2</v>
      </c>
      <c r="S2" s="15">
        <v>119</v>
      </c>
      <c r="T2" s="38">
        <f t="shared" ref="T2:T59" si="1">IF(H2="","",IF(OR(H2="GREEN",H2="GK"),IF(S2&gt;=$AX$2,VLOOKUP(S2,$AX$2:$AY$12,2,1),""),IF(S2&gt;=$AZ$2,VLOOKUP(S2,$AZ$2:$BA$12,2,1),"")))</f>
        <v>30</v>
      </c>
      <c r="U2" s="15">
        <v>85</v>
      </c>
      <c r="V2" s="38">
        <f t="shared" ref="V2:V65" si="2">IF(OR(N2="",U2="",T2=""),"",U2/N2*T2)</f>
        <v>2550</v>
      </c>
      <c r="W2" s="15">
        <v>10</v>
      </c>
      <c r="X2" s="15" t="s">
        <v>46</v>
      </c>
      <c r="Y2" s="15" t="s">
        <v>102</v>
      </c>
      <c r="Z2" s="15" t="s">
        <v>78</v>
      </c>
      <c r="AA2" s="15" t="s">
        <v>55</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0.5</v>
      </c>
      <c r="P3" s="7">
        <v>0.6</v>
      </c>
      <c r="Q3" s="52">
        <f t="shared" si="0"/>
        <v>0.55000000000000004</v>
      </c>
      <c r="R3" s="7">
        <v>14.4</v>
      </c>
      <c r="S3" s="7">
        <v>125</v>
      </c>
      <c r="T3" s="16">
        <f t="shared" si="1"/>
        <v>27</v>
      </c>
      <c r="U3" s="15">
        <v>85</v>
      </c>
      <c r="V3" s="16">
        <f t="shared" si="2"/>
        <v>2295</v>
      </c>
      <c r="W3" s="15">
        <v>10</v>
      </c>
      <c r="X3" s="15" t="s">
        <v>46</v>
      </c>
      <c r="Y3" s="15" t="s">
        <v>102</v>
      </c>
      <c r="Z3" s="15" t="s">
        <v>78</v>
      </c>
      <c r="AA3" s="15" t="s">
        <v>55</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0.5</v>
      </c>
      <c r="P4" s="7">
        <v>0.5</v>
      </c>
      <c r="Q4" s="52">
        <f t="shared" si="0"/>
        <v>0.5</v>
      </c>
      <c r="R4" s="7">
        <v>12.6</v>
      </c>
      <c r="S4" s="7">
        <v>126</v>
      </c>
      <c r="T4" s="16">
        <f t="shared" si="1"/>
        <v>27</v>
      </c>
      <c r="U4" s="15">
        <v>85</v>
      </c>
      <c r="V4" s="16">
        <f t="shared" si="2"/>
        <v>2295</v>
      </c>
      <c r="W4" s="15">
        <v>10</v>
      </c>
      <c r="X4" s="15" t="s">
        <v>46</v>
      </c>
      <c r="Y4" s="54" t="s">
        <v>102</v>
      </c>
      <c r="Z4" s="54" t="s">
        <v>78</v>
      </c>
      <c r="AA4" s="54" t="s">
        <v>55</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54" t="s">
        <v>160</v>
      </c>
      <c r="I5" s="7" t="s">
        <v>159</v>
      </c>
      <c r="J5" s="15" t="s">
        <v>38</v>
      </c>
      <c r="K5" s="7" t="s">
        <v>161</v>
      </c>
      <c r="L5" s="7">
        <v>1</v>
      </c>
      <c r="N5" s="53">
        <v>1</v>
      </c>
      <c r="O5" s="7">
        <v>0.5</v>
      </c>
      <c r="P5" s="7">
        <v>0.5</v>
      </c>
      <c r="Q5" s="52">
        <f t="shared" si="0"/>
        <v>0.5</v>
      </c>
      <c r="R5" s="7">
        <v>14</v>
      </c>
      <c r="S5" s="7">
        <v>138</v>
      </c>
      <c r="T5" s="16">
        <f t="shared" si="1"/>
        <v>22</v>
      </c>
      <c r="U5" s="15">
        <v>135</v>
      </c>
      <c r="V5" s="16">
        <f t="shared" si="2"/>
        <v>2970</v>
      </c>
      <c r="W5" s="15">
        <v>14</v>
      </c>
      <c r="X5" s="15" t="s">
        <v>46</v>
      </c>
      <c r="Y5" s="54" t="s">
        <v>102</v>
      </c>
      <c r="Z5" s="54" t="s">
        <v>78</v>
      </c>
      <c r="AA5" s="54" t="s">
        <v>55</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53" t="s">
        <v>159</v>
      </c>
      <c r="J6" s="15" t="s">
        <v>38</v>
      </c>
      <c r="K6" s="7" t="s">
        <v>161</v>
      </c>
      <c r="L6" s="7">
        <v>2</v>
      </c>
      <c r="N6" s="53">
        <v>1</v>
      </c>
      <c r="O6" s="7">
        <v>0.5</v>
      </c>
      <c r="P6" s="7">
        <v>0.5</v>
      </c>
      <c r="Q6" s="52">
        <f t="shared" si="0"/>
        <v>0.5</v>
      </c>
      <c r="R6" s="7">
        <v>19.7</v>
      </c>
      <c r="S6" s="7">
        <v>134</v>
      </c>
      <c r="T6" s="16">
        <f t="shared" si="1"/>
        <v>25</v>
      </c>
      <c r="U6" s="15">
        <v>135</v>
      </c>
      <c r="V6" s="16">
        <f t="shared" si="2"/>
        <v>3375</v>
      </c>
      <c r="W6" s="15">
        <v>14</v>
      </c>
      <c r="X6" s="15" t="s">
        <v>46</v>
      </c>
      <c r="Y6" s="54" t="s">
        <v>102</v>
      </c>
      <c r="Z6" s="54" t="s">
        <v>78</v>
      </c>
      <c r="AA6" s="54" t="s">
        <v>55</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53" t="s">
        <v>159</v>
      </c>
      <c r="J7" s="15" t="s">
        <v>38</v>
      </c>
      <c r="K7" s="7" t="s">
        <v>161</v>
      </c>
      <c r="L7" s="7">
        <v>3</v>
      </c>
      <c r="N7" s="53">
        <v>1</v>
      </c>
      <c r="O7" s="7">
        <v>0.7</v>
      </c>
      <c r="P7" s="7">
        <v>0.7</v>
      </c>
      <c r="Q7" s="52">
        <f t="shared" si="0"/>
        <v>0.7</v>
      </c>
      <c r="R7" s="34">
        <v>15.8</v>
      </c>
      <c r="S7" s="7">
        <v>131</v>
      </c>
      <c r="T7" s="16">
        <f t="shared" si="1"/>
        <v>25</v>
      </c>
      <c r="U7" s="15">
        <v>135</v>
      </c>
      <c r="V7" s="16">
        <f t="shared" si="2"/>
        <v>3375</v>
      </c>
      <c r="W7" s="15">
        <v>14</v>
      </c>
      <c r="X7" s="15" t="s">
        <v>46</v>
      </c>
      <c r="Y7" s="54" t="s">
        <v>102</v>
      </c>
      <c r="Z7" s="54" t="s">
        <v>78</v>
      </c>
      <c r="AA7" s="54" t="s">
        <v>55</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53">
        <v>1</v>
      </c>
      <c r="O8" s="7">
        <v>0.6</v>
      </c>
      <c r="P8" s="7">
        <v>0.65</v>
      </c>
      <c r="Q8" s="52">
        <f t="shared" si="0"/>
        <v>0.625</v>
      </c>
      <c r="R8" s="34">
        <v>17.399999999999999</v>
      </c>
      <c r="S8" s="7">
        <v>125</v>
      </c>
      <c r="T8" s="16">
        <f t="shared" si="1"/>
        <v>27</v>
      </c>
      <c r="U8" s="15">
        <v>80</v>
      </c>
      <c r="V8" s="16">
        <f t="shared" si="2"/>
        <v>2160</v>
      </c>
      <c r="W8" s="15">
        <v>4</v>
      </c>
      <c r="X8" s="15" t="s">
        <v>46</v>
      </c>
      <c r="Y8" s="54" t="s">
        <v>102</v>
      </c>
      <c r="Z8" s="54" t="s">
        <v>78</v>
      </c>
      <c r="AA8" s="54" t="s">
        <v>88</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0.75</v>
      </c>
      <c r="P9" s="7">
        <v>0.6</v>
      </c>
      <c r="Q9" s="52">
        <f t="shared" si="0"/>
        <v>0.67500000000000004</v>
      </c>
      <c r="R9" s="7">
        <v>14.1</v>
      </c>
      <c r="S9" s="7">
        <v>119</v>
      </c>
      <c r="T9" s="16">
        <f t="shared" si="1"/>
        <v>30</v>
      </c>
      <c r="U9" s="15">
        <v>80</v>
      </c>
      <c r="V9" s="16">
        <f t="shared" si="2"/>
        <v>2400</v>
      </c>
      <c r="W9" s="15">
        <v>4</v>
      </c>
      <c r="X9" s="15" t="s">
        <v>46</v>
      </c>
      <c r="Y9" s="54" t="s">
        <v>102</v>
      </c>
      <c r="Z9" s="54" t="s">
        <v>78</v>
      </c>
      <c r="AA9" s="54" t="s">
        <v>88</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0.5</v>
      </c>
      <c r="P10" s="7">
        <v>0.5</v>
      </c>
      <c r="Q10" s="52">
        <f t="shared" si="0"/>
        <v>0.5</v>
      </c>
      <c r="R10" s="7">
        <v>17.399999999999999</v>
      </c>
      <c r="S10" s="7">
        <v>124</v>
      </c>
      <c r="T10" s="16">
        <f t="shared" si="1"/>
        <v>27</v>
      </c>
      <c r="U10" s="15">
        <v>80</v>
      </c>
      <c r="V10" s="16">
        <f t="shared" si="2"/>
        <v>2160</v>
      </c>
      <c r="W10" s="15">
        <v>4</v>
      </c>
      <c r="X10" s="15" t="s">
        <v>46</v>
      </c>
      <c r="Y10" s="54" t="s">
        <v>102</v>
      </c>
      <c r="Z10" s="54" t="s">
        <v>78</v>
      </c>
      <c r="AA10" s="54" t="s">
        <v>88</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0.6</v>
      </c>
      <c r="P11" s="7">
        <v>0.6</v>
      </c>
      <c r="Q11" s="52">
        <f t="shared" si="0"/>
        <v>0.6</v>
      </c>
      <c r="R11" s="7">
        <v>15.2</v>
      </c>
      <c r="S11" s="7">
        <v>117</v>
      </c>
      <c r="T11" s="16">
        <f t="shared" si="1"/>
        <v>30</v>
      </c>
      <c r="U11" s="7">
        <v>80</v>
      </c>
      <c r="V11" s="16">
        <f t="shared" si="2"/>
        <v>2400</v>
      </c>
      <c r="W11" s="7">
        <v>4</v>
      </c>
      <c r="X11" s="15" t="s">
        <v>46</v>
      </c>
      <c r="Y11" s="54" t="s">
        <v>102</v>
      </c>
      <c r="Z11" s="54" t="s">
        <v>78</v>
      </c>
      <c r="AA11" s="54" t="s">
        <v>88</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0.6</v>
      </c>
      <c r="P12" s="7">
        <v>0.6</v>
      </c>
      <c r="Q12" s="52">
        <f t="shared" si="0"/>
        <v>0.6</v>
      </c>
      <c r="R12" s="34">
        <v>14</v>
      </c>
      <c r="S12" s="7">
        <v>132</v>
      </c>
      <c r="T12" s="16">
        <f t="shared" si="1"/>
        <v>25</v>
      </c>
      <c r="U12" s="7">
        <v>80</v>
      </c>
      <c r="V12" s="16">
        <f t="shared" si="2"/>
        <v>2000</v>
      </c>
      <c r="W12" s="7">
        <v>4</v>
      </c>
      <c r="X12" s="15" t="s">
        <v>46</v>
      </c>
      <c r="Y12" s="54" t="s">
        <v>102</v>
      </c>
      <c r="Z12" s="54" t="s">
        <v>78</v>
      </c>
      <c r="AA12" s="54" t="s">
        <v>88</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0.5</v>
      </c>
      <c r="P13" s="7">
        <v>0.55000000000000004</v>
      </c>
      <c r="Q13" s="52">
        <f t="shared" si="0"/>
        <v>0.52500000000000002</v>
      </c>
      <c r="R13" s="7">
        <v>12.7</v>
      </c>
      <c r="S13" s="7">
        <v>119</v>
      </c>
      <c r="T13" s="16">
        <f t="shared" si="1"/>
        <v>30</v>
      </c>
      <c r="U13" s="7">
        <v>80</v>
      </c>
      <c r="V13" s="16">
        <f t="shared" si="2"/>
        <v>2400</v>
      </c>
      <c r="W13" s="7">
        <v>4</v>
      </c>
      <c r="X13" s="15" t="s">
        <v>46</v>
      </c>
      <c r="Y13" s="54" t="s">
        <v>102</v>
      </c>
      <c r="Z13" s="54" t="s">
        <v>78</v>
      </c>
      <c r="AA13" s="54" t="s">
        <v>88</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0.5</v>
      </c>
      <c r="P14" s="7">
        <v>0.5</v>
      </c>
      <c r="Q14" s="52">
        <f t="shared" si="0"/>
        <v>0.5</v>
      </c>
      <c r="R14" s="7">
        <v>14.8</v>
      </c>
      <c r="S14" s="7">
        <v>119</v>
      </c>
      <c r="T14" s="16">
        <f t="shared" si="1"/>
        <v>30</v>
      </c>
      <c r="U14" s="7">
        <v>138</v>
      </c>
      <c r="V14" s="16">
        <f t="shared" si="2"/>
        <v>4140</v>
      </c>
      <c r="W14" s="7">
        <v>2</v>
      </c>
      <c r="X14" s="15" t="s">
        <v>46</v>
      </c>
      <c r="Y14" s="54" t="s">
        <v>88</v>
      </c>
      <c r="Z14" s="54" t="s">
        <v>102</v>
      </c>
      <c r="AA14" s="54" t="s">
        <v>78</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0.9</v>
      </c>
      <c r="P15" s="7">
        <v>0.8</v>
      </c>
      <c r="Q15" s="52">
        <f t="shared" si="0"/>
        <v>0.85000000000000009</v>
      </c>
      <c r="R15" s="7">
        <v>14.1</v>
      </c>
      <c r="S15" s="7">
        <v>119</v>
      </c>
      <c r="T15" s="16">
        <f t="shared" si="1"/>
        <v>30</v>
      </c>
      <c r="U15" s="7">
        <v>138</v>
      </c>
      <c r="V15" s="16">
        <f t="shared" si="2"/>
        <v>4140</v>
      </c>
      <c r="W15" s="7">
        <v>2</v>
      </c>
      <c r="X15" s="15" t="s">
        <v>46</v>
      </c>
      <c r="Y15" s="54" t="s">
        <v>88</v>
      </c>
      <c r="Z15" s="54" t="s">
        <v>102</v>
      </c>
      <c r="AA15" s="54" t="s">
        <v>78</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0.75</v>
      </c>
      <c r="P16" s="7">
        <v>0.75</v>
      </c>
      <c r="Q16" s="52">
        <f t="shared" si="0"/>
        <v>0.75</v>
      </c>
      <c r="R16" s="7">
        <v>13.2</v>
      </c>
      <c r="S16" s="7">
        <v>122</v>
      </c>
      <c r="T16" s="16">
        <f t="shared" si="1"/>
        <v>27</v>
      </c>
      <c r="U16" s="7">
        <v>138</v>
      </c>
      <c r="V16" s="16">
        <f t="shared" si="2"/>
        <v>3726</v>
      </c>
      <c r="W16" s="7">
        <v>2</v>
      </c>
      <c r="X16" s="15" t="s">
        <v>46</v>
      </c>
      <c r="Y16" s="54" t="s">
        <v>88</v>
      </c>
      <c r="Z16" s="54" t="s">
        <v>102</v>
      </c>
      <c r="AA16" s="54" t="s">
        <v>78</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0.6</v>
      </c>
      <c r="P17" s="7">
        <v>0.7</v>
      </c>
      <c r="Q17" s="52">
        <f t="shared" si="0"/>
        <v>0.64999999999999991</v>
      </c>
      <c r="R17" s="7">
        <v>13.6</v>
      </c>
      <c r="S17" s="7">
        <v>119</v>
      </c>
      <c r="T17" s="16">
        <f t="shared" si="1"/>
        <v>30</v>
      </c>
      <c r="U17" s="7">
        <v>149</v>
      </c>
      <c r="V17" s="16">
        <f t="shared" si="2"/>
        <v>4470</v>
      </c>
      <c r="W17" s="7">
        <v>4</v>
      </c>
      <c r="X17" s="15" t="s">
        <v>46</v>
      </c>
      <c r="Y17" s="54" t="s">
        <v>88</v>
      </c>
      <c r="Z17" s="54" t="s">
        <v>102</v>
      </c>
      <c r="AA17" s="54" t="s">
        <v>78</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0.5</v>
      </c>
      <c r="P18" s="7">
        <v>0.5</v>
      </c>
      <c r="Q18" s="52">
        <f t="shared" si="0"/>
        <v>0.5</v>
      </c>
      <c r="R18" s="7">
        <v>15.2</v>
      </c>
      <c r="S18" s="7">
        <v>124</v>
      </c>
      <c r="T18" s="16">
        <f t="shared" si="1"/>
        <v>27</v>
      </c>
      <c r="U18" s="7">
        <v>149</v>
      </c>
      <c r="V18" s="16">
        <f t="shared" si="2"/>
        <v>4023</v>
      </c>
      <c r="W18" s="7">
        <v>4</v>
      </c>
      <c r="X18" s="15" t="s">
        <v>46</v>
      </c>
      <c r="Y18" s="54" t="s">
        <v>88</v>
      </c>
      <c r="Z18" s="54" t="s">
        <v>102</v>
      </c>
      <c r="AA18" s="54" t="s">
        <v>78</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0.55000000000000004</v>
      </c>
      <c r="P19" s="7">
        <v>0.6</v>
      </c>
      <c r="Q19" s="52">
        <f t="shared" si="0"/>
        <v>0.57499999999999996</v>
      </c>
      <c r="R19" s="7">
        <v>14.6</v>
      </c>
      <c r="S19" s="7">
        <v>124</v>
      </c>
      <c r="T19" s="16">
        <f t="shared" si="1"/>
        <v>27</v>
      </c>
      <c r="U19" s="7">
        <v>149</v>
      </c>
      <c r="V19" s="16">
        <f t="shared" si="2"/>
        <v>4023</v>
      </c>
      <c r="W19" s="7">
        <v>4</v>
      </c>
      <c r="X19" s="15" t="s">
        <v>46</v>
      </c>
      <c r="Y19" s="54" t="s">
        <v>88</v>
      </c>
      <c r="Z19" s="54" t="s">
        <v>102</v>
      </c>
      <c r="AA19" s="54" t="s">
        <v>78</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0.7</v>
      </c>
      <c r="P20" s="34">
        <v>0.7</v>
      </c>
      <c r="Q20" s="52">
        <f t="shared" si="0"/>
        <v>0.7</v>
      </c>
      <c r="R20" s="7">
        <v>12.3</v>
      </c>
      <c r="S20" s="7">
        <v>124</v>
      </c>
      <c r="T20" s="16">
        <f t="shared" si="1"/>
        <v>27</v>
      </c>
      <c r="U20" s="7">
        <v>35</v>
      </c>
      <c r="V20" s="16">
        <f t="shared" si="2"/>
        <v>945</v>
      </c>
      <c r="W20" s="7">
        <v>3</v>
      </c>
      <c r="X20" s="15" t="s">
        <v>39</v>
      </c>
      <c r="Y20" s="54" t="s">
        <v>78</v>
      </c>
      <c r="Z20" s="54" t="s">
        <v>102</v>
      </c>
      <c r="AA20" s="54" t="s">
        <v>88</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0.5</v>
      </c>
      <c r="P21" s="7">
        <v>0.5</v>
      </c>
      <c r="Q21" s="52">
        <f t="shared" si="0"/>
        <v>0.5</v>
      </c>
      <c r="R21" s="7">
        <v>14.7</v>
      </c>
      <c r="S21" s="7">
        <v>126</v>
      </c>
      <c r="T21" s="16">
        <f t="shared" si="1"/>
        <v>27</v>
      </c>
      <c r="U21" s="7">
        <v>35</v>
      </c>
      <c r="V21" s="16">
        <f t="shared" si="2"/>
        <v>945</v>
      </c>
      <c r="W21" s="7">
        <v>3</v>
      </c>
      <c r="X21" s="54" t="s">
        <v>39</v>
      </c>
      <c r="Y21" s="54" t="s">
        <v>78</v>
      </c>
      <c r="Z21" s="54" t="s">
        <v>102</v>
      </c>
      <c r="AA21" s="54" t="s">
        <v>88</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0.8</v>
      </c>
      <c r="P22" s="7">
        <v>0.9</v>
      </c>
      <c r="Q22" s="52">
        <f t="shared" si="0"/>
        <v>0.85000000000000009</v>
      </c>
      <c r="R22" s="7">
        <v>13</v>
      </c>
      <c r="S22" s="7">
        <v>122</v>
      </c>
      <c r="T22" s="16">
        <f t="shared" si="1"/>
        <v>27</v>
      </c>
      <c r="U22" s="7">
        <v>35</v>
      </c>
      <c r="V22" s="16">
        <f t="shared" si="2"/>
        <v>945</v>
      </c>
      <c r="W22" s="7">
        <v>3</v>
      </c>
      <c r="X22" s="54" t="s">
        <v>39</v>
      </c>
      <c r="Y22" s="54" t="s">
        <v>78</v>
      </c>
      <c r="Z22" s="54" t="s">
        <v>102</v>
      </c>
      <c r="AA22" s="54" t="s">
        <v>88</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0.5</v>
      </c>
      <c r="P23" s="7">
        <v>0.5</v>
      </c>
      <c r="Q23" s="52">
        <f t="shared" si="0"/>
        <v>0.5</v>
      </c>
      <c r="R23" s="7">
        <v>14.9</v>
      </c>
      <c r="S23" s="7">
        <v>117</v>
      </c>
      <c r="T23" s="16">
        <f t="shared" si="1"/>
        <v>30</v>
      </c>
      <c r="U23" s="7">
        <v>138</v>
      </c>
      <c r="V23" s="16">
        <f t="shared" si="2"/>
        <v>4140</v>
      </c>
      <c r="W23" s="7">
        <v>1</v>
      </c>
      <c r="X23" s="54" t="s">
        <v>39</v>
      </c>
      <c r="Y23" s="54" t="s">
        <v>78</v>
      </c>
      <c r="Z23" s="54" t="s">
        <v>102</v>
      </c>
      <c r="AA23" s="54" t="s">
        <v>88</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0.6</v>
      </c>
      <c r="P24" s="7">
        <v>0.5</v>
      </c>
      <c r="Q24" s="52">
        <f t="shared" si="0"/>
        <v>0.55000000000000004</v>
      </c>
      <c r="R24" s="7">
        <v>18.8</v>
      </c>
      <c r="S24" s="7">
        <v>118</v>
      </c>
      <c r="T24" s="16">
        <f t="shared" si="1"/>
        <v>30</v>
      </c>
      <c r="U24" s="7">
        <v>138</v>
      </c>
      <c r="V24" s="16">
        <f t="shared" si="2"/>
        <v>4140</v>
      </c>
      <c r="W24" s="7">
        <v>1</v>
      </c>
      <c r="X24" s="54" t="s">
        <v>39</v>
      </c>
      <c r="Y24" s="54" t="s">
        <v>78</v>
      </c>
      <c r="Z24" s="54" t="s">
        <v>102</v>
      </c>
      <c r="AA24" s="54" t="s">
        <v>88</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0.55000000000000004</v>
      </c>
      <c r="P25" s="7">
        <v>0.55000000000000004</v>
      </c>
      <c r="Q25" s="52">
        <f t="shared" si="0"/>
        <v>0.55000000000000004</v>
      </c>
      <c r="R25" s="7">
        <v>16</v>
      </c>
      <c r="S25" s="7">
        <v>116</v>
      </c>
      <c r="T25" s="16">
        <f t="shared" si="1"/>
        <v>30</v>
      </c>
      <c r="U25" s="7">
        <v>138</v>
      </c>
      <c r="V25" s="16">
        <f t="shared" si="2"/>
        <v>4140</v>
      </c>
      <c r="W25" s="7">
        <v>1</v>
      </c>
      <c r="X25" s="54" t="s">
        <v>39</v>
      </c>
      <c r="Y25" s="54" t="s">
        <v>78</v>
      </c>
      <c r="Z25" s="54" t="s">
        <v>102</v>
      </c>
      <c r="AA25" s="54" t="s">
        <v>88</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0.95</v>
      </c>
      <c r="P26" s="7">
        <v>0.95</v>
      </c>
      <c r="Q26" s="52">
        <f t="shared" si="0"/>
        <v>0.95</v>
      </c>
      <c r="R26" s="7">
        <v>13.1</v>
      </c>
      <c r="S26" s="7">
        <v>116</v>
      </c>
      <c r="T26" s="16">
        <f t="shared" si="1"/>
        <v>30</v>
      </c>
      <c r="U26" s="7">
        <v>59</v>
      </c>
      <c r="V26" s="16">
        <f t="shared" si="2"/>
        <v>1770</v>
      </c>
      <c r="W26" s="7">
        <v>4</v>
      </c>
      <c r="X26" s="15" t="s">
        <v>46</v>
      </c>
      <c r="Y26" s="54" t="s">
        <v>78</v>
      </c>
      <c r="Z26" s="54" t="s">
        <v>102</v>
      </c>
      <c r="AA26" s="54" t="s">
        <v>55</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0.85</v>
      </c>
      <c r="P27" s="7">
        <v>0.7</v>
      </c>
      <c r="Q27" s="52">
        <f t="shared" si="0"/>
        <v>0.77499999999999991</v>
      </c>
      <c r="R27" s="7">
        <v>13.2</v>
      </c>
      <c r="S27" s="7">
        <v>114</v>
      </c>
      <c r="T27" s="16">
        <f t="shared" si="1"/>
        <v>30</v>
      </c>
      <c r="U27" s="7">
        <v>59</v>
      </c>
      <c r="V27" s="16">
        <f t="shared" si="2"/>
        <v>1770</v>
      </c>
      <c r="W27" s="7">
        <v>4</v>
      </c>
      <c r="X27" s="54" t="s">
        <v>46</v>
      </c>
      <c r="Y27" s="54" t="s">
        <v>78</v>
      </c>
      <c r="Z27" s="54" t="s">
        <v>102</v>
      </c>
      <c r="AA27" s="54" t="s">
        <v>55</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0.8</v>
      </c>
      <c r="P28" s="7">
        <v>0.85</v>
      </c>
      <c r="Q28" s="52">
        <f t="shared" si="0"/>
        <v>0.82499999999999996</v>
      </c>
      <c r="R28" s="7">
        <v>13.2</v>
      </c>
      <c r="S28" s="7">
        <v>105</v>
      </c>
      <c r="T28" s="16">
        <f t="shared" si="1"/>
        <v>33</v>
      </c>
      <c r="U28" s="7">
        <v>59</v>
      </c>
      <c r="V28" s="16">
        <f t="shared" si="2"/>
        <v>1947</v>
      </c>
      <c r="W28" s="7">
        <v>4</v>
      </c>
      <c r="X28" s="54" t="s">
        <v>46</v>
      </c>
      <c r="Y28" s="54" t="s">
        <v>78</v>
      </c>
      <c r="Z28" s="54" t="s">
        <v>102</v>
      </c>
      <c r="AA28" s="54" t="s">
        <v>55</v>
      </c>
      <c r="AB28" s="39" t="s">
        <v>158</v>
      </c>
      <c r="AP28" s="27"/>
      <c r="AR28" s="23"/>
    </row>
    <row r="29" spans="1:48" x14ac:dyDescent="0.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0.6</v>
      </c>
      <c r="P29" s="7">
        <v>0.6</v>
      </c>
      <c r="Q29" s="52">
        <f t="shared" si="0"/>
        <v>0.6</v>
      </c>
      <c r="R29" s="7">
        <v>15</v>
      </c>
      <c r="S29" s="7">
        <v>123</v>
      </c>
      <c r="T29" s="16">
        <f t="shared" si="1"/>
        <v>27</v>
      </c>
      <c r="U29" s="7">
        <v>107</v>
      </c>
      <c r="V29" s="16">
        <f t="shared" si="2"/>
        <v>2889</v>
      </c>
      <c r="W29" s="7">
        <v>4</v>
      </c>
      <c r="X29" s="54" t="s">
        <v>46</v>
      </c>
      <c r="Y29" s="54" t="s">
        <v>78</v>
      </c>
      <c r="Z29" s="54" t="s">
        <v>102</v>
      </c>
      <c r="AA29" s="54" t="s">
        <v>55</v>
      </c>
      <c r="AB29" s="39" t="s">
        <v>158</v>
      </c>
      <c r="AP29" s="27"/>
      <c r="AR29" s="27"/>
      <c r="AV29" s="28"/>
    </row>
    <row r="30" spans="1:48" x14ac:dyDescent="0.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0.6</v>
      </c>
      <c r="P30" s="7">
        <v>0.7</v>
      </c>
      <c r="Q30" s="52">
        <f t="shared" si="0"/>
        <v>0.64999999999999991</v>
      </c>
      <c r="R30" s="7">
        <v>13</v>
      </c>
      <c r="S30" s="7">
        <v>125</v>
      </c>
      <c r="T30" s="16">
        <f t="shared" si="1"/>
        <v>27</v>
      </c>
      <c r="U30" s="7">
        <v>107</v>
      </c>
      <c r="V30" s="16">
        <f t="shared" si="2"/>
        <v>2889</v>
      </c>
      <c r="W30" s="7">
        <v>4</v>
      </c>
      <c r="X30" s="54" t="s">
        <v>46</v>
      </c>
      <c r="Y30" s="54" t="s">
        <v>78</v>
      </c>
      <c r="Z30" s="54" t="s">
        <v>102</v>
      </c>
      <c r="AA30" s="54" t="s">
        <v>55</v>
      </c>
      <c r="AB30" s="39" t="s">
        <v>158</v>
      </c>
      <c r="AP30" s="27"/>
      <c r="AR30" s="27"/>
    </row>
    <row r="31" spans="1:48" x14ac:dyDescent="0.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0.5</v>
      </c>
      <c r="P31" s="7">
        <v>0.5</v>
      </c>
      <c r="Q31" s="52">
        <f t="shared" si="0"/>
        <v>0.5</v>
      </c>
      <c r="R31" s="7">
        <v>18.899999999999999</v>
      </c>
      <c r="S31" s="7">
        <v>119</v>
      </c>
      <c r="T31" s="16">
        <f t="shared" si="1"/>
        <v>30</v>
      </c>
      <c r="U31" s="7">
        <v>107</v>
      </c>
      <c r="V31" s="16">
        <f t="shared" si="2"/>
        <v>3210</v>
      </c>
      <c r="W31" s="7">
        <v>4</v>
      </c>
      <c r="X31" s="54" t="s">
        <v>46</v>
      </c>
      <c r="Y31" s="54" t="s">
        <v>78</v>
      </c>
      <c r="Z31" s="54" t="s">
        <v>102</v>
      </c>
      <c r="AA31" s="54" t="s">
        <v>55</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161</v>
      </c>
      <c r="L32" s="7">
        <v>1</v>
      </c>
      <c r="N32" s="7">
        <v>1</v>
      </c>
      <c r="O32" s="7">
        <v>0.55000000000000004</v>
      </c>
      <c r="P32" s="7">
        <v>0.6</v>
      </c>
      <c r="Q32" s="52">
        <f t="shared" si="0"/>
        <v>0.57499999999999996</v>
      </c>
      <c r="R32" s="7">
        <v>17</v>
      </c>
      <c r="S32" s="7">
        <v>107</v>
      </c>
      <c r="T32" s="16">
        <f t="shared" si="1"/>
        <v>33</v>
      </c>
      <c r="U32" s="7">
        <v>100</v>
      </c>
      <c r="V32" s="16">
        <f t="shared" si="2"/>
        <v>3300</v>
      </c>
      <c r="W32" s="7">
        <v>6</v>
      </c>
      <c r="X32" s="54" t="s">
        <v>46</v>
      </c>
      <c r="Y32" s="54" t="s">
        <v>90</v>
      </c>
      <c r="Z32" s="54" t="s">
        <v>78</v>
      </c>
      <c r="AA32" s="54" t="s">
        <v>102</v>
      </c>
      <c r="AB32" s="39" t="s">
        <v>158</v>
      </c>
      <c r="AP32" s="28"/>
      <c r="AR32" s="28"/>
    </row>
    <row r="33" spans="1:44" x14ac:dyDescent="0.15">
      <c r="A33" s="15" t="s">
        <v>156</v>
      </c>
      <c r="B33" s="15" t="s">
        <v>157</v>
      </c>
      <c r="C33" s="15">
        <v>2019</v>
      </c>
      <c r="D33" s="37" t="s">
        <v>165</v>
      </c>
      <c r="E33" s="7" t="s">
        <v>139</v>
      </c>
      <c r="F33" s="7" t="s">
        <v>145</v>
      </c>
      <c r="G33" s="7" t="s">
        <v>36</v>
      </c>
      <c r="H33" s="15" t="s">
        <v>164</v>
      </c>
      <c r="I33" s="53" t="s">
        <v>159</v>
      </c>
      <c r="J33" s="15" t="s">
        <v>38</v>
      </c>
      <c r="K33" s="7" t="s">
        <v>161</v>
      </c>
      <c r="L33" s="7">
        <v>2</v>
      </c>
      <c r="N33" s="7">
        <v>1</v>
      </c>
      <c r="O33" s="7">
        <v>0.8</v>
      </c>
      <c r="P33" s="7">
        <v>0.7</v>
      </c>
      <c r="Q33" s="52">
        <f t="shared" si="0"/>
        <v>0.75</v>
      </c>
      <c r="R33" s="7">
        <v>15.5</v>
      </c>
      <c r="S33" s="7">
        <v>118</v>
      </c>
      <c r="T33" s="16">
        <f t="shared" si="1"/>
        <v>30</v>
      </c>
      <c r="U33" s="7">
        <v>100</v>
      </c>
      <c r="V33" s="16">
        <f t="shared" si="2"/>
        <v>3000</v>
      </c>
      <c r="W33" s="7">
        <v>6</v>
      </c>
      <c r="X33" s="15" t="s">
        <v>46</v>
      </c>
      <c r="Y33" s="54" t="s">
        <v>90</v>
      </c>
      <c r="Z33" s="54" t="s">
        <v>78</v>
      </c>
      <c r="AA33" s="54" t="s">
        <v>102</v>
      </c>
      <c r="AB33" s="39" t="s">
        <v>158</v>
      </c>
    </row>
    <row r="34" spans="1:44" x14ac:dyDescent="0.15">
      <c r="A34" s="15" t="s">
        <v>156</v>
      </c>
      <c r="B34" s="15" t="s">
        <v>157</v>
      </c>
      <c r="C34" s="15">
        <v>2019</v>
      </c>
      <c r="D34" s="37" t="s">
        <v>165</v>
      </c>
      <c r="E34" s="7" t="s">
        <v>139</v>
      </c>
      <c r="F34" s="7" t="s">
        <v>145</v>
      </c>
      <c r="G34" s="7" t="s">
        <v>36</v>
      </c>
      <c r="H34" s="15" t="s">
        <v>164</v>
      </c>
      <c r="I34" s="53" t="s">
        <v>159</v>
      </c>
      <c r="J34" s="15" t="s">
        <v>38</v>
      </c>
      <c r="K34" s="7" t="s">
        <v>161</v>
      </c>
      <c r="L34" s="7">
        <v>3</v>
      </c>
      <c r="N34" s="7">
        <v>1</v>
      </c>
      <c r="O34" s="7">
        <v>0.5</v>
      </c>
      <c r="P34" s="7">
        <v>0.5</v>
      </c>
      <c r="Q34" s="52">
        <f t="shared" si="0"/>
        <v>0.5</v>
      </c>
      <c r="R34" s="7">
        <v>15.2</v>
      </c>
      <c r="S34" s="7">
        <v>109</v>
      </c>
      <c r="T34" s="16">
        <f t="shared" si="1"/>
        <v>33</v>
      </c>
      <c r="U34" s="7">
        <v>100</v>
      </c>
      <c r="V34" s="16">
        <f t="shared" si="2"/>
        <v>3300</v>
      </c>
      <c r="W34" s="7">
        <v>6</v>
      </c>
      <c r="X34" s="15" t="s">
        <v>46</v>
      </c>
      <c r="Y34" s="54" t="s">
        <v>90</v>
      </c>
      <c r="Z34" s="54" t="s">
        <v>78</v>
      </c>
      <c r="AA34" s="54" t="s">
        <v>102</v>
      </c>
      <c r="AB34" s="39" t="s">
        <v>158</v>
      </c>
    </row>
    <row r="35" spans="1:44" x14ac:dyDescent="0.15">
      <c r="A35" s="15" t="s">
        <v>156</v>
      </c>
      <c r="B35" s="15" t="s">
        <v>157</v>
      </c>
      <c r="C35" s="15">
        <v>2019</v>
      </c>
      <c r="D35" s="37" t="s">
        <v>165</v>
      </c>
      <c r="E35" s="7" t="s">
        <v>139</v>
      </c>
      <c r="F35" s="7" t="s">
        <v>145</v>
      </c>
      <c r="G35" s="7" t="s">
        <v>36</v>
      </c>
      <c r="H35" s="15" t="s">
        <v>160</v>
      </c>
      <c r="I35" s="7" t="s">
        <v>159</v>
      </c>
      <c r="J35" s="15" t="s">
        <v>38</v>
      </c>
      <c r="K35" s="7" t="s">
        <v>161</v>
      </c>
      <c r="L35" s="7">
        <v>1</v>
      </c>
      <c r="N35" s="7">
        <v>1</v>
      </c>
      <c r="O35" s="7">
        <v>0.5</v>
      </c>
      <c r="P35" s="7">
        <v>0.5</v>
      </c>
      <c r="Q35" s="52">
        <f t="shared" si="0"/>
        <v>0.5</v>
      </c>
      <c r="R35" s="7">
        <v>19.3</v>
      </c>
      <c r="S35" s="7">
        <v>103</v>
      </c>
      <c r="T35" s="16">
        <f t="shared" si="1"/>
        <v>33</v>
      </c>
      <c r="U35" s="7">
        <v>100</v>
      </c>
      <c r="V35" s="16">
        <f t="shared" si="2"/>
        <v>3300</v>
      </c>
      <c r="W35" s="7">
        <v>7</v>
      </c>
      <c r="X35" s="15" t="s">
        <v>46</v>
      </c>
      <c r="Y35" s="54" t="s">
        <v>90</v>
      </c>
      <c r="Z35" s="54" t="s">
        <v>78</v>
      </c>
      <c r="AA35" s="54" t="s">
        <v>102</v>
      </c>
      <c r="AB35" s="39" t="s">
        <v>158</v>
      </c>
      <c r="AP35" s="28"/>
      <c r="AR35" s="28"/>
    </row>
    <row r="36" spans="1:44" x14ac:dyDescent="0.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0.5</v>
      </c>
      <c r="P36" s="7">
        <v>0.6</v>
      </c>
      <c r="Q36" s="52">
        <f t="shared" si="0"/>
        <v>0.55000000000000004</v>
      </c>
      <c r="R36" s="7">
        <v>15.2</v>
      </c>
      <c r="S36" s="7">
        <v>103</v>
      </c>
      <c r="T36" s="16">
        <f t="shared" si="1"/>
        <v>33</v>
      </c>
      <c r="U36" s="7">
        <v>100</v>
      </c>
      <c r="V36" s="16">
        <f t="shared" si="2"/>
        <v>3300</v>
      </c>
      <c r="W36" s="7">
        <v>7</v>
      </c>
      <c r="X36" s="15" t="s">
        <v>46</v>
      </c>
      <c r="Y36" s="54" t="s">
        <v>90</v>
      </c>
      <c r="Z36" s="54" t="s">
        <v>78</v>
      </c>
      <c r="AA36" s="54" t="s">
        <v>102</v>
      </c>
      <c r="AB36" s="39" t="s">
        <v>158</v>
      </c>
    </row>
    <row r="37" spans="1:44" x14ac:dyDescent="0.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0.55000000000000004</v>
      </c>
      <c r="P37" s="34">
        <v>0.5</v>
      </c>
      <c r="Q37" s="52">
        <f t="shared" si="0"/>
        <v>0.52500000000000002</v>
      </c>
      <c r="R37" s="7">
        <v>19</v>
      </c>
      <c r="S37" s="7">
        <v>105</v>
      </c>
      <c r="T37" s="16">
        <f t="shared" si="1"/>
        <v>33</v>
      </c>
      <c r="U37" s="7">
        <v>100</v>
      </c>
      <c r="V37" s="16">
        <f t="shared" si="2"/>
        <v>3300</v>
      </c>
      <c r="W37" s="7">
        <v>7</v>
      </c>
      <c r="X37" s="15" t="s">
        <v>46</v>
      </c>
      <c r="Y37" s="54" t="s">
        <v>90</v>
      </c>
      <c r="Z37" s="54" t="s">
        <v>78</v>
      </c>
      <c r="AA37" s="54" t="s">
        <v>102</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0.6</v>
      </c>
      <c r="P38" s="34">
        <v>0.55000000000000004</v>
      </c>
      <c r="Q38" s="52">
        <f t="shared" si="0"/>
        <v>0.57499999999999996</v>
      </c>
      <c r="R38" s="7">
        <v>15</v>
      </c>
      <c r="S38" s="7">
        <v>125</v>
      </c>
      <c r="T38" s="16">
        <f t="shared" si="1"/>
        <v>27</v>
      </c>
      <c r="U38" s="7">
        <v>95</v>
      </c>
      <c r="V38" s="16">
        <f t="shared" si="2"/>
        <v>2565</v>
      </c>
      <c r="W38" s="7">
        <v>5</v>
      </c>
      <c r="X38" s="15" t="s">
        <v>46</v>
      </c>
      <c r="Y38" s="54" t="s">
        <v>78</v>
      </c>
      <c r="Z38" s="54" t="s">
        <v>88</v>
      </c>
      <c r="AA38" s="54" t="s">
        <v>69</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0.65</v>
      </c>
      <c r="P39" s="7">
        <v>0.75</v>
      </c>
      <c r="Q39" s="52">
        <f t="shared" si="0"/>
        <v>0.7</v>
      </c>
      <c r="R39" s="34">
        <v>15.9</v>
      </c>
      <c r="S39" s="7">
        <v>124</v>
      </c>
      <c r="T39" s="16">
        <f t="shared" si="1"/>
        <v>27</v>
      </c>
      <c r="U39" s="7">
        <v>95</v>
      </c>
      <c r="V39" s="16">
        <f t="shared" si="2"/>
        <v>2565</v>
      </c>
      <c r="W39" s="7">
        <v>5</v>
      </c>
      <c r="X39" s="15" t="s">
        <v>46</v>
      </c>
      <c r="Y39" s="54" t="s">
        <v>78</v>
      </c>
      <c r="Z39" s="54" t="s">
        <v>88</v>
      </c>
      <c r="AA39" s="54" t="s">
        <v>69</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0.55000000000000004</v>
      </c>
      <c r="P40" s="7">
        <v>0.55000000000000004</v>
      </c>
      <c r="Q40" s="52">
        <f t="shared" si="0"/>
        <v>0.55000000000000004</v>
      </c>
      <c r="R40" s="7">
        <v>16.2</v>
      </c>
      <c r="S40" s="7">
        <v>124</v>
      </c>
      <c r="T40" s="16">
        <f t="shared" si="1"/>
        <v>27</v>
      </c>
      <c r="U40" s="7">
        <v>95</v>
      </c>
      <c r="V40" s="16">
        <f t="shared" si="2"/>
        <v>2565</v>
      </c>
      <c r="W40" s="7">
        <v>5</v>
      </c>
      <c r="X40" s="15" t="s">
        <v>46</v>
      </c>
      <c r="Y40" s="54" t="s">
        <v>78</v>
      </c>
      <c r="Z40" s="54" t="s">
        <v>88</v>
      </c>
      <c r="AA40" s="54" t="s">
        <v>69</v>
      </c>
      <c r="AB40" s="39" t="s">
        <v>158</v>
      </c>
    </row>
    <row r="41" spans="1:44" ht="12.75" customHeight="1" x14ac:dyDescent="0.15">
      <c r="A41" s="15" t="s">
        <v>156</v>
      </c>
      <c r="B41" s="15" t="s">
        <v>157</v>
      </c>
      <c r="C41" s="15">
        <v>2019</v>
      </c>
      <c r="D41" s="37" t="s">
        <v>165</v>
      </c>
      <c r="E41" s="7" t="s">
        <v>162</v>
      </c>
      <c r="F41" s="7" t="s">
        <v>163</v>
      </c>
      <c r="G41" s="7" t="s">
        <v>36</v>
      </c>
      <c r="H41" s="15" t="s">
        <v>160</v>
      </c>
      <c r="I41" s="7" t="s">
        <v>159</v>
      </c>
      <c r="J41" s="15" t="s">
        <v>38</v>
      </c>
      <c r="K41" s="7" t="s">
        <v>161</v>
      </c>
      <c r="L41" s="7">
        <v>1</v>
      </c>
      <c r="N41" s="7">
        <v>1</v>
      </c>
      <c r="O41" s="7">
        <v>0.55000000000000004</v>
      </c>
      <c r="P41" s="7">
        <v>0.5</v>
      </c>
      <c r="Q41" s="52">
        <f t="shared" si="0"/>
        <v>0.52500000000000002</v>
      </c>
      <c r="R41" s="7">
        <v>15</v>
      </c>
      <c r="S41" s="7">
        <v>113</v>
      </c>
      <c r="T41" s="16">
        <f t="shared" si="1"/>
        <v>30</v>
      </c>
      <c r="U41" s="7">
        <v>95</v>
      </c>
      <c r="V41" s="16">
        <f t="shared" si="2"/>
        <v>2850</v>
      </c>
      <c r="W41" s="7">
        <v>6</v>
      </c>
      <c r="X41" s="15" t="s">
        <v>46</v>
      </c>
      <c r="Y41" s="54" t="s">
        <v>78</v>
      </c>
      <c r="Z41" s="54" t="s">
        <v>88</v>
      </c>
      <c r="AA41" s="54" t="s">
        <v>69</v>
      </c>
      <c r="AB41" s="39" t="s">
        <v>158</v>
      </c>
    </row>
    <row r="42" spans="1:44" x14ac:dyDescent="0.15">
      <c r="A42" s="15" t="s">
        <v>156</v>
      </c>
      <c r="B42" s="15" t="s">
        <v>157</v>
      </c>
      <c r="C42" s="15">
        <v>2019</v>
      </c>
      <c r="D42" s="37" t="s">
        <v>165</v>
      </c>
      <c r="E42" s="7" t="s">
        <v>162</v>
      </c>
      <c r="F42" s="7" t="s">
        <v>163</v>
      </c>
      <c r="G42" s="7" t="s">
        <v>36</v>
      </c>
      <c r="H42" s="54" t="s">
        <v>160</v>
      </c>
      <c r="I42" s="7" t="s">
        <v>159</v>
      </c>
      <c r="J42" s="15" t="s">
        <v>38</v>
      </c>
      <c r="K42" s="7" t="s">
        <v>161</v>
      </c>
      <c r="L42" s="7">
        <v>2</v>
      </c>
      <c r="N42" s="7">
        <v>1</v>
      </c>
      <c r="O42" s="7">
        <v>0.5</v>
      </c>
      <c r="P42" s="7">
        <v>0.65</v>
      </c>
      <c r="Q42" s="52">
        <f t="shared" si="0"/>
        <v>0.57499999999999996</v>
      </c>
      <c r="R42" s="7">
        <v>18.2</v>
      </c>
      <c r="S42" s="7">
        <v>110</v>
      </c>
      <c r="T42" s="16">
        <f t="shared" si="1"/>
        <v>33</v>
      </c>
      <c r="U42" s="7">
        <v>95</v>
      </c>
      <c r="V42" s="16">
        <f t="shared" si="2"/>
        <v>3135</v>
      </c>
      <c r="W42" s="7">
        <v>6</v>
      </c>
      <c r="X42" s="15" t="s">
        <v>46</v>
      </c>
      <c r="Y42" s="54" t="s">
        <v>78</v>
      </c>
      <c r="Z42" s="54" t="s">
        <v>88</v>
      </c>
      <c r="AA42" s="54" t="s">
        <v>69</v>
      </c>
      <c r="AB42" s="39" t="s">
        <v>158</v>
      </c>
    </row>
    <row r="43" spans="1:44" x14ac:dyDescent="0.15">
      <c r="A43" s="15" t="s">
        <v>156</v>
      </c>
      <c r="B43" s="15" t="s">
        <v>157</v>
      </c>
      <c r="C43" s="15">
        <v>2019</v>
      </c>
      <c r="D43" s="37" t="s">
        <v>165</v>
      </c>
      <c r="E43" s="7" t="s">
        <v>162</v>
      </c>
      <c r="F43" s="7" t="s">
        <v>163</v>
      </c>
      <c r="G43" s="7" t="s">
        <v>36</v>
      </c>
      <c r="H43" s="54" t="s">
        <v>160</v>
      </c>
      <c r="I43" s="7" t="s">
        <v>159</v>
      </c>
      <c r="J43" s="15" t="s">
        <v>38</v>
      </c>
      <c r="K43" s="7" t="s">
        <v>161</v>
      </c>
      <c r="L43" s="7">
        <v>3</v>
      </c>
      <c r="N43" s="7">
        <v>1</v>
      </c>
      <c r="O43" s="7">
        <v>0.5</v>
      </c>
      <c r="P43" s="7">
        <v>0.5</v>
      </c>
      <c r="Q43" s="52">
        <f t="shared" si="0"/>
        <v>0.5</v>
      </c>
      <c r="R43" s="7">
        <v>17.600000000000001</v>
      </c>
      <c r="S43" s="7">
        <v>113</v>
      </c>
      <c r="T43" s="16">
        <f t="shared" si="1"/>
        <v>30</v>
      </c>
      <c r="U43" s="7">
        <v>95</v>
      </c>
      <c r="V43" s="16">
        <f t="shared" si="2"/>
        <v>2850</v>
      </c>
      <c r="W43" s="7">
        <v>6</v>
      </c>
      <c r="X43" s="15" t="s">
        <v>46</v>
      </c>
      <c r="Y43" s="54" t="s">
        <v>78</v>
      </c>
      <c r="Z43" s="54" t="s">
        <v>88</v>
      </c>
      <c r="AA43" s="54" t="s">
        <v>69</v>
      </c>
      <c r="AB43" s="39" t="s">
        <v>158</v>
      </c>
    </row>
    <row r="44" spans="1:44" x14ac:dyDescent="0.15">
      <c r="A44" s="15" t="s">
        <v>156</v>
      </c>
      <c r="B44" s="15" t="s">
        <v>157</v>
      </c>
      <c r="C44" s="15">
        <v>2019</v>
      </c>
      <c r="D44" s="37" t="s">
        <v>165</v>
      </c>
      <c r="E44" s="7" t="s">
        <v>130</v>
      </c>
      <c r="F44" s="7" t="s">
        <v>146</v>
      </c>
      <c r="G44" s="7" t="s">
        <v>36</v>
      </c>
      <c r="H44" s="15" t="s">
        <v>164</v>
      </c>
      <c r="I44" s="7" t="s">
        <v>159</v>
      </c>
      <c r="J44" s="15" t="s">
        <v>38</v>
      </c>
      <c r="K44" s="7" t="s">
        <v>161</v>
      </c>
      <c r="L44" s="7">
        <v>1</v>
      </c>
      <c r="N44" s="7">
        <v>1</v>
      </c>
      <c r="O44" s="7">
        <v>0.65</v>
      </c>
      <c r="P44" s="7">
        <v>0.65</v>
      </c>
      <c r="Q44" s="52">
        <f t="shared" si="0"/>
        <v>0.65</v>
      </c>
      <c r="R44" s="7">
        <v>14.1</v>
      </c>
      <c r="S44" s="7">
        <v>124</v>
      </c>
      <c r="T44" s="16">
        <f t="shared" si="1"/>
        <v>27</v>
      </c>
      <c r="U44" s="7">
        <v>85</v>
      </c>
      <c r="V44" s="16">
        <f t="shared" si="2"/>
        <v>2295</v>
      </c>
      <c r="W44" s="7">
        <v>4</v>
      </c>
      <c r="X44" s="15" t="s">
        <v>46</v>
      </c>
      <c r="Y44" s="54" t="s">
        <v>102</v>
      </c>
      <c r="Z44" s="54" t="s">
        <v>78</v>
      </c>
      <c r="AA44" s="54" t="s">
        <v>69</v>
      </c>
      <c r="AB44" s="39" t="s">
        <v>158</v>
      </c>
    </row>
    <row r="45" spans="1:44" x14ac:dyDescent="0.15">
      <c r="A45" s="15" t="s">
        <v>156</v>
      </c>
      <c r="B45" s="15" t="s">
        <v>157</v>
      </c>
      <c r="C45" s="15">
        <v>2019</v>
      </c>
      <c r="D45" s="37" t="s">
        <v>165</v>
      </c>
      <c r="E45" s="7" t="s">
        <v>130</v>
      </c>
      <c r="F45" s="7" t="s">
        <v>146</v>
      </c>
      <c r="G45" s="7" t="s">
        <v>36</v>
      </c>
      <c r="H45" s="15" t="s">
        <v>164</v>
      </c>
      <c r="I45" s="7" t="s">
        <v>159</v>
      </c>
      <c r="J45" s="15" t="s">
        <v>38</v>
      </c>
      <c r="K45" s="7" t="s">
        <v>161</v>
      </c>
      <c r="L45" s="7">
        <v>2</v>
      </c>
      <c r="N45" s="7">
        <v>1</v>
      </c>
      <c r="O45" s="7">
        <v>0.8</v>
      </c>
      <c r="P45" s="7">
        <v>0.9</v>
      </c>
      <c r="Q45" s="52">
        <f t="shared" si="0"/>
        <v>0.85000000000000009</v>
      </c>
      <c r="R45" s="7">
        <v>13.3</v>
      </c>
      <c r="S45" s="7">
        <v>119</v>
      </c>
      <c r="T45" s="16">
        <f t="shared" si="1"/>
        <v>30</v>
      </c>
      <c r="U45" s="7">
        <v>85</v>
      </c>
      <c r="V45" s="16">
        <f t="shared" si="2"/>
        <v>2550</v>
      </c>
      <c r="W45" s="7">
        <v>4</v>
      </c>
      <c r="X45" s="15" t="s">
        <v>46</v>
      </c>
      <c r="Y45" s="54" t="s">
        <v>102</v>
      </c>
      <c r="Z45" s="54" t="s">
        <v>78</v>
      </c>
      <c r="AA45" s="54" t="s">
        <v>69</v>
      </c>
      <c r="AB45" s="39" t="s">
        <v>158</v>
      </c>
    </row>
    <row r="46" spans="1:44" x14ac:dyDescent="0.15">
      <c r="A46" s="15" t="s">
        <v>156</v>
      </c>
      <c r="B46" s="15" t="s">
        <v>157</v>
      </c>
      <c r="C46" s="15">
        <v>2019</v>
      </c>
      <c r="D46" s="37" t="s">
        <v>165</v>
      </c>
      <c r="E46" s="7" t="s">
        <v>130</v>
      </c>
      <c r="F46" s="7" t="s">
        <v>146</v>
      </c>
      <c r="G46" s="7" t="s">
        <v>36</v>
      </c>
      <c r="H46" s="15" t="s">
        <v>164</v>
      </c>
      <c r="I46" s="7" t="s">
        <v>159</v>
      </c>
      <c r="J46" s="15" t="s">
        <v>38</v>
      </c>
      <c r="K46" s="7" t="s">
        <v>161</v>
      </c>
      <c r="L46" s="7">
        <v>3</v>
      </c>
      <c r="N46" s="7">
        <v>1</v>
      </c>
      <c r="O46" s="7">
        <v>0.85</v>
      </c>
      <c r="P46" s="34">
        <v>0.9</v>
      </c>
      <c r="Q46" s="52">
        <f t="shared" si="0"/>
        <v>0.875</v>
      </c>
      <c r="R46" s="7">
        <v>12.9</v>
      </c>
      <c r="S46" s="7">
        <v>120</v>
      </c>
      <c r="T46" s="16">
        <f t="shared" si="1"/>
        <v>30</v>
      </c>
      <c r="U46" s="7">
        <v>85</v>
      </c>
      <c r="V46" s="16">
        <f t="shared" si="2"/>
        <v>2550</v>
      </c>
      <c r="W46" s="7">
        <v>4</v>
      </c>
      <c r="X46" s="15" t="s">
        <v>46</v>
      </c>
      <c r="Y46" s="54" t="s">
        <v>102</v>
      </c>
      <c r="Z46" s="54" t="s">
        <v>78</v>
      </c>
      <c r="AA46" s="54" t="s">
        <v>69</v>
      </c>
      <c r="AB46" s="39" t="s">
        <v>158</v>
      </c>
    </row>
    <row r="47" spans="1:44" x14ac:dyDescent="0.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0.5</v>
      </c>
      <c r="P47" s="7">
        <v>0.5</v>
      </c>
      <c r="Q47" s="52">
        <f t="shared" si="0"/>
        <v>0.5</v>
      </c>
      <c r="R47" s="7">
        <v>13</v>
      </c>
      <c r="S47" s="7">
        <v>131</v>
      </c>
      <c r="T47" s="16">
        <f t="shared" si="1"/>
        <v>25</v>
      </c>
      <c r="U47" s="7">
        <v>135</v>
      </c>
      <c r="V47" s="16">
        <f t="shared" si="2"/>
        <v>3375</v>
      </c>
      <c r="W47" s="7">
        <v>6</v>
      </c>
      <c r="X47" s="15" t="s">
        <v>46</v>
      </c>
      <c r="Y47" s="54" t="s">
        <v>102</v>
      </c>
      <c r="Z47" s="54" t="s">
        <v>78</v>
      </c>
      <c r="AA47" s="54" t="s">
        <v>69</v>
      </c>
      <c r="AB47" s="39" t="s">
        <v>158</v>
      </c>
    </row>
    <row r="48" spans="1:44" x14ac:dyDescent="0.15">
      <c r="A48" s="15" t="s">
        <v>156</v>
      </c>
      <c r="B48" s="15" t="s">
        <v>157</v>
      </c>
      <c r="C48" s="15">
        <v>2019</v>
      </c>
      <c r="D48" s="37" t="s">
        <v>165</v>
      </c>
      <c r="E48" s="7" t="s">
        <v>130</v>
      </c>
      <c r="F48" s="7" t="s">
        <v>146</v>
      </c>
      <c r="G48" s="7" t="s">
        <v>36</v>
      </c>
      <c r="H48" s="15" t="s">
        <v>160</v>
      </c>
      <c r="I48" s="7" t="s">
        <v>159</v>
      </c>
      <c r="J48" s="15" t="s">
        <v>38</v>
      </c>
      <c r="K48" s="7" t="s">
        <v>161</v>
      </c>
      <c r="L48" s="7">
        <v>2</v>
      </c>
      <c r="N48" s="7">
        <v>1</v>
      </c>
      <c r="O48" s="7">
        <v>1.05</v>
      </c>
      <c r="P48" s="7">
        <v>0.9</v>
      </c>
      <c r="Q48" s="52">
        <f t="shared" si="0"/>
        <v>0.97500000000000009</v>
      </c>
      <c r="R48" s="7">
        <v>15.1</v>
      </c>
      <c r="S48" s="7">
        <v>133</v>
      </c>
      <c r="T48" s="16">
        <f t="shared" si="1"/>
        <v>25</v>
      </c>
      <c r="U48" s="7">
        <v>135</v>
      </c>
      <c r="V48" s="16">
        <f t="shared" si="2"/>
        <v>3375</v>
      </c>
      <c r="W48" s="7">
        <v>6</v>
      </c>
      <c r="X48" s="15" t="s">
        <v>46</v>
      </c>
      <c r="Y48" s="54" t="s">
        <v>102</v>
      </c>
      <c r="Z48" s="54" t="s">
        <v>78</v>
      </c>
      <c r="AA48" s="54" t="s">
        <v>69</v>
      </c>
      <c r="AB48" s="39" t="s">
        <v>158</v>
      </c>
    </row>
    <row r="49" spans="1:29" x14ac:dyDescent="0.15">
      <c r="A49" s="15" t="s">
        <v>156</v>
      </c>
      <c r="B49" s="15" t="s">
        <v>157</v>
      </c>
      <c r="C49" s="15">
        <v>2019</v>
      </c>
      <c r="D49" s="37" t="s">
        <v>165</v>
      </c>
      <c r="E49" s="7" t="s">
        <v>130</v>
      </c>
      <c r="F49" s="7" t="s">
        <v>146</v>
      </c>
      <c r="G49" s="7" t="s">
        <v>36</v>
      </c>
      <c r="H49" s="15" t="s">
        <v>160</v>
      </c>
      <c r="I49" s="7" t="s">
        <v>159</v>
      </c>
      <c r="J49" s="15" t="s">
        <v>38</v>
      </c>
      <c r="K49" s="7" t="s">
        <v>161</v>
      </c>
      <c r="L49" s="7">
        <v>3</v>
      </c>
      <c r="N49" s="7">
        <v>1</v>
      </c>
      <c r="O49" s="7">
        <v>0.7</v>
      </c>
      <c r="P49" s="34">
        <v>0.75</v>
      </c>
      <c r="Q49" s="52">
        <f t="shared" si="0"/>
        <v>0.72499999999999998</v>
      </c>
      <c r="R49" s="7">
        <v>13.7</v>
      </c>
      <c r="S49" s="7">
        <v>127</v>
      </c>
      <c r="T49" s="16">
        <f t="shared" si="1"/>
        <v>27</v>
      </c>
      <c r="U49" s="7">
        <v>135</v>
      </c>
      <c r="V49" s="16">
        <f t="shared" si="2"/>
        <v>3645</v>
      </c>
      <c r="W49" s="7">
        <v>6</v>
      </c>
      <c r="X49" s="15" t="s">
        <v>46</v>
      </c>
      <c r="Y49" s="54" t="s">
        <v>102</v>
      </c>
      <c r="Z49" s="54" t="s">
        <v>78</v>
      </c>
      <c r="AA49" s="54" t="s">
        <v>69</v>
      </c>
      <c r="AB49" s="39" t="s">
        <v>158</v>
      </c>
    </row>
    <row r="50" spans="1:29" x14ac:dyDescent="0.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0.85</v>
      </c>
      <c r="P50" s="7">
        <v>0.85</v>
      </c>
      <c r="Q50" s="52">
        <f t="shared" si="0"/>
        <v>0.85</v>
      </c>
      <c r="R50" s="7">
        <v>16.399999999999999</v>
      </c>
      <c r="S50" s="7">
        <v>124</v>
      </c>
      <c r="T50" s="16">
        <f t="shared" si="1"/>
        <v>27</v>
      </c>
      <c r="U50" s="7">
        <v>97</v>
      </c>
      <c r="V50" s="16">
        <f t="shared" si="2"/>
        <v>2619</v>
      </c>
      <c r="W50" s="7">
        <v>5</v>
      </c>
      <c r="X50" s="15" t="s">
        <v>46</v>
      </c>
      <c r="Y50" s="54" t="s">
        <v>102</v>
      </c>
      <c r="Z50" s="54" t="s">
        <v>78</v>
      </c>
      <c r="AA50" s="54" t="s">
        <v>90</v>
      </c>
      <c r="AB50" s="39" t="s">
        <v>158</v>
      </c>
    </row>
    <row r="51" spans="1:29" x14ac:dyDescent="0.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0.8</v>
      </c>
      <c r="P51" s="7">
        <v>0.85</v>
      </c>
      <c r="Q51" s="52">
        <f t="shared" si="0"/>
        <v>0.82499999999999996</v>
      </c>
      <c r="R51" s="7">
        <v>16.100000000000001</v>
      </c>
      <c r="S51" s="7">
        <v>126</v>
      </c>
      <c r="T51" s="16">
        <f t="shared" si="1"/>
        <v>27</v>
      </c>
      <c r="U51" s="7">
        <v>97</v>
      </c>
      <c r="V51" s="16">
        <f t="shared" si="2"/>
        <v>2619</v>
      </c>
      <c r="W51" s="7">
        <v>5</v>
      </c>
      <c r="X51" s="15" t="s">
        <v>46</v>
      </c>
      <c r="Y51" s="54" t="s">
        <v>102</v>
      </c>
      <c r="Z51" s="54" t="s">
        <v>78</v>
      </c>
      <c r="AA51" s="54" t="s">
        <v>90</v>
      </c>
      <c r="AB51" s="39" t="s">
        <v>158</v>
      </c>
    </row>
    <row r="52" spans="1:29" x14ac:dyDescent="0.15">
      <c r="A52" s="15" t="s">
        <v>156</v>
      </c>
      <c r="B52" s="15" t="s">
        <v>157</v>
      </c>
      <c r="C52" s="15">
        <v>2019</v>
      </c>
      <c r="D52" s="37" t="s">
        <v>165</v>
      </c>
      <c r="E52" s="7" t="s">
        <v>132</v>
      </c>
      <c r="F52" s="7" t="s">
        <v>147</v>
      </c>
      <c r="G52" s="7" t="s">
        <v>36</v>
      </c>
      <c r="H52" s="15" t="s">
        <v>164</v>
      </c>
      <c r="I52" s="7" t="s">
        <v>159</v>
      </c>
      <c r="J52" s="15" t="s">
        <v>38</v>
      </c>
      <c r="K52" s="7" t="s">
        <v>161</v>
      </c>
      <c r="L52" s="7">
        <v>3</v>
      </c>
      <c r="N52" s="7">
        <v>1</v>
      </c>
      <c r="O52" s="7">
        <v>1</v>
      </c>
      <c r="P52" s="7">
        <v>0.9</v>
      </c>
      <c r="Q52" s="52">
        <f t="shared" si="0"/>
        <v>0.95</v>
      </c>
      <c r="R52" s="7">
        <v>13.1</v>
      </c>
      <c r="S52" s="7">
        <v>130</v>
      </c>
      <c r="T52" s="16">
        <f t="shared" si="1"/>
        <v>25</v>
      </c>
      <c r="U52" s="7">
        <v>97</v>
      </c>
      <c r="V52" s="16">
        <f t="shared" si="2"/>
        <v>2425</v>
      </c>
      <c r="W52" s="7">
        <v>5</v>
      </c>
      <c r="X52" s="15" t="s">
        <v>46</v>
      </c>
      <c r="Y52" s="54" t="s">
        <v>102</v>
      </c>
      <c r="Z52" s="54" t="s">
        <v>78</v>
      </c>
      <c r="AA52" s="54" t="s">
        <v>90</v>
      </c>
      <c r="AB52" s="39" t="s">
        <v>158</v>
      </c>
    </row>
    <row r="53" spans="1:29" x14ac:dyDescent="0.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0.7</v>
      </c>
      <c r="P53" s="7">
        <v>0.75</v>
      </c>
      <c r="Q53" s="52">
        <f t="shared" si="0"/>
        <v>0.72499999999999998</v>
      </c>
      <c r="R53" s="7">
        <v>19.5</v>
      </c>
      <c r="S53" s="7">
        <v>134</v>
      </c>
      <c r="T53" s="16">
        <f t="shared" si="1"/>
        <v>25</v>
      </c>
      <c r="U53" s="7">
        <v>97</v>
      </c>
      <c r="V53" s="16">
        <f t="shared" si="2"/>
        <v>2425</v>
      </c>
      <c r="W53" s="7">
        <v>5</v>
      </c>
      <c r="X53" s="15" t="s">
        <v>46</v>
      </c>
      <c r="Y53" s="54" t="s">
        <v>102</v>
      </c>
      <c r="Z53" s="54" t="s">
        <v>78</v>
      </c>
      <c r="AA53" s="54" t="s">
        <v>90</v>
      </c>
      <c r="AB53" s="39" t="s">
        <v>158</v>
      </c>
      <c r="AC53" s="36"/>
    </row>
    <row r="54" spans="1:29" x14ac:dyDescent="0.15">
      <c r="A54" s="15" t="s">
        <v>156</v>
      </c>
      <c r="B54" s="15" t="s">
        <v>157</v>
      </c>
      <c r="C54" s="15">
        <v>2019</v>
      </c>
      <c r="D54" s="37" t="s">
        <v>165</v>
      </c>
      <c r="E54" s="7" t="s">
        <v>132</v>
      </c>
      <c r="F54" s="7" t="s">
        <v>147</v>
      </c>
      <c r="G54" s="7" t="s">
        <v>36</v>
      </c>
      <c r="H54" s="15" t="s">
        <v>160</v>
      </c>
      <c r="I54" s="7" t="s">
        <v>159</v>
      </c>
      <c r="J54" s="15" t="s">
        <v>38</v>
      </c>
      <c r="K54" s="7" t="s">
        <v>161</v>
      </c>
      <c r="L54" s="7">
        <v>2</v>
      </c>
      <c r="N54" s="7">
        <v>1</v>
      </c>
      <c r="O54" s="7">
        <v>1</v>
      </c>
      <c r="P54" s="7">
        <v>1.05</v>
      </c>
      <c r="Q54" s="52">
        <f t="shared" si="0"/>
        <v>1.0249999999999999</v>
      </c>
      <c r="R54" s="7">
        <v>14.8</v>
      </c>
      <c r="S54" s="7">
        <v>134</v>
      </c>
      <c r="T54" s="16">
        <f t="shared" si="1"/>
        <v>25</v>
      </c>
      <c r="U54" s="7">
        <v>97</v>
      </c>
      <c r="V54" s="16">
        <f t="shared" si="2"/>
        <v>2425</v>
      </c>
      <c r="W54" s="7">
        <v>5</v>
      </c>
      <c r="X54" s="15" t="s">
        <v>46</v>
      </c>
      <c r="Y54" s="54" t="s">
        <v>102</v>
      </c>
      <c r="Z54" s="54" t="s">
        <v>78</v>
      </c>
      <c r="AA54" s="54" t="s">
        <v>90</v>
      </c>
      <c r="AB54" s="39" t="s">
        <v>158</v>
      </c>
      <c r="AC54" s="36"/>
    </row>
    <row r="55" spans="1:29" x14ac:dyDescent="0.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0.75</v>
      </c>
      <c r="P55" s="7">
        <v>0.9</v>
      </c>
      <c r="Q55" s="52">
        <f t="shared" si="0"/>
        <v>0.82499999999999996</v>
      </c>
      <c r="R55" s="7">
        <v>15.1</v>
      </c>
      <c r="S55" s="7">
        <v>132</v>
      </c>
      <c r="T55" s="16">
        <f t="shared" si="1"/>
        <v>25</v>
      </c>
      <c r="U55" s="7">
        <v>97</v>
      </c>
      <c r="V55" s="16">
        <f t="shared" si="2"/>
        <v>2425</v>
      </c>
      <c r="W55" s="7">
        <v>5</v>
      </c>
      <c r="X55" s="15" t="s">
        <v>46</v>
      </c>
      <c r="Y55" s="54" t="s">
        <v>102</v>
      </c>
      <c r="Z55" s="54" t="s">
        <v>78</v>
      </c>
      <c r="AA55" s="54" t="s">
        <v>90</v>
      </c>
      <c r="AB55" s="39" t="s">
        <v>158</v>
      </c>
      <c r="AC55" s="36"/>
    </row>
    <row r="56" spans="1:29" x14ac:dyDescent="0.15">
      <c r="A56" s="15" t="s">
        <v>156</v>
      </c>
      <c r="B56" s="15" t="s">
        <v>157</v>
      </c>
      <c r="C56" s="15">
        <v>2019</v>
      </c>
      <c r="D56" s="37" t="s">
        <v>165</v>
      </c>
      <c r="E56" s="7" t="s">
        <v>140</v>
      </c>
      <c r="F56" s="7" t="s">
        <v>148</v>
      </c>
      <c r="G56" s="7" t="s">
        <v>36</v>
      </c>
      <c r="H56" s="15" t="s">
        <v>164</v>
      </c>
      <c r="I56" s="7" t="s">
        <v>159</v>
      </c>
      <c r="J56" s="15" t="s">
        <v>38</v>
      </c>
      <c r="K56" s="7" t="s">
        <v>161</v>
      </c>
      <c r="L56" s="7">
        <v>1</v>
      </c>
      <c r="N56" s="7">
        <v>1</v>
      </c>
      <c r="O56" s="7">
        <v>0.8</v>
      </c>
      <c r="P56" s="7">
        <v>0.95</v>
      </c>
      <c r="Q56" s="52">
        <f t="shared" si="0"/>
        <v>0.875</v>
      </c>
      <c r="R56" s="7">
        <v>13</v>
      </c>
      <c r="S56" s="7">
        <v>89</v>
      </c>
      <c r="T56" s="16">
        <f t="shared" si="1"/>
        <v>36</v>
      </c>
      <c r="U56" s="7">
        <v>84</v>
      </c>
      <c r="V56" s="16">
        <f t="shared" si="2"/>
        <v>3024</v>
      </c>
      <c r="W56" s="7">
        <v>2</v>
      </c>
      <c r="X56" s="15" t="s">
        <v>46</v>
      </c>
      <c r="Y56" s="54" t="s">
        <v>102</v>
      </c>
      <c r="Z56" s="54" t="s">
        <v>88</v>
      </c>
      <c r="AA56" s="54" t="s">
        <v>78</v>
      </c>
      <c r="AB56" s="39" t="s">
        <v>158</v>
      </c>
    </row>
    <row r="57" spans="1:29" x14ac:dyDescent="0.15">
      <c r="A57" s="15" t="s">
        <v>156</v>
      </c>
      <c r="B57" s="15" t="s">
        <v>157</v>
      </c>
      <c r="C57" s="15">
        <v>2019</v>
      </c>
      <c r="D57" s="37" t="s">
        <v>165</v>
      </c>
      <c r="E57" s="7" t="s">
        <v>140</v>
      </c>
      <c r="F57" s="7" t="s">
        <v>148</v>
      </c>
      <c r="G57" s="7" t="s">
        <v>36</v>
      </c>
      <c r="H57" s="54" t="s">
        <v>164</v>
      </c>
      <c r="I57" s="7" t="s">
        <v>159</v>
      </c>
      <c r="J57" s="15" t="s">
        <v>38</v>
      </c>
      <c r="K57" s="7" t="s">
        <v>161</v>
      </c>
      <c r="L57" s="7">
        <v>2</v>
      </c>
      <c r="N57" s="7">
        <v>1</v>
      </c>
      <c r="O57" s="7">
        <v>0.65</v>
      </c>
      <c r="P57" s="7">
        <v>0.75</v>
      </c>
      <c r="Q57" s="52">
        <f t="shared" si="0"/>
        <v>0.7</v>
      </c>
      <c r="R57" s="7">
        <v>12</v>
      </c>
      <c r="S57" s="7">
        <v>87</v>
      </c>
      <c r="T57" s="16">
        <f t="shared" si="1"/>
        <v>36</v>
      </c>
      <c r="U57" s="7">
        <v>84</v>
      </c>
      <c r="V57" s="16">
        <f t="shared" si="2"/>
        <v>3024</v>
      </c>
      <c r="W57" s="7">
        <v>2</v>
      </c>
      <c r="X57" s="15" t="s">
        <v>46</v>
      </c>
      <c r="Y57" s="54" t="s">
        <v>102</v>
      </c>
      <c r="Z57" s="54" t="s">
        <v>88</v>
      </c>
      <c r="AA57" s="54" t="s">
        <v>78</v>
      </c>
      <c r="AB57" s="39" t="s">
        <v>158</v>
      </c>
    </row>
    <row r="58" spans="1:29" x14ac:dyDescent="0.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0.85</v>
      </c>
      <c r="P58" s="7">
        <v>0.85</v>
      </c>
      <c r="Q58" s="52">
        <f t="shared" si="0"/>
        <v>0.85</v>
      </c>
      <c r="R58" s="7">
        <v>12.8</v>
      </c>
      <c r="S58" s="7">
        <v>84</v>
      </c>
      <c r="T58" s="16">
        <f t="shared" si="1"/>
        <v>36</v>
      </c>
      <c r="U58" s="7">
        <v>84</v>
      </c>
      <c r="V58" s="16">
        <f t="shared" si="2"/>
        <v>3024</v>
      </c>
      <c r="W58" s="7">
        <v>2</v>
      </c>
      <c r="X58" s="15" t="s">
        <v>46</v>
      </c>
      <c r="Y58" s="54" t="s">
        <v>102</v>
      </c>
      <c r="Z58" s="54" t="s">
        <v>88</v>
      </c>
      <c r="AA58" s="54" t="s">
        <v>78</v>
      </c>
      <c r="AB58" s="39" t="s">
        <v>158</v>
      </c>
    </row>
    <row r="59" spans="1:29" x14ac:dyDescent="0.15">
      <c r="A59" s="15" t="s">
        <v>156</v>
      </c>
      <c r="B59" s="15" t="s">
        <v>157</v>
      </c>
      <c r="C59" s="15">
        <v>2019</v>
      </c>
      <c r="D59" s="37" t="s">
        <v>165</v>
      </c>
      <c r="E59" s="7" t="s">
        <v>140</v>
      </c>
      <c r="F59" s="7" t="s">
        <v>148</v>
      </c>
      <c r="G59" s="7" t="s">
        <v>36</v>
      </c>
      <c r="H59" s="15" t="s">
        <v>160</v>
      </c>
      <c r="I59" s="7" t="s">
        <v>159</v>
      </c>
      <c r="J59" s="15" t="s">
        <v>38</v>
      </c>
      <c r="K59" s="7" t="s">
        <v>161</v>
      </c>
      <c r="L59" s="7">
        <v>1</v>
      </c>
      <c r="N59" s="7">
        <v>1</v>
      </c>
      <c r="O59" s="7">
        <v>0.7</v>
      </c>
      <c r="P59" s="7">
        <v>0.7</v>
      </c>
      <c r="Q59" s="52">
        <f t="shared" si="0"/>
        <v>0.7</v>
      </c>
      <c r="R59" s="7">
        <v>14.9</v>
      </c>
      <c r="S59" s="7">
        <v>99</v>
      </c>
      <c r="T59" s="16">
        <f t="shared" si="1"/>
        <v>33</v>
      </c>
      <c r="U59" s="7">
        <v>138</v>
      </c>
      <c r="V59" s="16">
        <f t="shared" si="2"/>
        <v>4554</v>
      </c>
      <c r="W59" s="7">
        <v>2</v>
      </c>
      <c r="X59" s="15" t="s">
        <v>46</v>
      </c>
      <c r="Y59" s="54" t="s">
        <v>102</v>
      </c>
      <c r="Z59" s="54" t="s">
        <v>88</v>
      </c>
      <c r="AA59" s="54" t="s">
        <v>78</v>
      </c>
      <c r="AB59" s="39" t="s">
        <v>158</v>
      </c>
    </row>
    <row r="60" spans="1:29" x14ac:dyDescent="0.15">
      <c r="A60" s="15" t="s">
        <v>156</v>
      </c>
      <c r="B60" s="15" t="s">
        <v>157</v>
      </c>
      <c r="C60" s="15">
        <v>2019</v>
      </c>
      <c r="D60" s="37" t="s">
        <v>165</v>
      </c>
      <c r="E60" s="7" t="s">
        <v>140</v>
      </c>
      <c r="F60" s="7" t="s">
        <v>148</v>
      </c>
      <c r="G60" s="7" t="s">
        <v>36</v>
      </c>
      <c r="H60" s="15" t="s">
        <v>160</v>
      </c>
      <c r="I60" s="7" t="s">
        <v>159</v>
      </c>
      <c r="J60" s="15" t="s">
        <v>38</v>
      </c>
      <c r="K60" s="7" t="s">
        <v>161</v>
      </c>
      <c r="L60" s="7">
        <v>2</v>
      </c>
      <c r="N60" s="7">
        <v>1</v>
      </c>
      <c r="O60" s="7">
        <v>0.7</v>
      </c>
      <c r="P60" s="7">
        <v>0.7</v>
      </c>
      <c r="Q60" s="52">
        <f t="shared" si="0"/>
        <v>0.7</v>
      </c>
      <c r="R60" s="7">
        <v>15.1</v>
      </c>
      <c r="S60" s="7">
        <v>105</v>
      </c>
      <c r="T60" s="16">
        <f>IF(H60="","",IF(OR(H60="GREEN",H60="GK"),IF(S60&gt;=$AX$2,VLOOKUP(S60,$AX$2:$AY$12,2,1),""),IF(S60&gt;=$AZ$2,VLOOKUP(S60,$AZ$2:$BA$12,2,1),"")))</f>
        <v>33</v>
      </c>
      <c r="U60" s="7">
        <v>138</v>
      </c>
      <c r="V60" s="16">
        <f t="shared" si="2"/>
        <v>4554</v>
      </c>
      <c r="W60" s="7">
        <v>2</v>
      </c>
      <c r="X60" s="15" t="s">
        <v>46</v>
      </c>
      <c r="Y60" s="54" t="s">
        <v>102</v>
      </c>
      <c r="Z60" s="54" t="s">
        <v>88</v>
      </c>
      <c r="AA60" s="54" t="s">
        <v>78</v>
      </c>
      <c r="AB60" s="39" t="s">
        <v>158</v>
      </c>
    </row>
    <row r="61" spans="1:29" x14ac:dyDescent="0.15">
      <c r="A61" s="15" t="s">
        <v>156</v>
      </c>
      <c r="B61" s="15" t="s">
        <v>157</v>
      </c>
      <c r="C61" s="15">
        <v>2019</v>
      </c>
      <c r="D61" s="37" t="s">
        <v>165</v>
      </c>
      <c r="E61" s="7" t="s">
        <v>140</v>
      </c>
      <c r="F61" s="7" t="s">
        <v>148</v>
      </c>
      <c r="G61" s="7" t="s">
        <v>36</v>
      </c>
      <c r="H61" s="15" t="s">
        <v>160</v>
      </c>
      <c r="I61" s="7" t="s">
        <v>159</v>
      </c>
      <c r="J61" s="15" t="s">
        <v>38</v>
      </c>
      <c r="K61" s="7" t="s">
        <v>161</v>
      </c>
      <c r="L61" s="7">
        <v>3</v>
      </c>
      <c r="N61" s="53">
        <v>1</v>
      </c>
      <c r="O61" s="7">
        <v>0.55000000000000004</v>
      </c>
      <c r="P61" s="7">
        <v>0.7</v>
      </c>
      <c r="Q61" s="52">
        <f t="shared" si="0"/>
        <v>0.625</v>
      </c>
      <c r="R61" s="7">
        <v>15.1</v>
      </c>
      <c r="S61" s="7">
        <v>97</v>
      </c>
      <c r="T61" s="16">
        <f>IF(H61="","",IF(OR(H61="GREEN",H61="GK"),IF(S61&gt;=$AX$2,VLOOKUP(S61,$AX$2:$AY$12,2,1),""),IF(S61&gt;=$AZ$2,VLOOKUP(S61,$AZ$2:$BA$12,2,1),"")))</f>
        <v>36</v>
      </c>
      <c r="U61" s="7">
        <v>138</v>
      </c>
      <c r="V61" s="16">
        <f t="shared" si="2"/>
        <v>4968</v>
      </c>
      <c r="W61" s="7">
        <v>2</v>
      </c>
      <c r="X61" s="15" t="s">
        <v>46</v>
      </c>
      <c r="Y61" s="54" t="s">
        <v>102</v>
      </c>
      <c r="Z61" s="54" t="s">
        <v>88</v>
      </c>
      <c r="AA61" s="54" t="s">
        <v>78</v>
      </c>
      <c r="AB61" s="39" t="s">
        <v>158</v>
      </c>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9C9C-6474-46D5-B24E-2F58F2F1D480}">
  <dimension ref="A1:BA363"/>
  <sheetViews>
    <sheetView topLeftCell="A16" zoomScale="70" zoomScaleNormal="70" workbookViewId="0">
      <selection activeCell="AD32" sqref="AD32"/>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164</v>
      </c>
      <c r="I2" s="53" t="s">
        <v>159</v>
      </c>
      <c r="J2" s="53" t="s">
        <v>38</v>
      </c>
      <c r="K2" s="53" t="s">
        <v>161</v>
      </c>
      <c r="L2" s="53">
        <v>1</v>
      </c>
      <c r="N2" s="53">
        <v>1</v>
      </c>
      <c r="O2" s="53">
        <v>0.65</v>
      </c>
      <c r="P2" s="53">
        <v>0.75</v>
      </c>
      <c r="Q2" s="16">
        <f t="shared" ref="Q2:Q65" si="0">IF(OR(O2="",P2=""),"",AVERAGE(O2,P2))</f>
        <v>0.7</v>
      </c>
      <c r="R2" s="53">
        <v>13.3</v>
      </c>
      <c r="S2" s="53">
        <v>124</v>
      </c>
      <c r="T2" s="16">
        <f t="shared" ref="T2:T65" si="1">IF(H2="","",IF(OR(H2="GREEN",H2="GK"),IF(S2&gt;=$AX$2,VLOOKUP(S2,$AX$2:$AY$10,2,1),""),IF(S2&gt;=$AZ$2,VLOOKUP(S2,$AZ$2:$BA$10,2,1),"")))</f>
        <v>27</v>
      </c>
      <c r="U2" s="53">
        <v>105</v>
      </c>
      <c r="V2" s="16">
        <f t="shared" ref="V2:V65" si="2">IF(OR(N2="",U2="",T2=""),"",U2/N2*T2)</f>
        <v>2835</v>
      </c>
      <c r="W2" s="53">
        <v>3</v>
      </c>
      <c r="X2" s="53" t="s">
        <v>46</v>
      </c>
      <c r="Y2" s="53" t="s">
        <v>88</v>
      </c>
      <c r="Z2" s="53" t="s">
        <v>69</v>
      </c>
      <c r="AA2" s="53" t="s">
        <v>102</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164</v>
      </c>
      <c r="I3" s="53" t="s">
        <v>159</v>
      </c>
      <c r="J3" s="53" t="s">
        <v>38</v>
      </c>
      <c r="K3" s="53" t="s">
        <v>161</v>
      </c>
      <c r="L3" s="53">
        <v>2</v>
      </c>
      <c r="N3" s="53">
        <v>1</v>
      </c>
      <c r="O3" s="53">
        <v>0.45</v>
      </c>
      <c r="P3" s="53">
        <v>0.35</v>
      </c>
      <c r="Q3" s="16">
        <f t="shared" si="0"/>
        <v>0.4</v>
      </c>
      <c r="R3" s="53">
        <v>12.9</v>
      </c>
      <c r="S3" s="53">
        <v>125</v>
      </c>
      <c r="T3" s="16">
        <f t="shared" si="1"/>
        <v>27</v>
      </c>
      <c r="U3" s="53">
        <v>105</v>
      </c>
      <c r="V3" s="16">
        <f t="shared" si="2"/>
        <v>2835</v>
      </c>
      <c r="W3" s="53">
        <v>3</v>
      </c>
      <c r="X3" s="53" t="s">
        <v>46</v>
      </c>
      <c r="Y3" s="53" t="s">
        <v>88</v>
      </c>
      <c r="Z3" s="53" t="s">
        <v>69</v>
      </c>
      <c r="AA3" s="53" t="s">
        <v>102</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188</v>
      </c>
      <c r="E4" s="53" t="s">
        <v>133</v>
      </c>
      <c r="F4" s="53" t="s">
        <v>184</v>
      </c>
      <c r="G4" s="53" t="s">
        <v>42</v>
      </c>
      <c r="H4" s="53" t="s">
        <v>164</v>
      </c>
      <c r="I4" s="53" t="s">
        <v>159</v>
      </c>
      <c r="J4" s="53" t="s">
        <v>38</v>
      </c>
      <c r="K4" s="53" t="s">
        <v>161</v>
      </c>
      <c r="L4" s="53">
        <v>3</v>
      </c>
      <c r="N4" s="53">
        <v>1</v>
      </c>
      <c r="O4" s="53">
        <v>0.5</v>
      </c>
      <c r="P4" s="53">
        <v>0.4</v>
      </c>
      <c r="Q4" s="16">
        <f t="shared" si="0"/>
        <v>0.45</v>
      </c>
      <c r="R4" s="53">
        <v>12</v>
      </c>
      <c r="S4" s="53">
        <v>123</v>
      </c>
      <c r="T4" s="16">
        <f t="shared" si="1"/>
        <v>27</v>
      </c>
      <c r="U4" s="53">
        <v>105</v>
      </c>
      <c r="V4" s="16">
        <f t="shared" si="2"/>
        <v>2835</v>
      </c>
      <c r="W4" s="53">
        <v>3</v>
      </c>
      <c r="X4" s="53" t="s">
        <v>46</v>
      </c>
      <c r="Y4" s="53" t="s">
        <v>88</v>
      </c>
      <c r="Z4" s="53" t="s">
        <v>69</v>
      </c>
      <c r="AA4" s="53" t="s">
        <v>102</v>
      </c>
      <c r="AB4" s="53" t="s">
        <v>158</v>
      </c>
      <c r="AE4" s="22" t="s">
        <v>34</v>
      </c>
      <c r="AG4" s="71" t="s">
        <v>186</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188</v>
      </c>
      <c r="E5" s="53" t="s">
        <v>133</v>
      </c>
      <c r="F5" s="53" t="s">
        <v>184</v>
      </c>
      <c r="G5" s="53" t="s">
        <v>42</v>
      </c>
      <c r="H5" s="53" t="s">
        <v>164</v>
      </c>
      <c r="I5" s="53" t="s">
        <v>159</v>
      </c>
      <c r="J5" s="53" t="s">
        <v>38</v>
      </c>
      <c r="K5" s="53" t="s">
        <v>161</v>
      </c>
      <c r="L5" s="53">
        <v>1</v>
      </c>
      <c r="N5" s="53">
        <v>8</v>
      </c>
      <c r="O5" s="53">
        <v>0.65</v>
      </c>
      <c r="P5" s="53">
        <v>0.5</v>
      </c>
      <c r="Q5" s="72">
        <f t="shared" si="0"/>
        <v>0.57499999999999996</v>
      </c>
      <c r="R5" s="53">
        <v>15.4</v>
      </c>
      <c r="S5" s="53">
        <v>110</v>
      </c>
      <c r="T5" s="16">
        <f t="shared" si="1"/>
        <v>33</v>
      </c>
      <c r="U5" s="53">
        <v>645</v>
      </c>
      <c r="V5" s="16">
        <f t="shared" si="2"/>
        <v>2660.625</v>
      </c>
      <c r="W5" s="53">
        <v>2</v>
      </c>
      <c r="X5" s="53" t="s">
        <v>46</v>
      </c>
      <c r="Y5" s="53" t="s">
        <v>88</v>
      </c>
      <c r="Z5" s="53" t="s">
        <v>69</v>
      </c>
      <c r="AA5" s="53" t="s">
        <v>102</v>
      </c>
      <c r="AB5" s="53" t="s">
        <v>158</v>
      </c>
      <c r="AE5" s="22" t="s">
        <v>51</v>
      </c>
      <c r="AG5" s="71" t="s">
        <v>194</v>
      </c>
      <c r="AH5" s="71" t="s">
        <v>184</v>
      </c>
      <c r="AJ5" s="28"/>
      <c r="AL5" s="73" t="s">
        <v>164</v>
      </c>
      <c r="AN5" s="73" t="s">
        <v>159</v>
      </c>
      <c r="AP5" s="23" t="s">
        <v>195</v>
      </c>
      <c r="AR5" s="23" t="s">
        <v>54</v>
      </c>
      <c r="AV5" s="23" t="s">
        <v>55</v>
      </c>
      <c r="AX5" s="24">
        <v>84</v>
      </c>
      <c r="AY5" s="25">
        <v>39</v>
      </c>
      <c r="AZ5" s="25">
        <v>84</v>
      </c>
      <c r="BA5" s="26">
        <v>36</v>
      </c>
    </row>
    <row r="6" spans="1:53" x14ac:dyDescent="0.15">
      <c r="A6" s="53" t="s">
        <v>41</v>
      </c>
      <c r="B6" s="53" t="s">
        <v>157</v>
      </c>
      <c r="C6" s="62">
        <v>2019</v>
      </c>
      <c r="D6" s="63" t="s">
        <v>188</v>
      </c>
      <c r="E6" s="53" t="s">
        <v>133</v>
      </c>
      <c r="F6" s="53" t="s">
        <v>184</v>
      </c>
      <c r="G6" s="53" t="s">
        <v>42</v>
      </c>
      <c r="H6" s="53" t="s">
        <v>164</v>
      </c>
      <c r="I6" s="53" t="s">
        <v>159</v>
      </c>
      <c r="J6" s="53" t="s">
        <v>38</v>
      </c>
      <c r="K6" s="53" t="s">
        <v>161</v>
      </c>
      <c r="L6" s="53">
        <v>2</v>
      </c>
      <c r="N6" s="53">
        <v>8</v>
      </c>
      <c r="O6" s="53">
        <v>0.4</v>
      </c>
      <c r="P6" s="53">
        <v>0.45</v>
      </c>
      <c r="Q6" s="72">
        <f t="shared" si="0"/>
        <v>0.42500000000000004</v>
      </c>
      <c r="R6" s="53">
        <v>14.1</v>
      </c>
      <c r="S6" s="53">
        <v>110</v>
      </c>
      <c r="T6" s="16">
        <f t="shared" si="1"/>
        <v>33</v>
      </c>
      <c r="U6" s="53">
        <v>645</v>
      </c>
      <c r="V6" s="16">
        <f t="shared" si="2"/>
        <v>2660.625</v>
      </c>
      <c r="W6" s="53">
        <v>2</v>
      </c>
      <c r="X6" s="53" t="s">
        <v>46</v>
      </c>
      <c r="Y6" s="53" t="s">
        <v>88</v>
      </c>
      <c r="Z6" s="53" t="s">
        <v>69</v>
      </c>
      <c r="AA6" s="53" t="s">
        <v>102</v>
      </c>
      <c r="AB6" s="53" t="s">
        <v>158</v>
      </c>
      <c r="AE6" s="22" t="s">
        <v>56</v>
      </c>
      <c r="AG6" s="71" t="s">
        <v>194</v>
      </c>
      <c r="AH6" s="71" t="s">
        <v>196</v>
      </c>
      <c r="AL6" s="73" t="s">
        <v>197</v>
      </c>
      <c r="AN6" s="73" t="s">
        <v>198</v>
      </c>
      <c r="AP6" s="23" t="s">
        <v>53</v>
      </c>
      <c r="AR6" s="23" t="s">
        <v>59</v>
      </c>
      <c r="AV6" s="23" t="s">
        <v>60</v>
      </c>
      <c r="AX6" s="24">
        <v>97</v>
      </c>
      <c r="AY6" s="25">
        <v>36</v>
      </c>
      <c r="AZ6" s="25">
        <v>99</v>
      </c>
      <c r="BA6" s="26">
        <v>33</v>
      </c>
    </row>
    <row r="7" spans="1:53" x14ac:dyDescent="0.15">
      <c r="A7" s="53" t="s">
        <v>41</v>
      </c>
      <c r="B7" s="53" t="s">
        <v>157</v>
      </c>
      <c r="C7" s="62">
        <v>2019</v>
      </c>
      <c r="D7" s="63" t="s">
        <v>188</v>
      </c>
      <c r="E7" s="53" t="s">
        <v>133</v>
      </c>
      <c r="F7" s="53" t="s">
        <v>184</v>
      </c>
      <c r="G7" s="53" t="s">
        <v>42</v>
      </c>
      <c r="H7" s="53" t="s">
        <v>164</v>
      </c>
      <c r="I7" s="53" t="s">
        <v>159</v>
      </c>
      <c r="J7" s="53" t="s">
        <v>38</v>
      </c>
      <c r="K7" s="53" t="s">
        <v>161</v>
      </c>
      <c r="L7" s="53">
        <v>3</v>
      </c>
      <c r="N7" s="53">
        <v>8</v>
      </c>
      <c r="O7" s="53">
        <v>0.35</v>
      </c>
      <c r="P7" s="53">
        <v>0.3</v>
      </c>
      <c r="Q7" s="72">
        <f t="shared" si="0"/>
        <v>0.32499999999999996</v>
      </c>
      <c r="R7" s="53">
        <v>13.8</v>
      </c>
      <c r="S7" s="53">
        <v>108</v>
      </c>
      <c r="T7" s="16">
        <f t="shared" si="1"/>
        <v>33</v>
      </c>
      <c r="U7" s="53">
        <v>645</v>
      </c>
      <c r="V7" s="16">
        <f t="shared" si="2"/>
        <v>2660.625</v>
      </c>
      <c r="W7" s="53">
        <v>2</v>
      </c>
      <c r="X7" s="53" t="s">
        <v>46</v>
      </c>
      <c r="Y7" s="53" t="s">
        <v>88</v>
      </c>
      <c r="Z7" s="53" t="s">
        <v>69</v>
      </c>
      <c r="AA7" s="53" t="s">
        <v>102</v>
      </c>
      <c r="AB7" s="53" t="s">
        <v>158</v>
      </c>
      <c r="AE7" s="22" t="s">
        <v>61</v>
      </c>
      <c r="AG7" s="71" t="s">
        <v>199</v>
      </c>
      <c r="AH7" s="71" t="s">
        <v>196</v>
      </c>
      <c r="AL7" s="74" t="s">
        <v>200</v>
      </c>
      <c r="AP7" s="23" t="s">
        <v>58</v>
      </c>
      <c r="AR7" s="23" t="s">
        <v>201</v>
      </c>
      <c r="AV7" s="23" t="s">
        <v>64</v>
      </c>
      <c r="AX7" s="24">
        <v>109</v>
      </c>
      <c r="AY7" s="25">
        <v>33</v>
      </c>
      <c r="AZ7" s="25">
        <v>113</v>
      </c>
      <c r="BA7" s="26">
        <v>30</v>
      </c>
    </row>
    <row r="8" spans="1:53" x14ac:dyDescent="0.15">
      <c r="A8" s="53" t="s">
        <v>41</v>
      </c>
      <c r="B8" s="53" t="s">
        <v>157</v>
      </c>
      <c r="C8" s="62">
        <v>2019</v>
      </c>
      <c r="D8" s="63" t="s">
        <v>188</v>
      </c>
      <c r="E8" s="53" t="s">
        <v>133</v>
      </c>
      <c r="F8" s="53" t="s">
        <v>184</v>
      </c>
      <c r="G8" s="53" t="s">
        <v>42</v>
      </c>
      <c r="H8" s="53" t="s">
        <v>160</v>
      </c>
      <c r="I8" s="53" t="s">
        <v>159</v>
      </c>
      <c r="J8" s="53" t="s">
        <v>38</v>
      </c>
      <c r="K8" s="53" t="s">
        <v>161</v>
      </c>
      <c r="L8" s="53">
        <v>1</v>
      </c>
      <c r="N8" s="53">
        <v>1</v>
      </c>
      <c r="O8" s="53">
        <v>0.25</v>
      </c>
      <c r="P8" s="53">
        <v>0.25</v>
      </c>
      <c r="Q8" s="75">
        <f t="shared" si="0"/>
        <v>0.25</v>
      </c>
      <c r="R8" s="53">
        <v>15.7</v>
      </c>
      <c r="S8" s="53">
        <v>127</v>
      </c>
      <c r="T8" s="16">
        <f t="shared" si="1"/>
        <v>27</v>
      </c>
      <c r="U8" s="53">
        <v>149</v>
      </c>
      <c r="V8" s="16">
        <f t="shared" si="2"/>
        <v>4023</v>
      </c>
      <c r="W8" s="53">
        <v>3</v>
      </c>
      <c r="X8" s="53" t="s">
        <v>46</v>
      </c>
      <c r="Y8" s="53" t="s">
        <v>88</v>
      </c>
      <c r="Z8" s="53" t="s">
        <v>69</v>
      </c>
      <c r="AA8" s="53" t="s">
        <v>102</v>
      </c>
      <c r="AB8" s="53" t="s">
        <v>158</v>
      </c>
      <c r="AE8" s="22" t="s">
        <v>59</v>
      </c>
      <c r="AG8" s="71" t="s">
        <v>202</v>
      </c>
      <c r="AH8" s="71" t="s">
        <v>203</v>
      </c>
      <c r="AL8" s="74" t="s">
        <v>160</v>
      </c>
      <c r="AP8" s="23" t="s">
        <v>62</v>
      </c>
      <c r="AR8" s="23" t="s">
        <v>81</v>
      </c>
      <c r="AV8" s="23" t="s">
        <v>97</v>
      </c>
      <c r="AX8" s="24">
        <v>119</v>
      </c>
      <c r="AY8" s="25">
        <v>30</v>
      </c>
      <c r="AZ8" s="25">
        <v>121</v>
      </c>
      <c r="BA8" s="26">
        <v>27</v>
      </c>
    </row>
    <row r="9" spans="1:53" x14ac:dyDescent="0.15">
      <c r="A9" s="53" t="s">
        <v>41</v>
      </c>
      <c r="B9" s="53" t="s">
        <v>157</v>
      </c>
      <c r="C9" s="62">
        <v>2019</v>
      </c>
      <c r="D9" s="63" t="s">
        <v>188</v>
      </c>
      <c r="E9" s="53" t="s">
        <v>133</v>
      </c>
      <c r="F9" s="53" t="s">
        <v>184</v>
      </c>
      <c r="G9" s="53" t="s">
        <v>42</v>
      </c>
      <c r="H9" s="53" t="s">
        <v>160</v>
      </c>
      <c r="I9" s="53" t="s">
        <v>159</v>
      </c>
      <c r="J9" s="53" t="s">
        <v>38</v>
      </c>
      <c r="K9" s="53" t="s">
        <v>161</v>
      </c>
      <c r="L9" s="53">
        <v>2</v>
      </c>
      <c r="M9" s="76"/>
      <c r="N9" s="53">
        <v>1</v>
      </c>
      <c r="O9" s="53">
        <v>0.3</v>
      </c>
      <c r="P9" s="53">
        <v>0.25</v>
      </c>
      <c r="Q9" s="75">
        <f t="shared" si="0"/>
        <v>0.27500000000000002</v>
      </c>
      <c r="R9" s="53">
        <v>16.399999999999999</v>
      </c>
      <c r="S9" s="53">
        <v>125</v>
      </c>
      <c r="T9" s="16">
        <f t="shared" si="1"/>
        <v>27</v>
      </c>
      <c r="U9" s="53">
        <v>149</v>
      </c>
      <c r="V9" s="16">
        <f t="shared" si="2"/>
        <v>4023</v>
      </c>
      <c r="W9" s="53">
        <v>3</v>
      </c>
      <c r="X9" s="53" t="s">
        <v>46</v>
      </c>
      <c r="Y9" s="53" t="s">
        <v>88</v>
      </c>
      <c r="Z9" s="53" t="s">
        <v>69</v>
      </c>
      <c r="AA9" s="53" t="s">
        <v>102</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188</v>
      </c>
      <c r="E10" s="53" t="s">
        <v>133</v>
      </c>
      <c r="F10" s="53" t="s">
        <v>184</v>
      </c>
      <c r="G10" s="53" t="s">
        <v>42</v>
      </c>
      <c r="H10" s="53" t="s">
        <v>160</v>
      </c>
      <c r="I10" s="53" t="s">
        <v>159</v>
      </c>
      <c r="J10" s="53" t="s">
        <v>38</v>
      </c>
      <c r="K10" s="53" t="s">
        <v>161</v>
      </c>
      <c r="L10" s="53">
        <v>3</v>
      </c>
      <c r="M10" s="76"/>
      <c r="N10" s="53">
        <v>1</v>
      </c>
      <c r="O10" s="53">
        <v>0.35</v>
      </c>
      <c r="P10" s="53">
        <v>0.3</v>
      </c>
      <c r="Q10" s="75">
        <f t="shared" si="0"/>
        <v>0.32499999999999996</v>
      </c>
      <c r="R10" s="53">
        <v>14.8</v>
      </c>
      <c r="S10" s="53">
        <v>126</v>
      </c>
      <c r="T10" s="16">
        <f t="shared" si="1"/>
        <v>27</v>
      </c>
      <c r="U10" s="53">
        <v>149</v>
      </c>
      <c r="V10" s="16">
        <f t="shared" si="2"/>
        <v>4023</v>
      </c>
      <c r="W10" s="53">
        <v>3</v>
      </c>
      <c r="X10" s="53" t="s">
        <v>46</v>
      </c>
      <c r="Y10" s="53" t="s">
        <v>88</v>
      </c>
      <c r="Z10" s="53" t="s">
        <v>69</v>
      </c>
      <c r="AA10" s="53" t="s">
        <v>102</v>
      </c>
      <c r="AB10" s="53" t="s">
        <v>158</v>
      </c>
      <c r="AE10" s="22" t="s">
        <v>208</v>
      </c>
      <c r="AG10" s="71" t="s">
        <v>202</v>
      </c>
      <c r="AH10" s="71" t="s">
        <v>209</v>
      </c>
      <c r="AL10" s="74"/>
      <c r="AP10" s="23" t="s">
        <v>100</v>
      </c>
      <c r="AR10" s="23" t="s">
        <v>210</v>
      </c>
      <c r="AV10" s="23" t="s">
        <v>106</v>
      </c>
      <c r="AX10" s="24">
        <v>138</v>
      </c>
      <c r="AY10" s="25">
        <v>25</v>
      </c>
      <c r="AZ10" s="25">
        <v>138</v>
      </c>
      <c r="BA10" s="26">
        <v>22</v>
      </c>
    </row>
    <row r="11" spans="1:53" x14ac:dyDescent="0.15">
      <c r="A11" s="53" t="s">
        <v>41</v>
      </c>
      <c r="B11" s="53" t="s">
        <v>157</v>
      </c>
      <c r="C11" s="62">
        <v>2019</v>
      </c>
      <c r="D11" s="63" t="s">
        <v>188</v>
      </c>
      <c r="E11" s="53" t="s">
        <v>133</v>
      </c>
      <c r="F11" s="53" t="s">
        <v>184</v>
      </c>
      <c r="G11" s="53" t="s">
        <v>42</v>
      </c>
      <c r="H11" s="53" t="s">
        <v>160</v>
      </c>
      <c r="I11" s="53" t="s">
        <v>159</v>
      </c>
      <c r="J11" s="53" t="s">
        <v>38</v>
      </c>
      <c r="K11" s="53" t="s">
        <v>161</v>
      </c>
      <c r="L11" s="53">
        <v>1</v>
      </c>
      <c r="N11" s="53">
        <v>8</v>
      </c>
      <c r="O11" s="53">
        <v>0.35</v>
      </c>
      <c r="P11" s="53">
        <v>0.3</v>
      </c>
      <c r="Q11" s="72">
        <f t="shared" si="0"/>
        <v>0.32499999999999996</v>
      </c>
      <c r="R11" s="53">
        <v>14.1</v>
      </c>
      <c r="S11" s="53">
        <v>108</v>
      </c>
      <c r="T11" s="16">
        <f t="shared" si="1"/>
        <v>33</v>
      </c>
      <c r="U11" s="53">
        <v>862</v>
      </c>
      <c r="V11" s="16">
        <f t="shared" si="2"/>
        <v>3555.75</v>
      </c>
      <c r="W11" s="53">
        <v>2</v>
      </c>
      <c r="X11" s="53" t="s">
        <v>46</v>
      </c>
      <c r="Y11" s="53" t="s">
        <v>88</v>
      </c>
      <c r="Z11" s="53" t="s">
        <v>69</v>
      </c>
      <c r="AA11" s="53" t="s">
        <v>102</v>
      </c>
      <c r="AB11" s="53" t="s">
        <v>158</v>
      </c>
      <c r="AE11" s="22" t="s">
        <v>68</v>
      </c>
      <c r="AG11" s="71" t="s">
        <v>211</v>
      </c>
      <c r="AH11" s="71" t="s">
        <v>212</v>
      </c>
      <c r="AL11" s="74"/>
      <c r="AP11" s="23" t="s">
        <v>104</v>
      </c>
      <c r="AR11" s="23" t="s">
        <v>213</v>
      </c>
      <c r="AV11" s="23" t="s">
        <v>69</v>
      </c>
      <c r="AX11" s="24">
        <v>151</v>
      </c>
      <c r="AY11" s="25">
        <v>22</v>
      </c>
      <c r="AZ11" s="25">
        <v>152</v>
      </c>
      <c r="BA11" s="26">
        <v>18</v>
      </c>
    </row>
    <row r="12" spans="1:53" x14ac:dyDescent="0.15">
      <c r="A12" s="53" t="s">
        <v>41</v>
      </c>
      <c r="B12" s="53" t="s">
        <v>157</v>
      </c>
      <c r="C12" s="62">
        <v>2019</v>
      </c>
      <c r="D12" s="63" t="s">
        <v>188</v>
      </c>
      <c r="E12" s="53" t="s">
        <v>133</v>
      </c>
      <c r="F12" s="53" t="s">
        <v>184</v>
      </c>
      <c r="G12" s="53" t="s">
        <v>42</v>
      </c>
      <c r="H12" s="53" t="s">
        <v>160</v>
      </c>
      <c r="I12" s="53" t="s">
        <v>159</v>
      </c>
      <c r="J12" s="53" t="s">
        <v>38</v>
      </c>
      <c r="K12" s="53" t="s">
        <v>161</v>
      </c>
      <c r="L12" s="53">
        <v>2</v>
      </c>
      <c r="M12" s="76"/>
      <c r="N12" s="53">
        <v>8</v>
      </c>
      <c r="O12" s="53">
        <v>0.25</v>
      </c>
      <c r="P12" s="53">
        <v>0.3</v>
      </c>
      <c r="Q12" s="72">
        <f t="shared" si="0"/>
        <v>0.27500000000000002</v>
      </c>
      <c r="R12" s="53">
        <v>12.8</v>
      </c>
      <c r="S12" s="53">
        <v>107</v>
      </c>
      <c r="T12" s="16">
        <f t="shared" si="1"/>
        <v>33</v>
      </c>
      <c r="U12" s="53">
        <v>862</v>
      </c>
      <c r="V12" s="16">
        <f t="shared" si="2"/>
        <v>3555.75</v>
      </c>
      <c r="W12" s="53">
        <v>2</v>
      </c>
      <c r="X12" s="53" t="s">
        <v>46</v>
      </c>
      <c r="Y12" s="53" t="s">
        <v>88</v>
      </c>
      <c r="Z12" s="53" t="s">
        <v>69</v>
      </c>
      <c r="AA12" s="53" t="s">
        <v>102</v>
      </c>
      <c r="AB12" s="53" t="s">
        <v>158</v>
      </c>
      <c r="AE12" s="22" t="s">
        <v>214</v>
      </c>
      <c r="AG12" s="22"/>
      <c r="AH12" s="22"/>
      <c r="AL12" s="74"/>
      <c r="AP12" s="23" t="s">
        <v>67</v>
      </c>
      <c r="AR12" s="23" t="s">
        <v>215</v>
      </c>
      <c r="AV12" s="23" t="s">
        <v>72</v>
      </c>
      <c r="AX12" s="31">
        <v>180</v>
      </c>
      <c r="AY12" s="32">
        <v>18</v>
      </c>
      <c r="AZ12" s="32">
        <v>181</v>
      </c>
      <c r="BA12" s="33">
        <v>16</v>
      </c>
    </row>
    <row r="13" spans="1:53" x14ac:dyDescent="0.15">
      <c r="A13" s="53" t="s">
        <v>41</v>
      </c>
      <c r="B13" s="53" t="s">
        <v>157</v>
      </c>
      <c r="C13" s="62">
        <v>2019</v>
      </c>
      <c r="D13" s="63" t="s">
        <v>188</v>
      </c>
      <c r="E13" s="53" t="s">
        <v>133</v>
      </c>
      <c r="F13" s="53" t="s">
        <v>184</v>
      </c>
      <c r="G13" s="53" t="s">
        <v>42</v>
      </c>
      <c r="H13" s="53" t="s">
        <v>160</v>
      </c>
      <c r="I13" s="53" t="s">
        <v>159</v>
      </c>
      <c r="J13" s="53" t="s">
        <v>38</v>
      </c>
      <c r="K13" s="53" t="s">
        <v>161</v>
      </c>
      <c r="L13" s="53">
        <v>3</v>
      </c>
      <c r="M13" s="76"/>
      <c r="N13" s="53">
        <v>8</v>
      </c>
      <c r="O13" s="53">
        <v>0.25</v>
      </c>
      <c r="P13" s="53">
        <v>0.25</v>
      </c>
      <c r="Q13" s="72">
        <f t="shared" si="0"/>
        <v>0.25</v>
      </c>
      <c r="R13" s="53">
        <v>13.4</v>
      </c>
      <c r="S13" s="53">
        <v>105</v>
      </c>
      <c r="T13" s="16">
        <f t="shared" si="1"/>
        <v>33</v>
      </c>
      <c r="U13" s="53">
        <v>862</v>
      </c>
      <c r="V13" s="16">
        <f t="shared" si="2"/>
        <v>3555.75</v>
      </c>
      <c r="W13" s="53">
        <v>2</v>
      </c>
      <c r="X13" s="53" t="s">
        <v>46</v>
      </c>
      <c r="Y13" s="53" t="s">
        <v>88</v>
      </c>
      <c r="Z13" s="53" t="s">
        <v>69</v>
      </c>
      <c r="AA13" s="53" t="s">
        <v>102</v>
      </c>
      <c r="AB13" s="53" t="s">
        <v>158</v>
      </c>
      <c r="AE13" s="22" t="s">
        <v>216</v>
      </c>
      <c r="AG13" s="23"/>
      <c r="AH13" s="23"/>
      <c r="AP13" s="23" t="s">
        <v>71</v>
      </c>
      <c r="AR13" s="23" t="s">
        <v>208</v>
      </c>
      <c r="AV13" s="23" t="s">
        <v>75</v>
      </c>
    </row>
    <row r="14" spans="1:53" x14ac:dyDescent="0.15">
      <c r="A14" s="53" t="s">
        <v>41</v>
      </c>
      <c r="B14" s="53" t="s">
        <v>157</v>
      </c>
      <c r="C14" s="62">
        <v>2019</v>
      </c>
      <c r="D14" s="63" t="s">
        <v>188</v>
      </c>
      <c r="E14" s="53" t="s">
        <v>186</v>
      </c>
      <c r="F14" s="53" t="s">
        <v>184</v>
      </c>
      <c r="G14" s="53" t="s">
        <v>42</v>
      </c>
      <c r="H14" s="53" t="s">
        <v>160</v>
      </c>
      <c r="I14" s="53" t="s">
        <v>159</v>
      </c>
      <c r="J14" s="53" t="s">
        <v>38</v>
      </c>
      <c r="K14" s="53" t="s">
        <v>161</v>
      </c>
      <c r="L14" s="53">
        <v>1</v>
      </c>
      <c r="M14" s="76"/>
      <c r="N14" s="53">
        <v>1</v>
      </c>
      <c r="O14" s="53">
        <v>0.45</v>
      </c>
      <c r="P14" s="53">
        <v>0.5</v>
      </c>
      <c r="Q14" s="72">
        <f t="shared" si="0"/>
        <v>0.47499999999999998</v>
      </c>
      <c r="R14" s="53">
        <v>15.2</v>
      </c>
      <c r="S14" s="53">
        <v>125</v>
      </c>
      <c r="T14" s="16">
        <f t="shared" si="1"/>
        <v>27</v>
      </c>
      <c r="U14" s="53">
        <v>149</v>
      </c>
      <c r="V14" s="16">
        <f t="shared" si="2"/>
        <v>4023</v>
      </c>
      <c r="W14" s="53">
        <v>2</v>
      </c>
      <c r="X14" s="53" t="s">
        <v>46</v>
      </c>
      <c r="Y14" s="53" t="s">
        <v>78</v>
      </c>
      <c r="Z14" s="53" t="s">
        <v>88</v>
      </c>
      <c r="AA14" s="53" t="s">
        <v>69</v>
      </c>
      <c r="AB14" s="53" t="s">
        <v>158</v>
      </c>
      <c r="AE14" s="22" t="s">
        <v>96</v>
      </c>
      <c r="AG14" s="23"/>
      <c r="AH14" s="23"/>
      <c r="AP14" s="23" t="s">
        <v>74</v>
      </c>
      <c r="AR14" s="23" t="s">
        <v>217</v>
      </c>
      <c r="AV14" s="23" t="s">
        <v>78</v>
      </c>
    </row>
    <row r="15" spans="1:53" x14ac:dyDescent="0.15">
      <c r="A15" s="53" t="s">
        <v>41</v>
      </c>
      <c r="B15" s="53" t="s">
        <v>157</v>
      </c>
      <c r="C15" s="62">
        <v>2019</v>
      </c>
      <c r="D15" s="63" t="s">
        <v>188</v>
      </c>
      <c r="E15" s="53" t="s">
        <v>186</v>
      </c>
      <c r="F15" s="53" t="s">
        <v>184</v>
      </c>
      <c r="G15" s="53" t="s">
        <v>42</v>
      </c>
      <c r="H15" s="53" t="s">
        <v>160</v>
      </c>
      <c r="I15" s="53" t="s">
        <v>159</v>
      </c>
      <c r="J15" s="53" t="s">
        <v>38</v>
      </c>
      <c r="K15" s="53" t="s">
        <v>161</v>
      </c>
      <c r="L15" s="53">
        <v>2</v>
      </c>
      <c r="M15" s="76"/>
      <c r="N15" s="53">
        <v>1</v>
      </c>
      <c r="O15" s="53">
        <v>0.5</v>
      </c>
      <c r="P15" s="53">
        <v>0.45</v>
      </c>
      <c r="Q15" s="72">
        <f t="shared" si="0"/>
        <v>0.47499999999999998</v>
      </c>
      <c r="R15" s="53">
        <v>16.100000000000001</v>
      </c>
      <c r="S15" s="53">
        <v>124</v>
      </c>
      <c r="T15" s="16">
        <f t="shared" si="1"/>
        <v>27</v>
      </c>
      <c r="U15" s="53">
        <v>149</v>
      </c>
      <c r="V15" s="16">
        <f t="shared" si="2"/>
        <v>4023</v>
      </c>
      <c r="W15" s="53">
        <v>2</v>
      </c>
      <c r="X15" s="53" t="s">
        <v>46</v>
      </c>
      <c r="Y15" s="53" t="s">
        <v>78</v>
      </c>
      <c r="Z15" s="53" t="s">
        <v>88</v>
      </c>
      <c r="AA15" s="53" t="s">
        <v>69</v>
      </c>
      <c r="AB15" s="53" t="s">
        <v>158</v>
      </c>
      <c r="AE15" s="22" t="s">
        <v>218</v>
      </c>
      <c r="AG15" s="23"/>
      <c r="AH15" s="23"/>
      <c r="AP15" s="23" t="s">
        <v>77</v>
      </c>
      <c r="AR15" s="23" t="s">
        <v>80</v>
      </c>
      <c r="AV15" s="23" t="s">
        <v>107</v>
      </c>
    </row>
    <row r="16" spans="1:53" x14ac:dyDescent="0.15">
      <c r="A16" s="53" t="s">
        <v>41</v>
      </c>
      <c r="B16" s="53" t="s">
        <v>157</v>
      </c>
      <c r="C16" s="62">
        <v>2019</v>
      </c>
      <c r="D16" s="63" t="s">
        <v>188</v>
      </c>
      <c r="E16" s="53" t="s">
        <v>186</v>
      </c>
      <c r="F16" s="53" t="s">
        <v>184</v>
      </c>
      <c r="G16" s="53" t="s">
        <v>42</v>
      </c>
      <c r="H16" s="53" t="s">
        <v>160</v>
      </c>
      <c r="I16" s="53" t="s">
        <v>159</v>
      </c>
      <c r="J16" s="53" t="s">
        <v>38</v>
      </c>
      <c r="K16" s="53" t="s">
        <v>161</v>
      </c>
      <c r="L16" s="53">
        <v>3</v>
      </c>
      <c r="M16" s="76"/>
      <c r="N16" s="53">
        <v>1</v>
      </c>
      <c r="O16" s="53">
        <v>0.6</v>
      </c>
      <c r="P16" s="53">
        <v>0.5</v>
      </c>
      <c r="Q16" s="72">
        <f t="shared" si="0"/>
        <v>0.55000000000000004</v>
      </c>
      <c r="R16" s="53">
        <v>14.4</v>
      </c>
      <c r="S16" s="53">
        <v>127</v>
      </c>
      <c r="T16" s="16">
        <f t="shared" si="1"/>
        <v>27</v>
      </c>
      <c r="U16" s="53">
        <v>149</v>
      </c>
      <c r="V16" s="16">
        <f t="shared" si="2"/>
        <v>4023</v>
      </c>
      <c r="W16" s="53">
        <v>2</v>
      </c>
      <c r="X16" s="53" t="s">
        <v>46</v>
      </c>
      <c r="Y16" s="53" t="s">
        <v>78</v>
      </c>
      <c r="Z16" s="53" t="s">
        <v>88</v>
      </c>
      <c r="AA16" s="53" t="s">
        <v>69</v>
      </c>
      <c r="AB16" s="53" t="s">
        <v>158</v>
      </c>
      <c r="AE16" s="22" t="s">
        <v>219</v>
      </c>
      <c r="AG16" s="28"/>
      <c r="AH16" s="28"/>
      <c r="AP16" s="23" t="s">
        <v>80</v>
      </c>
      <c r="AR16" s="23" t="s">
        <v>63</v>
      </c>
      <c r="AV16" s="23" t="s">
        <v>84</v>
      </c>
    </row>
    <row r="17" spans="1:48" x14ac:dyDescent="0.15">
      <c r="A17" s="53" t="s">
        <v>41</v>
      </c>
      <c r="B17" s="53" t="s">
        <v>157</v>
      </c>
      <c r="C17" s="62">
        <v>2019</v>
      </c>
      <c r="D17" s="63" t="s">
        <v>188</v>
      </c>
      <c r="E17" s="53" t="s">
        <v>186</v>
      </c>
      <c r="F17" s="53" t="s">
        <v>184</v>
      </c>
      <c r="G17" s="53" t="s">
        <v>42</v>
      </c>
      <c r="H17" s="53" t="s">
        <v>160</v>
      </c>
      <c r="I17" s="53" t="s">
        <v>159</v>
      </c>
      <c r="J17" s="53" t="s">
        <v>38</v>
      </c>
      <c r="K17" s="53" t="s">
        <v>161</v>
      </c>
      <c r="L17" s="53">
        <v>1</v>
      </c>
      <c r="M17" s="76"/>
      <c r="N17" s="53">
        <v>4</v>
      </c>
      <c r="O17" s="53">
        <v>0.35</v>
      </c>
      <c r="P17" s="53">
        <v>0.3</v>
      </c>
      <c r="Q17" s="75">
        <f t="shared" si="0"/>
        <v>0.32499999999999996</v>
      </c>
      <c r="R17" s="53">
        <v>14</v>
      </c>
      <c r="S17" s="53">
        <v>118</v>
      </c>
      <c r="T17" s="16">
        <f t="shared" si="1"/>
        <v>30</v>
      </c>
      <c r="U17" s="53">
        <v>429</v>
      </c>
      <c r="V17" s="16">
        <f t="shared" si="2"/>
        <v>3217.5</v>
      </c>
      <c r="W17" s="53">
        <v>2</v>
      </c>
      <c r="X17" s="53" t="s">
        <v>46</v>
      </c>
      <c r="Y17" s="53" t="s">
        <v>78</v>
      </c>
      <c r="Z17" s="53" t="s">
        <v>88</v>
      </c>
      <c r="AA17" s="53" t="s">
        <v>69</v>
      </c>
      <c r="AB17" s="53" t="s">
        <v>158</v>
      </c>
      <c r="AE17" s="22" t="s">
        <v>220</v>
      </c>
      <c r="AP17" s="27" t="s">
        <v>221</v>
      </c>
      <c r="AR17" s="23" t="s">
        <v>96</v>
      </c>
      <c r="AV17" s="23" t="s">
        <v>86</v>
      </c>
    </row>
    <row r="18" spans="1:48" x14ac:dyDescent="0.15">
      <c r="A18" s="53" t="s">
        <v>41</v>
      </c>
      <c r="B18" s="53" t="s">
        <v>157</v>
      </c>
      <c r="C18" s="62">
        <v>2019</v>
      </c>
      <c r="D18" s="63" t="s">
        <v>188</v>
      </c>
      <c r="E18" s="53" t="s">
        <v>186</v>
      </c>
      <c r="F18" s="53" t="s">
        <v>184</v>
      </c>
      <c r="G18" s="53" t="s">
        <v>42</v>
      </c>
      <c r="H18" s="53" t="s">
        <v>160</v>
      </c>
      <c r="I18" s="53" t="s">
        <v>159</v>
      </c>
      <c r="J18" s="53" t="s">
        <v>38</v>
      </c>
      <c r="K18" s="53" t="s">
        <v>161</v>
      </c>
      <c r="L18" s="53">
        <v>2</v>
      </c>
      <c r="M18" s="76"/>
      <c r="N18" s="53">
        <v>4</v>
      </c>
      <c r="O18" s="53">
        <v>0.35</v>
      </c>
      <c r="P18" s="53">
        <v>0.35</v>
      </c>
      <c r="Q18" s="75">
        <f t="shared" si="0"/>
        <v>0.35</v>
      </c>
      <c r="R18" s="53">
        <v>17.399999999999999</v>
      </c>
      <c r="S18" s="53">
        <v>114</v>
      </c>
      <c r="T18" s="16">
        <f t="shared" si="1"/>
        <v>30</v>
      </c>
      <c r="U18" s="53">
        <v>429</v>
      </c>
      <c r="V18" s="16">
        <f t="shared" si="2"/>
        <v>3217.5</v>
      </c>
      <c r="W18" s="53">
        <v>2</v>
      </c>
      <c r="X18" s="53" t="s">
        <v>46</v>
      </c>
      <c r="Y18" s="53" t="s">
        <v>78</v>
      </c>
      <c r="Z18" s="53" t="s">
        <v>88</v>
      </c>
      <c r="AA18" s="53" t="s">
        <v>69</v>
      </c>
      <c r="AB18" s="53" t="s">
        <v>158</v>
      </c>
      <c r="AE18" s="22" t="s">
        <v>213</v>
      </c>
      <c r="AP18" s="27" t="s">
        <v>222</v>
      </c>
      <c r="AR18" s="23" t="s">
        <v>101</v>
      </c>
      <c r="AV18" s="23" t="s">
        <v>88</v>
      </c>
    </row>
    <row r="19" spans="1:48" x14ac:dyDescent="0.15">
      <c r="A19" s="53" t="s">
        <v>41</v>
      </c>
      <c r="B19" s="53" t="s">
        <v>157</v>
      </c>
      <c r="C19" s="62">
        <v>2019</v>
      </c>
      <c r="D19" s="63" t="s">
        <v>188</v>
      </c>
      <c r="E19" s="53" t="s">
        <v>186</v>
      </c>
      <c r="F19" s="53" t="s">
        <v>184</v>
      </c>
      <c r="G19" s="53" t="s">
        <v>42</v>
      </c>
      <c r="H19" s="53" t="s">
        <v>160</v>
      </c>
      <c r="I19" s="53" t="s">
        <v>159</v>
      </c>
      <c r="J19" s="53" t="s">
        <v>38</v>
      </c>
      <c r="K19" s="53" t="s">
        <v>161</v>
      </c>
      <c r="L19" s="53">
        <v>3</v>
      </c>
      <c r="M19" s="76"/>
      <c r="N19" s="53">
        <v>4</v>
      </c>
      <c r="O19" s="53">
        <v>0.5</v>
      </c>
      <c r="P19" s="53">
        <v>0.35</v>
      </c>
      <c r="Q19" s="75">
        <f t="shared" si="0"/>
        <v>0.42499999999999999</v>
      </c>
      <c r="R19" s="53">
        <v>16.399999999999999</v>
      </c>
      <c r="S19" s="53">
        <v>116</v>
      </c>
      <c r="T19" s="16">
        <f t="shared" si="1"/>
        <v>30</v>
      </c>
      <c r="U19" s="53">
        <v>429</v>
      </c>
      <c r="V19" s="16">
        <f t="shared" si="2"/>
        <v>3217.5</v>
      </c>
      <c r="W19" s="53">
        <v>2</v>
      </c>
      <c r="X19" s="53" t="s">
        <v>46</v>
      </c>
      <c r="Y19" s="53" t="s">
        <v>78</v>
      </c>
      <c r="Z19" s="53" t="s">
        <v>88</v>
      </c>
      <c r="AA19" s="53" t="s">
        <v>69</v>
      </c>
      <c r="AB19" s="53" t="s">
        <v>158</v>
      </c>
      <c r="AE19" s="35" t="s">
        <v>207</v>
      </c>
      <c r="AP19" s="27" t="s">
        <v>223</v>
      </c>
      <c r="AR19" s="23" t="s">
        <v>224</v>
      </c>
      <c r="AV19" s="23" t="s">
        <v>90</v>
      </c>
    </row>
    <row r="20" spans="1:48" x14ac:dyDescent="0.15">
      <c r="A20" s="53" t="s">
        <v>41</v>
      </c>
      <c r="B20" s="53" t="s">
        <v>157</v>
      </c>
      <c r="C20" s="62">
        <v>2019</v>
      </c>
      <c r="D20" s="63" t="s">
        <v>188</v>
      </c>
      <c r="E20" s="53" t="s">
        <v>186</v>
      </c>
      <c r="F20" s="53" t="s">
        <v>184</v>
      </c>
      <c r="G20" s="53" t="s">
        <v>42</v>
      </c>
      <c r="H20" s="53" t="s">
        <v>160</v>
      </c>
      <c r="I20" s="53" t="s">
        <v>159</v>
      </c>
      <c r="J20" s="53" t="s">
        <v>38</v>
      </c>
      <c r="K20" s="53" t="s">
        <v>161</v>
      </c>
      <c r="L20" s="53">
        <v>1</v>
      </c>
      <c r="M20" s="76"/>
      <c r="N20" s="53">
        <v>9</v>
      </c>
      <c r="O20" s="53">
        <v>1</v>
      </c>
      <c r="P20" s="53">
        <v>1</v>
      </c>
      <c r="Q20" s="75">
        <f t="shared" si="0"/>
        <v>1</v>
      </c>
      <c r="R20" s="53">
        <v>15.1</v>
      </c>
      <c r="S20" s="53">
        <v>117</v>
      </c>
      <c r="T20" s="16">
        <f t="shared" si="1"/>
        <v>30</v>
      </c>
      <c r="U20" s="53">
        <v>842</v>
      </c>
      <c r="V20" s="16">
        <f t="shared" si="2"/>
        <v>2806.6666666666665</v>
      </c>
      <c r="W20" s="53">
        <v>1</v>
      </c>
      <c r="X20" s="53" t="s">
        <v>46</v>
      </c>
      <c r="Y20" s="53" t="s">
        <v>78</v>
      </c>
      <c r="Z20" s="53" t="s">
        <v>88</v>
      </c>
      <c r="AA20" s="53" t="s">
        <v>69</v>
      </c>
      <c r="AB20" s="53" t="s">
        <v>158</v>
      </c>
      <c r="AE20" s="35"/>
      <c r="AP20" s="27" t="s">
        <v>225</v>
      </c>
      <c r="AR20" s="23" t="s">
        <v>105</v>
      </c>
      <c r="AV20" s="27" t="s">
        <v>226</v>
      </c>
    </row>
    <row r="21" spans="1:48" x14ac:dyDescent="0.15">
      <c r="A21" s="53" t="s">
        <v>41</v>
      </c>
      <c r="B21" s="53" t="s">
        <v>157</v>
      </c>
      <c r="C21" s="62">
        <v>2019</v>
      </c>
      <c r="D21" s="63" t="s">
        <v>188</v>
      </c>
      <c r="E21" s="53" t="s">
        <v>186</v>
      </c>
      <c r="F21" s="53" t="s">
        <v>184</v>
      </c>
      <c r="G21" s="53" t="s">
        <v>42</v>
      </c>
      <c r="H21" s="53" t="s">
        <v>160</v>
      </c>
      <c r="I21" s="53" t="s">
        <v>159</v>
      </c>
      <c r="J21" s="53" t="s">
        <v>38</v>
      </c>
      <c r="K21" s="53" t="s">
        <v>161</v>
      </c>
      <c r="L21" s="53">
        <v>2</v>
      </c>
      <c r="M21" s="76"/>
      <c r="N21" s="53">
        <v>9</v>
      </c>
      <c r="O21" s="53">
        <v>0.95</v>
      </c>
      <c r="P21" s="53">
        <v>1</v>
      </c>
      <c r="Q21" s="75">
        <f t="shared" si="0"/>
        <v>0.97499999999999998</v>
      </c>
      <c r="R21" s="53">
        <v>13.8</v>
      </c>
      <c r="S21" s="53">
        <v>120</v>
      </c>
      <c r="T21" s="16">
        <f t="shared" si="1"/>
        <v>30</v>
      </c>
      <c r="U21" s="53">
        <v>842</v>
      </c>
      <c r="V21" s="16">
        <f t="shared" si="2"/>
        <v>2806.6666666666665</v>
      </c>
      <c r="W21" s="53">
        <v>1</v>
      </c>
      <c r="X21" s="53" t="s">
        <v>46</v>
      </c>
      <c r="Y21" s="53" t="s">
        <v>78</v>
      </c>
      <c r="Z21" s="53" t="s">
        <v>88</v>
      </c>
      <c r="AA21" s="53" t="s">
        <v>69</v>
      </c>
      <c r="AB21" s="53" t="s">
        <v>158</v>
      </c>
      <c r="AE21" s="28"/>
      <c r="AP21" s="27" t="s">
        <v>227</v>
      </c>
      <c r="AR21" s="23" t="s">
        <v>68</v>
      </c>
      <c r="AV21" s="27" t="s">
        <v>228</v>
      </c>
    </row>
    <row r="22" spans="1:48" x14ac:dyDescent="0.15">
      <c r="A22" s="53" t="s">
        <v>41</v>
      </c>
      <c r="B22" s="53" t="s">
        <v>157</v>
      </c>
      <c r="C22" s="62">
        <v>2019</v>
      </c>
      <c r="D22" s="63" t="s">
        <v>188</v>
      </c>
      <c r="E22" s="53" t="s">
        <v>186</v>
      </c>
      <c r="F22" s="53" t="s">
        <v>184</v>
      </c>
      <c r="G22" s="53" t="s">
        <v>42</v>
      </c>
      <c r="H22" s="53" t="s">
        <v>160</v>
      </c>
      <c r="I22" s="53" t="s">
        <v>159</v>
      </c>
      <c r="J22" s="53" t="s">
        <v>38</v>
      </c>
      <c r="K22" s="53" t="s">
        <v>161</v>
      </c>
      <c r="L22" s="53">
        <v>3</v>
      </c>
      <c r="M22" s="76"/>
      <c r="N22" s="53">
        <v>9</v>
      </c>
      <c r="O22" s="53">
        <v>1.1000000000000001</v>
      </c>
      <c r="P22" s="53">
        <v>1.1000000000000001</v>
      </c>
      <c r="Q22" s="75">
        <f t="shared" si="0"/>
        <v>1.1000000000000001</v>
      </c>
      <c r="R22" s="53">
        <v>15.4</v>
      </c>
      <c r="S22" s="53">
        <v>116</v>
      </c>
      <c r="T22" s="16">
        <f t="shared" si="1"/>
        <v>30</v>
      </c>
      <c r="U22" s="53">
        <v>842</v>
      </c>
      <c r="V22" s="16">
        <f t="shared" si="2"/>
        <v>2806.6666666666665</v>
      </c>
      <c r="W22" s="53">
        <v>1</v>
      </c>
      <c r="X22" s="53" t="s">
        <v>46</v>
      </c>
      <c r="Y22" s="53" t="s">
        <v>78</v>
      </c>
      <c r="Z22" s="53" t="s">
        <v>88</v>
      </c>
      <c r="AA22" s="53" t="s">
        <v>69</v>
      </c>
      <c r="AB22" s="53" t="s">
        <v>158</v>
      </c>
      <c r="AP22" s="27" t="s">
        <v>229</v>
      </c>
      <c r="AR22" s="23" t="s">
        <v>83</v>
      </c>
      <c r="AV22" s="27"/>
    </row>
    <row r="23" spans="1:48" x14ac:dyDescent="0.15">
      <c r="A23" s="53" t="s">
        <v>41</v>
      </c>
      <c r="B23" s="53" t="s">
        <v>157</v>
      </c>
      <c r="C23" s="62">
        <v>2019</v>
      </c>
      <c r="D23" s="63" t="s">
        <v>188</v>
      </c>
      <c r="E23" s="53" t="s">
        <v>186</v>
      </c>
      <c r="F23" s="53" t="s">
        <v>184</v>
      </c>
      <c r="G23" s="53" t="s">
        <v>42</v>
      </c>
      <c r="H23" s="53" t="s">
        <v>164</v>
      </c>
      <c r="I23" s="53" t="s">
        <v>159</v>
      </c>
      <c r="J23" s="53" t="s">
        <v>38</v>
      </c>
      <c r="K23" s="53" t="s">
        <v>161</v>
      </c>
      <c r="L23" s="53">
        <v>1</v>
      </c>
      <c r="M23" s="76"/>
      <c r="N23" s="53">
        <v>1</v>
      </c>
      <c r="O23" s="53">
        <v>0.65</v>
      </c>
      <c r="P23" s="53">
        <v>0.5</v>
      </c>
      <c r="Q23" s="75">
        <f t="shared" si="0"/>
        <v>0.57499999999999996</v>
      </c>
      <c r="R23" s="53">
        <v>13.3</v>
      </c>
      <c r="S23" s="53">
        <v>126</v>
      </c>
      <c r="T23" s="16">
        <f t="shared" si="1"/>
        <v>27</v>
      </c>
      <c r="U23" s="53">
        <v>105</v>
      </c>
      <c r="V23" s="16">
        <f t="shared" si="2"/>
        <v>2835</v>
      </c>
      <c r="W23" s="53">
        <v>2</v>
      </c>
      <c r="X23" s="53" t="s">
        <v>46</v>
      </c>
      <c r="Y23" s="53" t="s">
        <v>78</v>
      </c>
      <c r="Z23" s="53" t="s">
        <v>88</v>
      </c>
      <c r="AA23" s="53" t="s">
        <v>69</v>
      </c>
      <c r="AB23" s="53" t="s">
        <v>158</v>
      </c>
      <c r="AP23" s="27" t="s">
        <v>230</v>
      </c>
      <c r="AR23" s="28" t="s">
        <v>231</v>
      </c>
      <c r="AV23" s="28"/>
    </row>
    <row r="24" spans="1:48" x14ac:dyDescent="0.15">
      <c r="A24" s="53" t="s">
        <v>41</v>
      </c>
      <c r="B24" s="53" t="s">
        <v>157</v>
      </c>
      <c r="C24" s="62">
        <v>2019</v>
      </c>
      <c r="D24" s="63" t="s">
        <v>188</v>
      </c>
      <c r="E24" s="53" t="s">
        <v>186</v>
      </c>
      <c r="F24" s="53" t="s">
        <v>184</v>
      </c>
      <c r="G24" s="53" t="s">
        <v>42</v>
      </c>
      <c r="H24" s="53" t="s">
        <v>164</v>
      </c>
      <c r="I24" s="53" t="s">
        <v>159</v>
      </c>
      <c r="J24" s="53" t="s">
        <v>38</v>
      </c>
      <c r="K24" s="53" t="s">
        <v>161</v>
      </c>
      <c r="L24" s="53">
        <v>2</v>
      </c>
      <c r="M24" s="76"/>
      <c r="N24" s="53">
        <v>1</v>
      </c>
      <c r="O24" s="53">
        <v>0.4</v>
      </c>
      <c r="P24" s="53">
        <v>0.5</v>
      </c>
      <c r="Q24" s="75">
        <f t="shared" si="0"/>
        <v>0.45</v>
      </c>
      <c r="R24" s="53">
        <v>13.5</v>
      </c>
      <c r="S24" s="53">
        <v>124</v>
      </c>
      <c r="T24" s="16">
        <f t="shared" si="1"/>
        <v>27</v>
      </c>
      <c r="U24" s="53">
        <v>105</v>
      </c>
      <c r="V24" s="16">
        <f t="shared" si="2"/>
        <v>2835</v>
      </c>
      <c r="W24" s="53">
        <v>2</v>
      </c>
      <c r="X24" s="53" t="s">
        <v>46</v>
      </c>
      <c r="Y24" s="53" t="s">
        <v>78</v>
      </c>
      <c r="Z24" s="53" t="s">
        <v>88</v>
      </c>
      <c r="AA24" s="53" t="s">
        <v>69</v>
      </c>
      <c r="AB24" s="53" t="s">
        <v>158</v>
      </c>
      <c r="AP24" s="27" t="s">
        <v>232</v>
      </c>
    </row>
    <row r="25" spans="1:48" x14ac:dyDescent="0.15">
      <c r="A25" s="53" t="s">
        <v>41</v>
      </c>
      <c r="B25" s="53" t="s">
        <v>157</v>
      </c>
      <c r="C25" s="62">
        <v>2019</v>
      </c>
      <c r="D25" s="63" t="s">
        <v>188</v>
      </c>
      <c r="E25" s="53" t="s">
        <v>186</v>
      </c>
      <c r="F25" s="53" t="s">
        <v>184</v>
      </c>
      <c r="G25" s="53" t="s">
        <v>42</v>
      </c>
      <c r="H25" s="53" t="s">
        <v>164</v>
      </c>
      <c r="I25" s="53" t="s">
        <v>159</v>
      </c>
      <c r="J25" s="53" t="s">
        <v>38</v>
      </c>
      <c r="K25" s="53" t="s">
        <v>161</v>
      </c>
      <c r="L25" s="53">
        <v>3</v>
      </c>
      <c r="M25" s="76"/>
      <c r="N25" s="53">
        <v>1</v>
      </c>
      <c r="O25" s="53">
        <v>0.6</v>
      </c>
      <c r="P25" s="53">
        <v>0.65</v>
      </c>
      <c r="Q25" s="75">
        <f t="shared" si="0"/>
        <v>0.625</v>
      </c>
      <c r="R25" s="53">
        <v>12.8</v>
      </c>
      <c r="S25" s="53">
        <v>123</v>
      </c>
      <c r="T25" s="16">
        <f t="shared" si="1"/>
        <v>27</v>
      </c>
      <c r="U25" s="53">
        <v>105</v>
      </c>
      <c r="V25" s="16">
        <f t="shared" si="2"/>
        <v>2835</v>
      </c>
      <c r="W25" s="53">
        <v>2</v>
      </c>
      <c r="X25" s="53" t="s">
        <v>46</v>
      </c>
      <c r="Y25" s="53" t="s">
        <v>78</v>
      </c>
      <c r="Z25" s="53" t="s">
        <v>88</v>
      </c>
      <c r="AA25" s="53" t="s">
        <v>69</v>
      </c>
      <c r="AB25" s="53" t="s">
        <v>158</v>
      </c>
    </row>
    <row r="26" spans="1:48" x14ac:dyDescent="0.15">
      <c r="A26" s="53" t="s">
        <v>41</v>
      </c>
      <c r="B26" s="53" t="s">
        <v>157</v>
      </c>
      <c r="C26" s="62">
        <v>2019</v>
      </c>
      <c r="D26" s="63" t="s">
        <v>188</v>
      </c>
      <c r="E26" s="53" t="s">
        <v>186</v>
      </c>
      <c r="F26" s="53" t="s">
        <v>184</v>
      </c>
      <c r="G26" s="53" t="s">
        <v>42</v>
      </c>
      <c r="H26" s="53" t="s">
        <v>164</v>
      </c>
      <c r="I26" s="53" t="s">
        <v>159</v>
      </c>
      <c r="J26" s="53" t="s">
        <v>38</v>
      </c>
      <c r="K26" s="53" t="s">
        <v>161</v>
      </c>
      <c r="L26" s="53">
        <v>1</v>
      </c>
      <c r="M26" s="76"/>
      <c r="N26" s="53">
        <v>5</v>
      </c>
      <c r="O26" s="53">
        <v>0.75</v>
      </c>
      <c r="P26" s="53">
        <v>0.6</v>
      </c>
      <c r="Q26" s="75">
        <f t="shared" si="0"/>
        <v>0.67500000000000004</v>
      </c>
      <c r="R26" s="53">
        <v>14.2</v>
      </c>
      <c r="S26" s="53">
        <v>108</v>
      </c>
      <c r="T26" s="16">
        <f t="shared" si="1"/>
        <v>33</v>
      </c>
      <c r="U26" s="53">
        <v>429</v>
      </c>
      <c r="V26" s="16">
        <f t="shared" si="2"/>
        <v>2831.4</v>
      </c>
      <c r="W26" s="53">
        <v>1</v>
      </c>
      <c r="X26" s="53" t="s">
        <v>46</v>
      </c>
      <c r="Y26" s="53" t="s">
        <v>78</v>
      </c>
      <c r="Z26" s="53" t="s">
        <v>88</v>
      </c>
      <c r="AA26" s="53" t="s">
        <v>69</v>
      </c>
      <c r="AB26" s="53" t="s">
        <v>158</v>
      </c>
    </row>
    <row r="27" spans="1:48" x14ac:dyDescent="0.15">
      <c r="A27" s="53" t="s">
        <v>41</v>
      </c>
      <c r="B27" s="53" t="s">
        <v>157</v>
      </c>
      <c r="C27" s="62">
        <v>2019</v>
      </c>
      <c r="D27" s="63" t="s">
        <v>188</v>
      </c>
      <c r="E27" s="53" t="s">
        <v>186</v>
      </c>
      <c r="F27" s="53" t="s">
        <v>184</v>
      </c>
      <c r="G27" s="53" t="s">
        <v>42</v>
      </c>
      <c r="H27" s="53" t="s">
        <v>164</v>
      </c>
      <c r="I27" s="53" t="s">
        <v>159</v>
      </c>
      <c r="J27" s="53" t="s">
        <v>38</v>
      </c>
      <c r="K27" s="53" t="s">
        <v>161</v>
      </c>
      <c r="L27" s="53">
        <v>2</v>
      </c>
      <c r="M27" s="76"/>
      <c r="N27" s="53">
        <v>5</v>
      </c>
      <c r="O27" s="53">
        <v>0.7</v>
      </c>
      <c r="P27" s="53">
        <v>0.5</v>
      </c>
      <c r="Q27" s="75">
        <f t="shared" si="0"/>
        <v>0.6</v>
      </c>
      <c r="R27" s="53">
        <v>12.8</v>
      </c>
      <c r="S27" s="53">
        <v>110</v>
      </c>
      <c r="T27" s="16">
        <f t="shared" si="1"/>
        <v>33</v>
      </c>
      <c r="U27" s="53">
        <v>429</v>
      </c>
      <c r="V27" s="16">
        <f t="shared" si="2"/>
        <v>2831.4</v>
      </c>
      <c r="W27" s="53">
        <v>1</v>
      </c>
      <c r="X27" s="53" t="s">
        <v>46</v>
      </c>
      <c r="Y27" s="53" t="s">
        <v>78</v>
      </c>
      <c r="Z27" s="53" t="s">
        <v>88</v>
      </c>
      <c r="AA27" s="53" t="s">
        <v>69</v>
      </c>
      <c r="AB27" s="53" t="s">
        <v>158</v>
      </c>
    </row>
    <row r="28" spans="1:48" x14ac:dyDescent="0.15">
      <c r="A28" s="53" t="s">
        <v>41</v>
      </c>
      <c r="B28" s="53" t="s">
        <v>157</v>
      </c>
      <c r="C28" s="62">
        <v>2019</v>
      </c>
      <c r="D28" s="63" t="s">
        <v>188</v>
      </c>
      <c r="E28" s="53" t="s">
        <v>186</v>
      </c>
      <c r="F28" s="53" t="s">
        <v>184</v>
      </c>
      <c r="G28" s="53" t="s">
        <v>42</v>
      </c>
      <c r="H28" s="53" t="s">
        <v>164</v>
      </c>
      <c r="I28" s="53" t="s">
        <v>159</v>
      </c>
      <c r="J28" s="53" t="s">
        <v>38</v>
      </c>
      <c r="K28" s="53" t="s">
        <v>161</v>
      </c>
      <c r="L28" s="53">
        <v>3</v>
      </c>
      <c r="M28" s="76"/>
      <c r="N28" s="53">
        <v>5</v>
      </c>
      <c r="O28" s="53">
        <v>0.85</v>
      </c>
      <c r="P28" s="53">
        <v>0.7</v>
      </c>
      <c r="Q28" s="75">
        <f t="shared" si="0"/>
        <v>0.77499999999999991</v>
      </c>
      <c r="R28" s="53">
        <v>13.7</v>
      </c>
      <c r="S28" s="53">
        <v>111</v>
      </c>
      <c r="T28" s="16">
        <f t="shared" si="1"/>
        <v>33</v>
      </c>
      <c r="U28" s="53">
        <v>429</v>
      </c>
      <c r="V28" s="16">
        <f t="shared" si="2"/>
        <v>2831.4</v>
      </c>
      <c r="W28" s="53">
        <v>1</v>
      </c>
      <c r="X28" s="53" t="s">
        <v>46</v>
      </c>
      <c r="Y28" s="53" t="s">
        <v>78</v>
      </c>
      <c r="Z28" s="53" t="s">
        <v>88</v>
      </c>
      <c r="AA28" s="53" t="s">
        <v>69</v>
      </c>
      <c r="AB28" s="53" t="s">
        <v>158</v>
      </c>
    </row>
    <row r="29" spans="1:48" x14ac:dyDescent="0.15">
      <c r="A29" s="53" t="s">
        <v>41</v>
      </c>
      <c r="B29" s="53" t="s">
        <v>157</v>
      </c>
      <c r="C29" s="62">
        <v>2019</v>
      </c>
      <c r="D29" s="63" t="s">
        <v>188</v>
      </c>
      <c r="E29" s="53" t="s">
        <v>186</v>
      </c>
      <c r="F29" s="53" t="s">
        <v>184</v>
      </c>
      <c r="G29" s="53" t="s">
        <v>42</v>
      </c>
      <c r="H29" s="53" t="s">
        <v>164</v>
      </c>
      <c r="I29" s="53" t="s">
        <v>159</v>
      </c>
      <c r="J29" s="53" t="s">
        <v>38</v>
      </c>
      <c r="K29" s="53" t="s">
        <v>161</v>
      </c>
      <c r="L29" s="53">
        <v>1</v>
      </c>
      <c r="M29" s="76"/>
      <c r="N29" s="53">
        <v>8</v>
      </c>
      <c r="O29" s="53">
        <v>1</v>
      </c>
      <c r="P29" s="53">
        <v>0.95</v>
      </c>
      <c r="Q29" s="16">
        <f t="shared" si="0"/>
        <v>0.97499999999999998</v>
      </c>
      <c r="R29" s="53">
        <v>14.7</v>
      </c>
      <c r="S29" s="53">
        <v>106</v>
      </c>
      <c r="T29" s="16">
        <f t="shared" si="1"/>
        <v>33</v>
      </c>
      <c r="U29" s="53">
        <v>626</v>
      </c>
      <c r="V29" s="16">
        <f t="shared" si="2"/>
        <v>2582.25</v>
      </c>
      <c r="W29" s="53">
        <v>1</v>
      </c>
      <c r="X29" s="53" t="s">
        <v>46</v>
      </c>
      <c r="Y29" s="53" t="s">
        <v>78</v>
      </c>
      <c r="Z29" s="53" t="s">
        <v>88</v>
      </c>
      <c r="AA29" s="53" t="s">
        <v>69</v>
      </c>
      <c r="AB29" s="53" t="s">
        <v>158</v>
      </c>
    </row>
    <row r="30" spans="1:48" x14ac:dyDescent="0.15">
      <c r="A30" s="53" t="s">
        <v>41</v>
      </c>
      <c r="B30" s="53" t="s">
        <v>157</v>
      </c>
      <c r="C30" s="62">
        <v>2019</v>
      </c>
      <c r="D30" s="63" t="s">
        <v>188</v>
      </c>
      <c r="E30" s="53" t="s">
        <v>186</v>
      </c>
      <c r="F30" s="53" t="s">
        <v>184</v>
      </c>
      <c r="G30" s="53" t="s">
        <v>42</v>
      </c>
      <c r="H30" s="53" t="s">
        <v>164</v>
      </c>
      <c r="I30" s="53" t="s">
        <v>159</v>
      </c>
      <c r="J30" s="53" t="s">
        <v>38</v>
      </c>
      <c r="K30" s="53" t="s">
        <v>161</v>
      </c>
      <c r="L30" s="53">
        <v>2</v>
      </c>
      <c r="M30" s="76"/>
      <c r="N30" s="53">
        <v>8</v>
      </c>
      <c r="O30" s="53">
        <v>0.95</v>
      </c>
      <c r="P30" s="53">
        <v>1.05</v>
      </c>
      <c r="Q30" s="16">
        <f t="shared" si="0"/>
        <v>1</v>
      </c>
      <c r="R30" s="53">
        <v>12.1</v>
      </c>
      <c r="S30" s="53">
        <v>103</v>
      </c>
      <c r="T30" s="16">
        <f t="shared" si="1"/>
        <v>33</v>
      </c>
      <c r="U30" s="53">
        <v>626</v>
      </c>
      <c r="V30" s="16">
        <f t="shared" si="2"/>
        <v>2582.25</v>
      </c>
      <c r="W30" s="53">
        <v>1</v>
      </c>
      <c r="X30" s="53" t="s">
        <v>46</v>
      </c>
      <c r="Y30" s="53" t="s">
        <v>78</v>
      </c>
      <c r="Z30" s="53" t="s">
        <v>88</v>
      </c>
      <c r="AA30" s="53" t="s">
        <v>69</v>
      </c>
      <c r="AB30" s="53" t="s">
        <v>158</v>
      </c>
    </row>
    <row r="31" spans="1:48" x14ac:dyDescent="0.15">
      <c r="A31" s="53" t="s">
        <v>41</v>
      </c>
      <c r="B31" s="53" t="s">
        <v>157</v>
      </c>
      <c r="C31" s="62">
        <v>2019</v>
      </c>
      <c r="D31" s="63" t="s">
        <v>188</v>
      </c>
      <c r="E31" s="53" t="s">
        <v>186</v>
      </c>
      <c r="F31" s="53" t="s">
        <v>184</v>
      </c>
      <c r="G31" s="53" t="s">
        <v>42</v>
      </c>
      <c r="H31" s="53" t="s">
        <v>164</v>
      </c>
      <c r="I31" s="53" t="s">
        <v>159</v>
      </c>
      <c r="J31" s="53" t="s">
        <v>38</v>
      </c>
      <c r="K31" s="53" t="s">
        <v>161</v>
      </c>
      <c r="L31" s="53">
        <v>3</v>
      </c>
      <c r="M31" s="76"/>
      <c r="N31" s="53">
        <v>8</v>
      </c>
      <c r="O31" s="53">
        <v>0.9</v>
      </c>
      <c r="P31" s="53">
        <v>0.8</v>
      </c>
      <c r="Q31" s="16">
        <f t="shared" si="0"/>
        <v>0.85000000000000009</v>
      </c>
      <c r="R31" s="53">
        <v>13.4</v>
      </c>
      <c r="S31" s="53">
        <v>103</v>
      </c>
      <c r="T31" s="16">
        <f t="shared" si="1"/>
        <v>33</v>
      </c>
      <c r="U31" s="53">
        <v>626</v>
      </c>
      <c r="V31" s="16">
        <f t="shared" si="2"/>
        <v>2582.25</v>
      </c>
      <c r="W31" s="53">
        <v>1</v>
      </c>
      <c r="X31" s="53" t="s">
        <v>46</v>
      </c>
      <c r="Y31" s="53" t="s">
        <v>78</v>
      </c>
      <c r="Z31" s="53" t="s">
        <v>88</v>
      </c>
      <c r="AA31" s="53" t="s">
        <v>69</v>
      </c>
      <c r="AB31" s="53" t="s">
        <v>158</v>
      </c>
    </row>
    <row r="32" spans="1:48" x14ac:dyDescent="0.15">
      <c r="A32" s="53" t="s">
        <v>41</v>
      </c>
      <c r="B32" s="53" t="s">
        <v>157</v>
      </c>
      <c r="C32" s="62">
        <v>2019</v>
      </c>
      <c r="D32" s="63" t="s">
        <v>188</v>
      </c>
      <c r="E32" s="53" t="s">
        <v>186</v>
      </c>
      <c r="F32" s="53" t="s">
        <v>189</v>
      </c>
      <c r="G32" s="53" t="s">
        <v>42</v>
      </c>
      <c r="H32" s="53" t="s">
        <v>164</v>
      </c>
      <c r="I32" s="53" t="s">
        <v>159</v>
      </c>
      <c r="J32" s="53" t="s">
        <v>38</v>
      </c>
      <c r="K32" s="53" t="s">
        <v>161</v>
      </c>
      <c r="L32" s="53">
        <v>1</v>
      </c>
      <c r="M32" s="76"/>
      <c r="N32" s="53">
        <v>1</v>
      </c>
      <c r="O32" s="53">
        <v>0.8</v>
      </c>
      <c r="P32" s="53">
        <v>1</v>
      </c>
      <c r="Q32" s="16">
        <f t="shared" si="0"/>
        <v>0.9</v>
      </c>
      <c r="R32" s="53">
        <v>13.5</v>
      </c>
      <c r="S32" s="53">
        <v>128</v>
      </c>
      <c r="T32" s="16">
        <f t="shared" si="1"/>
        <v>27</v>
      </c>
      <c r="U32" s="53">
        <v>105</v>
      </c>
      <c r="V32" s="16">
        <f t="shared" si="2"/>
        <v>2835</v>
      </c>
      <c r="W32" s="53">
        <v>2</v>
      </c>
      <c r="X32" s="53" t="s">
        <v>46</v>
      </c>
      <c r="Y32" s="53" t="s">
        <v>88</v>
      </c>
      <c r="Z32" s="53" t="s">
        <v>78</v>
      </c>
      <c r="AA32" s="53" t="s">
        <v>69</v>
      </c>
      <c r="AB32" s="53" t="s">
        <v>158</v>
      </c>
    </row>
    <row r="33" spans="1:28" x14ac:dyDescent="0.15">
      <c r="A33" s="53" t="s">
        <v>41</v>
      </c>
      <c r="B33" s="53" t="s">
        <v>157</v>
      </c>
      <c r="C33" s="62">
        <v>2019</v>
      </c>
      <c r="D33" s="63" t="s">
        <v>188</v>
      </c>
      <c r="E33" s="53" t="s">
        <v>186</v>
      </c>
      <c r="F33" s="53" t="s">
        <v>189</v>
      </c>
      <c r="G33" s="53" t="s">
        <v>42</v>
      </c>
      <c r="H33" s="53" t="s">
        <v>164</v>
      </c>
      <c r="I33" s="53" t="s">
        <v>159</v>
      </c>
      <c r="J33" s="53" t="s">
        <v>38</v>
      </c>
      <c r="K33" s="53" t="s">
        <v>161</v>
      </c>
      <c r="L33" s="53">
        <v>2</v>
      </c>
      <c r="M33" s="76"/>
      <c r="N33" s="53">
        <v>1</v>
      </c>
      <c r="O33" s="53">
        <v>0.9</v>
      </c>
      <c r="P33" s="53">
        <v>1.05</v>
      </c>
      <c r="Q33" s="16">
        <f t="shared" si="0"/>
        <v>0.97500000000000009</v>
      </c>
      <c r="R33" s="53">
        <v>12.6</v>
      </c>
      <c r="S33" s="53">
        <v>126</v>
      </c>
      <c r="T33" s="16">
        <f t="shared" si="1"/>
        <v>27</v>
      </c>
      <c r="U33" s="53">
        <v>105</v>
      </c>
      <c r="V33" s="16">
        <f t="shared" si="2"/>
        <v>2835</v>
      </c>
      <c r="W33" s="53">
        <v>2</v>
      </c>
      <c r="X33" s="53" t="s">
        <v>46</v>
      </c>
      <c r="Y33" s="53" t="s">
        <v>88</v>
      </c>
      <c r="Z33" s="53" t="s">
        <v>78</v>
      </c>
      <c r="AA33" s="53" t="s">
        <v>69</v>
      </c>
      <c r="AB33" s="53" t="s">
        <v>158</v>
      </c>
    </row>
    <row r="34" spans="1:28" x14ac:dyDescent="0.15">
      <c r="A34" s="53" t="s">
        <v>41</v>
      </c>
      <c r="B34" s="53" t="s">
        <v>157</v>
      </c>
      <c r="C34" s="62">
        <v>2019</v>
      </c>
      <c r="D34" s="63" t="s">
        <v>188</v>
      </c>
      <c r="E34" s="53" t="s">
        <v>186</v>
      </c>
      <c r="F34" s="53" t="s">
        <v>189</v>
      </c>
      <c r="G34" s="53" t="s">
        <v>42</v>
      </c>
      <c r="H34" s="53" t="s">
        <v>164</v>
      </c>
      <c r="I34" s="53" t="s">
        <v>159</v>
      </c>
      <c r="J34" s="53" t="s">
        <v>38</v>
      </c>
      <c r="K34" s="53" t="s">
        <v>161</v>
      </c>
      <c r="L34" s="53">
        <v>3</v>
      </c>
      <c r="M34" s="76"/>
      <c r="N34" s="53">
        <v>1</v>
      </c>
      <c r="O34" s="53">
        <v>1</v>
      </c>
      <c r="P34" s="53">
        <v>1</v>
      </c>
      <c r="Q34" s="16">
        <f t="shared" si="0"/>
        <v>1</v>
      </c>
      <c r="R34" s="53">
        <v>15.9</v>
      </c>
      <c r="S34" s="53">
        <v>127</v>
      </c>
      <c r="T34" s="16">
        <f t="shared" si="1"/>
        <v>27</v>
      </c>
      <c r="U34" s="53">
        <v>105</v>
      </c>
      <c r="V34" s="16">
        <f t="shared" si="2"/>
        <v>2835</v>
      </c>
      <c r="W34" s="53">
        <v>2</v>
      </c>
      <c r="X34" s="53" t="s">
        <v>46</v>
      </c>
      <c r="Y34" s="53" t="s">
        <v>88</v>
      </c>
      <c r="Z34" s="53" t="s">
        <v>78</v>
      </c>
      <c r="AA34" s="53" t="s">
        <v>69</v>
      </c>
      <c r="AB34" s="53" t="s">
        <v>158</v>
      </c>
    </row>
    <row r="35" spans="1:28" x14ac:dyDescent="0.15">
      <c r="A35" s="53" t="s">
        <v>41</v>
      </c>
      <c r="B35" s="53" t="s">
        <v>157</v>
      </c>
      <c r="C35" s="62">
        <v>2019</v>
      </c>
      <c r="D35" s="63" t="s">
        <v>188</v>
      </c>
      <c r="E35" s="53" t="s">
        <v>186</v>
      </c>
      <c r="F35" s="53" t="s">
        <v>189</v>
      </c>
      <c r="G35" s="53" t="s">
        <v>42</v>
      </c>
      <c r="H35" s="53" t="s">
        <v>164</v>
      </c>
      <c r="I35" s="53" t="s">
        <v>159</v>
      </c>
      <c r="J35" s="53" t="s">
        <v>38</v>
      </c>
      <c r="K35" s="53" t="s">
        <v>161</v>
      </c>
      <c r="L35" s="53">
        <v>1</v>
      </c>
      <c r="M35" s="76"/>
      <c r="N35" s="53">
        <v>8</v>
      </c>
      <c r="O35" s="53">
        <v>0.45</v>
      </c>
      <c r="P35" s="53">
        <v>0.4</v>
      </c>
      <c r="Q35" s="16">
        <f t="shared" si="0"/>
        <v>0.42500000000000004</v>
      </c>
      <c r="R35" s="53">
        <v>16.100000000000001</v>
      </c>
      <c r="S35" s="53">
        <v>100</v>
      </c>
      <c r="T35" s="16">
        <f t="shared" si="1"/>
        <v>33</v>
      </c>
      <c r="U35" s="53">
        <v>626</v>
      </c>
      <c r="V35" s="16">
        <f t="shared" si="2"/>
        <v>2582.25</v>
      </c>
      <c r="W35" s="53">
        <v>2</v>
      </c>
      <c r="X35" s="53" t="s">
        <v>46</v>
      </c>
      <c r="Y35" s="53" t="s">
        <v>88</v>
      </c>
      <c r="Z35" s="53" t="s">
        <v>78</v>
      </c>
      <c r="AA35" s="53" t="s">
        <v>69</v>
      </c>
      <c r="AB35" s="53" t="s">
        <v>158</v>
      </c>
    </row>
    <row r="36" spans="1:28" x14ac:dyDescent="0.15">
      <c r="A36" s="53" t="s">
        <v>41</v>
      </c>
      <c r="B36" s="53" t="s">
        <v>157</v>
      </c>
      <c r="C36" s="62">
        <v>2019</v>
      </c>
      <c r="D36" s="63" t="s">
        <v>188</v>
      </c>
      <c r="E36" s="53" t="s">
        <v>186</v>
      </c>
      <c r="F36" s="53" t="s">
        <v>189</v>
      </c>
      <c r="G36" s="53" t="s">
        <v>42</v>
      </c>
      <c r="H36" s="53" t="s">
        <v>164</v>
      </c>
      <c r="I36" s="53" t="s">
        <v>159</v>
      </c>
      <c r="J36" s="53" t="s">
        <v>38</v>
      </c>
      <c r="K36" s="53" t="s">
        <v>161</v>
      </c>
      <c r="L36" s="53">
        <v>2</v>
      </c>
      <c r="M36" s="76"/>
      <c r="N36" s="53">
        <v>8</v>
      </c>
      <c r="O36" s="53">
        <v>0.5</v>
      </c>
      <c r="P36" s="53">
        <v>0.35</v>
      </c>
      <c r="Q36" s="16">
        <f t="shared" si="0"/>
        <v>0.42499999999999999</v>
      </c>
      <c r="R36" s="53">
        <v>16</v>
      </c>
      <c r="S36" s="53">
        <v>101</v>
      </c>
      <c r="T36" s="16">
        <f t="shared" si="1"/>
        <v>33</v>
      </c>
      <c r="U36" s="53">
        <v>626</v>
      </c>
      <c r="V36" s="16">
        <f t="shared" si="2"/>
        <v>2582.25</v>
      </c>
      <c r="W36" s="53">
        <v>2</v>
      </c>
      <c r="X36" s="53" t="s">
        <v>46</v>
      </c>
      <c r="Y36" s="53" t="s">
        <v>88</v>
      </c>
      <c r="Z36" s="53" t="s">
        <v>78</v>
      </c>
      <c r="AA36" s="53" t="s">
        <v>69</v>
      </c>
      <c r="AB36" s="53" t="s">
        <v>158</v>
      </c>
    </row>
    <row r="37" spans="1:28" x14ac:dyDescent="0.15">
      <c r="A37" s="53" t="s">
        <v>41</v>
      </c>
      <c r="B37" s="53" t="s">
        <v>157</v>
      </c>
      <c r="C37" s="62">
        <v>2019</v>
      </c>
      <c r="D37" s="63" t="s">
        <v>188</v>
      </c>
      <c r="E37" s="53" t="s">
        <v>186</v>
      </c>
      <c r="F37" s="53" t="s">
        <v>189</v>
      </c>
      <c r="G37" s="53" t="s">
        <v>42</v>
      </c>
      <c r="H37" s="53" t="s">
        <v>160</v>
      </c>
      <c r="I37" s="53" t="s">
        <v>159</v>
      </c>
      <c r="J37" s="53" t="s">
        <v>38</v>
      </c>
      <c r="K37" s="53" t="s">
        <v>161</v>
      </c>
      <c r="L37" s="53">
        <v>3</v>
      </c>
      <c r="M37" s="76"/>
      <c r="N37" s="53">
        <v>8</v>
      </c>
      <c r="O37" s="53">
        <v>0.35</v>
      </c>
      <c r="P37" s="53">
        <v>0.35</v>
      </c>
      <c r="Q37" s="16">
        <f t="shared" si="0"/>
        <v>0.35</v>
      </c>
      <c r="R37" s="53">
        <v>12.9</v>
      </c>
      <c r="S37" s="53">
        <v>104</v>
      </c>
      <c r="T37" s="16">
        <f t="shared" si="1"/>
        <v>33</v>
      </c>
      <c r="U37" s="53">
        <v>626</v>
      </c>
      <c r="V37" s="16">
        <f t="shared" si="2"/>
        <v>2582.25</v>
      </c>
      <c r="W37" s="53">
        <v>2</v>
      </c>
      <c r="X37" s="53" t="s">
        <v>46</v>
      </c>
      <c r="Y37" s="53" t="s">
        <v>88</v>
      </c>
      <c r="Z37" s="53" t="s">
        <v>78</v>
      </c>
      <c r="AA37" s="53" t="s">
        <v>69</v>
      </c>
      <c r="AB37" s="53" t="s">
        <v>158</v>
      </c>
    </row>
    <row r="38" spans="1:28" x14ac:dyDescent="0.15">
      <c r="A38" s="53" t="s">
        <v>41</v>
      </c>
      <c r="B38" s="53" t="s">
        <v>157</v>
      </c>
      <c r="C38" s="62">
        <v>2019</v>
      </c>
      <c r="D38" s="63" t="s">
        <v>188</v>
      </c>
      <c r="E38" s="53" t="s">
        <v>186</v>
      </c>
      <c r="F38" s="53" t="s">
        <v>189</v>
      </c>
      <c r="G38" s="53" t="s">
        <v>42</v>
      </c>
      <c r="H38" s="53" t="s">
        <v>160</v>
      </c>
      <c r="I38" s="53" t="s">
        <v>159</v>
      </c>
      <c r="J38" s="53" t="s">
        <v>38</v>
      </c>
      <c r="K38" s="53" t="s">
        <v>161</v>
      </c>
      <c r="L38" s="53">
        <v>1</v>
      </c>
      <c r="M38" s="76"/>
      <c r="N38" s="53">
        <v>1</v>
      </c>
      <c r="O38" s="53">
        <v>0.25</v>
      </c>
      <c r="P38" s="53">
        <v>0.25</v>
      </c>
      <c r="Q38" s="16">
        <f t="shared" si="0"/>
        <v>0.25</v>
      </c>
      <c r="R38" s="53">
        <v>15.4</v>
      </c>
      <c r="S38" s="53">
        <v>127</v>
      </c>
      <c r="T38" s="16">
        <f t="shared" si="1"/>
        <v>27</v>
      </c>
      <c r="U38" s="53">
        <v>149</v>
      </c>
      <c r="V38" s="16">
        <f t="shared" si="2"/>
        <v>4023</v>
      </c>
      <c r="W38" s="53">
        <v>2</v>
      </c>
      <c r="X38" s="53" t="s">
        <v>46</v>
      </c>
      <c r="Y38" s="53" t="s">
        <v>88</v>
      </c>
      <c r="Z38" s="53" t="s">
        <v>78</v>
      </c>
      <c r="AA38" s="53" t="s">
        <v>69</v>
      </c>
      <c r="AB38" s="53" t="s">
        <v>158</v>
      </c>
    </row>
    <row r="39" spans="1:28" x14ac:dyDescent="0.15">
      <c r="A39" s="53" t="s">
        <v>41</v>
      </c>
      <c r="B39" s="53" t="s">
        <v>157</v>
      </c>
      <c r="C39" s="62">
        <v>2019</v>
      </c>
      <c r="D39" s="63" t="s">
        <v>188</v>
      </c>
      <c r="E39" s="53" t="s">
        <v>186</v>
      </c>
      <c r="F39" s="53" t="s">
        <v>189</v>
      </c>
      <c r="G39" s="53" t="s">
        <v>42</v>
      </c>
      <c r="H39" s="53" t="s">
        <v>160</v>
      </c>
      <c r="I39" s="53" t="s">
        <v>159</v>
      </c>
      <c r="J39" s="53" t="s">
        <v>38</v>
      </c>
      <c r="K39" s="53" t="s">
        <v>161</v>
      </c>
      <c r="L39" s="53">
        <v>2</v>
      </c>
      <c r="M39" s="76"/>
      <c r="N39" s="53">
        <v>1</v>
      </c>
      <c r="O39" s="53">
        <v>0.3</v>
      </c>
      <c r="P39" s="53">
        <v>0.4</v>
      </c>
      <c r="Q39" s="16">
        <f t="shared" si="0"/>
        <v>0.35</v>
      </c>
      <c r="R39" s="53">
        <v>15</v>
      </c>
      <c r="S39" s="53">
        <v>124</v>
      </c>
      <c r="T39" s="16">
        <f t="shared" si="1"/>
        <v>27</v>
      </c>
      <c r="U39" s="53">
        <v>149</v>
      </c>
      <c r="V39" s="16">
        <f t="shared" si="2"/>
        <v>4023</v>
      </c>
      <c r="W39" s="53">
        <v>2</v>
      </c>
      <c r="X39" s="53" t="s">
        <v>46</v>
      </c>
      <c r="Y39" s="53" t="s">
        <v>88</v>
      </c>
      <c r="Z39" s="53" t="s">
        <v>78</v>
      </c>
      <c r="AA39" s="53" t="s">
        <v>69</v>
      </c>
      <c r="AB39" s="53" t="s">
        <v>158</v>
      </c>
    </row>
    <row r="40" spans="1:28" x14ac:dyDescent="0.15">
      <c r="A40" s="53" t="s">
        <v>41</v>
      </c>
      <c r="B40" s="53" t="s">
        <v>157</v>
      </c>
      <c r="C40" s="62">
        <v>2019</v>
      </c>
      <c r="D40" s="63" t="s">
        <v>188</v>
      </c>
      <c r="E40" s="53" t="s">
        <v>186</v>
      </c>
      <c r="F40" s="53" t="s">
        <v>189</v>
      </c>
      <c r="G40" s="53" t="s">
        <v>42</v>
      </c>
      <c r="H40" s="53" t="s">
        <v>160</v>
      </c>
      <c r="I40" s="53" t="s">
        <v>159</v>
      </c>
      <c r="J40" s="53" t="s">
        <v>38</v>
      </c>
      <c r="K40" s="53" t="s">
        <v>161</v>
      </c>
      <c r="L40" s="53">
        <v>3</v>
      </c>
      <c r="M40" s="76"/>
      <c r="N40" s="53">
        <v>1</v>
      </c>
      <c r="O40" s="53">
        <v>0.3</v>
      </c>
      <c r="P40" s="53">
        <v>0.45</v>
      </c>
      <c r="Q40" s="16">
        <f t="shared" si="0"/>
        <v>0.375</v>
      </c>
      <c r="R40" s="53">
        <v>14.4</v>
      </c>
      <c r="S40" s="53">
        <v>123</v>
      </c>
      <c r="T40" s="16">
        <f t="shared" si="1"/>
        <v>27</v>
      </c>
      <c r="U40" s="53">
        <v>149</v>
      </c>
      <c r="V40" s="16">
        <f t="shared" si="2"/>
        <v>4023</v>
      </c>
      <c r="W40" s="53">
        <v>2</v>
      </c>
      <c r="X40" s="53" t="s">
        <v>46</v>
      </c>
      <c r="Y40" s="53" t="s">
        <v>88</v>
      </c>
      <c r="Z40" s="53" t="s">
        <v>78</v>
      </c>
      <c r="AA40" s="53" t="s">
        <v>69</v>
      </c>
      <c r="AB40" s="53" t="s">
        <v>158</v>
      </c>
    </row>
    <row r="41" spans="1:28" x14ac:dyDescent="0.15">
      <c r="A41" s="53" t="s">
        <v>41</v>
      </c>
      <c r="B41" s="53" t="s">
        <v>157</v>
      </c>
      <c r="C41" s="62">
        <v>2019</v>
      </c>
      <c r="D41" s="63" t="s">
        <v>188</v>
      </c>
      <c r="E41" s="53" t="s">
        <v>186</v>
      </c>
      <c r="F41" s="53" t="s">
        <v>189</v>
      </c>
      <c r="G41" s="53" t="s">
        <v>42</v>
      </c>
      <c r="H41" s="53" t="s">
        <v>160</v>
      </c>
      <c r="I41" s="53" t="s">
        <v>159</v>
      </c>
      <c r="J41" s="53" t="s">
        <v>38</v>
      </c>
      <c r="K41" s="53" t="s">
        <v>161</v>
      </c>
      <c r="L41" s="53">
        <v>1</v>
      </c>
      <c r="N41" s="53">
        <v>6</v>
      </c>
      <c r="O41" s="53">
        <v>0.25</v>
      </c>
      <c r="P41" s="53">
        <v>0.25</v>
      </c>
      <c r="Q41" s="75">
        <f t="shared" si="0"/>
        <v>0.25</v>
      </c>
      <c r="R41" s="53">
        <v>13.7</v>
      </c>
      <c r="S41" s="53">
        <v>105</v>
      </c>
      <c r="T41" s="16">
        <f t="shared" si="1"/>
        <v>33</v>
      </c>
      <c r="U41" s="53">
        <v>626</v>
      </c>
      <c r="V41" s="16">
        <f t="shared" si="2"/>
        <v>3443</v>
      </c>
      <c r="W41" s="53">
        <v>2</v>
      </c>
      <c r="X41" s="53" t="s">
        <v>46</v>
      </c>
      <c r="Y41" s="53" t="s">
        <v>88</v>
      </c>
      <c r="Z41" s="53" t="s">
        <v>78</v>
      </c>
      <c r="AA41" s="53" t="s">
        <v>69</v>
      </c>
      <c r="AB41" s="53" t="s">
        <v>158</v>
      </c>
    </row>
    <row r="42" spans="1:28" x14ac:dyDescent="0.15">
      <c r="A42" s="53" t="s">
        <v>41</v>
      </c>
      <c r="B42" s="53" t="s">
        <v>157</v>
      </c>
      <c r="C42" s="62">
        <v>2019</v>
      </c>
      <c r="D42" s="63" t="s">
        <v>188</v>
      </c>
      <c r="E42" s="53" t="s">
        <v>186</v>
      </c>
      <c r="F42" s="53" t="s">
        <v>189</v>
      </c>
      <c r="G42" s="53" t="s">
        <v>42</v>
      </c>
      <c r="H42" s="53" t="s">
        <v>160</v>
      </c>
      <c r="I42" s="53" t="s">
        <v>159</v>
      </c>
      <c r="J42" s="53" t="s">
        <v>38</v>
      </c>
      <c r="K42" s="53" t="s">
        <v>161</v>
      </c>
      <c r="L42" s="53">
        <v>2</v>
      </c>
      <c r="M42" s="76"/>
      <c r="N42" s="53">
        <v>6</v>
      </c>
      <c r="O42" s="53">
        <v>0.25</v>
      </c>
      <c r="P42" s="53">
        <v>0.25</v>
      </c>
      <c r="Q42" s="75">
        <f t="shared" si="0"/>
        <v>0.25</v>
      </c>
      <c r="R42" s="53">
        <v>15.2</v>
      </c>
      <c r="S42" s="53">
        <v>104</v>
      </c>
      <c r="T42" s="16">
        <f t="shared" si="1"/>
        <v>33</v>
      </c>
      <c r="U42" s="53">
        <v>626</v>
      </c>
      <c r="V42" s="16">
        <f t="shared" si="2"/>
        <v>3443</v>
      </c>
      <c r="W42" s="53">
        <v>2</v>
      </c>
      <c r="X42" s="53" t="s">
        <v>46</v>
      </c>
      <c r="Y42" s="53" t="s">
        <v>88</v>
      </c>
      <c r="Z42" s="53" t="s">
        <v>78</v>
      </c>
      <c r="AA42" s="53" t="s">
        <v>69</v>
      </c>
      <c r="AB42" s="53" t="s">
        <v>158</v>
      </c>
    </row>
    <row r="43" spans="1:28" x14ac:dyDescent="0.15">
      <c r="A43" s="53" t="s">
        <v>41</v>
      </c>
      <c r="B43" s="53" t="s">
        <v>157</v>
      </c>
      <c r="C43" s="62">
        <v>2019</v>
      </c>
      <c r="D43" s="63" t="s">
        <v>188</v>
      </c>
      <c r="E43" s="53" t="s">
        <v>186</v>
      </c>
      <c r="F43" s="53" t="s">
        <v>189</v>
      </c>
      <c r="G43" s="53" t="s">
        <v>42</v>
      </c>
      <c r="H43" s="53" t="s">
        <v>160</v>
      </c>
      <c r="I43" s="53" t="s">
        <v>159</v>
      </c>
      <c r="J43" s="53" t="s">
        <v>38</v>
      </c>
      <c r="K43" s="53" t="s">
        <v>161</v>
      </c>
      <c r="L43" s="53">
        <v>3</v>
      </c>
      <c r="M43" s="76"/>
      <c r="N43" s="53">
        <v>6</v>
      </c>
      <c r="O43" s="53">
        <v>0.25</v>
      </c>
      <c r="P43" s="53">
        <v>0.25</v>
      </c>
      <c r="Q43" s="75">
        <f t="shared" si="0"/>
        <v>0.25</v>
      </c>
      <c r="R43" s="53">
        <v>16</v>
      </c>
      <c r="S43" s="53">
        <v>110</v>
      </c>
      <c r="T43" s="16">
        <f t="shared" si="1"/>
        <v>33</v>
      </c>
      <c r="U43" s="53">
        <v>626</v>
      </c>
      <c r="V43" s="16">
        <f t="shared" si="2"/>
        <v>3443</v>
      </c>
      <c r="W43" s="53">
        <v>2</v>
      </c>
      <c r="X43" s="53" t="s">
        <v>46</v>
      </c>
      <c r="Y43" s="53" t="s">
        <v>88</v>
      </c>
      <c r="Z43" s="53" t="s">
        <v>78</v>
      </c>
      <c r="AA43" s="53" t="s">
        <v>69</v>
      </c>
      <c r="AB43" s="53" t="s">
        <v>158</v>
      </c>
    </row>
    <row r="44" spans="1:28" x14ac:dyDescent="0.15">
      <c r="A44" s="53" t="s">
        <v>41</v>
      </c>
      <c r="B44" s="53" t="s">
        <v>157</v>
      </c>
      <c r="C44" s="62">
        <v>2019</v>
      </c>
      <c r="D44" s="63" t="s">
        <v>188</v>
      </c>
      <c r="E44" s="53" t="s">
        <v>194</v>
      </c>
      <c r="F44" s="53" t="s">
        <v>184</v>
      </c>
      <c r="G44" s="53" t="s">
        <v>42</v>
      </c>
      <c r="H44" s="53" t="s">
        <v>164</v>
      </c>
      <c r="I44" s="53" t="s">
        <v>159</v>
      </c>
      <c r="J44" s="53" t="s">
        <v>38</v>
      </c>
      <c r="K44" s="53" t="s">
        <v>161</v>
      </c>
      <c r="L44" s="53">
        <v>1</v>
      </c>
      <c r="N44" s="53">
        <v>1</v>
      </c>
      <c r="O44" s="53">
        <v>0.8</v>
      </c>
      <c r="P44" s="53">
        <v>0.9</v>
      </c>
      <c r="Q44" s="75">
        <f t="shared" si="0"/>
        <v>0.85000000000000009</v>
      </c>
      <c r="R44" s="53">
        <v>13.4</v>
      </c>
      <c r="S44" s="53">
        <v>122</v>
      </c>
      <c r="T44" s="16">
        <f t="shared" si="1"/>
        <v>27</v>
      </c>
      <c r="U44" s="53">
        <v>108</v>
      </c>
      <c r="V44" s="16">
        <f t="shared" si="2"/>
        <v>2916</v>
      </c>
      <c r="W44" s="53">
        <v>2</v>
      </c>
      <c r="X44" s="53" t="s">
        <v>46</v>
      </c>
      <c r="Y44" s="53" t="s">
        <v>102</v>
      </c>
      <c r="Z44" s="53" t="s">
        <v>88</v>
      </c>
      <c r="AA44" s="53" t="s">
        <v>69</v>
      </c>
      <c r="AB44" s="53" t="s">
        <v>158</v>
      </c>
    </row>
    <row r="45" spans="1:28" x14ac:dyDescent="0.15">
      <c r="A45" s="53" t="s">
        <v>41</v>
      </c>
      <c r="B45" s="53" t="s">
        <v>157</v>
      </c>
      <c r="C45" s="62">
        <v>2019</v>
      </c>
      <c r="D45" s="63" t="s">
        <v>188</v>
      </c>
      <c r="E45" s="53" t="s">
        <v>194</v>
      </c>
      <c r="F45" s="53" t="s">
        <v>184</v>
      </c>
      <c r="G45" s="53" t="s">
        <v>42</v>
      </c>
      <c r="H45" s="53" t="s">
        <v>164</v>
      </c>
      <c r="I45" s="53" t="s">
        <v>159</v>
      </c>
      <c r="J45" s="53" t="s">
        <v>38</v>
      </c>
      <c r="K45" s="53" t="s">
        <v>161</v>
      </c>
      <c r="L45" s="53">
        <v>2</v>
      </c>
      <c r="M45" s="76"/>
      <c r="N45" s="53">
        <v>1</v>
      </c>
      <c r="O45" s="53">
        <v>0.9</v>
      </c>
      <c r="P45" s="53">
        <v>0.85</v>
      </c>
      <c r="Q45" s="75">
        <f t="shared" si="0"/>
        <v>0.875</v>
      </c>
      <c r="R45" s="53">
        <v>15</v>
      </c>
      <c r="S45" s="53">
        <v>122</v>
      </c>
      <c r="T45" s="16">
        <f t="shared" si="1"/>
        <v>27</v>
      </c>
      <c r="U45" s="53">
        <v>108</v>
      </c>
      <c r="V45" s="16">
        <f t="shared" si="2"/>
        <v>2916</v>
      </c>
      <c r="W45" s="53">
        <v>2</v>
      </c>
      <c r="X45" s="53" t="s">
        <v>46</v>
      </c>
      <c r="Y45" s="53" t="s">
        <v>102</v>
      </c>
      <c r="Z45" s="53" t="s">
        <v>88</v>
      </c>
      <c r="AA45" s="53" t="s">
        <v>69</v>
      </c>
      <c r="AB45" s="53" t="s">
        <v>158</v>
      </c>
    </row>
    <row r="46" spans="1:28" x14ac:dyDescent="0.15">
      <c r="A46" s="53" t="s">
        <v>41</v>
      </c>
      <c r="B46" s="53" t="s">
        <v>157</v>
      </c>
      <c r="C46" s="62">
        <v>2019</v>
      </c>
      <c r="D46" s="63" t="s">
        <v>188</v>
      </c>
      <c r="E46" s="53" t="s">
        <v>194</v>
      </c>
      <c r="F46" s="53" t="s">
        <v>184</v>
      </c>
      <c r="G46" s="53" t="s">
        <v>42</v>
      </c>
      <c r="H46" s="53" t="s">
        <v>164</v>
      </c>
      <c r="I46" s="53" t="s">
        <v>159</v>
      </c>
      <c r="J46" s="53" t="s">
        <v>38</v>
      </c>
      <c r="K46" s="53" t="s">
        <v>161</v>
      </c>
      <c r="L46" s="53">
        <v>3</v>
      </c>
      <c r="M46" s="76"/>
      <c r="N46" s="53">
        <v>1</v>
      </c>
      <c r="O46" s="53">
        <v>0.85</v>
      </c>
      <c r="P46" s="53">
        <v>0.65</v>
      </c>
      <c r="Q46" s="75">
        <f t="shared" si="0"/>
        <v>0.75</v>
      </c>
      <c r="R46" s="53">
        <v>12.8</v>
      </c>
      <c r="S46" s="53">
        <v>124</v>
      </c>
      <c r="T46" s="16">
        <f t="shared" si="1"/>
        <v>27</v>
      </c>
      <c r="U46" s="53">
        <v>108</v>
      </c>
      <c r="V46" s="16">
        <f t="shared" si="2"/>
        <v>2916</v>
      </c>
      <c r="W46" s="53">
        <v>2</v>
      </c>
      <c r="X46" s="53" t="s">
        <v>46</v>
      </c>
      <c r="Y46" s="53" t="s">
        <v>102</v>
      </c>
      <c r="Z46" s="53" t="s">
        <v>88</v>
      </c>
      <c r="AA46" s="53" t="s">
        <v>69</v>
      </c>
      <c r="AB46" s="53" t="s">
        <v>158</v>
      </c>
    </row>
    <row r="47" spans="1:28" x14ac:dyDescent="0.15">
      <c r="A47" s="53" t="s">
        <v>41</v>
      </c>
      <c r="B47" s="53" t="s">
        <v>157</v>
      </c>
      <c r="C47" s="62">
        <v>2019</v>
      </c>
      <c r="D47" s="63" t="s">
        <v>188</v>
      </c>
      <c r="E47" s="53" t="s">
        <v>194</v>
      </c>
      <c r="F47" s="53" t="s">
        <v>184</v>
      </c>
      <c r="G47" s="53" t="s">
        <v>42</v>
      </c>
      <c r="H47" s="53" t="s">
        <v>160</v>
      </c>
      <c r="I47" s="53" t="s">
        <v>159</v>
      </c>
      <c r="J47" s="53" t="s">
        <v>38</v>
      </c>
      <c r="K47" s="53" t="s">
        <v>161</v>
      </c>
      <c r="L47" s="53">
        <v>1</v>
      </c>
      <c r="N47" s="53">
        <v>1</v>
      </c>
      <c r="O47" s="53">
        <v>0.35</v>
      </c>
      <c r="P47" s="53">
        <v>0.4</v>
      </c>
      <c r="Q47" s="75">
        <f t="shared" si="0"/>
        <v>0.375</v>
      </c>
      <c r="R47" s="53">
        <v>13.7</v>
      </c>
      <c r="S47" s="53">
        <v>123</v>
      </c>
      <c r="T47" s="16">
        <f t="shared" si="1"/>
        <v>27</v>
      </c>
      <c r="U47" s="53">
        <v>170</v>
      </c>
      <c r="V47" s="16">
        <f t="shared" si="2"/>
        <v>4590</v>
      </c>
      <c r="W47" s="53">
        <v>2</v>
      </c>
      <c r="X47" s="53" t="s">
        <v>46</v>
      </c>
      <c r="Y47" s="53" t="s">
        <v>102</v>
      </c>
      <c r="Z47" s="53" t="s">
        <v>88</v>
      </c>
      <c r="AA47" s="53" t="s">
        <v>69</v>
      </c>
      <c r="AB47" s="53" t="s">
        <v>158</v>
      </c>
    </row>
    <row r="48" spans="1:28" x14ac:dyDescent="0.15">
      <c r="A48" s="53" t="s">
        <v>41</v>
      </c>
      <c r="B48" s="53" t="s">
        <v>157</v>
      </c>
      <c r="C48" s="62">
        <v>2019</v>
      </c>
      <c r="D48" s="63" t="s">
        <v>188</v>
      </c>
      <c r="E48" s="53" t="s">
        <v>194</v>
      </c>
      <c r="F48" s="53" t="s">
        <v>184</v>
      </c>
      <c r="G48" s="53" t="s">
        <v>42</v>
      </c>
      <c r="H48" s="53" t="s">
        <v>160</v>
      </c>
      <c r="I48" s="53" t="s">
        <v>159</v>
      </c>
      <c r="J48" s="53" t="s">
        <v>38</v>
      </c>
      <c r="K48" s="53" t="s">
        <v>161</v>
      </c>
      <c r="L48" s="53">
        <v>2</v>
      </c>
      <c r="M48" s="76"/>
      <c r="N48" s="53">
        <v>1</v>
      </c>
      <c r="O48" s="53">
        <v>0.45</v>
      </c>
      <c r="P48" s="53">
        <v>0.45</v>
      </c>
      <c r="Q48" s="75">
        <f t="shared" si="0"/>
        <v>0.45</v>
      </c>
      <c r="R48" s="53">
        <v>15.4</v>
      </c>
      <c r="S48" s="53">
        <v>125</v>
      </c>
      <c r="T48" s="16">
        <f t="shared" si="1"/>
        <v>27</v>
      </c>
      <c r="U48" s="53">
        <v>170</v>
      </c>
      <c r="V48" s="16">
        <f t="shared" si="2"/>
        <v>4590</v>
      </c>
      <c r="W48" s="53">
        <v>2</v>
      </c>
      <c r="X48" s="53" t="s">
        <v>46</v>
      </c>
      <c r="Y48" s="53" t="s">
        <v>102</v>
      </c>
      <c r="Z48" s="53" t="s">
        <v>88</v>
      </c>
      <c r="AA48" s="53" t="s">
        <v>69</v>
      </c>
      <c r="AB48" s="53" t="s">
        <v>158</v>
      </c>
    </row>
    <row r="49" spans="1:34" x14ac:dyDescent="0.15">
      <c r="A49" s="53" t="s">
        <v>41</v>
      </c>
      <c r="B49" s="53" t="s">
        <v>157</v>
      </c>
      <c r="C49" s="62">
        <v>2019</v>
      </c>
      <c r="D49" s="63" t="s">
        <v>188</v>
      </c>
      <c r="E49" s="53" t="s">
        <v>194</v>
      </c>
      <c r="F49" s="53" t="s">
        <v>184</v>
      </c>
      <c r="G49" s="53" t="s">
        <v>42</v>
      </c>
      <c r="H49" s="53" t="s">
        <v>160</v>
      </c>
      <c r="I49" s="53" t="s">
        <v>159</v>
      </c>
      <c r="J49" s="53" t="s">
        <v>38</v>
      </c>
      <c r="K49" s="53" t="s">
        <v>161</v>
      </c>
      <c r="L49" s="53">
        <v>3</v>
      </c>
      <c r="M49" s="76"/>
      <c r="N49" s="53">
        <v>1</v>
      </c>
      <c r="O49" s="53">
        <v>0.5</v>
      </c>
      <c r="P49" s="53">
        <v>0.55000000000000004</v>
      </c>
      <c r="Q49" s="75">
        <f t="shared" si="0"/>
        <v>0.52500000000000002</v>
      </c>
      <c r="R49" s="53">
        <v>14.9</v>
      </c>
      <c r="S49" s="53">
        <v>123</v>
      </c>
      <c r="T49" s="16">
        <f t="shared" si="1"/>
        <v>27</v>
      </c>
      <c r="U49" s="53">
        <v>170</v>
      </c>
      <c r="V49" s="16">
        <f t="shared" si="2"/>
        <v>4590</v>
      </c>
      <c r="W49" s="53">
        <v>2</v>
      </c>
      <c r="X49" s="53" t="s">
        <v>46</v>
      </c>
      <c r="Y49" s="53" t="s">
        <v>102</v>
      </c>
      <c r="Z49" s="53" t="s">
        <v>88</v>
      </c>
      <c r="AA49" s="53" t="s">
        <v>69</v>
      </c>
      <c r="AB49" s="53" t="s">
        <v>158</v>
      </c>
    </row>
    <row r="50" spans="1:34" x14ac:dyDescent="0.15">
      <c r="A50" s="53" t="s">
        <v>41</v>
      </c>
      <c r="B50" s="53" t="s">
        <v>157</v>
      </c>
      <c r="C50" s="62">
        <v>2019</v>
      </c>
      <c r="D50" s="63" t="s">
        <v>188</v>
      </c>
      <c r="E50" s="53" t="s">
        <v>194</v>
      </c>
      <c r="F50" s="53" t="s">
        <v>196</v>
      </c>
      <c r="G50" s="53" t="s">
        <v>42</v>
      </c>
      <c r="H50" s="53" t="s">
        <v>164</v>
      </c>
      <c r="I50" s="53" t="s">
        <v>159</v>
      </c>
      <c r="J50" s="53" t="s">
        <v>38</v>
      </c>
      <c r="K50" s="53" t="s">
        <v>161</v>
      </c>
      <c r="L50" s="53">
        <v>1</v>
      </c>
      <c r="N50" s="53">
        <v>1</v>
      </c>
      <c r="O50" s="53">
        <v>0.25</v>
      </c>
      <c r="P50" s="53">
        <v>0.45</v>
      </c>
      <c r="Q50" s="75">
        <f t="shared" si="0"/>
        <v>0.35</v>
      </c>
      <c r="R50" s="53">
        <v>11.5</v>
      </c>
      <c r="S50" s="53">
        <v>123</v>
      </c>
      <c r="T50" s="16">
        <f t="shared" si="1"/>
        <v>27</v>
      </c>
      <c r="U50" s="53">
        <v>105</v>
      </c>
      <c r="V50" s="16">
        <f t="shared" si="2"/>
        <v>2835</v>
      </c>
      <c r="W50" s="53">
        <v>1</v>
      </c>
      <c r="X50" s="53" t="s">
        <v>46</v>
      </c>
      <c r="Y50" s="53" t="s">
        <v>86</v>
      </c>
      <c r="Z50" s="53" t="s">
        <v>88</v>
      </c>
      <c r="AA50" s="53" t="s">
        <v>102</v>
      </c>
      <c r="AB50" s="53" t="s">
        <v>158</v>
      </c>
    </row>
    <row r="51" spans="1:34" x14ac:dyDescent="0.15">
      <c r="A51" s="53" t="s">
        <v>41</v>
      </c>
      <c r="B51" s="53" t="s">
        <v>157</v>
      </c>
      <c r="C51" s="62">
        <v>2019</v>
      </c>
      <c r="D51" s="63" t="s">
        <v>188</v>
      </c>
      <c r="E51" s="53" t="s">
        <v>194</v>
      </c>
      <c r="F51" s="53" t="s">
        <v>196</v>
      </c>
      <c r="G51" s="53" t="s">
        <v>42</v>
      </c>
      <c r="H51" s="53" t="s">
        <v>164</v>
      </c>
      <c r="I51" s="53" t="s">
        <v>159</v>
      </c>
      <c r="J51" s="53" t="s">
        <v>38</v>
      </c>
      <c r="K51" s="53" t="s">
        <v>161</v>
      </c>
      <c r="L51" s="53">
        <v>2</v>
      </c>
      <c r="M51" s="76"/>
      <c r="N51" s="53">
        <v>1</v>
      </c>
      <c r="O51" s="53">
        <v>0.35</v>
      </c>
      <c r="P51" s="53">
        <v>0.4</v>
      </c>
      <c r="Q51" s="75">
        <f t="shared" si="0"/>
        <v>0.375</v>
      </c>
      <c r="R51" s="53">
        <v>13</v>
      </c>
      <c r="S51" s="53">
        <v>124</v>
      </c>
      <c r="T51" s="16">
        <f t="shared" si="1"/>
        <v>27</v>
      </c>
      <c r="U51" s="53">
        <v>105</v>
      </c>
      <c r="V51" s="16">
        <f t="shared" si="2"/>
        <v>2835</v>
      </c>
      <c r="W51" s="53">
        <v>1</v>
      </c>
      <c r="X51" s="53" t="s">
        <v>46</v>
      </c>
      <c r="Y51" s="53" t="s">
        <v>86</v>
      </c>
      <c r="Z51" s="53" t="s">
        <v>88</v>
      </c>
      <c r="AA51" s="53" t="s">
        <v>102</v>
      </c>
      <c r="AB51" s="53" t="s">
        <v>158</v>
      </c>
    </row>
    <row r="52" spans="1:34" x14ac:dyDescent="0.15">
      <c r="A52" s="53" t="s">
        <v>41</v>
      </c>
      <c r="B52" s="53" t="s">
        <v>157</v>
      </c>
      <c r="C52" s="62">
        <v>2019</v>
      </c>
      <c r="D52" s="63" t="s">
        <v>188</v>
      </c>
      <c r="E52" s="53" t="s">
        <v>194</v>
      </c>
      <c r="F52" s="53" t="s">
        <v>196</v>
      </c>
      <c r="G52" s="53" t="s">
        <v>42</v>
      </c>
      <c r="H52" s="53" t="s">
        <v>164</v>
      </c>
      <c r="I52" s="53" t="s">
        <v>159</v>
      </c>
      <c r="J52" s="53" t="s">
        <v>38</v>
      </c>
      <c r="K52" s="53" t="s">
        <v>161</v>
      </c>
      <c r="L52" s="53">
        <v>3</v>
      </c>
      <c r="M52" s="76"/>
      <c r="N52" s="53">
        <v>1</v>
      </c>
      <c r="O52" s="53">
        <v>0.3</v>
      </c>
      <c r="P52" s="53">
        <v>0.25</v>
      </c>
      <c r="Q52" s="75">
        <f t="shared" si="0"/>
        <v>0.27500000000000002</v>
      </c>
      <c r="R52" s="53">
        <v>10.4</v>
      </c>
      <c r="S52" s="53">
        <v>122</v>
      </c>
      <c r="T52" s="16">
        <f t="shared" si="1"/>
        <v>27</v>
      </c>
      <c r="U52" s="53">
        <v>105</v>
      </c>
      <c r="V52" s="16">
        <f t="shared" si="2"/>
        <v>2835</v>
      </c>
      <c r="W52" s="53">
        <v>1</v>
      </c>
      <c r="X52" s="53" t="s">
        <v>46</v>
      </c>
      <c r="Y52" s="53" t="s">
        <v>86</v>
      </c>
      <c r="Z52" s="53" t="s">
        <v>88</v>
      </c>
      <c r="AA52" s="53" t="s">
        <v>102</v>
      </c>
      <c r="AB52" s="53" t="s">
        <v>158</v>
      </c>
    </row>
    <row r="53" spans="1:34" x14ac:dyDescent="0.15">
      <c r="A53" s="53" t="s">
        <v>41</v>
      </c>
      <c r="B53" s="53" t="s">
        <v>157</v>
      </c>
      <c r="C53" s="62">
        <v>2019</v>
      </c>
      <c r="D53" s="63" t="s">
        <v>188</v>
      </c>
      <c r="E53" s="53" t="s">
        <v>194</v>
      </c>
      <c r="F53" s="53" t="s">
        <v>196</v>
      </c>
      <c r="G53" s="53" t="s">
        <v>42</v>
      </c>
      <c r="H53" s="53" t="s">
        <v>164</v>
      </c>
      <c r="I53" s="53" t="s">
        <v>159</v>
      </c>
      <c r="J53" s="53" t="s">
        <v>38</v>
      </c>
      <c r="K53" s="53" t="s">
        <v>161</v>
      </c>
      <c r="L53" s="53">
        <v>1</v>
      </c>
      <c r="N53" s="53">
        <v>4</v>
      </c>
      <c r="O53" s="53">
        <v>0.4</v>
      </c>
      <c r="P53" s="53">
        <v>0.5</v>
      </c>
      <c r="Q53" s="75">
        <f t="shared" si="0"/>
        <v>0.45</v>
      </c>
      <c r="R53" s="53">
        <v>13.4</v>
      </c>
      <c r="S53" s="53">
        <v>116</v>
      </c>
      <c r="T53" s="16">
        <f t="shared" si="1"/>
        <v>30</v>
      </c>
      <c r="U53" s="53">
        <v>421</v>
      </c>
      <c r="V53" s="16">
        <f t="shared" si="2"/>
        <v>3157.5</v>
      </c>
      <c r="W53" s="53">
        <v>2</v>
      </c>
      <c r="X53" s="53" t="s">
        <v>46</v>
      </c>
      <c r="Y53" s="53" t="s">
        <v>86</v>
      </c>
      <c r="Z53" s="53" t="s">
        <v>88</v>
      </c>
      <c r="AA53" s="53" t="s">
        <v>102</v>
      </c>
      <c r="AB53" s="53" t="s">
        <v>158</v>
      </c>
    </row>
    <row r="54" spans="1:34" x14ac:dyDescent="0.15">
      <c r="A54" s="53" t="s">
        <v>41</v>
      </c>
      <c r="B54" s="53" t="s">
        <v>157</v>
      </c>
      <c r="C54" s="62">
        <v>2019</v>
      </c>
      <c r="D54" s="63" t="s">
        <v>188</v>
      </c>
      <c r="E54" s="53" t="s">
        <v>194</v>
      </c>
      <c r="F54" s="53" t="s">
        <v>196</v>
      </c>
      <c r="G54" s="53" t="s">
        <v>42</v>
      </c>
      <c r="H54" s="53" t="s">
        <v>164</v>
      </c>
      <c r="I54" s="53" t="s">
        <v>159</v>
      </c>
      <c r="J54" s="53" t="s">
        <v>38</v>
      </c>
      <c r="K54" s="53" t="s">
        <v>161</v>
      </c>
      <c r="L54" s="53">
        <v>2</v>
      </c>
      <c r="M54" s="76"/>
      <c r="N54" s="53">
        <v>4</v>
      </c>
      <c r="O54" s="53">
        <v>0.45</v>
      </c>
      <c r="P54" s="53">
        <v>0.5</v>
      </c>
      <c r="Q54" s="75">
        <f t="shared" si="0"/>
        <v>0.47499999999999998</v>
      </c>
      <c r="R54" s="53">
        <v>14.7</v>
      </c>
      <c r="S54" s="53">
        <v>115</v>
      </c>
      <c r="T54" s="16">
        <f t="shared" si="1"/>
        <v>30</v>
      </c>
      <c r="U54" s="53">
        <v>421</v>
      </c>
      <c r="V54" s="16">
        <f t="shared" si="2"/>
        <v>3157.5</v>
      </c>
      <c r="W54" s="53">
        <v>2</v>
      </c>
      <c r="X54" s="53" t="s">
        <v>46</v>
      </c>
      <c r="Y54" s="53" t="s">
        <v>86</v>
      </c>
      <c r="Z54" s="53" t="s">
        <v>88</v>
      </c>
      <c r="AA54" s="53" t="s">
        <v>102</v>
      </c>
      <c r="AB54" s="53" t="s">
        <v>158</v>
      </c>
    </row>
    <row r="55" spans="1:34" x14ac:dyDescent="0.15">
      <c r="A55" s="53" t="s">
        <v>41</v>
      </c>
      <c r="B55" s="53" t="s">
        <v>157</v>
      </c>
      <c r="C55" s="62">
        <v>2019</v>
      </c>
      <c r="D55" s="63" t="s">
        <v>188</v>
      </c>
      <c r="E55" s="53" t="s">
        <v>194</v>
      </c>
      <c r="F55" s="53" t="s">
        <v>196</v>
      </c>
      <c r="G55" s="53" t="s">
        <v>42</v>
      </c>
      <c r="H55" s="53" t="s">
        <v>164</v>
      </c>
      <c r="I55" s="53" t="s">
        <v>159</v>
      </c>
      <c r="J55" s="53" t="s">
        <v>38</v>
      </c>
      <c r="K55" s="53" t="s">
        <v>161</v>
      </c>
      <c r="L55" s="53">
        <v>3</v>
      </c>
      <c r="M55" s="76"/>
      <c r="N55" s="53">
        <v>4</v>
      </c>
      <c r="O55" s="53">
        <v>0.35</v>
      </c>
      <c r="P55" s="53">
        <v>0.4</v>
      </c>
      <c r="Q55" s="75">
        <f t="shared" si="0"/>
        <v>0.375</v>
      </c>
      <c r="R55" s="53">
        <v>14</v>
      </c>
      <c r="S55" s="53">
        <v>113</v>
      </c>
      <c r="T55" s="16">
        <f t="shared" si="1"/>
        <v>30</v>
      </c>
      <c r="U55" s="53">
        <v>421</v>
      </c>
      <c r="V55" s="16">
        <f t="shared" si="2"/>
        <v>3157.5</v>
      </c>
      <c r="W55" s="53">
        <v>2</v>
      </c>
      <c r="X55" s="53" t="s">
        <v>46</v>
      </c>
      <c r="Y55" s="53" t="s">
        <v>86</v>
      </c>
      <c r="Z55" s="53" t="s">
        <v>88</v>
      </c>
      <c r="AA55" s="53" t="s">
        <v>102</v>
      </c>
      <c r="AB55" s="53" t="s">
        <v>158</v>
      </c>
    </row>
    <row r="56" spans="1:34" x14ac:dyDescent="0.15">
      <c r="A56" s="53" t="s">
        <v>41</v>
      </c>
      <c r="B56" s="53" t="s">
        <v>157</v>
      </c>
      <c r="C56" s="62">
        <v>2019</v>
      </c>
      <c r="D56" s="63" t="s">
        <v>188</v>
      </c>
      <c r="E56" s="53" t="s">
        <v>194</v>
      </c>
      <c r="F56" s="53" t="s">
        <v>196</v>
      </c>
      <c r="G56" s="53" t="s">
        <v>42</v>
      </c>
      <c r="H56" s="53" t="s">
        <v>160</v>
      </c>
      <c r="I56" s="53" t="s">
        <v>159</v>
      </c>
      <c r="J56" s="53" t="s">
        <v>38</v>
      </c>
      <c r="K56" s="53" t="s">
        <v>161</v>
      </c>
      <c r="L56" s="53">
        <v>1</v>
      </c>
      <c r="N56" s="53">
        <v>1</v>
      </c>
      <c r="O56" s="53">
        <v>0.45</v>
      </c>
      <c r="P56" s="53">
        <v>0.55000000000000004</v>
      </c>
      <c r="Q56" s="75">
        <f t="shared" si="0"/>
        <v>0.5</v>
      </c>
      <c r="R56" s="53">
        <v>13.8</v>
      </c>
      <c r="S56" s="53">
        <v>123</v>
      </c>
      <c r="T56" s="16">
        <f t="shared" si="1"/>
        <v>27</v>
      </c>
      <c r="U56" s="53">
        <v>170</v>
      </c>
      <c r="V56" s="16">
        <f t="shared" si="2"/>
        <v>4590</v>
      </c>
      <c r="W56" s="53">
        <v>1</v>
      </c>
      <c r="X56" s="53" t="s">
        <v>46</v>
      </c>
      <c r="Y56" s="53" t="s">
        <v>86</v>
      </c>
      <c r="Z56" s="53" t="s">
        <v>88</v>
      </c>
      <c r="AA56" s="53" t="s">
        <v>102</v>
      </c>
      <c r="AB56" s="53" t="s">
        <v>158</v>
      </c>
      <c r="AC56" s="76"/>
      <c r="AD56" s="76"/>
      <c r="AE56" s="76"/>
      <c r="AF56" s="76"/>
      <c r="AG56" s="76"/>
      <c r="AH56" s="76"/>
    </row>
    <row r="57" spans="1:34" x14ac:dyDescent="0.15">
      <c r="A57" s="53" t="s">
        <v>41</v>
      </c>
      <c r="B57" s="53" t="s">
        <v>157</v>
      </c>
      <c r="C57" s="62">
        <v>2019</v>
      </c>
      <c r="D57" s="63" t="s">
        <v>188</v>
      </c>
      <c r="E57" s="53" t="s">
        <v>194</v>
      </c>
      <c r="F57" s="53" t="s">
        <v>196</v>
      </c>
      <c r="G57" s="53" t="s">
        <v>42</v>
      </c>
      <c r="H57" s="53" t="s">
        <v>160</v>
      </c>
      <c r="I57" s="53" t="s">
        <v>159</v>
      </c>
      <c r="J57" s="53" t="s">
        <v>38</v>
      </c>
      <c r="K57" s="53" t="s">
        <v>161</v>
      </c>
      <c r="L57" s="53">
        <v>2</v>
      </c>
      <c r="M57" s="76"/>
      <c r="N57" s="53">
        <v>1</v>
      </c>
      <c r="O57" s="53">
        <v>0.6</v>
      </c>
      <c r="P57" s="53">
        <v>0.6</v>
      </c>
      <c r="Q57" s="75">
        <f t="shared" si="0"/>
        <v>0.6</v>
      </c>
      <c r="R57" s="53">
        <v>15.4</v>
      </c>
      <c r="S57" s="53">
        <v>123</v>
      </c>
      <c r="T57" s="16">
        <f t="shared" si="1"/>
        <v>27</v>
      </c>
      <c r="U57" s="53">
        <v>170</v>
      </c>
      <c r="V57" s="16">
        <f t="shared" si="2"/>
        <v>4590</v>
      </c>
      <c r="W57" s="53">
        <v>1</v>
      </c>
      <c r="X57" s="53" t="s">
        <v>46</v>
      </c>
      <c r="Y57" s="53" t="s">
        <v>86</v>
      </c>
      <c r="Z57" s="53" t="s">
        <v>88</v>
      </c>
      <c r="AA57" s="53" t="s">
        <v>102</v>
      </c>
      <c r="AB57" s="53" t="s">
        <v>158</v>
      </c>
      <c r="AC57" s="76"/>
      <c r="AD57" s="76"/>
      <c r="AE57" s="76"/>
      <c r="AF57" s="76"/>
      <c r="AG57" s="76"/>
      <c r="AH57" s="76"/>
    </row>
    <row r="58" spans="1:34" x14ac:dyDescent="0.15">
      <c r="A58" s="53" t="s">
        <v>41</v>
      </c>
      <c r="B58" s="53" t="s">
        <v>157</v>
      </c>
      <c r="C58" s="62">
        <v>2019</v>
      </c>
      <c r="D58" s="63" t="s">
        <v>188</v>
      </c>
      <c r="E58" s="53" t="s">
        <v>194</v>
      </c>
      <c r="F58" s="53" t="s">
        <v>196</v>
      </c>
      <c r="G58" s="53" t="s">
        <v>42</v>
      </c>
      <c r="H58" s="53" t="s">
        <v>160</v>
      </c>
      <c r="I58" s="53" t="s">
        <v>159</v>
      </c>
      <c r="J58" s="53" t="s">
        <v>38</v>
      </c>
      <c r="K58" s="53" t="s">
        <v>161</v>
      </c>
      <c r="L58" s="53">
        <v>3</v>
      </c>
      <c r="M58" s="76"/>
      <c r="N58" s="53">
        <v>1</v>
      </c>
      <c r="O58" s="53">
        <v>0.5</v>
      </c>
      <c r="P58" s="53">
        <v>0.5</v>
      </c>
      <c r="Q58" s="75">
        <f t="shared" si="0"/>
        <v>0.5</v>
      </c>
      <c r="R58" s="53">
        <v>16.2</v>
      </c>
      <c r="S58" s="53">
        <v>123</v>
      </c>
      <c r="T58" s="16">
        <f t="shared" si="1"/>
        <v>27</v>
      </c>
      <c r="U58" s="53">
        <v>170</v>
      </c>
      <c r="V58" s="16">
        <f t="shared" si="2"/>
        <v>4590</v>
      </c>
      <c r="W58" s="53">
        <v>1</v>
      </c>
      <c r="X58" s="53" t="s">
        <v>46</v>
      </c>
      <c r="Y58" s="53" t="s">
        <v>86</v>
      </c>
      <c r="Z58" s="53" t="s">
        <v>88</v>
      </c>
      <c r="AA58" s="53" t="s">
        <v>102</v>
      </c>
      <c r="AB58" s="53" t="s">
        <v>158</v>
      </c>
      <c r="AC58" s="76"/>
      <c r="AD58" s="76"/>
      <c r="AE58" s="76"/>
      <c r="AF58" s="76"/>
      <c r="AG58" s="76"/>
      <c r="AH58" s="76"/>
    </row>
    <row r="59" spans="1:34" x14ac:dyDescent="0.15">
      <c r="A59" s="53" t="s">
        <v>41</v>
      </c>
      <c r="B59" s="53" t="s">
        <v>157</v>
      </c>
      <c r="C59" s="62">
        <v>2019</v>
      </c>
      <c r="D59" s="63" t="s">
        <v>188</v>
      </c>
      <c r="E59" s="53" t="s">
        <v>194</v>
      </c>
      <c r="F59" s="53" t="s">
        <v>196</v>
      </c>
      <c r="G59" s="53" t="s">
        <v>42</v>
      </c>
      <c r="H59" s="53" t="s">
        <v>160</v>
      </c>
      <c r="I59" s="53" t="s">
        <v>159</v>
      </c>
      <c r="J59" s="53" t="s">
        <v>38</v>
      </c>
      <c r="K59" s="53" t="s">
        <v>161</v>
      </c>
      <c r="L59" s="53">
        <v>1</v>
      </c>
      <c r="N59" s="53">
        <v>4</v>
      </c>
      <c r="O59" s="53">
        <v>0.25</v>
      </c>
      <c r="P59" s="53">
        <v>0.25</v>
      </c>
      <c r="Q59" s="75">
        <f t="shared" si="0"/>
        <v>0.25</v>
      </c>
      <c r="R59" s="53">
        <v>15.8</v>
      </c>
      <c r="S59" s="53">
        <v>112</v>
      </c>
      <c r="T59" s="16">
        <f t="shared" si="1"/>
        <v>33</v>
      </c>
      <c r="U59" s="53">
        <v>538</v>
      </c>
      <c r="V59" s="16">
        <f t="shared" si="2"/>
        <v>4438.5</v>
      </c>
      <c r="W59" s="53">
        <v>2</v>
      </c>
      <c r="X59" s="53" t="s">
        <v>46</v>
      </c>
      <c r="Y59" s="53" t="s">
        <v>86</v>
      </c>
      <c r="Z59" s="53" t="s">
        <v>88</v>
      </c>
      <c r="AA59" s="53" t="s">
        <v>102</v>
      </c>
      <c r="AB59" s="53" t="s">
        <v>158</v>
      </c>
      <c r="AC59" s="76"/>
      <c r="AD59" s="76"/>
      <c r="AE59" s="76"/>
      <c r="AF59" s="76"/>
      <c r="AG59" s="76"/>
      <c r="AH59" s="76"/>
    </row>
    <row r="60" spans="1:34" x14ac:dyDescent="0.15">
      <c r="A60" s="53" t="s">
        <v>41</v>
      </c>
      <c r="B60" s="53" t="s">
        <v>157</v>
      </c>
      <c r="C60" s="62">
        <v>2019</v>
      </c>
      <c r="D60" s="63" t="s">
        <v>188</v>
      </c>
      <c r="E60" s="53" t="s">
        <v>194</v>
      </c>
      <c r="F60" s="53" t="s">
        <v>196</v>
      </c>
      <c r="G60" s="53" t="s">
        <v>42</v>
      </c>
      <c r="H60" s="53" t="s">
        <v>160</v>
      </c>
      <c r="I60" s="53" t="s">
        <v>159</v>
      </c>
      <c r="J60" s="53" t="s">
        <v>38</v>
      </c>
      <c r="K60" s="53" t="s">
        <v>161</v>
      </c>
      <c r="L60" s="53">
        <v>2</v>
      </c>
      <c r="M60" s="76"/>
      <c r="N60" s="53">
        <v>4</v>
      </c>
      <c r="O60" s="53">
        <v>0.3</v>
      </c>
      <c r="P60" s="53">
        <v>0.25</v>
      </c>
      <c r="Q60" s="75">
        <f t="shared" si="0"/>
        <v>0.27500000000000002</v>
      </c>
      <c r="R60" s="53">
        <v>15.9</v>
      </c>
      <c r="S60" s="53">
        <v>110</v>
      </c>
      <c r="T60" s="16">
        <f t="shared" si="1"/>
        <v>33</v>
      </c>
      <c r="U60" s="53">
        <v>538</v>
      </c>
      <c r="V60" s="16">
        <f t="shared" si="2"/>
        <v>4438.5</v>
      </c>
      <c r="W60" s="53">
        <v>2</v>
      </c>
      <c r="X60" s="53" t="s">
        <v>46</v>
      </c>
      <c r="Y60" s="53" t="s">
        <v>86</v>
      </c>
      <c r="Z60" s="53" t="s">
        <v>88</v>
      </c>
      <c r="AA60" s="53" t="s">
        <v>102</v>
      </c>
      <c r="AB60" s="53" t="s">
        <v>158</v>
      </c>
      <c r="AC60" s="76"/>
      <c r="AD60" s="76"/>
      <c r="AE60" s="76"/>
      <c r="AF60" s="76"/>
      <c r="AG60" s="76"/>
      <c r="AH60" s="76"/>
    </row>
    <row r="61" spans="1:34" x14ac:dyDescent="0.15">
      <c r="A61" s="53" t="s">
        <v>41</v>
      </c>
      <c r="B61" s="53" t="s">
        <v>157</v>
      </c>
      <c r="C61" s="62">
        <v>2019</v>
      </c>
      <c r="D61" s="63" t="s">
        <v>188</v>
      </c>
      <c r="E61" s="53" t="s">
        <v>194</v>
      </c>
      <c r="F61" s="53" t="s">
        <v>196</v>
      </c>
      <c r="G61" s="53" t="s">
        <v>42</v>
      </c>
      <c r="H61" s="53" t="s">
        <v>160</v>
      </c>
      <c r="I61" s="53" t="s">
        <v>159</v>
      </c>
      <c r="J61" s="53" t="s">
        <v>38</v>
      </c>
      <c r="K61" s="53" t="s">
        <v>161</v>
      </c>
      <c r="L61" s="53">
        <v>3</v>
      </c>
      <c r="M61" s="76"/>
      <c r="N61" s="53">
        <v>4</v>
      </c>
      <c r="O61" s="53">
        <v>0.3</v>
      </c>
      <c r="P61" s="53">
        <v>0.25</v>
      </c>
      <c r="Q61" s="75">
        <f t="shared" si="0"/>
        <v>0.27500000000000002</v>
      </c>
      <c r="R61" s="53">
        <v>14.2</v>
      </c>
      <c r="S61" s="53">
        <v>111</v>
      </c>
      <c r="T61" s="16">
        <f t="shared" si="1"/>
        <v>33</v>
      </c>
      <c r="U61" s="53">
        <v>538</v>
      </c>
      <c r="V61" s="16">
        <f t="shared" si="2"/>
        <v>4438.5</v>
      </c>
      <c r="W61" s="53">
        <v>2</v>
      </c>
      <c r="X61" s="53" t="s">
        <v>46</v>
      </c>
      <c r="Y61" s="53" t="s">
        <v>86</v>
      </c>
      <c r="Z61" s="53" t="s">
        <v>88</v>
      </c>
      <c r="AA61" s="53" t="s">
        <v>102</v>
      </c>
      <c r="AB61" s="53" t="s">
        <v>158</v>
      </c>
      <c r="AC61" s="76"/>
      <c r="AD61" s="76"/>
      <c r="AE61" s="76"/>
      <c r="AF61" s="76"/>
      <c r="AG61" s="76"/>
      <c r="AH61" s="76"/>
    </row>
    <row r="62" spans="1:34" x14ac:dyDescent="0.15">
      <c r="A62" s="53" t="s">
        <v>41</v>
      </c>
      <c r="B62" s="53" t="s">
        <v>157</v>
      </c>
      <c r="C62" s="62">
        <v>2019</v>
      </c>
      <c r="D62" s="63" t="s">
        <v>188</v>
      </c>
      <c r="E62" s="53" t="s">
        <v>199</v>
      </c>
      <c r="F62" s="53" t="s">
        <v>196</v>
      </c>
      <c r="G62" s="53" t="s">
        <v>42</v>
      </c>
      <c r="H62" s="53" t="s">
        <v>160</v>
      </c>
      <c r="I62" s="53" t="s">
        <v>159</v>
      </c>
      <c r="J62" s="53" t="s">
        <v>38</v>
      </c>
      <c r="K62" s="53" t="s">
        <v>161</v>
      </c>
      <c r="L62" s="53">
        <v>1</v>
      </c>
      <c r="N62" s="53">
        <v>1</v>
      </c>
      <c r="O62" s="53">
        <v>0.65</v>
      </c>
      <c r="P62" s="53">
        <v>0.6</v>
      </c>
      <c r="Q62" s="16">
        <f t="shared" si="0"/>
        <v>0.625</v>
      </c>
      <c r="R62" s="53">
        <v>10.5</v>
      </c>
      <c r="S62" s="53">
        <v>114</v>
      </c>
      <c r="T62" s="38">
        <f t="shared" si="1"/>
        <v>30</v>
      </c>
      <c r="U62" s="53">
        <v>105</v>
      </c>
      <c r="V62" s="16">
        <f t="shared" si="2"/>
        <v>3150</v>
      </c>
      <c r="W62" s="53">
        <v>3</v>
      </c>
      <c r="X62" s="53" t="s">
        <v>46</v>
      </c>
      <c r="Y62" s="53" t="s">
        <v>69</v>
      </c>
      <c r="Z62" s="53" t="s">
        <v>78</v>
      </c>
      <c r="AA62" s="53" t="s">
        <v>60</v>
      </c>
      <c r="AB62" s="53" t="s">
        <v>158</v>
      </c>
      <c r="AC62" s="76"/>
      <c r="AD62" s="76"/>
      <c r="AE62" s="76"/>
      <c r="AF62" s="76"/>
      <c r="AG62" s="76"/>
      <c r="AH62" s="76"/>
    </row>
    <row r="63" spans="1:34" x14ac:dyDescent="0.15">
      <c r="A63" s="53" t="s">
        <v>41</v>
      </c>
      <c r="B63" s="53" t="s">
        <v>157</v>
      </c>
      <c r="C63" s="62">
        <v>2019</v>
      </c>
      <c r="D63" s="63" t="s">
        <v>188</v>
      </c>
      <c r="E63" s="53" t="s">
        <v>199</v>
      </c>
      <c r="F63" s="53" t="s">
        <v>196</v>
      </c>
      <c r="G63" s="53" t="s">
        <v>42</v>
      </c>
      <c r="H63" s="53" t="s">
        <v>160</v>
      </c>
      <c r="I63" s="53" t="s">
        <v>159</v>
      </c>
      <c r="J63" s="53" t="s">
        <v>38</v>
      </c>
      <c r="K63" s="53" t="s">
        <v>161</v>
      </c>
      <c r="L63" s="53">
        <v>2</v>
      </c>
      <c r="M63" s="76"/>
      <c r="N63" s="53">
        <v>1</v>
      </c>
      <c r="O63" s="53">
        <v>0.8</v>
      </c>
      <c r="P63" s="53">
        <v>0.7</v>
      </c>
      <c r="Q63" s="16">
        <f t="shared" si="0"/>
        <v>0.75</v>
      </c>
      <c r="R63" s="53">
        <v>13.3</v>
      </c>
      <c r="S63" s="53">
        <v>117</v>
      </c>
      <c r="T63" s="38">
        <f t="shared" si="1"/>
        <v>30</v>
      </c>
      <c r="U63" s="53">
        <v>105</v>
      </c>
      <c r="V63" s="16">
        <f t="shared" si="2"/>
        <v>3150</v>
      </c>
      <c r="W63" s="53">
        <v>3</v>
      </c>
      <c r="X63" s="53" t="s">
        <v>46</v>
      </c>
      <c r="Y63" s="53" t="s">
        <v>69</v>
      </c>
      <c r="Z63" s="53" t="s">
        <v>78</v>
      </c>
      <c r="AA63" s="53" t="s">
        <v>60</v>
      </c>
      <c r="AB63" s="53" t="s">
        <v>158</v>
      </c>
      <c r="AC63" s="76"/>
      <c r="AD63" s="76"/>
      <c r="AE63" s="76"/>
      <c r="AF63" s="76"/>
      <c r="AG63" s="76"/>
      <c r="AH63" s="76"/>
    </row>
    <row r="64" spans="1:34" x14ac:dyDescent="0.15">
      <c r="A64" s="53" t="s">
        <v>41</v>
      </c>
      <c r="B64" s="53" t="s">
        <v>157</v>
      </c>
      <c r="C64" s="62">
        <v>2019</v>
      </c>
      <c r="D64" s="63" t="s">
        <v>188</v>
      </c>
      <c r="E64" s="53" t="s">
        <v>199</v>
      </c>
      <c r="F64" s="53" t="s">
        <v>196</v>
      </c>
      <c r="G64" s="53" t="s">
        <v>42</v>
      </c>
      <c r="H64" s="53" t="s">
        <v>160</v>
      </c>
      <c r="I64" s="53" t="s">
        <v>159</v>
      </c>
      <c r="J64" s="53" t="s">
        <v>38</v>
      </c>
      <c r="K64" s="53" t="s">
        <v>161</v>
      </c>
      <c r="L64" s="53">
        <v>3</v>
      </c>
      <c r="M64" s="76"/>
      <c r="N64" s="53">
        <v>1</v>
      </c>
      <c r="O64" s="53">
        <v>0.6</v>
      </c>
      <c r="P64" s="53">
        <v>0.65</v>
      </c>
      <c r="Q64" s="16">
        <f t="shared" si="0"/>
        <v>0.625</v>
      </c>
      <c r="R64" s="53">
        <v>14.1</v>
      </c>
      <c r="S64" s="53">
        <v>113</v>
      </c>
      <c r="T64" s="38">
        <f t="shared" si="1"/>
        <v>30</v>
      </c>
      <c r="U64" s="53">
        <v>105</v>
      </c>
      <c r="V64" s="38">
        <f t="shared" si="2"/>
        <v>3150</v>
      </c>
      <c r="W64" s="53">
        <v>3</v>
      </c>
      <c r="X64" s="53" t="s">
        <v>46</v>
      </c>
      <c r="Y64" s="53" t="s">
        <v>69</v>
      </c>
      <c r="Z64" s="53" t="s">
        <v>78</v>
      </c>
      <c r="AA64" s="53" t="s">
        <v>60</v>
      </c>
      <c r="AB64" s="53" t="s">
        <v>158</v>
      </c>
      <c r="AC64" s="76"/>
      <c r="AD64" s="76"/>
      <c r="AE64" s="76"/>
      <c r="AF64" s="76"/>
      <c r="AG64" s="76"/>
      <c r="AH64" s="76"/>
    </row>
    <row r="65" spans="1:34" x14ac:dyDescent="0.15">
      <c r="A65" s="53" t="s">
        <v>41</v>
      </c>
      <c r="B65" s="53" t="s">
        <v>157</v>
      </c>
      <c r="C65" s="62">
        <v>2019</v>
      </c>
      <c r="D65" s="63" t="s">
        <v>188</v>
      </c>
      <c r="E65" s="53" t="s">
        <v>199</v>
      </c>
      <c r="F65" s="53" t="s">
        <v>196</v>
      </c>
      <c r="G65" s="53" t="s">
        <v>42</v>
      </c>
      <c r="H65" s="53" t="s">
        <v>164</v>
      </c>
      <c r="I65" s="53" t="s">
        <v>159</v>
      </c>
      <c r="J65" s="53" t="s">
        <v>38</v>
      </c>
      <c r="K65" s="53" t="s">
        <v>161</v>
      </c>
      <c r="L65" s="53">
        <v>1</v>
      </c>
      <c r="N65" s="53">
        <v>1</v>
      </c>
      <c r="O65" s="53">
        <v>0.7</v>
      </c>
      <c r="P65" s="53">
        <v>0.8</v>
      </c>
      <c r="Q65" s="16">
        <f t="shared" si="0"/>
        <v>0.75</v>
      </c>
      <c r="R65" s="53">
        <v>10.199999999999999</v>
      </c>
      <c r="S65" s="53">
        <v>118</v>
      </c>
      <c r="T65" s="38">
        <f t="shared" si="1"/>
        <v>30</v>
      </c>
      <c r="U65" s="53">
        <v>105</v>
      </c>
      <c r="V65" s="16">
        <f t="shared" si="2"/>
        <v>3150</v>
      </c>
      <c r="W65" s="53">
        <v>2</v>
      </c>
      <c r="X65" s="53" t="s">
        <v>46</v>
      </c>
      <c r="Y65" s="53" t="s">
        <v>69</v>
      </c>
      <c r="Z65" s="53" t="s">
        <v>78</v>
      </c>
      <c r="AA65" s="53" t="s">
        <v>60</v>
      </c>
      <c r="AB65" s="53" t="s">
        <v>158</v>
      </c>
      <c r="AC65" s="76"/>
      <c r="AD65" s="76"/>
      <c r="AE65" s="76"/>
      <c r="AF65" s="76"/>
      <c r="AG65" s="76"/>
      <c r="AH65" s="76"/>
    </row>
    <row r="66" spans="1:34" x14ac:dyDescent="0.15">
      <c r="A66" s="53" t="s">
        <v>41</v>
      </c>
      <c r="B66" s="53" t="s">
        <v>157</v>
      </c>
      <c r="C66" s="62">
        <v>2019</v>
      </c>
      <c r="D66" s="63" t="s">
        <v>188</v>
      </c>
      <c r="E66" s="53" t="s">
        <v>199</v>
      </c>
      <c r="F66" s="53" t="s">
        <v>196</v>
      </c>
      <c r="G66" s="53" t="s">
        <v>42</v>
      </c>
      <c r="H66" s="53" t="s">
        <v>164</v>
      </c>
      <c r="I66" s="53" t="s">
        <v>159</v>
      </c>
      <c r="J66" s="53" t="s">
        <v>38</v>
      </c>
      <c r="K66" s="53" t="s">
        <v>161</v>
      </c>
      <c r="L66" s="53">
        <v>2</v>
      </c>
      <c r="M66" s="76"/>
      <c r="N66" s="53">
        <v>1</v>
      </c>
      <c r="O66" s="53">
        <v>0.8</v>
      </c>
      <c r="P66" s="53">
        <v>0.95</v>
      </c>
      <c r="Q66" s="16">
        <f t="shared" ref="Q66:Q99" si="3">IF(OR(O66="",P66=""),"",AVERAGE(O66,P66))</f>
        <v>0.875</v>
      </c>
      <c r="R66" s="53">
        <v>13.2</v>
      </c>
      <c r="S66" s="53">
        <v>116</v>
      </c>
      <c r="T66" s="38">
        <f t="shared" ref="T66:T124" si="4">IF(H66="","",IF(OR(H66="GREEN",H66="GK"),IF(S66&gt;=$AX$2,VLOOKUP(S66,$AX$2:$AY$10,2,1),""),IF(S66&gt;=$AZ$2,VLOOKUP(S66,$AZ$2:$BA$10,2,1),"")))</f>
        <v>30</v>
      </c>
      <c r="U66" s="53">
        <v>105</v>
      </c>
      <c r="V66" s="16">
        <f t="shared" ref="V66:V79" si="5">IF(OR(N66="",U66="",T66=""),"",U66/N66*T66)</f>
        <v>3150</v>
      </c>
      <c r="W66" s="53">
        <v>2</v>
      </c>
      <c r="X66" s="53" t="s">
        <v>46</v>
      </c>
      <c r="Y66" s="53" t="s">
        <v>69</v>
      </c>
      <c r="Z66" s="53" t="s">
        <v>78</v>
      </c>
      <c r="AA66" s="53" t="s">
        <v>60</v>
      </c>
      <c r="AB66" s="53" t="s">
        <v>158</v>
      </c>
      <c r="AC66" s="76"/>
      <c r="AD66" s="76"/>
      <c r="AE66" s="76"/>
      <c r="AF66" s="76"/>
      <c r="AG66" s="76"/>
      <c r="AH66" s="76"/>
    </row>
    <row r="67" spans="1:34" x14ac:dyDescent="0.15">
      <c r="A67" s="53" t="s">
        <v>41</v>
      </c>
      <c r="B67" s="53" t="s">
        <v>157</v>
      </c>
      <c r="C67" s="62">
        <v>2019</v>
      </c>
      <c r="D67" s="63" t="s">
        <v>188</v>
      </c>
      <c r="E67" s="53" t="s">
        <v>199</v>
      </c>
      <c r="F67" s="53" t="s">
        <v>196</v>
      </c>
      <c r="G67" s="53" t="s">
        <v>42</v>
      </c>
      <c r="H67" s="53" t="s">
        <v>164</v>
      </c>
      <c r="I67" s="53" t="s">
        <v>159</v>
      </c>
      <c r="J67" s="53" t="s">
        <v>38</v>
      </c>
      <c r="K67" s="53" t="s">
        <v>161</v>
      </c>
      <c r="L67" s="53">
        <v>3</v>
      </c>
      <c r="M67" s="76"/>
      <c r="N67" s="53">
        <v>1</v>
      </c>
      <c r="O67" s="53">
        <v>0.95</v>
      </c>
      <c r="P67" s="53">
        <v>0.8</v>
      </c>
      <c r="Q67" s="16">
        <f t="shared" si="3"/>
        <v>0.875</v>
      </c>
      <c r="R67" s="53">
        <v>13.8</v>
      </c>
      <c r="S67" s="53">
        <v>120</v>
      </c>
      <c r="T67" s="38">
        <f t="shared" si="4"/>
        <v>30</v>
      </c>
      <c r="U67" s="53">
        <v>105</v>
      </c>
      <c r="V67" s="38">
        <f t="shared" si="5"/>
        <v>3150</v>
      </c>
      <c r="W67" s="53">
        <v>2</v>
      </c>
      <c r="X67" s="53" t="s">
        <v>46</v>
      </c>
      <c r="Y67" s="53" t="s">
        <v>69</v>
      </c>
      <c r="Z67" s="53" t="s">
        <v>78</v>
      </c>
      <c r="AA67" s="53" t="s">
        <v>60</v>
      </c>
      <c r="AB67" s="53" t="s">
        <v>158</v>
      </c>
      <c r="AC67" s="76"/>
      <c r="AD67" s="76"/>
      <c r="AE67" s="76"/>
      <c r="AF67" s="76"/>
      <c r="AG67" s="76"/>
      <c r="AH67" s="76"/>
    </row>
    <row r="68" spans="1:34" x14ac:dyDescent="0.15">
      <c r="A68" s="53" t="s">
        <v>41</v>
      </c>
      <c r="B68" s="53" t="s">
        <v>157</v>
      </c>
      <c r="C68" s="62">
        <v>2019</v>
      </c>
      <c r="D68" s="63" t="s">
        <v>188</v>
      </c>
      <c r="E68" s="53" t="s">
        <v>202</v>
      </c>
      <c r="F68" s="53" t="s">
        <v>203</v>
      </c>
      <c r="G68" s="53" t="s">
        <v>42</v>
      </c>
      <c r="H68" s="53" t="s">
        <v>160</v>
      </c>
      <c r="I68" s="53" t="s">
        <v>159</v>
      </c>
      <c r="J68" s="53" t="s">
        <v>38</v>
      </c>
      <c r="K68" s="53" t="s">
        <v>161</v>
      </c>
      <c r="L68" s="53">
        <v>1</v>
      </c>
      <c r="N68" s="53">
        <v>1</v>
      </c>
      <c r="O68" s="53">
        <v>0.65</v>
      </c>
      <c r="P68" s="53">
        <v>0.6</v>
      </c>
      <c r="Q68" s="75">
        <f t="shared" si="3"/>
        <v>0.625</v>
      </c>
      <c r="R68" s="53">
        <v>13.2</v>
      </c>
      <c r="S68" s="53">
        <v>124</v>
      </c>
      <c r="T68" s="16">
        <f t="shared" si="4"/>
        <v>27</v>
      </c>
      <c r="U68" s="53">
        <v>138</v>
      </c>
      <c r="V68" s="16">
        <f t="shared" si="5"/>
        <v>3726</v>
      </c>
      <c r="W68" s="53">
        <v>2</v>
      </c>
      <c r="X68" s="53" t="s">
        <v>46</v>
      </c>
      <c r="Y68" s="53" t="s">
        <v>69</v>
      </c>
      <c r="Z68" s="53" t="s">
        <v>102</v>
      </c>
      <c r="AA68" s="53" t="s">
        <v>78</v>
      </c>
      <c r="AB68" s="53" t="s">
        <v>158</v>
      </c>
      <c r="AC68" s="76"/>
      <c r="AD68" s="76"/>
      <c r="AE68" s="76"/>
      <c r="AF68" s="76"/>
      <c r="AG68" s="76"/>
      <c r="AH68" s="76"/>
    </row>
    <row r="69" spans="1:34" x14ac:dyDescent="0.15">
      <c r="A69" s="53" t="s">
        <v>41</v>
      </c>
      <c r="B69" s="53" t="s">
        <v>157</v>
      </c>
      <c r="C69" s="62">
        <v>2019</v>
      </c>
      <c r="D69" s="63" t="s">
        <v>188</v>
      </c>
      <c r="E69" s="53" t="s">
        <v>202</v>
      </c>
      <c r="F69" s="53" t="s">
        <v>203</v>
      </c>
      <c r="G69" s="53" t="s">
        <v>42</v>
      </c>
      <c r="H69" s="53" t="s">
        <v>160</v>
      </c>
      <c r="I69" s="53" t="s">
        <v>159</v>
      </c>
      <c r="J69" s="53" t="s">
        <v>38</v>
      </c>
      <c r="K69" s="53" t="s">
        <v>161</v>
      </c>
      <c r="L69" s="53">
        <v>2</v>
      </c>
      <c r="N69" s="53">
        <v>1</v>
      </c>
      <c r="O69" s="53">
        <v>0.5</v>
      </c>
      <c r="P69" s="53">
        <v>0.45</v>
      </c>
      <c r="Q69" s="75">
        <f t="shared" si="3"/>
        <v>0.47499999999999998</v>
      </c>
      <c r="R69" s="53">
        <v>15.1</v>
      </c>
      <c r="S69" s="53">
        <v>123</v>
      </c>
      <c r="T69" s="16">
        <f t="shared" si="4"/>
        <v>27</v>
      </c>
      <c r="U69" s="53">
        <v>138</v>
      </c>
      <c r="V69" s="16">
        <f t="shared" si="5"/>
        <v>3726</v>
      </c>
      <c r="W69" s="53">
        <v>2</v>
      </c>
      <c r="X69" s="53" t="s">
        <v>46</v>
      </c>
      <c r="Y69" s="53" t="s">
        <v>69</v>
      </c>
      <c r="Z69" s="53" t="s">
        <v>102</v>
      </c>
      <c r="AA69" s="53" t="s">
        <v>78</v>
      </c>
      <c r="AB69" s="53" t="s">
        <v>158</v>
      </c>
      <c r="AC69" s="76"/>
      <c r="AD69" s="76"/>
      <c r="AE69" s="76"/>
      <c r="AF69" s="76"/>
      <c r="AG69" s="76"/>
      <c r="AH69" s="76"/>
    </row>
    <row r="70" spans="1:34" x14ac:dyDescent="0.15">
      <c r="A70" s="53" t="s">
        <v>41</v>
      </c>
      <c r="B70" s="53" t="s">
        <v>157</v>
      </c>
      <c r="C70" s="62">
        <v>2019</v>
      </c>
      <c r="D70" s="63" t="s">
        <v>188</v>
      </c>
      <c r="E70" s="53" t="s">
        <v>202</v>
      </c>
      <c r="F70" s="53" t="s">
        <v>203</v>
      </c>
      <c r="G70" s="53" t="s">
        <v>42</v>
      </c>
      <c r="H70" s="53" t="s">
        <v>160</v>
      </c>
      <c r="I70" s="53" t="s">
        <v>159</v>
      </c>
      <c r="J70" s="53" t="s">
        <v>38</v>
      </c>
      <c r="K70" s="53" t="s">
        <v>161</v>
      </c>
      <c r="L70" s="53">
        <v>3</v>
      </c>
      <c r="N70" s="53">
        <v>1</v>
      </c>
      <c r="O70" s="53">
        <v>0.4</v>
      </c>
      <c r="P70" s="53">
        <v>0.4</v>
      </c>
      <c r="Q70" s="75">
        <f t="shared" si="3"/>
        <v>0.4</v>
      </c>
      <c r="R70" s="53">
        <v>15.7</v>
      </c>
      <c r="S70" s="53">
        <v>125</v>
      </c>
      <c r="T70" s="16">
        <f t="shared" si="4"/>
        <v>27</v>
      </c>
      <c r="U70" s="53">
        <v>138</v>
      </c>
      <c r="V70" s="16">
        <f t="shared" si="5"/>
        <v>3726</v>
      </c>
      <c r="W70" s="53">
        <v>2</v>
      </c>
      <c r="X70" s="53" t="s">
        <v>46</v>
      </c>
      <c r="Y70" s="53" t="s">
        <v>69</v>
      </c>
      <c r="Z70" s="53" t="s">
        <v>102</v>
      </c>
      <c r="AA70" s="53" t="s">
        <v>78</v>
      </c>
      <c r="AB70" s="53" t="s">
        <v>158</v>
      </c>
      <c r="AC70" s="76"/>
      <c r="AD70" s="76"/>
      <c r="AE70" s="76"/>
      <c r="AF70" s="76"/>
      <c r="AG70" s="76"/>
      <c r="AH70" s="76"/>
    </row>
    <row r="71" spans="1:34" x14ac:dyDescent="0.15">
      <c r="A71" s="53" t="s">
        <v>41</v>
      </c>
      <c r="B71" s="53" t="s">
        <v>157</v>
      </c>
      <c r="C71" s="62">
        <v>2019</v>
      </c>
      <c r="D71" s="63" t="s">
        <v>188</v>
      </c>
      <c r="E71" s="53" t="s">
        <v>202</v>
      </c>
      <c r="F71" s="53" t="s">
        <v>203</v>
      </c>
      <c r="G71" s="53" t="s">
        <v>42</v>
      </c>
      <c r="H71" s="53" t="s">
        <v>160</v>
      </c>
      <c r="I71" s="53" t="s">
        <v>159</v>
      </c>
      <c r="J71" s="53" t="s">
        <v>38</v>
      </c>
      <c r="K71" s="53" t="s">
        <v>161</v>
      </c>
      <c r="L71" s="53">
        <v>1</v>
      </c>
      <c r="N71" s="53">
        <v>7</v>
      </c>
      <c r="O71" s="53">
        <v>0.35</v>
      </c>
      <c r="P71" s="53">
        <v>0.3</v>
      </c>
      <c r="Q71" s="75">
        <f t="shared" si="3"/>
        <v>0.32499999999999996</v>
      </c>
      <c r="R71" s="53">
        <v>16.2</v>
      </c>
      <c r="S71" s="53">
        <v>104</v>
      </c>
      <c r="T71" s="16">
        <f t="shared" si="4"/>
        <v>33</v>
      </c>
      <c r="U71" s="53">
        <v>734</v>
      </c>
      <c r="V71" s="16">
        <f t="shared" si="5"/>
        <v>3460.2857142857142</v>
      </c>
      <c r="W71" s="53">
        <v>3</v>
      </c>
      <c r="X71" s="53" t="s">
        <v>46</v>
      </c>
      <c r="Y71" s="53" t="s">
        <v>69</v>
      </c>
      <c r="Z71" s="53" t="s">
        <v>102</v>
      </c>
      <c r="AA71" s="53" t="s">
        <v>78</v>
      </c>
      <c r="AB71" s="53" t="s">
        <v>158</v>
      </c>
      <c r="AC71" s="76"/>
      <c r="AD71" s="76"/>
      <c r="AE71" s="76"/>
      <c r="AF71" s="76"/>
      <c r="AG71" s="76"/>
      <c r="AH71" s="76"/>
    </row>
    <row r="72" spans="1:34" x14ac:dyDescent="0.15">
      <c r="A72" s="53" t="s">
        <v>41</v>
      </c>
      <c r="B72" s="53" t="s">
        <v>157</v>
      </c>
      <c r="C72" s="62">
        <v>2019</v>
      </c>
      <c r="D72" s="63" t="s">
        <v>188</v>
      </c>
      <c r="E72" s="53" t="s">
        <v>202</v>
      </c>
      <c r="F72" s="53" t="s">
        <v>203</v>
      </c>
      <c r="G72" s="53" t="s">
        <v>42</v>
      </c>
      <c r="H72" s="53" t="s">
        <v>160</v>
      </c>
      <c r="I72" s="53" t="s">
        <v>159</v>
      </c>
      <c r="J72" s="53" t="s">
        <v>38</v>
      </c>
      <c r="K72" s="53" t="s">
        <v>161</v>
      </c>
      <c r="L72" s="53">
        <v>2</v>
      </c>
      <c r="M72" s="76"/>
      <c r="N72" s="53">
        <v>7</v>
      </c>
      <c r="O72" s="53">
        <v>0.3</v>
      </c>
      <c r="P72" s="53">
        <v>0.35</v>
      </c>
      <c r="Q72" s="75">
        <f t="shared" si="3"/>
        <v>0.32499999999999996</v>
      </c>
      <c r="R72" s="53">
        <v>16.8</v>
      </c>
      <c r="S72" s="53">
        <v>105</v>
      </c>
      <c r="T72" s="16">
        <f t="shared" si="4"/>
        <v>33</v>
      </c>
      <c r="U72" s="53">
        <v>734</v>
      </c>
      <c r="V72" s="16">
        <f t="shared" si="5"/>
        <v>3460.2857142857142</v>
      </c>
      <c r="W72" s="53">
        <v>3</v>
      </c>
      <c r="X72" s="53" t="s">
        <v>46</v>
      </c>
      <c r="Y72" s="53" t="s">
        <v>69</v>
      </c>
      <c r="Z72" s="53" t="s">
        <v>102</v>
      </c>
      <c r="AA72" s="53" t="s">
        <v>78</v>
      </c>
      <c r="AB72" s="53" t="s">
        <v>158</v>
      </c>
      <c r="AC72" s="76"/>
      <c r="AD72" s="76"/>
      <c r="AE72" s="76"/>
      <c r="AF72" s="76"/>
      <c r="AG72" s="76"/>
      <c r="AH72" s="76"/>
    </row>
    <row r="73" spans="1:34" x14ac:dyDescent="0.15">
      <c r="A73" s="53" t="s">
        <v>41</v>
      </c>
      <c r="B73" s="53" t="s">
        <v>157</v>
      </c>
      <c r="C73" s="62">
        <v>2019</v>
      </c>
      <c r="D73" s="63" t="s">
        <v>188</v>
      </c>
      <c r="E73" s="53" t="s">
        <v>202</v>
      </c>
      <c r="F73" s="53" t="s">
        <v>203</v>
      </c>
      <c r="G73" s="53" t="s">
        <v>42</v>
      </c>
      <c r="H73" s="53" t="s">
        <v>160</v>
      </c>
      <c r="I73" s="53" t="s">
        <v>159</v>
      </c>
      <c r="J73" s="53" t="s">
        <v>38</v>
      </c>
      <c r="K73" s="53" t="s">
        <v>161</v>
      </c>
      <c r="L73" s="53">
        <v>3</v>
      </c>
      <c r="M73" s="76"/>
      <c r="N73" s="53">
        <v>7</v>
      </c>
      <c r="O73" s="53">
        <v>0.3</v>
      </c>
      <c r="P73" s="53">
        <v>0.3</v>
      </c>
      <c r="Q73" s="72">
        <f t="shared" si="3"/>
        <v>0.3</v>
      </c>
      <c r="R73" s="53">
        <v>14.1</v>
      </c>
      <c r="S73" s="53">
        <v>103</v>
      </c>
      <c r="T73" s="38">
        <f t="shared" si="4"/>
        <v>33</v>
      </c>
      <c r="U73" s="53">
        <v>734</v>
      </c>
      <c r="V73" s="16">
        <f t="shared" si="5"/>
        <v>3460.2857142857142</v>
      </c>
      <c r="W73" s="53">
        <v>3</v>
      </c>
      <c r="X73" s="53" t="s">
        <v>46</v>
      </c>
      <c r="Y73" s="53" t="s">
        <v>69</v>
      </c>
      <c r="Z73" s="53" t="s">
        <v>102</v>
      </c>
      <c r="AA73" s="53" t="s">
        <v>78</v>
      </c>
      <c r="AB73" s="53" t="s">
        <v>158</v>
      </c>
      <c r="AC73" s="76"/>
      <c r="AD73" s="76"/>
      <c r="AE73" s="76"/>
      <c r="AF73" s="76"/>
      <c r="AG73" s="76"/>
      <c r="AH73" s="76"/>
    </row>
    <row r="74" spans="1:34" x14ac:dyDescent="0.15">
      <c r="A74" s="53" t="s">
        <v>41</v>
      </c>
      <c r="B74" s="53" t="s">
        <v>157</v>
      </c>
      <c r="C74" s="62">
        <v>2019</v>
      </c>
      <c r="D74" s="63" t="s">
        <v>188</v>
      </c>
      <c r="E74" s="53" t="s">
        <v>202</v>
      </c>
      <c r="F74" s="53" t="s">
        <v>203</v>
      </c>
      <c r="G74" s="53" t="s">
        <v>42</v>
      </c>
      <c r="H74" s="53" t="s">
        <v>164</v>
      </c>
      <c r="I74" s="53" t="s">
        <v>159</v>
      </c>
      <c r="J74" s="53" t="s">
        <v>38</v>
      </c>
      <c r="K74" s="53" t="s">
        <v>161</v>
      </c>
      <c r="L74" s="53">
        <v>1</v>
      </c>
      <c r="N74" s="53">
        <v>1</v>
      </c>
      <c r="O74" s="53">
        <v>0.5</v>
      </c>
      <c r="P74" s="53">
        <v>0.45</v>
      </c>
      <c r="Q74" s="72">
        <f t="shared" si="3"/>
        <v>0.47499999999999998</v>
      </c>
      <c r="R74" s="53">
        <v>13.8</v>
      </c>
      <c r="S74" s="53">
        <v>127</v>
      </c>
      <c r="T74" s="38">
        <f t="shared" si="4"/>
        <v>27</v>
      </c>
      <c r="U74" s="53">
        <v>138</v>
      </c>
      <c r="V74" s="38">
        <f t="shared" si="5"/>
        <v>3726</v>
      </c>
      <c r="W74" s="53">
        <v>2</v>
      </c>
      <c r="X74" s="53" t="s">
        <v>46</v>
      </c>
      <c r="Y74" s="53" t="s">
        <v>69</v>
      </c>
      <c r="Z74" s="53" t="s">
        <v>102</v>
      </c>
      <c r="AA74" s="53" t="s">
        <v>78</v>
      </c>
      <c r="AB74" s="53" t="s">
        <v>158</v>
      </c>
      <c r="AC74" s="76"/>
      <c r="AD74" s="76"/>
      <c r="AE74" s="76"/>
      <c r="AF74" s="76"/>
      <c r="AG74" s="76"/>
      <c r="AH74" s="76"/>
    </row>
    <row r="75" spans="1:34" x14ac:dyDescent="0.15">
      <c r="A75" s="53" t="s">
        <v>41</v>
      </c>
      <c r="B75" s="53" t="s">
        <v>157</v>
      </c>
      <c r="C75" s="62">
        <v>2019</v>
      </c>
      <c r="D75" s="63" t="s">
        <v>188</v>
      </c>
      <c r="E75" s="53" t="s">
        <v>202</v>
      </c>
      <c r="F75" s="53" t="s">
        <v>203</v>
      </c>
      <c r="G75" s="53" t="s">
        <v>42</v>
      </c>
      <c r="H75" s="53" t="s">
        <v>164</v>
      </c>
      <c r="I75" s="53" t="s">
        <v>159</v>
      </c>
      <c r="J75" s="53" t="s">
        <v>38</v>
      </c>
      <c r="K75" s="53" t="s">
        <v>161</v>
      </c>
      <c r="L75" s="53">
        <v>2</v>
      </c>
      <c r="N75" s="53">
        <v>1</v>
      </c>
      <c r="O75" s="53">
        <v>0.45</v>
      </c>
      <c r="P75" s="53">
        <v>0.4</v>
      </c>
      <c r="Q75" s="72">
        <f t="shared" si="3"/>
        <v>0.42500000000000004</v>
      </c>
      <c r="R75" s="53">
        <v>16.399999999999999</v>
      </c>
      <c r="S75" s="53">
        <v>126</v>
      </c>
      <c r="T75" s="38">
        <f t="shared" si="4"/>
        <v>27</v>
      </c>
      <c r="U75" s="53">
        <v>138</v>
      </c>
      <c r="V75" s="38">
        <f t="shared" si="5"/>
        <v>3726</v>
      </c>
      <c r="W75" s="53">
        <v>2</v>
      </c>
      <c r="X75" s="53" t="s">
        <v>46</v>
      </c>
      <c r="Y75" s="53" t="s">
        <v>69</v>
      </c>
      <c r="Z75" s="53" t="s">
        <v>102</v>
      </c>
      <c r="AA75" s="53" t="s">
        <v>78</v>
      </c>
      <c r="AB75" s="53" t="s">
        <v>158</v>
      </c>
      <c r="AC75" s="76"/>
      <c r="AD75" s="76"/>
      <c r="AE75" s="76"/>
      <c r="AF75" s="76"/>
      <c r="AG75" s="76"/>
      <c r="AH75" s="76"/>
    </row>
    <row r="76" spans="1:34" x14ac:dyDescent="0.15">
      <c r="A76" s="53" t="s">
        <v>41</v>
      </c>
      <c r="B76" s="53" t="s">
        <v>157</v>
      </c>
      <c r="C76" s="62">
        <v>2019</v>
      </c>
      <c r="D76" s="63" t="s">
        <v>188</v>
      </c>
      <c r="E76" s="53" t="s">
        <v>202</v>
      </c>
      <c r="F76" s="53" t="s">
        <v>203</v>
      </c>
      <c r="G76" s="53" t="s">
        <v>42</v>
      </c>
      <c r="H76" s="53" t="s">
        <v>164</v>
      </c>
      <c r="I76" s="53" t="s">
        <v>159</v>
      </c>
      <c r="J76" s="53" t="s">
        <v>38</v>
      </c>
      <c r="K76" s="53" t="s">
        <v>161</v>
      </c>
      <c r="L76" s="53">
        <v>3</v>
      </c>
      <c r="N76" s="53">
        <v>1</v>
      </c>
      <c r="O76" s="53">
        <v>0.35</v>
      </c>
      <c r="P76" s="53">
        <v>0.3</v>
      </c>
      <c r="Q76" s="72">
        <f t="shared" si="3"/>
        <v>0.32499999999999996</v>
      </c>
      <c r="R76" s="53">
        <v>15</v>
      </c>
      <c r="S76" s="53">
        <v>123</v>
      </c>
      <c r="T76" s="38">
        <f t="shared" si="4"/>
        <v>27</v>
      </c>
      <c r="U76" s="53">
        <v>138</v>
      </c>
      <c r="V76" s="38">
        <f t="shared" si="5"/>
        <v>3726</v>
      </c>
      <c r="W76" s="53">
        <v>2</v>
      </c>
      <c r="X76" s="53" t="s">
        <v>46</v>
      </c>
      <c r="Y76" s="53" t="s">
        <v>69</v>
      </c>
      <c r="Z76" s="53" t="s">
        <v>102</v>
      </c>
      <c r="AA76" s="53" t="s">
        <v>78</v>
      </c>
      <c r="AB76" s="53" t="s">
        <v>158</v>
      </c>
      <c r="AC76" s="76"/>
      <c r="AD76" s="76"/>
      <c r="AE76" s="76"/>
      <c r="AF76" s="76"/>
      <c r="AG76" s="76"/>
      <c r="AH76" s="76"/>
    </row>
    <row r="77" spans="1:34" x14ac:dyDescent="0.15">
      <c r="A77" s="53" t="s">
        <v>41</v>
      </c>
      <c r="B77" s="53" t="s">
        <v>157</v>
      </c>
      <c r="C77" s="62">
        <v>2019</v>
      </c>
      <c r="D77" s="63" t="s">
        <v>188</v>
      </c>
      <c r="E77" s="53" t="s">
        <v>202</v>
      </c>
      <c r="F77" s="53" t="s">
        <v>203</v>
      </c>
      <c r="G77" s="53" t="s">
        <v>42</v>
      </c>
      <c r="H77" s="53" t="s">
        <v>164</v>
      </c>
      <c r="I77" s="53" t="s">
        <v>159</v>
      </c>
      <c r="J77" s="53" t="s">
        <v>38</v>
      </c>
      <c r="K77" s="53" t="s">
        <v>161</v>
      </c>
      <c r="L77" s="53">
        <v>1</v>
      </c>
      <c r="N77" s="53">
        <v>8</v>
      </c>
      <c r="O77" s="53">
        <v>0.25</v>
      </c>
      <c r="P77" s="53">
        <v>0.35</v>
      </c>
      <c r="Q77" s="75">
        <f t="shared" si="3"/>
        <v>0.3</v>
      </c>
      <c r="R77" s="53">
        <v>14.7</v>
      </c>
      <c r="S77" s="53">
        <v>104</v>
      </c>
      <c r="T77" s="16">
        <f t="shared" si="4"/>
        <v>33</v>
      </c>
      <c r="U77" s="53">
        <v>626</v>
      </c>
      <c r="V77" s="16">
        <f t="shared" si="5"/>
        <v>2582.25</v>
      </c>
      <c r="W77" s="53">
        <v>3</v>
      </c>
      <c r="X77" s="53" t="s">
        <v>46</v>
      </c>
      <c r="Y77" s="53" t="s">
        <v>69</v>
      </c>
      <c r="Z77" s="53" t="s">
        <v>102</v>
      </c>
      <c r="AA77" s="53" t="s">
        <v>78</v>
      </c>
      <c r="AB77" s="53" t="s">
        <v>158</v>
      </c>
      <c r="AC77" s="76"/>
      <c r="AD77" s="76"/>
      <c r="AE77" s="76"/>
      <c r="AF77" s="76"/>
      <c r="AG77" s="76"/>
      <c r="AH77" s="76"/>
    </row>
    <row r="78" spans="1:34" x14ac:dyDescent="0.15">
      <c r="A78" s="53" t="s">
        <v>41</v>
      </c>
      <c r="B78" s="53" t="s">
        <v>157</v>
      </c>
      <c r="C78" s="62">
        <v>2019</v>
      </c>
      <c r="D78" s="63" t="s">
        <v>188</v>
      </c>
      <c r="E78" s="53" t="s">
        <v>202</v>
      </c>
      <c r="F78" s="53" t="s">
        <v>203</v>
      </c>
      <c r="G78" s="53" t="s">
        <v>42</v>
      </c>
      <c r="H78" s="53" t="s">
        <v>164</v>
      </c>
      <c r="I78" s="53" t="s">
        <v>159</v>
      </c>
      <c r="J78" s="53" t="s">
        <v>38</v>
      </c>
      <c r="K78" s="53" t="s">
        <v>161</v>
      </c>
      <c r="L78" s="53">
        <v>2</v>
      </c>
      <c r="N78" s="53">
        <v>8</v>
      </c>
      <c r="O78" s="53">
        <v>0.3</v>
      </c>
      <c r="P78" s="53">
        <v>0.25</v>
      </c>
      <c r="Q78" s="75">
        <f t="shared" si="3"/>
        <v>0.27500000000000002</v>
      </c>
      <c r="R78" s="53">
        <v>14.4</v>
      </c>
      <c r="S78" s="53">
        <v>105</v>
      </c>
      <c r="T78" s="16">
        <f t="shared" si="4"/>
        <v>33</v>
      </c>
      <c r="U78" s="53">
        <v>626</v>
      </c>
      <c r="V78" s="16">
        <f t="shared" si="5"/>
        <v>2582.25</v>
      </c>
      <c r="W78" s="53">
        <v>3</v>
      </c>
      <c r="X78" s="53" t="s">
        <v>46</v>
      </c>
      <c r="Y78" s="53" t="s">
        <v>69</v>
      </c>
      <c r="Z78" s="53" t="s">
        <v>102</v>
      </c>
      <c r="AA78" s="53" t="s">
        <v>78</v>
      </c>
      <c r="AB78" s="53" t="s">
        <v>158</v>
      </c>
      <c r="AC78" s="76"/>
      <c r="AD78" s="76"/>
      <c r="AE78" s="76"/>
      <c r="AF78" s="76"/>
      <c r="AG78" s="76"/>
      <c r="AH78" s="76"/>
    </row>
    <row r="79" spans="1:34" x14ac:dyDescent="0.15">
      <c r="A79" s="53" t="s">
        <v>41</v>
      </c>
      <c r="B79" s="53" t="s">
        <v>157</v>
      </c>
      <c r="C79" s="62">
        <v>2019</v>
      </c>
      <c r="D79" s="63" t="s">
        <v>188</v>
      </c>
      <c r="E79" s="53" t="s">
        <v>202</v>
      </c>
      <c r="F79" s="53" t="s">
        <v>203</v>
      </c>
      <c r="G79" s="53" t="s">
        <v>42</v>
      </c>
      <c r="H79" s="53" t="s">
        <v>164</v>
      </c>
      <c r="I79" s="53" t="s">
        <v>159</v>
      </c>
      <c r="J79" s="53" t="s">
        <v>38</v>
      </c>
      <c r="K79" s="53" t="s">
        <v>161</v>
      </c>
      <c r="L79" s="53">
        <v>3</v>
      </c>
      <c r="N79" s="53">
        <v>8</v>
      </c>
      <c r="O79" s="53">
        <v>0.4</v>
      </c>
      <c r="P79" s="53">
        <v>0.3</v>
      </c>
      <c r="Q79" s="75">
        <f t="shared" si="3"/>
        <v>0.35</v>
      </c>
      <c r="R79" s="53">
        <v>13.5</v>
      </c>
      <c r="S79" s="53">
        <v>108</v>
      </c>
      <c r="T79" s="16">
        <f t="shared" si="4"/>
        <v>33</v>
      </c>
      <c r="U79" s="53">
        <v>626</v>
      </c>
      <c r="V79" s="16">
        <f t="shared" si="5"/>
        <v>2582.25</v>
      </c>
      <c r="W79" s="53">
        <v>3</v>
      </c>
      <c r="X79" s="53" t="s">
        <v>46</v>
      </c>
      <c r="Y79" s="53" t="s">
        <v>69</v>
      </c>
      <c r="Z79" s="53" t="s">
        <v>102</v>
      </c>
      <c r="AA79" s="53" t="s">
        <v>78</v>
      </c>
      <c r="AB79" s="53" t="s">
        <v>158</v>
      </c>
      <c r="AC79" s="76"/>
      <c r="AD79" s="76"/>
      <c r="AE79" s="76"/>
      <c r="AF79" s="76"/>
      <c r="AG79" s="76"/>
      <c r="AH79" s="76"/>
    </row>
    <row r="80" spans="1:34" x14ac:dyDescent="0.15">
      <c r="A80" s="53" t="s">
        <v>41</v>
      </c>
      <c r="B80" s="53" t="s">
        <v>157</v>
      </c>
      <c r="C80" s="62">
        <v>2019</v>
      </c>
      <c r="D80" s="63" t="s">
        <v>188</v>
      </c>
      <c r="E80" s="53" t="s">
        <v>202</v>
      </c>
      <c r="F80" s="53" t="s">
        <v>209</v>
      </c>
      <c r="G80" s="53" t="s">
        <v>42</v>
      </c>
      <c r="H80" s="53" t="s">
        <v>160</v>
      </c>
      <c r="I80" s="53" t="s">
        <v>159</v>
      </c>
      <c r="J80" s="53" t="s">
        <v>38</v>
      </c>
      <c r="K80" s="53" t="s">
        <v>161</v>
      </c>
      <c r="L80" s="53">
        <v>1</v>
      </c>
      <c r="N80" s="53">
        <v>1</v>
      </c>
      <c r="O80" s="53">
        <v>0.65</v>
      </c>
      <c r="P80" s="53">
        <v>0.5</v>
      </c>
      <c r="Q80" s="75">
        <f t="shared" si="3"/>
        <v>0.57499999999999996</v>
      </c>
      <c r="R80" s="53">
        <v>17.100000000000001</v>
      </c>
      <c r="S80" s="53">
        <v>123</v>
      </c>
      <c r="T80" s="16">
        <f t="shared" si="4"/>
        <v>27</v>
      </c>
      <c r="U80" s="53">
        <v>138</v>
      </c>
      <c r="V80" s="16">
        <v>3726</v>
      </c>
      <c r="W80" s="53">
        <v>2</v>
      </c>
      <c r="X80" s="53" t="s">
        <v>46</v>
      </c>
      <c r="Y80" s="53" t="s">
        <v>88</v>
      </c>
      <c r="Z80" s="53" t="s">
        <v>78</v>
      </c>
      <c r="AA80" s="53" t="s">
        <v>102</v>
      </c>
      <c r="AB80" s="53" t="s">
        <v>158</v>
      </c>
      <c r="AC80" s="76"/>
      <c r="AD80" s="76"/>
      <c r="AE80" s="76"/>
      <c r="AF80" s="76"/>
      <c r="AG80" s="76"/>
      <c r="AH80" s="76"/>
    </row>
    <row r="81" spans="1:34" x14ac:dyDescent="0.15">
      <c r="A81" s="53" t="s">
        <v>41</v>
      </c>
      <c r="B81" s="53" t="s">
        <v>157</v>
      </c>
      <c r="C81" s="62">
        <v>2019</v>
      </c>
      <c r="D81" s="63" t="s">
        <v>188</v>
      </c>
      <c r="E81" s="53" t="s">
        <v>202</v>
      </c>
      <c r="F81" s="53" t="s">
        <v>209</v>
      </c>
      <c r="G81" s="53" t="s">
        <v>42</v>
      </c>
      <c r="H81" s="53" t="s">
        <v>160</v>
      </c>
      <c r="I81" s="53" t="s">
        <v>159</v>
      </c>
      <c r="J81" s="53" t="s">
        <v>38</v>
      </c>
      <c r="K81" s="53" t="s">
        <v>161</v>
      </c>
      <c r="L81" s="53">
        <v>2</v>
      </c>
      <c r="N81" s="53">
        <v>1</v>
      </c>
      <c r="O81" s="53">
        <v>0.5</v>
      </c>
      <c r="P81" s="53">
        <v>0.55000000000000004</v>
      </c>
      <c r="Q81" s="75">
        <f t="shared" si="3"/>
        <v>0.52500000000000002</v>
      </c>
      <c r="R81" s="53">
        <v>15.8</v>
      </c>
      <c r="S81" s="53">
        <v>125</v>
      </c>
      <c r="T81" s="16">
        <f t="shared" si="4"/>
        <v>27</v>
      </c>
      <c r="U81" s="53">
        <v>138</v>
      </c>
      <c r="V81" s="16">
        <v>3726</v>
      </c>
      <c r="W81" s="53">
        <v>2</v>
      </c>
      <c r="X81" s="53" t="s">
        <v>46</v>
      </c>
      <c r="Y81" s="53" t="s">
        <v>88</v>
      </c>
      <c r="Z81" s="53" t="s">
        <v>78</v>
      </c>
      <c r="AA81" s="53" t="s">
        <v>102</v>
      </c>
      <c r="AB81" s="53" t="s">
        <v>158</v>
      </c>
      <c r="AC81" s="76"/>
      <c r="AD81" s="76"/>
      <c r="AE81" s="76"/>
      <c r="AF81" s="76"/>
      <c r="AG81" s="76"/>
      <c r="AH81" s="76"/>
    </row>
    <row r="82" spans="1:34" x14ac:dyDescent="0.15">
      <c r="A82" s="53" t="s">
        <v>41</v>
      </c>
      <c r="B82" s="53" t="s">
        <v>157</v>
      </c>
      <c r="C82" s="62">
        <v>2019</v>
      </c>
      <c r="D82" s="63" t="s">
        <v>188</v>
      </c>
      <c r="E82" s="53" t="s">
        <v>202</v>
      </c>
      <c r="F82" s="53" t="s">
        <v>209</v>
      </c>
      <c r="G82" s="53" t="s">
        <v>42</v>
      </c>
      <c r="H82" s="53" t="s">
        <v>160</v>
      </c>
      <c r="I82" s="53" t="s">
        <v>159</v>
      </c>
      <c r="J82" s="53" t="s">
        <v>38</v>
      </c>
      <c r="K82" s="53" t="s">
        <v>161</v>
      </c>
      <c r="L82" s="53">
        <v>3</v>
      </c>
      <c r="N82" s="53">
        <v>1</v>
      </c>
      <c r="O82" s="53">
        <v>0.45</v>
      </c>
      <c r="P82" s="53">
        <v>0.65</v>
      </c>
      <c r="Q82" s="75">
        <f t="shared" si="3"/>
        <v>0.55000000000000004</v>
      </c>
      <c r="R82" s="53">
        <v>16.2</v>
      </c>
      <c r="S82" s="53">
        <v>124</v>
      </c>
      <c r="T82" s="16">
        <f t="shared" si="4"/>
        <v>27</v>
      </c>
      <c r="U82" s="53">
        <v>138</v>
      </c>
      <c r="V82" s="16">
        <v>3726</v>
      </c>
      <c r="W82" s="53">
        <v>2</v>
      </c>
      <c r="X82" s="53" t="s">
        <v>46</v>
      </c>
      <c r="Y82" s="53" t="s">
        <v>88</v>
      </c>
      <c r="Z82" s="53" t="s">
        <v>78</v>
      </c>
      <c r="AA82" s="53" t="s">
        <v>102</v>
      </c>
      <c r="AB82" s="53" t="s">
        <v>158</v>
      </c>
      <c r="AC82" s="76"/>
      <c r="AD82" s="76"/>
      <c r="AE82" s="76"/>
      <c r="AF82" s="76"/>
      <c r="AG82" s="76"/>
      <c r="AH82" s="76"/>
    </row>
    <row r="83" spans="1:34" x14ac:dyDescent="0.15">
      <c r="A83" s="53" t="s">
        <v>41</v>
      </c>
      <c r="B83" s="53" t="s">
        <v>157</v>
      </c>
      <c r="C83" s="62">
        <v>2019</v>
      </c>
      <c r="D83" s="63" t="s">
        <v>188</v>
      </c>
      <c r="E83" s="53" t="s">
        <v>202</v>
      </c>
      <c r="F83" s="53" t="s">
        <v>209</v>
      </c>
      <c r="G83" s="53" t="s">
        <v>42</v>
      </c>
      <c r="H83" s="53" t="s">
        <v>160</v>
      </c>
      <c r="I83" s="53" t="s">
        <v>159</v>
      </c>
      <c r="J83" s="53" t="s">
        <v>38</v>
      </c>
      <c r="K83" s="53" t="s">
        <v>161</v>
      </c>
      <c r="L83" s="53">
        <v>1</v>
      </c>
      <c r="N83" s="53">
        <v>4</v>
      </c>
      <c r="O83" s="53">
        <v>0.5</v>
      </c>
      <c r="P83" s="53">
        <v>0.45</v>
      </c>
      <c r="Q83" s="75">
        <f t="shared" si="3"/>
        <v>0.47499999999999998</v>
      </c>
      <c r="R83" s="53">
        <v>16.8</v>
      </c>
      <c r="S83" s="53">
        <v>115</v>
      </c>
      <c r="T83" s="16">
        <f t="shared" si="4"/>
        <v>30</v>
      </c>
      <c r="U83" s="53">
        <v>518</v>
      </c>
      <c r="V83" s="16">
        <v>3885</v>
      </c>
      <c r="W83" s="53">
        <v>1</v>
      </c>
      <c r="X83" s="53" t="s">
        <v>46</v>
      </c>
      <c r="Y83" s="53" t="s">
        <v>88</v>
      </c>
      <c r="Z83" s="53" t="s">
        <v>78</v>
      </c>
      <c r="AA83" s="53" t="s">
        <v>102</v>
      </c>
      <c r="AB83" s="53" t="s">
        <v>158</v>
      </c>
      <c r="AC83" s="76"/>
      <c r="AD83" s="76"/>
      <c r="AE83" s="76"/>
      <c r="AF83" s="76"/>
      <c r="AG83" s="76"/>
      <c r="AH83" s="76"/>
    </row>
    <row r="84" spans="1:34" x14ac:dyDescent="0.15">
      <c r="A84" s="53" t="s">
        <v>41</v>
      </c>
      <c r="B84" s="53" t="s">
        <v>157</v>
      </c>
      <c r="C84" s="62">
        <v>2019</v>
      </c>
      <c r="D84" s="63" t="s">
        <v>188</v>
      </c>
      <c r="E84" s="53" t="s">
        <v>202</v>
      </c>
      <c r="F84" s="53" t="s">
        <v>209</v>
      </c>
      <c r="G84" s="53" t="s">
        <v>42</v>
      </c>
      <c r="H84" s="53" t="s">
        <v>160</v>
      </c>
      <c r="I84" s="53" t="s">
        <v>159</v>
      </c>
      <c r="J84" s="53" t="s">
        <v>38</v>
      </c>
      <c r="K84" s="53" t="s">
        <v>161</v>
      </c>
      <c r="L84" s="53">
        <v>2</v>
      </c>
      <c r="M84" s="76"/>
      <c r="N84" s="53">
        <v>4</v>
      </c>
      <c r="O84" s="53">
        <v>0.65</v>
      </c>
      <c r="P84" s="53">
        <v>0.7</v>
      </c>
      <c r="Q84" s="75">
        <f t="shared" si="3"/>
        <v>0.67500000000000004</v>
      </c>
      <c r="R84" s="53">
        <v>14.2</v>
      </c>
      <c r="S84" s="53">
        <v>114</v>
      </c>
      <c r="T84" s="16">
        <f t="shared" si="4"/>
        <v>30</v>
      </c>
      <c r="U84" s="53">
        <v>518</v>
      </c>
      <c r="V84" s="16">
        <v>3885</v>
      </c>
      <c r="W84" s="53">
        <v>1</v>
      </c>
      <c r="X84" s="53" t="s">
        <v>46</v>
      </c>
      <c r="Y84" s="53" t="s">
        <v>88</v>
      </c>
      <c r="Z84" s="53" t="s">
        <v>78</v>
      </c>
      <c r="AA84" s="53" t="s">
        <v>102</v>
      </c>
      <c r="AB84" s="53" t="s">
        <v>158</v>
      </c>
      <c r="AC84" s="76"/>
      <c r="AD84" s="76"/>
      <c r="AE84" s="76"/>
      <c r="AF84" s="76"/>
      <c r="AG84" s="76"/>
      <c r="AH84" s="76"/>
    </row>
    <row r="85" spans="1:34" x14ac:dyDescent="0.15">
      <c r="A85" s="53" t="s">
        <v>41</v>
      </c>
      <c r="B85" s="53" t="s">
        <v>157</v>
      </c>
      <c r="C85" s="62">
        <v>2019</v>
      </c>
      <c r="D85" s="63" t="s">
        <v>188</v>
      </c>
      <c r="E85" s="53" t="s">
        <v>202</v>
      </c>
      <c r="F85" s="53" t="s">
        <v>209</v>
      </c>
      <c r="G85" s="53" t="s">
        <v>42</v>
      </c>
      <c r="H85" s="53" t="s">
        <v>160</v>
      </c>
      <c r="I85" s="53" t="s">
        <v>159</v>
      </c>
      <c r="J85" s="53" t="s">
        <v>38</v>
      </c>
      <c r="K85" s="53" t="s">
        <v>161</v>
      </c>
      <c r="L85" s="53">
        <v>3</v>
      </c>
      <c r="M85" s="76"/>
      <c r="N85" s="53">
        <v>4</v>
      </c>
      <c r="O85" s="53">
        <v>0.85</v>
      </c>
      <c r="P85" s="53">
        <v>0.8</v>
      </c>
      <c r="Q85" s="72">
        <f t="shared" si="3"/>
        <v>0.82499999999999996</v>
      </c>
      <c r="R85" s="53">
        <v>13.6</v>
      </c>
      <c r="S85" s="53">
        <v>117</v>
      </c>
      <c r="T85" s="38">
        <f t="shared" si="4"/>
        <v>30</v>
      </c>
      <c r="U85" s="53">
        <v>518</v>
      </c>
      <c r="V85" s="38">
        <v>3885</v>
      </c>
      <c r="W85" s="53">
        <v>1</v>
      </c>
      <c r="X85" s="53" t="s">
        <v>46</v>
      </c>
      <c r="Y85" s="53" t="s">
        <v>88</v>
      </c>
      <c r="Z85" s="53" t="s">
        <v>78</v>
      </c>
      <c r="AA85" s="53" t="s">
        <v>102</v>
      </c>
      <c r="AB85" s="53" t="s">
        <v>158</v>
      </c>
      <c r="AC85" s="76"/>
      <c r="AD85" s="76"/>
      <c r="AE85" s="76"/>
      <c r="AF85" s="76"/>
      <c r="AG85" s="76"/>
      <c r="AH85" s="76"/>
    </row>
    <row r="86" spans="1:34" x14ac:dyDescent="0.15">
      <c r="A86" s="53" t="s">
        <v>41</v>
      </c>
      <c r="B86" s="53" t="s">
        <v>157</v>
      </c>
      <c r="C86" s="62">
        <v>2019</v>
      </c>
      <c r="D86" s="63" t="s">
        <v>188</v>
      </c>
      <c r="E86" s="53" t="s">
        <v>202</v>
      </c>
      <c r="F86" s="53" t="s">
        <v>209</v>
      </c>
      <c r="G86" s="53" t="s">
        <v>42</v>
      </c>
      <c r="H86" s="53" t="s">
        <v>160</v>
      </c>
      <c r="I86" s="53" t="s">
        <v>159</v>
      </c>
      <c r="J86" s="53" t="s">
        <v>38</v>
      </c>
      <c r="K86" s="53" t="s">
        <v>161</v>
      </c>
      <c r="L86" s="53">
        <v>1</v>
      </c>
      <c r="N86" s="53">
        <v>7</v>
      </c>
      <c r="O86" s="53">
        <v>0.7</v>
      </c>
      <c r="P86" s="53">
        <v>0.6</v>
      </c>
      <c r="Q86" s="75">
        <f t="shared" si="3"/>
        <v>0.64999999999999991</v>
      </c>
      <c r="R86" s="53">
        <v>15.4</v>
      </c>
      <c r="S86" s="53">
        <v>120</v>
      </c>
      <c r="T86" s="16">
        <f t="shared" si="4"/>
        <v>30</v>
      </c>
      <c r="U86" s="53">
        <v>734</v>
      </c>
      <c r="V86" s="16">
        <v>3726</v>
      </c>
      <c r="W86" s="53">
        <v>1</v>
      </c>
      <c r="X86" s="53" t="s">
        <v>46</v>
      </c>
      <c r="Y86" s="53" t="s">
        <v>88</v>
      </c>
      <c r="Z86" s="53" t="s">
        <v>78</v>
      </c>
      <c r="AA86" s="53" t="s">
        <v>102</v>
      </c>
      <c r="AB86" s="53" t="s">
        <v>158</v>
      </c>
      <c r="AC86" s="76"/>
      <c r="AD86" s="76"/>
      <c r="AE86" s="76"/>
      <c r="AF86" s="76"/>
      <c r="AG86" s="76"/>
      <c r="AH86" s="76"/>
    </row>
    <row r="87" spans="1:34" x14ac:dyDescent="0.15">
      <c r="A87" s="53" t="s">
        <v>41</v>
      </c>
      <c r="B87" s="53" t="s">
        <v>157</v>
      </c>
      <c r="C87" s="62">
        <v>2019</v>
      </c>
      <c r="D87" s="63" t="s">
        <v>188</v>
      </c>
      <c r="E87" s="53" t="s">
        <v>202</v>
      </c>
      <c r="F87" s="53" t="s">
        <v>209</v>
      </c>
      <c r="G87" s="53" t="s">
        <v>42</v>
      </c>
      <c r="H87" s="53" t="s">
        <v>160</v>
      </c>
      <c r="I87" s="53" t="s">
        <v>159</v>
      </c>
      <c r="J87" s="53" t="s">
        <v>38</v>
      </c>
      <c r="K87" s="53" t="s">
        <v>161</v>
      </c>
      <c r="L87" s="53">
        <v>2</v>
      </c>
      <c r="N87" s="53">
        <v>7</v>
      </c>
      <c r="O87" s="53">
        <v>0.35</v>
      </c>
      <c r="P87" s="53">
        <v>0.3</v>
      </c>
      <c r="Q87" s="75">
        <f t="shared" si="3"/>
        <v>0.32499999999999996</v>
      </c>
      <c r="R87" s="53">
        <v>15.9</v>
      </c>
      <c r="S87" s="53">
        <v>120</v>
      </c>
      <c r="T87" s="16">
        <f t="shared" si="4"/>
        <v>30</v>
      </c>
      <c r="U87" s="53">
        <v>734</v>
      </c>
      <c r="V87" s="16">
        <v>3726</v>
      </c>
      <c r="W87" s="53">
        <v>1</v>
      </c>
      <c r="X87" s="53" t="s">
        <v>46</v>
      </c>
      <c r="Y87" s="53" t="s">
        <v>88</v>
      </c>
      <c r="Z87" s="53" t="s">
        <v>78</v>
      </c>
      <c r="AA87" s="53" t="s">
        <v>102</v>
      </c>
      <c r="AB87" s="53" t="s">
        <v>158</v>
      </c>
      <c r="AC87" s="76"/>
      <c r="AD87" s="76"/>
      <c r="AE87" s="76"/>
      <c r="AF87" s="76"/>
      <c r="AG87" s="76"/>
      <c r="AH87" s="76"/>
    </row>
    <row r="88" spans="1:34" x14ac:dyDescent="0.15">
      <c r="A88" s="53" t="s">
        <v>41</v>
      </c>
      <c r="B88" s="53" t="s">
        <v>157</v>
      </c>
      <c r="C88" s="62">
        <v>2019</v>
      </c>
      <c r="D88" s="63" t="s">
        <v>188</v>
      </c>
      <c r="E88" s="53" t="s">
        <v>202</v>
      </c>
      <c r="F88" s="53" t="s">
        <v>209</v>
      </c>
      <c r="G88" s="53" t="s">
        <v>42</v>
      </c>
      <c r="H88" s="53" t="s">
        <v>160</v>
      </c>
      <c r="I88" s="53" t="s">
        <v>159</v>
      </c>
      <c r="J88" s="53" t="s">
        <v>38</v>
      </c>
      <c r="K88" s="53" t="s">
        <v>161</v>
      </c>
      <c r="L88" s="53">
        <v>3</v>
      </c>
      <c r="N88" s="53">
        <v>7</v>
      </c>
      <c r="O88" s="53">
        <v>0.45</v>
      </c>
      <c r="P88" s="53">
        <v>0.4</v>
      </c>
      <c r="Q88" s="75">
        <f t="shared" si="3"/>
        <v>0.42500000000000004</v>
      </c>
      <c r="R88" s="53">
        <v>16.100000000000001</v>
      </c>
      <c r="S88" s="53">
        <v>114</v>
      </c>
      <c r="T88" s="16">
        <f t="shared" si="4"/>
        <v>30</v>
      </c>
      <c r="U88" s="53">
        <v>734</v>
      </c>
      <c r="V88" s="16">
        <v>3726</v>
      </c>
      <c r="W88" s="53">
        <v>1</v>
      </c>
      <c r="X88" s="53" t="s">
        <v>46</v>
      </c>
      <c r="Y88" s="53" t="s">
        <v>88</v>
      </c>
      <c r="Z88" s="53" t="s">
        <v>78</v>
      </c>
      <c r="AA88" s="53" t="s">
        <v>102</v>
      </c>
      <c r="AB88" s="53" t="s">
        <v>158</v>
      </c>
      <c r="AC88" s="76"/>
      <c r="AD88" s="76"/>
      <c r="AE88" s="76"/>
      <c r="AF88" s="76"/>
      <c r="AG88" s="76"/>
      <c r="AH88" s="76"/>
    </row>
    <row r="89" spans="1:34" x14ac:dyDescent="0.15">
      <c r="A89" s="53" t="s">
        <v>41</v>
      </c>
      <c r="B89" s="53" t="s">
        <v>157</v>
      </c>
      <c r="C89" s="62">
        <v>2019</v>
      </c>
      <c r="D89" s="63" t="s">
        <v>188</v>
      </c>
      <c r="E89" s="53" t="s">
        <v>202</v>
      </c>
      <c r="F89" s="53" t="s">
        <v>209</v>
      </c>
      <c r="G89" s="53" t="s">
        <v>42</v>
      </c>
      <c r="H89" s="53" t="s">
        <v>164</v>
      </c>
      <c r="I89" s="53" t="s">
        <v>159</v>
      </c>
      <c r="J89" s="53" t="s">
        <v>38</v>
      </c>
      <c r="K89" s="53" t="s">
        <v>161</v>
      </c>
      <c r="L89" s="53">
        <v>1</v>
      </c>
      <c r="N89" s="53">
        <v>9</v>
      </c>
      <c r="O89" s="53">
        <v>0.5</v>
      </c>
      <c r="P89" s="53">
        <v>0.5</v>
      </c>
      <c r="Q89" s="75">
        <f t="shared" si="3"/>
        <v>0.5</v>
      </c>
      <c r="R89" s="53">
        <v>14.1</v>
      </c>
      <c r="S89" s="53">
        <v>120</v>
      </c>
      <c r="T89" s="16">
        <f t="shared" si="4"/>
        <v>30</v>
      </c>
      <c r="U89" s="53">
        <v>1058</v>
      </c>
      <c r="V89" s="16">
        <v>3885</v>
      </c>
      <c r="W89" s="53">
        <v>3</v>
      </c>
      <c r="X89" s="53" t="s">
        <v>46</v>
      </c>
      <c r="Y89" s="53" t="s">
        <v>88</v>
      </c>
      <c r="Z89" s="53" t="s">
        <v>78</v>
      </c>
      <c r="AA89" s="53" t="s">
        <v>102</v>
      </c>
      <c r="AB89" s="53" t="s">
        <v>158</v>
      </c>
      <c r="AC89" s="76"/>
      <c r="AD89" s="76"/>
      <c r="AE89" s="76"/>
      <c r="AF89" s="76"/>
      <c r="AG89" s="76"/>
      <c r="AH89" s="76"/>
    </row>
    <row r="90" spans="1:34" x14ac:dyDescent="0.15">
      <c r="A90" s="53" t="s">
        <v>41</v>
      </c>
      <c r="B90" s="53" t="s">
        <v>157</v>
      </c>
      <c r="C90" s="62">
        <v>2019</v>
      </c>
      <c r="D90" s="63" t="s">
        <v>188</v>
      </c>
      <c r="E90" s="53" t="s">
        <v>202</v>
      </c>
      <c r="F90" s="53" t="s">
        <v>209</v>
      </c>
      <c r="G90" s="53" t="s">
        <v>42</v>
      </c>
      <c r="H90" s="53" t="s">
        <v>164</v>
      </c>
      <c r="I90" s="53" t="s">
        <v>159</v>
      </c>
      <c r="J90" s="53" t="s">
        <v>38</v>
      </c>
      <c r="K90" s="53" t="s">
        <v>161</v>
      </c>
      <c r="L90" s="53">
        <v>2</v>
      </c>
      <c r="M90" s="76"/>
      <c r="N90" s="53">
        <v>9</v>
      </c>
      <c r="O90" s="53">
        <v>0.25</v>
      </c>
      <c r="P90" s="53">
        <v>0.25</v>
      </c>
      <c r="Q90" s="75">
        <f t="shared" si="3"/>
        <v>0.25</v>
      </c>
      <c r="R90" s="53">
        <v>13</v>
      </c>
      <c r="S90" s="53">
        <v>118</v>
      </c>
      <c r="T90" s="16">
        <f t="shared" si="4"/>
        <v>30</v>
      </c>
      <c r="U90" s="53">
        <v>1058</v>
      </c>
      <c r="V90" s="16">
        <v>3885</v>
      </c>
      <c r="W90" s="53">
        <v>3</v>
      </c>
      <c r="X90" s="53" t="s">
        <v>46</v>
      </c>
      <c r="Y90" s="53" t="s">
        <v>88</v>
      </c>
      <c r="Z90" s="53" t="s">
        <v>78</v>
      </c>
      <c r="AA90" s="53" t="s">
        <v>102</v>
      </c>
      <c r="AB90" s="53" t="s">
        <v>158</v>
      </c>
      <c r="AC90" s="76"/>
      <c r="AD90" s="76"/>
      <c r="AE90" s="76"/>
      <c r="AF90" s="76"/>
      <c r="AG90" s="76"/>
      <c r="AH90" s="76"/>
    </row>
    <row r="91" spans="1:34" x14ac:dyDescent="0.15">
      <c r="A91" s="53" t="s">
        <v>41</v>
      </c>
      <c r="B91" s="53" t="s">
        <v>157</v>
      </c>
      <c r="C91" s="62">
        <v>2019</v>
      </c>
      <c r="D91" s="63" t="s">
        <v>188</v>
      </c>
      <c r="E91" s="53" t="s">
        <v>202</v>
      </c>
      <c r="F91" s="53" t="s">
        <v>209</v>
      </c>
      <c r="G91" s="53" t="s">
        <v>42</v>
      </c>
      <c r="H91" s="53" t="s">
        <v>164</v>
      </c>
      <c r="I91" s="53" t="s">
        <v>159</v>
      </c>
      <c r="J91" s="53" t="s">
        <v>38</v>
      </c>
      <c r="K91" s="53" t="s">
        <v>161</v>
      </c>
      <c r="L91" s="53">
        <v>3</v>
      </c>
      <c r="M91" s="76"/>
      <c r="N91" s="53">
        <v>9</v>
      </c>
      <c r="O91" s="53">
        <v>0.35</v>
      </c>
      <c r="P91" s="53">
        <v>0.25</v>
      </c>
      <c r="Q91" s="72">
        <f t="shared" si="3"/>
        <v>0.3</v>
      </c>
      <c r="R91" s="53">
        <v>12.9</v>
      </c>
      <c r="S91" s="53">
        <v>120</v>
      </c>
      <c r="T91" s="38">
        <f t="shared" si="4"/>
        <v>30</v>
      </c>
      <c r="U91" s="53">
        <v>1058</v>
      </c>
      <c r="V91" s="38">
        <v>3885</v>
      </c>
      <c r="W91" s="53">
        <v>3</v>
      </c>
      <c r="X91" s="53" t="s">
        <v>46</v>
      </c>
      <c r="Y91" s="53" t="s">
        <v>88</v>
      </c>
      <c r="Z91" s="53" t="s">
        <v>78</v>
      </c>
      <c r="AA91" s="53" t="s">
        <v>102</v>
      </c>
      <c r="AB91" s="53" t="s">
        <v>158</v>
      </c>
      <c r="AC91" s="76"/>
      <c r="AD91" s="76"/>
      <c r="AE91" s="76"/>
      <c r="AF91" s="76"/>
      <c r="AG91" s="76"/>
      <c r="AH91" s="76"/>
    </row>
    <row r="92" spans="1:34" x14ac:dyDescent="0.15">
      <c r="A92" s="53" t="s">
        <v>41</v>
      </c>
      <c r="B92" s="53" t="s">
        <v>157</v>
      </c>
      <c r="C92" s="62">
        <v>2019</v>
      </c>
      <c r="D92" s="63" t="s">
        <v>188</v>
      </c>
      <c r="E92" s="53" t="s">
        <v>202</v>
      </c>
      <c r="F92" s="53" t="s">
        <v>209</v>
      </c>
      <c r="G92" s="53" t="s">
        <v>42</v>
      </c>
      <c r="H92" s="53" t="s">
        <v>164</v>
      </c>
      <c r="I92" s="53" t="s">
        <v>159</v>
      </c>
      <c r="J92" s="53" t="s">
        <v>38</v>
      </c>
      <c r="K92" s="53" t="s">
        <v>161</v>
      </c>
      <c r="L92" s="53">
        <v>1</v>
      </c>
      <c r="N92" s="53">
        <v>1</v>
      </c>
      <c r="O92" s="53">
        <v>0.25</v>
      </c>
      <c r="P92" s="53">
        <v>0.25</v>
      </c>
      <c r="Q92" s="72">
        <f t="shared" si="3"/>
        <v>0.25</v>
      </c>
      <c r="R92" s="53">
        <v>12.3</v>
      </c>
      <c r="S92" s="53">
        <v>124</v>
      </c>
      <c r="T92" s="38">
        <f t="shared" si="4"/>
        <v>27</v>
      </c>
      <c r="U92" s="53">
        <v>95</v>
      </c>
      <c r="V92" s="38">
        <v>3146</v>
      </c>
      <c r="W92" s="53">
        <v>2</v>
      </c>
      <c r="X92" s="53" t="s">
        <v>46</v>
      </c>
      <c r="Y92" s="53" t="s">
        <v>88</v>
      </c>
      <c r="Z92" s="53" t="s">
        <v>78</v>
      </c>
      <c r="AA92" s="53" t="s">
        <v>102</v>
      </c>
      <c r="AB92" s="53" t="s">
        <v>158</v>
      </c>
      <c r="AC92" s="76"/>
      <c r="AD92" s="76"/>
      <c r="AE92" s="76"/>
      <c r="AF92" s="76"/>
      <c r="AG92" s="76"/>
      <c r="AH92" s="76"/>
    </row>
    <row r="93" spans="1:34" x14ac:dyDescent="0.15">
      <c r="A93" s="53" t="s">
        <v>41</v>
      </c>
      <c r="B93" s="53" t="s">
        <v>157</v>
      </c>
      <c r="C93" s="62">
        <v>2019</v>
      </c>
      <c r="D93" s="63" t="s">
        <v>188</v>
      </c>
      <c r="E93" s="53" t="s">
        <v>202</v>
      </c>
      <c r="F93" s="53" t="s">
        <v>209</v>
      </c>
      <c r="G93" s="53" t="s">
        <v>42</v>
      </c>
      <c r="H93" s="53" t="s">
        <v>164</v>
      </c>
      <c r="I93" s="53" t="s">
        <v>159</v>
      </c>
      <c r="J93" s="53" t="s">
        <v>38</v>
      </c>
      <c r="K93" s="53" t="s">
        <v>161</v>
      </c>
      <c r="L93" s="53">
        <v>2</v>
      </c>
      <c r="N93" s="53">
        <v>1</v>
      </c>
      <c r="O93" s="53">
        <v>0.65</v>
      </c>
      <c r="P93" s="53">
        <v>0.5</v>
      </c>
      <c r="Q93" s="72">
        <f t="shared" si="3"/>
        <v>0.57499999999999996</v>
      </c>
      <c r="R93" s="53">
        <v>16.2</v>
      </c>
      <c r="S93" s="53">
        <v>123</v>
      </c>
      <c r="T93" s="38">
        <f t="shared" si="4"/>
        <v>27</v>
      </c>
      <c r="U93" s="53">
        <v>95</v>
      </c>
      <c r="V93" s="38">
        <v>3146</v>
      </c>
      <c r="W93" s="53">
        <v>2</v>
      </c>
      <c r="X93" s="53" t="s">
        <v>46</v>
      </c>
      <c r="Y93" s="53" t="s">
        <v>88</v>
      </c>
      <c r="Z93" s="53" t="s">
        <v>78</v>
      </c>
      <c r="AA93" s="53" t="s">
        <v>102</v>
      </c>
      <c r="AB93" s="53" t="s">
        <v>158</v>
      </c>
      <c r="AC93" s="76"/>
      <c r="AD93" s="76"/>
      <c r="AE93" s="76"/>
      <c r="AF93" s="76"/>
      <c r="AG93" s="76"/>
      <c r="AH93" s="76"/>
    </row>
    <row r="94" spans="1:34" x14ac:dyDescent="0.15">
      <c r="A94" s="53" t="s">
        <v>41</v>
      </c>
      <c r="B94" s="53" t="s">
        <v>157</v>
      </c>
      <c r="C94" s="62">
        <v>2019</v>
      </c>
      <c r="D94" s="63" t="s">
        <v>188</v>
      </c>
      <c r="E94" s="53" t="s">
        <v>202</v>
      </c>
      <c r="F94" s="53" t="s">
        <v>209</v>
      </c>
      <c r="G94" s="53" t="s">
        <v>42</v>
      </c>
      <c r="H94" s="53" t="s">
        <v>164</v>
      </c>
      <c r="I94" s="53" t="s">
        <v>159</v>
      </c>
      <c r="J94" s="53" t="s">
        <v>38</v>
      </c>
      <c r="K94" s="53" t="s">
        <v>161</v>
      </c>
      <c r="L94" s="53">
        <v>3</v>
      </c>
      <c r="N94" s="53">
        <v>1</v>
      </c>
      <c r="O94" s="53">
        <v>0.4</v>
      </c>
      <c r="P94" s="53">
        <v>0.3</v>
      </c>
      <c r="Q94" s="72">
        <f t="shared" si="3"/>
        <v>0.35</v>
      </c>
      <c r="R94" s="53">
        <v>15</v>
      </c>
      <c r="S94" s="53">
        <v>123</v>
      </c>
      <c r="T94" s="38">
        <f t="shared" si="4"/>
        <v>27</v>
      </c>
      <c r="U94" s="53">
        <v>95</v>
      </c>
      <c r="V94" s="38">
        <v>3146</v>
      </c>
      <c r="W94" s="53">
        <v>2</v>
      </c>
      <c r="X94" s="53" t="s">
        <v>46</v>
      </c>
      <c r="Y94" s="53" t="s">
        <v>88</v>
      </c>
      <c r="Z94" s="53" t="s">
        <v>78</v>
      </c>
      <c r="AA94" s="53" t="s">
        <v>102</v>
      </c>
      <c r="AB94" s="53" t="s">
        <v>158</v>
      </c>
      <c r="AC94" s="76"/>
      <c r="AD94" s="76"/>
      <c r="AE94" s="76"/>
      <c r="AF94" s="76"/>
      <c r="AG94" s="76"/>
      <c r="AH94" s="76"/>
    </row>
    <row r="95" spans="1:34" x14ac:dyDescent="0.15">
      <c r="A95" s="53" t="s">
        <v>41</v>
      </c>
      <c r="B95" s="53" t="s">
        <v>157</v>
      </c>
      <c r="C95" s="62">
        <v>2019</v>
      </c>
      <c r="D95" s="63" t="s">
        <v>188</v>
      </c>
      <c r="E95" s="53" t="s">
        <v>202</v>
      </c>
      <c r="F95" s="53" t="s">
        <v>209</v>
      </c>
      <c r="G95" s="53" t="s">
        <v>42</v>
      </c>
      <c r="H95" s="53" t="s">
        <v>164</v>
      </c>
      <c r="I95" s="53" t="s">
        <v>159</v>
      </c>
      <c r="J95" s="53" t="s">
        <v>38</v>
      </c>
      <c r="K95" s="53" t="s">
        <v>161</v>
      </c>
      <c r="L95" s="53">
        <v>1</v>
      </c>
      <c r="N95" s="53">
        <v>5</v>
      </c>
      <c r="O95" s="53">
        <v>0.85</v>
      </c>
      <c r="P95" s="53">
        <v>0.85</v>
      </c>
      <c r="Q95" s="75">
        <f t="shared" si="3"/>
        <v>0.85</v>
      </c>
      <c r="R95" s="53">
        <v>14.1</v>
      </c>
      <c r="S95" s="53">
        <v>115</v>
      </c>
      <c r="T95" s="16">
        <f t="shared" si="4"/>
        <v>30</v>
      </c>
      <c r="U95" s="53">
        <v>410</v>
      </c>
      <c r="V95" s="16">
        <f>IF(OR(N95="",U95="",T95=""),"",U95/N95*T95)</f>
        <v>2460</v>
      </c>
      <c r="W95" s="53">
        <v>1</v>
      </c>
      <c r="X95" s="53" t="s">
        <v>46</v>
      </c>
      <c r="Y95" s="53" t="s">
        <v>88</v>
      </c>
      <c r="Z95" s="53" t="s">
        <v>78</v>
      </c>
      <c r="AA95" s="53" t="s">
        <v>102</v>
      </c>
      <c r="AB95" s="53" t="s">
        <v>158</v>
      </c>
      <c r="AC95" s="76"/>
      <c r="AD95" s="76"/>
      <c r="AE95" s="76"/>
      <c r="AF95" s="76"/>
      <c r="AG95" s="76"/>
      <c r="AH95" s="76"/>
    </row>
    <row r="96" spans="1:34" x14ac:dyDescent="0.15">
      <c r="A96" s="53" t="s">
        <v>41</v>
      </c>
      <c r="B96" s="53" t="s">
        <v>157</v>
      </c>
      <c r="C96" s="62">
        <v>2019</v>
      </c>
      <c r="D96" s="63" t="s">
        <v>188</v>
      </c>
      <c r="E96" s="53" t="s">
        <v>202</v>
      </c>
      <c r="F96" s="53" t="s">
        <v>209</v>
      </c>
      <c r="G96" s="53" t="s">
        <v>42</v>
      </c>
      <c r="H96" s="53" t="s">
        <v>164</v>
      </c>
      <c r="I96" s="53" t="s">
        <v>159</v>
      </c>
      <c r="J96" s="53" t="s">
        <v>38</v>
      </c>
      <c r="K96" s="53" t="s">
        <v>161</v>
      </c>
      <c r="L96" s="53">
        <v>2</v>
      </c>
      <c r="N96" s="53">
        <v>5</v>
      </c>
      <c r="O96" s="53">
        <v>0.7</v>
      </c>
      <c r="P96" s="53">
        <v>0.7</v>
      </c>
      <c r="Q96" s="75">
        <f t="shared" si="3"/>
        <v>0.7</v>
      </c>
      <c r="R96" s="53">
        <v>11.8</v>
      </c>
      <c r="S96" s="53">
        <v>115</v>
      </c>
      <c r="T96" s="16">
        <f t="shared" si="4"/>
        <v>30</v>
      </c>
      <c r="U96" s="53">
        <v>410</v>
      </c>
      <c r="V96" s="38">
        <v>3303</v>
      </c>
      <c r="W96" s="53">
        <v>1</v>
      </c>
      <c r="X96" s="53" t="s">
        <v>46</v>
      </c>
      <c r="Y96" s="53" t="s">
        <v>88</v>
      </c>
      <c r="Z96" s="53" t="s">
        <v>78</v>
      </c>
      <c r="AA96" s="53" t="s">
        <v>102</v>
      </c>
      <c r="AB96" s="53" t="s">
        <v>158</v>
      </c>
      <c r="AC96" s="76"/>
      <c r="AD96" s="76"/>
      <c r="AE96" s="76"/>
      <c r="AF96" s="76"/>
      <c r="AG96" s="76"/>
      <c r="AH96" s="76"/>
    </row>
    <row r="97" spans="1:34" x14ac:dyDescent="0.15">
      <c r="A97" s="53" t="s">
        <v>41</v>
      </c>
      <c r="B97" s="53" t="s">
        <v>157</v>
      </c>
      <c r="C97" s="62">
        <v>2019</v>
      </c>
      <c r="D97" s="63" t="s">
        <v>188</v>
      </c>
      <c r="E97" s="53" t="s">
        <v>202</v>
      </c>
      <c r="F97" s="53" t="s">
        <v>209</v>
      </c>
      <c r="G97" s="53" t="s">
        <v>42</v>
      </c>
      <c r="H97" s="53" t="s">
        <v>164</v>
      </c>
      <c r="I97" s="53" t="s">
        <v>159</v>
      </c>
      <c r="J97" s="53" t="s">
        <v>38</v>
      </c>
      <c r="K97" s="53" t="s">
        <v>161</v>
      </c>
      <c r="L97" s="53">
        <v>3</v>
      </c>
      <c r="N97" s="53">
        <v>5</v>
      </c>
      <c r="O97" s="53">
        <v>0.45</v>
      </c>
      <c r="P97" s="53">
        <v>0.5</v>
      </c>
      <c r="Q97" s="75">
        <f>IF(OR(O97="",P97=""),"",AVERAGE(O97,P97))</f>
        <v>0.47499999999999998</v>
      </c>
      <c r="R97" s="53">
        <v>12.8</v>
      </c>
      <c r="S97" s="53">
        <v>114</v>
      </c>
      <c r="T97" s="16">
        <f t="shared" si="4"/>
        <v>30</v>
      </c>
      <c r="U97" s="53">
        <v>410</v>
      </c>
      <c r="V97" s="38">
        <v>3670</v>
      </c>
      <c r="W97" s="53">
        <v>1</v>
      </c>
      <c r="X97" s="53" t="s">
        <v>46</v>
      </c>
      <c r="Y97" s="53" t="s">
        <v>88</v>
      </c>
      <c r="Z97" s="53" t="s">
        <v>78</v>
      </c>
      <c r="AA97" s="53" t="s">
        <v>102</v>
      </c>
      <c r="AB97" s="53" t="s">
        <v>158</v>
      </c>
      <c r="AC97" s="76"/>
      <c r="AD97" s="76"/>
      <c r="AE97" s="76"/>
      <c r="AF97" s="76"/>
      <c r="AG97" s="76"/>
      <c r="AH97" s="76"/>
    </row>
    <row r="98" spans="1:34" x14ac:dyDescent="0.15">
      <c r="A98" s="53" t="s">
        <v>41</v>
      </c>
      <c r="B98" s="53" t="s">
        <v>157</v>
      </c>
      <c r="C98" s="62">
        <v>2019</v>
      </c>
      <c r="D98" s="63" t="s">
        <v>188</v>
      </c>
      <c r="E98" s="53" t="s">
        <v>202</v>
      </c>
      <c r="F98" s="53" t="s">
        <v>209</v>
      </c>
      <c r="G98" s="53" t="s">
        <v>42</v>
      </c>
      <c r="H98" s="53" t="s">
        <v>164</v>
      </c>
      <c r="I98" s="53" t="s">
        <v>159</v>
      </c>
      <c r="J98" s="53" t="s">
        <v>38</v>
      </c>
      <c r="K98" s="53" t="s">
        <v>161</v>
      </c>
      <c r="L98" s="53">
        <v>1</v>
      </c>
      <c r="N98" s="53">
        <v>8</v>
      </c>
      <c r="O98" s="53">
        <v>0.7</v>
      </c>
      <c r="P98" s="53">
        <v>0.65</v>
      </c>
      <c r="Q98" s="75">
        <f t="shared" si="3"/>
        <v>0.67500000000000004</v>
      </c>
      <c r="R98" s="53">
        <v>14.1</v>
      </c>
      <c r="S98" s="53">
        <v>104</v>
      </c>
      <c r="T98" s="16">
        <f t="shared" si="4"/>
        <v>33</v>
      </c>
      <c r="U98" s="53">
        <v>626</v>
      </c>
      <c r="V98" s="16">
        <f>IF(OR(N98="",U98="",T98=""),"",U98/N98*T98)</f>
        <v>2582.25</v>
      </c>
      <c r="W98" s="53">
        <v>1</v>
      </c>
      <c r="X98" s="53" t="s">
        <v>46</v>
      </c>
      <c r="Y98" s="53" t="s">
        <v>88</v>
      </c>
      <c r="Z98" s="53" t="s">
        <v>78</v>
      </c>
      <c r="AA98" s="53" t="s">
        <v>102</v>
      </c>
      <c r="AB98" s="53" t="s">
        <v>158</v>
      </c>
      <c r="AC98" s="76"/>
      <c r="AD98" s="76"/>
      <c r="AE98" s="76"/>
      <c r="AF98" s="76"/>
      <c r="AG98" s="76"/>
      <c r="AH98" s="76"/>
    </row>
    <row r="99" spans="1:34" x14ac:dyDescent="0.15">
      <c r="A99" s="53" t="s">
        <v>41</v>
      </c>
      <c r="B99" s="53" t="s">
        <v>157</v>
      </c>
      <c r="C99" s="62">
        <v>2019</v>
      </c>
      <c r="D99" s="63" t="s">
        <v>188</v>
      </c>
      <c r="E99" s="53" t="s">
        <v>202</v>
      </c>
      <c r="F99" s="53" t="s">
        <v>209</v>
      </c>
      <c r="G99" s="53" t="s">
        <v>42</v>
      </c>
      <c r="H99" s="53" t="s">
        <v>164</v>
      </c>
      <c r="I99" s="53" t="s">
        <v>159</v>
      </c>
      <c r="J99" s="53" t="s">
        <v>38</v>
      </c>
      <c r="K99" s="53" t="s">
        <v>161</v>
      </c>
      <c r="L99" s="53">
        <v>2</v>
      </c>
      <c r="N99" s="53">
        <v>8</v>
      </c>
      <c r="O99" s="53">
        <v>0.45</v>
      </c>
      <c r="P99" s="53">
        <v>0.3</v>
      </c>
      <c r="Q99" s="75">
        <f t="shared" si="3"/>
        <v>0.375</v>
      </c>
      <c r="R99" s="53">
        <v>13.8</v>
      </c>
      <c r="S99" s="53">
        <v>102</v>
      </c>
      <c r="T99" s="16">
        <f t="shared" si="4"/>
        <v>33</v>
      </c>
      <c r="U99" s="53">
        <v>626</v>
      </c>
      <c r="V99" s="38">
        <v>3303</v>
      </c>
      <c r="W99" s="53">
        <v>1</v>
      </c>
      <c r="X99" s="53" t="s">
        <v>46</v>
      </c>
      <c r="Y99" s="53" t="s">
        <v>88</v>
      </c>
      <c r="Z99" s="53" t="s">
        <v>78</v>
      </c>
      <c r="AA99" s="53" t="s">
        <v>102</v>
      </c>
      <c r="AB99" s="53" t="s">
        <v>158</v>
      </c>
      <c r="AC99" s="76"/>
      <c r="AD99" s="76"/>
      <c r="AE99" s="76"/>
      <c r="AF99" s="76"/>
      <c r="AG99" s="76"/>
      <c r="AH99" s="76"/>
    </row>
    <row r="100" spans="1:34" x14ac:dyDescent="0.15">
      <c r="A100" s="53" t="s">
        <v>41</v>
      </c>
      <c r="B100" s="53" t="s">
        <v>157</v>
      </c>
      <c r="C100" s="62">
        <v>2019</v>
      </c>
      <c r="D100" s="63" t="s">
        <v>188</v>
      </c>
      <c r="E100" s="53" t="s">
        <v>202</v>
      </c>
      <c r="F100" s="53" t="s">
        <v>209</v>
      </c>
      <c r="G100" s="53" t="s">
        <v>42</v>
      </c>
      <c r="H100" s="53" t="s">
        <v>164</v>
      </c>
      <c r="I100" s="53" t="s">
        <v>159</v>
      </c>
      <c r="J100" s="53" t="s">
        <v>38</v>
      </c>
      <c r="K100" s="53" t="s">
        <v>161</v>
      </c>
      <c r="L100" s="53">
        <v>3</v>
      </c>
      <c r="N100" s="53">
        <v>8</v>
      </c>
      <c r="O100" s="53">
        <v>0.4</v>
      </c>
      <c r="P100" s="53">
        <v>0.35</v>
      </c>
      <c r="Q100" s="75">
        <f>IF(OR(O100="",P100=""),"",AVERAGE(O100,P100))</f>
        <v>0.375</v>
      </c>
      <c r="R100" s="53">
        <v>14.3</v>
      </c>
      <c r="S100" s="53">
        <v>102</v>
      </c>
      <c r="T100" s="16">
        <f t="shared" si="4"/>
        <v>33</v>
      </c>
      <c r="U100" s="53">
        <v>626</v>
      </c>
      <c r="V100" s="38">
        <v>3670</v>
      </c>
      <c r="W100" s="53">
        <v>1</v>
      </c>
      <c r="X100" s="53" t="s">
        <v>46</v>
      </c>
      <c r="Y100" s="53" t="s">
        <v>88</v>
      </c>
      <c r="Z100" s="53" t="s">
        <v>78</v>
      </c>
      <c r="AA100" s="53" t="s">
        <v>102</v>
      </c>
      <c r="AB100" s="53" t="s">
        <v>158</v>
      </c>
      <c r="AC100" s="76"/>
      <c r="AD100" s="76"/>
      <c r="AE100" s="76"/>
      <c r="AF100" s="76"/>
      <c r="AG100" s="76"/>
      <c r="AH100" s="76"/>
    </row>
    <row r="101" spans="1:34" x14ac:dyDescent="0.15">
      <c r="A101" s="53" t="s">
        <v>41</v>
      </c>
      <c r="B101" s="53" t="s">
        <v>157</v>
      </c>
      <c r="C101" s="62">
        <v>2019</v>
      </c>
      <c r="D101" s="63" t="s">
        <v>188</v>
      </c>
      <c r="E101" s="53" t="s">
        <v>205</v>
      </c>
      <c r="F101" s="53" t="s">
        <v>206</v>
      </c>
      <c r="G101" s="53" t="s">
        <v>42</v>
      </c>
      <c r="H101" s="53" t="s">
        <v>164</v>
      </c>
      <c r="I101" s="53" t="s">
        <v>159</v>
      </c>
      <c r="J101" s="53" t="s">
        <v>38</v>
      </c>
      <c r="K101" s="53" t="s">
        <v>161</v>
      </c>
      <c r="L101" s="53">
        <v>1</v>
      </c>
      <c r="N101" s="53">
        <v>1</v>
      </c>
      <c r="O101" s="53">
        <v>0.65</v>
      </c>
      <c r="P101" s="53">
        <v>0.6</v>
      </c>
      <c r="Q101" s="72">
        <f>IF(OR(O101="",P101=""),"",AVERAGE(O101,P101))</f>
        <v>0.625</v>
      </c>
      <c r="R101" s="53">
        <v>12.6</v>
      </c>
      <c r="S101" s="53">
        <v>126</v>
      </c>
      <c r="T101" s="38">
        <f t="shared" si="4"/>
        <v>27</v>
      </c>
      <c r="U101" s="53">
        <v>105</v>
      </c>
      <c r="V101" s="16">
        <f>IF(OR(N101="",U101="",T101=""),"",U101/N101*T101)</f>
        <v>2835</v>
      </c>
      <c r="W101" s="53">
        <v>2</v>
      </c>
      <c r="X101" s="53" t="s">
        <v>46</v>
      </c>
      <c r="Y101" s="53" t="s">
        <v>88</v>
      </c>
      <c r="Z101" s="53" t="s">
        <v>69</v>
      </c>
      <c r="AA101" s="53" t="s">
        <v>78</v>
      </c>
      <c r="AB101" s="53" t="s">
        <v>158</v>
      </c>
      <c r="AC101" s="76"/>
      <c r="AD101" s="76"/>
      <c r="AE101" s="76"/>
      <c r="AF101" s="76"/>
      <c r="AG101" s="76"/>
      <c r="AH101" s="76"/>
    </row>
    <row r="102" spans="1:34" x14ac:dyDescent="0.15">
      <c r="A102" s="53" t="s">
        <v>41</v>
      </c>
      <c r="B102" s="53" t="s">
        <v>157</v>
      </c>
      <c r="C102" s="62">
        <v>2019</v>
      </c>
      <c r="D102" s="63" t="s">
        <v>188</v>
      </c>
      <c r="E102" s="53" t="s">
        <v>205</v>
      </c>
      <c r="F102" s="53" t="s">
        <v>206</v>
      </c>
      <c r="G102" s="53" t="s">
        <v>42</v>
      </c>
      <c r="H102" s="53" t="s">
        <v>164</v>
      </c>
      <c r="I102" s="53" t="s">
        <v>159</v>
      </c>
      <c r="J102" s="53" t="s">
        <v>38</v>
      </c>
      <c r="K102" s="53" t="s">
        <v>161</v>
      </c>
      <c r="L102" s="53">
        <v>2</v>
      </c>
      <c r="N102" s="53">
        <v>1</v>
      </c>
      <c r="O102" s="53">
        <v>0.8</v>
      </c>
      <c r="P102" s="53">
        <v>0.7</v>
      </c>
      <c r="Q102" s="72">
        <f>IF(OR(O102="",P102=""),"",AVERAGE(O102,P102))</f>
        <v>0.75</v>
      </c>
      <c r="R102" s="53">
        <v>13.8</v>
      </c>
      <c r="S102" s="53">
        <v>126</v>
      </c>
      <c r="T102" s="38">
        <f t="shared" si="4"/>
        <v>27</v>
      </c>
      <c r="U102" s="53">
        <v>105</v>
      </c>
      <c r="V102" s="16">
        <f>IF(OR(N102="",U102="",T102=""),"",U102/N102*T102)</f>
        <v>2835</v>
      </c>
      <c r="W102" s="53">
        <v>2</v>
      </c>
      <c r="X102" s="53" t="s">
        <v>46</v>
      </c>
      <c r="Y102" s="53" t="s">
        <v>88</v>
      </c>
      <c r="Z102" s="53" t="s">
        <v>69</v>
      </c>
      <c r="AA102" s="53" t="s">
        <v>78</v>
      </c>
      <c r="AB102" s="53" t="s">
        <v>158</v>
      </c>
      <c r="AC102" s="76"/>
      <c r="AD102" s="76"/>
      <c r="AE102" s="76"/>
      <c r="AF102" s="76"/>
      <c r="AG102" s="76"/>
      <c r="AH102" s="76"/>
    </row>
    <row r="103" spans="1:34" x14ac:dyDescent="0.15">
      <c r="A103" s="53" t="s">
        <v>41</v>
      </c>
      <c r="B103" s="53" t="s">
        <v>157</v>
      </c>
      <c r="C103" s="62">
        <v>2019</v>
      </c>
      <c r="D103" s="63" t="s">
        <v>188</v>
      </c>
      <c r="E103" s="53" t="s">
        <v>205</v>
      </c>
      <c r="F103" s="53" t="s">
        <v>206</v>
      </c>
      <c r="G103" s="53" t="s">
        <v>42</v>
      </c>
      <c r="H103" s="53" t="s">
        <v>164</v>
      </c>
      <c r="I103" s="53" t="s">
        <v>159</v>
      </c>
      <c r="J103" s="53" t="s">
        <v>38</v>
      </c>
      <c r="K103" s="53" t="s">
        <v>161</v>
      </c>
      <c r="L103" s="53">
        <v>3</v>
      </c>
      <c r="N103" s="53">
        <v>1</v>
      </c>
      <c r="O103" s="53">
        <v>0.9</v>
      </c>
      <c r="P103" s="53">
        <v>0.95</v>
      </c>
      <c r="Q103" s="72">
        <f>IF(OR(O103="",P103=""),"",AVERAGE(O103,P103))</f>
        <v>0.92500000000000004</v>
      </c>
      <c r="R103" s="53">
        <v>15.2</v>
      </c>
      <c r="S103" s="53">
        <v>125</v>
      </c>
      <c r="T103" s="38">
        <f t="shared" si="4"/>
        <v>27</v>
      </c>
      <c r="U103" s="53">
        <v>105</v>
      </c>
      <c r="V103" s="38">
        <f>IF(OR(N103="",U103="",T103=""),"",U103/N103*T103)</f>
        <v>2835</v>
      </c>
      <c r="W103" s="53">
        <v>2</v>
      </c>
      <c r="X103" s="53" t="s">
        <v>46</v>
      </c>
      <c r="Y103" s="53" t="s">
        <v>88</v>
      </c>
      <c r="Z103" s="53" t="s">
        <v>69</v>
      </c>
      <c r="AA103" s="53" t="s">
        <v>78</v>
      </c>
      <c r="AB103" s="53" t="s">
        <v>158</v>
      </c>
      <c r="AC103" s="76"/>
      <c r="AD103" s="76"/>
      <c r="AE103" s="76"/>
      <c r="AF103" s="76"/>
      <c r="AG103" s="76"/>
      <c r="AH103" s="76"/>
    </row>
    <row r="104" spans="1:34" x14ac:dyDescent="0.15">
      <c r="A104" s="53" t="s">
        <v>41</v>
      </c>
      <c r="B104" s="53" t="s">
        <v>157</v>
      </c>
      <c r="C104" s="62">
        <v>2018</v>
      </c>
      <c r="D104" s="63" t="s">
        <v>188</v>
      </c>
      <c r="E104" s="53" t="s">
        <v>205</v>
      </c>
      <c r="F104" s="53" t="s">
        <v>206</v>
      </c>
      <c r="G104" s="53" t="s">
        <v>42</v>
      </c>
      <c r="H104" s="53" t="s">
        <v>164</v>
      </c>
      <c r="I104" s="53" t="s">
        <v>159</v>
      </c>
      <c r="J104" s="53" t="s">
        <v>38</v>
      </c>
      <c r="K104" s="53" t="s">
        <v>161</v>
      </c>
      <c r="L104" s="53">
        <v>1</v>
      </c>
      <c r="N104" s="53">
        <v>8</v>
      </c>
      <c r="O104" s="53">
        <v>0.35</v>
      </c>
      <c r="P104" s="53">
        <v>0.35</v>
      </c>
      <c r="Q104" s="16">
        <f>IF(OR(O104="",P104=""),"",AVERAGE(O104,P104))</f>
        <v>0.35</v>
      </c>
      <c r="R104" s="53">
        <v>14.7</v>
      </c>
      <c r="S104" s="53">
        <v>122</v>
      </c>
      <c r="T104" s="16">
        <f t="shared" si="4"/>
        <v>27</v>
      </c>
      <c r="U104" s="53">
        <v>829</v>
      </c>
      <c r="V104" s="16">
        <f>IF(OR(N104="",U104="",T104=""),"",U104/N104*T104)</f>
        <v>2797.875</v>
      </c>
      <c r="W104" s="53">
        <v>2</v>
      </c>
      <c r="X104" s="53" t="s">
        <v>46</v>
      </c>
      <c r="Y104" s="53" t="s">
        <v>88</v>
      </c>
      <c r="Z104" s="53" t="s">
        <v>69</v>
      </c>
      <c r="AA104" s="53" t="s">
        <v>78</v>
      </c>
      <c r="AB104" s="53" t="s">
        <v>158</v>
      </c>
    </row>
    <row r="105" spans="1:34" x14ac:dyDescent="0.15">
      <c r="A105" s="53" t="s">
        <v>41</v>
      </c>
      <c r="B105" s="53" t="s">
        <v>157</v>
      </c>
      <c r="C105" s="62">
        <v>2018</v>
      </c>
      <c r="D105" s="63" t="s">
        <v>188</v>
      </c>
      <c r="E105" s="53" t="s">
        <v>205</v>
      </c>
      <c r="F105" s="53" t="s">
        <v>206</v>
      </c>
      <c r="G105" s="53" t="s">
        <v>42</v>
      </c>
      <c r="H105" s="53" t="s">
        <v>164</v>
      </c>
      <c r="I105" s="53" t="s">
        <v>159</v>
      </c>
      <c r="J105" s="53" t="s">
        <v>38</v>
      </c>
      <c r="K105" s="53" t="s">
        <v>161</v>
      </c>
      <c r="L105" s="53">
        <v>2</v>
      </c>
      <c r="N105" s="53">
        <v>8</v>
      </c>
      <c r="O105" s="53">
        <v>0.4</v>
      </c>
      <c r="P105" s="53">
        <v>0.45</v>
      </c>
      <c r="Q105" s="16">
        <f t="shared" ref="Q105:Q124" si="6">IF(OR(O105="",P105=""),"",AVERAGE(O105,P105))</f>
        <v>0.42500000000000004</v>
      </c>
      <c r="R105" s="53">
        <v>12.9</v>
      </c>
      <c r="S105" s="53">
        <v>122</v>
      </c>
      <c r="T105" s="16">
        <f t="shared" si="4"/>
        <v>27</v>
      </c>
      <c r="U105" s="53">
        <v>829</v>
      </c>
      <c r="V105" s="16">
        <f t="shared" ref="V105:V124" si="7">IF(OR(N105="",U105="",T105=""),"",U105/N105*T105)</f>
        <v>2797.875</v>
      </c>
      <c r="W105" s="53">
        <v>2</v>
      </c>
      <c r="X105" s="53" t="s">
        <v>46</v>
      </c>
      <c r="Y105" s="53" t="s">
        <v>88</v>
      </c>
      <c r="Z105" s="53" t="s">
        <v>69</v>
      </c>
      <c r="AA105" s="53" t="s">
        <v>78</v>
      </c>
      <c r="AB105" s="53" t="s">
        <v>158</v>
      </c>
    </row>
    <row r="106" spans="1:34" x14ac:dyDescent="0.15">
      <c r="A106" s="53" t="s">
        <v>41</v>
      </c>
      <c r="B106" s="53" t="s">
        <v>157</v>
      </c>
      <c r="C106" s="62">
        <v>2018</v>
      </c>
      <c r="D106" s="63" t="s">
        <v>188</v>
      </c>
      <c r="E106" s="53" t="s">
        <v>205</v>
      </c>
      <c r="F106" s="53" t="s">
        <v>206</v>
      </c>
      <c r="G106" s="53" t="s">
        <v>42</v>
      </c>
      <c r="H106" s="53" t="s">
        <v>164</v>
      </c>
      <c r="I106" s="53" t="s">
        <v>159</v>
      </c>
      <c r="J106" s="53" t="s">
        <v>38</v>
      </c>
      <c r="K106" s="53" t="s">
        <v>161</v>
      </c>
      <c r="L106" s="53">
        <v>3</v>
      </c>
      <c r="N106" s="53">
        <v>8</v>
      </c>
      <c r="O106" s="53">
        <v>0.35</v>
      </c>
      <c r="P106" s="53">
        <v>0.35</v>
      </c>
      <c r="Q106" s="16">
        <f t="shared" si="6"/>
        <v>0.35</v>
      </c>
      <c r="R106" s="53">
        <v>13.8</v>
      </c>
      <c r="S106" s="53">
        <v>121</v>
      </c>
      <c r="T106" s="16">
        <f t="shared" si="4"/>
        <v>27</v>
      </c>
      <c r="U106" s="53">
        <v>829</v>
      </c>
      <c r="V106" s="16">
        <f t="shared" si="7"/>
        <v>2797.875</v>
      </c>
      <c r="W106" s="53">
        <v>2</v>
      </c>
      <c r="X106" s="53" t="s">
        <v>46</v>
      </c>
      <c r="Y106" s="53" t="s">
        <v>88</v>
      </c>
      <c r="Z106" s="53" t="s">
        <v>69</v>
      </c>
      <c r="AA106" s="53" t="s">
        <v>78</v>
      </c>
      <c r="AB106" s="53" t="s">
        <v>158</v>
      </c>
    </row>
    <row r="107" spans="1:34" x14ac:dyDescent="0.15">
      <c r="A107" s="53" t="s">
        <v>41</v>
      </c>
      <c r="B107" s="53" t="s">
        <v>157</v>
      </c>
      <c r="C107" s="62">
        <v>2019</v>
      </c>
      <c r="D107" s="63" t="s">
        <v>188</v>
      </c>
      <c r="E107" s="53" t="s">
        <v>205</v>
      </c>
      <c r="F107" s="53" t="s">
        <v>206</v>
      </c>
      <c r="G107" s="53" t="s">
        <v>42</v>
      </c>
      <c r="H107" s="53" t="s">
        <v>160</v>
      </c>
      <c r="I107" s="53" t="s">
        <v>159</v>
      </c>
      <c r="J107" s="53" t="s">
        <v>38</v>
      </c>
      <c r="K107" s="53" t="s">
        <v>161</v>
      </c>
      <c r="L107" s="53">
        <v>1</v>
      </c>
      <c r="N107" s="53">
        <v>1</v>
      </c>
      <c r="O107" s="53">
        <v>0.7</v>
      </c>
      <c r="P107" s="53">
        <v>0.75</v>
      </c>
      <c r="Q107" s="72">
        <f t="shared" si="6"/>
        <v>0.72499999999999998</v>
      </c>
      <c r="R107" s="53">
        <v>16.399999999999999</v>
      </c>
      <c r="S107" s="53">
        <v>124</v>
      </c>
      <c r="T107" s="38">
        <f t="shared" si="4"/>
        <v>27</v>
      </c>
      <c r="U107" s="53">
        <v>138</v>
      </c>
      <c r="V107" s="16">
        <f t="shared" si="7"/>
        <v>3726</v>
      </c>
      <c r="W107" s="53">
        <v>1</v>
      </c>
      <c r="X107" s="53" t="s">
        <v>46</v>
      </c>
      <c r="Y107" s="53" t="s">
        <v>88</v>
      </c>
      <c r="Z107" s="53" t="s">
        <v>69</v>
      </c>
      <c r="AA107" s="53" t="s">
        <v>78</v>
      </c>
      <c r="AB107" s="53" t="s">
        <v>158</v>
      </c>
      <c r="AC107" s="76"/>
      <c r="AD107" s="76"/>
      <c r="AE107" s="76"/>
      <c r="AF107" s="76"/>
      <c r="AG107" s="76"/>
      <c r="AH107" s="76"/>
    </row>
    <row r="108" spans="1:34" x14ac:dyDescent="0.15">
      <c r="A108" s="53" t="s">
        <v>41</v>
      </c>
      <c r="B108" s="53" t="s">
        <v>157</v>
      </c>
      <c r="C108" s="62">
        <v>2019</v>
      </c>
      <c r="D108" s="63" t="s">
        <v>188</v>
      </c>
      <c r="E108" s="53" t="s">
        <v>205</v>
      </c>
      <c r="F108" s="53" t="s">
        <v>206</v>
      </c>
      <c r="G108" s="53" t="s">
        <v>42</v>
      </c>
      <c r="H108" s="53" t="s">
        <v>160</v>
      </c>
      <c r="I108" s="53" t="s">
        <v>159</v>
      </c>
      <c r="J108" s="53" t="s">
        <v>38</v>
      </c>
      <c r="K108" s="53" t="s">
        <v>161</v>
      </c>
      <c r="L108" s="53">
        <v>2</v>
      </c>
      <c r="N108" s="53">
        <v>1</v>
      </c>
      <c r="O108" s="53">
        <v>0.6</v>
      </c>
      <c r="P108" s="53">
        <v>0.65</v>
      </c>
      <c r="Q108" s="72">
        <f t="shared" si="6"/>
        <v>0.625</v>
      </c>
      <c r="R108" s="53">
        <v>15.8</v>
      </c>
      <c r="S108" s="53">
        <v>122</v>
      </c>
      <c r="T108" s="38">
        <f t="shared" si="4"/>
        <v>27</v>
      </c>
      <c r="U108" s="53">
        <v>138</v>
      </c>
      <c r="V108" s="16">
        <f t="shared" si="7"/>
        <v>3726</v>
      </c>
      <c r="W108" s="53">
        <v>1</v>
      </c>
      <c r="X108" s="53" t="s">
        <v>46</v>
      </c>
      <c r="Y108" s="53" t="s">
        <v>88</v>
      </c>
      <c r="Z108" s="53" t="s">
        <v>69</v>
      </c>
      <c r="AA108" s="53" t="s">
        <v>78</v>
      </c>
      <c r="AB108" s="53" t="s">
        <v>158</v>
      </c>
      <c r="AC108" s="76"/>
      <c r="AD108" s="76"/>
      <c r="AE108" s="76"/>
      <c r="AF108" s="76"/>
      <c r="AG108" s="76"/>
      <c r="AH108" s="76"/>
    </row>
    <row r="109" spans="1:34" x14ac:dyDescent="0.15">
      <c r="A109" s="53" t="s">
        <v>41</v>
      </c>
      <c r="B109" s="53" t="s">
        <v>157</v>
      </c>
      <c r="C109" s="62">
        <v>2019</v>
      </c>
      <c r="D109" s="63" t="s">
        <v>188</v>
      </c>
      <c r="E109" s="53" t="s">
        <v>205</v>
      </c>
      <c r="F109" s="53" t="s">
        <v>206</v>
      </c>
      <c r="G109" s="53" t="s">
        <v>42</v>
      </c>
      <c r="H109" s="53" t="s">
        <v>160</v>
      </c>
      <c r="I109" s="53" t="s">
        <v>159</v>
      </c>
      <c r="J109" s="53" t="s">
        <v>38</v>
      </c>
      <c r="K109" s="53" t="s">
        <v>161</v>
      </c>
      <c r="L109" s="53">
        <v>3</v>
      </c>
      <c r="N109" s="53">
        <v>1</v>
      </c>
      <c r="O109" s="53">
        <v>0.55000000000000004</v>
      </c>
      <c r="P109" s="53">
        <v>0.55000000000000004</v>
      </c>
      <c r="Q109" s="72">
        <f t="shared" si="6"/>
        <v>0.55000000000000004</v>
      </c>
      <c r="R109" s="53">
        <v>15.2</v>
      </c>
      <c r="S109" s="53">
        <v>123</v>
      </c>
      <c r="T109" s="38">
        <f t="shared" si="4"/>
        <v>27</v>
      </c>
      <c r="U109" s="53">
        <v>138</v>
      </c>
      <c r="V109" s="38">
        <f t="shared" si="7"/>
        <v>3726</v>
      </c>
      <c r="W109" s="53">
        <v>1</v>
      </c>
      <c r="X109" s="53" t="s">
        <v>46</v>
      </c>
      <c r="Y109" s="53" t="s">
        <v>88</v>
      </c>
      <c r="Z109" s="53" t="s">
        <v>69</v>
      </c>
      <c r="AA109" s="53" t="s">
        <v>78</v>
      </c>
      <c r="AB109" s="53" t="s">
        <v>158</v>
      </c>
      <c r="AC109" s="76"/>
      <c r="AD109" s="76"/>
      <c r="AE109" s="76"/>
      <c r="AF109" s="76"/>
      <c r="AG109" s="76"/>
      <c r="AH109" s="76"/>
    </row>
    <row r="110" spans="1:34" x14ac:dyDescent="0.15">
      <c r="A110" s="53" t="s">
        <v>41</v>
      </c>
      <c r="B110" s="53" t="s">
        <v>157</v>
      </c>
      <c r="C110" s="62">
        <v>2019</v>
      </c>
      <c r="D110" s="63" t="s">
        <v>188</v>
      </c>
      <c r="E110" s="53" t="s">
        <v>205</v>
      </c>
      <c r="F110" s="53" t="s">
        <v>206</v>
      </c>
      <c r="G110" s="53" t="s">
        <v>42</v>
      </c>
      <c r="H110" s="53" t="s">
        <v>160</v>
      </c>
      <c r="I110" s="53" t="s">
        <v>159</v>
      </c>
      <c r="J110" s="53" t="s">
        <v>38</v>
      </c>
      <c r="K110" s="53" t="s">
        <v>161</v>
      </c>
      <c r="L110" s="53">
        <v>1</v>
      </c>
      <c r="N110" s="53">
        <v>8</v>
      </c>
      <c r="O110" s="53">
        <v>0.45</v>
      </c>
      <c r="P110" s="53">
        <v>0.5</v>
      </c>
      <c r="Q110" s="72">
        <f t="shared" si="6"/>
        <v>0.47499999999999998</v>
      </c>
      <c r="R110" s="53">
        <v>14.1</v>
      </c>
      <c r="S110" s="53">
        <v>114</v>
      </c>
      <c r="T110" s="38">
        <f t="shared" si="4"/>
        <v>30</v>
      </c>
      <c r="U110" s="53">
        <v>1058</v>
      </c>
      <c r="V110" s="16">
        <f t="shared" si="7"/>
        <v>3967.5</v>
      </c>
      <c r="W110" s="53">
        <v>2</v>
      </c>
      <c r="X110" s="53" t="s">
        <v>46</v>
      </c>
      <c r="Y110" s="53" t="s">
        <v>88</v>
      </c>
      <c r="Z110" s="53" t="s">
        <v>69</v>
      </c>
      <c r="AA110" s="53" t="s">
        <v>78</v>
      </c>
      <c r="AB110" s="53" t="s">
        <v>158</v>
      </c>
      <c r="AC110" s="76"/>
      <c r="AD110" s="76"/>
      <c r="AE110" s="76"/>
      <c r="AF110" s="76"/>
      <c r="AG110" s="76"/>
      <c r="AH110" s="76"/>
    </row>
    <row r="111" spans="1:34" x14ac:dyDescent="0.15">
      <c r="A111" s="53" t="s">
        <v>41</v>
      </c>
      <c r="B111" s="53" t="s">
        <v>157</v>
      </c>
      <c r="C111" s="62">
        <v>2019</v>
      </c>
      <c r="D111" s="63" t="s">
        <v>188</v>
      </c>
      <c r="E111" s="53" t="s">
        <v>205</v>
      </c>
      <c r="F111" s="53" t="s">
        <v>206</v>
      </c>
      <c r="G111" s="53" t="s">
        <v>42</v>
      </c>
      <c r="H111" s="53" t="s">
        <v>160</v>
      </c>
      <c r="I111" s="53" t="s">
        <v>159</v>
      </c>
      <c r="J111" s="53" t="s">
        <v>38</v>
      </c>
      <c r="K111" s="53" t="s">
        <v>161</v>
      </c>
      <c r="L111" s="53">
        <v>2</v>
      </c>
      <c r="N111" s="53">
        <v>8</v>
      </c>
      <c r="O111" s="53">
        <v>0.5</v>
      </c>
      <c r="P111" s="53">
        <v>0.45</v>
      </c>
      <c r="Q111" s="72">
        <f t="shared" si="6"/>
        <v>0.47499999999999998</v>
      </c>
      <c r="R111" s="53">
        <v>14.3</v>
      </c>
      <c r="S111" s="53">
        <v>115</v>
      </c>
      <c r="T111" s="38">
        <f t="shared" si="4"/>
        <v>30</v>
      </c>
      <c r="U111" s="53">
        <v>1058</v>
      </c>
      <c r="V111" s="16">
        <f t="shared" si="7"/>
        <v>3967.5</v>
      </c>
      <c r="W111" s="53">
        <v>2</v>
      </c>
      <c r="X111" s="53" t="s">
        <v>46</v>
      </c>
      <c r="Y111" s="53" t="s">
        <v>88</v>
      </c>
      <c r="Z111" s="53" t="s">
        <v>69</v>
      </c>
      <c r="AA111" s="53" t="s">
        <v>78</v>
      </c>
      <c r="AB111" s="53" t="s">
        <v>158</v>
      </c>
      <c r="AC111" s="76"/>
      <c r="AD111" s="76"/>
      <c r="AE111" s="76"/>
      <c r="AF111" s="76"/>
      <c r="AG111" s="76"/>
      <c r="AH111" s="76"/>
    </row>
    <row r="112" spans="1:34" x14ac:dyDescent="0.15">
      <c r="A112" s="53" t="s">
        <v>41</v>
      </c>
      <c r="B112" s="53" t="s">
        <v>157</v>
      </c>
      <c r="C112" s="62">
        <v>2019</v>
      </c>
      <c r="D112" s="63" t="s">
        <v>188</v>
      </c>
      <c r="E112" s="53" t="s">
        <v>205</v>
      </c>
      <c r="F112" s="53" t="s">
        <v>206</v>
      </c>
      <c r="G112" s="53" t="s">
        <v>42</v>
      </c>
      <c r="H112" s="53" t="s">
        <v>160</v>
      </c>
      <c r="I112" s="53" t="s">
        <v>159</v>
      </c>
      <c r="J112" s="53" t="s">
        <v>38</v>
      </c>
      <c r="K112" s="53" t="s">
        <v>161</v>
      </c>
      <c r="L112" s="53">
        <v>3</v>
      </c>
      <c r="N112" s="53">
        <v>8</v>
      </c>
      <c r="O112" s="53">
        <v>0.3</v>
      </c>
      <c r="P112" s="53">
        <v>0.35</v>
      </c>
      <c r="Q112" s="72">
        <f t="shared" si="6"/>
        <v>0.32499999999999996</v>
      </c>
      <c r="R112" s="53">
        <v>15.2</v>
      </c>
      <c r="S112" s="53">
        <v>117</v>
      </c>
      <c r="T112" s="38">
        <f t="shared" si="4"/>
        <v>30</v>
      </c>
      <c r="U112" s="53">
        <v>1058</v>
      </c>
      <c r="V112" s="38">
        <f t="shared" si="7"/>
        <v>3967.5</v>
      </c>
      <c r="W112" s="53">
        <v>2</v>
      </c>
      <c r="X112" s="53" t="s">
        <v>46</v>
      </c>
      <c r="Y112" s="53" t="s">
        <v>88</v>
      </c>
      <c r="Z112" s="53" t="s">
        <v>69</v>
      </c>
      <c r="AA112" s="53" t="s">
        <v>78</v>
      </c>
      <c r="AB112" s="53" t="s">
        <v>158</v>
      </c>
      <c r="AC112" s="76"/>
      <c r="AD112" s="76"/>
      <c r="AE112" s="76"/>
      <c r="AF112" s="76"/>
      <c r="AG112" s="76"/>
      <c r="AH112" s="76"/>
    </row>
    <row r="113" spans="1:34" x14ac:dyDescent="0.15">
      <c r="A113" s="53" t="s">
        <v>41</v>
      </c>
      <c r="B113" s="53" t="s">
        <v>157</v>
      </c>
      <c r="C113" s="62">
        <v>2019</v>
      </c>
      <c r="D113" s="63" t="s">
        <v>188</v>
      </c>
      <c r="E113" s="53" t="s">
        <v>211</v>
      </c>
      <c r="F113" s="53" t="s">
        <v>212</v>
      </c>
      <c r="G113" s="53" t="s">
        <v>42</v>
      </c>
      <c r="H113" s="53" t="s">
        <v>160</v>
      </c>
      <c r="I113" s="53" t="s">
        <v>159</v>
      </c>
      <c r="J113" s="53" t="s">
        <v>38</v>
      </c>
      <c r="K113" s="53" t="s">
        <v>161</v>
      </c>
      <c r="L113" s="53">
        <v>1</v>
      </c>
      <c r="N113" s="53">
        <v>1</v>
      </c>
      <c r="O113" s="53">
        <v>1</v>
      </c>
      <c r="P113" s="53">
        <v>0.9</v>
      </c>
      <c r="Q113" s="16">
        <f t="shared" si="6"/>
        <v>0.95</v>
      </c>
      <c r="R113" s="53">
        <v>15.5</v>
      </c>
      <c r="S113" s="53">
        <v>123</v>
      </c>
      <c r="T113" s="38">
        <f t="shared" si="4"/>
        <v>27</v>
      </c>
      <c r="U113" s="53">
        <v>104</v>
      </c>
      <c r="V113" s="38">
        <f t="shared" si="7"/>
        <v>2808</v>
      </c>
      <c r="W113" s="53">
        <v>3</v>
      </c>
      <c r="X113" s="53" t="s">
        <v>46</v>
      </c>
      <c r="Y113" s="53" t="s">
        <v>102</v>
      </c>
      <c r="Z113" s="53" t="s">
        <v>69</v>
      </c>
      <c r="AA113" s="53" t="s">
        <v>88</v>
      </c>
      <c r="AB113" s="53" t="s">
        <v>158</v>
      </c>
    </row>
    <row r="114" spans="1:34" x14ac:dyDescent="0.15">
      <c r="A114" s="53" t="s">
        <v>41</v>
      </c>
      <c r="B114" s="53" t="s">
        <v>157</v>
      </c>
      <c r="C114" s="62">
        <v>2019</v>
      </c>
      <c r="D114" s="63" t="s">
        <v>188</v>
      </c>
      <c r="E114" s="53" t="s">
        <v>211</v>
      </c>
      <c r="F114" s="53" t="s">
        <v>212</v>
      </c>
      <c r="G114" s="53" t="s">
        <v>42</v>
      </c>
      <c r="H114" s="53" t="s">
        <v>160</v>
      </c>
      <c r="I114" s="53" t="s">
        <v>159</v>
      </c>
      <c r="J114" s="53" t="s">
        <v>38</v>
      </c>
      <c r="K114" s="53" t="s">
        <v>161</v>
      </c>
      <c r="L114" s="53">
        <v>2</v>
      </c>
      <c r="N114" s="53">
        <v>1</v>
      </c>
      <c r="O114" s="53">
        <v>0.9</v>
      </c>
      <c r="P114" s="53">
        <v>0.85</v>
      </c>
      <c r="Q114" s="16">
        <f t="shared" si="6"/>
        <v>0.875</v>
      </c>
      <c r="R114" s="53">
        <v>13.5</v>
      </c>
      <c r="S114" s="53">
        <v>124</v>
      </c>
      <c r="T114" s="38">
        <f t="shared" si="4"/>
        <v>27</v>
      </c>
      <c r="U114" s="53">
        <v>104</v>
      </c>
      <c r="V114" s="38">
        <f t="shared" si="7"/>
        <v>2808</v>
      </c>
      <c r="W114" s="53">
        <v>3</v>
      </c>
      <c r="X114" s="53" t="s">
        <v>46</v>
      </c>
      <c r="Y114" s="53" t="s">
        <v>102</v>
      </c>
      <c r="Z114" s="53" t="s">
        <v>69</v>
      </c>
      <c r="AA114" s="53" t="s">
        <v>88</v>
      </c>
      <c r="AB114" s="53" t="s">
        <v>158</v>
      </c>
    </row>
    <row r="115" spans="1:34" x14ac:dyDescent="0.15">
      <c r="A115" s="53" t="s">
        <v>41</v>
      </c>
      <c r="B115" s="53" t="s">
        <v>157</v>
      </c>
      <c r="C115" s="62">
        <v>2019</v>
      </c>
      <c r="D115" s="63" t="s">
        <v>188</v>
      </c>
      <c r="E115" s="53" t="s">
        <v>211</v>
      </c>
      <c r="F115" s="53" t="s">
        <v>212</v>
      </c>
      <c r="G115" s="53" t="s">
        <v>42</v>
      </c>
      <c r="H115" s="53" t="s">
        <v>160</v>
      </c>
      <c r="I115" s="53" t="s">
        <v>159</v>
      </c>
      <c r="J115" s="53" t="s">
        <v>38</v>
      </c>
      <c r="K115" s="53" t="s">
        <v>161</v>
      </c>
      <c r="L115" s="53">
        <v>3</v>
      </c>
      <c r="N115" s="53">
        <v>1</v>
      </c>
      <c r="O115" s="53">
        <v>0.85</v>
      </c>
      <c r="P115" s="53">
        <v>0.9</v>
      </c>
      <c r="Q115" s="16">
        <f t="shared" si="6"/>
        <v>0.875</v>
      </c>
      <c r="R115" s="53">
        <v>16.2</v>
      </c>
      <c r="S115" s="53">
        <v>126</v>
      </c>
      <c r="T115" s="38">
        <f t="shared" si="4"/>
        <v>27</v>
      </c>
      <c r="U115" s="53">
        <v>104</v>
      </c>
      <c r="V115" s="38">
        <f t="shared" si="7"/>
        <v>2808</v>
      </c>
      <c r="W115" s="53">
        <v>3</v>
      </c>
      <c r="X115" s="53" t="s">
        <v>46</v>
      </c>
      <c r="Y115" s="53" t="s">
        <v>102</v>
      </c>
      <c r="Z115" s="53" t="s">
        <v>69</v>
      </c>
      <c r="AA115" s="53" t="s">
        <v>88</v>
      </c>
      <c r="AB115" s="53" t="s">
        <v>158</v>
      </c>
    </row>
    <row r="116" spans="1:34" x14ac:dyDescent="0.15">
      <c r="A116" s="53" t="s">
        <v>41</v>
      </c>
      <c r="B116" s="53" t="s">
        <v>157</v>
      </c>
      <c r="C116" s="62">
        <v>2019</v>
      </c>
      <c r="D116" s="63" t="s">
        <v>188</v>
      </c>
      <c r="E116" s="53" t="s">
        <v>211</v>
      </c>
      <c r="F116" s="53" t="s">
        <v>212</v>
      </c>
      <c r="G116" s="53" t="s">
        <v>42</v>
      </c>
      <c r="H116" s="53" t="s">
        <v>160</v>
      </c>
      <c r="I116" s="53" t="s">
        <v>159</v>
      </c>
      <c r="J116" s="53" t="s">
        <v>38</v>
      </c>
      <c r="K116" s="53" t="s">
        <v>161</v>
      </c>
      <c r="L116" s="53">
        <v>1</v>
      </c>
      <c r="N116" s="53">
        <v>4</v>
      </c>
      <c r="O116" s="53">
        <v>0.65</v>
      </c>
      <c r="P116" s="53">
        <v>0.7</v>
      </c>
      <c r="Q116" s="16">
        <f t="shared" si="6"/>
        <v>0.67500000000000004</v>
      </c>
      <c r="R116" s="53">
        <v>14.7</v>
      </c>
      <c r="S116" s="53">
        <v>120</v>
      </c>
      <c r="T116" s="38">
        <f t="shared" si="4"/>
        <v>30</v>
      </c>
      <c r="U116" s="53">
        <v>407</v>
      </c>
      <c r="V116" s="38">
        <f t="shared" si="7"/>
        <v>3052.5</v>
      </c>
      <c r="W116" s="53">
        <v>1</v>
      </c>
      <c r="X116" s="53" t="s">
        <v>46</v>
      </c>
      <c r="Y116" s="53" t="s">
        <v>102</v>
      </c>
      <c r="Z116" s="53" t="s">
        <v>69</v>
      </c>
      <c r="AA116" s="53" t="s">
        <v>88</v>
      </c>
      <c r="AB116" s="53" t="s">
        <v>158</v>
      </c>
      <c r="AC116" s="76"/>
      <c r="AD116" s="76"/>
      <c r="AE116" s="76"/>
      <c r="AF116" s="76"/>
      <c r="AG116" s="76"/>
      <c r="AH116" s="76"/>
    </row>
    <row r="117" spans="1:34" x14ac:dyDescent="0.15">
      <c r="A117" s="53" t="s">
        <v>41</v>
      </c>
      <c r="B117" s="53" t="s">
        <v>157</v>
      </c>
      <c r="C117" s="62">
        <v>2019</v>
      </c>
      <c r="D117" s="63" t="s">
        <v>188</v>
      </c>
      <c r="E117" s="53" t="s">
        <v>211</v>
      </c>
      <c r="F117" s="53" t="s">
        <v>212</v>
      </c>
      <c r="G117" s="53" t="s">
        <v>42</v>
      </c>
      <c r="H117" s="53" t="s">
        <v>160</v>
      </c>
      <c r="I117" s="53" t="s">
        <v>159</v>
      </c>
      <c r="J117" s="53" t="s">
        <v>38</v>
      </c>
      <c r="K117" s="53" t="s">
        <v>161</v>
      </c>
      <c r="L117" s="53">
        <v>2</v>
      </c>
      <c r="N117" s="53">
        <v>4</v>
      </c>
      <c r="O117" s="53">
        <v>0.5</v>
      </c>
      <c r="P117" s="53">
        <v>0.55000000000000004</v>
      </c>
      <c r="Q117" s="16">
        <f t="shared" si="6"/>
        <v>0.52500000000000002</v>
      </c>
      <c r="R117" s="53">
        <v>15</v>
      </c>
      <c r="S117" s="53">
        <v>117</v>
      </c>
      <c r="T117" s="38">
        <f t="shared" si="4"/>
        <v>30</v>
      </c>
      <c r="U117" s="53">
        <v>407</v>
      </c>
      <c r="V117" s="38">
        <f t="shared" si="7"/>
        <v>3052.5</v>
      </c>
      <c r="W117" s="53">
        <v>1</v>
      </c>
      <c r="X117" s="53" t="s">
        <v>46</v>
      </c>
      <c r="Y117" s="53" t="s">
        <v>102</v>
      </c>
      <c r="Z117" s="53" t="s">
        <v>69</v>
      </c>
      <c r="AA117" s="53" t="s">
        <v>88</v>
      </c>
      <c r="AB117" s="53" t="s">
        <v>158</v>
      </c>
      <c r="AC117" s="76"/>
      <c r="AD117" s="76"/>
      <c r="AE117" s="76"/>
      <c r="AF117" s="76"/>
      <c r="AG117" s="76"/>
      <c r="AH117" s="76"/>
    </row>
    <row r="118" spans="1:34" x14ac:dyDescent="0.15">
      <c r="A118" s="53" t="s">
        <v>41</v>
      </c>
      <c r="B118" s="53" t="s">
        <v>157</v>
      </c>
      <c r="C118" s="62">
        <v>2019</v>
      </c>
      <c r="D118" s="63" t="s">
        <v>188</v>
      </c>
      <c r="E118" s="53" t="s">
        <v>211</v>
      </c>
      <c r="F118" s="53" t="s">
        <v>212</v>
      </c>
      <c r="G118" s="53" t="s">
        <v>42</v>
      </c>
      <c r="H118" s="53" t="s">
        <v>160</v>
      </c>
      <c r="I118" s="53" t="s">
        <v>159</v>
      </c>
      <c r="J118" s="53" t="s">
        <v>38</v>
      </c>
      <c r="K118" s="53" t="s">
        <v>161</v>
      </c>
      <c r="L118" s="53">
        <v>3</v>
      </c>
      <c r="N118" s="53">
        <v>4</v>
      </c>
      <c r="O118" s="53">
        <v>0.65</v>
      </c>
      <c r="P118" s="53">
        <v>0.6</v>
      </c>
      <c r="Q118" s="16">
        <f t="shared" si="6"/>
        <v>0.625</v>
      </c>
      <c r="R118" s="53">
        <v>15.9</v>
      </c>
      <c r="S118" s="53">
        <v>116</v>
      </c>
      <c r="T118" s="38">
        <f t="shared" si="4"/>
        <v>30</v>
      </c>
      <c r="U118" s="53">
        <v>407</v>
      </c>
      <c r="V118" s="38">
        <f t="shared" si="7"/>
        <v>3052.5</v>
      </c>
      <c r="W118" s="53">
        <v>1</v>
      </c>
      <c r="X118" s="53" t="s">
        <v>46</v>
      </c>
      <c r="Y118" s="53" t="s">
        <v>102</v>
      </c>
      <c r="Z118" s="53" t="s">
        <v>69</v>
      </c>
      <c r="AA118" s="53" t="s">
        <v>88</v>
      </c>
      <c r="AB118" s="53" t="s">
        <v>158</v>
      </c>
      <c r="AC118" s="76"/>
      <c r="AD118" s="76"/>
      <c r="AE118" s="76"/>
      <c r="AF118" s="76"/>
      <c r="AG118" s="76"/>
      <c r="AH118" s="76"/>
    </row>
    <row r="119" spans="1:34" x14ac:dyDescent="0.15">
      <c r="A119" s="53" t="s">
        <v>41</v>
      </c>
      <c r="B119" s="53" t="s">
        <v>157</v>
      </c>
      <c r="C119" s="62">
        <v>2019</v>
      </c>
      <c r="D119" s="63" t="s">
        <v>188</v>
      </c>
      <c r="E119" s="53" t="s">
        <v>211</v>
      </c>
      <c r="F119" s="53" t="s">
        <v>212</v>
      </c>
      <c r="G119" s="53" t="s">
        <v>42</v>
      </c>
      <c r="H119" s="53" t="s">
        <v>164</v>
      </c>
      <c r="I119" s="53" t="s">
        <v>159</v>
      </c>
      <c r="J119" s="53" t="s">
        <v>38</v>
      </c>
      <c r="K119" s="53" t="s">
        <v>161</v>
      </c>
      <c r="L119" s="53">
        <v>1</v>
      </c>
      <c r="N119" s="53">
        <v>1</v>
      </c>
      <c r="O119" s="53">
        <v>0.7</v>
      </c>
      <c r="P119" s="53">
        <v>0.75</v>
      </c>
      <c r="Q119" s="16">
        <f t="shared" si="6"/>
        <v>0.72499999999999998</v>
      </c>
      <c r="R119" s="53">
        <v>13.5</v>
      </c>
      <c r="S119" s="53">
        <v>123</v>
      </c>
      <c r="T119" s="38">
        <f t="shared" si="4"/>
        <v>27</v>
      </c>
      <c r="U119" s="53">
        <v>104</v>
      </c>
      <c r="V119" s="38">
        <f t="shared" si="7"/>
        <v>2808</v>
      </c>
      <c r="W119" s="53">
        <v>3</v>
      </c>
      <c r="X119" s="53" t="s">
        <v>46</v>
      </c>
      <c r="Y119" s="53" t="s">
        <v>102</v>
      </c>
      <c r="Z119" s="53" t="s">
        <v>69</v>
      </c>
      <c r="AA119" s="53" t="s">
        <v>88</v>
      </c>
      <c r="AB119" s="53" t="s">
        <v>158</v>
      </c>
      <c r="AC119" s="76"/>
      <c r="AD119" s="76"/>
      <c r="AE119" s="76"/>
      <c r="AF119" s="76"/>
      <c r="AG119" s="76"/>
      <c r="AH119" s="76"/>
    </row>
    <row r="120" spans="1:34" x14ac:dyDescent="0.15">
      <c r="A120" s="53" t="s">
        <v>41</v>
      </c>
      <c r="B120" s="53" t="s">
        <v>157</v>
      </c>
      <c r="C120" s="62">
        <v>2019</v>
      </c>
      <c r="D120" s="63" t="s">
        <v>188</v>
      </c>
      <c r="E120" s="53" t="s">
        <v>211</v>
      </c>
      <c r="F120" s="53" t="s">
        <v>212</v>
      </c>
      <c r="G120" s="53" t="s">
        <v>42</v>
      </c>
      <c r="H120" s="53" t="s">
        <v>164</v>
      </c>
      <c r="I120" s="53" t="s">
        <v>159</v>
      </c>
      <c r="J120" s="53" t="s">
        <v>38</v>
      </c>
      <c r="K120" s="53" t="s">
        <v>161</v>
      </c>
      <c r="L120" s="53">
        <v>2</v>
      </c>
      <c r="N120" s="53">
        <v>1</v>
      </c>
      <c r="O120" s="53">
        <v>0.6</v>
      </c>
      <c r="P120" s="53">
        <v>0.55000000000000004</v>
      </c>
      <c r="Q120" s="16">
        <f t="shared" si="6"/>
        <v>0.57499999999999996</v>
      </c>
      <c r="R120" s="53">
        <v>13.8</v>
      </c>
      <c r="S120" s="53">
        <v>124</v>
      </c>
      <c r="T120" s="38">
        <f t="shared" si="4"/>
        <v>27</v>
      </c>
      <c r="U120" s="53">
        <v>104</v>
      </c>
      <c r="V120" s="38">
        <f t="shared" si="7"/>
        <v>2808</v>
      </c>
      <c r="W120" s="53">
        <v>3</v>
      </c>
      <c r="X120" s="53" t="s">
        <v>46</v>
      </c>
      <c r="Y120" s="53" t="s">
        <v>102</v>
      </c>
      <c r="Z120" s="53" t="s">
        <v>69</v>
      </c>
      <c r="AA120" s="53" t="s">
        <v>88</v>
      </c>
      <c r="AB120" s="53" t="s">
        <v>158</v>
      </c>
      <c r="AC120" s="76"/>
      <c r="AD120" s="76"/>
      <c r="AE120" s="76"/>
      <c r="AF120" s="76"/>
      <c r="AG120" s="76"/>
      <c r="AH120" s="76"/>
    </row>
    <row r="121" spans="1:34" x14ac:dyDescent="0.15">
      <c r="A121" s="53" t="s">
        <v>41</v>
      </c>
      <c r="B121" s="53" t="s">
        <v>157</v>
      </c>
      <c r="C121" s="62">
        <v>2019</v>
      </c>
      <c r="D121" s="63" t="s">
        <v>188</v>
      </c>
      <c r="E121" s="53" t="s">
        <v>211</v>
      </c>
      <c r="F121" s="53" t="s">
        <v>212</v>
      </c>
      <c r="G121" s="53" t="s">
        <v>42</v>
      </c>
      <c r="H121" s="53" t="s">
        <v>164</v>
      </c>
      <c r="I121" s="53" t="s">
        <v>159</v>
      </c>
      <c r="J121" s="53" t="s">
        <v>38</v>
      </c>
      <c r="K121" s="53" t="s">
        <v>161</v>
      </c>
      <c r="L121" s="53">
        <v>3</v>
      </c>
      <c r="N121" s="53">
        <v>1</v>
      </c>
      <c r="O121" s="53">
        <v>0.65</v>
      </c>
      <c r="P121" s="53">
        <v>0.6</v>
      </c>
      <c r="Q121" s="16">
        <f t="shared" si="6"/>
        <v>0.625</v>
      </c>
      <c r="R121" s="53">
        <v>14.7</v>
      </c>
      <c r="S121" s="53">
        <v>126</v>
      </c>
      <c r="T121" s="38">
        <f t="shared" si="4"/>
        <v>27</v>
      </c>
      <c r="U121" s="53">
        <v>104</v>
      </c>
      <c r="V121" s="38">
        <f t="shared" si="7"/>
        <v>2808</v>
      </c>
      <c r="W121" s="53">
        <v>3</v>
      </c>
      <c r="X121" s="53" t="s">
        <v>46</v>
      </c>
      <c r="Y121" s="53" t="s">
        <v>102</v>
      </c>
      <c r="Z121" s="53" t="s">
        <v>69</v>
      </c>
      <c r="AA121" s="53" t="s">
        <v>88</v>
      </c>
      <c r="AB121" s="53" t="s">
        <v>158</v>
      </c>
      <c r="AC121" s="76"/>
      <c r="AD121" s="76"/>
      <c r="AE121" s="76"/>
      <c r="AF121" s="76"/>
      <c r="AG121" s="76"/>
      <c r="AH121" s="76"/>
    </row>
    <row r="122" spans="1:34" x14ac:dyDescent="0.15">
      <c r="A122" s="53" t="s">
        <v>41</v>
      </c>
      <c r="B122" s="53" t="s">
        <v>157</v>
      </c>
      <c r="C122" s="62">
        <v>2019</v>
      </c>
      <c r="D122" s="63" t="s">
        <v>188</v>
      </c>
      <c r="E122" s="53" t="s">
        <v>211</v>
      </c>
      <c r="F122" s="53" t="s">
        <v>212</v>
      </c>
      <c r="G122" s="53" t="s">
        <v>42</v>
      </c>
      <c r="H122" s="53" t="s">
        <v>164</v>
      </c>
      <c r="I122" s="53" t="s">
        <v>159</v>
      </c>
      <c r="J122" s="53" t="s">
        <v>38</v>
      </c>
      <c r="K122" s="53" t="s">
        <v>161</v>
      </c>
      <c r="L122" s="53">
        <v>1</v>
      </c>
      <c r="N122" s="53">
        <v>4</v>
      </c>
      <c r="O122" s="53">
        <v>0.35</v>
      </c>
      <c r="P122" s="53">
        <v>0.35</v>
      </c>
      <c r="Q122" s="16">
        <f t="shared" si="6"/>
        <v>0.35</v>
      </c>
      <c r="R122" s="53">
        <v>14</v>
      </c>
      <c r="S122" s="53">
        <v>120</v>
      </c>
      <c r="T122" s="38">
        <f t="shared" si="4"/>
        <v>30</v>
      </c>
      <c r="U122" s="53">
        <v>407</v>
      </c>
      <c r="V122" s="38">
        <f t="shared" si="7"/>
        <v>3052.5</v>
      </c>
      <c r="W122" s="53">
        <v>1</v>
      </c>
      <c r="X122" s="53" t="s">
        <v>46</v>
      </c>
      <c r="Y122" s="53" t="s">
        <v>102</v>
      </c>
      <c r="Z122" s="53" t="s">
        <v>69</v>
      </c>
      <c r="AA122" s="53" t="s">
        <v>88</v>
      </c>
      <c r="AB122" s="53" t="s">
        <v>158</v>
      </c>
      <c r="AC122" s="76"/>
      <c r="AD122" s="76"/>
      <c r="AE122" s="76"/>
      <c r="AF122" s="76"/>
      <c r="AG122" s="76"/>
      <c r="AH122" s="76"/>
    </row>
    <row r="123" spans="1:34" x14ac:dyDescent="0.15">
      <c r="A123" s="53" t="s">
        <v>41</v>
      </c>
      <c r="B123" s="53" t="s">
        <v>157</v>
      </c>
      <c r="C123" s="62">
        <v>2019</v>
      </c>
      <c r="D123" s="63" t="s">
        <v>188</v>
      </c>
      <c r="E123" s="53" t="s">
        <v>211</v>
      </c>
      <c r="F123" s="53" t="s">
        <v>212</v>
      </c>
      <c r="G123" s="53" t="s">
        <v>42</v>
      </c>
      <c r="H123" s="53" t="s">
        <v>164</v>
      </c>
      <c r="I123" s="53" t="s">
        <v>159</v>
      </c>
      <c r="J123" s="53" t="s">
        <v>38</v>
      </c>
      <c r="K123" s="53" t="s">
        <v>161</v>
      </c>
      <c r="L123" s="53">
        <v>2</v>
      </c>
      <c r="N123" s="53">
        <v>4</v>
      </c>
      <c r="O123" s="53">
        <v>0.4</v>
      </c>
      <c r="P123" s="53">
        <v>0.3</v>
      </c>
      <c r="Q123" s="16">
        <f t="shared" si="6"/>
        <v>0.35</v>
      </c>
      <c r="R123" s="53">
        <v>15.4</v>
      </c>
      <c r="S123" s="53">
        <v>115</v>
      </c>
      <c r="T123" s="38">
        <f t="shared" si="4"/>
        <v>30</v>
      </c>
      <c r="U123" s="53">
        <v>407</v>
      </c>
      <c r="V123" s="38">
        <f t="shared" si="7"/>
        <v>3052.5</v>
      </c>
      <c r="W123" s="53">
        <v>1</v>
      </c>
      <c r="X123" s="53" t="s">
        <v>46</v>
      </c>
      <c r="Y123" s="53" t="s">
        <v>102</v>
      </c>
      <c r="Z123" s="53" t="s">
        <v>69</v>
      </c>
      <c r="AA123" s="53" t="s">
        <v>88</v>
      </c>
      <c r="AB123" s="53" t="s">
        <v>158</v>
      </c>
      <c r="AC123" s="76"/>
      <c r="AD123" s="76"/>
      <c r="AE123" s="76"/>
      <c r="AF123" s="76"/>
      <c r="AG123" s="76"/>
      <c r="AH123" s="76"/>
    </row>
    <row r="124" spans="1:34" x14ac:dyDescent="0.15">
      <c r="A124" s="53" t="s">
        <v>41</v>
      </c>
      <c r="B124" s="53" t="s">
        <v>157</v>
      </c>
      <c r="C124" s="62">
        <v>2019</v>
      </c>
      <c r="D124" s="63" t="s">
        <v>188</v>
      </c>
      <c r="E124" s="53" t="s">
        <v>211</v>
      </c>
      <c r="F124" s="53" t="s">
        <v>212</v>
      </c>
      <c r="G124" s="53" t="s">
        <v>42</v>
      </c>
      <c r="H124" s="53" t="s">
        <v>164</v>
      </c>
      <c r="I124" s="53" t="s">
        <v>159</v>
      </c>
      <c r="J124" s="53" t="s">
        <v>38</v>
      </c>
      <c r="K124" s="53" t="s">
        <v>161</v>
      </c>
      <c r="L124" s="53">
        <v>3</v>
      </c>
      <c r="N124" s="53">
        <v>4</v>
      </c>
      <c r="O124" s="53">
        <v>0.5</v>
      </c>
      <c r="P124" s="53">
        <v>0.4</v>
      </c>
      <c r="Q124" s="16">
        <f t="shared" si="6"/>
        <v>0.45</v>
      </c>
      <c r="R124" s="53">
        <v>13.8</v>
      </c>
      <c r="S124" s="53">
        <v>117</v>
      </c>
      <c r="T124" s="38">
        <f t="shared" si="4"/>
        <v>30</v>
      </c>
      <c r="U124" s="53">
        <v>407</v>
      </c>
      <c r="V124" s="38">
        <f t="shared" si="7"/>
        <v>3052.5</v>
      </c>
      <c r="W124" s="53">
        <v>1</v>
      </c>
      <c r="X124" s="53" t="s">
        <v>46</v>
      </c>
      <c r="Y124" s="53" t="s">
        <v>102</v>
      </c>
      <c r="Z124" s="53" t="s">
        <v>69</v>
      </c>
      <c r="AA124" s="53" t="s">
        <v>88</v>
      </c>
      <c r="AB124" s="53" t="s">
        <v>158</v>
      </c>
      <c r="AC124" s="76"/>
      <c r="AD124" s="76"/>
      <c r="AE124" s="76"/>
      <c r="AF124" s="76"/>
      <c r="AG124" s="76"/>
      <c r="AH124" s="76"/>
    </row>
    <row r="125" spans="1:34" x14ac:dyDescent="0.15">
      <c r="C125" s="62"/>
      <c r="D125" s="63"/>
      <c r="T125" s="38"/>
      <c r="V125" s="38"/>
    </row>
    <row r="126" spans="1:34" x14ac:dyDescent="0.15">
      <c r="C126" s="62"/>
      <c r="D126" s="63"/>
      <c r="T126" s="38"/>
      <c r="V126" s="38"/>
    </row>
    <row r="127" spans="1:34" x14ac:dyDescent="0.15">
      <c r="C127" s="62"/>
      <c r="D127" s="63"/>
      <c r="T127" s="38"/>
      <c r="V127" s="38"/>
    </row>
    <row r="128" spans="1:34" x14ac:dyDescent="0.15">
      <c r="C128" s="62"/>
      <c r="D128" s="63"/>
      <c r="T128" s="38"/>
      <c r="V128" s="38"/>
    </row>
    <row r="129" spans="3:22" x14ac:dyDescent="0.15">
      <c r="C129" s="62"/>
      <c r="D129" s="63"/>
      <c r="T129" s="38"/>
      <c r="V129" s="38"/>
    </row>
    <row r="130" spans="3:22" x14ac:dyDescent="0.15">
      <c r="C130" s="62"/>
      <c r="D130" s="63"/>
      <c r="T130" s="38"/>
      <c r="V130" s="38"/>
    </row>
    <row r="131" spans="3:22" x14ac:dyDescent="0.15">
      <c r="Q131" s="75"/>
    </row>
    <row r="132" spans="3:22" x14ac:dyDescent="0.15">
      <c r="Q132" s="75"/>
    </row>
    <row r="133" spans="3:22" x14ac:dyDescent="0.15">
      <c r="Q133" s="75"/>
    </row>
    <row r="134" spans="3:22" x14ac:dyDescent="0.15">
      <c r="Q134" s="75" t="str">
        <f t="shared" ref="Q134:Q197" si="8">IF(OR(O134="",P134=""),"",AVERAGE(O134,P134))</f>
        <v/>
      </c>
      <c r="T134" s="16" t="str">
        <f t="shared" ref="T134:T197" si="9">IF(H134="","",IF(OR(H134="GREEN",H134="GK"),IF(S134&gt;=$AX$2,VLOOKUP(S134,$AX$2:$AY$10,2,1),""),IF(S134&gt;=$AZ$2,VLOOKUP(S134,$AZ$2:$BA$10,2,1),"")))</f>
        <v/>
      </c>
      <c r="V134" s="16" t="str">
        <f t="shared" ref="V134:V197" si="10">IF(OR(N134="",U134="",T134=""),"",U134/N134*T134)</f>
        <v/>
      </c>
    </row>
    <row r="135" spans="3:22" x14ac:dyDescent="0.15">
      <c r="Q135" s="75" t="str">
        <f t="shared" si="8"/>
        <v/>
      </c>
      <c r="T135" s="16" t="str">
        <f t="shared" si="9"/>
        <v/>
      </c>
      <c r="V135" s="16" t="str">
        <f t="shared" si="10"/>
        <v/>
      </c>
    </row>
    <row r="136" spans="3:22" x14ac:dyDescent="0.15">
      <c r="Q136" s="75" t="str">
        <f t="shared" si="8"/>
        <v/>
      </c>
      <c r="T136" s="16" t="str">
        <f t="shared" si="9"/>
        <v/>
      </c>
      <c r="V136" s="16" t="str">
        <f t="shared" si="10"/>
        <v/>
      </c>
    </row>
    <row r="137" spans="3:22" x14ac:dyDescent="0.15">
      <c r="Q137" s="75" t="str">
        <f t="shared" si="8"/>
        <v/>
      </c>
      <c r="T137" s="16" t="str">
        <f t="shared" si="9"/>
        <v/>
      </c>
      <c r="V137" s="16" t="str">
        <f t="shared" si="10"/>
        <v/>
      </c>
    </row>
    <row r="138" spans="3:22" x14ac:dyDescent="0.15">
      <c r="Q138" s="75" t="str">
        <f t="shared" si="8"/>
        <v/>
      </c>
      <c r="T138" s="16" t="str">
        <f t="shared" si="9"/>
        <v/>
      </c>
      <c r="V138" s="16" t="str">
        <f t="shared" si="10"/>
        <v/>
      </c>
    </row>
    <row r="139" spans="3:22" x14ac:dyDescent="0.15">
      <c r="Q139" s="75" t="str">
        <f t="shared" si="8"/>
        <v/>
      </c>
      <c r="T139" s="16" t="str">
        <f t="shared" si="9"/>
        <v/>
      </c>
      <c r="V139" s="16" t="str">
        <f t="shared" si="10"/>
        <v/>
      </c>
    </row>
    <row r="140" spans="3:22" x14ac:dyDescent="0.15">
      <c r="Q140" s="75" t="str">
        <f t="shared" si="8"/>
        <v/>
      </c>
      <c r="T140" s="16" t="str">
        <f t="shared" si="9"/>
        <v/>
      </c>
      <c r="V140" s="16" t="str">
        <f t="shared" si="10"/>
        <v/>
      </c>
    </row>
    <row r="141" spans="3:22" x14ac:dyDescent="0.15">
      <c r="Q141" s="75" t="str">
        <f t="shared" si="8"/>
        <v/>
      </c>
      <c r="T141" s="16" t="str">
        <f t="shared" si="9"/>
        <v/>
      </c>
      <c r="V141" s="16" t="str">
        <f t="shared" si="10"/>
        <v/>
      </c>
    </row>
    <row r="142" spans="3:22" x14ac:dyDescent="0.15">
      <c r="Q142" s="75" t="str">
        <f t="shared" si="8"/>
        <v/>
      </c>
      <c r="T142" s="16" t="str">
        <f t="shared" si="9"/>
        <v/>
      </c>
      <c r="V142" s="16" t="str">
        <f t="shared" si="10"/>
        <v/>
      </c>
    </row>
    <row r="143" spans="3:22" x14ac:dyDescent="0.15">
      <c r="Q143" s="75" t="str">
        <f t="shared" si="8"/>
        <v/>
      </c>
      <c r="T143" s="16" t="str">
        <f t="shared" si="9"/>
        <v/>
      </c>
      <c r="V143" s="16" t="str">
        <f t="shared" si="10"/>
        <v/>
      </c>
    </row>
    <row r="144" spans="3:22" x14ac:dyDescent="0.15">
      <c r="Q144" s="75" t="str">
        <f t="shared" si="8"/>
        <v/>
      </c>
      <c r="T144" s="16" t="str">
        <f t="shared" si="9"/>
        <v/>
      </c>
      <c r="V144" s="16" t="str">
        <f t="shared" si="10"/>
        <v/>
      </c>
    </row>
    <row r="145" spans="17:22" x14ac:dyDescent="0.15">
      <c r="Q145" s="75" t="str">
        <f t="shared" si="8"/>
        <v/>
      </c>
      <c r="T145" s="16" t="str">
        <f t="shared" si="9"/>
        <v/>
      </c>
      <c r="V145" s="16" t="str">
        <f t="shared" si="10"/>
        <v/>
      </c>
    </row>
    <row r="146" spans="17:22" x14ac:dyDescent="0.15">
      <c r="Q146" s="75" t="str">
        <f t="shared" si="8"/>
        <v/>
      </c>
      <c r="T146" s="16" t="str">
        <f t="shared" si="9"/>
        <v/>
      </c>
      <c r="V146" s="16" t="str">
        <f t="shared" si="10"/>
        <v/>
      </c>
    </row>
    <row r="147" spans="17:22" x14ac:dyDescent="0.15">
      <c r="Q147" s="75" t="str">
        <f t="shared" si="8"/>
        <v/>
      </c>
      <c r="T147" s="16" t="str">
        <f t="shared" si="9"/>
        <v/>
      </c>
      <c r="V147" s="16" t="str">
        <f t="shared" si="10"/>
        <v/>
      </c>
    </row>
    <row r="148" spans="17:22" x14ac:dyDescent="0.15">
      <c r="Q148" s="75" t="str">
        <f t="shared" si="8"/>
        <v/>
      </c>
      <c r="T148" s="16" t="str">
        <f t="shared" si="9"/>
        <v/>
      </c>
      <c r="V148" s="16" t="str">
        <f t="shared" si="10"/>
        <v/>
      </c>
    </row>
    <row r="149" spans="17:22" x14ac:dyDescent="0.15">
      <c r="Q149" s="75" t="str">
        <f t="shared" si="8"/>
        <v/>
      </c>
      <c r="T149" s="16" t="str">
        <f t="shared" si="9"/>
        <v/>
      </c>
      <c r="V149" s="16" t="str">
        <f t="shared" si="10"/>
        <v/>
      </c>
    </row>
    <row r="150" spans="17:22" x14ac:dyDescent="0.15">
      <c r="Q150" s="75" t="str">
        <f t="shared" si="8"/>
        <v/>
      </c>
      <c r="T150" s="16" t="str">
        <f t="shared" si="9"/>
        <v/>
      </c>
      <c r="V150" s="16" t="str">
        <f t="shared" si="10"/>
        <v/>
      </c>
    </row>
    <row r="151" spans="17:22" x14ac:dyDescent="0.15">
      <c r="Q151" s="75" t="str">
        <f t="shared" si="8"/>
        <v/>
      </c>
      <c r="T151" s="16" t="str">
        <f t="shared" si="9"/>
        <v/>
      </c>
      <c r="V151" s="16" t="str">
        <f t="shared" si="10"/>
        <v/>
      </c>
    </row>
    <row r="152" spans="17:22" x14ac:dyDescent="0.15">
      <c r="Q152" s="75" t="str">
        <f t="shared" si="8"/>
        <v/>
      </c>
      <c r="T152" s="16" t="str">
        <f t="shared" si="9"/>
        <v/>
      </c>
      <c r="V152" s="16" t="str">
        <f t="shared" si="10"/>
        <v/>
      </c>
    </row>
    <row r="153" spans="17:22" x14ac:dyDescent="0.15">
      <c r="Q153" s="75" t="str">
        <f t="shared" si="8"/>
        <v/>
      </c>
      <c r="T153" s="16" t="str">
        <f t="shared" si="9"/>
        <v/>
      </c>
      <c r="V153" s="16" t="str">
        <f t="shared" si="10"/>
        <v/>
      </c>
    </row>
    <row r="154" spans="17:22" x14ac:dyDescent="0.15">
      <c r="Q154" s="75" t="str">
        <f t="shared" si="8"/>
        <v/>
      </c>
      <c r="T154" s="16" t="str">
        <f t="shared" si="9"/>
        <v/>
      </c>
      <c r="V154" s="16" t="str">
        <f t="shared" si="10"/>
        <v/>
      </c>
    </row>
    <row r="155" spans="17:22" x14ac:dyDescent="0.15">
      <c r="Q155" s="75" t="str">
        <f t="shared" si="8"/>
        <v/>
      </c>
      <c r="T155" s="16" t="str">
        <f t="shared" si="9"/>
        <v/>
      </c>
      <c r="V155" s="16" t="str">
        <f t="shared" si="10"/>
        <v/>
      </c>
    </row>
    <row r="156" spans="17:22" x14ac:dyDescent="0.15">
      <c r="Q156" s="75" t="str">
        <f t="shared" si="8"/>
        <v/>
      </c>
      <c r="T156" s="16" t="str">
        <f t="shared" si="9"/>
        <v/>
      </c>
      <c r="V156" s="16" t="str">
        <f t="shared" si="10"/>
        <v/>
      </c>
    </row>
    <row r="157" spans="17:22" x14ac:dyDescent="0.15">
      <c r="Q157" s="75" t="str">
        <f t="shared" si="8"/>
        <v/>
      </c>
      <c r="T157" s="16" t="str">
        <f t="shared" si="9"/>
        <v/>
      </c>
      <c r="V157" s="16" t="str">
        <f t="shared" si="10"/>
        <v/>
      </c>
    </row>
    <row r="158" spans="17:22" x14ac:dyDescent="0.15">
      <c r="Q158" s="75" t="str">
        <f t="shared" si="8"/>
        <v/>
      </c>
      <c r="T158" s="16" t="str">
        <f t="shared" si="9"/>
        <v/>
      </c>
      <c r="V158" s="16" t="str">
        <f t="shared" si="10"/>
        <v/>
      </c>
    </row>
    <row r="159" spans="17:22" x14ac:dyDescent="0.15">
      <c r="Q159" s="75" t="str">
        <f t="shared" si="8"/>
        <v/>
      </c>
      <c r="T159" s="16" t="str">
        <f t="shared" si="9"/>
        <v/>
      </c>
      <c r="V159" s="16" t="str">
        <f t="shared" si="10"/>
        <v/>
      </c>
    </row>
    <row r="160" spans="17:22" x14ac:dyDescent="0.15">
      <c r="Q160" s="75" t="str">
        <f t="shared" si="8"/>
        <v/>
      </c>
      <c r="T160" s="16" t="str">
        <f t="shared" si="9"/>
        <v/>
      </c>
      <c r="V160" s="16" t="str">
        <f t="shared" si="10"/>
        <v/>
      </c>
    </row>
    <row r="161" spans="17:22" x14ac:dyDescent="0.15">
      <c r="Q161" s="75" t="str">
        <f t="shared" si="8"/>
        <v/>
      </c>
      <c r="T161" s="16" t="str">
        <f t="shared" si="9"/>
        <v/>
      </c>
      <c r="V161" s="16" t="str">
        <f t="shared" si="10"/>
        <v/>
      </c>
    </row>
    <row r="162" spans="17:22" x14ac:dyDescent="0.15">
      <c r="Q162" s="75" t="str">
        <f t="shared" si="8"/>
        <v/>
      </c>
      <c r="T162" s="16" t="str">
        <f t="shared" si="9"/>
        <v/>
      </c>
      <c r="V162" s="16" t="str">
        <f t="shared" si="10"/>
        <v/>
      </c>
    </row>
    <row r="163" spans="17:22" x14ac:dyDescent="0.15">
      <c r="Q163" s="75" t="str">
        <f t="shared" si="8"/>
        <v/>
      </c>
      <c r="T163" s="16" t="str">
        <f t="shared" si="9"/>
        <v/>
      </c>
      <c r="V163" s="16" t="str">
        <f t="shared" si="10"/>
        <v/>
      </c>
    </row>
    <row r="164" spans="17:22" x14ac:dyDescent="0.15">
      <c r="Q164" s="75" t="str">
        <f t="shared" si="8"/>
        <v/>
      </c>
      <c r="T164" s="16" t="str">
        <f t="shared" si="9"/>
        <v/>
      </c>
      <c r="V164" s="16" t="str">
        <f t="shared" si="10"/>
        <v/>
      </c>
    </row>
    <row r="165" spans="17:22" x14ac:dyDescent="0.15">
      <c r="Q165" s="75" t="str">
        <f t="shared" si="8"/>
        <v/>
      </c>
      <c r="T165" s="16" t="str">
        <f t="shared" si="9"/>
        <v/>
      </c>
      <c r="V165" s="16" t="str">
        <f t="shared" si="10"/>
        <v/>
      </c>
    </row>
    <row r="166" spans="17:22" x14ac:dyDescent="0.15">
      <c r="Q166" s="75" t="str">
        <f t="shared" si="8"/>
        <v/>
      </c>
      <c r="T166" s="16" t="str">
        <f t="shared" si="9"/>
        <v/>
      </c>
      <c r="V166" s="16" t="str">
        <f t="shared" si="10"/>
        <v/>
      </c>
    </row>
    <row r="167" spans="17:22" x14ac:dyDescent="0.15">
      <c r="Q167" s="75" t="str">
        <f t="shared" si="8"/>
        <v/>
      </c>
      <c r="T167" s="16" t="str">
        <f t="shared" si="9"/>
        <v/>
      </c>
      <c r="V167" s="16" t="str">
        <f t="shared" si="10"/>
        <v/>
      </c>
    </row>
    <row r="168" spans="17:22" x14ac:dyDescent="0.15">
      <c r="Q168" s="75" t="str">
        <f t="shared" si="8"/>
        <v/>
      </c>
      <c r="T168" s="16" t="str">
        <f t="shared" si="9"/>
        <v/>
      </c>
      <c r="V168" s="16" t="str">
        <f t="shared" si="10"/>
        <v/>
      </c>
    </row>
    <row r="169" spans="17:22" x14ac:dyDescent="0.15">
      <c r="Q169" s="75" t="str">
        <f t="shared" si="8"/>
        <v/>
      </c>
      <c r="T169" s="16" t="str">
        <f t="shared" si="9"/>
        <v/>
      </c>
      <c r="V169" s="16" t="str">
        <f t="shared" si="10"/>
        <v/>
      </c>
    </row>
    <row r="170" spans="17:22" x14ac:dyDescent="0.15">
      <c r="Q170" s="75" t="str">
        <f t="shared" si="8"/>
        <v/>
      </c>
      <c r="T170" s="16" t="str">
        <f t="shared" si="9"/>
        <v/>
      </c>
      <c r="V170" s="16" t="str">
        <f t="shared" si="10"/>
        <v/>
      </c>
    </row>
    <row r="171" spans="17:22" x14ac:dyDescent="0.15">
      <c r="Q171" s="75" t="str">
        <f t="shared" si="8"/>
        <v/>
      </c>
      <c r="T171" s="16" t="str">
        <f t="shared" si="9"/>
        <v/>
      </c>
      <c r="V171" s="16" t="str">
        <f t="shared" si="10"/>
        <v/>
      </c>
    </row>
    <row r="172" spans="17:22" x14ac:dyDescent="0.15">
      <c r="Q172" s="75" t="str">
        <f t="shared" si="8"/>
        <v/>
      </c>
      <c r="T172" s="16" t="str">
        <f t="shared" si="9"/>
        <v/>
      </c>
      <c r="V172" s="16" t="str">
        <f t="shared" si="10"/>
        <v/>
      </c>
    </row>
    <row r="173" spans="17:22" x14ac:dyDescent="0.15">
      <c r="Q173" s="75" t="str">
        <f t="shared" si="8"/>
        <v/>
      </c>
      <c r="T173" s="16" t="str">
        <f t="shared" si="9"/>
        <v/>
      </c>
      <c r="V173" s="16" t="str">
        <f t="shared" si="10"/>
        <v/>
      </c>
    </row>
    <row r="174" spans="17:22" x14ac:dyDescent="0.15">
      <c r="Q174" s="75" t="str">
        <f t="shared" si="8"/>
        <v/>
      </c>
      <c r="T174" s="16" t="str">
        <f t="shared" si="9"/>
        <v/>
      </c>
      <c r="V174" s="16" t="str">
        <f t="shared" si="10"/>
        <v/>
      </c>
    </row>
    <row r="175" spans="17:22" x14ac:dyDescent="0.15">
      <c r="Q175" s="75" t="str">
        <f t="shared" si="8"/>
        <v/>
      </c>
      <c r="T175" s="16" t="str">
        <f t="shared" si="9"/>
        <v/>
      </c>
      <c r="V175" s="16" t="str">
        <f t="shared" si="10"/>
        <v/>
      </c>
    </row>
    <row r="176" spans="17:22" x14ac:dyDescent="0.15">
      <c r="Q176" s="75" t="str">
        <f t="shared" si="8"/>
        <v/>
      </c>
      <c r="T176" s="16" t="str">
        <f t="shared" si="9"/>
        <v/>
      </c>
      <c r="V176" s="16" t="str">
        <f t="shared" si="10"/>
        <v/>
      </c>
    </row>
    <row r="177" spans="17:22" x14ac:dyDescent="0.15">
      <c r="Q177" s="75" t="str">
        <f t="shared" si="8"/>
        <v/>
      </c>
      <c r="T177" s="16" t="str">
        <f t="shared" si="9"/>
        <v/>
      </c>
      <c r="V177" s="16" t="str">
        <f t="shared" si="10"/>
        <v/>
      </c>
    </row>
    <row r="178" spans="17:22" x14ac:dyDescent="0.15">
      <c r="Q178" s="75" t="str">
        <f t="shared" si="8"/>
        <v/>
      </c>
      <c r="T178" s="16" t="str">
        <f t="shared" si="9"/>
        <v/>
      </c>
      <c r="V178" s="16" t="str">
        <f t="shared" si="10"/>
        <v/>
      </c>
    </row>
    <row r="179" spans="17:22" x14ac:dyDescent="0.15">
      <c r="Q179" s="75" t="str">
        <f t="shared" si="8"/>
        <v/>
      </c>
      <c r="T179" s="16" t="str">
        <f t="shared" si="9"/>
        <v/>
      </c>
      <c r="V179" s="16" t="str">
        <f t="shared" si="10"/>
        <v/>
      </c>
    </row>
    <row r="180" spans="17:22" x14ac:dyDescent="0.15">
      <c r="Q180" s="75" t="str">
        <f t="shared" si="8"/>
        <v/>
      </c>
      <c r="T180" s="16" t="str">
        <f t="shared" si="9"/>
        <v/>
      </c>
      <c r="V180" s="16" t="str">
        <f t="shared" si="10"/>
        <v/>
      </c>
    </row>
    <row r="181" spans="17:22" x14ac:dyDescent="0.15">
      <c r="Q181" s="75" t="str">
        <f t="shared" si="8"/>
        <v/>
      </c>
      <c r="T181" s="16" t="str">
        <f t="shared" si="9"/>
        <v/>
      </c>
      <c r="V181" s="16" t="str">
        <f t="shared" si="10"/>
        <v/>
      </c>
    </row>
    <row r="182" spans="17:22" x14ac:dyDescent="0.15">
      <c r="Q182" s="75" t="str">
        <f t="shared" si="8"/>
        <v/>
      </c>
      <c r="T182" s="16" t="str">
        <f t="shared" si="9"/>
        <v/>
      </c>
      <c r="V182" s="16" t="str">
        <f t="shared" si="10"/>
        <v/>
      </c>
    </row>
    <row r="183" spans="17:22" x14ac:dyDescent="0.15">
      <c r="Q183" s="75" t="str">
        <f t="shared" si="8"/>
        <v/>
      </c>
      <c r="T183" s="16" t="str">
        <f t="shared" si="9"/>
        <v/>
      </c>
      <c r="V183" s="16" t="str">
        <f t="shared" si="10"/>
        <v/>
      </c>
    </row>
    <row r="184" spans="17:22" x14ac:dyDescent="0.15">
      <c r="Q184" s="75" t="str">
        <f t="shared" si="8"/>
        <v/>
      </c>
      <c r="T184" s="16" t="str">
        <f t="shared" si="9"/>
        <v/>
      </c>
      <c r="V184" s="16" t="str">
        <f t="shared" si="10"/>
        <v/>
      </c>
    </row>
    <row r="185" spans="17:22" x14ac:dyDescent="0.15">
      <c r="Q185" s="75" t="str">
        <f t="shared" si="8"/>
        <v/>
      </c>
      <c r="T185" s="16" t="str">
        <f t="shared" si="9"/>
        <v/>
      </c>
      <c r="V185" s="16" t="str">
        <f t="shared" si="10"/>
        <v/>
      </c>
    </row>
    <row r="186" spans="17:22" x14ac:dyDescent="0.15">
      <c r="Q186" s="75" t="str">
        <f t="shared" si="8"/>
        <v/>
      </c>
      <c r="T186" s="16" t="str">
        <f t="shared" si="9"/>
        <v/>
      </c>
      <c r="V186" s="16" t="str">
        <f t="shared" si="10"/>
        <v/>
      </c>
    </row>
    <row r="187" spans="17:22" x14ac:dyDescent="0.15">
      <c r="Q187" s="75" t="str">
        <f t="shared" si="8"/>
        <v/>
      </c>
      <c r="T187" s="16" t="str">
        <f t="shared" si="9"/>
        <v/>
      </c>
      <c r="V187" s="16" t="str">
        <f t="shared" si="10"/>
        <v/>
      </c>
    </row>
    <row r="188" spans="17:22" x14ac:dyDescent="0.15">
      <c r="Q188" s="75" t="str">
        <f t="shared" si="8"/>
        <v/>
      </c>
      <c r="T188" s="16" t="str">
        <f t="shared" si="9"/>
        <v/>
      </c>
      <c r="V188" s="16" t="str">
        <f t="shared" si="10"/>
        <v/>
      </c>
    </row>
    <row r="189" spans="17:22" x14ac:dyDescent="0.15">
      <c r="Q189" s="75" t="str">
        <f t="shared" si="8"/>
        <v/>
      </c>
      <c r="T189" s="16" t="str">
        <f t="shared" si="9"/>
        <v/>
      </c>
      <c r="V189" s="16" t="str">
        <f t="shared" si="10"/>
        <v/>
      </c>
    </row>
    <row r="190" spans="17:22" x14ac:dyDescent="0.15">
      <c r="Q190" s="75" t="str">
        <f t="shared" si="8"/>
        <v/>
      </c>
      <c r="T190" s="16" t="str">
        <f t="shared" si="9"/>
        <v/>
      </c>
      <c r="V190" s="16" t="str">
        <f t="shared" si="10"/>
        <v/>
      </c>
    </row>
    <row r="191" spans="17:22" x14ac:dyDescent="0.15">
      <c r="Q191" s="75" t="str">
        <f t="shared" si="8"/>
        <v/>
      </c>
      <c r="T191" s="16" t="str">
        <f t="shared" si="9"/>
        <v/>
      </c>
      <c r="V191" s="16" t="str">
        <f t="shared" si="10"/>
        <v/>
      </c>
    </row>
    <row r="192" spans="17:22" x14ac:dyDescent="0.15">
      <c r="Q192" s="75" t="str">
        <f t="shared" si="8"/>
        <v/>
      </c>
      <c r="T192" s="16" t="str">
        <f t="shared" si="9"/>
        <v/>
      </c>
      <c r="V192" s="16" t="str">
        <f t="shared" si="10"/>
        <v/>
      </c>
    </row>
    <row r="193" spans="17:22" x14ac:dyDescent="0.15">
      <c r="Q193" s="75" t="str">
        <f t="shared" si="8"/>
        <v/>
      </c>
      <c r="T193" s="16" t="str">
        <f t="shared" si="9"/>
        <v/>
      </c>
      <c r="V193" s="16" t="str">
        <f t="shared" si="10"/>
        <v/>
      </c>
    </row>
    <row r="194" spans="17:22" x14ac:dyDescent="0.15">
      <c r="Q194" s="75" t="str">
        <f t="shared" si="8"/>
        <v/>
      </c>
      <c r="T194" s="16" t="str">
        <f t="shared" si="9"/>
        <v/>
      </c>
      <c r="V194" s="16" t="str">
        <f t="shared" si="10"/>
        <v/>
      </c>
    </row>
    <row r="195" spans="17:22" x14ac:dyDescent="0.15">
      <c r="Q195" s="75" t="str">
        <f t="shared" si="8"/>
        <v/>
      </c>
      <c r="T195" s="16" t="str">
        <f t="shared" si="9"/>
        <v/>
      </c>
      <c r="V195" s="16" t="str">
        <f t="shared" si="10"/>
        <v/>
      </c>
    </row>
    <row r="196" spans="17:22" x14ac:dyDescent="0.15">
      <c r="Q196" s="75" t="str">
        <f t="shared" si="8"/>
        <v/>
      </c>
      <c r="T196" s="16" t="str">
        <f t="shared" si="9"/>
        <v/>
      </c>
      <c r="V196" s="16" t="str">
        <f t="shared" si="10"/>
        <v/>
      </c>
    </row>
    <row r="197" spans="17:22" x14ac:dyDescent="0.15">
      <c r="Q197" s="75" t="str">
        <f t="shared" si="8"/>
        <v/>
      </c>
      <c r="T197" s="16" t="str">
        <f t="shared" si="9"/>
        <v/>
      </c>
      <c r="V197" s="16" t="str">
        <f t="shared" si="10"/>
        <v/>
      </c>
    </row>
    <row r="198" spans="17:22" x14ac:dyDescent="0.15">
      <c r="Q198" s="75" t="str">
        <f t="shared" ref="Q198:Q261" si="11">IF(OR(O198="",P198=""),"",AVERAGE(O198,P198))</f>
        <v/>
      </c>
      <c r="T198" s="16" t="str">
        <f t="shared" ref="T198:T261" si="12">IF(H198="","",IF(OR(H198="GREEN",H198="GK"),IF(S198&gt;=$AX$2,VLOOKUP(S198,$AX$2:$AY$10,2,1),""),IF(S198&gt;=$AZ$2,VLOOKUP(S198,$AZ$2:$BA$10,2,1),"")))</f>
        <v/>
      </c>
      <c r="V198" s="16" t="str">
        <f t="shared" ref="V198:V261" si="13">IF(OR(N198="",U198="",T198=""),"",U198/N198*T198)</f>
        <v/>
      </c>
    </row>
    <row r="199" spans="17:22" x14ac:dyDescent="0.15">
      <c r="Q199" s="75" t="str">
        <f t="shared" si="11"/>
        <v/>
      </c>
      <c r="T199" s="16" t="str">
        <f t="shared" si="12"/>
        <v/>
      </c>
      <c r="V199" s="16" t="str">
        <f t="shared" si="13"/>
        <v/>
      </c>
    </row>
    <row r="200" spans="17:22" x14ac:dyDescent="0.15">
      <c r="Q200" s="75" t="str">
        <f t="shared" si="11"/>
        <v/>
      </c>
      <c r="T200" s="16" t="str">
        <f t="shared" si="12"/>
        <v/>
      </c>
      <c r="V200" s="16" t="str">
        <f t="shared" si="13"/>
        <v/>
      </c>
    </row>
    <row r="201" spans="17:22" x14ac:dyDescent="0.15">
      <c r="Q201" s="75" t="str">
        <f t="shared" si="11"/>
        <v/>
      </c>
      <c r="T201" s="16" t="str">
        <f t="shared" si="12"/>
        <v/>
      </c>
      <c r="V201" s="16" t="str">
        <f t="shared" si="13"/>
        <v/>
      </c>
    </row>
    <row r="202" spans="17:22" x14ac:dyDescent="0.15">
      <c r="Q202" s="75" t="str">
        <f t="shared" si="11"/>
        <v/>
      </c>
      <c r="T202" s="16" t="str">
        <f t="shared" si="12"/>
        <v/>
      </c>
      <c r="V202" s="16" t="str">
        <f t="shared" si="13"/>
        <v/>
      </c>
    </row>
    <row r="203" spans="17:22" x14ac:dyDescent="0.15">
      <c r="Q203" s="75" t="str">
        <f t="shared" si="11"/>
        <v/>
      </c>
      <c r="T203" s="16" t="str">
        <f t="shared" si="12"/>
        <v/>
      </c>
      <c r="V203" s="16" t="str">
        <f t="shared" si="13"/>
        <v/>
      </c>
    </row>
    <row r="204" spans="17:22" x14ac:dyDescent="0.15">
      <c r="Q204" s="75" t="str">
        <f t="shared" si="11"/>
        <v/>
      </c>
      <c r="T204" s="16" t="str">
        <f t="shared" si="12"/>
        <v/>
      </c>
      <c r="V204" s="16" t="str">
        <f t="shared" si="13"/>
        <v/>
      </c>
    </row>
    <row r="205" spans="17:22" x14ac:dyDescent="0.15">
      <c r="Q205" s="75" t="str">
        <f t="shared" si="11"/>
        <v/>
      </c>
      <c r="T205" s="16" t="str">
        <f t="shared" si="12"/>
        <v/>
      </c>
      <c r="V205" s="16" t="str">
        <f t="shared" si="13"/>
        <v/>
      </c>
    </row>
    <row r="206" spans="17:22" x14ac:dyDescent="0.15">
      <c r="Q206" s="75" t="str">
        <f t="shared" si="11"/>
        <v/>
      </c>
      <c r="T206" s="16" t="str">
        <f t="shared" si="12"/>
        <v/>
      </c>
      <c r="V206" s="16" t="str">
        <f t="shared" si="13"/>
        <v/>
      </c>
    </row>
    <row r="207" spans="17:22" x14ac:dyDescent="0.15">
      <c r="Q207" s="75" t="str">
        <f t="shared" si="11"/>
        <v/>
      </c>
      <c r="T207" s="16" t="str">
        <f t="shared" si="12"/>
        <v/>
      </c>
      <c r="V207" s="16" t="str">
        <f t="shared" si="13"/>
        <v/>
      </c>
    </row>
    <row r="208" spans="17:22" x14ac:dyDescent="0.15">
      <c r="Q208" s="75" t="str">
        <f t="shared" si="11"/>
        <v/>
      </c>
      <c r="T208" s="16" t="str">
        <f t="shared" si="12"/>
        <v/>
      </c>
      <c r="V208" s="16" t="str">
        <f t="shared" si="13"/>
        <v/>
      </c>
    </row>
    <row r="209" spans="17:22" x14ac:dyDescent="0.15">
      <c r="Q209" s="75" t="str">
        <f t="shared" si="11"/>
        <v/>
      </c>
      <c r="T209" s="16" t="str">
        <f t="shared" si="12"/>
        <v/>
      </c>
      <c r="V209" s="16" t="str">
        <f t="shared" si="13"/>
        <v/>
      </c>
    </row>
    <row r="210" spans="17:22" x14ac:dyDescent="0.15">
      <c r="Q210" s="75" t="str">
        <f t="shared" si="11"/>
        <v/>
      </c>
      <c r="T210" s="16" t="str">
        <f t="shared" si="12"/>
        <v/>
      </c>
      <c r="V210" s="16" t="str">
        <f t="shared" si="13"/>
        <v/>
      </c>
    </row>
    <row r="211" spans="17:22" x14ac:dyDescent="0.15">
      <c r="Q211" s="75" t="str">
        <f t="shared" si="11"/>
        <v/>
      </c>
      <c r="T211" s="16" t="str">
        <f t="shared" si="12"/>
        <v/>
      </c>
      <c r="V211" s="16" t="str">
        <f t="shared" si="13"/>
        <v/>
      </c>
    </row>
    <row r="212" spans="17:22" x14ac:dyDescent="0.15">
      <c r="Q212" s="75" t="str">
        <f t="shared" si="11"/>
        <v/>
      </c>
      <c r="T212" s="16" t="str">
        <f t="shared" si="12"/>
        <v/>
      </c>
      <c r="V212" s="16" t="str">
        <f t="shared" si="13"/>
        <v/>
      </c>
    </row>
    <row r="213" spans="17:22" x14ac:dyDescent="0.15">
      <c r="Q213" s="75" t="str">
        <f t="shared" si="11"/>
        <v/>
      </c>
      <c r="T213" s="16" t="str">
        <f t="shared" si="12"/>
        <v/>
      </c>
      <c r="V213" s="16" t="str">
        <f t="shared" si="13"/>
        <v/>
      </c>
    </row>
    <row r="214" spans="17:22" x14ac:dyDescent="0.15">
      <c r="Q214" s="75" t="str">
        <f t="shared" si="11"/>
        <v/>
      </c>
      <c r="T214" s="16" t="str">
        <f t="shared" si="12"/>
        <v/>
      </c>
      <c r="V214" s="16" t="str">
        <f t="shared" si="13"/>
        <v/>
      </c>
    </row>
    <row r="215" spans="17:22" x14ac:dyDescent="0.15">
      <c r="Q215" s="75" t="str">
        <f t="shared" si="11"/>
        <v/>
      </c>
      <c r="T215" s="16" t="str">
        <f t="shared" si="12"/>
        <v/>
      </c>
      <c r="V215" s="16" t="str">
        <f t="shared" si="13"/>
        <v/>
      </c>
    </row>
    <row r="216" spans="17:22" x14ac:dyDescent="0.15">
      <c r="Q216" s="75" t="str">
        <f t="shared" si="11"/>
        <v/>
      </c>
      <c r="T216" s="16" t="str">
        <f t="shared" si="12"/>
        <v/>
      </c>
      <c r="V216" s="16" t="str">
        <f t="shared" si="13"/>
        <v/>
      </c>
    </row>
    <row r="217" spans="17:22" x14ac:dyDescent="0.15">
      <c r="Q217" s="75" t="str">
        <f t="shared" si="11"/>
        <v/>
      </c>
      <c r="T217" s="16" t="str">
        <f t="shared" si="12"/>
        <v/>
      </c>
      <c r="V217" s="16" t="str">
        <f t="shared" si="13"/>
        <v/>
      </c>
    </row>
    <row r="218" spans="17:22" x14ac:dyDescent="0.15">
      <c r="Q218" s="75" t="str">
        <f t="shared" si="11"/>
        <v/>
      </c>
      <c r="T218" s="16" t="str">
        <f t="shared" si="12"/>
        <v/>
      </c>
      <c r="V218" s="16" t="str">
        <f t="shared" si="13"/>
        <v/>
      </c>
    </row>
    <row r="219" spans="17:22" x14ac:dyDescent="0.15">
      <c r="Q219" s="75" t="str">
        <f t="shared" si="11"/>
        <v/>
      </c>
      <c r="T219" s="16" t="str">
        <f t="shared" si="12"/>
        <v/>
      </c>
      <c r="V219" s="16" t="str">
        <f t="shared" si="13"/>
        <v/>
      </c>
    </row>
    <row r="220" spans="17:22" x14ac:dyDescent="0.15">
      <c r="Q220" s="75" t="str">
        <f t="shared" si="11"/>
        <v/>
      </c>
      <c r="T220" s="16" t="str">
        <f t="shared" si="12"/>
        <v/>
      </c>
      <c r="V220" s="16" t="str">
        <f t="shared" si="13"/>
        <v/>
      </c>
    </row>
    <row r="221" spans="17:22" x14ac:dyDescent="0.15">
      <c r="Q221" s="75" t="str">
        <f t="shared" si="11"/>
        <v/>
      </c>
      <c r="T221" s="16" t="str">
        <f t="shared" si="12"/>
        <v/>
      </c>
      <c r="V221" s="16" t="str">
        <f t="shared" si="13"/>
        <v/>
      </c>
    </row>
    <row r="222" spans="17:22" x14ac:dyDescent="0.15">
      <c r="Q222" s="75" t="str">
        <f t="shared" si="11"/>
        <v/>
      </c>
      <c r="T222" s="16" t="str">
        <f t="shared" si="12"/>
        <v/>
      </c>
      <c r="V222" s="16" t="str">
        <f t="shared" si="13"/>
        <v/>
      </c>
    </row>
    <row r="223" spans="17:22" x14ac:dyDescent="0.15">
      <c r="Q223" s="75" t="str">
        <f t="shared" si="11"/>
        <v/>
      </c>
      <c r="T223" s="16" t="str">
        <f t="shared" si="12"/>
        <v/>
      </c>
      <c r="V223" s="16" t="str">
        <f t="shared" si="13"/>
        <v/>
      </c>
    </row>
    <row r="224" spans="17:22" x14ac:dyDescent="0.15">
      <c r="Q224" s="75" t="str">
        <f t="shared" si="11"/>
        <v/>
      </c>
      <c r="T224" s="16" t="str">
        <f t="shared" si="12"/>
        <v/>
      </c>
      <c r="V224" s="16" t="str">
        <f t="shared" si="13"/>
        <v/>
      </c>
    </row>
    <row r="225" spans="17:22" x14ac:dyDescent="0.15">
      <c r="Q225" s="75" t="str">
        <f t="shared" si="11"/>
        <v/>
      </c>
      <c r="T225" s="16" t="str">
        <f t="shared" si="12"/>
        <v/>
      </c>
      <c r="V225" s="16" t="str">
        <f t="shared" si="13"/>
        <v/>
      </c>
    </row>
    <row r="226" spans="17:22" x14ac:dyDescent="0.15">
      <c r="Q226" s="75" t="str">
        <f t="shared" si="11"/>
        <v/>
      </c>
      <c r="T226" s="16" t="str">
        <f t="shared" si="12"/>
        <v/>
      </c>
      <c r="V226" s="16" t="str">
        <f t="shared" si="13"/>
        <v/>
      </c>
    </row>
    <row r="227" spans="17:22" x14ac:dyDescent="0.15">
      <c r="Q227" s="75" t="str">
        <f t="shared" si="11"/>
        <v/>
      </c>
      <c r="T227" s="16" t="str">
        <f t="shared" si="12"/>
        <v/>
      </c>
      <c r="V227" s="16" t="str">
        <f t="shared" si="13"/>
        <v/>
      </c>
    </row>
    <row r="228" spans="17:22" x14ac:dyDescent="0.15">
      <c r="Q228" s="75" t="str">
        <f t="shared" si="11"/>
        <v/>
      </c>
      <c r="T228" s="16" t="str">
        <f t="shared" si="12"/>
        <v/>
      </c>
      <c r="V228" s="16" t="str">
        <f t="shared" si="13"/>
        <v/>
      </c>
    </row>
    <row r="229" spans="17:22" x14ac:dyDescent="0.15">
      <c r="Q229" s="75" t="str">
        <f t="shared" si="11"/>
        <v/>
      </c>
      <c r="T229" s="16" t="str">
        <f t="shared" si="12"/>
        <v/>
      </c>
      <c r="V229" s="16" t="str">
        <f t="shared" si="13"/>
        <v/>
      </c>
    </row>
    <row r="230" spans="17:22" x14ac:dyDescent="0.15">
      <c r="Q230" s="75" t="str">
        <f t="shared" si="11"/>
        <v/>
      </c>
      <c r="T230" s="16" t="str">
        <f t="shared" si="12"/>
        <v/>
      </c>
      <c r="V230" s="16" t="str">
        <f t="shared" si="13"/>
        <v/>
      </c>
    </row>
    <row r="231" spans="17:22" x14ac:dyDescent="0.15">
      <c r="Q231" s="75" t="str">
        <f t="shared" si="11"/>
        <v/>
      </c>
      <c r="T231" s="16" t="str">
        <f t="shared" si="12"/>
        <v/>
      </c>
      <c r="V231" s="16" t="str">
        <f t="shared" si="13"/>
        <v/>
      </c>
    </row>
    <row r="232" spans="17:22" x14ac:dyDescent="0.15">
      <c r="Q232" s="75" t="str">
        <f t="shared" si="11"/>
        <v/>
      </c>
      <c r="T232" s="16" t="str">
        <f t="shared" si="12"/>
        <v/>
      </c>
      <c r="V232" s="16" t="str">
        <f t="shared" si="13"/>
        <v/>
      </c>
    </row>
    <row r="233" spans="17:22" x14ac:dyDescent="0.15">
      <c r="Q233" s="75" t="str">
        <f t="shared" si="11"/>
        <v/>
      </c>
      <c r="T233" s="16" t="str">
        <f t="shared" si="12"/>
        <v/>
      </c>
      <c r="V233" s="16" t="str">
        <f t="shared" si="13"/>
        <v/>
      </c>
    </row>
    <row r="234" spans="17:22" x14ac:dyDescent="0.15">
      <c r="Q234" s="75" t="str">
        <f t="shared" si="11"/>
        <v/>
      </c>
      <c r="T234" s="16" t="str">
        <f t="shared" si="12"/>
        <v/>
      </c>
      <c r="V234" s="16" t="str">
        <f t="shared" si="13"/>
        <v/>
      </c>
    </row>
    <row r="235" spans="17:22" x14ac:dyDescent="0.15">
      <c r="Q235" s="75" t="str">
        <f t="shared" si="11"/>
        <v/>
      </c>
      <c r="T235" s="16" t="str">
        <f t="shared" si="12"/>
        <v/>
      </c>
      <c r="V235" s="16" t="str">
        <f t="shared" si="13"/>
        <v/>
      </c>
    </row>
    <row r="236" spans="17:22" x14ac:dyDescent="0.15">
      <c r="Q236" s="75" t="str">
        <f t="shared" si="11"/>
        <v/>
      </c>
      <c r="T236" s="16" t="str">
        <f t="shared" si="12"/>
        <v/>
      </c>
      <c r="V236" s="16" t="str">
        <f t="shared" si="13"/>
        <v/>
      </c>
    </row>
    <row r="237" spans="17:22" x14ac:dyDescent="0.15">
      <c r="Q237" s="75" t="str">
        <f t="shared" si="11"/>
        <v/>
      </c>
      <c r="T237" s="16" t="str">
        <f t="shared" si="12"/>
        <v/>
      </c>
      <c r="V237" s="16" t="str">
        <f t="shared" si="13"/>
        <v/>
      </c>
    </row>
    <row r="238" spans="17:22" x14ac:dyDescent="0.15">
      <c r="Q238" s="75" t="str">
        <f t="shared" si="11"/>
        <v/>
      </c>
      <c r="T238" s="16" t="str">
        <f t="shared" si="12"/>
        <v/>
      </c>
      <c r="V238" s="16" t="str">
        <f t="shared" si="13"/>
        <v/>
      </c>
    </row>
    <row r="239" spans="17:22" x14ac:dyDescent="0.15">
      <c r="Q239" s="75" t="str">
        <f t="shared" si="11"/>
        <v/>
      </c>
      <c r="T239" s="16" t="str">
        <f t="shared" si="12"/>
        <v/>
      </c>
      <c r="V239" s="16" t="str">
        <f t="shared" si="13"/>
        <v/>
      </c>
    </row>
    <row r="240" spans="17:22" x14ac:dyDescent="0.15">
      <c r="Q240" s="75" t="str">
        <f t="shared" si="11"/>
        <v/>
      </c>
      <c r="T240" s="16" t="str">
        <f t="shared" si="12"/>
        <v/>
      </c>
      <c r="V240" s="16" t="str">
        <f t="shared" si="13"/>
        <v/>
      </c>
    </row>
    <row r="241" spans="17:22" x14ac:dyDescent="0.15">
      <c r="Q241" s="75" t="str">
        <f t="shared" si="11"/>
        <v/>
      </c>
      <c r="T241" s="16" t="str">
        <f t="shared" si="12"/>
        <v/>
      </c>
      <c r="V241" s="16" t="str">
        <f t="shared" si="13"/>
        <v/>
      </c>
    </row>
    <row r="242" spans="17:22" x14ac:dyDescent="0.15">
      <c r="Q242" s="75" t="str">
        <f t="shared" si="11"/>
        <v/>
      </c>
      <c r="T242" s="16" t="str">
        <f t="shared" si="12"/>
        <v/>
      </c>
      <c r="V242" s="16" t="str">
        <f t="shared" si="13"/>
        <v/>
      </c>
    </row>
    <row r="243" spans="17:22" x14ac:dyDescent="0.15">
      <c r="Q243" s="75" t="str">
        <f t="shared" si="11"/>
        <v/>
      </c>
      <c r="T243" s="16" t="str">
        <f t="shared" si="12"/>
        <v/>
      </c>
      <c r="V243" s="16" t="str">
        <f t="shared" si="13"/>
        <v/>
      </c>
    </row>
    <row r="244" spans="17:22" x14ac:dyDescent="0.15">
      <c r="Q244" s="75" t="str">
        <f t="shared" si="11"/>
        <v/>
      </c>
      <c r="T244" s="16" t="str">
        <f t="shared" si="12"/>
        <v/>
      </c>
      <c r="V244" s="16" t="str">
        <f t="shared" si="13"/>
        <v/>
      </c>
    </row>
    <row r="245" spans="17:22" x14ac:dyDescent="0.15">
      <c r="Q245" s="75" t="str">
        <f t="shared" si="11"/>
        <v/>
      </c>
      <c r="T245" s="16" t="str">
        <f t="shared" si="12"/>
        <v/>
      </c>
      <c r="V245" s="16" t="str">
        <f t="shared" si="13"/>
        <v/>
      </c>
    </row>
    <row r="246" spans="17:22" x14ac:dyDescent="0.15">
      <c r="Q246" s="75" t="str">
        <f t="shared" si="11"/>
        <v/>
      </c>
      <c r="T246" s="16" t="str">
        <f t="shared" si="12"/>
        <v/>
      </c>
      <c r="V246" s="16" t="str">
        <f t="shared" si="13"/>
        <v/>
      </c>
    </row>
    <row r="247" spans="17:22" x14ac:dyDescent="0.15">
      <c r="Q247" s="75" t="str">
        <f t="shared" si="11"/>
        <v/>
      </c>
      <c r="T247" s="16" t="str">
        <f t="shared" si="12"/>
        <v/>
      </c>
      <c r="V247" s="16" t="str">
        <f t="shared" si="13"/>
        <v/>
      </c>
    </row>
    <row r="248" spans="17:22" x14ac:dyDescent="0.15">
      <c r="Q248" s="75" t="str">
        <f t="shared" si="11"/>
        <v/>
      </c>
      <c r="T248" s="16" t="str">
        <f t="shared" si="12"/>
        <v/>
      </c>
      <c r="V248" s="16" t="str">
        <f t="shared" si="13"/>
        <v/>
      </c>
    </row>
    <row r="249" spans="17:22" x14ac:dyDescent="0.15">
      <c r="Q249" s="75" t="str">
        <f t="shared" si="11"/>
        <v/>
      </c>
      <c r="T249" s="16" t="str">
        <f t="shared" si="12"/>
        <v/>
      </c>
      <c r="V249" s="16" t="str">
        <f t="shared" si="13"/>
        <v/>
      </c>
    </row>
    <row r="250" spans="17:22" x14ac:dyDescent="0.15">
      <c r="Q250" s="75" t="str">
        <f t="shared" si="11"/>
        <v/>
      </c>
      <c r="T250" s="16" t="str">
        <f t="shared" si="12"/>
        <v/>
      </c>
      <c r="V250" s="16" t="str">
        <f t="shared" si="13"/>
        <v/>
      </c>
    </row>
    <row r="251" spans="17:22" x14ac:dyDescent="0.15">
      <c r="Q251" s="75" t="str">
        <f t="shared" si="11"/>
        <v/>
      </c>
      <c r="T251" s="16" t="str">
        <f t="shared" si="12"/>
        <v/>
      </c>
      <c r="V251" s="16" t="str">
        <f t="shared" si="13"/>
        <v/>
      </c>
    </row>
    <row r="252" spans="17:22" x14ac:dyDescent="0.15">
      <c r="Q252" s="75" t="str">
        <f t="shared" si="11"/>
        <v/>
      </c>
      <c r="T252" s="16" t="str">
        <f t="shared" si="12"/>
        <v/>
      </c>
      <c r="V252" s="16" t="str">
        <f t="shared" si="13"/>
        <v/>
      </c>
    </row>
    <row r="253" spans="17:22" x14ac:dyDescent="0.15">
      <c r="Q253" s="75" t="str">
        <f t="shared" si="11"/>
        <v/>
      </c>
      <c r="T253" s="16" t="str">
        <f t="shared" si="12"/>
        <v/>
      </c>
      <c r="V253" s="16" t="str">
        <f t="shared" si="13"/>
        <v/>
      </c>
    </row>
    <row r="254" spans="17:22" x14ac:dyDescent="0.15">
      <c r="Q254" s="75" t="str">
        <f t="shared" si="11"/>
        <v/>
      </c>
      <c r="T254" s="16" t="str">
        <f t="shared" si="12"/>
        <v/>
      </c>
      <c r="V254" s="16" t="str">
        <f t="shared" si="13"/>
        <v/>
      </c>
    </row>
    <row r="255" spans="17:22" x14ac:dyDescent="0.15">
      <c r="Q255" s="75" t="str">
        <f t="shared" si="11"/>
        <v/>
      </c>
      <c r="T255" s="16" t="str">
        <f t="shared" si="12"/>
        <v/>
      </c>
      <c r="V255" s="16" t="str">
        <f t="shared" si="13"/>
        <v/>
      </c>
    </row>
    <row r="256" spans="17:22" x14ac:dyDescent="0.15">
      <c r="Q256" s="75" t="str">
        <f t="shared" si="11"/>
        <v/>
      </c>
      <c r="T256" s="16" t="str">
        <f t="shared" si="12"/>
        <v/>
      </c>
      <c r="V256" s="16" t="str">
        <f t="shared" si="13"/>
        <v/>
      </c>
    </row>
    <row r="257" spans="17:22" x14ac:dyDescent="0.15">
      <c r="Q257" s="75" t="str">
        <f t="shared" si="11"/>
        <v/>
      </c>
      <c r="T257" s="16" t="str">
        <f t="shared" si="12"/>
        <v/>
      </c>
      <c r="V257" s="16" t="str">
        <f t="shared" si="13"/>
        <v/>
      </c>
    </row>
    <row r="258" spans="17:22" x14ac:dyDescent="0.15">
      <c r="Q258" s="75" t="str">
        <f t="shared" si="11"/>
        <v/>
      </c>
      <c r="T258" s="16" t="str">
        <f t="shared" si="12"/>
        <v/>
      </c>
      <c r="V258" s="16" t="str">
        <f t="shared" si="13"/>
        <v/>
      </c>
    </row>
    <row r="259" spans="17:22" x14ac:dyDescent="0.15">
      <c r="Q259" s="75" t="str">
        <f t="shared" si="11"/>
        <v/>
      </c>
      <c r="T259" s="16" t="str">
        <f t="shared" si="12"/>
        <v/>
      </c>
      <c r="V259" s="16" t="str">
        <f t="shared" si="13"/>
        <v/>
      </c>
    </row>
    <row r="260" spans="17:22" x14ac:dyDescent="0.15">
      <c r="Q260" s="75" t="str">
        <f t="shared" si="11"/>
        <v/>
      </c>
      <c r="T260" s="16" t="str">
        <f t="shared" si="12"/>
        <v/>
      </c>
      <c r="V260" s="16" t="str">
        <f t="shared" si="13"/>
        <v/>
      </c>
    </row>
    <row r="261" spans="17:22" x14ac:dyDescent="0.15">
      <c r="Q261" s="75" t="str">
        <f t="shared" si="11"/>
        <v/>
      </c>
      <c r="T261" s="16" t="str">
        <f t="shared" si="12"/>
        <v/>
      </c>
      <c r="V261" s="16" t="str">
        <f t="shared" si="13"/>
        <v/>
      </c>
    </row>
    <row r="262" spans="17:22" x14ac:dyDescent="0.15">
      <c r="Q262" s="75" t="str">
        <f t="shared" ref="Q262:Q325" si="14">IF(OR(O262="",P262=""),"",AVERAGE(O262,P262))</f>
        <v/>
      </c>
      <c r="T262" s="16" t="str">
        <f t="shared" ref="T262:T325" si="15">IF(H262="","",IF(OR(H262="GREEN",H262="GK"),IF(S262&gt;=$AX$2,VLOOKUP(S262,$AX$2:$AY$10,2,1),""),IF(S262&gt;=$AZ$2,VLOOKUP(S262,$AZ$2:$BA$10,2,1),"")))</f>
        <v/>
      </c>
      <c r="V262" s="16" t="str">
        <f t="shared" ref="V262:V325" si="16">IF(OR(N262="",U262="",T262=""),"",U262/N262*T262)</f>
        <v/>
      </c>
    </row>
    <row r="263" spans="17:22" x14ac:dyDescent="0.15">
      <c r="Q263" s="75" t="str">
        <f t="shared" si="14"/>
        <v/>
      </c>
      <c r="T263" s="16" t="str">
        <f t="shared" si="15"/>
        <v/>
      </c>
      <c r="V263" s="16" t="str">
        <f t="shared" si="16"/>
        <v/>
      </c>
    </row>
    <row r="264" spans="17:22" x14ac:dyDescent="0.15">
      <c r="Q264" s="75" t="str">
        <f t="shared" si="14"/>
        <v/>
      </c>
      <c r="T264" s="16" t="str">
        <f t="shared" si="15"/>
        <v/>
      </c>
      <c r="V264" s="16" t="str">
        <f t="shared" si="16"/>
        <v/>
      </c>
    </row>
    <row r="265" spans="17:22" x14ac:dyDescent="0.15">
      <c r="Q265" s="75" t="str">
        <f t="shared" si="14"/>
        <v/>
      </c>
      <c r="T265" s="16" t="str">
        <f t="shared" si="15"/>
        <v/>
      </c>
      <c r="V265" s="16" t="str">
        <f t="shared" si="16"/>
        <v/>
      </c>
    </row>
    <row r="266" spans="17:22" x14ac:dyDescent="0.15">
      <c r="Q266" s="75" t="str">
        <f t="shared" si="14"/>
        <v/>
      </c>
      <c r="T266" s="16" t="str">
        <f t="shared" si="15"/>
        <v/>
      </c>
      <c r="V266" s="16" t="str">
        <f t="shared" si="16"/>
        <v/>
      </c>
    </row>
    <row r="267" spans="17:22" x14ac:dyDescent="0.15">
      <c r="Q267" s="75" t="str">
        <f t="shared" si="14"/>
        <v/>
      </c>
      <c r="T267" s="16" t="str">
        <f t="shared" si="15"/>
        <v/>
      </c>
      <c r="V267" s="16" t="str">
        <f t="shared" si="16"/>
        <v/>
      </c>
    </row>
    <row r="268" spans="17:22" x14ac:dyDescent="0.15">
      <c r="Q268" s="75" t="str">
        <f t="shared" si="14"/>
        <v/>
      </c>
      <c r="T268" s="16" t="str">
        <f t="shared" si="15"/>
        <v/>
      </c>
      <c r="V268" s="16" t="str">
        <f t="shared" si="16"/>
        <v/>
      </c>
    </row>
    <row r="269" spans="17:22" x14ac:dyDescent="0.15">
      <c r="Q269" s="75" t="str">
        <f t="shared" si="14"/>
        <v/>
      </c>
      <c r="T269" s="16" t="str">
        <f t="shared" si="15"/>
        <v/>
      </c>
      <c r="V269" s="16" t="str">
        <f t="shared" si="16"/>
        <v/>
      </c>
    </row>
    <row r="270" spans="17:22" x14ac:dyDescent="0.15">
      <c r="Q270" s="75" t="str">
        <f t="shared" si="14"/>
        <v/>
      </c>
      <c r="T270" s="16" t="str">
        <f t="shared" si="15"/>
        <v/>
      </c>
      <c r="V270" s="16" t="str">
        <f t="shared" si="16"/>
        <v/>
      </c>
    </row>
    <row r="271" spans="17:22" x14ac:dyDescent="0.15">
      <c r="Q271" s="75" t="str">
        <f t="shared" si="14"/>
        <v/>
      </c>
      <c r="T271" s="16" t="str">
        <f t="shared" si="15"/>
        <v/>
      </c>
      <c r="V271" s="16" t="str">
        <f t="shared" si="16"/>
        <v/>
      </c>
    </row>
    <row r="272" spans="17:22" x14ac:dyDescent="0.15">
      <c r="Q272" s="75" t="str">
        <f t="shared" si="14"/>
        <v/>
      </c>
      <c r="T272" s="16" t="str">
        <f t="shared" si="15"/>
        <v/>
      </c>
      <c r="V272" s="16" t="str">
        <f t="shared" si="16"/>
        <v/>
      </c>
    </row>
    <row r="273" spans="17:22" x14ac:dyDescent="0.15">
      <c r="Q273" s="75" t="str">
        <f t="shared" si="14"/>
        <v/>
      </c>
      <c r="T273" s="16" t="str">
        <f t="shared" si="15"/>
        <v/>
      </c>
      <c r="V273" s="16" t="str">
        <f t="shared" si="16"/>
        <v/>
      </c>
    </row>
    <row r="274" spans="17:22" x14ac:dyDescent="0.15">
      <c r="Q274" s="75" t="str">
        <f t="shared" si="14"/>
        <v/>
      </c>
      <c r="T274" s="16" t="str">
        <f t="shared" si="15"/>
        <v/>
      </c>
      <c r="V274" s="16" t="str">
        <f t="shared" si="16"/>
        <v/>
      </c>
    </row>
    <row r="275" spans="17:22" x14ac:dyDescent="0.15">
      <c r="Q275" s="75" t="str">
        <f t="shared" si="14"/>
        <v/>
      </c>
      <c r="T275" s="16" t="str">
        <f t="shared" si="15"/>
        <v/>
      </c>
      <c r="V275" s="16" t="str">
        <f t="shared" si="16"/>
        <v/>
      </c>
    </row>
    <row r="276" spans="17:22" x14ac:dyDescent="0.15">
      <c r="Q276" s="75" t="str">
        <f t="shared" si="14"/>
        <v/>
      </c>
      <c r="T276" s="16" t="str">
        <f t="shared" si="15"/>
        <v/>
      </c>
      <c r="V276" s="16" t="str">
        <f t="shared" si="16"/>
        <v/>
      </c>
    </row>
    <row r="277" spans="17:22" x14ac:dyDescent="0.15">
      <c r="Q277" s="75" t="str">
        <f t="shared" si="14"/>
        <v/>
      </c>
      <c r="T277" s="16" t="str">
        <f t="shared" si="15"/>
        <v/>
      </c>
      <c r="V277" s="16" t="str">
        <f t="shared" si="16"/>
        <v/>
      </c>
    </row>
    <row r="278" spans="17:22" x14ac:dyDescent="0.15">
      <c r="Q278" s="75" t="str">
        <f t="shared" si="14"/>
        <v/>
      </c>
      <c r="T278" s="16" t="str">
        <f t="shared" si="15"/>
        <v/>
      </c>
      <c r="V278" s="16" t="str">
        <f t="shared" si="16"/>
        <v/>
      </c>
    </row>
    <row r="279" spans="17:22" x14ac:dyDescent="0.15">
      <c r="Q279" s="75" t="str">
        <f t="shared" si="14"/>
        <v/>
      </c>
      <c r="T279" s="16" t="str">
        <f t="shared" si="15"/>
        <v/>
      </c>
      <c r="V279" s="16" t="str">
        <f t="shared" si="16"/>
        <v/>
      </c>
    </row>
    <row r="280" spans="17:22" x14ac:dyDescent="0.15">
      <c r="Q280" s="75" t="str">
        <f t="shared" si="14"/>
        <v/>
      </c>
      <c r="T280" s="16" t="str">
        <f t="shared" si="15"/>
        <v/>
      </c>
      <c r="V280" s="16" t="str">
        <f t="shared" si="16"/>
        <v/>
      </c>
    </row>
    <row r="281" spans="17:22" x14ac:dyDescent="0.15">
      <c r="Q281" s="75" t="str">
        <f t="shared" si="14"/>
        <v/>
      </c>
      <c r="T281" s="16" t="str">
        <f t="shared" si="15"/>
        <v/>
      </c>
      <c r="V281" s="16" t="str">
        <f t="shared" si="16"/>
        <v/>
      </c>
    </row>
    <row r="282" spans="17:22" x14ac:dyDescent="0.15">
      <c r="Q282" s="75" t="str">
        <f t="shared" si="14"/>
        <v/>
      </c>
      <c r="T282" s="16" t="str">
        <f t="shared" si="15"/>
        <v/>
      </c>
      <c r="V282" s="16" t="str">
        <f t="shared" si="16"/>
        <v/>
      </c>
    </row>
    <row r="283" spans="17:22" x14ac:dyDescent="0.15">
      <c r="Q283" s="75" t="str">
        <f t="shared" si="14"/>
        <v/>
      </c>
      <c r="T283" s="16" t="str">
        <f t="shared" si="15"/>
        <v/>
      </c>
      <c r="V283" s="16" t="str">
        <f t="shared" si="16"/>
        <v/>
      </c>
    </row>
    <row r="284" spans="17:22" x14ac:dyDescent="0.15">
      <c r="Q284" s="75" t="str">
        <f t="shared" si="14"/>
        <v/>
      </c>
      <c r="T284" s="16" t="str">
        <f t="shared" si="15"/>
        <v/>
      </c>
      <c r="V284" s="16" t="str">
        <f t="shared" si="16"/>
        <v/>
      </c>
    </row>
    <row r="285" spans="17:22" x14ac:dyDescent="0.15">
      <c r="Q285" s="75" t="str">
        <f t="shared" si="14"/>
        <v/>
      </c>
      <c r="T285" s="16" t="str">
        <f t="shared" si="15"/>
        <v/>
      </c>
      <c r="V285" s="16" t="str">
        <f t="shared" si="16"/>
        <v/>
      </c>
    </row>
    <row r="286" spans="17:22" x14ac:dyDescent="0.15">
      <c r="Q286" s="75" t="str">
        <f t="shared" si="14"/>
        <v/>
      </c>
      <c r="T286" s="16" t="str">
        <f t="shared" si="15"/>
        <v/>
      </c>
      <c r="V286" s="16" t="str">
        <f t="shared" si="16"/>
        <v/>
      </c>
    </row>
    <row r="287" spans="17:22" x14ac:dyDescent="0.15">
      <c r="Q287" s="75" t="str">
        <f t="shared" si="14"/>
        <v/>
      </c>
      <c r="T287" s="16" t="str">
        <f t="shared" si="15"/>
        <v/>
      </c>
      <c r="V287" s="16" t="str">
        <f t="shared" si="16"/>
        <v/>
      </c>
    </row>
    <row r="288" spans="17:22" x14ac:dyDescent="0.15">
      <c r="Q288" s="75" t="str">
        <f t="shared" si="14"/>
        <v/>
      </c>
      <c r="T288" s="16" t="str">
        <f t="shared" si="15"/>
        <v/>
      </c>
      <c r="V288" s="16" t="str">
        <f t="shared" si="16"/>
        <v/>
      </c>
    </row>
    <row r="289" spans="17:22" x14ac:dyDescent="0.15">
      <c r="Q289" s="75" t="str">
        <f t="shared" si="14"/>
        <v/>
      </c>
      <c r="T289" s="16" t="str">
        <f t="shared" si="15"/>
        <v/>
      </c>
      <c r="V289" s="16" t="str">
        <f t="shared" si="16"/>
        <v/>
      </c>
    </row>
    <row r="290" spans="17:22" x14ac:dyDescent="0.15">
      <c r="Q290" s="75" t="str">
        <f t="shared" si="14"/>
        <v/>
      </c>
      <c r="T290" s="16" t="str">
        <f t="shared" si="15"/>
        <v/>
      </c>
      <c r="V290" s="16" t="str">
        <f t="shared" si="16"/>
        <v/>
      </c>
    </row>
    <row r="291" spans="17:22" x14ac:dyDescent="0.15">
      <c r="Q291" s="75" t="str">
        <f t="shared" si="14"/>
        <v/>
      </c>
      <c r="T291" s="16" t="str">
        <f t="shared" si="15"/>
        <v/>
      </c>
      <c r="V291" s="16" t="str">
        <f t="shared" si="16"/>
        <v/>
      </c>
    </row>
    <row r="292" spans="17:22" x14ac:dyDescent="0.15">
      <c r="Q292" s="75" t="str">
        <f t="shared" si="14"/>
        <v/>
      </c>
      <c r="T292" s="16" t="str">
        <f t="shared" si="15"/>
        <v/>
      </c>
      <c r="V292" s="16" t="str">
        <f t="shared" si="16"/>
        <v/>
      </c>
    </row>
    <row r="293" spans="17:22" x14ac:dyDescent="0.15">
      <c r="Q293" s="75" t="str">
        <f t="shared" si="14"/>
        <v/>
      </c>
      <c r="T293" s="16" t="str">
        <f t="shared" si="15"/>
        <v/>
      </c>
      <c r="V293" s="16" t="str">
        <f t="shared" si="16"/>
        <v/>
      </c>
    </row>
    <row r="294" spans="17:22" x14ac:dyDescent="0.15">
      <c r="Q294" s="75" t="str">
        <f t="shared" si="14"/>
        <v/>
      </c>
      <c r="T294" s="16" t="str">
        <f t="shared" si="15"/>
        <v/>
      </c>
      <c r="V294" s="16" t="str">
        <f t="shared" si="16"/>
        <v/>
      </c>
    </row>
    <row r="295" spans="17:22" x14ac:dyDescent="0.15">
      <c r="Q295" s="75" t="str">
        <f t="shared" si="14"/>
        <v/>
      </c>
      <c r="T295" s="16" t="str">
        <f t="shared" si="15"/>
        <v/>
      </c>
      <c r="V295" s="16" t="str">
        <f t="shared" si="16"/>
        <v/>
      </c>
    </row>
    <row r="296" spans="17:22" x14ac:dyDescent="0.15">
      <c r="Q296" s="75" t="str">
        <f t="shared" si="14"/>
        <v/>
      </c>
      <c r="T296" s="16" t="str">
        <f t="shared" si="15"/>
        <v/>
      </c>
      <c r="V296" s="16" t="str">
        <f t="shared" si="16"/>
        <v/>
      </c>
    </row>
    <row r="297" spans="17:22" x14ac:dyDescent="0.15">
      <c r="Q297" s="75" t="str">
        <f t="shared" si="14"/>
        <v/>
      </c>
      <c r="T297" s="16" t="str">
        <f t="shared" si="15"/>
        <v/>
      </c>
      <c r="V297" s="16" t="str">
        <f t="shared" si="16"/>
        <v/>
      </c>
    </row>
    <row r="298" spans="17:22" x14ac:dyDescent="0.15">
      <c r="Q298" s="75" t="str">
        <f t="shared" si="14"/>
        <v/>
      </c>
      <c r="T298" s="16" t="str">
        <f t="shared" si="15"/>
        <v/>
      </c>
      <c r="V298" s="16" t="str">
        <f t="shared" si="16"/>
        <v/>
      </c>
    </row>
    <row r="299" spans="17:22" x14ac:dyDescent="0.15">
      <c r="Q299" s="75" t="str">
        <f t="shared" si="14"/>
        <v/>
      </c>
      <c r="T299" s="16" t="str">
        <f t="shared" si="15"/>
        <v/>
      </c>
      <c r="V299" s="16" t="str">
        <f t="shared" si="16"/>
        <v/>
      </c>
    </row>
    <row r="300" spans="17:22" x14ac:dyDescent="0.15">
      <c r="Q300" s="75" t="str">
        <f t="shared" si="14"/>
        <v/>
      </c>
      <c r="T300" s="16" t="str">
        <f t="shared" si="15"/>
        <v/>
      </c>
      <c r="V300" s="16" t="str">
        <f t="shared" si="16"/>
        <v/>
      </c>
    </row>
    <row r="301" spans="17:22" x14ac:dyDescent="0.15">
      <c r="Q301" s="75" t="str">
        <f t="shared" si="14"/>
        <v/>
      </c>
      <c r="T301" s="16" t="str">
        <f t="shared" si="15"/>
        <v/>
      </c>
      <c r="V301" s="16" t="str">
        <f t="shared" si="16"/>
        <v/>
      </c>
    </row>
    <row r="302" spans="17:22" x14ac:dyDescent="0.15">
      <c r="Q302" s="75" t="str">
        <f t="shared" si="14"/>
        <v/>
      </c>
      <c r="T302" s="16" t="str">
        <f t="shared" si="15"/>
        <v/>
      </c>
      <c r="V302" s="16" t="str">
        <f t="shared" si="16"/>
        <v/>
      </c>
    </row>
    <row r="303" spans="17:22" x14ac:dyDescent="0.15">
      <c r="Q303" s="75" t="str">
        <f t="shared" si="14"/>
        <v/>
      </c>
      <c r="T303" s="16" t="str">
        <f t="shared" si="15"/>
        <v/>
      </c>
      <c r="V303" s="16" t="str">
        <f t="shared" si="16"/>
        <v/>
      </c>
    </row>
    <row r="304" spans="17:22" x14ac:dyDescent="0.15">
      <c r="Q304" s="75" t="str">
        <f t="shared" si="14"/>
        <v/>
      </c>
      <c r="T304" s="16" t="str">
        <f t="shared" si="15"/>
        <v/>
      </c>
      <c r="V304" s="16" t="str">
        <f t="shared" si="16"/>
        <v/>
      </c>
    </row>
    <row r="305" spans="17:22" x14ac:dyDescent="0.15">
      <c r="Q305" s="75" t="str">
        <f t="shared" si="14"/>
        <v/>
      </c>
      <c r="T305" s="16" t="str">
        <f t="shared" si="15"/>
        <v/>
      </c>
      <c r="V305" s="16" t="str">
        <f t="shared" si="16"/>
        <v/>
      </c>
    </row>
    <row r="306" spans="17:22" x14ac:dyDescent="0.15">
      <c r="Q306" s="75" t="str">
        <f t="shared" si="14"/>
        <v/>
      </c>
      <c r="T306" s="16" t="str">
        <f t="shared" si="15"/>
        <v/>
      </c>
      <c r="V306" s="16" t="str">
        <f t="shared" si="16"/>
        <v/>
      </c>
    </row>
    <row r="307" spans="17:22" x14ac:dyDescent="0.15">
      <c r="Q307" s="75" t="str">
        <f t="shared" si="14"/>
        <v/>
      </c>
      <c r="T307" s="16" t="str">
        <f t="shared" si="15"/>
        <v/>
      </c>
      <c r="V307" s="16" t="str">
        <f t="shared" si="16"/>
        <v/>
      </c>
    </row>
    <row r="308" spans="17:22" x14ac:dyDescent="0.15">
      <c r="Q308" s="75" t="str">
        <f t="shared" si="14"/>
        <v/>
      </c>
      <c r="T308" s="16" t="str">
        <f t="shared" si="15"/>
        <v/>
      </c>
      <c r="V308" s="16" t="str">
        <f t="shared" si="16"/>
        <v/>
      </c>
    </row>
    <row r="309" spans="17:22" x14ac:dyDescent="0.15">
      <c r="Q309" s="75" t="str">
        <f t="shared" si="14"/>
        <v/>
      </c>
      <c r="T309" s="16" t="str">
        <f t="shared" si="15"/>
        <v/>
      </c>
      <c r="V309" s="16" t="str">
        <f t="shared" si="16"/>
        <v/>
      </c>
    </row>
    <row r="310" spans="17:22" x14ac:dyDescent="0.15">
      <c r="Q310" s="75" t="str">
        <f t="shared" si="14"/>
        <v/>
      </c>
      <c r="T310" s="16" t="str">
        <f t="shared" si="15"/>
        <v/>
      </c>
      <c r="V310" s="16" t="str">
        <f t="shared" si="16"/>
        <v/>
      </c>
    </row>
    <row r="311" spans="17:22" x14ac:dyDescent="0.15">
      <c r="Q311" s="75" t="str">
        <f t="shared" si="14"/>
        <v/>
      </c>
      <c r="T311" s="16" t="str">
        <f t="shared" si="15"/>
        <v/>
      </c>
      <c r="V311" s="16" t="str">
        <f t="shared" si="16"/>
        <v/>
      </c>
    </row>
    <row r="312" spans="17:22" x14ac:dyDescent="0.15">
      <c r="Q312" s="75" t="str">
        <f t="shared" si="14"/>
        <v/>
      </c>
      <c r="T312" s="16" t="str">
        <f t="shared" si="15"/>
        <v/>
      </c>
      <c r="V312" s="16" t="str">
        <f t="shared" si="16"/>
        <v/>
      </c>
    </row>
    <row r="313" spans="17:22" x14ac:dyDescent="0.15">
      <c r="Q313" s="75" t="str">
        <f t="shared" si="14"/>
        <v/>
      </c>
      <c r="T313" s="16" t="str">
        <f t="shared" si="15"/>
        <v/>
      </c>
      <c r="V313" s="16" t="str">
        <f t="shared" si="16"/>
        <v/>
      </c>
    </row>
    <row r="314" spans="17:22" x14ac:dyDescent="0.15">
      <c r="Q314" s="75" t="str">
        <f t="shared" si="14"/>
        <v/>
      </c>
      <c r="T314" s="16" t="str">
        <f t="shared" si="15"/>
        <v/>
      </c>
      <c r="V314" s="16" t="str">
        <f t="shared" si="16"/>
        <v/>
      </c>
    </row>
    <row r="315" spans="17:22" x14ac:dyDescent="0.15">
      <c r="Q315" s="75" t="str">
        <f t="shared" si="14"/>
        <v/>
      </c>
      <c r="T315" s="16" t="str">
        <f t="shared" si="15"/>
        <v/>
      </c>
      <c r="V315" s="16" t="str">
        <f t="shared" si="16"/>
        <v/>
      </c>
    </row>
    <row r="316" spans="17:22" x14ac:dyDescent="0.15">
      <c r="Q316" s="75" t="str">
        <f t="shared" si="14"/>
        <v/>
      </c>
      <c r="T316" s="16" t="str">
        <f t="shared" si="15"/>
        <v/>
      </c>
      <c r="V316" s="16" t="str">
        <f t="shared" si="16"/>
        <v/>
      </c>
    </row>
    <row r="317" spans="17:22" x14ac:dyDescent="0.15">
      <c r="Q317" s="75" t="str">
        <f t="shared" si="14"/>
        <v/>
      </c>
      <c r="T317" s="16" t="str">
        <f t="shared" si="15"/>
        <v/>
      </c>
      <c r="V317" s="16" t="str">
        <f t="shared" si="16"/>
        <v/>
      </c>
    </row>
    <row r="318" spans="17:22" x14ac:dyDescent="0.15">
      <c r="Q318" s="75" t="str">
        <f t="shared" si="14"/>
        <v/>
      </c>
      <c r="T318" s="16" t="str">
        <f t="shared" si="15"/>
        <v/>
      </c>
      <c r="V318" s="16" t="str">
        <f t="shared" si="16"/>
        <v/>
      </c>
    </row>
    <row r="319" spans="17:22" x14ac:dyDescent="0.15">
      <c r="Q319" s="75" t="str">
        <f t="shared" si="14"/>
        <v/>
      </c>
      <c r="T319" s="16" t="str">
        <f t="shared" si="15"/>
        <v/>
      </c>
      <c r="V319" s="16" t="str">
        <f t="shared" si="16"/>
        <v/>
      </c>
    </row>
    <row r="320" spans="17:22" x14ac:dyDescent="0.15">
      <c r="Q320" s="75" t="str">
        <f t="shared" si="14"/>
        <v/>
      </c>
      <c r="T320" s="16" t="str">
        <f t="shared" si="15"/>
        <v/>
      </c>
      <c r="V320" s="16" t="str">
        <f t="shared" si="16"/>
        <v/>
      </c>
    </row>
    <row r="321" spans="17:22" x14ac:dyDescent="0.15">
      <c r="Q321" s="75" t="str">
        <f t="shared" si="14"/>
        <v/>
      </c>
      <c r="T321" s="16" t="str">
        <f t="shared" si="15"/>
        <v/>
      </c>
      <c r="V321" s="16" t="str">
        <f t="shared" si="16"/>
        <v/>
      </c>
    </row>
    <row r="322" spans="17:22" x14ac:dyDescent="0.15">
      <c r="Q322" s="75" t="str">
        <f t="shared" si="14"/>
        <v/>
      </c>
      <c r="T322" s="16" t="str">
        <f t="shared" si="15"/>
        <v/>
      </c>
      <c r="V322" s="16" t="str">
        <f t="shared" si="16"/>
        <v/>
      </c>
    </row>
    <row r="323" spans="17:22" x14ac:dyDescent="0.15">
      <c r="Q323" s="75" t="str">
        <f t="shared" si="14"/>
        <v/>
      </c>
      <c r="T323" s="16" t="str">
        <f t="shared" si="15"/>
        <v/>
      </c>
      <c r="V323" s="16" t="str">
        <f t="shared" si="16"/>
        <v/>
      </c>
    </row>
    <row r="324" spans="17:22" x14ac:dyDescent="0.15">
      <c r="Q324" s="75" t="str">
        <f t="shared" si="14"/>
        <v/>
      </c>
      <c r="T324" s="16" t="str">
        <f t="shared" si="15"/>
        <v/>
      </c>
      <c r="V324" s="16" t="str">
        <f t="shared" si="16"/>
        <v/>
      </c>
    </row>
    <row r="325" spans="17:22" x14ac:dyDescent="0.15">
      <c r="Q325" s="75" t="str">
        <f t="shared" si="14"/>
        <v/>
      </c>
      <c r="T325" s="16" t="str">
        <f t="shared" si="15"/>
        <v/>
      </c>
      <c r="V325" s="16" t="str">
        <f t="shared" si="16"/>
        <v/>
      </c>
    </row>
    <row r="326" spans="17:22" x14ac:dyDescent="0.15">
      <c r="Q326" s="75" t="str">
        <f t="shared" ref="Q326:Q335" si="17">IF(OR(O326="",P326=""),"",AVERAGE(O326,P326))</f>
        <v/>
      </c>
      <c r="T326" s="16" t="str">
        <f t="shared" ref="T326:T363" si="18">IF(H326="","",IF(OR(H326="GREEN",H326="GK"),IF(S326&gt;=$AX$2,VLOOKUP(S326,$AX$2:$AY$10,2,1),""),IF(S326&gt;=$AZ$2,VLOOKUP(S326,$AZ$2:$BA$10,2,1),"")))</f>
        <v/>
      </c>
      <c r="V326" s="16" t="str">
        <f t="shared" ref="V326:V343" si="19">IF(OR(N326="",U326="",T326=""),"",U326/N326*T326)</f>
        <v/>
      </c>
    </row>
    <row r="327" spans="17:22" x14ac:dyDescent="0.15">
      <c r="Q327" s="75" t="str">
        <f t="shared" si="17"/>
        <v/>
      </c>
      <c r="T327" s="16" t="str">
        <f t="shared" si="18"/>
        <v/>
      </c>
      <c r="V327" s="16" t="str">
        <f t="shared" si="19"/>
        <v/>
      </c>
    </row>
    <row r="328" spans="17:22" x14ac:dyDescent="0.15">
      <c r="Q328" s="75" t="str">
        <f t="shared" si="17"/>
        <v/>
      </c>
      <c r="T328" s="16" t="str">
        <f t="shared" si="18"/>
        <v/>
      </c>
      <c r="V328" s="16" t="str">
        <f t="shared" si="19"/>
        <v/>
      </c>
    </row>
    <row r="329" spans="17:22" x14ac:dyDescent="0.15">
      <c r="Q329" s="75" t="str">
        <f t="shared" si="17"/>
        <v/>
      </c>
      <c r="T329" s="16" t="str">
        <f t="shared" si="18"/>
        <v/>
      </c>
      <c r="V329" s="16" t="str">
        <f t="shared" si="19"/>
        <v/>
      </c>
    </row>
    <row r="330" spans="17:22" x14ac:dyDescent="0.15">
      <c r="Q330" s="75" t="str">
        <f t="shared" si="17"/>
        <v/>
      </c>
      <c r="T330" s="16" t="str">
        <f t="shared" si="18"/>
        <v/>
      </c>
      <c r="V330" s="16" t="str">
        <f t="shared" si="19"/>
        <v/>
      </c>
    </row>
    <row r="331" spans="17:22" x14ac:dyDescent="0.15">
      <c r="Q331" s="75" t="str">
        <f t="shared" si="17"/>
        <v/>
      </c>
      <c r="T331" s="16" t="str">
        <f t="shared" si="18"/>
        <v/>
      </c>
      <c r="V331" s="16" t="str">
        <f t="shared" si="19"/>
        <v/>
      </c>
    </row>
    <row r="332" spans="17:22" x14ac:dyDescent="0.15">
      <c r="Q332" s="75" t="str">
        <f t="shared" si="17"/>
        <v/>
      </c>
      <c r="T332" s="16" t="str">
        <f t="shared" si="18"/>
        <v/>
      </c>
      <c r="V332" s="16" t="str">
        <f t="shared" si="19"/>
        <v/>
      </c>
    </row>
    <row r="333" spans="17:22" x14ac:dyDescent="0.15">
      <c r="Q333" s="75" t="str">
        <f t="shared" si="17"/>
        <v/>
      </c>
      <c r="T333" s="16" t="str">
        <f t="shared" si="18"/>
        <v/>
      </c>
      <c r="V333" s="16" t="str">
        <f t="shared" si="19"/>
        <v/>
      </c>
    </row>
    <row r="334" spans="17:22" x14ac:dyDescent="0.15">
      <c r="Q334" s="75" t="str">
        <f t="shared" si="17"/>
        <v/>
      </c>
      <c r="T334" s="16" t="str">
        <f t="shared" si="18"/>
        <v/>
      </c>
      <c r="V334" s="16" t="str">
        <f t="shared" si="19"/>
        <v/>
      </c>
    </row>
    <row r="335" spans="17:22" x14ac:dyDescent="0.15">
      <c r="Q335" s="75" t="str">
        <f t="shared" si="17"/>
        <v/>
      </c>
      <c r="T335" s="16" t="str">
        <f t="shared" si="18"/>
        <v/>
      </c>
      <c r="V335" s="16" t="str">
        <f t="shared" si="19"/>
        <v/>
      </c>
    </row>
    <row r="336" spans="17:22" x14ac:dyDescent="0.15">
      <c r="T336" s="16" t="str">
        <f t="shared" si="18"/>
        <v/>
      </c>
      <c r="V336" s="16" t="str">
        <f t="shared" si="19"/>
        <v/>
      </c>
    </row>
    <row r="337" spans="20:22" x14ac:dyDescent="0.15">
      <c r="T337" s="16" t="str">
        <f t="shared" si="18"/>
        <v/>
      </c>
      <c r="V337" s="16" t="str">
        <f t="shared" si="19"/>
        <v/>
      </c>
    </row>
    <row r="338" spans="20:22" x14ac:dyDescent="0.15">
      <c r="T338" s="16" t="str">
        <f t="shared" si="18"/>
        <v/>
      </c>
      <c r="V338" s="16" t="str">
        <f t="shared" si="19"/>
        <v/>
      </c>
    </row>
    <row r="339" spans="20:22" x14ac:dyDescent="0.15">
      <c r="T339" s="16" t="str">
        <f t="shared" si="18"/>
        <v/>
      </c>
      <c r="V339" s="16" t="str">
        <f t="shared" si="19"/>
        <v/>
      </c>
    </row>
    <row r="340" spans="20:22" x14ac:dyDescent="0.15">
      <c r="T340" s="16" t="str">
        <f t="shared" si="18"/>
        <v/>
      </c>
      <c r="V340" s="16" t="str">
        <f t="shared" si="19"/>
        <v/>
      </c>
    </row>
    <row r="341" spans="20:22" x14ac:dyDescent="0.15">
      <c r="T341" s="16" t="str">
        <f t="shared" si="18"/>
        <v/>
      </c>
      <c r="V341" s="16" t="str">
        <f t="shared" si="19"/>
        <v/>
      </c>
    </row>
    <row r="342" spans="20:22" x14ac:dyDescent="0.15">
      <c r="T342" s="16" t="str">
        <f t="shared" si="18"/>
        <v/>
      </c>
      <c r="V342" s="16" t="str">
        <f t="shared" si="19"/>
        <v/>
      </c>
    </row>
    <row r="343" spans="20:22" x14ac:dyDescent="0.15">
      <c r="T343" s="16" t="str">
        <f t="shared" si="18"/>
        <v/>
      </c>
      <c r="V343" s="16" t="str">
        <f t="shared" si="19"/>
        <v/>
      </c>
    </row>
    <row r="344" spans="20:22" x14ac:dyDescent="0.15">
      <c r="T344" s="16" t="str">
        <f t="shared" si="18"/>
        <v/>
      </c>
    </row>
    <row r="345" spans="20:22" x14ac:dyDescent="0.15">
      <c r="T345" s="16" t="str">
        <f t="shared" si="18"/>
        <v/>
      </c>
    </row>
    <row r="346" spans="20:22" x14ac:dyDescent="0.15">
      <c r="T346" s="16" t="str">
        <f t="shared" si="18"/>
        <v/>
      </c>
    </row>
    <row r="347" spans="20:22" x14ac:dyDescent="0.15">
      <c r="T347" s="16" t="str">
        <f t="shared" si="18"/>
        <v/>
      </c>
    </row>
    <row r="348" spans="20:22" x14ac:dyDescent="0.15">
      <c r="T348" s="16" t="str">
        <f t="shared" si="18"/>
        <v/>
      </c>
    </row>
    <row r="349" spans="20:22" x14ac:dyDescent="0.15">
      <c r="T349" s="16" t="str">
        <f t="shared" si="18"/>
        <v/>
      </c>
    </row>
    <row r="350" spans="20:22" x14ac:dyDescent="0.15">
      <c r="T350" s="16" t="str">
        <f t="shared" si="18"/>
        <v/>
      </c>
    </row>
    <row r="351" spans="20:22" x14ac:dyDescent="0.15">
      <c r="T351" s="16" t="str">
        <f t="shared" si="18"/>
        <v/>
      </c>
    </row>
    <row r="352" spans="20:22" x14ac:dyDescent="0.15">
      <c r="T352" s="16" t="str">
        <f t="shared" si="18"/>
        <v/>
      </c>
    </row>
    <row r="353" spans="20:20" x14ac:dyDescent="0.15">
      <c r="T353" s="16" t="str">
        <f t="shared" si="18"/>
        <v/>
      </c>
    </row>
    <row r="354" spans="20:20" x14ac:dyDescent="0.15">
      <c r="T354" s="16" t="str">
        <f t="shared" si="18"/>
        <v/>
      </c>
    </row>
    <row r="355" spans="20:20" x14ac:dyDescent="0.15">
      <c r="T355" s="16" t="str">
        <f t="shared" si="18"/>
        <v/>
      </c>
    </row>
    <row r="356" spans="20:20" x14ac:dyDescent="0.15">
      <c r="T356" s="16" t="str">
        <f t="shared" si="18"/>
        <v/>
      </c>
    </row>
    <row r="357" spans="20:20" x14ac:dyDescent="0.15">
      <c r="T357" s="16" t="str">
        <f t="shared" si="18"/>
        <v/>
      </c>
    </row>
    <row r="358" spans="20:20" x14ac:dyDescent="0.15">
      <c r="T358" s="16" t="str">
        <f t="shared" si="18"/>
        <v/>
      </c>
    </row>
    <row r="359" spans="20:20" x14ac:dyDescent="0.15">
      <c r="T359" s="16" t="str">
        <f t="shared" si="18"/>
        <v/>
      </c>
    </row>
    <row r="360" spans="20:20" x14ac:dyDescent="0.15">
      <c r="T360" s="16" t="str">
        <f t="shared" si="18"/>
        <v/>
      </c>
    </row>
    <row r="361" spans="20:20" x14ac:dyDescent="0.15">
      <c r="T361" s="16" t="str">
        <f t="shared" si="18"/>
        <v/>
      </c>
    </row>
    <row r="362" spans="20:20" x14ac:dyDescent="0.15">
      <c r="T362" s="16" t="str">
        <f t="shared" si="18"/>
        <v/>
      </c>
    </row>
    <row r="363" spans="20:20" x14ac:dyDescent="0.15">
      <c r="T363" s="16" t="str">
        <f t="shared" si="18"/>
        <v/>
      </c>
    </row>
  </sheetData>
  <autoFilter ref="A1:BA363" xr:uid="{00000000-0009-0000-0000-000001000000}"/>
  <phoneticPr fontId="3"/>
  <dataValidations count="14">
    <dataValidation type="list" allowBlank="1" showInputMessage="1" showErrorMessage="1" sqref="X2:X319" xr:uid="{954C84D5-BF56-487F-883E-D6590BB9783E}">
      <formula1>$AT$2:$AT$3</formula1>
    </dataValidation>
    <dataValidation type="list" allowBlank="1" showInputMessage="1" showErrorMessage="1" sqref="G2:G319" xr:uid="{33DEEEC1-5D61-453D-97EB-B7D62D20A1BC}">
      <formula1>$AJ$2:$AJ$4</formula1>
    </dataValidation>
    <dataValidation type="list" allowBlank="1" showInputMessage="1" showErrorMessage="1" sqref="F1:F65473" xr:uid="{D196927C-29B7-4F14-8B6F-CE409607A005}">
      <formula1>$AH$2:$AH$11</formula1>
    </dataValidation>
    <dataValidation type="decimal" allowBlank="1" showInputMessage="1" showErrorMessage="1" error="硬度を正しく入力して下さい。" sqref="O2:P319" xr:uid="{AF3F9997-FA81-4B61-AF9D-FAFE2ABCF071}">
      <formula1>0</formula1>
      <formula2>7</formula2>
    </dataValidation>
    <dataValidation type="list" allowBlank="1" showInputMessage="1" showErrorMessage="1" sqref="I2:I319" xr:uid="{6AF6AB97-2A65-4F46-8EA1-46E927283F28}">
      <formula1>$AN$5:$AN$6</formula1>
    </dataValidation>
    <dataValidation type="list" allowBlank="1" showInputMessage="1" showErrorMessage="1" sqref="H2:H319" xr:uid="{4401324C-1917-4EA6-AF3C-E5B7D6DDE76D}">
      <formula1>$AL$2:$AL$8</formula1>
    </dataValidation>
    <dataValidation type="list" allowBlank="1" showInputMessage="1" showErrorMessage="1" sqref="E1:E65473" xr:uid="{E77FE5C8-6E25-4BA3-BC83-516A8E9859D1}">
      <formula1>$AG$2:$AG$11</formula1>
    </dataValidation>
    <dataValidation type="list" allowBlank="1" showInputMessage="1" showErrorMessage="1" sqref="J2:J319" xr:uid="{A2B4500A-5824-4A8C-8F78-C4FEA1493B8A}">
      <formula1>$AP$2:$AP$19</formula1>
    </dataValidation>
    <dataValidation allowBlank="1" showInputMessage="1" showErrorMessage="1" sqref="B2:B130" xr:uid="{949DD400-D740-4EA1-82AE-E98C1D89CB8C}"/>
    <dataValidation type="list" allowBlank="1" showInputMessage="1" showErrorMessage="1" sqref="Y2:AA130" xr:uid="{F44580E5-D8C3-4BF7-903C-F542332ED899}">
      <formula1>$AV$2:$AV$23</formula1>
    </dataValidation>
    <dataValidation type="list" allowBlank="1" showInputMessage="1" showErrorMessage="1" sqref="K2:K135" xr:uid="{4017CCC1-D172-463E-A247-1F34E58D5584}">
      <formula1>$AR$2:$AR$23</formula1>
    </dataValidation>
    <dataValidation type="list" allowBlank="1" showInputMessage="1" showErrorMessage="1" sqref="A2:A319" xr:uid="{77434BC4-8ABE-4260-A84F-3A40E3EB1F7F}">
      <formula1>$AE$2:$AE$16</formula1>
    </dataValidation>
    <dataValidation type="list" allowBlank="1" showInputMessage="1" showErrorMessage="1" sqref="Y131:AA319" xr:uid="{05C314EA-435D-4B8B-8110-6EAA0B824BDE}">
      <formula1>$AV$2:$AV$16</formula1>
    </dataValidation>
    <dataValidation type="list" allowBlank="1" showInputMessage="1" showErrorMessage="1" sqref="K136:K319" xr:uid="{E2D434A4-9E32-40AA-AABE-E7654A3E9EBD}">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FBEE-CAE9-4B90-8AB1-04EFFA363F95}">
  <dimension ref="A1:BA82"/>
  <sheetViews>
    <sheetView zoomScale="85" zoomScaleNormal="85" workbookViewId="0">
      <selection activeCell="D2" sqref="D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175" t="s">
        <v>0</v>
      </c>
      <c r="B1" s="55" t="s">
        <v>1</v>
      </c>
      <c r="C1" s="55" t="s">
        <v>2</v>
      </c>
      <c r="D1" s="56" t="s">
        <v>3</v>
      </c>
      <c r="E1" s="176" t="s">
        <v>4</v>
      </c>
      <c r="F1" s="176" t="s">
        <v>5</v>
      </c>
      <c r="G1" s="176" t="s">
        <v>6</v>
      </c>
      <c r="H1" s="176" t="s">
        <v>7</v>
      </c>
      <c r="I1" s="176" t="s">
        <v>8</v>
      </c>
      <c r="J1" s="176" t="s">
        <v>9</v>
      </c>
      <c r="K1" s="176" t="s">
        <v>10</v>
      </c>
      <c r="L1" s="56" t="s">
        <v>11</v>
      </c>
      <c r="M1" s="56" t="s">
        <v>12</v>
      </c>
      <c r="N1" s="56" t="s">
        <v>13</v>
      </c>
      <c r="O1" s="56" t="s">
        <v>14</v>
      </c>
      <c r="P1" s="56" t="s">
        <v>15</v>
      </c>
      <c r="Q1" s="3" t="s">
        <v>16</v>
      </c>
      <c r="R1" s="56" t="s">
        <v>17</v>
      </c>
      <c r="S1" s="56" t="s">
        <v>18</v>
      </c>
      <c r="T1" s="3" t="s">
        <v>19</v>
      </c>
      <c r="U1" s="58" t="s">
        <v>108</v>
      </c>
      <c r="V1" s="5" t="s">
        <v>20</v>
      </c>
      <c r="W1" s="56" t="s">
        <v>21</v>
      </c>
      <c r="X1" s="176" t="s">
        <v>22</v>
      </c>
      <c r="Y1" s="176" t="s">
        <v>23</v>
      </c>
      <c r="Z1" s="176" t="s">
        <v>24</v>
      </c>
      <c r="AA1" s="177" t="s">
        <v>25</v>
      </c>
      <c r="AB1" s="13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257</v>
      </c>
      <c r="C2" s="53">
        <v>2019</v>
      </c>
      <c r="D2" s="178" t="s">
        <v>367</v>
      </c>
      <c r="E2" s="53" t="s">
        <v>368</v>
      </c>
      <c r="F2" s="53" t="s">
        <v>369</v>
      </c>
      <c r="G2" s="53" t="s">
        <v>42</v>
      </c>
      <c r="H2" s="53" t="s">
        <v>164</v>
      </c>
      <c r="I2" s="53" t="s">
        <v>198</v>
      </c>
      <c r="J2" s="53" t="s">
        <v>38</v>
      </c>
      <c r="K2" s="53" t="s">
        <v>161</v>
      </c>
      <c r="L2" s="53">
        <v>1</v>
      </c>
      <c r="N2" s="53">
        <v>5</v>
      </c>
      <c r="O2" s="53">
        <v>0.8</v>
      </c>
      <c r="P2" s="53">
        <v>0.75</v>
      </c>
      <c r="Q2" s="75">
        <f t="shared" ref="Q2:Q58" si="0">IF(OR(O2="",P2=""),"",AVERAGE(O2,P2))</f>
        <v>0.77500000000000002</v>
      </c>
      <c r="R2" s="53">
        <v>15.2</v>
      </c>
      <c r="S2" s="53">
        <v>105</v>
      </c>
      <c r="T2" s="16">
        <f t="shared" ref="T2:T58" si="1">IF(H2="","",IF(OR(H2="GREEN",H2="GK"),IF(S2&gt;=$AX$2,VLOOKUP(S2,$AX$2:$AY$10,2,1),""),IF(S2&gt;=$AZ$2,VLOOKUP(S2,$AZ$2:$BA$10,2,1),"")))</f>
        <v>33</v>
      </c>
      <c r="U2" s="53">
        <v>539</v>
      </c>
      <c r="V2" s="16">
        <f t="shared" ref="V2:V58" si="2">IF(OR(N2="",U2="",T2=""),"",U2/N2*T2)</f>
        <v>3557.4</v>
      </c>
      <c r="W2" s="53">
        <v>2</v>
      </c>
      <c r="X2" s="53" t="s">
        <v>46</v>
      </c>
      <c r="Y2" s="53" t="s">
        <v>78</v>
      </c>
      <c r="Z2" s="53" t="s">
        <v>102</v>
      </c>
      <c r="AA2" s="53" t="s">
        <v>97</v>
      </c>
      <c r="AB2" s="53" t="s">
        <v>261</v>
      </c>
      <c r="AE2" s="64" t="s">
        <v>35</v>
      </c>
      <c r="AG2" s="23" t="s">
        <v>370</v>
      </c>
      <c r="AH2" s="179" t="s">
        <v>371</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257</v>
      </c>
      <c r="C3" s="53">
        <v>2019</v>
      </c>
      <c r="D3" s="178" t="s">
        <v>367</v>
      </c>
      <c r="E3" s="53" t="s">
        <v>368</v>
      </c>
      <c r="F3" s="53" t="s">
        <v>369</v>
      </c>
      <c r="G3" s="53" t="s">
        <v>42</v>
      </c>
      <c r="H3" s="53" t="s">
        <v>164</v>
      </c>
      <c r="I3" s="53" t="s">
        <v>198</v>
      </c>
      <c r="J3" s="53" t="s">
        <v>38</v>
      </c>
      <c r="K3" s="53" t="s">
        <v>161</v>
      </c>
      <c r="L3" s="53">
        <v>2</v>
      </c>
      <c r="N3" s="53">
        <v>5</v>
      </c>
      <c r="O3" s="53">
        <v>0.6</v>
      </c>
      <c r="P3" s="53">
        <v>0.65</v>
      </c>
      <c r="Q3" s="75">
        <f t="shared" si="0"/>
        <v>0.625</v>
      </c>
      <c r="R3" s="53">
        <v>14.9</v>
      </c>
      <c r="S3" s="53">
        <v>97</v>
      </c>
      <c r="T3" s="16">
        <f t="shared" si="1"/>
        <v>36</v>
      </c>
      <c r="U3" s="53">
        <v>539</v>
      </c>
      <c r="V3" s="16">
        <f t="shared" si="2"/>
        <v>3880.7999999999997</v>
      </c>
      <c r="W3" s="53">
        <v>2</v>
      </c>
      <c r="X3" s="53" t="s">
        <v>46</v>
      </c>
      <c r="Y3" s="53" t="s">
        <v>78</v>
      </c>
      <c r="Z3" s="53" t="s">
        <v>102</v>
      </c>
      <c r="AA3" s="53" t="s">
        <v>97</v>
      </c>
      <c r="AB3" s="53" t="s">
        <v>261</v>
      </c>
      <c r="AE3" s="22" t="s">
        <v>41</v>
      </c>
      <c r="AG3" s="23" t="s">
        <v>372</v>
      </c>
      <c r="AH3" s="179" t="s">
        <v>369</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257</v>
      </c>
      <c r="C4" s="53">
        <v>2019</v>
      </c>
      <c r="D4" s="178" t="s">
        <v>367</v>
      </c>
      <c r="E4" s="53" t="s">
        <v>368</v>
      </c>
      <c r="F4" s="53" t="s">
        <v>369</v>
      </c>
      <c r="G4" s="53" t="s">
        <v>42</v>
      </c>
      <c r="H4" s="53" t="s">
        <v>164</v>
      </c>
      <c r="I4" s="53" t="s">
        <v>198</v>
      </c>
      <c r="J4" s="53" t="s">
        <v>38</v>
      </c>
      <c r="K4" s="53" t="s">
        <v>161</v>
      </c>
      <c r="L4" s="53">
        <v>3</v>
      </c>
      <c r="N4" s="53">
        <v>5</v>
      </c>
      <c r="O4" s="53">
        <v>0.65</v>
      </c>
      <c r="P4" s="53">
        <v>0.6</v>
      </c>
      <c r="Q4" s="75">
        <f t="shared" si="0"/>
        <v>0.625</v>
      </c>
      <c r="R4" s="53">
        <v>13.7</v>
      </c>
      <c r="S4" s="53">
        <v>101</v>
      </c>
      <c r="T4" s="16">
        <f t="shared" si="1"/>
        <v>33</v>
      </c>
      <c r="U4" s="53">
        <v>539</v>
      </c>
      <c r="V4" s="16">
        <f t="shared" si="2"/>
        <v>3557.4</v>
      </c>
      <c r="W4" s="53">
        <v>2</v>
      </c>
      <c r="X4" s="53" t="s">
        <v>46</v>
      </c>
      <c r="Y4" s="53" t="s">
        <v>78</v>
      </c>
      <c r="Z4" s="53" t="s">
        <v>102</v>
      </c>
      <c r="AA4" s="53" t="s">
        <v>97</v>
      </c>
      <c r="AB4" s="53" t="s">
        <v>261</v>
      </c>
      <c r="AE4" s="22" t="s">
        <v>34</v>
      </c>
      <c r="AG4" s="23" t="s">
        <v>373</v>
      </c>
      <c r="AH4" s="179" t="s">
        <v>374</v>
      </c>
      <c r="AJ4" s="27" t="s">
        <v>48</v>
      </c>
      <c r="AL4" s="27" t="s">
        <v>375</v>
      </c>
      <c r="AN4" s="28" t="s">
        <v>49</v>
      </c>
      <c r="AP4" s="23" t="s">
        <v>93</v>
      </c>
      <c r="AR4" s="23" t="s">
        <v>121</v>
      </c>
      <c r="AT4" s="28"/>
      <c r="AV4" s="23" t="s">
        <v>50</v>
      </c>
      <c r="AX4" s="24">
        <v>75</v>
      </c>
      <c r="AY4" s="25">
        <v>42</v>
      </c>
      <c r="AZ4" s="25">
        <v>76</v>
      </c>
      <c r="BA4" s="26">
        <v>39</v>
      </c>
    </row>
    <row r="5" spans="1:53" x14ac:dyDescent="0.15">
      <c r="A5" s="53" t="s">
        <v>56</v>
      </c>
      <c r="B5" s="53" t="s">
        <v>257</v>
      </c>
      <c r="C5" s="53">
        <v>2019</v>
      </c>
      <c r="D5" s="178" t="s">
        <v>367</v>
      </c>
      <c r="E5" s="53" t="s">
        <v>368</v>
      </c>
      <c r="F5" s="53" t="s">
        <v>369</v>
      </c>
      <c r="G5" s="53" t="s">
        <v>42</v>
      </c>
      <c r="H5" s="53" t="s">
        <v>160</v>
      </c>
      <c r="I5" s="53" t="s">
        <v>198</v>
      </c>
      <c r="J5" s="53" t="s">
        <v>38</v>
      </c>
      <c r="K5" s="53" t="s">
        <v>161</v>
      </c>
      <c r="L5" s="53">
        <v>1</v>
      </c>
      <c r="N5" s="53">
        <v>1</v>
      </c>
      <c r="O5" s="53">
        <v>0.5</v>
      </c>
      <c r="P5" s="53">
        <v>0.55000000000000004</v>
      </c>
      <c r="Q5" s="75">
        <f t="shared" si="0"/>
        <v>0.52500000000000002</v>
      </c>
      <c r="R5" s="53">
        <v>15.5</v>
      </c>
      <c r="S5" s="53">
        <v>140</v>
      </c>
      <c r="T5" s="16">
        <f t="shared" si="1"/>
        <v>22</v>
      </c>
      <c r="U5" s="53">
        <v>183</v>
      </c>
      <c r="V5" s="16">
        <f t="shared" si="2"/>
        <v>4026</v>
      </c>
      <c r="W5" s="53">
        <v>4</v>
      </c>
      <c r="X5" s="53" t="s">
        <v>46</v>
      </c>
      <c r="Y5" s="53" t="s">
        <v>78</v>
      </c>
      <c r="Z5" s="53" t="s">
        <v>102</v>
      </c>
      <c r="AA5" s="53" t="s">
        <v>97</v>
      </c>
      <c r="AB5" s="53" t="s">
        <v>261</v>
      </c>
      <c r="AE5" s="22" t="s">
        <v>51</v>
      </c>
      <c r="AG5" s="23" t="s">
        <v>376</v>
      </c>
      <c r="AH5" s="179" t="s">
        <v>377</v>
      </c>
      <c r="AJ5" s="28"/>
      <c r="AL5" s="73" t="s">
        <v>66</v>
      </c>
      <c r="AN5" s="73" t="s">
        <v>52</v>
      </c>
      <c r="AP5" s="23" t="s">
        <v>305</v>
      </c>
      <c r="AR5" s="23" t="s">
        <v>54</v>
      </c>
      <c r="AV5" s="23" t="s">
        <v>55</v>
      </c>
      <c r="AX5" s="24">
        <v>84</v>
      </c>
      <c r="AY5" s="25">
        <v>39</v>
      </c>
      <c r="AZ5" s="25">
        <v>84</v>
      </c>
      <c r="BA5" s="26">
        <v>36</v>
      </c>
    </row>
    <row r="6" spans="1:53" x14ac:dyDescent="0.15">
      <c r="A6" s="53" t="s">
        <v>56</v>
      </c>
      <c r="B6" s="53" t="s">
        <v>257</v>
      </c>
      <c r="C6" s="53">
        <v>2019</v>
      </c>
      <c r="D6" s="178" t="s">
        <v>367</v>
      </c>
      <c r="E6" s="53" t="s">
        <v>368</v>
      </c>
      <c r="F6" s="53" t="s">
        <v>369</v>
      </c>
      <c r="G6" s="53" t="s">
        <v>42</v>
      </c>
      <c r="H6" s="53" t="s">
        <v>160</v>
      </c>
      <c r="I6" s="53" t="s">
        <v>198</v>
      </c>
      <c r="J6" s="53" t="s">
        <v>38</v>
      </c>
      <c r="K6" s="53" t="s">
        <v>161</v>
      </c>
      <c r="L6" s="53">
        <v>2</v>
      </c>
      <c r="N6" s="53">
        <v>1</v>
      </c>
      <c r="O6" s="53">
        <v>0.55000000000000004</v>
      </c>
      <c r="P6" s="53">
        <v>0.55000000000000004</v>
      </c>
      <c r="Q6" s="75">
        <f t="shared" si="0"/>
        <v>0.55000000000000004</v>
      </c>
      <c r="R6" s="53">
        <v>15</v>
      </c>
      <c r="S6" s="53">
        <v>140</v>
      </c>
      <c r="T6" s="16">
        <f t="shared" si="1"/>
        <v>22</v>
      </c>
      <c r="U6" s="53">
        <v>183</v>
      </c>
      <c r="V6" s="16">
        <f t="shared" si="2"/>
        <v>4026</v>
      </c>
      <c r="W6" s="53">
        <v>4</v>
      </c>
      <c r="X6" s="53" t="s">
        <v>46</v>
      </c>
      <c r="Y6" s="53" t="s">
        <v>78</v>
      </c>
      <c r="Z6" s="53" t="s">
        <v>102</v>
      </c>
      <c r="AA6" s="53" t="s">
        <v>97</v>
      </c>
      <c r="AB6" s="53" t="s">
        <v>261</v>
      </c>
      <c r="AE6" s="22" t="s">
        <v>56</v>
      </c>
      <c r="AG6" s="23" t="s">
        <v>378</v>
      </c>
      <c r="AH6" s="179" t="s">
        <v>377</v>
      </c>
      <c r="AL6" s="73" t="s">
        <v>99</v>
      </c>
      <c r="AN6" s="73" t="s">
        <v>57</v>
      </c>
      <c r="AP6" s="23" t="s">
        <v>53</v>
      </c>
      <c r="AR6" s="23" t="s">
        <v>59</v>
      </c>
      <c r="AV6" s="23" t="s">
        <v>60</v>
      </c>
      <c r="AX6" s="24">
        <v>97</v>
      </c>
      <c r="AY6" s="25">
        <v>36</v>
      </c>
      <c r="AZ6" s="25">
        <v>99</v>
      </c>
      <c r="BA6" s="26">
        <v>33</v>
      </c>
    </row>
    <row r="7" spans="1:53" x14ac:dyDescent="0.15">
      <c r="A7" s="53" t="s">
        <v>56</v>
      </c>
      <c r="B7" s="53" t="s">
        <v>257</v>
      </c>
      <c r="C7" s="53">
        <v>2019</v>
      </c>
      <c r="D7" s="178" t="s">
        <v>367</v>
      </c>
      <c r="E7" s="53" t="s">
        <v>368</v>
      </c>
      <c r="F7" s="53" t="s">
        <v>369</v>
      </c>
      <c r="G7" s="53" t="s">
        <v>42</v>
      </c>
      <c r="H7" s="53" t="s">
        <v>160</v>
      </c>
      <c r="I7" s="53" t="s">
        <v>198</v>
      </c>
      <c r="J7" s="53" t="s">
        <v>38</v>
      </c>
      <c r="K7" s="53" t="s">
        <v>161</v>
      </c>
      <c r="L7" s="53">
        <v>3</v>
      </c>
      <c r="N7" s="53">
        <v>1</v>
      </c>
      <c r="O7" s="53">
        <v>0.55000000000000004</v>
      </c>
      <c r="P7" s="53">
        <v>0.55000000000000004</v>
      </c>
      <c r="Q7" s="75">
        <f t="shared" si="0"/>
        <v>0.55000000000000004</v>
      </c>
      <c r="R7" s="53">
        <v>16.5</v>
      </c>
      <c r="S7" s="53">
        <v>144</v>
      </c>
      <c r="T7" s="16">
        <f t="shared" si="1"/>
        <v>22</v>
      </c>
      <c r="U7" s="53">
        <v>183</v>
      </c>
      <c r="V7" s="16">
        <f t="shared" si="2"/>
        <v>4026</v>
      </c>
      <c r="W7" s="53">
        <v>4</v>
      </c>
      <c r="X7" s="53" t="s">
        <v>46</v>
      </c>
      <c r="Y7" s="53" t="s">
        <v>78</v>
      </c>
      <c r="Z7" s="53" t="s">
        <v>102</v>
      </c>
      <c r="AA7" s="53" t="s">
        <v>97</v>
      </c>
      <c r="AB7" s="53" t="s">
        <v>261</v>
      </c>
      <c r="AE7" s="22" t="s">
        <v>61</v>
      </c>
      <c r="AG7" s="23" t="s">
        <v>379</v>
      </c>
      <c r="AH7" s="179" t="s">
        <v>380</v>
      </c>
      <c r="AL7" s="135" t="s">
        <v>109</v>
      </c>
      <c r="AP7" s="23" t="s">
        <v>58</v>
      </c>
      <c r="AR7" s="23" t="s">
        <v>122</v>
      </c>
      <c r="AV7" s="23" t="s">
        <v>64</v>
      </c>
      <c r="AX7" s="24">
        <v>109</v>
      </c>
      <c r="AY7" s="25">
        <v>33</v>
      </c>
      <c r="AZ7" s="25">
        <v>113</v>
      </c>
      <c r="BA7" s="26">
        <v>30</v>
      </c>
    </row>
    <row r="8" spans="1:53" x14ac:dyDescent="0.15">
      <c r="A8" s="53" t="s">
        <v>56</v>
      </c>
      <c r="B8" s="53" t="s">
        <v>257</v>
      </c>
      <c r="C8" s="53">
        <v>2019</v>
      </c>
      <c r="D8" s="178" t="s">
        <v>367</v>
      </c>
      <c r="E8" s="53" t="s">
        <v>381</v>
      </c>
      <c r="F8" s="53" t="s">
        <v>369</v>
      </c>
      <c r="G8" s="53" t="s">
        <v>42</v>
      </c>
      <c r="H8" s="53" t="s">
        <v>164</v>
      </c>
      <c r="I8" s="53" t="s">
        <v>159</v>
      </c>
      <c r="J8" s="53" t="s">
        <v>38</v>
      </c>
      <c r="K8" s="53" t="s">
        <v>161</v>
      </c>
      <c r="L8" s="53">
        <v>1</v>
      </c>
      <c r="N8" s="53">
        <v>8</v>
      </c>
      <c r="O8" s="53">
        <v>0.7</v>
      </c>
      <c r="P8" s="53">
        <v>0.7</v>
      </c>
      <c r="Q8" s="75">
        <f t="shared" si="0"/>
        <v>0.7</v>
      </c>
      <c r="R8" s="53">
        <v>14.6</v>
      </c>
      <c r="S8" s="53">
        <v>111</v>
      </c>
      <c r="T8" s="16">
        <f t="shared" si="1"/>
        <v>33</v>
      </c>
      <c r="U8" s="53">
        <v>538</v>
      </c>
      <c r="V8" s="16">
        <f t="shared" si="2"/>
        <v>2219.25</v>
      </c>
      <c r="W8" s="53">
        <v>4</v>
      </c>
      <c r="X8" s="53" t="s">
        <v>46</v>
      </c>
      <c r="Y8" s="53" t="s">
        <v>102</v>
      </c>
      <c r="Z8" s="53" t="s">
        <v>78</v>
      </c>
      <c r="AA8" s="53" t="s">
        <v>55</v>
      </c>
      <c r="AB8" s="53" t="s">
        <v>261</v>
      </c>
      <c r="AE8" s="22" t="s">
        <v>59</v>
      </c>
      <c r="AG8" s="23" t="s">
        <v>382</v>
      </c>
      <c r="AH8" s="179" t="s">
        <v>380</v>
      </c>
      <c r="AL8" s="135" t="s">
        <v>134</v>
      </c>
      <c r="AP8" s="23" t="s">
        <v>62</v>
      </c>
      <c r="AR8" s="23" t="s">
        <v>81</v>
      </c>
      <c r="AV8" s="23" t="s">
        <v>97</v>
      </c>
      <c r="AX8" s="24">
        <v>119</v>
      </c>
      <c r="AY8" s="25">
        <v>30</v>
      </c>
      <c r="AZ8" s="25">
        <v>121</v>
      </c>
      <c r="BA8" s="26">
        <v>27</v>
      </c>
    </row>
    <row r="9" spans="1:53" x14ac:dyDescent="0.15">
      <c r="A9" s="53" t="s">
        <v>56</v>
      </c>
      <c r="B9" s="53" t="s">
        <v>257</v>
      </c>
      <c r="C9" s="53">
        <v>2019</v>
      </c>
      <c r="D9" s="178" t="s">
        <v>367</v>
      </c>
      <c r="E9" s="53" t="s">
        <v>381</v>
      </c>
      <c r="F9" s="53" t="s">
        <v>369</v>
      </c>
      <c r="G9" s="53" t="s">
        <v>42</v>
      </c>
      <c r="H9" s="53" t="s">
        <v>164</v>
      </c>
      <c r="I9" s="53" t="s">
        <v>159</v>
      </c>
      <c r="J9" s="53" t="s">
        <v>38</v>
      </c>
      <c r="K9" s="53" t="s">
        <v>161</v>
      </c>
      <c r="L9" s="53">
        <v>2</v>
      </c>
      <c r="N9" s="53">
        <v>8</v>
      </c>
      <c r="O9" s="53">
        <v>0.65</v>
      </c>
      <c r="P9" s="53">
        <v>0.7</v>
      </c>
      <c r="Q9" s="75">
        <f t="shared" si="0"/>
        <v>0.67500000000000004</v>
      </c>
      <c r="R9" s="53">
        <v>15.4</v>
      </c>
      <c r="S9" s="53">
        <v>104</v>
      </c>
      <c r="T9" s="16">
        <f t="shared" si="1"/>
        <v>33</v>
      </c>
      <c r="U9" s="53">
        <v>538</v>
      </c>
      <c r="V9" s="16">
        <f t="shared" si="2"/>
        <v>2219.25</v>
      </c>
      <c r="W9" s="53">
        <v>4</v>
      </c>
      <c r="X9" s="53" t="s">
        <v>46</v>
      </c>
      <c r="Y9" s="53" t="s">
        <v>102</v>
      </c>
      <c r="Z9" s="53" t="s">
        <v>78</v>
      </c>
      <c r="AA9" s="53" t="s">
        <v>55</v>
      </c>
      <c r="AB9" s="53" t="s">
        <v>261</v>
      </c>
      <c r="AE9" s="22" t="s">
        <v>98</v>
      </c>
      <c r="AG9" s="23" t="s">
        <v>368</v>
      </c>
      <c r="AH9" s="23" t="s">
        <v>369</v>
      </c>
      <c r="AL9" s="73"/>
      <c r="AP9" s="23" t="s">
        <v>95</v>
      </c>
      <c r="AR9" s="23" t="s">
        <v>89</v>
      </c>
      <c r="AV9" s="23" t="s">
        <v>102</v>
      </c>
      <c r="AX9" s="24">
        <v>128</v>
      </c>
      <c r="AY9" s="25">
        <v>27</v>
      </c>
      <c r="AZ9" s="25">
        <v>129</v>
      </c>
      <c r="BA9" s="26">
        <v>25</v>
      </c>
    </row>
    <row r="10" spans="1:53" x14ac:dyDescent="0.15">
      <c r="A10" s="53" t="s">
        <v>56</v>
      </c>
      <c r="B10" s="53" t="s">
        <v>257</v>
      </c>
      <c r="C10" s="53">
        <v>2019</v>
      </c>
      <c r="D10" s="178" t="s">
        <v>367</v>
      </c>
      <c r="E10" s="53" t="s">
        <v>381</v>
      </c>
      <c r="F10" s="53" t="s">
        <v>369</v>
      </c>
      <c r="G10" s="53" t="s">
        <v>42</v>
      </c>
      <c r="H10" s="53" t="s">
        <v>164</v>
      </c>
      <c r="I10" s="53" t="s">
        <v>159</v>
      </c>
      <c r="J10" s="53" t="s">
        <v>38</v>
      </c>
      <c r="K10" s="53" t="s">
        <v>161</v>
      </c>
      <c r="L10" s="53">
        <v>3</v>
      </c>
      <c r="N10" s="53">
        <v>8</v>
      </c>
      <c r="O10" s="53">
        <v>0.6</v>
      </c>
      <c r="P10" s="53">
        <v>0.6</v>
      </c>
      <c r="Q10" s="75">
        <f t="shared" si="0"/>
        <v>0.6</v>
      </c>
      <c r="R10" s="53">
        <v>15.5</v>
      </c>
      <c r="S10" s="53">
        <v>104</v>
      </c>
      <c r="T10" s="16">
        <f t="shared" si="1"/>
        <v>33</v>
      </c>
      <c r="U10" s="53">
        <v>538</v>
      </c>
      <c r="V10" s="16">
        <f t="shared" si="2"/>
        <v>2219.25</v>
      </c>
      <c r="W10" s="53">
        <v>4</v>
      </c>
      <c r="X10" s="53" t="s">
        <v>46</v>
      </c>
      <c r="Y10" s="53" t="s">
        <v>102</v>
      </c>
      <c r="Z10" s="53" t="s">
        <v>78</v>
      </c>
      <c r="AA10" s="53" t="s">
        <v>55</v>
      </c>
      <c r="AB10" s="53" t="s">
        <v>261</v>
      </c>
      <c r="AE10" s="22" t="s">
        <v>103</v>
      </c>
      <c r="AG10" s="23" t="s">
        <v>379</v>
      </c>
      <c r="AH10" s="179" t="s">
        <v>377</v>
      </c>
      <c r="AL10" s="135"/>
      <c r="AP10" s="23" t="s">
        <v>100</v>
      </c>
      <c r="AR10" s="23" t="s">
        <v>123</v>
      </c>
      <c r="AV10" s="23" t="s">
        <v>106</v>
      </c>
      <c r="AX10" s="24">
        <v>138</v>
      </c>
      <c r="AY10" s="25">
        <v>25</v>
      </c>
      <c r="AZ10" s="25">
        <v>138</v>
      </c>
      <c r="BA10" s="26">
        <v>22</v>
      </c>
    </row>
    <row r="11" spans="1:53" x14ac:dyDescent="0.15">
      <c r="A11" s="53" t="s">
        <v>56</v>
      </c>
      <c r="B11" s="53" t="s">
        <v>257</v>
      </c>
      <c r="C11" s="53">
        <v>2019</v>
      </c>
      <c r="D11" s="178" t="s">
        <v>367</v>
      </c>
      <c r="E11" s="53" t="s">
        <v>381</v>
      </c>
      <c r="F11" s="53" t="s">
        <v>369</v>
      </c>
      <c r="G11" s="53" t="s">
        <v>42</v>
      </c>
      <c r="H11" s="53" t="s">
        <v>160</v>
      </c>
      <c r="I11" s="53" t="s">
        <v>159</v>
      </c>
      <c r="J11" s="53" t="s">
        <v>38</v>
      </c>
      <c r="K11" s="53" t="s">
        <v>161</v>
      </c>
      <c r="L11" s="53">
        <v>1</v>
      </c>
      <c r="N11" s="53">
        <v>5</v>
      </c>
      <c r="O11" s="53">
        <v>0.6</v>
      </c>
      <c r="P11" s="53">
        <v>0.6</v>
      </c>
      <c r="Q11" s="75">
        <f t="shared" si="0"/>
        <v>0.6</v>
      </c>
      <c r="R11" s="53">
        <v>15</v>
      </c>
      <c r="S11" s="53">
        <v>106</v>
      </c>
      <c r="T11" s="16">
        <f t="shared" si="1"/>
        <v>33</v>
      </c>
      <c r="U11" s="53">
        <v>538</v>
      </c>
      <c r="V11" s="16">
        <f t="shared" si="2"/>
        <v>3550.7999999999997</v>
      </c>
      <c r="W11" s="53">
        <v>6</v>
      </c>
      <c r="X11" s="53" t="s">
        <v>46</v>
      </c>
      <c r="Y11" s="53" t="s">
        <v>102</v>
      </c>
      <c r="Z11" s="53" t="s">
        <v>78</v>
      </c>
      <c r="AA11" s="53" t="s">
        <v>55</v>
      </c>
      <c r="AB11" s="53" t="s">
        <v>261</v>
      </c>
      <c r="AE11" s="22" t="s">
        <v>65</v>
      </c>
      <c r="AG11" s="23" t="s">
        <v>378</v>
      </c>
      <c r="AH11" s="179" t="s">
        <v>377</v>
      </c>
      <c r="AJ11" s="135"/>
      <c r="AP11" s="23" t="s">
        <v>104</v>
      </c>
      <c r="AR11" s="23" t="s">
        <v>87</v>
      </c>
      <c r="AV11" s="23" t="s">
        <v>69</v>
      </c>
    </row>
    <row r="12" spans="1:53" x14ac:dyDescent="0.15">
      <c r="A12" s="53" t="s">
        <v>56</v>
      </c>
      <c r="B12" s="53" t="s">
        <v>257</v>
      </c>
      <c r="C12" s="53">
        <v>2019</v>
      </c>
      <c r="D12" s="178" t="s">
        <v>367</v>
      </c>
      <c r="E12" s="53" t="s">
        <v>381</v>
      </c>
      <c r="F12" s="53" t="s">
        <v>369</v>
      </c>
      <c r="G12" s="53" t="s">
        <v>42</v>
      </c>
      <c r="H12" s="53" t="s">
        <v>160</v>
      </c>
      <c r="I12" s="53" t="s">
        <v>159</v>
      </c>
      <c r="J12" s="53" t="s">
        <v>38</v>
      </c>
      <c r="K12" s="53" t="s">
        <v>161</v>
      </c>
      <c r="L12" s="53">
        <v>2</v>
      </c>
      <c r="N12" s="53">
        <v>5</v>
      </c>
      <c r="O12" s="53">
        <v>0.55000000000000004</v>
      </c>
      <c r="P12" s="53">
        <v>0.55000000000000004</v>
      </c>
      <c r="Q12" s="75">
        <f t="shared" si="0"/>
        <v>0.55000000000000004</v>
      </c>
      <c r="R12" s="53">
        <v>15.4</v>
      </c>
      <c r="S12" s="53">
        <v>113</v>
      </c>
      <c r="T12" s="16">
        <f t="shared" si="1"/>
        <v>30</v>
      </c>
      <c r="U12" s="53">
        <v>538</v>
      </c>
      <c r="V12" s="16">
        <f t="shared" si="2"/>
        <v>3228</v>
      </c>
      <c r="W12" s="53">
        <v>6</v>
      </c>
      <c r="X12" s="53" t="s">
        <v>46</v>
      </c>
      <c r="Y12" s="53" t="s">
        <v>102</v>
      </c>
      <c r="Z12" s="53" t="s">
        <v>78</v>
      </c>
      <c r="AA12" s="53" t="s">
        <v>55</v>
      </c>
      <c r="AB12" s="53" t="s">
        <v>261</v>
      </c>
      <c r="AE12" s="22" t="s">
        <v>70</v>
      </c>
      <c r="AG12" s="23" t="s">
        <v>372</v>
      </c>
      <c r="AH12" s="179" t="s">
        <v>377</v>
      </c>
      <c r="AJ12" s="135"/>
      <c r="AP12" s="23" t="s">
        <v>67</v>
      </c>
      <c r="AR12" s="23" t="s">
        <v>124</v>
      </c>
      <c r="AV12" s="23" t="s">
        <v>72</v>
      </c>
    </row>
    <row r="13" spans="1:53" x14ac:dyDescent="0.15">
      <c r="A13" s="53" t="s">
        <v>56</v>
      </c>
      <c r="B13" s="53" t="s">
        <v>257</v>
      </c>
      <c r="C13" s="53">
        <v>2019</v>
      </c>
      <c r="D13" s="178" t="s">
        <v>367</v>
      </c>
      <c r="E13" s="53" t="s">
        <v>381</v>
      </c>
      <c r="F13" s="53" t="s">
        <v>369</v>
      </c>
      <c r="G13" s="53" t="s">
        <v>42</v>
      </c>
      <c r="H13" s="53" t="s">
        <v>160</v>
      </c>
      <c r="I13" s="53" t="s">
        <v>159</v>
      </c>
      <c r="J13" s="53" t="s">
        <v>38</v>
      </c>
      <c r="K13" s="53" t="s">
        <v>161</v>
      </c>
      <c r="L13" s="53">
        <v>3</v>
      </c>
      <c r="N13" s="53">
        <v>5</v>
      </c>
      <c r="O13" s="53">
        <v>0.6</v>
      </c>
      <c r="P13" s="53">
        <v>0.6</v>
      </c>
      <c r="Q13" s="75">
        <f t="shared" si="0"/>
        <v>0.6</v>
      </c>
      <c r="R13" s="53">
        <v>15.9</v>
      </c>
      <c r="S13" s="53">
        <v>104</v>
      </c>
      <c r="T13" s="16">
        <f t="shared" si="1"/>
        <v>33</v>
      </c>
      <c r="U13" s="53">
        <v>538</v>
      </c>
      <c r="V13" s="16">
        <f t="shared" si="2"/>
        <v>3550.7999999999997</v>
      </c>
      <c r="W13" s="53">
        <v>6</v>
      </c>
      <c r="X13" s="53" t="s">
        <v>46</v>
      </c>
      <c r="Y13" s="53" t="s">
        <v>102</v>
      </c>
      <c r="Z13" s="53" t="s">
        <v>78</v>
      </c>
      <c r="AA13" s="53" t="s">
        <v>55</v>
      </c>
      <c r="AB13" s="53" t="s">
        <v>261</v>
      </c>
      <c r="AE13" s="22" t="s">
        <v>73</v>
      </c>
      <c r="AP13" s="23" t="s">
        <v>71</v>
      </c>
      <c r="AR13" s="23" t="s">
        <v>103</v>
      </c>
      <c r="AV13" s="23" t="s">
        <v>75</v>
      </c>
    </row>
    <row r="14" spans="1:53" x14ac:dyDescent="0.15">
      <c r="A14" s="53" t="s">
        <v>56</v>
      </c>
      <c r="B14" s="53" t="s">
        <v>257</v>
      </c>
      <c r="C14" s="53">
        <v>2019</v>
      </c>
      <c r="D14" s="178" t="s">
        <v>367</v>
      </c>
      <c r="E14" s="53" t="s">
        <v>162</v>
      </c>
      <c r="F14" s="53" t="s">
        <v>383</v>
      </c>
      <c r="G14" s="53" t="s">
        <v>42</v>
      </c>
      <c r="H14" s="53" t="s">
        <v>164</v>
      </c>
      <c r="I14" s="53" t="s">
        <v>159</v>
      </c>
      <c r="J14" s="53" t="s">
        <v>38</v>
      </c>
      <c r="K14" s="53" t="s">
        <v>161</v>
      </c>
      <c r="L14" s="53">
        <v>1</v>
      </c>
      <c r="N14" s="53">
        <v>1</v>
      </c>
      <c r="O14" s="53">
        <v>0.75</v>
      </c>
      <c r="P14" s="53">
        <v>0.75</v>
      </c>
      <c r="Q14" s="75">
        <f t="shared" si="0"/>
        <v>0.75</v>
      </c>
      <c r="R14" s="53">
        <v>14.5</v>
      </c>
      <c r="S14" s="53">
        <v>117</v>
      </c>
      <c r="T14" s="16">
        <f t="shared" si="1"/>
        <v>30</v>
      </c>
      <c r="U14" s="53">
        <v>106</v>
      </c>
      <c r="V14" s="16">
        <f t="shared" si="2"/>
        <v>3180</v>
      </c>
      <c r="W14" s="53">
        <v>2</v>
      </c>
      <c r="X14" s="53" t="s">
        <v>46</v>
      </c>
      <c r="Y14" s="53" t="s">
        <v>102</v>
      </c>
      <c r="Z14" s="53" t="s">
        <v>88</v>
      </c>
      <c r="AA14" s="53" t="s">
        <v>78</v>
      </c>
      <c r="AB14" s="53" t="s">
        <v>261</v>
      </c>
      <c r="AE14" s="22" t="s">
        <v>76</v>
      </c>
      <c r="AP14" s="23" t="s">
        <v>74</v>
      </c>
      <c r="AR14" s="23" t="s">
        <v>125</v>
      </c>
      <c r="AV14" s="23" t="s">
        <v>78</v>
      </c>
    </row>
    <row r="15" spans="1:53" x14ac:dyDescent="0.15">
      <c r="A15" s="53" t="s">
        <v>56</v>
      </c>
      <c r="B15" s="53" t="s">
        <v>257</v>
      </c>
      <c r="C15" s="53">
        <v>2019</v>
      </c>
      <c r="D15" s="178" t="s">
        <v>367</v>
      </c>
      <c r="E15" s="53" t="s">
        <v>162</v>
      </c>
      <c r="F15" s="53" t="s">
        <v>383</v>
      </c>
      <c r="G15" s="53" t="s">
        <v>42</v>
      </c>
      <c r="H15" s="53" t="s">
        <v>164</v>
      </c>
      <c r="I15" s="53" t="s">
        <v>159</v>
      </c>
      <c r="J15" s="53" t="s">
        <v>38</v>
      </c>
      <c r="K15" s="53" t="s">
        <v>161</v>
      </c>
      <c r="L15" s="53">
        <v>2</v>
      </c>
      <c r="N15" s="53">
        <v>1</v>
      </c>
      <c r="O15" s="53">
        <v>0.85</v>
      </c>
      <c r="P15" s="53">
        <v>0.75</v>
      </c>
      <c r="Q15" s="75">
        <f t="shared" si="0"/>
        <v>0.8</v>
      </c>
      <c r="R15" s="53">
        <v>14.4</v>
      </c>
      <c r="S15" s="53">
        <v>115</v>
      </c>
      <c r="T15" s="16">
        <f t="shared" si="1"/>
        <v>30</v>
      </c>
      <c r="U15" s="53">
        <v>106</v>
      </c>
      <c r="V15" s="16">
        <f t="shared" si="2"/>
        <v>3180</v>
      </c>
      <c r="W15" s="53">
        <v>2</v>
      </c>
      <c r="X15" s="53" t="s">
        <v>46</v>
      </c>
      <c r="Y15" s="53" t="s">
        <v>102</v>
      </c>
      <c r="Z15" s="53" t="s">
        <v>88</v>
      </c>
      <c r="AA15" s="53" t="s">
        <v>78</v>
      </c>
      <c r="AB15" s="53" t="s">
        <v>261</v>
      </c>
      <c r="AE15" s="22" t="s">
        <v>79</v>
      </c>
      <c r="AP15" s="23" t="s">
        <v>77</v>
      </c>
      <c r="AR15" s="23" t="s">
        <v>94</v>
      </c>
      <c r="AV15" s="23" t="s">
        <v>107</v>
      </c>
    </row>
    <row r="16" spans="1:53" x14ac:dyDescent="0.15">
      <c r="A16" s="53" t="s">
        <v>56</v>
      </c>
      <c r="B16" s="53" t="s">
        <v>257</v>
      </c>
      <c r="C16" s="53">
        <v>2019</v>
      </c>
      <c r="D16" s="178" t="s">
        <v>367</v>
      </c>
      <c r="E16" s="53" t="s">
        <v>162</v>
      </c>
      <c r="F16" s="53" t="s">
        <v>383</v>
      </c>
      <c r="G16" s="53" t="s">
        <v>42</v>
      </c>
      <c r="H16" s="53" t="s">
        <v>164</v>
      </c>
      <c r="I16" s="53" t="s">
        <v>159</v>
      </c>
      <c r="J16" s="53" t="s">
        <v>38</v>
      </c>
      <c r="K16" s="53" t="s">
        <v>161</v>
      </c>
      <c r="L16" s="53">
        <v>3</v>
      </c>
      <c r="N16" s="53">
        <v>1</v>
      </c>
      <c r="O16" s="53">
        <v>0.65</v>
      </c>
      <c r="P16" s="53">
        <v>0.65</v>
      </c>
      <c r="Q16" s="75">
        <f t="shared" si="0"/>
        <v>0.65</v>
      </c>
      <c r="R16" s="53">
        <v>15.1</v>
      </c>
      <c r="S16" s="53">
        <v>123</v>
      </c>
      <c r="T16" s="16">
        <f t="shared" si="1"/>
        <v>27</v>
      </c>
      <c r="U16" s="53">
        <v>106</v>
      </c>
      <c r="V16" s="16">
        <f t="shared" si="2"/>
        <v>2862</v>
      </c>
      <c r="W16" s="53">
        <v>2</v>
      </c>
      <c r="X16" s="53" t="s">
        <v>46</v>
      </c>
      <c r="Y16" s="53" t="s">
        <v>102</v>
      </c>
      <c r="Z16" s="53" t="s">
        <v>88</v>
      </c>
      <c r="AA16" s="53" t="s">
        <v>78</v>
      </c>
      <c r="AB16" s="53" t="s">
        <v>261</v>
      </c>
      <c r="AE16" s="22" t="s">
        <v>82</v>
      </c>
      <c r="AP16" s="23" t="s">
        <v>80</v>
      </c>
      <c r="AR16" s="23" t="s">
        <v>63</v>
      </c>
      <c r="AV16" s="23" t="s">
        <v>84</v>
      </c>
    </row>
    <row r="17" spans="1:48" x14ac:dyDescent="0.15">
      <c r="A17" s="53" t="s">
        <v>56</v>
      </c>
      <c r="B17" s="53" t="s">
        <v>257</v>
      </c>
      <c r="C17" s="53">
        <v>2019</v>
      </c>
      <c r="D17" s="178" t="s">
        <v>367</v>
      </c>
      <c r="E17" s="53" t="s">
        <v>162</v>
      </c>
      <c r="F17" s="53" t="s">
        <v>383</v>
      </c>
      <c r="G17" s="53" t="s">
        <v>42</v>
      </c>
      <c r="H17" s="53" t="s">
        <v>160</v>
      </c>
      <c r="I17" s="53" t="s">
        <v>159</v>
      </c>
      <c r="J17" s="53" t="s">
        <v>38</v>
      </c>
      <c r="K17" s="53" t="s">
        <v>161</v>
      </c>
      <c r="L17" s="53">
        <v>1</v>
      </c>
      <c r="N17" s="53">
        <v>1</v>
      </c>
      <c r="O17" s="53">
        <v>0.7</v>
      </c>
      <c r="P17" s="53">
        <v>0.7</v>
      </c>
      <c r="Q17" s="75">
        <f t="shared" si="0"/>
        <v>0.7</v>
      </c>
      <c r="R17" s="53">
        <v>17.2</v>
      </c>
      <c r="S17" s="53">
        <v>114</v>
      </c>
      <c r="T17" s="16">
        <f t="shared" si="1"/>
        <v>30</v>
      </c>
      <c r="U17" s="53">
        <v>138</v>
      </c>
      <c r="V17" s="16">
        <f t="shared" si="2"/>
        <v>4140</v>
      </c>
      <c r="W17" s="53">
        <v>4</v>
      </c>
      <c r="X17" s="53" t="s">
        <v>46</v>
      </c>
      <c r="Y17" s="53" t="s">
        <v>102</v>
      </c>
      <c r="Z17" s="53" t="s">
        <v>88</v>
      </c>
      <c r="AA17" s="53" t="s">
        <v>78</v>
      </c>
      <c r="AB17" s="53" t="s">
        <v>261</v>
      </c>
      <c r="AE17" s="22" t="s">
        <v>85</v>
      </c>
      <c r="AP17" s="27" t="s">
        <v>110</v>
      </c>
      <c r="AR17" s="23" t="s">
        <v>96</v>
      </c>
      <c r="AV17" s="23" t="s">
        <v>86</v>
      </c>
    </row>
    <row r="18" spans="1:48" x14ac:dyDescent="0.15">
      <c r="A18" s="53" t="s">
        <v>56</v>
      </c>
      <c r="B18" s="53" t="s">
        <v>257</v>
      </c>
      <c r="C18" s="53">
        <v>2019</v>
      </c>
      <c r="D18" s="178" t="s">
        <v>367</v>
      </c>
      <c r="E18" s="53" t="s">
        <v>162</v>
      </c>
      <c r="F18" s="53" t="s">
        <v>383</v>
      </c>
      <c r="G18" s="53" t="s">
        <v>42</v>
      </c>
      <c r="H18" s="53" t="s">
        <v>160</v>
      </c>
      <c r="I18" s="53" t="s">
        <v>159</v>
      </c>
      <c r="J18" s="53" t="s">
        <v>38</v>
      </c>
      <c r="K18" s="53" t="s">
        <v>161</v>
      </c>
      <c r="L18" s="53">
        <v>2</v>
      </c>
      <c r="N18" s="53">
        <v>1</v>
      </c>
      <c r="O18" s="53">
        <v>0.65</v>
      </c>
      <c r="P18" s="53">
        <v>0.65</v>
      </c>
      <c r="Q18" s="75">
        <f t="shared" si="0"/>
        <v>0.65</v>
      </c>
      <c r="R18" s="53">
        <v>16.7</v>
      </c>
      <c r="S18" s="53">
        <v>107</v>
      </c>
      <c r="T18" s="16">
        <f t="shared" si="1"/>
        <v>33</v>
      </c>
      <c r="U18" s="53">
        <v>138</v>
      </c>
      <c r="V18" s="16">
        <f t="shared" si="2"/>
        <v>4554</v>
      </c>
      <c r="W18" s="53">
        <v>4</v>
      </c>
      <c r="X18" s="53" t="s">
        <v>46</v>
      </c>
      <c r="Y18" s="53" t="s">
        <v>102</v>
      </c>
      <c r="Z18" s="53" t="s">
        <v>88</v>
      </c>
      <c r="AA18" s="53" t="s">
        <v>78</v>
      </c>
      <c r="AB18" s="53" t="s">
        <v>261</v>
      </c>
      <c r="AE18" s="22" t="s">
        <v>87</v>
      </c>
      <c r="AP18" s="27" t="s">
        <v>111</v>
      </c>
      <c r="AR18" s="23" t="s">
        <v>101</v>
      </c>
      <c r="AV18" s="23" t="s">
        <v>88</v>
      </c>
    </row>
    <row r="19" spans="1:48" x14ac:dyDescent="0.15">
      <c r="A19" s="53" t="s">
        <v>56</v>
      </c>
      <c r="B19" s="53" t="s">
        <v>257</v>
      </c>
      <c r="C19" s="53">
        <v>2019</v>
      </c>
      <c r="D19" s="178" t="s">
        <v>367</v>
      </c>
      <c r="E19" s="53" t="s">
        <v>162</v>
      </c>
      <c r="F19" s="53" t="s">
        <v>383</v>
      </c>
      <c r="G19" s="53" t="s">
        <v>42</v>
      </c>
      <c r="H19" s="53" t="s">
        <v>160</v>
      </c>
      <c r="I19" s="53" t="s">
        <v>159</v>
      </c>
      <c r="J19" s="53" t="s">
        <v>38</v>
      </c>
      <c r="K19" s="53" t="s">
        <v>161</v>
      </c>
      <c r="L19" s="53">
        <v>3</v>
      </c>
      <c r="N19" s="53">
        <v>1</v>
      </c>
      <c r="O19" s="53">
        <v>0.6</v>
      </c>
      <c r="P19" s="53">
        <v>0.65</v>
      </c>
      <c r="Q19" s="75">
        <f t="shared" si="0"/>
        <v>0.625</v>
      </c>
      <c r="R19" s="53">
        <v>15.8</v>
      </c>
      <c r="S19" s="53">
        <v>105</v>
      </c>
      <c r="T19" s="16">
        <f t="shared" si="1"/>
        <v>33</v>
      </c>
      <c r="U19" s="53">
        <v>138</v>
      </c>
      <c r="V19" s="16">
        <f t="shared" si="2"/>
        <v>4554</v>
      </c>
      <c r="W19" s="53">
        <v>4</v>
      </c>
      <c r="X19" s="53" t="s">
        <v>46</v>
      </c>
      <c r="Y19" s="53" t="s">
        <v>102</v>
      </c>
      <c r="Z19" s="53" t="s">
        <v>88</v>
      </c>
      <c r="AA19" s="53" t="s">
        <v>78</v>
      </c>
      <c r="AB19" s="53" t="s">
        <v>261</v>
      </c>
      <c r="AE19" s="35" t="s">
        <v>89</v>
      </c>
      <c r="AP19" s="27" t="s">
        <v>112</v>
      </c>
      <c r="AR19" s="23" t="s">
        <v>126</v>
      </c>
      <c r="AV19" s="23" t="s">
        <v>90</v>
      </c>
    </row>
    <row r="20" spans="1:48" x14ac:dyDescent="0.15">
      <c r="A20" s="53" t="s">
        <v>56</v>
      </c>
      <c r="B20" s="53" t="s">
        <v>257</v>
      </c>
      <c r="C20" s="53">
        <v>2019</v>
      </c>
      <c r="D20" s="178" t="s">
        <v>367</v>
      </c>
      <c r="E20" s="53" t="s">
        <v>384</v>
      </c>
      <c r="F20" s="53" t="s">
        <v>385</v>
      </c>
      <c r="G20" s="53" t="s">
        <v>42</v>
      </c>
      <c r="H20" s="53" t="s">
        <v>164</v>
      </c>
      <c r="I20" s="53" t="s">
        <v>159</v>
      </c>
      <c r="J20" s="53" t="s">
        <v>38</v>
      </c>
      <c r="K20" s="53" t="s">
        <v>161</v>
      </c>
      <c r="L20" s="53">
        <v>1</v>
      </c>
      <c r="N20" s="53">
        <v>1</v>
      </c>
      <c r="O20" s="53">
        <v>0.9</v>
      </c>
      <c r="P20" s="53">
        <v>0.85</v>
      </c>
      <c r="Q20" s="75">
        <f t="shared" si="0"/>
        <v>0.875</v>
      </c>
      <c r="R20" s="53">
        <v>15.9</v>
      </c>
      <c r="S20" s="53">
        <v>116</v>
      </c>
      <c r="T20" s="16">
        <f t="shared" si="1"/>
        <v>30</v>
      </c>
      <c r="U20" s="53">
        <v>106</v>
      </c>
      <c r="V20" s="16">
        <f t="shared" si="2"/>
        <v>3180</v>
      </c>
      <c r="W20" s="53">
        <v>4</v>
      </c>
      <c r="X20" s="53" t="s">
        <v>46</v>
      </c>
      <c r="Y20" s="53" t="s">
        <v>55</v>
      </c>
      <c r="Z20" s="53" t="s">
        <v>78</v>
      </c>
      <c r="AA20" s="53" t="s">
        <v>102</v>
      </c>
      <c r="AB20" s="53" t="s">
        <v>261</v>
      </c>
      <c r="AP20" s="27" t="s">
        <v>113</v>
      </c>
      <c r="AR20" s="23" t="s">
        <v>105</v>
      </c>
      <c r="AV20" s="27" t="s">
        <v>135</v>
      </c>
    </row>
    <row r="21" spans="1:48" x14ac:dyDescent="0.15">
      <c r="A21" s="53" t="s">
        <v>56</v>
      </c>
      <c r="B21" s="53" t="s">
        <v>257</v>
      </c>
      <c r="C21" s="53">
        <v>2019</v>
      </c>
      <c r="D21" s="178" t="s">
        <v>367</v>
      </c>
      <c r="E21" s="53" t="s">
        <v>384</v>
      </c>
      <c r="F21" s="53" t="s">
        <v>385</v>
      </c>
      <c r="G21" s="53" t="s">
        <v>42</v>
      </c>
      <c r="H21" s="53" t="s">
        <v>164</v>
      </c>
      <c r="I21" s="53" t="s">
        <v>159</v>
      </c>
      <c r="J21" s="53" t="s">
        <v>38</v>
      </c>
      <c r="K21" s="53" t="s">
        <v>161</v>
      </c>
      <c r="L21" s="53">
        <v>2</v>
      </c>
      <c r="N21" s="53">
        <v>1</v>
      </c>
      <c r="O21" s="53">
        <v>0.9</v>
      </c>
      <c r="P21" s="53">
        <v>0.85</v>
      </c>
      <c r="Q21" s="75">
        <f t="shared" si="0"/>
        <v>0.875</v>
      </c>
      <c r="R21" s="53">
        <v>16.100000000000001</v>
      </c>
      <c r="S21" s="53">
        <v>118</v>
      </c>
      <c r="T21" s="16">
        <f t="shared" si="1"/>
        <v>30</v>
      </c>
      <c r="U21" s="53">
        <v>106</v>
      </c>
      <c r="V21" s="16">
        <f t="shared" si="2"/>
        <v>3180</v>
      </c>
      <c r="W21" s="53">
        <v>4</v>
      </c>
      <c r="X21" s="53" t="s">
        <v>46</v>
      </c>
      <c r="Y21" s="53" t="s">
        <v>55</v>
      </c>
      <c r="Z21" s="53" t="s">
        <v>78</v>
      </c>
      <c r="AA21" s="53" t="s">
        <v>102</v>
      </c>
      <c r="AB21" s="53" t="s">
        <v>261</v>
      </c>
      <c r="AP21" s="27" t="s">
        <v>114</v>
      </c>
      <c r="AR21" s="23" t="s">
        <v>68</v>
      </c>
      <c r="AV21" s="28" t="s">
        <v>284</v>
      </c>
    </row>
    <row r="22" spans="1:48" x14ac:dyDescent="0.15">
      <c r="A22" s="53" t="s">
        <v>56</v>
      </c>
      <c r="B22" s="53" t="s">
        <v>257</v>
      </c>
      <c r="C22" s="53">
        <v>2019</v>
      </c>
      <c r="D22" s="178" t="s">
        <v>367</v>
      </c>
      <c r="E22" s="53" t="s">
        <v>384</v>
      </c>
      <c r="F22" s="53" t="s">
        <v>385</v>
      </c>
      <c r="G22" s="53" t="s">
        <v>42</v>
      </c>
      <c r="H22" s="53" t="s">
        <v>164</v>
      </c>
      <c r="I22" s="53" t="s">
        <v>159</v>
      </c>
      <c r="J22" s="53" t="s">
        <v>38</v>
      </c>
      <c r="K22" s="53" t="s">
        <v>161</v>
      </c>
      <c r="L22" s="53">
        <v>3</v>
      </c>
      <c r="N22" s="53">
        <v>1</v>
      </c>
      <c r="O22" s="53">
        <v>0.8</v>
      </c>
      <c r="P22" s="53">
        <v>0.8</v>
      </c>
      <c r="Q22" s="75">
        <f t="shared" si="0"/>
        <v>0.8</v>
      </c>
      <c r="R22" s="53">
        <v>15.8</v>
      </c>
      <c r="S22" s="53">
        <v>124</v>
      </c>
      <c r="T22" s="16">
        <f t="shared" si="1"/>
        <v>27</v>
      </c>
      <c r="U22" s="53">
        <v>106</v>
      </c>
      <c r="V22" s="16">
        <f t="shared" si="2"/>
        <v>2862</v>
      </c>
      <c r="W22" s="53">
        <v>4</v>
      </c>
      <c r="X22" s="53" t="s">
        <v>46</v>
      </c>
      <c r="Y22" s="53" t="s">
        <v>55</v>
      </c>
      <c r="Z22" s="53" t="s">
        <v>78</v>
      </c>
      <c r="AA22" s="53" t="s">
        <v>102</v>
      </c>
      <c r="AB22" s="53" t="s">
        <v>261</v>
      </c>
      <c r="AP22" s="27" t="s">
        <v>115</v>
      </c>
      <c r="AR22" s="23" t="s">
        <v>83</v>
      </c>
    </row>
    <row r="23" spans="1:48" x14ac:dyDescent="0.15">
      <c r="A23" s="53" t="s">
        <v>56</v>
      </c>
      <c r="B23" s="53" t="s">
        <v>257</v>
      </c>
      <c r="C23" s="53">
        <v>2019</v>
      </c>
      <c r="D23" s="178" t="s">
        <v>367</v>
      </c>
      <c r="E23" s="53" t="s">
        <v>384</v>
      </c>
      <c r="F23" s="53" t="s">
        <v>385</v>
      </c>
      <c r="G23" s="53" t="s">
        <v>42</v>
      </c>
      <c r="H23" s="53" t="s">
        <v>160</v>
      </c>
      <c r="I23" s="53" t="s">
        <v>159</v>
      </c>
      <c r="J23" s="53" t="s">
        <v>38</v>
      </c>
      <c r="K23" s="53" t="s">
        <v>161</v>
      </c>
      <c r="L23" s="53">
        <v>1</v>
      </c>
      <c r="N23" s="53">
        <v>1</v>
      </c>
      <c r="O23" s="53">
        <v>0.7</v>
      </c>
      <c r="P23" s="53">
        <v>0.7</v>
      </c>
      <c r="Q23" s="75">
        <f t="shared" si="0"/>
        <v>0.7</v>
      </c>
      <c r="R23" s="53">
        <v>14.8</v>
      </c>
      <c r="S23" s="53">
        <v>130</v>
      </c>
      <c r="T23" s="16">
        <f t="shared" si="1"/>
        <v>25</v>
      </c>
      <c r="U23" s="53">
        <v>106</v>
      </c>
      <c r="V23" s="16">
        <f t="shared" si="2"/>
        <v>2650</v>
      </c>
      <c r="W23" s="53">
        <v>6</v>
      </c>
      <c r="X23" s="53" t="s">
        <v>46</v>
      </c>
      <c r="Y23" s="53" t="s">
        <v>55</v>
      </c>
      <c r="Z23" s="53" t="s">
        <v>78</v>
      </c>
      <c r="AA23" s="53" t="s">
        <v>102</v>
      </c>
      <c r="AB23" s="53" t="s">
        <v>261</v>
      </c>
      <c r="AP23" s="27" t="s">
        <v>137</v>
      </c>
      <c r="AR23" s="23" t="s">
        <v>61</v>
      </c>
    </row>
    <row r="24" spans="1:48" x14ac:dyDescent="0.15">
      <c r="A24" s="53" t="s">
        <v>56</v>
      </c>
      <c r="B24" s="53" t="s">
        <v>257</v>
      </c>
      <c r="C24" s="53">
        <v>2019</v>
      </c>
      <c r="D24" s="178" t="s">
        <v>367</v>
      </c>
      <c r="E24" s="53" t="s">
        <v>384</v>
      </c>
      <c r="F24" s="53" t="s">
        <v>385</v>
      </c>
      <c r="G24" s="53" t="s">
        <v>42</v>
      </c>
      <c r="H24" s="53" t="s">
        <v>160</v>
      </c>
      <c r="I24" s="53" t="s">
        <v>159</v>
      </c>
      <c r="J24" s="53" t="s">
        <v>38</v>
      </c>
      <c r="K24" s="53" t="s">
        <v>161</v>
      </c>
      <c r="L24" s="53">
        <v>2</v>
      </c>
      <c r="N24" s="53">
        <v>1</v>
      </c>
      <c r="O24" s="53">
        <v>0.6</v>
      </c>
      <c r="P24" s="53">
        <v>0.5</v>
      </c>
      <c r="Q24" s="75">
        <f t="shared" si="0"/>
        <v>0.55000000000000004</v>
      </c>
      <c r="R24" s="53">
        <v>16.7</v>
      </c>
      <c r="S24" s="53">
        <v>133</v>
      </c>
      <c r="T24" s="16">
        <f t="shared" si="1"/>
        <v>25</v>
      </c>
      <c r="U24" s="53">
        <v>106</v>
      </c>
      <c r="V24" s="16">
        <f t="shared" si="2"/>
        <v>2650</v>
      </c>
      <c r="W24" s="53">
        <v>6</v>
      </c>
      <c r="X24" s="53" t="s">
        <v>46</v>
      </c>
      <c r="Y24" s="53" t="s">
        <v>55</v>
      </c>
      <c r="Z24" s="53" t="s">
        <v>78</v>
      </c>
      <c r="AA24" s="53" t="s">
        <v>102</v>
      </c>
      <c r="AB24" s="53" t="s">
        <v>261</v>
      </c>
      <c r="AP24" s="27" t="s">
        <v>138</v>
      </c>
      <c r="AR24" s="23" t="s">
        <v>91</v>
      </c>
    </row>
    <row r="25" spans="1:48" x14ac:dyDescent="0.15">
      <c r="A25" s="53" t="s">
        <v>56</v>
      </c>
      <c r="B25" s="53" t="s">
        <v>257</v>
      </c>
      <c r="C25" s="53">
        <v>2019</v>
      </c>
      <c r="D25" s="178" t="s">
        <v>367</v>
      </c>
      <c r="E25" s="53" t="s">
        <v>384</v>
      </c>
      <c r="F25" s="53" t="s">
        <v>385</v>
      </c>
      <c r="G25" s="53" t="s">
        <v>42</v>
      </c>
      <c r="H25" s="53" t="s">
        <v>160</v>
      </c>
      <c r="I25" s="53" t="s">
        <v>159</v>
      </c>
      <c r="J25" s="53" t="s">
        <v>38</v>
      </c>
      <c r="K25" s="53" t="s">
        <v>161</v>
      </c>
      <c r="L25" s="53">
        <v>3</v>
      </c>
      <c r="N25" s="53">
        <v>1</v>
      </c>
      <c r="O25" s="53">
        <v>0.6</v>
      </c>
      <c r="P25" s="53">
        <v>0.55000000000000004</v>
      </c>
      <c r="Q25" s="75">
        <f t="shared" si="0"/>
        <v>0.57499999999999996</v>
      </c>
      <c r="R25" s="53">
        <v>16.8</v>
      </c>
      <c r="S25" s="53">
        <v>133</v>
      </c>
      <c r="T25" s="16">
        <f t="shared" si="1"/>
        <v>25</v>
      </c>
      <c r="U25" s="53">
        <v>106</v>
      </c>
      <c r="V25" s="16">
        <f t="shared" si="2"/>
        <v>2650</v>
      </c>
      <c r="W25" s="53">
        <v>6</v>
      </c>
      <c r="X25" s="53" t="s">
        <v>46</v>
      </c>
      <c r="Y25" s="53" t="s">
        <v>55</v>
      </c>
      <c r="Z25" s="53" t="s">
        <v>78</v>
      </c>
      <c r="AA25" s="53" t="s">
        <v>102</v>
      </c>
      <c r="AB25" s="53" t="s">
        <v>261</v>
      </c>
      <c r="AP25" s="27" t="s">
        <v>116</v>
      </c>
      <c r="AR25" s="27" t="s">
        <v>92</v>
      </c>
    </row>
    <row r="26" spans="1:48" x14ac:dyDescent="0.15">
      <c r="A26" s="53" t="s">
        <v>56</v>
      </c>
      <c r="B26" s="53" t="s">
        <v>257</v>
      </c>
      <c r="C26" s="53">
        <v>2019</v>
      </c>
      <c r="D26" s="178" t="s">
        <v>367</v>
      </c>
      <c r="E26" s="53" t="s">
        <v>386</v>
      </c>
      <c r="F26" s="53" t="s">
        <v>383</v>
      </c>
      <c r="G26" s="53" t="s">
        <v>42</v>
      </c>
      <c r="H26" s="53" t="s">
        <v>164</v>
      </c>
      <c r="I26" s="53" t="s">
        <v>159</v>
      </c>
      <c r="J26" s="53" t="s">
        <v>38</v>
      </c>
      <c r="K26" s="53" t="s">
        <v>161</v>
      </c>
      <c r="L26" s="53">
        <v>1</v>
      </c>
      <c r="N26" s="53">
        <v>9</v>
      </c>
      <c r="O26" s="53">
        <v>0.9</v>
      </c>
      <c r="P26" s="53">
        <v>1</v>
      </c>
      <c r="Q26" s="16">
        <f t="shared" si="0"/>
        <v>0.95</v>
      </c>
      <c r="R26" s="53">
        <v>15.1</v>
      </c>
      <c r="S26" s="53">
        <v>94</v>
      </c>
      <c r="T26" s="16">
        <f t="shared" si="1"/>
        <v>36</v>
      </c>
      <c r="U26" s="53">
        <v>429</v>
      </c>
      <c r="V26" s="16">
        <f t="shared" si="2"/>
        <v>1716</v>
      </c>
      <c r="W26" s="53">
        <v>2</v>
      </c>
      <c r="X26" s="53" t="s">
        <v>39</v>
      </c>
      <c r="Y26" s="53" t="s">
        <v>55</v>
      </c>
      <c r="Z26" s="53" t="s">
        <v>78</v>
      </c>
      <c r="AA26" s="53" t="s">
        <v>102</v>
      </c>
      <c r="AB26" s="53" t="s">
        <v>261</v>
      </c>
      <c r="AP26" s="27" t="s">
        <v>117</v>
      </c>
      <c r="AR26" s="53" t="s">
        <v>153</v>
      </c>
    </row>
    <row r="27" spans="1:48" x14ac:dyDescent="0.15">
      <c r="A27" s="53" t="s">
        <v>56</v>
      </c>
      <c r="B27" s="53" t="s">
        <v>257</v>
      </c>
      <c r="C27" s="53">
        <v>2019</v>
      </c>
      <c r="D27" s="178" t="s">
        <v>367</v>
      </c>
      <c r="E27" s="53" t="s">
        <v>386</v>
      </c>
      <c r="F27" s="53" t="s">
        <v>383</v>
      </c>
      <c r="G27" s="53" t="s">
        <v>42</v>
      </c>
      <c r="H27" s="53" t="s">
        <v>164</v>
      </c>
      <c r="I27" s="53" t="s">
        <v>159</v>
      </c>
      <c r="J27" s="53" t="s">
        <v>38</v>
      </c>
      <c r="K27" s="53" t="s">
        <v>161</v>
      </c>
      <c r="L27" s="53">
        <v>2</v>
      </c>
      <c r="N27" s="53">
        <v>9</v>
      </c>
      <c r="O27" s="53">
        <v>0.6</v>
      </c>
      <c r="P27" s="53">
        <v>0.65</v>
      </c>
      <c r="Q27" s="16">
        <f t="shared" si="0"/>
        <v>0.625</v>
      </c>
      <c r="R27" s="53">
        <v>12</v>
      </c>
      <c r="S27" s="53">
        <v>89</v>
      </c>
      <c r="T27" s="16">
        <f t="shared" si="1"/>
        <v>36</v>
      </c>
      <c r="U27" s="53">
        <v>429</v>
      </c>
      <c r="V27" s="16">
        <f t="shared" si="2"/>
        <v>1716</v>
      </c>
      <c r="W27" s="53">
        <v>2</v>
      </c>
      <c r="X27" s="53" t="s">
        <v>39</v>
      </c>
      <c r="Y27" s="53" t="s">
        <v>55</v>
      </c>
      <c r="Z27" s="53" t="s">
        <v>78</v>
      </c>
      <c r="AA27" s="53" t="s">
        <v>102</v>
      </c>
      <c r="AB27" s="53" t="s">
        <v>261</v>
      </c>
      <c r="AP27" s="27" t="s">
        <v>118</v>
      </c>
    </row>
    <row r="28" spans="1:48" x14ac:dyDescent="0.15">
      <c r="A28" s="53" t="s">
        <v>56</v>
      </c>
      <c r="B28" s="53" t="s">
        <v>257</v>
      </c>
      <c r="C28" s="53">
        <v>2019</v>
      </c>
      <c r="D28" s="178" t="s">
        <v>367</v>
      </c>
      <c r="E28" s="53" t="s">
        <v>386</v>
      </c>
      <c r="F28" s="53" t="s">
        <v>383</v>
      </c>
      <c r="G28" s="53" t="s">
        <v>42</v>
      </c>
      <c r="H28" s="53" t="s">
        <v>164</v>
      </c>
      <c r="I28" s="53" t="s">
        <v>159</v>
      </c>
      <c r="J28" s="53" t="s">
        <v>38</v>
      </c>
      <c r="K28" s="53" t="s">
        <v>161</v>
      </c>
      <c r="L28" s="53">
        <v>3</v>
      </c>
      <c r="N28" s="53">
        <v>9</v>
      </c>
      <c r="O28" s="53">
        <v>0.8</v>
      </c>
      <c r="P28" s="53">
        <v>0.75</v>
      </c>
      <c r="Q28" s="16">
        <f t="shared" si="0"/>
        <v>0.77500000000000002</v>
      </c>
      <c r="R28" s="53">
        <v>11.9</v>
      </c>
      <c r="S28" s="53">
        <v>87</v>
      </c>
      <c r="T28" s="16">
        <f t="shared" si="1"/>
        <v>36</v>
      </c>
      <c r="U28" s="53">
        <v>429</v>
      </c>
      <c r="V28" s="16">
        <f t="shared" si="2"/>
        <v>1716</v>
      </c>
      <c r="W28" s="53">
        <v>2</v>
      </c>
      <c r="X28" s="53" t="s">
        <v>39</v>
      </c>
      <c r="Y28" s="53" t="s">
        <v>55</v>
      </c>
      <c r="Z28" s="53" t="s">
        <v>78</v>
      </c>
      <c r="AA28" s="53" t="s">
        <v>102</v>
      </c>
      <c r="AB28" s="53" t="s">
        <v>261</v>
      </c>
    </row>
    <row r="29" spans="1:48" x14ac:dyDescent="0.15">
      <c r="A29" s="53" t="s">
        <v>56</v>
      </c>
      <c r="B29" s="53" t="s">
        <v>257</v>
      </c>
      <c r="C29" s="53">
        <v>2019</v>
      </c>
      <c r="D29" s="178" t="s">
        <v>367</v>
      </c>
      <c r="E29" s="53" t="s">
        <v>386</v>
      </c>
      <c r="F29" s="53" t="s">
        <v>383</v>
      </c>
      <c r="G29" s="53" t="s">
        <v>42</v>
      </c>
      <c r="H29" s="53" t="s">
        <v>160</v>
      </c>
      <c r="I29" s="53" t="s">
        <v>159</v>
      </c>
      <c r="J29" s="53" t="s">
        <v>38</v>
      </c>
      <c r="K29" s="53" t="s">
        <v>161</v>
      </c>
      <c r="L29" s="53">
        <v>1</v>
      </c>
      <c r="N29" s="53">
        <v>8</v>
      </c>
      <c r="O29" s="53">
        <v>0.7</v>
      </c>
      <c r="P29" s="53">
        <v>0.65</v>
      </c>
      <c r="Q29" s="16">
        <f t="shared" si="0"/>
        <v>0.67500000000000004</v>
      </c>
      <c r="R29" s="53">
        <v>16.5</v>
      </c>
      <c r="S29" s="53">
        <v>99</v>
      </c>
      <c r="T29" s="16">
        <f t="shared" si="1"/>
        <v>33</v>
      </c>
      <c r="U29" s="53">
        <v>537</v>
      </c>
      <c r="V29" s="16">
        <f t="shared" si="2"/>
        <v>2215.125</v>
      </c>
      <c r="W29" s="53">
        <v>4</v>
      </c>
      <c r="X29" s="53" t="s">
        <v>39</v>
      </c>
      <c r="Y29" s="53" t="s">
        <v>55</v>
      </c>
      <c r="Z29" s="53" t="s">
        <v>78</v>
      </c>
      <c r="AA29" s="53" t="s">
        <v>102</v>
      </c>
      <c r="AB29" s="53" t="s">
        <v>261</v>
      </c>
    </row>
    <row r="30" spans="1:48" x14ac:dyDescent="0.15">
      <c r="A30" s="53" t="s">
        <v>56</v>
      </c>
      <c r="B30" s="53" t="s">
        <v>257</v>
      </c>
      <c r="C30" s="53">
        <v>2019</v>
      </c>
      <c r="D30" s="178" t="s">
        <v>367</v>
      </c>
      <c r="E30" s="53" t="s">
        <v>386</v>
      </c>
      <c r="F30" s="53" t="s">
        <v>383</v>
      </c>
      <c r="G30" s="53" t="s">
        <v>42</v>
      </c>
      <c r="H30" s="53" t="s">
        <v>160</v>
      </c>
      <c r="I30" s="53" t="s">
        <v>159</v>
      </c>
      <c r="J30" s="53" t="s">
        <v>38</v>
      </c>
      <c r="K30" s="53" t="s">
        <v>161</v>
      </c>
      <c r="L30" s="53">
        <v>2</v>
      </c>
      <c r="N30" s="53">
        <v>8</v>
      </c>
      <c r="O30" s="53">
        <v>0.55000000000000004</v>
      </c>
      <c r="P30" s="53">
        <v>0.55000000000000004</v>
      </c>
      <c r="Q30" s="16">
        <f t="shared" si="0"/>
        <v>0.55000000000000004</v>
      </c>
      <c r="R30" s="53">
        <v>17.7</v>
      </c>
      <c r="S30" s="53">
        <v>98</v>
      </c>
      <c r="T30" s="16">
        <f t="shared" si="1"/>
        <v>36</v>
      </c>
      <c r="U30" s="53">
        <v>537</v>
      </c>
      <c r="V30" s="16">
        <f t="shared" si="2"/>
        <v>2416.5</v>
      </c>
      <c r="W30" s="53">
        <v>4</v>
      </c>
      <c r="X30" s="53" t="s">
        <v>39</v>
      </c>
      <c r="Y30" s="53" t="s">
        <v>55</v>
      </c>
      <c r="Z30" s="53" t="s">
        <v>78</v>
      </c>
      <c r="AA30" s="53" t="s">
        <v>102</v>
      </c>
      <c r="AB30" s="53" t="s">
        <v>261</v>
      </c>
    </row>
    <row r="31" spans="1:48" x14ac:dyDescent="0.15">
      <c r="A31" s="53" t="s">
        <v>56</v>
      </c>
      <c r="B31" s="53" t="s">
        <v>257</v>
      </c>
      <c r="C31" s="53">
        <v>2019</v>
      </c>
      <c r="D31" s="178" t="s">
        <v>367</v>
      </c>
      <c r="E31" s="53" t="s">
        <v>386</v>
      </c>
      <c r="F31" s="53" t="s">
        <v>383</v>
      </c>
      <c r="G31" s="53" t="s">
        <v>42</v>
      </c>
      <c r="H31" s="53" t="s">
        <v>160</v>
      </c>
      <c r="I31" s="53" t="s">
        <v>159</v>
      </c>
      <c r="J31" s="53" t="s">
        <v>38</v>
      </c>
      <c r="K31" s="53" t="s">
        <v>161</v>
      </c>
      <c r="L31" s="53">
        <v>3</v>
      </c>
      <c r="N31" s="53">
        <v>8</v>
      </c>
      <c r="O31" s="53">
        <v>0.55000000000000004</v>
      </c>
      <c r="P31" s="53">
        <v>0.55000000000000004</v>
      </c>
      <c r="Q31" s="16">
        <f t="shared" si="0"/>
        <v>0.55000000000000004</v>
      </c>
      <c r="R31" s="53">
        <v>17.600000000000001</v>
      </c>
      <c r="S31" s="53">
        <v>102</v>
      </c>
      <c r="T31" s="16">
        <f t="shared" si="1"/>
        <v>33</v>
      </c>
      <c r="U31" s="53">
        <v>537</v>
      </c>
      <c r="V31" s="16">
        <f t="shared" si="2"/>
        <v>2215.125</v>
      </c>
      <c r="W31" s="53">
        <v>4</v>
      </c>
      <c r="X31" s="53" t="s">
        <v>39</v>
      </c>
      <c r="Y31" s="53" t="s">
        <v>55</v>
      </c>
      <c r="Z31" s="53" t="s">
        <v>78</v>
      </c>
      <c r="AA31" s="53" t="s">
        <v>102</v>
      </c>
      <c r="AB31" s="53" t="s">
        <v>261</v>
      </c>
    </row>
    <row r="32" spans="1:48" x14ac:dyDescent="0.15">
      <c r="A32" s="53" t="s">
        <v>56</v>
      </c>
      <c r="B32" s="53" t="s">
        <v>257</v>
      </c>
      <c r="C32" s="53">
        <v>2019</v>
      </c>
      <c r="D32" s="178" t="s">
        <v>367</v>
      </c>
      <c r="E32" s="53" t="s">
        <v>162</v>
      </c>
      <c r="F32" s="53" t="s">
        <v>380</v>
      </c>
      <c r="G32" s="53" t="s">
        <v>42</v>
      </c>
      <c r="H32" s="53" t="s">
        <v>164</v>
      </c>
      <c r="I32" s="53" t="s">
        <v>159</v>
      </c>
      <c r="J32" s="53" t="s">
        <v>38</v>
      </c>
      <c r="K32" s="53" t="s">
        <v>161</v>
      </c>
      <c r="L32" s="53">
        <v>1</v>
      </c>
      <c r="N32" s="53">
        <v>5</v>
      </c>
      <c r="O32" s="53">
        <v>0.85</v>
      </c>
      <c r="P32" s="53">
        <v>0.9</v>
      </c>
      <c r="Q32" s="16">
        <f t="shared" si="0"/>
        <v>0.875</v>
      </c>
      <c r="R32" s="53">
        <v>15.3</v>
      </c>
      <c r="S32" s="53">
        <v>90</v>
      </c>
      <c r="T32" s="16">
        <f t="shared" si="1"/>
        <v>36</v>
      </c>
      <c r="U32" s="53">
        <v>322</v>
      </c>
      <c r="V32" s="16">
        <f t="shared" si="2"/>
        <v>2318.4</v>
      </c>
      <c r="W32" s="53">
        <v>3</v>
      </c>
      <c r="X32" s="53" t="s">
        <v>46</v>
      </c>
      <c r="Y32" s="53" t="s">
        <v>55</v>
      </c>
      <c r="Z32" s="53" t="s">
        <v>78</v>
      </c>
      <c r="AA32" s="53" t="s">
        <v>102</v>
      </c>
      <c r="AB32" s="53" t="s">
        <v>261</v>
      </c>
    </row>
    <row r="33" spans="1:28" x14ac:dyDescent="0.15">
      <c r="A33" s="53" t="s">
        <v>56</v>
      </c>
      <c r="B33" s="53" t="s">
        <v>257</v>
      </c>
      <c r="C33" s="53">
        <v>2019</v>
      </c>
      <c r="D33" s="178" t="s">
        <v>367</v>
      </c>
      <c r="E33" s="53" t="s">
        <v>162</v>
      </c>
      <c r="F33" s="53" t="s">
        <v>380</v>
      </c>
      <c r="G33" s="53" t="s">
        <v>42</v>
      </c>
      <c r="H33" s="53" t="s">
        <v>164</v>
      </c>
      <c r="I33" s="53" t="s">
        <v>159</v>
      </c>
      <c r="J33" s="53" t="s">
        <v>38</v>
      </c>
      <c r="K33" s="53" t="s">
        <v>161</v>
      </c>
      <c r="L33" s="53">
        <v>2</v>
      </c>
      <c r="N33" s="53">
        <v>5</v>
      </c>
      <c r="O33" s="53">
        <v>0.85</v>
      </c>
      <c r="P33" s="53">
        <v>0.75</v>
      </c>
      <c r="Q33" s="16">
        <f t="shared" si="0"/>
        <v>0.8</v>
      </c>
      <c r="R33" s="53">
        <v>12.7</v>
      </c>
      <c r="S33" s="53">
        <v>92</v>
      </c>
      <c r="T33" s="16">
        <f t="shared" si="1"/>
        <v>36</v>
      </c>
      <c r="U33" s="53">
        <v>322</v>
      </c>
      <c r="V33" s="16">
        <f t="shared" si="2"/>
        <v>2318.4</v>
      </c>
      <c r="W33" s="53">
        <v>3</v>
      </c>
      <c r="X33" s="53" t="s">
        <v>46</v>
      </c>
      <c r="Y33" s="53" t="s">
        <v>55</v>
      </c>
      <c r="Z33" s="53" t="s">
        <v>78</v>
      </c>
      <c r="AA33" s="53" t="s">
        <v>102</v>
      </c>
      <c r="AB33" s="53" t="s">
        <v>261</v>
      </c>
    </row>
    <row r="34" spans="1:28" x14ac:dyDescent="0.15">
      <c r="A34" s="53" t="s">
        <v>56</v>
      </c>
      <c r="B34" s="53" t="s">
        <v>257</v>
      </c>
      <c r="C34" s="53">
        <v>2019</v>
      </c>
      <c r="D34" s="178" t="s">
        <v>367</v>
      </c>
      <c r="E34" s="53" t="s">
        <v>162</v>
      </c>
      <c r="F34" s="53" t="s">
        <v>380</v>
      </c>
      <c r="G34" s="53" t="s">
        <v>42</v>
      </c>
      <c r="H34" s="53" t="s">
        <v>164</v>
      </c>
      <c r="I34" s="53" t="s">
        <v>159</v>
      </c>
      <c r="J34" s="53" t="s">
        <v>38</v>
      </c>
      <c r="K34" s="53" t="s">
        <v>161</v>
      </c>
      <c r="L34" s="53">
        <v>3</v>
      </c>
      <c r="N34" s="53">
        <v>5</v>
      </c>
      <c r="O34" s="53">
        <v>0.9</v>
      </c>
      <c r="P34" s="53">
        <v>0.85</v>
      </c>
      <c r="Q34" s="16">
        <f t="shared" si="0"/>
        <v>0.875</v>
      </c>
      <c r="R34" s="53">
        <v>12.6</v>
      </c>
      <c r="S34" s="53">
        <v>89</v>
      </c>
      <c r="T34" s="16">
        <f t="shared" si="1"/>
        <v>36</v>
      </c>
      <c r="U34" s="53">
        <v>322</v>
      </c>
      <c r="V34" s="16">
        <f t="shared" si="2"/>
        <v>2318.4</v>
      </c>
      <c r="W34" s="53">
        <v>3</v>
      </c>
      <c r="X34" s="53" t="s">
        <v>46</v>
      </c>
      <c r="Y34" s="53" t="s">
        <v>55</v>
      </c>
      <c r="Z34" s="53" t="s">
        <v>78</v>
      </c>
      <c r="AA34" s="53" t="s">
        <v>102</v>
      </c>
      <c r="AB34" s="53" t="s">
        <v>261</v>
      </c>
    </row>
    <row r="35" spans="1:28" x14ac:dyDescent="0.15">
      <c r="A35" s="53" t="s">
        <v>56</v>
      </c>
      <c r="B35" s="53" t="s">
        <v>257</v>
      </c>
      <c r="C35" s="53">
        <v>2019</v>
      </c>
      <c r="D35" s="178" t="s">
        <v>367</v>
      </c>
      <c r="E35" s="53" t="s">
        <v>162</v>
      </c>
      <c r="F35" s="53" t="s">
        <v>380</v>
      </c>
      <c r="G35" s="53" t="s">
        <v>42</v>
      </c>
      <c r="H35" s="53" t="s">
        <v>160</v>
      </c>
      <c r="I35" s="53" t="s">
        <v>159</v>
      </c>
      <c r="J35" s="53" t="s">
        <v>38</v>
      </c>
      <c r="K35" s="53" t="s">
        <v>161</v>
      </c>
      <c r="L35" s="53">
        <v>1</v>
      </c>
      <c r="N35" s="53">
        <v>1</v>
      </c>
      <c r="O35" s="53">
        <v>0.85</v>
      </c>
      <c r="P35" s="53">
        <v>0.8</v>
      </c>
      <c r="Q35" s="16">
        <f t="shared" si="0"/>
        <v>0.82499999999999996</v>
      </c>
      <c r="R35" s="53">
        <v>16.899999999999999</v>
      </c>
      <c r="S35" s="53">
        <v>106</v>
      </c>
      <c r="T35" s="16">
        <f t="shared" si="1"/>
        <v>33</v>
      </c>
      <c r="U35" s="53">
        <v>138</v>
      </c>
      <c r="V35" s="16">
        <f t="shared" si="2"/>
        <v>4554</v>
      </c>
      <c r="W35" s="53">
        <v>3</v>
      </c>
      <c r="X35" s="53" t="s">
        <v>46</v>
      </c>
      <c r="Y35" s="53" t="s">
        <v>55</v>
      </c>
      <c r="Z35" s="53" t="s">
        <v>78</v>
      </c>
      <c r="AA35" s="53" t="s">
        <v>102</v>
      </c>
      <c r="AB35" s="53" t="s">
        <v>261</v>
      </c>
    </row>
    <row r="36" spans="1:28" x14ac:dyDescent="0.15">
      <c r="A36" s="53" t="s">
        <v>56</v>
      </c>
      <c r="B36" s="53" t="s">
        <v>257</v>
      </c>
      <c r="C36" s="53">
        <v>2019</v>
      </c>
      <c r="D36" s="178" t="s">
        <v>367</v>
      </c>
      <c r="E36" s="53" t="s">
        <v>162</v>
      </c>
      <c r="F36" s="53" t="s">
        <v>380</v>
      </c>
      <c r="G36" s="53" t="s">
        <v>42</v>
      </c>
      <c r="H36" s="53" t="s">
        <v>160</v>
      </c>
      <c r="I36" s="53" t="s">
        <v>159</v>
      </c>
      <c r="J36" s="53" t="s">
        <v>38</v>
      </c>
      <c r="K36" s="53" t="s">
        <v>161</v>
      </c>
      <c r="L36" s="53">
        <v>2</v>
      </c>
      <c r="N36" s="53">
        <v>1</v>
      </c>
      <c r="O36" s="53">
        <v>0.7</v>
      </c>
      <c r="P36" s="53">
        <v>0.7</v>
      </c>
      <c r="Q36" s="16">
        <f t="shared" si="0"/>
        <v>0.7</v>
      </c>
      <c r="R36" s="53">
        <v>14.4</v>
      </c>
      <c r="S36" s="53">
        <v>108</v>
      </c>
      <c r="T36" s="16">
        <f t="shared" si="1"/>
        <v>33</v>
      </c>
      <c r="U36" s="53">
        <v>138</v>
      </c>
      <c r="V36" s="16">
        <f t="shared" si="2"/>
        <v>4554</v>
      </c>
      <c r="W36" s="53">
        <v>3</v>
      </c>
      <c r="X36" s="53" t="s">
        <v>46</v>
      </c>
      <c r="Y36" s="53" t="s">
        <v>55</v>
      </c>
      <c r="Z36" s="53" t="s">
        <v>78</v>
      </c>
      <c r="AA36" s="53" t="s">
        <v>102</v>
      </c>
      <c r="AB36" s="53" t="s">
        <v>261</v>
      </c>
    </row>
    <row r="37" spans="1:28" x14ac:dyDescent="0.15">
      <c r="A37" s="53" t="s">
        <v>56</v>
      </c>
      <c r="B37" s="53" t="s">
        <v>257</v>
      </c>
      <c r="C37" s="53">
        <v>2019</v>
      </c>
      <c r="D37" s="178" t="s">
        <v>367</v>
      </c>
      <c r="E37" s="53" t="s">
        <v>162</v>
      </c>
      <c r="F37" s="53" t="s">
        <v>380</v>
      </c>
      <c r="G37" s="53" t="s">
        <v>42</v>
      </c>
      <c r="H37" s="53" t="s">
        <v>160</v>
      </c>
      <c r="I37" s="53" t="s">
        <v>159</v>
      </c>
      <c r="J37" s="53" t="s">
        <v>38</v>
      </c>
      <c r="K37" s="53" t="s">
        <v>161</v>
      </c>
      <c r="L37" s="53">
        <v>3</v>
      </c>
      <c r="N37" s="53">
        <v>1</v>
      </c>
      <c r="O37" s="53">
        <v>0.85</v>
      </c>
      <c r="P37" s="53">
        <v>0.85</v>
      </c>
      <c r="Q37" s="16">
        <f t="shared" si="0"/>
        <v>0.85</v>
      </c>
      <c r="R37" s="53">
        <v>16.2</v>
      </c>
      <c r="S37" s="53">
        <v>106</v>
      </c>
      <c r="T37" s="16">
        <f t="shared" si="1"/>
        <v>33</v>
      </c>
      <c r="U37" s="53">
        <v>138</v>
      </c>
      <c r="V37" s="16">
        <f t="shared" si="2"/>
        <v>4554</v>
      </c>
      <c r="W37" s="53">
        <v>3</v>
      </c>
      <c r="X37" s="53" t="s">
        <v>46</v>
      </c>
      <c r="Y37" s="53" t="s">
        <v>55</v>
      </c>
      <c r="Z37" s="53" t="s">
        <v>78</v>
      </c>
      <c r="AA37" s="53" t="s">
        <v>102</v>
      </c>
      <c r="AB37" s="53" t="s">
        <v>261</v>
      </c>
    </row>
    <row r="38" spans="1:28" x14ac:dyDescent="0.15">
      <c r="A38" s="53" t="s">
        <v>56</v>
      </c>
      <c r="B38" s="53" t="s">
        <v>257</v>
      </c>
      <c r="C38" s="53">
        <v>2019</v>
      </c>
      <c r="D38" s="178" t="s">
        <v>367</v>
      </c>
      <c r="E38" s="53" t="s">
        <v>387</v>
      </c>
      <c r="F38" s="53" t="s">
        <v>380</v>
      </c>
      <c r="G38" s="53" t="s">
        <v>42</v>
      </c>
      <c r="H38" s="53" t="s">
        <v>164</v>
      </c>
      <c r="I38" s="53" t="s">
        <v>159</v>
      </c>
      <c r="J38" s="53" t="s">
        <v>38</v>
      </c>
      <c r="K38" s="53" t="s">
        <v>161</v>
      </c>
      <c r="L38" s="53">
        <v>1</v>
      </c>
      <c r="N38" s="53">
        <v>1</v>
      </c>
      <c r="O38" s="53">
        <v>1</v>
      </c>
      <c r="P38" s="53">
        <v>0.95</v>
      </c>
      <c r="Q38" s="16">
        <f t="shared" si="0"/>
        <v>0.97499999999999998</v>
      </c>
      <c r="R38" s="53">
        <v>13.5</v>
      </c>
      <c r="S38" s="53">
        <v>128</v>
      </c>
      <c r="T38" s="16">
        <f t="shared" si="1"/>
        <v>27</v>
      </c>
      <c r="U38" s="53">
        <v>138</v>
      </c>
      <c r="V38" s="16">
        <f t="shared" si="2"/>
        <v>3726</v>
      </c>
      <c r="W38" s="53">
        <v>1</v>
      </c>
      <c r="X38" s="53" t="s">
        <v>39</v>
      </c>
      <c r="Y38" s="53" t="s">
        <v>78</v>
      </c>
      <c r="Z38" s="53" t="s">
        <v>97</v>
      </c>
      <c r="AA38" s="53" t="s">
        <v>69</v>
      </c>
      <c r="AB38" s="53" t="s">
        <v>261</v>
      </c>
    </row>
    <row r="39" spans="1:28" x14ac:dyDescent="0.15">
      <c r="A39" s="53" t="s">
        <v>56</v>
      </c>
      <c r="B39" s="53" t="s">
        <v>257</v>
      </c>
      <c r="C39" s="53">
        <v>2019</v>
      </c>
      <c r="D39" s="178" t="s">
        <v>367</v>
      </c>
      <c r="E39" s="53" t="s">
        <v>387</v>
      </c>
      <c r="F39" s="53" t="s">
        <v>380</v>
      </c>
      <c r="G39" s="53" t="s">
        <v>42</v>
      </c>
      <c r="H39" s="53" t="s">
        <v>164</v>
      </c>
      <c r="I39" s="53" t="s">
        <v>159</v>
      </c>
      <c r="J39" s="53" t="s">
        <v>38</v>
      </c>
      <c r="K39" s="53" t="s">
        <v>161</v>
      </c>
      <c r="L39" s="53">
        <v>2</v>
      </c>
      <c r="N39" s="53">
        <v>1</v>
      </c>
      <c r="O39" s="53">
        <v>0.95</v>
      </c>
      <c r="P39" s="53">
        <v>1</v>
      </c>
      <c r="Q39" s="16">
        <f t="shared" si="0"/>
        <v>0.97499999999999998</v>
      </c>
      <c r="R39" s="53">
        <v>12.6</v>
      </c>
      <c r="S39" s="53">
        <v>135</v>
      </c>
      <c r="T39" s="16">
        <f t="shared" si="1"/>
        <v>25</v>
      </c>
      <c r="U39" s="53">
        <v>138</v>
      </c>
      <c r="V39" s="16">
        <f t="shared" si="2"/>
        <v>3450</v>
      </c>
      <c r="W39" s="53">
        <v>1</v>
      </c>
      <c r="X39" s="53" t="s">
        <v>39</v>
      </c>
      <c r="Y39" s="53" t="s">
        <v>78</v>
      </c>
      <c r="Z39" s="53" t="s">
        <v>97</v>
      </c>
      <c r="AA39" s="53" t="s">
        <v>69</v>
      </c>
      <c r="AB39" s="53" t="s">
        <v>261</v>
      </c>
    </row>
    <row r="40" spans="1:28" x14ac:dyDescent="0.15">
      <c r="A40" s="53" t="s">
        <v>56</v>
      </c>
      <c r="B40" s="53" t="s">
        <v>257</v>
      </c>
      <c r="C40" s="53">
        <v>2019</v>
      </c>
      <c r="D40" s="178" t="s">
        <v>367</v>
      </c>
      <c r="E40" s="53" t="s">
        <v>387</v>
      </c>
      <c r="F40" s="53" t="s">
        <v>380</v>
      </c>
      <c r="G40" s="53" t="s">
        <v>42</v>
      </c>
      <c r="H40" s="53" t="s">
        <v>164</v>
      </c>
      <c r="I40" s="53" t="s">
        <v>159</v>
      </c>
      <c r="J40" s="53" t="s">
        <v>38</v>
      </c>
      <c r="K40" s="53" t="s">
        <v>161</v>
      </c>
      <c r="L40" s="53">
        <v>3</v>
      </c>
      <c r="N40" s="53">
        <v>1</v>
      </c>
      <c r="O40" s="53">
        <v>0.8</v>
      </c>
      <c r="P40" s="53">
        <v>0.8</v>
      </c>
      <c r="Q40" s="16">
        <f t="shared" si="0"/>
        <v>0.8</v>
      </c>
      <c r="R40" s="53">
        <v>15.8</v>
      </c>
      <c r="S40" s="53">
        <v>119</v>
      </c>
      <c r="T40" s="16">
        <f t="shared" si="1"/>
        <v>30</v>
      </c>
      <c r="U40" s="53">
        <v>138</v>
      </c>
      <c r="V40" s="16">
        <f t="shared" si="2"/>
        <v>4140</v>
      </c>
      <c r="W40" s="53">
        <v>1</v>
      </c>
      <c r="X40" s="53" t="s">
        <v>39</v>
      </c>
      <c r="Y40" s="53" t="s">
        <v>78</v>
      </c>
      <c r="Z40" s="53" t="s">
        <v>97</v>
      </c>
      <c r="AA40" s="53" t="s">
        <v>69</v>
      </c>
      <c r="AB40" s="53" t="s">
        <v>261</v>
      </c>
    </row>
    <row r="41" spans="1:28" x14ac:dyDescent="0.15">
      <c r="A41" s="53" t="s">
        <v>56</v>
      </c>
      <c r="B41" s="53" t="s">
        <v>257</v>
      </c>
      <c r="C41" s="53">
        <v>2019</v>
      </c>
      <c r="D41" s="178" t="s">
        <v>367</v>
      </c>
      <c r="E41" s="53" t="s">
        <v>387</v>
      </c>
      <c r="F41" s="53" t="s">
        <v>380</v>
      </c>
      <c r="G41" s="53" t="s">
        <v>42</v>
      </c>
      <c r="H41" s="53" t="s">
        <v>160</v>
      </c>
      <c r="I41" s="53" t="s">
        <v>159</v>
      </c>
      <c r="J41" s="53" t="s">
        <v>38</v>
      </c>
      <c r="K41" s="53" t="s">
        <v>161</v>
      </c>
      <c r="L41" s="53">
        <v>1</v>
      </c>
      <c r="N41" s="53">
        <v>1</v>
      </c>
      <c r="O41" s="53">
        <v>0.7</v>
      </c>
      <c r="P41" s="53">
        <v>0.65</v>
      </c>
      <c r="Q41" s="16">
        <f t="shared" si="0"/>
        <v>0.67500000000000004</v>
      </c>
      <c r="R41" s="53">
        <v>16.5</v>
      </c>
      <c r="S41" s="53">
        <v>132</v>
      </c>
      <c r="T41" s="16">
        <f t="shared" si="1"/>
        <v>25</v>
      </c>
      <c r="U41" s="53">
        <v>150</v>
      </c>
      <c r="V41" s="16">
        <f t="shared" si="2"/>
        <v>3750</v>
      </c>
      <c r="W41" s="53">
        <v>1</v>
      </c>
      <c r="X41" s="53" t="s">
        <v>39</v>
      </c>
      <c r="Y41" s="53" t="s">
        <v>78</v>
      </c>
      <c r="Z41" s="53" t="s">
        <v>97</v>
      </c>
      <c r="AA41" s="53" t="s">
        <v>69</v>
      </c>
      <c r="AB41" s="53" t="s">
        <v>261</v>
      </c>
    </row>
    <row r="42" spans="1:28" x14ac:dyDescent="0.15">
      <c r="A42" s="53" t="s">
        <v>56</v>
      </c>
      <c r="B42" s="53" t="s">
        <v>257</v>
      </c>
      <c r="C42" s="53">
        <v>2019</v>
      </c>
      <c r="D42" s="178" t="s">
        <v>367</v>
      </c>
      <c r="E42" s="53" t="s">
        <v>387</v>
      </c>
      <c r="F42" s="53" t="s">
        <v>380</v>
      </c>
      <c r="G42" s="53" t="s">
        <v>42</v>
      </c>
      <c r="H42" s="53" t="s">
        <v>160</v>
      </c>
      <c r="I42" s="53" t="s">
        <v>159</v>
      </c>
      <c r="J42" s="53" t="s">
        <v>38</v>
      </c>
      <c r="K42" s="53" t="s">
        <v>161</v>
      </c>
      <c r="L42" s="53">
        <v>2</v>
      </c>
      <c r="N42" s="53">
        <v>1</v>
      </c>
      <c r="O42" s="53">
        <v>0.65</v>
      </c>
      <c r="P42" s="53">
        <v>0.7</v>
      </c>
      <c r="Q42" s="16">
        <f t="shared" si="0"/>
        <v>0.67500000000000004</v>
      </c>
      <c r="R42" s="53">
        <v>17</v>
      </c>
      <c r="S42" s="53">
        <v>129</v>
      </c>
      <c r="T42" s="16">
        <f t="shared" si="1"/>
        <v>25</v>
      </c>
      <c r="U42" s="53">
        <v>150</v>
      </c>
      <c r="V42" s="16">
        <f t="shared" si="2"/>
        <v>3750</v>
      </c>
      <c r="W42" s="53">
        <v>1</v>
      </c>
      <c r="X42" s="53" t="s">
        <v>39</v>
      </c>
      <c r="Y42" s="53" t="s">
        <v>78</v>
      </c>
      <c r="Z42" s="53" t="s">
        <v>97</v>
      </c>
      <c r="AA42" s="53" t="s">
        <v>69</v>
      </c>
      <c r="AB42" s="53" t="s">
        <v>261</v>
      </c>
    </row>
    <row r="43" spans="1:28" x14ac:dyDescent="0.15">
      <c r="A43" s="53" t="s">
        <v>56</v>
      </c>
      <c r="B43" s="53" t="s">
        <v>257</v>
      </c>
      <c r="C43" s="53">
        <v>2019</v>
      </c>
      <c r="D43" s="178" t="s">
        <v>367</v>
      </c>
      <c r="E43" s="53" t="s">
        <v>387</v>
      </c>
      <c r="F43" s="53" t="s">
        <v>380</v>
      </c>
      <c r="G43" s="53" t="s">
        <v>42</v>
      </c>
      <c r="H43" s="53" t="s">
        <v>160</v>
      </c>
      <c r="I43" s="53" t="s">
        <v>159</v>
      </c>
      <c r="J43" s="53" t="s">
        <v>38</v>
      </c>
      <c r="K43" s="53" t="s">
        <v>161</v>
      </c>
      <c r="L43" s="53">
        <v>3</v>
      </c>
      <c r="N43" s="53">
        <v>1</v>
      </c>
      <c r="O43" s="53">
        <v>0.85</v>
      </c>
      <c r="P43" s="53">
        <v>0.8</v>
      </c>
      <c r="Q43" s="16">
        <f t="shared" si="0"/>
        <v>0.82499999999999996</v>
      </c>
      <c r="R43" s="53">
        <v>15.2</v>
      </c>
      <c r="S43" s="53">
        <v>136</v>
      </c>
      <c r="T43" s="16">
        <f t="shared" si="1"/>
        <v>25</v>
      </c>
      <c r="U43" s="53">
        <v>150</v>
      </c>
      <c r="V43" s="16">
        <f t="shared" si="2"/>
        <v>3750</v>
      </c>
      <c r="W43" s="53">
        <v>1</v>
      </c>
      <c r="X43" s="53" t="s">
        <v>39</v>
      </c>
      <c r="Y43" s="53" t="s">
        <v>78</v>
      </c>
      <c r="Z43" s="53" t="s">
        <v>97</v>
      </c>
      <c r="AA43" s="53" t="s">
        <v>69</v>
      </c>
      <c r="AB43" s="53" t="s">
        <v>261</v>
      </c>
    </row>
    <row r="44" spans="1:28" x14ac:dyDescent="0.15">
      <c r="A44" s="53" t="s">
        <v>56</v>
      </c>
      <c r="B44" s="53" t="s">
        <v>257</v>
      </c>
      <c r="C44" s="53">
        <v>2019</v>
      </c>
      <c r="D44" s="178" t="s">
        <v>367</v>
      </c>
      <c r="E44" s="53" t="s">
        <v>388</v>
      </c>
      <c r="F44" s="53" t="s">
        <v>371</v>
      </c>
      <c r="G44" s="53" t="s">
        <v>42</v>
      </c>
      <c r="H44" s="53" t="s">
        <v>164</v>
      </c>
      <c r="I44" s="53" t="s">
        <v>159</v>
      </c>
      <c r="J44" s="53" t="s">
        <v>38</v>
      </c>
      <c r="K44" s="53" t="s">
        <v>161</v>
      </c>
      <c r="L44" s="53">
        <v>1</v>
      </c>
      <c r="N44" s="53">
        <v>5</v>
      </c>
      <c r="O44" s="53">
        <v>0.6</v>
      </c>
      <c r="P44" s="53">
        <v>0.6</v>
      </c>
      <c r="Q44" s="16">
        <f t="shared" si="0"/>
        <v>0.6</v>
      </c>
      <c r="R44" s="53">
        <v>14.6</v>
      </c>
      <c r="S44" s="53">
        <v>101</v>
      </c>
      <c r="T44" s="16">
        <f t="shared" si="1"/>
        <v>33</v>
      </c>
      <c r="U44" s="53">
        <v>429</v>
      </c>
      <c r="V44" s="16">
        <f t="shared" si="2"/>
        <v>2831.4</v>
      </c>
      <c r="W44" s="53">
        <v>1</v>
      </c>
      <c r="X44" s="53" t="s">
        <v>39</v>
      </c>
      <c r="Y44" s="53" t="s">
        <v>97</v>
      </c>
      <c r="Z44" s="53" t="s">
        <v>78</v>
      </c>
      <c r="AA44" s="53" t="s">
        <v>102</v>
      </c>
      <c r="AB44" s="53" t="s">
        <v>261</v>
      </c>
    </row>
    <row r="45" spans="1:28" x14ac:dyDescent="0.15">
      <c r="A45" s="53" t="s">
        <v>56</v>
      </c>
      <c r="B45" s="53" t="s">
        <v>257</v>
      </c>
      <c r="C45" s="53">
        <v>2019</v>
      </c>
      <c r="D45" s="178" t="s">
        <v>367</v>
      </c>
      <c r="E45" s="53" t="s">
        <v>388</v>
      </c>
      <c r="F45" s="53" t="s">
        <v>371</v>
      </c>
      <c r="G45" s="53" t="s">
        <v>42</v>
      </c>
      <c r="H45" s="53" t="s">
        <v>164</v>
      </c>
      <c r="I45" s="53" t="s">
        <v>159</v>
      </c>
      <c r="J45" s="53" t="s">
        <v>38</v>
      </c>
      <c r="K45" s="53" t="s">
        <v>161</v>
      </c>
      <c r="L45" s="53">
        <v>2</v>
      </c>
      <c r="N45" s="53">
        <v>5</v>
      </c>
      <c r="O45" s="53">
        <v>0.6</v>
      </c>
      <c r="P45" s="53">
        <v>0.6</v>
      </c>
      <c r="Q45" s="16">
        <f t="shared" si="0"/>
        <v>0.6</v>
      </c>
      <c r="R45" s="53">
        <v>14.5</v>
      </c>
      <c r="S45" s="53">
        <v>98</v>
      </c>
      <c r="T45" s="16">
        <f t="shared" si="1"/>
        <v>36</v>
      </c>
      <c r="U45" s="53">
        <v>429</v>
      </c>
      <c r="V45" s="16">
        <f t="shared" si="2"/>
        <v>3088.7999999999997</v>
      </c>
      <c r="W45" s="53">
        <v>1</v>
      </c>
      <c r="X45" s="53" t="s">
        <v>39</v>
      </c>
      <c r="Y45" s="53" t="s">
        <v>97</v>
      </c>
      <c r="Z45" s="53" t="s">
        <v>78</v>
      </c>
      <c r="AA45" s="53" t="s">
        <v>102</v>
      </c>
      <c r="AB45" s="53" t="s">
        <v>261</v>
      </c>
    </row>
    <row r="46" spans="1:28" x14ac:dyDescent="0.15">
      <c r="A46" s="53" t="s">
        <v>56</v>
      </c>
      <c r="B46" s="53" t="s">
        <v>257</v>
      </c>
      <c r="C46" s="53">
        <v>2019</v>
      </c>
      <c r="D46" s="178" t="s">
        <v>367</v>
      </c>
      <c r="E46" s="53" t="s">
        <v>388</v>
      </c>
      <c r="F46" s="53" t="s">
        <v>371</v>
      </c>
      <c r="G46" s="53" t="s">
        <v>42</v>
      </c>
      <c r="H46" s="53" t="s">
        <v>164</v>
      </c>
      <c r="I46" s="53" t="s">
        <v>159</v>
      </c>
      <c r="J46" s="53" t="s">
        <v>38</v>
      </c>
      <c r="K46" s="53" t="s">
        <v>161</v>
      </c>
      <c r="L46" s="53">
        <v>3</v>
      </c>
      <c r="N46" s="53">
        <v>5</v>
      </c>
      <c r="O46" s="53">
        <v>0.65</v>
      </c>
      <c r="P46" s="53">
        <v>0.7</v>
      </c>
      <c r="Q46" s="16">
        <f t="shared" si="0"/>
        <v>0.67500000000000004</v>
      </c>
      <c r="R46" s="53">
        <v>14.6</v>
      </c>
      <c r="S46" s="53">
        <v>102</v>
      </c>
      <c r="T46" s="16">
        <f t="shared" si="1"/>
        <v>33</v>
      </c>
      <c r="U46" s="53">
        <v>429</v>
      </c>
      <c r="V46" s="16">
        <f t="shared" si="2"/>
        <v>2831.4</v>
      </c>
      <c r="W46" s="53">
        <v>1</v>
      </c>
      <c r="X46" s="53" t="s">
        <v>39</v>
      </c>
      <c r="Y46" s="53" t="s">
        <v>97</v>
      </c>
      <c r="Z46" s="53" t="s">
        <v>78</v>
      </c>
      <c r="AA46" s="53" t="s">
        <v>102</v>
      </c>
      <c r="AB46" s="53" t="s">
        <v>261</v>
      </c>
    </row>
    <row r="47" spans="1:28" x14ac:dyDescent="0.15">
      <c r="A47" s="53" t="s">
        <v>56</v>
      </c>
      <c r="B47" s="53" t="s">
        <v>257</v>
      </c>
      <c r="C47" s="53">
        <v>2019</v>
      </c>
      <c r="D47" s="178" t="s">
        <v>367</v>
      </c>
      <c r="E47" s="53" t="s">
        <v>381</v>
      </c>
      <c r="F47" s="53" t="s">
        <v>383</v>
      </c>
      <c r="G47" s="53" t="s">
        <v>42</v>
      </c>
      <c r="H47" s="53" t="s">
        <v>164</v>
      </c>
      <c r="I47" s="53" t="s">
        <v>159</v>
      </c>
      <c r="J47" s="53" t="s">
        <v>38</v>
      </c>
      <c r="K47" s="53" t="s">
        <v>161</v>
      </c>
      <c r="L47" s="53">
        <v>1</v>
      </c>
      <c r="N47" s="53">
        <v>8</v>
      </c>
      <c r="O47" s="53">
        <v>0.6</v>
      </c>
      <c r="P47" s="53">
        <v>0.6</v>
      </c>
      <c r="Q47" s="16">
        <f t="shared" si="0"/>
        <v>0.6</v>
      </c>
      <c r="R47" s="53">
        <v>15.8</v>
      </c>
      <c r="S47" s="53">
        <v>103</v>
      </c>
      <c r="T47" s="16">
        <f t="shared" si="1"/>
        <v>33</v>
      </c>
      <c r="U47" s="53">
        <v>518</v>
      </c>
      <c r="V47" s="16">
        <f t="shared" si="2"/>
        <v>2136.75</v>
      </c>
      <c r="W47" s="53">
        <v>8</v>
      </c>
      <c r="X47" s="53" t="s">
        <v>46</v>
      </c>
      <c r="Y47" s="53" t="s">
        <v>102</v>
      </c>
      <c r="Z47" s="53" t="s">
        <v>78</v>
      </c>
      <c r="AA47" s="53" t="s">
        <v>55</v>
      </c>
      <c r="AB47" s="53" t="s">
        <v>261</v>
      </c>
    </row>
    <row r="48" spans="1:28" x14ac:dyDescent="0.15">
      <c r="A48" s="53" t="s">
        <v>56</v>
      </c>
      <c r="B48" s="53" t="s">
        <v>257</v>
      </c>
      <c r="C48" s="53">
        <v>2019</v>
      </c>
      <c r="D48" s="178" t="s">
        <v>367</v>
      </c>
      <c r="E48" s="53" t="s">
        <v>381</v>
      </c>
      <c r="F48" s="53" t="s">
        <v>383</v>
      </c>
      <c r="G48" s="53" t="s">
        <v>42</v>
      </c>
      <c r="H48" s="53" t="s">
        <v>164</v>
      </c>
      <c r="I48" s="53" t="s">
        <v>159</v>
      </c>
      <c r="J48" s="53" t="s">
        <v>38</v>
      </c>
      <c r="K48" s="53" t="s">
        <v>161</v>
      </c>
      <c r="L48" s="53">
        <v>2</v>
      </c>
      <c r="N48" s="53">
        <v>8</v>
      </c>
      <c r="O48" s="53">
        <v>0.65</v>
      </c>
      <c r="P48" s="53">
        <v>0.65</v>
      </c>
      <c r="Q48" s="16">
        <f t="shared" si="0"/>
        <v>0.65</v>
      </c>
      <c r="R48" s="53">
        <v>15.2</v>
      </c>
      <c r="S48" s="53">
        <v>94</v>
      </c>
      <c r="T48" s="16">
        <f t="shared" si="1"/>
        <v>36</v>
      </c>
      <c r="U48" s="53">
        <v>518</v>
      </c>
      <c r="V48" s="16">
        <f t="shared" si="2"/>
        <v>2331</v>
      </c>
      <c r="W48" s="53">
        <v>8</v>
      </c>
      <c r="X48" s="53" t="s">
        <v>46</v>
      </c>
      <c r="Y48" s="53" t="s">
        <v>102</v>
      </c>
      <c r="Z48" s="53" t="s">
        <v>78</v>
      </c>
      <c r="AA48" s="53" t="s">
        <v>55</v>
      </c>
      <c r="AB48" s="53" t="s">
        <v>261</v>
      </c>
    </row>
    <row r="49" spans="1:28" x14ac:dyDescent="0.15">
      <c r="A49" s="53" t="s">
        <v>56</v>
      </c>
      <c r="B49" s="53" t="s">
        <v>257</v>
      </c>
      <c r="C49" s="53">
        <v>2019</v>
      </c>
      <c r="D49" s="178" t="s">
        <v>367</v>
      </c>
      <c r="E49" s="53" t="s">
        <v>381</v>
      </c>
      <c r="F49" s="53" t="s">
        <v>383</v>
      </c>
      <c r="G49" s="53" t="s">
        <v>42</v>
      </c>
      <c r="H49" s="53" t="s">
        <v>164</v>
      </c>
      <c r="I49" s="53" t="s">
        <v>159</v>
      </c>
      <c r="J49" s="53" t="s">
        <v>38</v>
      </c>
      <c r="K49" s="53" t="s">
        <v>161</v>
      </c>
      <c r="L49" s="53">
        <v>3</v>
      </c>
      <c r="N49" s="53">
        <v>8</v>
      </c>
      <c r="O49" s="53">
        <v>0.6</v>
      </c>
      <c r="P49" s="53">
        <v>0.6</v>
      </c>
      <c r="Q49" s="16">
        <f t="shared" si="0"/>
        <v>0.6</v>
      </c>
      <c r="R49" s="53">
        <v>14.8</v>
      </c>
      <c r="S49" s="53">
        <v>103</v>
      </c>
      <c r="T49" s="16">
        <f t="shared" si="1"/>
        <v>33</v>
      </c>
      <c r="U49" s="53">
        <v>518</v>
      </c>
      <c r="V49" s="16">
        <f t="shared" si="2"/>
        <v>2136.75</v>
      </c>
      <c r="W49" s="53">
        <v>8</v>
      </c>
      <c r="X49" s="53" t="s">
        <v>46</v>
      </c>
      <c r="Y49" s="53" t="s">
        <v>102</v>
      </c>
      <c r="Z49" s="53" t="s">
        <v>78</v>
      </c>
      <c r="AA49" s="53" t="s">
        <v>55</v>
      </c>
      <c r="AB49" s="53" t="s">
        <v>261</v>
      </c>
    </row>
    <row r="50" spans="1:28" x14ac:dyDescent="0.15">
      <c r="A50" s="53" t="s">
        <v>56</v>
      </c>
      <c r="B50" s="53" t="s">
        <v>257</v>
      </c>
      <c r="C50" s="53">
        <v>2019</v>
      </c>
      <c r="D50" s="178" t="s">
        <v>367</v>
      </c>
      <c r="E50" s="53" t="s">
        <v>381</v>
      </c>
      <c r="F50" s="53" t="s">
        <v>383</v>
      </c>
      <c r="G50" s="53" t="s">
        <v>42</v>
      </c>
      <c r="H50" s="53" t="s">
        <v>160</v>
      </c>
      <c r="I50" s="53" t="s">
        <v>159</v>
      </c>
      <c r="J50" s="53" t="s">
        <v>38</v>
      </c>
      <c r="K50" s="53" t="s">
        <v>161</v>
      </c>
      <c r="L50" s="53">
        <v>1</v>
      </c>
      <c r="N50" s="53">
        <v>5</v>
      </c>
      <c r="O50" s="53">
        <v>0.75</v>
      </c>
      <c r="P50" s="53">
        <v>0.6</v>
      </c>
      <c r="Q50" s="16">
        <f t="shared" si="0"/>
        <v>0.67500000000000004</v>
      </c>
      <c r="R50" s="53">
        <v>17.899999999999999</v>
      </c>
      <c r="S50" s="53">
        <v>111</v>
      </c>
      <c r="T50" s="16">
        <f t="shared" si="1"/>
        <v>33</v>
      </c>
      <c r="U50" s="53">
        <v>518</v>
      </c>
      <c r="V50" s="16">
        <f t="shared" si="2"/>
        <v>3418.7999999999997</v>
      </c>
      <c r="W50" s="53">
        <v>7</v>
      </c>
      <c r="X50" s="53" t="s">
        <v>46</v>
      </c>
      <c r="Y50" s="53" t="s">
        <v>102</v>
      </c>
      <c r="Z50" s="53" t="s">
        <v>78</v>
      </c>
      <c r="AA50" s="53" t="s">
        <v>55</v>
      </c>
      <c r="AB50" s="53" t="s">
        <v>261</v>
      </c>
    </row>
    <row r="51" spans="1:28" x14ac:dyDescent="0.15">
      <c r="A51" s="53" t="s">
        <v>56</v>
      </c>
      <c r="B51" s="53" t="s">
        <v>257</v>
      </c>
      <c r="C51" s="53">
        <v>2019</v>
      </c>
      <c r="D51" s="178" t="s">
        <v>367</v>
      </c>
      <c r="E51" s="53" t="s">
        <v>381</v>
      </c>
      <c r="F51" s="53" t="s">
        <v>383</v>
      </c>
      <c r="G51" s="53" t="s">
        <v>42</v>
      </c>
      <c r="H51" s="53" t="s">
        <v>160</v>
      </c>
      <c r="I51" s="53" t="s">
        <v>159</v>
      </c>
      <c r="J51" s="53" t="s">
        <v>38</v>
      </c>
      <c r="K51" s="53" t="s">
        <v>161</v>
      </c>
      <c r="L51" s="53">
        <v>2</v>
      </c>
      <c r="N51" s="53">
        <v>5</v>
      </c>
      <c r="O51" s="53">
        <v>0.6</v>
      </c>
      <c r="P51" s="53">
        <v>0.6</v>
      </c>
      <c r="Q51" s="16">
        <f t="shared" si="0"/>
        <v>0.6</v>
      </c>
      <c r="R51" s="53">
        <v>15.4</v>
      </c>
      <c r="S51" s="53">
        <v>111</v>
      </c>
      <c r="T51" s="16">
        <f t="shared" si="1"/>
        <v>33</v>
      </c>
      <c r="U51" s="53">
        <v>518</v>
      </c>
      <c r="V51" s="16">
        <f t="shared" si="2"/>
        <v>3418.7999999999997</v>
      </c>
      <c r="W51" s="53">
        <v>7</v>
      </c>
      <c r="X51" s="53" t="s">
        <v>46</v>
      </c>
      <c r="Y51" s="53" t="s">
        <v>102</v>
      </c>
      <c r="Z51" s="53" t="s">
        <v>78</v>
      </c>
      <c r="AA51" s="53" t="s">
        <v>55</v>
      </c>
      <c r="AB51" s="53" t="s">
        <v>261</v>
      </c>
    </row>
    <row r="52" spans="1:28" x14ac:dyDescent="0.15">
      <c r="A52" s="53" t="s">
        <v>56</v>
      </c>
      <c r="B52" s="53" t="s">
        <v>257</v>
      </c>
      <c r="C52" s="53">
        <v>2019</v>
      </c>
      <c r="D52" s="178" t="s">
        <v>367</v>
      </c>
      <c r="E52" s="53" t="s">
        <v>381</v>
      </c>
      <c r="F52" s="53" t="s">
        <v>383</v>
      </c>
      <c r="G52" s="53" t="s">
        <v>42</v>
      </c>
      <c r="H52" s="53" t="s">
        <v>160</v>
      </c>
      <c r="I52" s="53" t="s">
        <v>159</v>
      </c>
      <c r="J52" s="53" t="s">
        <v>38</v>
      </c>
      <c r="K52" s="53" t="s">
        <v>161</v>
      </c>
      <c r="L52" s="53">
        <v>3</v>
      </c>
      <c r="N52" s="53">
        <v>5</v>
      </c>
      <c r="O52" s="53">
        <v>0.6</v>
      </c>
      <c r="P52" s="53">
        <v>0.55000000000000004</v>
      </c>
      <c r="Q52" s="16">
        <f t="shared" si="0"/>
        <v>0.57499999999999996</v>
      </c>
      <c r="R52" s="53">
        <v>16.8</v>
      </c>
      <c r="S52" s="53">
        <v>113</v>
      </c>
      <c r="T52" s="16">
        <f t="shared" si="1"/>
        <v>30</v>
      </c>
      <c r="U52" s="53">
        <v>518</v>
      </c>
      <c r="V52" s="16">
        <f t="shared" si="2"/>
        <v>3108</v>
      </c>
      <c r="W52" s="53">
        <v>7</v>
      </c>
      <c r="X52" s="53" t="s">
        <v>46</v>
      </c>
      <c r="Y52" s="53" t="s">
        <v>102</v>
      </c>
      <c r="Z52" s="53" t="s">
        <v>78</v>
      </c>
      <c r="AA52" s="53" t="s">
        <v>55</v>
      </c>
      <c r="AB52" s="53" t="s">
        <v>261</v>
      </c>
    </row>
    <row r="53" spans="1:28" x14ac:dyDescent="0.15">
      <c r="A53" s="53" t="s">
        <v>56</v>
      </c>
      <c r="B53" s="53" t="s">
        <v>257</v>
      </c>
      <c r="C53" s="53">
        <v>2019</v>
      </c>
      <c r="D53" s="178" t="s">
        <v>367</v>
      </c>
      <c r="E53" s="53" t="s">
        <v>389</v>
      </c>
      <c r="F53" s="53" t="s">
        <v>383</v>
      </c>
      <c r="G53" s="53" t="s">
        <v>42</v>
      </c>
      <c r="H53" s="53" t="s">
        <v>164</v>
      </c>
      <c r="I53" s="53" t="s">
        <v>159</v>
      </c>
      <c r="J53" s="53" t="s">
        <v>38</v>
      </c>
      <c r="K53" s="53" t="s">
        <v>161</v>
      </c>
      <c r="L53" s="53">
        <v>1</v>
      </c>
      <c r="N53" s="53">
        <v>9</v>
      </c>
      <c r="O53" s="53">
        <v>0.85</v>
      </c>
      <c r="P53" s="53">
        <v>0.75</v>
      </c>
      <c r="Q53" s="16">
        <f t="shared" si="0"/>
        <v>0.8</v>
      </c>
      <c r="R53" s="53">
        <v>15.4</v>
      </c>
      <c r="S53" s="53">
        <v>102</v>
      </c>
      <c r="T53" s="16">
        <f t="shared" si="1"/>
        <v>33</v>
      </c>
      <c r="U53" s="53">
        <v>950</v>
      </c>
      <c r="V53" s="16">
        <f t="shared" si="2"/>
        <v>3483.3333333333335</v>
      </c>
      <c r="W53" s="53">
        <v>8</v>
      </c>
      <c r="X53" s="53" t="s">
        <v>46</v>
      </c>
      <c r="Y53" s="53" t="s">
        <v>55</v>
      </c>
      <c r="Z53" s="53" t="s">
        <v>78</v>
      </c>
      <c r="AA53" s="53" t="s">
        <v>102</v>
      </c>
      <c r="AB53" s="53" t="s">
        <v>261</v>
      </c>
    </row>
    <row r="54" spans="1:28" x14ac:dyDescent="0.15">
      <c r="A54" s="53" t="s">
        <v>56</v>
      </c>
      <c r="B54" s="53" t="s">
        <v>257</v>
      </c>
      <c r="C54" s="53">
        <v>2019</v>
      </c>
      <c r="D54" s="178" t="s">
        <v>367</v>
      </c>
      <c r="E54" s="53" t="s">
        <v>389</v>
      </c>
      <c r="F54" s="53" t="s">
        <v>383</v>
      </c>
      <c r="G54" s="53" t="s">
        <v>42</v>
      </c>
      <c r="H54" s="53" t="s">
        <v>164</v>
      </c>
      <c r="I54" s="53" t="s">
        <v>159</v>
      </c>
      <c r="J54" s="53" t="s">
        <v>38</v>
      </c>
      <c r="K54" s="53" t="s">
        <v>161</v>
      </c>
      <c r="L54" s="53">
        <v>2</v>
      </c>
      <c r="N54" s="53">
        <v>9</v>
      </c>
      <c r="O54" s="53">
        <v>0.7</v>
      </c>
      <c r="P54" s="53">
        <v>0.75</v>
      </c>
      <c r="Q54" s="16">
        <f t="shared" si="0"/>
        <v>0.72499999999999998</v>
      </c>
      <c r="R54" s="53">
        <v>15.4</v>
      </c>
      <c r="S54" s="53">
        <v>101</v>
      </c>
      <c r="T54" s="16">
        <f t="shared" si="1"/>
        <v>33</v>
      </c>
      <c r="U54" s="53">
        <v>950</v>
      </c>
      <c r="V54" s="16">
        <f t="shared" si="2"/>
        <v>3483.3333333333335</v>
      </c>
      <c r="W54" s="53">
        <v>8</v>
      </c>
      <c r="X54" s="53" t="s">
        <v>46</v>
      </c>
      <c r="Y54" s="53" t="s">
        <v>55</v>
      </c>
      <c r="Z54" s="53" t="s">
        <v>78</v>
      </c>
      <c r="AA54" s="53" t="s">
        <v>102</v>
      </c>
      <c r="AB54" s="53" t="s">
        <v>261</v>
      </c>
    </row>
    <row r="55" spans="1:28" x14ac:dyDescent="0.15">
      <c r="A55" s="53" t="s">
        <v>56</v>
      </c>
      <c r="B55" s="53" t="s">
        <v>257</v>
      </c>
      <c r="C55" s="53">
        <v>2019</v>
      </c>
      <c r="D55" s="178" t="s">
        <v>367</v>
      </c>
      <c r="E55" s="53" t="s">
        <v>389</v>
      </c>
      <c r="F55" s="53" t="s">
        <v>383</v>
      </c>
      <c r="G55" s="53" t="s">
        <v>42</v>
      </c>
      <c r="H55" s="53" t="s">
        <v>164</v>
      </c>
      <c r="I55" s="53" t="s">
        <v>159</v>
      </c>
      <c r="J55" s="53" t="s">
        <v>38</v>
      </c>
      <c r="K55" s="53" t="s">
        <v>161</v>
      </c>
      <c r="L55" s="53">
        <v>3</v>
      </c>
      <c r="N55" s="53">
        <v>9</v>
      </c>
      <c r="O55" s="53">
        <v>0.7</v>
      </c>
      <c r="P55" s="53">
        <v>0.7</v>
      </c>
      <c r="Q55" s="16">
        <f t="shared" si="0"/>
        <v>0.7</v>
      </c>
      <c r="R55" s="53">
        <v>15.5</v>
      </c>
      <c r="S55" s="53">
        <v>95</v>
      </c>
      <c r="T55" s="16">
        <f t="shared" si="1"/>
        <v>36</v>
      </c>
      <c r="U55" s="53">
        <v>950</v>
      </c>
      <c r="V55" s="16">
        <f t="shared" si="2"/>
        <v>3800</v>
      </c>
      <c r="W55" s="53">
        <v>8</v>
      </c>
      <c r="X55" s="53" t="s">
        <v>46</v>
      </c>
      <c r="Y55" s="53" t="s">
        <v>55</v>
      </c>
      <c r="Z55" s="53" t="s">
        <v>78</v>
      </c>
      <c r="AA55" s="53" t="s">
        <v>102</v>
      </c>
      <c r="AB55" s="53" t="s">
        <v>261</v>
      </c>
    </row>
    <row r="56" spans="1:28" x14ac:dyDescent="0.15">
      <c r="A56" s="53" t="s">
        <v>56</v>
      </c>
      <c r="B56" s="53" t="s">
        <v>257</v>
      </c>
      <c r="C56" s="53">
        <v>2019</v>
      </c>
      <c r="D56" s="178" t="s">
        <v>367</v>
      </c>
      <c r="E56" s="53" t="s">
        <v>389</v>
      </c>
      <c r="F56" s="53" t="s">
        <v>383</v>
      </c>
      <c r="G56" s="53" t="s">
        <v>42</v>
      </c>
      <c r="H56" s="53" t="s">
        <v>160</v>
      </c>
      <c r="I56" s="53" t="s">
        <v>159</v>
      </c>
      <c r="J56" s="53" t="s">
        <v>38</v>
      </c>
      <c r="K56" s="53" t="s">
        <v>161</v>
      </c>
      <c r="L56" s="53">
        <v>1</v>
      </c>
      <c r="N56" s="53">
        <v>9</v>
      </c>
      <c r="O56" s="53">
        <v>0.8</v>
      </c>
      <c r="P56" s="53">
        <v>0.8</v>
      </c>
      <c r="Q56" s="16">
        <f t="shared" si="0"/>
        <v>0.8</v>
      </c>
      <c r="R56" s="53">
        <v>15.6</v>
      </c>
      <c r="S56" s="53">
        <v>108</v>
      </c>
      <c r="T56" s="16">
        <f t="shared" si="1"/>
        <v>33</v>
      </c>
      <c r="U56" s="53">
        <v>1382</v>
      </c>
      <c r="V56" s="16">
        <f t="shared" si="2"/>
        <v>5067.333333333333</v>
      </c>
      <c r="W56" s="53">
        <v>12</v>
      </c>
      <c r="X56" s="53" t="s">
        <v>46</v>
      </c>
      <c r="Y56" s="53" t="s">
        <v>55</v>
      </c>
      <c r="Z56" s="53" t="s">
        <v>78</v>
      </c>
      <c r="AA56" s="53" t="s">
        <v>102</v>
      </c>
      <c r="AB56" s="53" t="s">
        <v>261</v>
      </c>
    </row>
    <row r="57" spans="1:28" x14ac:dyDescent="0.15">
      <c r="A57" s="53" t="s">
        <v>56</v>
      </c>
      <c r="B57" s="53" t="s">
        <v>257</v>
      </c>
      <c r="C57" s="53">
        <v>2019</v>
      </c>
      <c r="D57" s="178" t="s">
        <v>367</v>
      </c>
      <c r="E57" s="53" t="s">
        <v>389</v>
      </c>
      <c r="F57" s="53" t="s">
        <v>383</v>
      </c>
      <c r="G57" s="53" t="s">
        <v>42</v>
      </c>
      <c r="H57" s="53" t="s">
        <v>160</v>
      </c>
      <c r="I57" s="53" t="s">
        <v>159</v>
      </c>
      <c r="J57" s="53" t="s">
        <v>38</v>
      </c>
      <c r="K57" s="53" t="s">
        <v>161</v>
      </c>
      <c r="L57" s="53">
        <v>2</v>
      </c>
      <c r="N57" s="53">
        <v>9</v>
      </c>
      <c r="O57" s="53">
        <v>0.75</v>
      </c>
      <c r="P57" s="53">
        <v>0.75</v>
      </c>
      <c r="Q57" s="16">
        <f t="shared" si="0"/>
        <v>0.75</v>
      </c>
      <c r="R57" s="53">
        <v>15.9</v>
      </c>
      <c r="S57" s="53">
        <v>99</v>
      </c>
      <c r="T57" s="16">
        <f t="shared" si="1"/>
        <v>33</v>
      </c>
      <c r="U57" s="53">
        <v>1382</v>
      </c>
      <c r="V57" s="16">
        <f t="shared" si="2"/>
        <v>5067.333333333333</v>
      </c>
      <c r="W57" s="53">
        <v>12</v>
      </c>
      <c r="X57" s="53" t="s">
        <v>46</v>
      </c>
      <c r="Y57" s="53" t="s">
        <v>55</v>
      </c>
      <c r="Z57" s="53" t="s">
        <v>78</v>
      </c>
      <c r="AA57" s="53" t="s">
        <v>102</v>
      </c>
      <c r="AB57" s="53" t="s">
        <v>261</v>
      </c>
    </row>
    <row r="58" spans="1:28" x14ac:dyDescent="0.15">
      <c r="A58" s="53" t="s">
        <v>56</v>
      </c>
      <c r="B58" s="53" t="s">
        <v>257</v>
      </c>
      <c r="C58" s="53">
        <v>2019</v>
      </c>
      <c r="D58" s="178" t="s">
        <v>367</v>
      </c>
      <c r="E58" s="53" t="s">
        <v>389</v>
      </c>
      <c r="F58" s="53" t="s">
        <v>383</v>
      </c>
      <c r="G58" s="53" t="s">
        <v>42</v>
      </c>
      <c r="H58" s="53" t="s">
        <v>160</v>
      </c>
      <c r="I58" s="53" t="s">
        <v>159</v>
      </c>
      <c r="J58" s="53" t="s">
        <v>38</v>
      </c>
      <c r="K58" s="53" t="s">
        <v>161</v>
      </c>
      <c r="L58" s="53">
        <v>3</v>
      </c>
      <c r="N58" s="53">
        <v>9</v>
      </c>
      <c r="O58" s="53">
        <v>0.7</v>
      </c>
      <c r="P58" s="53">
        <v>0.8</v>
      </c>
      <c r="Q58" s="16">
        <f t="shared" si="0"/>
        <v>0.75</v>
      </c>
      <c r="R58" s="53">
        <v>15.3</v>
      </c>
      <c r="S58" s="53">
        <v>100</v>
      </c>
      <c r="T58" s="16">
        <f t="shared" si="1"/>
        <v>33</v>
      </c>
      <c r="U58" s="53">
        <v>1382</v>
      </c>
      <c r="V58" s="16">
        <f t="shared" si="2"/>
        <v>5067.333333333333</v>
      </c>
      <c r="W58" s="53">
        <v>12</v>
      </c>
      <c r="X58" s="53" t="s">
        <v>46</v>
      </c>
      <c r="Y58" s="53" t="s">
        <v>55</v>
      </c>
      <c r="Z58" s="53" t="s">
        <v>78</v>
      </c>
      <c r="AA58" s="53" t="s">
        <v>102</v>
      </c>
      <c r="AB58" s="53" t="s">
        <v>261</v>
      </c>
    </row>
    <row r="59" spans="1:28" x14ac:dyDescent="0.15">
      <c r="D59" s="178"/>
    </row>
    <row r="60" spans="1:28" x14ac:dyDescent="0.15">
      <c r="D60" s="178"/>
    </row>
    <row r="61" spans="1:28" x14ac:dyDescent="0.15">
      <c r="D61" s="178"/>
    </row>
    <row r="62" spans="1:28" x14ac:dyDescent="0.15">
      <c r="D62" s="178"/>
    </row>
    <row r="63" spans="1:28" x14ac:dyDescent="0.15">
      <c r="D63" s="178"/>
    </row>
    <row r="64" spans="1:28" x14ac:dyDescent="0.15">
      <c r="D64" s="178"/>
    </row>
    <row r="65" spans="4:4" x14ac:dyDescent="0.15">
      <c r="D65" s="178"/>
    </row>
    <row r="66" spans="4:4" x14ac:dyDescent="0.15">
      <c r="D66" s="178"/>
    </row>
    <row r="67" spans="4:4" x14ac:dyDescent="0.15">
      <c r="D67" s="178"/>
    </row>
    <row r="68" spans="4:4" x14ac:dyDescent="0.15">
      <c r="D68" s="178"/>
    </row>
    <row r="69" spans="4:4" x14ac:dyDescent="0.15">
      <c r="D69" s="178"/>
    </row>
    <row r="70" spans="4:4" x14ac:dyDescent="0.15">
      <c r="D70" s="178"/>
    </row>
    <row r="71" spans="4:4" x14ac:dyDescent="0.15">
      <c r="D71" s="178"/>
    </row>
    <row r="72" spans="4:4" x14ac:dyDescent="0.15">
      <c r="D72" s="178"/>
    </row>
    <row r="73" spans="4:4" x14ac:dyDescent="0.15">
      <c r="D73" s="178"/>
    </row>
    <row r="74" spans="4:4" x14ac:dyDescent="0.15">
      <c r="D74" s="178"/>
    </row>
    <row r="75" spans="4:4" x14ac:dyDescent="0.15">
      <c r="D75" s="178"/>
    </row>
    <row r="76" spans="4:4" x14ac:dyDescent="0.15">
      <c r="D76" s="178"/>
    </row>
    <row r="77" spans="4:4" x14ac:dyDescent="0.15">
      <c r="D77" s="178"/>
    </row>
    <row r="78" spans="4:4" x14ac:dyDescent="0.15">
      <c r="D78" s="178"/>
    </row>
    <row r="79" spans="4:4" x14ac:dyDescent="0.15">
      <c r="D79" s="178"/>
    </row>
    <row r="80" spans="4:4" x14ac:dyDescent="0.15">
      <c r="D80" s="178"/>
    </row>
    <row r="81" spans="4:4" x14ac:dyDescent="0.15">
      <c r="D81" s="178"/>
    </row>
    <row r="82" spans="4:4" x14ac:dyDescent="0.15">
      <c r="D82" s="178"/>
    </row>
  </sheetData>
  <autoFilter ref="A1:BA52" xr:uid="{00000000-0009-0000-0000-000002000000}"/>
  <phoneticPr fontId="3"/>
  <dataValidations count="18">
    <dataValidation type="list" allowBlank="1" showInputMessage="1" showErrorMessage="1" sqref="K2:K450" xr:uid="{593B8086-CEA6-4DCB-8CC1-912AC638EF09}">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6E496F3B-74C0-4228-8E41-5B633677E4FC}">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8DCF3464-F40D-41A5-940D-B7E508885EAD}">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019B4898-1814-4552-B32F-55C47D8228E0}">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60731E30-D93A-4103-8830-29223239281A}">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DF151C42-E7CB-4F1C-80C4-B39CFBC5B93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53D40B80-F63A-4655-8A60-55CA9C02C38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B34F6AF7-EB19-420F-9AD3-5B10209E1264}">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DD597997-DA51-409D-9BC5-E7E91801E105}">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74A46B47-6FC2-48F3-842C-57B5459943C0}">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8A9DB849-665E-40D8-A835-EC600AF33ED2}">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4E24CF2D-ACB8-4299-8636-3DA8C805E29C}">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390FB045-40C3-43B7-812A-65F2C0B5C51D}">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F591F462-9CED-4148-9131-8AB698447834}">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3E91B954-F065-4F1A-8987-35C3342FB476}">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2:O500 P2:P500" xr:uid="{AF6E3692-16D1-4954-91E4-E74B3BDB513C}">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4EE3F230-3F3C-49FB-9A1E-F6E5A7F9461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5A2465C9-7C95-4FC5-AF7A-4FC80100BD72}">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DBB8F-5811-48B2-A7D0-E4959EE3289B}">
  <dimension ref="A1:BA91"/>
  <sheetViews>
    <sheetView zoomScale="85" zoomScaleNormal="85" workbookViewId="0">
      <selection activeCell="J65" sqref="J65"/>
    </sheetView>
  </sheetViews>
  <sheetFormatPr defaultColWidth="9" defaultRowHeight="13.5" x14ac:dyDescent="0.15"/>
  <cols>
    <col min="1" max="3" width="9" style="86"/>
    <col min="4" max="4" width="10.5" style="86" customWidth="1"/>
    <col min="5" max="16" width="9" style="86"/>
    <col min="17" max="17" width="9" style="96"/>
    <col min="18" max="18" width="9" style="86"/>
    <col min="19" max="19" width="9.5" style="86" customWidth="1"/>
    <col min="20" max="20" width="9" style="96"/>
    <col min="21" max="21" width="9" style="86"/>
    <col min="22" max="22" width="9" style="96"/>
    <col min="23" max="23" width="10.5" style="86" customWidth="1"/>
    <col min="24" max="32" width="9" style="86"/>
    <col min="33" max="33" width="19.625" style="86" customWidth="1"/>
    <col min="34" max="34" width="9.375" style="86" customWidth="1"/>
    <col min="35" max="259" width="9" style="86"/>
    <col min="260" max="260" width="10.5" style="86" customWidth="1"/>
    <col min="261" max="274" width="9" style="86"/>
    <col min="275" max="275" width="9.5" style="86" customWidth="1"/>
    <col min="276" max="278" width="9" style="86"/>
    <col min="279" max="279" width="10.5" style="86" customWidth="1"/>
    <col min="280" max="515" width="9" style="86"/>
    <col min="516" max="516" width="10.5" style="86" customWidth="1"/>
    <col min="517" max="530" width="9" style="86"/>
    <col min="531" max="531" width="9.5" style="86" customWidth="1"/>
    <col min="532" max="534" width="9" style="86"/>
    <col min="535" max="535" width="10.5" style="86" customWidth="1"/>
    <col min="536" max="771" width="9" style="86"/>
    <col min="772" max="772" width="10.5" style="86" customWidth="1"/>
    <col min="773" max="786" width="9" style="86"/>
    <col min="787" max="787" width="9.5" style="86" customWidth="1"/>
    <col min="788" max="790" width="9" style="86"/>
    <col min="791" max="791" width="10.5" style="86" customWidth="1"/>
    <col min="792" max="1027" width="9" style="86"/>
    <col min="1028" max="1028" width="10.5" style="86" customWidth="1"/>
    <col min="1029" max="1042" width="9" style="86"/>
    <col min="1043" max="1043" width="9.5" style="86" customWidth="1"/>
    <col min="1044" max="1046" width="9" style="86"/>
    <col min="1047" max="1047" width="10.5" style="86" customWidth="1"/>
    <col min="1048" max="1283" width="9" style="86"/>
    <col min="1284" max="1284" width="10.5" style="86" customWidth="1"/>
    <col min="1285" max="1298" width="9" style="86"/>
    <col min="1299" max="1299" width="9.5" style="86" customWidth="1"/>
    <col min="1300" max="1302" width="9" style="86"/>
    <col min="1303" max="1303" width="10.5" style="86" customWidth="1"/>
    <col min="1304" max="1539" width="9" style="86"/>
    <col min="1540" max="1540" width="10.5" style="86" customWidth="1"/>
    <col min="1541" max="1554" width="9" style="86"/>
    <col min="1555" max="1555" width="9.5" style="86" customWidth="1"/>
    <col min="1556" max="1558" width="9" style="86"/>
    <col min="1559" max="1559" width="10.5" style="86" customWidth="1"/>
    <col min="1560" max="1795" width="9" style="86"/>
    <col min="1796" max="1796" width="10.5" style="86" customWidth="1"/>
    <col min="1797" max="1810" width="9" style="86"/>
    <col min="1811" max="1811" width="9.5" style="86" customWidth="1"/>
    <col min="1812" max="1814" width="9" style="86"/>
    <col min="1815" max="1815" width="10.5" style="86" customWidth="1"/>
    <col min="1816" max="2051" width="9" style="86"/>
    <col min="2052" max="2052" width="10.5" style="86" customWidth="1"/>
    <col min="2053" max="2066" width="9" style="86"/>
    <col min="2067" max="2067" width="9.5" style="86" customWidth="1"/>
    <col min="2068" max="2070" width="9" style="86"/>
    <col min="2071" max="2071" width="10.5" style="86" customWidth="1"/>
    <col min="2072" max="2307" width="9" style="86"/>
    <col min="2308" max="2308" width="10.5" style="86" customWidth="1"/>
    <col min="2309" max="2322" width="9" style="86"/>
    <col min="2323" max="2323" width="9.5" style="86" customWidth="1"/>
    <col min="2324" max="2326" width="9" style="86"/>
    <col min="2327" max="2327" width="10.5" style="86" customWidth="1"/>
    <col min="2328" max="2563" width="9" style="86"/>
    <col min="2564" max="2564" width="10.5" style="86" customWidth="1"/>
    <col min="2565" max="2578" width="9" style="86"/>
    <col min="2579" max="2579" width="9.5" style="86" customWidth="1"/>
    <col min="2580" max="2582" width="9" style="86"/>
    <col min="2583" max="2583" width="10.5" style="86" customWidth="1"/>
    <col min="2584" max="2819" width="9" style="86"/>
    <col min="2820" max="2820" width="10.5" style="86" customWidth="1"/>
    <col min="2821" max="2834" width="9" style="86"/>
    <col min="2835" max="2835" width="9.5" style="86" customWidth="1"/>
    <col min="2836" max="2838" width="9" style="86"/>
    <col min="2839" max="2839" width="10.5" style="86" customWidth="1"/>
    <col min="2840" max="3075" width="9" style="86"/>
    <col min="3076" max="3076" width="10.5" style="86" customWidth="1"/>
    <col min="3077" max="3090" width="9" style="86"/>
    <col min="3091" max="3091" width="9.5" style="86" customWidth="1"/>
    <col min="3092" max="3094" width="9" style="86"/>
    <col min="3095" max="3095" width="10.5" style="86" customWidth="1"/>
    <col min="3096" max="3331" width="9" style="86"/>
    <col min="3332" max="3332" width="10.5" style="86" customWidth="1"/>
    <col min="3333" max="3346" width="9" style="86"/>
    <col min="3347" max="3347" width="9.5" style="86" customWidth="1"/>
    <col min="3348" max="3350" width="9" style="86"/>
    <col min="3351" max="3351" width="10.5" style="86" customWidth="1"/>
    <col min="3352" max="3587" width="9" style="86"/>
    <col min="3588" max="3588" width="10.5" style="86" customWidth="1"/>
    <col min="3589" max="3602" width="9" style="86"/>
    <col min="3603" max="3603" width="9.5" style="86" customWidth="1"/>
    <col min="3604" max="3606" width="9" style="86"/>
    <col min="3607" max="3607" width="10.5" style="86" customWidth="1"/>
    <col min="3608" max="3843" width="9" style="86"/>
    <col min="3844" max="3844" width="10.5" style="86" customWidth="1"/>
    <col min="3845" max="3858" width="9" style="86"/>
    <col min="3859" max="3859" width="9.5" style="86" customWidth="1"/>
    <col min="3860" max="3862" width="9" style="86"/>
    <col min="3863" max="3863" width="10.5" style="86" customWidth="1"/>
    <col min="3864" max="4099" width="9" style="86"/>
    <col min="4100" max="4100" width="10.5" style="86" customWidth="1"/>
    <col min="4101" max="4114" width="9" style="86"/>
    <col min="4115" max="4115" width="9.5" style="86" customWidth="1"/>
    <col min="4116" max="4118" width="9" style="86"/>
    <col min="4119" max="4119" width="10.5" style="86" customWidth="1"/>
    <col min="4120" max="4355" width="9" style="86"/>
    <col min="4356" max="4356" width="10.5" style="86" customWidth="1"/>
    <col min="4357" max="4370" width="9" style="86"/>
    <col min="4371" max="4371" width="9.5" style="86" customWidth="1"/>
    <col min="4372" max="4374" width="9" style="86"/>
    <col min="4375" max="4375" width="10.5" style="86" customWidth="1"/>
    <col min="4376" max="4611" width="9" style="86"/>
    <col min="4612" max="4612" width="10.5" style="86" customWidth="1"/>
    <col min="4613" max="4626" width="9" style="86"/>
    <col min="4627" max="4627" width="9.5" style="86" customWidth="1"/>
    <col min="4628" max="4630" width="9" style="86"/>
    <col min="4631" max="4631" width="10.5" style="86" customWidth="1"/>
    <col min="4632" max="4867" width="9" style="86"/>
    <col min="4868" max="4868" width="10.5" style="86" customWidth="1"/>
    <col min="4869" max="4882" width="9" style="86"/>
    <col min="4883" max="4883" width="9.5" style="86" customWidth="1"/>
    <col min="4884" max="4886" width="9" style="86"/>
    <col min="4887" max="4887" width="10.5" style="86" customWidth="1"/>
    <col min="4888" max="5123" width="9" style="86"/>
    <col min="5124" max="5124" width="10.5" style="86" customWidth="1"/>
    <col min="5125" max="5138" width="9" style="86"/>
    <col min="5139" max="5139" width="9.5" style="86" customWidth="1"/>
    <col min="5140" max="5142" width="9" style="86"/>
    <col min="5143" max="5143" width="10.5" style="86" customWidth="1"/>
    <col min="5144" max="5379" width="9" style="86"/>
    <col min="5380" max="5380" width="10.5" style="86" customWidth="1"/>
    <col min="5381" max="5394" width="9" style="86"/>
    <col min="5395" max="5395" width="9.5" style="86" customWidth="1"/>
    <col min="5396" max="5398" width="9" style="86"/>
    <col min="5399" max="5399" width="10.5" style="86" customWidth="1"/>
    <col min="5400" max="5635" width="9" style="86"/>
    <col min="5636" max="5636" width="10.5" style="86" customWidth="1"/>
    <col min="5637" max="5650" width="9" style="86"/>
    <col min="5651" max="5651" width="9.5" style="86" customWidth="1"/>
    <col min="5652" max="5654" width="9" style="86"/>
    <col min="5655" max="5655" width="10.5" style="86" customWidth="1"/>
    <col min="5656" max="5891" width="9" style="86"/>
    <col min="5892" max="5892" width="10.5" style="86" customWidth="1"/>
    <col min="5893" max="5906" width="9" style="86"/>
    <col min="5907" max="5907" width="9.5" style="86" customWidth="1"/>
    <col min="5908" max="5910" width="9" style="86"/>
    <col min="5911" max="5911" width="10.5" style="86" customWidth="1"/>
    <col min="5912" max="6147" width="9" style="86"/>
    <col min="6148" max="6148" width="10.5" style="86" customWidth="1"/>
    <col min="6149" max="6162" width="9" style="86"/>
    <col min="6163" max="6163" width="9.5" style="86" customWidth="1"/>
    <col min="6164" max="6166" width="9" style="86"/>
    <col min="6167" max="6167" width="10.5" style="86" customWidth="1"/>
    <col min="6168" max="6403" width="9" style="86"/>
    <col min="6404" max="6404" width="10.5" style="86" customWidth="1"/>
    <col min="6405" max="6418" width="9" style="86"/>
    <col min="6419" max="6419" width="9.5" style="86" customWidth="1"/>
    <col min="6420" max="6422" width="9" style="86"/>
    <col min="6423" max="6423" width="10.5" style="86" customWidth="1"/>
    <col min="6424" max="6659" width="9" style="86"/>
    <col min="6660" max="6660" width="10.5" style="86" customWidth="1"/>
    <col min="6661" max="6674" width="9" style="86"/>
    <col min="6675" max="6675" width="9.5" style="86" customWidth="1"/>
    <col min="6676" max="6678" width="9" style="86"/>
    <col min="6679" max="6679" width="10.5" style="86" customWidth="1"/>
    <col min="6680" max="6915" width="9" style="86"/>
    <col min="6916" max="6916" width="10.5" style="86" customWidth="1"/>
    <col min="6917" max="6930" width="9" style="86"/>
    <col min="6931" max="6931" width="9.5" style="86" customWidth="1"/>
    <col min="6932" max="6934" width="9" style="86"/>
    <col min="6935" max="6935" width="10.5" style="86" customWidth="1"/>
    <col min="6936" max="7171" width="9" style="86"/>
    <col min="7172" max="7172" width="10.5" style="86" customWidth="1"/>
    <col min="7173" max="7186" width="9" style="86"/>
    <col min="7187" max="7187" width="9.5" style="86" customWidth="1"/>
    <col min="7188" max="7190" width="9" style="86"/>
    <col min="7191" max="7191" width="10.5" style="86" customWidth="1"/>
    <col min="7192" max="7427" width="9" style="86"/>
    <col min="7428" max="7428" width="10.5" style="86" customWidth="1"/>
    <col min="7429" max="7442" width="9" style="86"/>
    <col min="7443" max="7443" width="9.5" style="86" customWidth="1"/>
    <col min="7444" max="7446" width="9" style="86"/>
    <col min="7447" max="7447" width="10.5" style="86" customWidth="1"/>
    <col min="7448" max="7683" width="9" style="86"/>
    <col min="7684" max="7684" width="10.5" style="86" customWidth="1"/>
    <col min="7685" max="7698" width="9" style="86"/>
    <col min="7699" max="7699" width="9.5" style="86" customWidth="1"/>
    <col min="7700" max="7702" width="9" style="86"/>
    <col min="7703" max="7703" width="10.5" style="86" customWidth="1"/>
    <col min="7704" max="7939" width="9" style="86"/>
    <col min="7940" max="7940" width="10.5" style="86" customWidth="1"/>
    <col min="7941" max="7954" width="9" style="86"/>
    <col min="7955" max="7955" width="9.5" style="86" customWidth="1"/>
    <col min="7956" max="7958" width="9" style="86"/>
    <col min="7959" max="7959" width="10.5" style="86" customWidth="1"/>
    <col min="7960" max="8195" width="9" style="86"/>
    <col min="8196" max="8196" width="10.5" style="86" customWidth="1"/>
    <col min="8197" max="8210" width="9" style="86"/>
    <col min="8211" max="8211" width="9.5" style="86" customWidth="1"/>
    <col min="8212" max="8214" width="9" style="86"/>
    <col min="8215" max="8215" width="10.5" style="86" customWidth="1"/>
    <col min="8216" max="8451" width="9" style="86"/>
    <col min="8452" max="8452" width="10.5" style="86" customWidth="1"/>
    <col min="8453" max="8466" width="9" style="86"/>
    <col min="8467" max="8467" width="9.5" style="86" customWidth="1"/>
    <col min="8468" max="8470" width="9" style="86"/>
    <col min="8471" max="8471" width="10.5" style="86" customWidth="1"/>
    <col min="8472" max="8707" width="9" style="86"/>
    <col min="8708" max="8708" width="10.5" style="86" customWidth="1"/>
    <col min="8709" max="8722" width="9" style="86"/>
    <col min="8723" max="8723" width="9.5" style="86" customWidth="1"/>
    <col min="8724" max="8726" width="9" style="86"/>
    <col min="8727" max="8727" width="10.5" style="86" customWidth="1"/>
    <col min="8728" max="8963" width="9" style="86"/>
    <col min="8964" max="8964" width="10.5" style="86" customWidth="1"/>
    <col min="8965" max="8978" width="9" style="86"/>
    <col min="8979" max="8979" width="9.5" style="86" customWidth="1"/>
    <col min="8980" max="8982" width="9" style="86"/>
    <col min="8983" max="8983" width="10.5" style="86" customWidth="1"/>
    <col min="8984" max="9219" width="9" style="86"/>
    <col min="9220" max="9220" width="10.5" style="86" customWidth="1"/>
    <col min="9221" max="9234" width="9" style="86"/>
    <col min="9235" max="9235" width="9.5" style="86" customWidth="1"/>
    <col min="9236" max="9238" width="9" style="86"/>
    <col min="9239" max="9239" width="10.5" style="86" customWidth="1"/>
    <col min="9240" max="9475" width="9" style="86"/>
    <col min="9476" max="9476" width="10.5" style="86" customWidth="1"/>
    <col min="9477" max="9490" width="9" style="86"/>
    <col min="9491" max="9491" width="9.5" style="86" customWidth="1"/>
    <col min="9492" max="9494" width="9" style="86"/>
    <col min="9495" max="9495" width="10.5" style="86" customWidth="1"/>
    <col min="9496" max="9731" width="9" style="86"/>
    <col min="9732" max="9732" width="10.5" style="86" customWidth="1"/>
    <col min="9733" max="9746" width="9" style="86"/>
    <col min="9747" max="9747" width="9.5" style="86" customWidth="1"/>
    <col min="9748" max="9750" width="9" style="86"/>
    <col min="9751" max="9751" width="10.5" style="86" customWidth="1"/>
    <col min="9752" max="9987" width="9" style="86"/>
    <col min="9988" max="9988" width="10.5" style="86" customWidth="1"/>
    <col min="9989" max="10002" width="9" style="86"/>
    <col min="10003" max="10003" width="9.5" style="86" customWidth="1"/>
    <col min="10004" max="10006" width="9" style="86"/>
    <col min="10007" max="10007" width="10.5" style="86" customWidth="1"/>
    <col min="10008" max="10243" width="9" style="86"/>
    <col min="10244" max="10244" width="10.5" style="86" customWidth="1"/>
    <col min="10245" max="10258" width="9" style="86"/>
    <col min="10259" max="10259" width="9.5" style="86" customWidth="1"/>
    <col min="10260" max="10262" width="9" style="86"/>
    <col min="10263" max="10263" width="10.5" style="86" customWidth="1"/>
    <col min="10264" max="10499" width="9" style="86"/>
    <col min="10500" max="10500" width="10.5" style="86" customWidth="1"/>
    <col min="10501" max="10514" width="9" style="86"/>
    <col min="10515" max="10515" width="9.5" style="86" customWidth="1"/>
    <col min="10516" max="10518" width="9" style="86"/>
    <col min="10519" max="10519" width="10.5" style="86" customWidth="1"/>
    <col min="10520" max="10755" width="9" style="86"/>
    <col min="10756" max="10756" width="10.5" style="86" customWidth="1"/>
    <col min="10757" max="10770" width="9" style="86"/>
    <col min="10771" max="10771" width="9.5" style="86" customWidth="1"/>
    <col min="10772" max="10774" width="9" style="86"/>
    <col min="10775" max="10775" width="10.5" style="86" customWidth="1"/>
    <col min="10776" max="11011" width="9" style="86"/>
    <col min="11012" max="11012" width="10.5" style="86" customWidth="1"/>
    <col min="11013" max="11026" width="9" style="86"/>
    <col min="11027" max="11027" width="9.5" style="86" customWidth="1"/>
    <col min="11028" max="11030" width="9" style="86"/>
    <col min="11031" max="11031" width="10.5" style="86" customWidth="1"/>
    <col min="11032" max="11267" width="9" style="86"/>
    <col min="11268" max="11268" width="10.5" style="86" customWidth="1"/>
    <col min="11269" max="11282" width="9" style="86"/>
    <col min="11283" max="11283" width="9.5" style="86" customWidth="1"/>
    <col min="11284" max="11286" width="9" style="86"/>
    <col min="11287" max="11287" width="10.5" style="86" customWidth="1"/>
    <col min="11288" max="11523" width="9" style="86"/>
    <col min="11524" max="11524" width="10.5" style="86" customWidth="1"/>
    <col min="11525" max="11538" width="9" style="86"/>
    <col min="11539" max="11539" width="9.5" style="86" customWidth="1"/>
    <col min="11540" max="11542" width="9" style="86"/>
    <col min="11543" max="11543" width="10.5" style="86" customWidth="1"/>
    <col min="11544" max="11779" width="9" style="86"/>
    <col min="11780" max="11780" width="10.5" style="86" customWidth="1"/>
    <col min="11781" max="11794" width="9" style="86"/>
    <col min="11795" max="11795" width="9.5" style="86" customWidth="1"/>
    <col min="11796" max="11798" width="9" style="86"/>
    <col min="11799" max="11799" width="10.5" style="86" customWidth="1"/>
    <col min="11800" max="12035" width="9" style="86"/>
    <col min="12036" max="12036" width="10.5" style="86" customWidth="1"/>
    <col min="12037" max="12050" width="9" style="86"/>
    <col min="12051" max="12051" width="9.5" style="86" customWidth="1"/>
    <col min="12052" max="12054" width="9" style="86"/>
    <col min="12055" max="12055" width="10.5" style="86" customWidth="1"/>
    <col min="12056" max="12291" width="9" style="86"/>
    <col min="12292" max="12292" width="10.5" style="86" customWidth="1"/>
    <col min="12293" max="12306" width="9" style="86"/>
    <col min="12307" max="12307" width="9.5" style="86" customWidth="1"/>
    <col min="12308" max="12310" width="9" style="86"/>
    <col min="12311" max="12311" width="10.5" style="86" customWidth="1"/>
    <col min="12312" max="12547" width="9" style="86"/>
    <col min="12548" max="12548" width="10.5" style="86" customWidth="1"/>
    <col min="12549" max="12562" width="9" style="86"/>
    <col min="12563" max="12563" width="9.5" style="86" customWidth="1"/>
    <col min="12564" max="12566" width="9" style="86"/>
    <col min="12567" max="12567" width="10.5" style="86" customWidth="1"/>
    <col min="12568" max="12803" width="9" style="86"/>
    <col min="12804" max="12804" width="10.5" style="86" customWidth="1"/>
    <col min="12805" max="12818" width="9" style="86"/>
    <col min="12819" max="12819" width="9.5" style="86" customWidth="1"/>
    <col min="12820" max="12822" width="9" style="86"/>
    <col min="12823" max="12823" width="10.5" style="86" customWidth="1"/>
    <col min="12824" max="13059" width="9" style="86"/>
    <col min="13060" max="13060" width="10.5" style="86" customWidth="1"/>
    <col min="13061" max="13074" width="9" style="86"/>
    <col min="13075" max="13075" width="9.5" style="86" customWidth="1"/>
    <col min="13076" max="13078" width="9" style="86"/>
    <col min="13079" max="13079" width="10.5" style="86" customWidth="1"/>
    <col min="13080" max="13315" width="9" style="86"/>
    <col min="13316" max="13316" width="10.5" style="86" customWidth="1"/>
    <col min="13317" max="13330" width="9" style="86"/>
    <col min="13331" max="13331" width="9.5" style="86" customWidth="1"/>
    <col min="13332" max="13334" width="9" style="86"/>
    <col min="13335" max="13335" width="10.5" style="86" customWidth="1"/>
    <col min="13336" max="13571" width="9" style="86"/>
    <col min="13572" max="13572" width="10.5" style="86" customWidth="1"/>
    <col min="13573" max="13586" width="9" style="86"/>
    <col min="13587" max="13587" width="9.5" style="86" customWidth="1"/>
    <col min="13588" max="13590" width="9" style="86"/>
    <col min="13591" max="13591" width="10.5" style="86" customWidth="1"/>
    <col min="13592" max="13827" width="9" style="86"/>
    <col min="13828" max="13828" width="10.5" style="86" customWidth="1"/>
    <col min="13829" max="13842" width="9" style="86"/>
    <col min="13843" max="13843" width="9.5" style="86" customWidth="1"/>
    <col min="13844" max="13846" width="9" style="86"/>
    <col min="13847" max="13847" width="10.5" style="86" customWidth="1"/>
    <col min="13848" max="14083" width="9" style="86"/>
    <col min="14084" max="14084" width="10.5" style="86" customWidth="1"/>
    <col min="14085" max="14098" width="9" style="86"/>
    <col min="14099" max="14099" width="9.5" style="86" customWidth="1"/>
    <col min="14100" max="14102" width="9" style="86"/>
    <col min="14103" max="14103" width="10.5" style="86" customWidth="1"/>
    <col min="14104" max="14339" width="9" style="86"/>
    <col min="14340" max="14340" width="10.5" style="86" customWidth="1"/>
    <col min="14341" max="14354" width="9" style="86"/>
    <col min="14355" max="14355" width="9.5" style="86" customWidth="1"/>
    <col min="14356" max="14358" width="9" style="86"/>
    <col min="14359" max="14359" width="10.5" style="86" customWidth="1"/>
    <col min="14360" max="14595" width="9" style="86"/>
    <col min="14596" max="14596" width="10.5" style="86" customWidth="1"/>
    <col min="14597" max="14610" width="9" style="86"/>
    <col min="14611" max="14611" width="9.5" style="86" customWidth="1"/>
    <col min="14612" max="14614" width="9" style="86"/>
    <col min="14615" max="14615" width="10.5" style="86" customWidth="1"/>
    <col min="14616" max="14851" width="9" style="86"/>
    <col min="14852" max="14852" width="10.5" style="86" customWidth="1"/>
    <col min="14853" max="14866" width="9" style="86"/>
    <col min="14867" max="14867" width="9.5" style="86" customWidth="1"/>
    <col min="14868" max="14870" width="9" style="86"/>
    <col min="14871" max="14871" width="10.5" style="86" customWidth="1"/>
    <col min="14872" max="15107" width="9" style="86"/>
    <col min="15108" max="15108" width="10.5" style="86" customWidth="1"/>
    <col min="15109" max="15122" width="9" style="86"/>
    <col min="15123" max="15123" width="9.5" style="86" customWidth="1"/>
    <col min="15124" max="15126" width="9" style="86"/>
    <col min="15127" max="15127" width="10.5" style="86" customWidth="1"/>
    <col min="15128" max="15363" width="9" style="86"/>
    <col min="15364" max="15364" width="10.5" style="86" customWidth="1"/>
    <col min="15365" max="15378" width="9" style="86"/>
    <col min="15379" max="15379" width="9.5" style="86" customWidth="1"/>
    <col min="15380" max="15382" width="9" style="86"/>
    <col min="15383" max="15383" width="10.5" style="86" customWidth="1"/>
    <col min="15384" max="15619" width="9" style="86"/>
    <col min="15620" max="15620" width="10.5" style="86" customWidth="1"/>
    <col min="15621" max="15634" width="9" style="86"/>
    <col min="15635" max="15635" width="9.5" style="86" customWidth="1"/>
    <col min="15636" max="15638" width="9" style="86"/>
    <col min="15639" max="15639" width="10.5" style="86" customWidth="1"/>
    <col min="15640" max="15875" width="9" style="86"/>
    <col min="15876" max="15876" width="10.5" style="86" customWidth="1"/>
    <col min="15877" max="15890" width="9" style="86"/>
    <col min="15891" max="15891" width="9.5" style="86" customWidth="1"/>
    <col min="15892" max="15894" width="9" style="86"/>
    <col min="15895" max="15895" width="10.5" style="86" customWidth="1"/>
    <col min="15896" max="16131" width="9" style="86"/>
    <col min="16132" max="16132" width="10.5" style="86" customWidth="1"/>
    <col min="16133" max="16146" width="9" style="86"/>
    <col min="16147" max="16147" width="9.5" style="86" customWidth="1"/>
    <col min="16148" max="16150" width="9" style="86"/>
    <col min="16151" max="16151" width="10.5" style="86" customWidth="1"/>
    <col min="16152" max="16384" width="9" style="86"/>
  </cols>
  <sheetData>
    <row r="1" spans="1:53" ht="45" x14ac:dyDescent="0.15">
      <c r="A1" s="77" t="s">
        <v>0</v>
      </c>
      <c r="B1" s="78" t="s">
        <v>167</v>
      </c>
      <c r="C1" s="78" t="s">
        <v>168</v>
      </c>
      <c r="D1" s="79" t="s">
        <v>3</v>
      </c>
      <c r="E1" s="80" t="s">
        <v>4</v>
      </c>
      <c r="F1" s="80" t="s">
        <v>5</v>
      </c>
      <c r="G1" s="80" t="s">
        <v>6</v>
      </c>
      <c r="H1" s="80" t="s">
        <v>7</v>
      </c>
      <c r="I1" s="80" t="s">
        <v>8</v>
      </c>
      <c r="J1" s="80" t="s">
        <v>9</v>
      </c>
      <c r="K1" s="80" t="s">
        <v>10</v>
      </c>
      <c r="L1" s="79" t="s">
        <v>169</v>
      </c>
      <c r="M1" s="79" t="s">
        <v>170</v>
      </c>
      <c r="N1" s="79" t="s">
        <v>13</v>
      </c>
      <c r="O1" s="79" t="s">
        <v>171</v>
      </c>
      <c r="P1" s="79" t="s">
        <v>172</v>
      </c>
      <c r="Q1" s="81" t="s">
        <v>173</v>
      </c>
      <c r="R1" s="79" t="s">
        <v>174</v>
      </c>
      <c r="S1" s="79" t="s">
        <v>175</v>
      </c>
      <c r="T1" s="81" t="s">
        <v>19</v>
      </c>
      <c r="U1" s="82" t="s">
        <v>108</v>
      </c>
      <c r="V1" s="83" t="s">
        <v>20</v>
      </c>
      <c r="W1" s="79" t="s">
        <v>176</v>
      </c>
      <c r="X1" s="80" t="s">
        <v>22</v>
      </c>
      <c r="Y1" s="80" t="s">
        <v>23</v>
      </c>
      <c r="Z1" s="80" t="s">
        <v>24</v>
      </c>
      <c r="AA1" s="84" t="s">
        <v>25</v>
      </c>
      <c r="AB1" s="85" t="s">
        <v>177</v>
      </c>
      <c r="AE1" s="87" t="s">
        <v>0</v>
      </c>
      <c r="AF1" s="88"/>
      <c r="AG1" s="87" t="s">
        <v>4</v>
      </c>
      <c r="AH1" s="87" t="s">
        <v>5</v>
      </c>
      <c r="AI1" s="88"/>
      <c r="AJ1" s="87" t="s">
        <v>6</v>
      </c>
      <c r="AK1" s="88"/>
      <c r="AL1" s="89" t="s">
        <v>7</v>
      </c>
      <c r="AM1" s="88"/>
      <c r="AN1" s="89" t="s">
        <v>8</v>
      </c>
      <c r="AO1" s="88"/>
      <c r="AP1" s="89" t="s">
        <v>27</v>
      </c>
      <c r="AQ1" s="88"/>
      <c r="AR1" s="89" t="s">
        <v>10</v>
      </c>
      <c r="AS1" s="88"/>
      <c r="AT1" s="90" t="s">
        <v>178</v>
      </c>
      <c r="AU1" s="88"/>
      <c r="AV1" s="89" t="s">
        <v>29</v>
      </c>
      <c r="AX1" s="91" t="s">
        <v>233</v>
      </c>
      <c r="AY1" s="92" t="s">
        <v>180</v>
      </c>
      <c r="AZ1" s="92" t="s">
        <v>234</v>
      </c>
      <c r="BA1" s="93" t="s">
        <v>182</v>
      </c>
    </row>
    <row r="2" spans="1:53" x14ac:dyDescent="0.15">
      <c r="A2" s="86" t="s">
        <v>51</v>
      </c>
      <c r="B2" s="86" t="s">
        <v>157</v>
      </c>
      <c r="C2" s="86">
        <v>2019</v>
      </c>
      <c r="D2" s="94" t="s">
        <v>235</v>
      </c>
      <c r="E2" s="86" t="s">
        <v>236</v>
      </c>
      <c r="F2" s="86" t="s">
        <v>237</v>
      </c>
      <c r="G2" s="86" t="s">
        <v>42</v>
      </c>
      <c r="H2" s="86" t="s">
        <v>164</v>
      </c>
      <c r="I2" s="86" t="s">
        <v>159</v>
      </c>
      <c r="J2" s="86" t="s">
        <v>38</v>
      </c>
      <c r="K2" s="86" t="s">
        <v>161</v>
      </c>
      <c r="L2" s="86">
        <v>1</v>
      </c>
      <c r="N2" s="86">
        <v>1</v>
      </c>
      <c r="O2" s="86">
        <v>0.8</v>
      </c>
      <c r="P2" s="86">
        <v>0.8</v>
      </c>
      <c r="Q2" s="95">
        <f t="shared" ref="Q2:Q65" si="0">IF(OR(O2="",P2=""),"",AVERAGE(O2,P2))</f>
        <v>0.8</v>
      </c>
      <c r="R2" s="86">
        <v>16.399999999999999</v>
      </c>
      <c r="S2" s="86">
        <v>128</v>
      </c>
      <c r="T2" s="96">
        <f t="shared" ref="T2:T65" si="1">IF(H2="","",IF(OR(H2="GREEN",H2="GK"),IF(S2&gt;=$AX$2,VLOOKUP(S2,$AX$2:$AY$12,2,1),""),IF(S2&gt;=$AZ$2,VLOOKUP(S2,$AZ$2:$BA$12,2,1),"")))</f>
        <v>27</v>
      </c>
      <c r="U2" s="86">
        <v>98</v>
      </c>
      <c r="V2" s="97">
        <f t="shared" ref="V2:V65" si="2">IF(OR(N2="",U2="",T2=""),"",U2/N2*T2)</f>
        <v>2646</v>
      </c>
      <c r="W2" s="86">
        <v>8</v>
      </c>
      <c r="X2" s="86" t="s">
        <v>46</v>
      </c>
      <c r="Y2" s="86" t="s">
        <v>102</v>
      </c>
      <c r="Z2" s="86" t="s">
        <v>69</v>
      </c>
      <c r="AA2" s="86" t="s">
        <v>97</v>
      </c>
      <c r="AB2" s="86" t="s">
        <v>158</v>
      </c>
      <c r="AE2" s="98" t="s">
        <v>35</v>
      </c>
      <c r="AG2" s="99" t="s">
        <v>211</v>
      </c>
      <c r="AH2" s="99" t="s">
        <v>238</v>
      </c>
      <c r="AJ2" s="99" t="s">
        <v>36</v>
      </c>
      <c r="AL2" s="99" t="s">
        <v>185</v>
      </c>
      <c r="AN2" s="99" t="s">
        <v>37</v>
      </c>
      <c r="AP2" s="99" t="s">
        <v>38</v>
      </c>
      <c r="AR2" s="99" t="s">
        <v>161</v>
      </c>
      <c r="AT2" s="99" t="s">
        <v>39</v>
      </c>
      <c r="AV2" s="99" t="s">
        <v>40</v>
      </c>
      <c r="AX2" s="100">
        <v>1</v>
      </c>
      <c r="AY2" s="101">
        <v>50</v>
      </c>
      <c r="AZ2" s="101">
        <v>1</v>
      </c>
      <c r="BA2" s="102">
        <v>50</v>
      </c>
    </row>
    <row r="3" spans="1:53" x14ac:dyDescent="0.15">
      <c r="A3" s="86" t="s">
        <v>51</v>
      </c>
      <c r="B3" s="86" t="s">
        <v>157</v>
      </c>
      <c r="C3" s="86">
        <v>2019</v>
      </c>
      <c r="D3" s="94" t="s">
        <v>235</v>
      </c>
      <c r="E3" s="86" t="s">
        <v>236</v>
      </c>
      <c r="F3" s="86" t="s">
        <v>237</v>
      </c>
      <c r="G3" s="86" t="s">
        <v>42</v>
      </c>
      <c r="H3" s="86" t="s">
        <v>164</v>
      </c>
      <c r="I3" s="86" t="s">
        <v>159</v>
      </c>
      <c r="J3" s="86" t="s">
        <v>38</v>
      </c>
      <c r="K3" s="86" t="s">
        <v>161</v>
      </c>
      <c r="L3" s="86">
        <v>2</v>
      </c>
      <c r="N3" s="86">
        <v>1</v>
      </c>
      <c r="O3" s="86">
        <v>0.7</v>
      </c>
      <c r="P3" s="86">
        <v>0.75</v>
      </c>
      <c r="Q3" s="95">
        <f t="shared" si="0"/>
        <v>0.72499999999999998</v>
      </c>
      <c r="R3" s="86">
        <v>16.2</v>
      </c>
      <c r="S3" s="86">
        <v>128</v>
      </c>
      <c r="T3" s="96">
        <f t="shared" si="1"/>
        <v>27</v>
      </c>
      <c r="U3" s="86">
        <v>98</v>
      </c>
      <c r="V3" s="97">
        <f t="shared" si="2"/>
        <v>2646</v>
      </c>
      <c r="W3" s="86">
        <v>8</v>
      </c>
      <c r="X3" s="86" t="s">
        <v>46</v>
      </c>
      <c r="Y3" s="86" t="s">
        <v>102</v>
      </c>
      <c r="Z3" s="86" t="s">
        <v>69</v>
      </c>
      <c r="AA3" s="86" t="s">
        <v>97</v>
      </c>
      <c r="AB3" s="86" t="s">
        <v>158</v>
      </c>
      <c r="AE3" s="103" t="s">
        <v>41</v>
      </c>
      <c r="AG3" s="99" t="s">
        <v>239</v>
      </c>
      <c r="AH3" s="99" t="s">
        <v>240</v>
      </c>
      <c r="AJ3" s="104" t="s">
        <v>42</v>
      </c>
      <c r="AL3" s="104" t="s">
        <v>187</v>
      </c>
      <c r="AN3" s="104" t="s">
        <v>43</v>
      </c>
      <c r="AP3" s="104" t="s">
        <v>44</v>
      </c>
      <c r="AR3" s="104" t="s">
        <v>45</v>
      </c>
      <c r="AT3" s="104" t="s">
        <v>46</v>
      </c>
      <c r="AV3" s="104" t="s">
        <v>47</v>
      </c>
      <c r="AX3" s="105">
        <v>72</v>
      </c>
      <c r="AY3" s="106">
        <v>46</v>
      </c>
      <c r="AZ3" s="106">
        <v>71</v>
      </c>
      <c r="BA3" s="107">
        <v>42</v>
      </c>
    </row>
    <row r="4" spans="1:53" x14ac:dyDescent="0.15">
      <c r="A4" s="86" t="s">
        <v>51</v>
      </c>
      <c r="B4" s="86" t="s">
        <v>157</v>
      </c>
      <c r="C4" s="86">
        <v>2019</v>
      </c>
      <c r="D4" s="94" t="s">
        <v>235</v>
      </c>
      <c r="E4" s="86" t="s">
        <v>236</v>
      </c>
      <c r="F4" s="86" t="s">
        <v>237</v>
      </c>
      <c r="G4" s="86" t="s">
        <v>42</v>
      </c>
      <c r="H4" s="86" t="s">
        <v>164</v>
      </c>
      <c r="I4" s="86" t="s">
        <v>159</v>
      </c>
      <c r="J4" s="86" t="s">
        <v>38</v>
      </c>
      <c r="K4" s="86" t="s">
        <v>161</v>
      </c>
      <c r="L4" s="86">
        <v>3</v>
      </c>
      <c r="N4" s="86">
        <v>1</v>
      </c>
      <c r="O4" s="86">
        <v>0.75</v>
      </c>
      <c r="P4" s="86">
        <v>0.95</v>
      </c>
      <c r="Q4" s="95">
        <f t="shared" si="0"/>
        <v>0.85</v>
      </c>
      <c r="R4" s="86">
        <v>15.8</v>
      </c>
      <c r="S4" s="86">
        <v>122</v>
      </c>
      <c r="T4" s="96">
        <f t="shared" si="1"/>
        <v>27</v>
      </c>
      <c r="U4" s="86">
        <v>98</v>
      </c>
      <c r="V4" s="97">
        <f t="shared" si="2"/>
        <v>2646</v>
      </c>
      <c r="W4" s="86">
        <v>8</v>
      </c>
      <c r="X4" s="86" t="s">
        <v>46</v>
      </c>
      <c r="Y4" s="86" t="s">
        <v>102</v>
      </c>
      <c r="Z4" s="86" t="s">
        <v>69</v>
      </c>
      <c r="AA4" s="86" t="s">
        <v>97</v>
      </c>
      <c r="AB4" s="86" t="s">
        <v>158</v>
      </c>
      <c r="AE4" s="103" t="s">
        <v>34</v>
      </c>
      <c r="AG4" s="99" t="s">
        <v>241</v>
      </c>
      <c r="AH4" s="99" t="s">
        <v>242</v>
      </c>
      <c r="AJ4" s="108" t="s">
        <v>48</v>
      </c>
      <c r="AL4" s="108" t="s">
        <v>190</v>
      </c>
      <c r="AN4" s="109" t="s">
        <v>191</v>
      </c>
      <c r="AP4" s="104" t="s">
        <v>192</v>
      </c>
      <c r="AR4" s="104" t="s">
        <v>193</v>
      </c>
      <c r="AT4" s="109"/>
      <c r="AV4" s="104" t="s">
        <v>50</v>
      </c>
      <c r="AX4" s="105">
        <v>75</v>
      </c>
      <c r="AY4" s="106">
        <v>42</v>
      </c>
      <c r="AZ4" s="106">
        <v>76</v>
      </c>
      <c r="BA4" s="107">
        <v>39</v>
      </c>
    </row>
    <row r="5" spans="1:53" x14ac:dyDescent="0.15">
      <c r="A5" s="86" t="s">
        <v>51</v>
      </c>
      <c r="B5" s="86" t="s">
        <v>157</v>
      </c>
      <c r="C5" s="86">
        <v>2019</v>
      </c>
      <c r="D5" s="94" t="s">
        <v>235</v>
      </c>
      <c r="E5" s="86" t="s">
        <v>236</v>
      </c>
      <c r="F5" s="86" t="s">
        <v>237</v>
      </c>
      <c r="G5" s="86" t="s">
        <v>42</v>
      </c>
      <c r="H5" s="86" t="s">
        <v>160</v>
      </c>
      <c r="I5" s="86" t="s">
        <v>159</v>
      </c>
      <c r="J5" s="86" t="s">
        <v>38</v>
      </c>
      <c r="K5" s="86" t="s">
        <v>161</v>
      </c>
      <c r="L5" s="86">
        <v>1</v>
      </c>
      <c r="N5" s="86">
        <v>1</v>
      </c>
      <c r="O5" s="86">
        <v>0.65</v>
      </c>
      <c r="P5" s="86">
        <v>0.6</v>
      </c>
      <c r="Q5" s="95">
        <f t="shared" si="0"/>
        <v>0.625</v>
      </c>
      <c r="R5" s="86">
        <v>17.7</v>
      </c>
      <c r="S5" s="86">
        <v>134</v>
      </c>
      <c r="T5" s="96">
        <f t="shared" si="1"/>
        <v>25</v>
      </c>
      <c r="U5" s="86">
        <v>138</v>
      </c>
      <c r="V5" s="97">
        <f t="shared" si="2"/>
        <v>3450</v>
      </c>
      <c r="W5" s="86">
        <v>8</v>
      </c>
      <c r="X5" s="86" t="s">
        <v>46</v>
      </c>
      <c r="Y5" s="86" t="s">
        <v>102</v>
      </c>
      <c r="Z5" s="86" t="s">
        <v>69</v>
      </c>
      <c r="AA5" s="86" t="s">
        <v>97</v>
      </c>
      <c r="AB5" s="86" t="s">
        <v>158</v>
      </c>
      <c r="AE5" s="103" t="s">
        <v>51</v>
      </c>
      <c r="AG5" s="99" t="s">
        <v>243</v>
      </c>
      <c r="AH5" s="99" t="s">
        <v>237</v>
      </c>
      <c r="AJ5" s="109"/>
      <c r="AL5" s="110" t="s">
        <v>164</v>
      </c>
      <c r="AN5" s="110" t="s">
        <v>159</v>
      </c>
      <c r="AP5" s="104" t="s">
        <v>195</v>
      </c>
      <c r="AR5" s="104" t="s">
        <v>54</v>
      </c>
      <c r="AV5" s="104" t="s">
        <v>55</v>
      </c>
      <c r="AX5" s="105">
        <v>84</v>
      </c>
      <c r="AY5" s="106">
        <v>39</v>
      </c>
      <c r="AZ5" s="106">
        <v>84</v>
      </c>
      <c r="BA5" s="107">
        <v>36</v>
      </c>
    </row>
    <row r="6" spans="1:53" x14ac:dyDescent="0.15">
      <c r="A6" s="86" t="s">
        <v>51</v>
      </c>
      <c r="B6" s="86" t="s">
        <v>157</v>
      </c>
      <c r="C6" s="86">
        <v>2019</v>
      </c>
      <c r="D6" s="94" t="s">
        <v>235</v>
      </c>
      <c r="E6" s="86" t="s">
        <v>236</v>
      </c>
      <c r="F6" s="86" t="s">
        <v>237</v>
      </c>
      <c r="G6" s="86" t="s">
        <v>42</v>
      </c>
      <c r="H6" s="86" t="s">
        <v>160</v>
      </c>
      <c r="I6" s="86" t="s">
        <v>159</v>
      </c>
      <c r="J6" s="86" t="s">
        <v>38</v>
      </c>
      <c r="K6" s="86" t="s">
        <v>161</v>
      </c>
      <c r="L6" s="86">
        <v>2</v>
      </c>
      <c r="N6" s="86">
        <v>1</v>
      </c>
      <c r="O6" s="86">
        <v>0.7</v>
      </c>
      <c r="P6" s="86">
        <v>0.7</v>
      </c>
      <c r="Q6" s="95">
        <f t="shared" si="0"/>
        <v>0.7</v>
      </c>
      <c r="R6" s="86">
        <v>17.899999999999999</v>
      </c>
      <c r="S6" s="86">
        <v>138</v>
      </c>
      <c r="T6" s="96">
        <f t="shared" si="1"/>
        <v>22</v>
      </c>
      <c r="U6" s="86">
        <v>138</v>
      </c>
      <c r="V6" s="97">
        <f t="shared" si="2"/>
        <v>3036</v>
      </c>
      <c r="W6" s="86">
        <v>8</v>
      </c>
      <c r="X6" s="86" t="s">
        <v>46</v>
      </c>
      <c r="Y6" s="86" t="s">
        <v>102</v>
      </c>
      <c r="Z6" s="86" t="s">
        <v>69</v>
      </c>
      <c r="AA6" s="86" t="s">
        <v>97</v>
      </c>
      <c r="AB6" s="86" t="s">
        <v>158</v>
      </c>
      <c r="AE6" s="103" t="s">
        <v>56</v>
      </c>
      <c r="AG6" s="99" t="s">
        <v>244</v>
      </c>
      <c r="AH6" s="99" t="s">
        <v>245</v>
      </c>
      <c r="AL6" s="110" t="s">
        <v>197</v>
      </c>
      <c r="AN6" s="110" t="s">
        <v>198</v>
      </c>
      <c r="AP6" s="104" t="s">
        <v>53</v>
      </c>
      <c r="AR6" s="104" t="s">
        <v>59</v>
      </c>
      <c r="AV6" s="104" t="s">
        <v>60</v>
      </c>
      <c r="AX6" s="105">
        <v>97</v>
      </c>
      <c r="AY6" s="106">
        <v>36</v>
      </c>
      <c r="AZ6" s="106">
        <v>99</v>
      </c>
      <c r="BA6" s="107">
        <v>33</v>
      </c>
    </row>
    <row r="7" spans="1:53" x14ac:dyDescent="0.15">
      <c r="A7" s="86" t="s">
        <v>51</v>
      </c>
      <c r="B7" s="86" t="s">
        <v>157</v>
      </c>
      <c r="C7" s="86">
        <v>2019</v>
      </c>
      <c r="D7" s="94" t="s">
        <v>235</v>
      </c>
      <c r="E7" s="86" t="s">
        <v>236</v>
      </c>
      <c r="F7" s="86" t="s">
        <v>237</v>
      </c>
      <c r="G7" s="86" t="s">
        <v>42</v>
      </c>
      <c r="H7" s="86" t="s">
        <v>160</v>
      </c>
      <c r="I7" s="86" t="s">
        <v>159</v>
      </c>
      <c r="J7" s="86" t="s">
        <v>38</v>
      </c>
      <c r="K7" s="86" t="s">
        <v>161</v>
      </c>
      <c r="L7" s="86">
        <v>3</v>
      </c>
      <c r="N7" s="86">
        <v>1</v>
      </c>
      <c r="O7" s="86">
        <v>0.8</v>
      </c>
      <c r="P7" s="86">
        <v>0.65</v>
      </c>
      <c r="Q7" s="95">
        <f t="shared" si="0"/>
        <v>0.72500000000000009</v>
      </c>
      <c r="R7" s="86">
        <v>17.5</v>
      </c>
      <c r="S7" s="86">
        <v>134</v>
      </c>
      <c r="T7" s="96">
        <f t="shared" si="1"/>
        <v>25</v>
      </c>
      <c r="U7" s="86">
        <v>138</v>
      </c>
      <c r="V7" s="97">
        <f t="shared" si="2"/>
        <v>3450</v>
      </c>
      <c r="W7" s="86">
        <v>8</v>
      </c>
      <c r="X7" s="86" t="s">
        <v>46</v>
      </c>
      <c r="Y7" s="86" t="s">
        <v>102</v>
      </c>
      <c r="Z7" s="86" t="s">
        <v>69</v>
      </c>
      <c r="AA7" s="86" t="s">
        <v>97</v>
      </c>
      <c r="AB7" s="86" t="s">
        <v>158</v>
      </c>
      <c r="AE7" s="103" t="s">
        <v>61</v>
      </c>
      <c r="AG7" s="99" t="s">
        <v>246</v>
      </c>
      <c r="AH7" s="99" t="s">
        <v>238</v>
      </c>
      <c r="AL7" s="86" t="s">
        <v>200</v>
      </c>
      <c r="AP7" s="104" t="s">
        <v>58</v>
      </c>
      <c r="AR7" s="104" t="s">
        <v>201</v>
      </c>
      <c r="AV7" s="104" t="s">
        <v>64</v>
      </c>
      <c r="AX7" s="105">
        <v>109</v>
      </c>
      <c r="AY7" s="106">
        <v>33</v>
      </c>
      <c r="AZ7" s="106">
        <v>113</v>
      </c>
      <c r="BA7" s="107">
        <v>30</v>
      </c>
    </row>
    <row r="8" spans="1:53" x14ac:dyDescent="0.15">
      <c r="A8" s="86" t="s">
        <v>51</v>
      </c>
      <c r="B8" s="86" t="s">
        <v>157</v>
      </c>
      <c r="C8" s="86">
        <v>2019</v>
      </c>
      <c r="D8" s="94" t="s">
        <v>235</v>
      </c>
      <c r="E8" s="86" t="s">
        <v>239</v>
      </c>
      <c r="F8" s="86" t="s">
        <v>240</v>
      </c>
      <c r="G8" s="86" t="s">
        <v>36</v>
      </c>
      <c r="H8" s="86" t="s">
        <v>164</v>
      </c>
      <c r="I8" s="86" t="s">
        <v>159</v>
      </c>
      <c r="J8" s="86" t="s">
        <v>38</v>
      </c>
      <c r="K8" s="86" t="s">
        <v>161</v>
      </c>
      <c r="L8" s="86">
        <v>1</v>
      </c>
      <c r="N8" s="86">
        <v>1</v>
      </c>
      <c r="O8" s="86">
        <v>0.95</v>
      </c>
      <c r="P8" s="86">
        <v>0.9</v>
      </c>
      <c r="Q8" s="95">
        <f t="shared" si="0"/>
        <v>0.92500000000000004</v>
      </c>
      <c r="R8" s="86">
        <v>15.8</v>
      </c>
      <c r="S8" s="86">
        <v>146</v>
      </c>
      <c r="T8" s="96">
        <f t="shared" si="1"/>
        <v>22</v>
      </c>
      <c r="U8" s="86">
        <v>138</v>
      </c>
      <c r="V8" s="97">
        <f t="shared" si="2"/>
        <v>3036</v>
      </c>
      <c r="W8" s="86">
        <v>8</v>
      </c>
      <c r="X8" s="86" t="s">
        <v>46</v>
      </c>
      <c r="Y8" s="86" t="s">
        <v>78</v>
      </c>
      <c r="Z8" s="86" t="s">
        <v>97</v>
      </c>
      <c r="AA8" s="86" t="s">
        <v>102</v>
      </c>
      <c r="AB8" s="86" t="s">
        <v>158</v>
      </c>
      <c r="AE8" s="103" t="s">
        <v>59</v>
      </c>
      <c r="AG8" s="99" t="s">
        <v>247</v>
      </c>
      <c r="AH8" s="99" t="s">
        <v>248</v>
      </c>
      <c r="AL8" s="86" t="s">
        <v>160</v>
      </c>
      <c r="AP8" s="104" t="s">
        <v>62</v>
      </c>
      <c r="AR8" s="104" t="s">
        <v>81</v>
      </c>
      <c r="AV8" s="104" t="s">
        <v>97</v>
      </c>
      <c r="AX8" s="105">
        <v>119</v>
      </c>
      <c r="AY8" s="106">
        <v>30</v>
      </c>
      <c r="AZ8" s="106">
        <v>121</v>
      </c>
      <c r="BA8" s="107">
        <v>27</v>
      </c>
    </row>
    <row r="9" spans="1:53" x14ac:dyDescent="0.15">
      <c r="A9" s="86" t="s">
        <v>51</v>
      </c>
      <c r="B9" s="86" t="s">
        <v>157</v>
      </c>
      <c r="C9" s="86">
        <v>2019</v>
      </c>
      <c r="D9" s="94" t="s">
        <v>235</v>
      </c>
      <c r="E9" s="86" t="s">
        <v>239</v>
      </c>
      <c r="F9" s="86" t="s">
        <v>240</v>
      </c>
      <c r="G9" s="86" t="s">
        <v>36</v>
      </c>
      <c r="H9" s="86" t="s">
        <v>164</v>
      </c>
      <c r="I9" s="86" t="s">
        <v>159</v>
      </c>
      <c r="J9" s="86" t="s">
        <v>38</v>
      </c>
      <c r="K9" s="86" t="s">
        <v>161</v>
      </c>
      <c r="L9" s="86">
        <v>2</v>
      </c>
      <c r="N9" s="86">
        <v>1</v>
      </c>
      <c r="O9" s="86">
        <v>1</v>
      </c>
      <c r="P9" s="86">
        <v>1.1000000000000001</v>
      </c>
      <c r="Q9" s="95">
        <f t="shared" si="0"/>
        <v>1.05</v>
      </c>
      <c r="R9" s="86">
        <v>15.1</v>
      </c>
      <c r="S9" s="86">
        <v>144</v>
      </c>
      <c r="T9" s="96">
        <f t="shared" si="1"/>
        <v>22</v>
      </c>
      <c r="U9" s="86">
        <v>138</v>
      </c>
      <c r="V9" s="97">
        <f t="shared" si="2"/>
        <v>3036</v>
      </c>
      <c r="W9" s="86">
        <v>8</v>
      </c>
      <c r="X9" s="86" t="s">
        <v>46</v>
      </c>
      <c r="Y9" s="86" t="s">
        <v>78</v>
      </c>
      <c r="Z9" s="86" t="s">
        <v>97</v>
      </c>
      <c r="AA9" s="86" t="s">
        <v>102</v>
      </c>
      <c r="AB9" s="86" t="s">
        <v>158</v>
      </c>
      <c r="AE9" s="103" t="s">
        <v>204</v>
      </c>
      <c r="AG9" s="99" t="s">
        <v>249</v>
      </c>
      <c r="AH9" s="99" t="s">
        <v>237</v>
      </c>
      <c r="AL9" s="110"/>
      <c r="AP9" s="104" t="s">
        <v>95</v>
      </c>
      <c r="AR9" s="104" t="s">
        <v>207</v>
      </c>
      <c r="AV9" s="104" t="s">
        <v>102</v>
      </c>
      <c r="AX9" s="105">
        <v>128</v>
      </c>
      <c r="AY9" s="106">
        <v>27</v>
      </c>
      <c r="AZ9" s="106">
        <v>129</v>
      </c>
      <c r="BA9" s="107">
        <v>25</v>
      </c>
    </row>
    <row r="10" spans="1:53" x14ac:dyDescent="0.15">
      <c r="A10" s="86" t="s">
        <v>51</v>
      </c>
      <c r="B10" s="86" t="s">
        <v>157</v>
      </c>
      <c r="C10" s="86">
        <v>2019</v>
      </c>
      <c r="D10" s="94" t="s">
        <v>235</v>
      </c>
      <c r="E10" s="86" t="s">
        <v>239</v>
      </c>
      <c r="F10" s="86" t="s">
        <v>240</v>
      </c>
      <c r="G10" s="86" t="s">
        <v>36</v>
      </c>
      <c r="H10" s="86" t="s">
        <v>164</v>
      </c>
      <c r="I10" s="86" t="s">
        <v>159</v>
      </c>
      <c r="J10" s="86" t="s">
        <v>38</v>
      </c>
      <c r="K10" s="86" t="s">
        <v>161</v>
      </c>
      <c r="L10" s="86">
        <v>3</v>
      </c>
      <c r="N10" s="86">
        <v>1</v>
      </c>
      <c r="O10" s="86">
        <v>1.05</v>
      </c>
      <c r="P10" s="86">
        <v>1</v>
      </c>
      <c r="Q10" s="95">
        <f t="shared" si="0"/>
        <v>1.0249999999999999</v>
      </c>
      <c r="R10" s="86">
        <v>15.3</v>
      </c>
      <c r="S10" s="86">
        <v>144</v>
      </c>
      <c r="T10" s="96">
        <f t="shared" si="1"/>
        <v>22</v>
      </c>
      <c r="U10" s="86">
        <v>138</v>
      </c>
      <c r="V10" s="97">
        <f t="shared" si="2"/>
        <v>3036</v>
      </c>
      <c r="W10" s="86">
        <v>8</v>
      </c>
      <c r="X10" s="86" t="s">
        <v>46</v>
      </c>
      <c r="Y10" s="86" t="s">
        <v>78</v>
      </c>
      <c r="Z10" s="86" t="s">
        <v>97</v>
      </c>
      <c r="AA10" s="86" t="s">
        <v>102</v>
      </c>
      <c r="AB10" s="86" t="s">
        <v>158</v>
      </c>
      <c r="AE10" s="103" t="s">
        <v>208</v>
      </c>
      <c r="AG10" s="99" t="s">
        <v>236</v>
      </c>
      <c r="AH10" s="104" t="s">
        <v>237</v>
      </c>
      <c r="AP10" s="104" t="s">
        <v>100</v>
      </c>
      <c r="AR10" s="104" t="s">
        <v>210</v>
      </c>
      <c r="AV10" s="104" t="s">
        <v>106</v>
      </c>
      <c r="AX10" s="105">
        <v>138</v>
      </c>
      <c r="AY10" s="106">
        <v>25</v>
      </c>
      <c r="AZ10" s="106">
        <v>138</v>
      </c>
      <c r="BA10" s="107">
        <v>22</v>
      </c>
    </row>
    <row r="11" spans="1:53" x14ac:dyDescent="0.15">
      <c r="A11" s="86" t="s">
        <v>51</v>
      </c>
      <c r="B11" s="86" t="s">
        <v>157</v>
      </c>
      <c r="C11" s="86">
        <v>2019</v>
      </c>
      <c r="D11" s="94" t="s">
        <v>235</v>
      </c>
      <c r="E11" s="86" t="s">
        <v>239</v>
      </c>
      <c r="F11" s="86" t="s">
        <v>240</v>
      </c>
      <c r="G11" s="86" t="s">
        <v>36</v>
      </c>
      <c r="H11" s="86" t="s">
        <v>160</v>
      </c>
      <c r="I11" s="86" t="s">
        <v>159</v>
      </c>
      <c r="J11" s="86" t="s">
        <v>38</v>
      </c>
      <c r="K11" s="86" t="s">
        <v>161</v>
      </c>
      <c r="L11" s="86">
        <v>1</v>
      </c>
      <c r="N11" s="86">
        <v>1</v>
      </c>
      <c r="O11" s="86">
        <v>0.7</v>
      </c>
      <c r="P11" s="86">
        <v>0.7</v>
      </c>
      <c r="Q11" s="95">
        <f t="shared" si="0"/>
        <v>0.7</v>
      </c>
      <c r="R11" s="86">
        <v>16.7</v>
      </c>
      <c r="S11" s="86">
        <v>128</v>
      </c>
      <c r="T11" s="96">
        <f t="shared" si="1"/>
        <v>27</v>
      </c>
      <c r="U11" s="86">
        <v>138</v>
      </c>
      <c r="V11" s="97">
        <f t="shared" si="2"/>
        <v>3726</v>
      </c>
      <c r="W11" s="86">
        <v>8</v>
      </c>
      <c r="X11" s="86" t="s">
        <v>46</v>
      </c>
      <c r="Y11" s="86" t="s">
        <v>78</v>
      </c>
      <c r="Z11" s="86" t="s">
        <v>97</v>
      </c>
      <c r="AA11" s="86" t="s">
        <v>102</v>
      </c>
      <c r="AB11" s="86" t="s">
        <v>158</v>
      </c>
      <c r="AE11" s="103" t="s">
        <v>68</v>
      </c>
      <c r="AG11" s="99" t="s">
        <v>139</v>
      </c>
      <c r="AH11" s="104" t="s">
        <v>250</v>
      </c>
      <c r="AP11" s="104" t="s">
        <v>104</v>
      </c>
      <c r="AR11" s="104" t="s">
        <v>213</v>
      </c>
      <c r="AV11" s="104" t="s">
        <v>69</v>
      </c>
      <c r="AX11" s="105">
        <v>151</v>
      </c>
      <c r="AY11" s="106">
        <v>22</v>
      </c>
      <c r="AZ11" s="106">
        <v>152</v>
      </c>
      <c r="BA11" s="107">
        <v>18</v>
      </c>
    </row>
    <row r="12" spans="1:53" x14ac:dyDescent="0.15">
      <c r="A12" s="86" t="s">
        <v>51</v>
      </c>
      <c r="B12" s="86" t="s">
        <v>157</v>
      </c>
      <c r="C12" s="86">
        <v>2019</v>
      </c>
      <c r="D12" s="94" t="s">
        <v>235</v>
      </c>
      <c r="E12" s="86" t="s">
        <v>239</v>
      </c>
      <c r="F12" s="86" t="s">
        <v>240</v>
      </c>
      <c r="G12" s="86" t="s">
        <v>36</v>
      </c>
      <c r="H12" s="86" t="s">
        <v>160</v>
      </c>
      <c r="I12" s="86" t="s">
        <v>159</v>
      </c>
      <c r="J12" s="86" t="s">
        <v>38</v>
      </c>
      <c r="K12" s="86" t="s">
        <v>161</v>
      </c>
      <c r="L12" s="86">
        <v>2</v>
      </c>
      <c r="N12" s="86">
        <v>1</v>
      </c>
      <c r="O12" s="86">
        <v>0.75</v>
      </c>
      <c r="P12" s="86">
        <v>0.7</v>
      </c>
      <c r="Q12" s="95">
        <f t="shared" si="0"/>
        <v>0.72499999999999998</v>
      </c>
      <c r="R12" s="86">
        <v>17.100000000000001</v>
      </c>
      <c r="S12" s="86">
        <v>132</v>
      </c>
      <c r="T12" s="96">
        <f t="shared" si="1"/>
        <v>25</v>
      </c>
      <c r="U12" s="86">
        <v>138</v>
      </c>
      <c r="V12" s="97">
        <f t="shared" si="2"/>
        <v>3450</v>
      </c>
      <c r="W12" s="86">
        <v>8</v>
      </c>
      <c r="X12" s="86" t="s">
        <v>46</v>
      </c>
      <c r="Y12" s="86" t="s">
        <v>78</v>
      </c>
      <c r="Z12" s="86" t="s">
        <v>97</v>
      </c>
      <c r="AA12" s="86" t="s">
        <v>102</v>
      </c>
      <c r="AB12" s="86" t="s">
        <v>158</v>
      </c>
      <c r="AE12" s="103" t="s">
        <v>214</v>
      </c>
      <c r="AG12" s="104"/>
      <c r="AH12" s="104"/>
      <c r="AP12" s="104" t="s">
        <v>67</v>
      </c>
      <c r="AR12" s="104" t="s">
        <v>215</v>
      </c>
      <c r="AV12" s="104" t="s">
        <v>72</v>
      </c>
      <c r="AX12" s="111">
        <v>180</v>
      </c>
      <c r="AY12" s="112">
        <v>18</v>
      </c>
      <c r="AZ12" s="112">
        <v>181</v>
      </c>
      <c r="BA12" s="113">
        <v>16</v>
      </c>
    </row>
    <row r="13" spans="1:53" x14ac:dyDescent="0.15">
      <c r="A13" s="86" t="s">
        <v>51</v>
      </c>
      <c r="B13" s="86" t="s">
        <v>157</v>
      </c>
      <c r="C13" s="86">
        <v>2019</v>
      </c>
      <c r="D13" s="94" t="s">
        <v>235</v>
      </c>
      <c r="E13" s="86" t="s">
        <v>239</v>
      </c>
      <c r="F13" s="86" t="s">
        <v>240</v>
      </c>
      <c r="G13" s="86" t="s">
        <v>36</v>
      </c>
      <c r="H13" s="86" t="s">
        <v>160</v>
      </c>
      <c r="I13" s="86" t="s">
        <v>159</v>
      </c>
      <c r="J13" s="86" t="s">
        <v>38</v>
      </c>
      <c r="K13" s="86" t="s">
        <v>161</v>
      </c>
      <c r="L13" s="86">
        <v>3</v>
      </c>
      <c r="N13" s="86">
        <v>1</v>
      </c>
      <c r="O13" s="86">
        <v>0.75</v>
      </c>
      <c r="P13" s="86">
        <v>0.65</v>
      </c>
      <c r="Q13" s="95">
        <f t="shared" si="0"/>
        <v>0.7</v>
      </c>
      <c r="R13" s="86">
        <v>16.899999999999999</v>
      </c>
      <c r="S13" s="86">
        <v>126</v>
      </c>
      <c r="T13" s="96">
        <f t="shared" si="1"/>
        <v>27</v>
      </c>
      <c r="U13" s="86">
        <v>138</v>
      </c>
      <c r="V13" s="97">
        <f t="shared" si="2"/>
        <v>3726</v>
      </c>
      <c r="W13" s="86">
        <v>8</v>
      </c>
      <c r="X13" s="86" t="s">
        <v>46</v>
      </c>
      <c r="Y13" s="86" t="s">
        <v>78</v>
      </c>
      <c r="Z13" s="86" t="s">
        <v>97</v>
      </c>
      <c r="AA13" s="86" t="s">
        <v>102</v>
      </c>
      <c r="AB13" s="86" t="s">
        <v>158</v>
      </c>
      <c r="AE13" s="103" t="s">
        <v>216</v>
      </c>
      <c r="AG13" s="104"/>
      <c r="AH13" s="104"/>
      <c r="AP13" s="104" t="s">
        <v>71</v>
      </c>
      <c r="AR13" s="104" t="s">
        <v>208</v>
      </c>
      <c r="AV13" s="104" t="s">
        <v>75</v>
      </c>
    </row>
    <row r="14" spans="1:53" x14ac:dyDescent="0.15">
      <c r="A14" s="86" t="s">
        <v>51</v>
      </c>
      <c r="B14" s="86" t="s">
        <v>157</v>
      </c>
      <c r="C14" s="86">
        <v>2019</v>
      </c>
      <c r="D14" s="94" t="s">
        <v>235</v>
      </c>
      <c r="E14" s="86" t="s">
        <v>139</v>
      </c>
      <c r="F14" s="86" t="s">
        <v>250</v>
      </c>
      <c r="G14" s="86" t="s">
        <v>42</v>
      </c>
      <c r="H14" s="86" t="s">
        <v>164</v>
      </c>
      <c r="I14" s="86" t="s">
        <v>159</v>
      </c>
      <c r="J14" s="86" t="s">
        <v>38</v>
      </c>
      <c r="K14" s="86" t="s">
        <v>161</v>
      </c>
      <c r="L14" s="86">
        <v>1</v>
      </c>
      <c r="N14" s="86">
        <v>1</v>
      </c>
      <c r="O14" s="86">
        <v>0.75</v>
      </c>
      <c r="P14" s="86">
        <v>0.8</v>
      </c>
      <c r="Q14" s="95">
        <f t="shared" si="0"/>
        <v>0.77500000000000002</v>
      </c>
      <c r="R14" s="86">
        <v>13</v>
      </c>
      <c r="S14" s="86">
        <v>110</v>
      </c>
      <c r="T14" s="96">
        <f t="shared" si="1"/>
        <v>33</v>
      </c>
      <c r="U14" s="86">
        <v>98</v>
      </c>
      <c r="V14" s="97">
        <f t="shared" si="2"/>
        <v>3234</v>
      </c>
      <c r="W14" s="86">
        <v>15</v>
      </c>
      <c r="X14" s="86" t="s">
        <v>46</v>
      </c>
      <c r="Y14" s="86" t="s">
        <v>97</v>
      </c>
      <c r="Z14" s="86" t="s">
        <v>78</v>
      </c>
      <c r="AA14" s="86" t="s">
        <v>55</v>
      </c>
      <c r="AB14" s="86" t="s">
        <v>158</v>
      </c>
      <c r="AE14" s="103" t="s">
        <v>96</v>
      </c>
      <c r="AG14" s="104"/>
      <c r="AH14" s="104"/>
      <c r="AP14" s="104" t="s">
        <v>74</v>
      </c>
      <c r="AR14" s="104" t="s">
        <v>217</v>
      </c>
      <c r="AV14" s="104" t="s">
        <v>78</v>
      </c>
    </row>
    <row r="15" spans="1:53" x14ac:dyDescent="0.15">
      <c r="A15" s="86" t="s">
        <v>51</v>
      </c>
      <c r="B15" s="86" t="s">
        <v>157</v>
      </c>
      <c r="C15" s="86">
        <v>2019</v>
      </c>
      <c r="D15" s="94" t="s">
        <v>235</v>
      </c>
      <c r="E15" s="86" t="s">
        <v>139</v>
      </c>
      <c r="F15" s="86" t="s">
        <v>250</v>
      </c>
      <c r="G15" s="86" t="s">
        <v>42</v>
      </c>
      <c r="H15" s="86" t="s">
        <v>164</v>
      </c>
      <c r="I15" s="86" t="s">
        <v>159</v>
      </c>
      <c r="J15" s="86" t="s">
        <v>38</v>
      </c>
      <c r="K15" s="86" t="s">
        <v>161</v>
      </c>
      <c r="L15" s="86">
        <v>2</v>
      </c>
      <c r="N15" s="86">
        <v>1</v>
      </c>
      <c r="O15" s="86">
        <v>0.85</v>
      </c>
      <c r="P15" s="86">
        <v>0.7</v>
      </c>
      <c r="Q15" s="95">
        <f t="shared" si="0"/>
        <v>0.77499999999999991</v>
      </c>
      <c r="R15" s="86">
        <v>13.8</v>
      </c>
      <c r="S15" s="86">
        <v>116</v>
      </c>
      <c r="T15" s="96">
        <f t="shared" si="1"/>
        <v>30</v>
      </c>
      <c r="U15" s="86">
        <v>98</v>
      </c>
      <c r="V15" s="97">
        <f t="shared" si="2"/>
        <v>2940</v>
      </c>
      <c r="W15" s="86">
        <v>15</v>
      </c>
      <c r="X15" s="86" t="s">
        <v>46</v>
      </c>
      <c r="Y15" s="86" t="s">
        <v>97</v>
      </c>
      <c r="Z15" s="86" t="s">
        <v>78</v>
      </c>
      <c r="AA15" s="86" t="s">
        <v>55</v>
      </c>
      <c r="AB15" s="86" t="s">
        <v>158</v>
      </c>
      <c r="AE15" s="103" t="s">
        <v>218</v>
      </c>
      <c r="AG15" s="104"/>
      <c r="AH15" s="104"/>
      <c r="AP15" s="104" t="s">
        <v>77</v>
      </c>
      <c r="AR15" s="104" t="s">
        <v>80</v>
      </c>
      <c r="AV15" s="104" t="s">
        <v>107</v>
      </c>
    </row>
    <row r="16" spans="1:53" x14ac:dyDescent="0.15">
      <c r="A16" s="86" t="s">
        <v>51</v>
      </c>
      <c r="B16" s="86" t="s">
        <v>157</v>
      </c>
      <c r="C16" s="86">
        <v>2019</v>
      </c>
      <c r="D16" s="94" t="s">
        <v>235</v>
      </c>
      <c r="E16" s="86" t="s">
        <v>139</v>
      </c>
      <c r="F16" s="86" t="s">
        <v>250</v>
      </c>
      <c r="G16" s="86" t="s">
        <v>42</v>
      </c>
      <c r="H16" s="86" t="s">
        <v>164</v>
      </c>
      <c r="I16" s="86" t="s">
        <v>159</v>
      </c>
      <c r="J16" s="86" t="s">
        <v>38</v>
      </c>
      <c r="K16" s="86" t="s">
        <v>161</v>
      </c>
      <c r="L16" s="86">
        <v>3</v>
      </c>
      <c r="N16" s="86">
        <v>1</v>
      </c>
      <c r="O16" s="86">
        <v>0.75</v>
      </c>
      <c r="P16" s="86">
        <v>0.75</v>
      </c>
      <c r="Q16" s="95">
        <f t="shared" si="0"/>
        <v>0.75</v>
      </c>
      <c r="R16" s="86">
        <v>13.2</v>
      </c>
      <c r="S16" s="86">
        <v>112</v>
      </c>
      <c r="T16" s="96">
        <f t="shared" si="1"/>
        <v>33</v>
      </c>
      <c r="U16" s="86">
        <v>98</v>
      </c>
      <c r="V16" s="97">
        <f t="shared" si="2"/>
        <v>3234</v>
      </c>
      <c r="W16" s="86">
        <v>15</v>
      </c>
      <c r="X16" s="86" t="s">
        <v>46</v>
      </c>
      <c r="Y16" s="86" t="s">
        <v>97</v>
      </c>
      <c r="Z16" s="86" t="s">
        <v>78</v>
      </c>
      <c r="AA16" s="86" t="s">
        <v>55</v>
      </c>
      <c r="AB16" s="86" t="s">
        <v>158</v>
      </c>
      <c r="AE16" s="103" t="s">
        <v>219</v>
      </c>
      <c r="AG16" s="109"/>
      <c r="AH16" s="109"/>
      <c r="AP16" s="104" t="s">
        <v>80</v>
      </c>
      <c r="AR16" s="104" t="s">
        <v>63</v>
      </c>
      <c r="AV16" s="104" t="s">
        <v>84</v>
      </c>
    </row>
    <row r="17" spans="1:48" x14ac:dyDescent="0.15">
      <c r="A17" s="86" t="s">
        <v>51</v>
      </c>
      <c r="B17" s="86" t="s">
        <v>157</v>
      </c>
      <c r="C17" s="86">
        <v>2019</v>
      </c>
      <c r="D17" s="94" t="s">
        <v>235</v>
      </c>
      <c r="E17" s="86" t="s">
        <v>139</v>
      </c>
      <c r="F17" s="86" t="s">
        <v>250</v>
      </c>
      <c r="G17" s="86" t="s">
        <v>42</v>
      </c>
      <c r="H17" s="86" t="s">
        <v>160</v>
      </c>
      <c r="I17" s="86" t="s">
        <v>159</v>
      </c>
      <c r="J17" s="86" t="s">
        <v>38</v>
      </c>
      <c r="K17" s="86" t="s">
        <v>161</v>
      </c>
      <c r="L17" s="86">
        <v>1</v>
      </c>
      <c r="N17" s="86">
        <v>1</v>
      </c>
      <c r="O17" s="86">
        <v>0.75</v>
      </c>
      <c r="P17" s="86">
        <v>0.8</v>
      </c>
      <c r="Q17" s="95">
        <f t="shared" si="0"/>
        <v>0.77500000000000002</v>
      </c>
      <c r="R17" s="86">
        <v>16.100000000000001</v>
      </c>
      <c r="S17" s="86">
        <v>116</v>
      </c>
      <c r="T17" s="96">
        <f t="shared" si="1"/>
        <v>30</v>
      </c>
      <c r="U17" s="86">
        <v>98</v>
      </c>
      <c r="V17" s="97">
        <f t="shared" si="2"/>
        <v>2940</v>
      </c>
      <c r="W17" s="86">
        <v>15</v>
      </c>
      <c r="X17" s="86" t="s">
        <v>46</v>
      </c>
      <c r="Y17" s="86" t="s">
        <v>97</v>
      </c>
      <c r="Z17" s="86" t="s">
        <v>78</v>
      </c>
      <c r="AA17" s="86" t="s">
        <v>55</v>
      </c>
      <c r="AB17" s="86" t="s">
        <v>158</v>
      </c>
      <c r="AE17" s="103" t="s">
        <v>220</v>
      </c>
      <c r="AP17" s="108" t="s">
        <v>221</v>
      </c>
      <c r="AR17" s="104" t="s">
        <v>96</v>
      </c>
      <c r="AV17" s="104" t="s">
        <v>86</v>
      </c>
    </row>
    <row r="18" spans="1:48" x14ac:dyDescent="0.15">
      <c r="A18" s="86" t="s">
        <v>51</v>
      </c>
      <c r="B18" s="86" t="s">
        <v>157</v>
      </c>
      <c r="C18" s="86">
        <v>2019</v>
      </c>
      <c r="D18" s="94" t="s">
        <v>235</v>
      </c>
      <c r="E18" s="86" t="s">
        <v>139</v>
      </c>
      <c r="F18" s="86" t="s">
        <v>250</v>
      </c>
      <c r="G18" s="86" t="s">
        <v>42</v>
      </c>
      <c r="H18" s="86" t="s">
        <v>160</v>
      </c>
      <c r="I18" s="86" t="s">
        <v>159</v>
      </c>
      <c r="J18" s="86" t="s">
        <v>38</v>
      </c>
      <c r="K18" s="86" t="s">
        <v>161</v>
      </c>
      <c r="L18" s="86">
        <v>2</v>
      </c>
      <c r="N18" s="86">
        <v>1</v>
      </c>
      <c r="O18" s="86">
        <v>0.85</v>
      </c>
      <c r="P18" s="86">
        <v>0.8</v>
      </c>
      <c r="Q18" s="95">
        <f t="shared" si="0"/>
        <v>0.82499999999999996</v>
      </c>
      <c r="R18" s="86">
        <v>15.6</v>
      </c>
      <c r="S18" s="86">
        <v>114</v>
      </c>
      <c r="T18" s="96">
        <f t="shared" si="1"/>
        <v>30</v>
      </c>
      <c r="U18" s="86">
        <v>98</v>
      </c>
      <c r="V18" s="97">
        <f t="shared" si="2"/>
        <v>2940</v>
      </c>
      <c r="W18" s="86">
        <v>15</v>
      </c>
      <c r="X18" s="86" t="s">
        <v>46</v>
      </c>
      <c r="Y18" s="86" t="s">
        <v>97</v>
      </c>
      <c r="Z18" s="86" t="s">
        <v>78</v>
      </c>
      <c r="AA18" s="86" t="s">
        <v>55</v>
      </c>
      <c r="AB18" s="86" t="s">
        <v>158</v>
      </c>
      <c r="AE18" s="103" t="s">
        <v>213</v>
      </c>
      <c r="AP18" s="108" t="s">
        <v>222</v>
      </c>
      <c r="AR18" s="104" t="s">
        <v>101</v>
      </c>
      <c r="AV18" s="104" t="s">
        <v>88</v>
      </c>
    </row>
    <row r="19" spans="1:48" x14ac:dyDescent="0.15">
      <c r="A19" s="86" t="s">
        <v>51</v>
      </c>
      <c r="B19" s="86" t="s">
        <v>157</v>
      </c>
      <c r="C19" s="86">
        <v>2019</v>
      </c>
      <c r="D19" s="94" t="s">
        <v>235</v>
      </c>
      <c r="E19" s="86" t="s">
        <v>139</v>
      </c>
      <c r="F19" s="86" t="s">
        <v>250</v>
      </c>
      <c r="G19" s="86" t="s">
        <v>42</v>
      </c>
      <c r="H19" s="86" t="s">
        <v>160</v>
      </c>
      <c r="I19" s="86" t="s">
        <v>159</v>
      </c>
      <c r="J19" s="86" t="s">
        <v>38</v>
      </c>
      <c r="K19" s="86" t="s">
        <v>161</v>
      </c>
      <c r="L19" s="86">
        <v>3</v>
      </c>
      <c r="N19" s="86">
        <v>1</v>
      </c>
      <c r="O19" s="86">
        <v>0.75</v>
      </c>
      <c r="P19" s="86">
        <v>0.85</v>
      </c>
      <c r="Q19" s="95">
        <f t="shared" si="0"/>
        <v>0.8</v>
      </c>
      <c r="R19" s="86">
        <v>15.8</v>
      </c>
      <c r="S19" s="86">
        <v>114</v>
      </c>
      <c r="T19" s="96">
        <f t="shared" si="1"/>
        <v>30</v>
      </c>
      <c r="U19" s="86">
        <v>98</v>
      </c>
      <c r="V19" s="97">
        <f t="shared" si="2"/>
        <v>2940</v>
      </c>
      <c r="W19" s="86">
        <v>15</v>
      </c>
      <c r="X19" s="86" t="s">
        <v>46</v>
      </c>
      <c r="Y19" s="86" t="s">
        <v>97</v>
      </c>
      <c r="Z19" s="86" t="s">
        <v>78</v>
      </c>
      <c r="AA19" s="86" t="s">
        <v>55</v>
      </c>
      <c r="AB19" s="86" t="s">
        <v>158</v>
      </c>
      <c r="AE19" s="114" t="s">
        <v>207</v>
      </c>
      <c r="AP19" s="108" t="s">
        <v>223</v>
      </c>
      <c r="AR19" s="104" t="s">
        <v>224</v>
      </c>
      <c r="AV19" s="104" t="s">
        <v>90</v>
      </c>
    </row>
    <row r="20" spans="1:48" x14ac:dyDescent="0.15">
      <c r="A20" s="86" t="s">
        <v>51</v>
      </c>
      <c r="B20" s="86" t="s">
        <v>157</v>
      </c>
      <c r="C20" s="86">
        <v>2019</v>
      </c>
      <c r="D20" s="94" t="s">
        <v>235</v>
      </c>
      <c r="E20" s="86" t="s">
        <v>244</v>
      </c>
      <c r="F20" s="86" t="s">
        <v>245</v>
      </c>
      <c r="G20" s="86" t="s">
        <v>36</v>
      </c>
      <c r="H20" s="86" t="s">
        <v>164</v>
      </c>
      <c r="I20" s="86" t="s">
        <v>159</v>
      </c>
      <c r="J20" s="86" t="s">
        <v>38</v>
      </c>
      <c r="K20" s="86" t="s">
        <v>161</v>
      </c>
      <c r="L20" s="86">
        <v>1</v>
      </c>
      <c r="N20" s="86">
        <v>1</v>
      </c>
      <c r="O20" s="86">
        <v>0.9</v>
      </c>
      <c r="P20" s="86">
        <v>0.95</v>
      </c>
      <c r="Q20" s="95">
        <f t="shared" si="0"/>
        <v>0.92500000000000004</v>
      </c>
      <c r="R20" s="86">
        <v>15.6</v>
      </c>
      <c r="S20" s="86">
        <v>150</v>
      </c>
      <c r="T20" s="96">
        <f t="shared" si="1"/>
        <v>22</v>
      </c>
      <c r="U20" s="86">
        <v>98</v>
      </c>
      <c r="V20" s="97">
        <f t="shared" si="2"/>
        <v>2156</v>
      </c>
      <c r="W20" s="86">
        <v>15</v>
      </c>
      <c r="X20" s="86" t="s">
        <v>46</v>
      </c>
      <c r="Y20" s="86" t="s">
        <v>102</v>
      </c>
      <c r="Z20" s="86" t="s">
        <v>55</v>
      </c>
      <c r="AA20" s="86" t="s">
        <v>69</v>
      </c>
      <c r="AB20" s="86" t="s">
        <v>158</v>
      </c>
      <c r="AE20" s="114"/>
      <c r="AP20" s="108" t="s">
        <v>225</v>
      </c>
      <c r="AR20" s="104" t="s">
        <v>105</v>
      </c>
      <c r="AV20" s="108" t="s">
        <v>226</v>
      </c>
    </row>
    <row r="21" spans="1:48" x14ac:dyDescent="0.15">
      <c r="A21" s="86" t="s">
        <v>51</v>
      </c>
      <c r="B21" s="86" t="s">
        <v>157</v>
      </c>
      <c r="C21" s="86">
        <v>2019</v>
      </c>
      <c r="D21" s="94" t="s">
        <v>235</v>
      </c>
      <c r="E21" s="86" t="s">
        <v>244</v>
      </c>
      <c r="F21" s="86" t="s">
        <v>245</v>
      </c>
      <c r="G21" s="86" t="s">
        <v>36</v>
      </c>
      <c r="H21" s="86" t="s">
        <v>164</v>
      </c>
      <c r="I21" s="86" t="s">
        <v>159</v>
      </c>
      <c r="J21" s="86" t="s">
        <v>38</v>
      </c>
      <c r="K21" s="86" t="s">
        <v>161</v>
      </c>
      <c r="L21" s="86">
        <v>2</v>
      </c>
      <c r="N21" s="86">
        <v>1</v>
      </c>
      <c r="O21" s="86">
        <v>1</v>
      </c>
      <c r="P21" s="86">
        <v>0.95</v>
      </c>
      <c r="Q21" s="95">
        <f t="shared" si="0"/>
        <v>0.97499999999999998</v>
      </c>
      <c r="R21" s="86">
        <v>14.7</v>
      </c>
      <c r="S21" s="86">
        <v>142</v>
      </c>
      <c r="T21" s="96">
        <f t="shared" si="1"/>
        <v>22</v>
      </c>
      <c r="U21" s="86">
        <v>98</v>
      </c>
      <c r="V21" s="97">
        <f t="shared" si="2"/>
        <v>2156</v>
      </c>
      <c r="W21" s="86">
        <v>15</v>
      </c>
      <c r="X21" s="86" t="s">
        <v>46</v>
      </c>
      <c r="Y21" s="86" t="s">
        <v>102</v>
      </c>
      <c r="Z21" s="86" t="s">
        <v>55</v>
      </c>
      <c r="AA21" s="86" t="s">
        <v>69</v>
      </c>
      <c r="AB21" s="86" t="s">
        <v>158</v>
      </c>
      <c r="AE21" s="109"/>
      <c r="AP21" s="108" t="s">
        <v>227</v>
      </c>
      <c r="AR21" s="104" t="s">
        <v>68</v>
      </c>
      <c r="AV21" s="108" t="s">
        <v>228</v>
      </c>
    </row>
    <row r="22" spans="1:48" x14ac:dyDescent="0.15">
      <c r="A22" s="86" t="s">
        <v>51</v>
      </c>
      <c r="B22" s="86" t="s">
        <v>157</v>
      </c>
      <c r="C22" s="86">
        <v>2019</v>
      </c>
      <c r="D22" s="94" t="s">
        <v>235</v>
      </c>
      <c r="E22" s="86" t="s">
        <v>244</v>
      </c>
      <c r="F22" s="86" t="s">
        <v>245</v>
      </c>
      <c r="G22" s="86" t="s">
        <v>36</v>
      </c>
      <c r="H22" s="86" t="s">
        <v>164</v>
      </c>
      <c r="I22" s="86" t="s">
        <v>159</v>
      </c>
      <c r="J22" s="86" t="s">
        <v>38</v>
      </c>
      <c r="K22" s="86" t="s">
        <v>161</v>
      </c>
      <c r="L22" s="86">
        <v>3</v>
      </c>
      <c r="N22" s="86">
        <v>1</v>
      </c>
      <c r="O22" s="86">
        <v>0.95</v>
      </c>
      <c r="P22" s="86">
        <v>0.95</v>
      </c>
      <c r="Q22" s="95">
        <f t="shared" si="0"/>
        <v>0.95</v>
      </c>
      <c r="R22" s="86">
        <v>15.5</v>
      </c>
      <c r="S22" s="86">
        <v>150</v>
      </c>
      <c r="T22" s="96">
        <f t="shared" si="1"/>
        <v>22</v>
      </c>
      <c r="U22" s="86">
        <v>98</v>
      </c>
      <c r="V22" s="97">
        <f t="shared" si="2"/>
        <v>2156</v>
      </c>
      <c r="W22" s="86">
        <v>15</v>
      </c>
      <c r="X22" s="86" t="s">
        <v>46</v>
      </c>
      <c r="Y22" s="86" t="s">
        <v>102</v>
      </c>
      <c r="Z22" s="86" t="s">
        <v>55</v>
      </c>
      <c r="AA22" s="86" t="s">
        <v>69</v>
      </c>
      <c r="AB22" s="86" t="s">
        <v>158</v>
      </c>
      <c r="AP22" s="108" t="s">
        <v>229</v>
      </c>
      <c r="AR22" s="104" t="s">
        <v>83</v>
      </c>
      <c r="AV22" s="108"/>
    </row>
    <row r="23" spans="1:48" x14ac:dyDescent="0.15">
      <c r="A23" s="86" t="s">
        <v>51</v>
      </c>
      <c r="B23" s="86" t="s">
        <v>157</v>
      </c>
      <c r="C23" s="86">
        <v>2019</v>
      </c>
      <c r="D23" s="94" t="s">
        <v>235</v>
      </c>
      <c r="E23" s="86" t="s">
        <v>244</v>
      </c>
      <c r="F23" s="86" t="s">
        <v>245</v>
      </c>
      <c r="G23" s="86" t="s">
        <v>36</v>
      </c>
      <c r="H23" s="86" t="s">
        <v>160</v>
      </c>
      <c r="I23" s="86" t="s">
        <v>159</v>
      </c>
      <c r="J23" s="86" t="s">
        <v>38</v>
      </c>
      <c r="K23" s="86" t="s">
        <v>161</v>
      </c>
      <c r="L23" s="86">
        <v>1</v>
      </c>
      <c r="N23" s="86">
        <v>1</v>
      </c>
      <c r="O23" s="86">
        <v>0.6</v>
      </c>
      <c r="P23" s="86">
        <v>0.65</v>
      </c>
      <c r="Q23" s="95">
        <f t="shared" si="0"/>
        <v>0.625</v>
      </c>
      <c r="R23" s="86">
        <v>17.8</v>
      </c>
      <c r="S23" s="86">
        <v>146</v>
      </c>
      <c r="T23" s="96">
        <f t="shared" si="1"/>
        <v>22</v>
      </c>
      <c r="U23" s="86">
        <v>128</v>
      </c>
      <c r="V23" s="97">
        <f t="shared" si="2"/>
        <v>2816</v>
      </c>
      <c r="W23" s="86">
        <v>15</v>
      </c>
      <c r="X23" s="86" t="s">
        <v>46</v>
      </c>
      <c r="Y23" s="86" t="s">
        <v>102</v>
      </c>
      <c r="Z23" s="86" t="s">
        <v>55</v>
      </c>
      <c r="AA23" s="86" t="s">
        <v>69</v>
      </c>
      <c r="AB23" s="86" t="s">
        <v>158</v>
      </c>
      <c r="AP23" s="108" t="s">
        <v>251</v>
      </c>
      <c r="AR23" s="104" t="s">
        <v>61</v>
      </c>
    </row>
    <row r="24" spans="1:48" x14ac:dyDescent="0.15">
      <c r="A24" s="86" t="s">
        <v>51</v>
      </c>
      <c r="B24" s="86" t="s">
        <v>157</v>
      </c>
      <c r="C24" s="86">
        <v>2019</v>
      </c>
      <c r="D24" s="94" t="s">
        <v>235</v>
      </c>
      <c r="E24" s="86" t="s">
        <v>244</v>
      </c>
      <c r="F24" s="86" t="s">
        <v>245</v>
      </c>
      <c r="G24" s="86" t="s">
        <v>36</v>
      </c>
      <c r="H24" s="86" t="s">
        <v>160</v>
      </c>
      <c r="I24" s="86" t="s">
        <v>159</v>
      </c>
      <c r="J24" s="86" t="s">
        <v>38</v>
      </c>
      <c r="K24" s="86" t="s">
        <v>161</v>
      </c>
      <c r="L24" s="86">
        <v>2</v>
      </c>
      <c r="N24" s="86">
        <v>1</v>
      </c>
      <c r="O24" s="86">
        <v>0.7</v>
      </c>
      <c r="P24" s="86">
        <v>0.6</v>
      </c>
      <c r="Q24" s="95">
        <f t="shared" si="0"/>
        <v>0.64999999999999991</v>
      </c>
      <c r="R24" s="86">
        <v>18.100000000000001</v>
      </c>
      <c r="S24" s="86">
        <v>150</v>
      </c>
      <c r="T24" s="96">
        <f t="shared" si="1"/>
        <v>22</v>
      </c>
      <c r="U24" s="86">
        <v>128</v>
      </c>
      <c r="V24" s="97">
        <f t="shared" si="2"/>
        <v>2816</v>
      </c>
      <c r="W24" s="86">
        <v>15</v>
      </c>
      <c r="X24" s="86" t="s">
        <v>46</v>
      </c>
      <c r="Y24" s="86" t="s">
        <v>102</v>
      </c>
      <c r="Z24" s="86" t="s">
        <v>55</v>
      </c>
      <c r="AA24" s="86" t="s">
        <v>69</v>
      </c>
      <c r="AB24" s="86" t="s">
        <v>158</v>
      </c>
      <c r="AP24" s="108" t="s">
        <v>252</v>
      </c>
      <c r="AR24" s="104" t="s">
        <v>91</v>
      </c>
    </row>
    <row r="25" spans="1:48" x14ac:dyDescent="0.15">
      <c r="A25" s="86" t="s">
        <v>51</v>
      </c>
      <c r="B25" s="86" t="s">
        <v>157</v>
      </c>
      <c r="C25" s="86">
        <v>2019</v>
      </c>
      <c r="D25" s="94" t="s">
        <v>235</v>
      </c>
      <c r="E25" s="86" t="s">
        <v>244</v>
      </c>
      <c r="F25" s="86" t="s">
        <v>245</v>
      </c>
      <c r="G25" s="86" t="s">
        <v>36</v>
      </c>
      <c r="H25" s="86" t="s">
        <v>160</v>
      </c>
      <c r="I25" s="86" t="s">
        <v>159</v>
      </c>
      <c r="J25" s="86" t="s">
        <v>38</v>
      </c>
      <c r="K25" s="86" t="s">
        <v>161</v>
      </c>
      <c r="L25" s="86">
        <v>3</v>
      </c>
      <c r="N25" s="86">
        <v>1</v>
      </c>
      <c r="O25" s="86">
        <v>0.55000000000000004</v>
      </c>
      <c r="P25" s="86">
        <v>0.5</v>
      </c>
      <c r="Q25" s="95">
        <f t="shared" si="0"/>
        <v>0.52500000000000002</v>
      </c>
      <c r="R25" s="86">
        <v>17.399999999999999</v>
      </c>
      <c r="S25" s="86">
        <v>142</v>
      </c>
      <c r="T25" s="96">
        <f t="shared" si="1"/>
        <v>22</v>
      </c>
      <c r="U25" s="86">
        <v>128</v>
      </c>
      <c r="V25" s="97">
        <f t="shared" si="2"/>
        <v>2816</v>
      </c>
      <c r="W25" s="86">
        <v>15</v>
      </c>
      <c r="X25" s="86" t="s">
        <v>46</v>
      </c>
      <c r="Y25" s="86" t="s">
        <v>102</v>
      </c>
      <c r="Z25" s="86" t="s">
        <v>55</v>
      </c>
      <c r="AA25" s="86" t="s">
        <v>69</v>
      </c>
      <c r="AB25" s="86" t="s">
        <v>158</v>
      </c>
      <c r="AP25" s="108" t="s">
        <v>253</v>
      </c>
      <c r="AR25" s="108" t="s">
        <v>51</v>
      </c>
    </row>
    <row r="26" spans="1:48" x14ac:dyDescent="0.15">
      <c r="A26" s="86" t="s">
        <v>51</v>
      </c>
      <c r="B26" s="86" t="s">
        <v>157</v>
      </c>
      <c r="C26" s="86">
        <v>2019</v>
      </c>
      <c r="D26" s="94" t="s">
        <v>235</v>
      </c>
      <c r="E26" s="86" t="s">
        <v>211</v>
      </c>
      <c r="F26" s="86" t="s">
        <v>238</v>
      </c>
      <c r="G26" s="86" t="s">
        <v>42</v>
      </c>
      <c r="H26" s="86" t="s">
        <v>164</v>
      </c>
      <c r="I26" s="86" t="s">
        <v>159</v>
      </c>
      <c r="J26" s="86" t="s">
        <v>38</v>
      </c>
      <c r="K26" s="86" t="s">
        <v>161</v>
      </c>
      <c r="L26" s="86">
        <v>1</v>
      </c>
      <c r="N26" s="86">
        <v>1</v>
      </c>
      <c r="O26" s="86">
        <v>0.75</v>
      </c>
      <c r="P26" s="86">
        <v>0.75</v>
      </c>
      <c r="Q26" s="95">
        <f t="shared" si="0"/>
        <v>0.75</v>
      </c>
      <c r="R26" s="86">
        <v>14.8</v>
      </c>
      <c r="S26" s="86">
        <v>134</v>
      </c>
      <c r="T26" s="96">
        <f t="shared" si="1"/>
        <v>25</v>
      </c>
      <c r="U26" s="86">
        <v>87</v>
      </c>
      <c r="V26" s="97">
        <f t="shared" si="2"/>
        <v>2175</v>
      </c>
      <c r="W26" s="86">
        <v>10</v>
      </c>
      <c r="X26" s="86" t="s">
        <v>46</v>
      </c>
      <c r="Y26" s="86" t="s">
        <v>102</v>
      </c>
      <c r="Z26" s="86" t="s">
        <v>69</v>
      </c>
      <c r="AA26" s="86" t="s">
        <v>97</v>
      </c>
      <c r="AB26" s="86" t="s">
        <v>158</v>
      </c>
      <c r="AP26" s="108" t="s">
        <v>230</v>
      </c>
      <c r="AR26" s="86" t="s">
        <v>231</v>
      </c>
    </row>
    <row r="27" spans="1:48" x14ac:dyDescent="0.15">
      <c r="A27" s="86" t="s">
        <v>51</v>
      </c>
      <c r="B27" s="86" t="s">
        <v>157</v>
      </c>
      <c r="C27" s="86">
        <v>2019</v>
      </c>
      <c r="D27" s="94" t="s">
        <v>235</v>
      </c>
      <c r="E27" s="86" t="s">
        <v>211</v>
      </c>
      <c r="F27" s="86" t="s">
        <v>238</v>
      </c>
      <c r="G27" s="86" t="s">
        <v>42</v>
      </c>
      <c r="H27" s="86" t="s">
        <v>164</v>
      </c>
      <c r="I27" s="86" t="s">
        <v>159</v>
      </c>
      <c r="J27" s="86" t="s">
        <v>38</v>
      </c>
      <c r="K27" s="86" t="s">
        <v>161</v>
      </c>
      <c r="L27" s="86">
        <v>2</v>
      </c>
      <c r="N27" s="86">
        <v>1</v>
      </c>
      <c r="O27" s="86">
        <v>0.7</v>
      </c>
      <c r="P27" s="86">
        <v>0.85</v>
      </c>
      <c r="Q27" s="95">
        <f t="shared" si="0"/>
        <v>0.77499999999999991</v>
      </c>
      <c r="R27" s="86">
        <v>14.4</v>
      </c>
      <c r="S27" s="86">
        <v>134</v>
      </c>
      <c r="T27" s="96">
        <f t="shared" si="1"/>
        <v>25</v>
      </c>
      <c r="U27" s="86">
        <v>87</v>
      </c>
      <c r="V27" s="97">
        <f t="shared" si="2"/>
        <v>2175</v>
      </c>
      <c r="W27" s="86">
        <v>10</v>
      </c>
      <c r="X27" s="86" t="s">
        <v>46</v>
      </c>
      <c r="Y27" s="86" t="s">
        <v>102</v>
      </c>
      <c r="Z27" s="86" t="s">
        <v>69</v>
      </c>
      <c r="AA27" s="86" t="s">
        <v>97</v>
      </c>
      <c r="AB27" s="86" t="s">
        <v>158</v>
      </c>
      <c r="AP27" s="108" t="s">
        <v>232</v>
      </c>
    </row>
    <row r="28" spans="1:48" x14ac:dyDescent="0.15">
      <c r="A28" s="86" t="s">
        <v>51</v>
      </c>
      <c r="B28" s="86" t="s">
        <v>157</v>
      </c>
      <c r="C28" s="86">
        <v>2019</v>
      </c>
      <c r="D28" s="94" t="s">
        <v>235</v>
      </c>
      <c r="E28" s="86" t="s">
        <v>211</v>
      </c>
      <c r="F28" s="86" t="s">
        <v>238</v>
      </c>
      <c r="G28" s="86" t="s">
        <v>42</v>
      </c>
      <c r="H28" s="86" t="s">
        <v>164</v>
      </c>
      <c r="I28" s="86" t="s">
        <v>159</v>
      </c>
      <c r="J28" s="86" t="s">
        <v>38</v>
      </c>
      <c r="K28" s="86" t="s">
        <v>161</v>
      </c>
      <c r="L28" s="86">
        <v>3</v>
      </c>
      <c r="N28" s="86">
        <v>1</v>
      </c>
      <c r="O28" s="86">
        <v>0.8</v>
      </c>
      <c r="P28" s="86">
        <v>0.75</v>
      </c>
      <c r="Q28" s="95">
        <f t="shared" si="0"/>
        <v>0.77500000000000002</v>
      </c>
      <c r="R28" s="86">
        <v>15</v>
      </c>
      <c r="S28" s="86">
        <v>134</v>
      </c>
      <c r="T28" s="96">
        <f t="shared" si="1"/>
        <v>25</v>
      </c>
      <c r="U28" s="86">
        <v>87</v>
      </c>
      <c r="V28" s="97">
        <f t="shared" si="2"/>
        <v>2175</v>
      </c>
      <c r="W28" s="86">
        <v>10</v>
      </c>
      <c r="X28" s="86" t="s">
        <v>46</v>
      </c>
      <c r="Y28" s="86" t="s">
        <v>102</v>
      </c>
      <c r="Z28" s="86" t="s">
        <v>69</v>
      </c>
      <c r="AA28" s="86" t="s">
        <v>97</v>
      </c>
      <c r="AB28" s="86" t="s">
        <v>158</v>
      </c>
    </row>
    <row r="29" spans="1:48" x14ac:dyDescent="0.15">
      <c r="A29" s="86" t="s">
        <v>51</v>
      </c>
      <c r="B29" s="86" t="s">
        <v>157</v>
      </c>
      <c r="C29" s="86">
        <v>2019</v>
      </c>
      <c r="D29" s="94" t="s">
        <v>235</v>
      </c>
      <c r="E29" s="86" t="s">
        <v>211</v>
      </c>
      <c r="F29" s="86" t="s">
        <v>238</v>
      </c>
      <c r="G29" s="86" t="s">
        <v>42</v>
      </c>
      <c r="H29" s="86" t="s">
        <v>160</v>
      </c>
      <c r="I29" s="86" t="s">
        <v>159</v>
      </c>
      <c r="J29" s="86" t="s">
        <v>38</v>
      </c>
      <c r="K29" s="86" t="s">
        <v>161</v>
      </c>
      <c r="L29" s="86">
        <v>1</v>
      </c>
      <c r="N29" s="86">
        <v>1</v>
      </c>
      <c r="O29" s="86">
        <v>0.7</v>
      </c>
      <c r="P29" s="86">
        <v>0.7</v>
      </c>
      <c r="Q29" s="95">
        <f t="shared" si="0"/>
        <v>0.7</v>
      </c>
      <c r="R29" s="86">
        <v>17.600000000000001</v>
      </c>
      <c r="S29" s="86">
        <v>146</v>
      </c>
      <c r="T29" s="96">
        <f t="shared" si="1"/>
        <v>22</v>
      </c>
      <c r="U29" s="86">
        <v>87</v>
      </c>
      <c r="V29" s="97">
        <f t="shared" si="2"/>
        <v>1914</v>
      </c>
      <c r="W29" s="86">
        <v>10</v>
      </c>
      <c r="X29" s="86" t="s">
        <v>46</v>
      </c>
      <c r="Y29" s="86" t="s">
        <v>102</v>
      </c>
      <c r="Z29" s="86" t="s">
        <v>69</v>
      </c>
      <c r="AA29" s="86" t="s">
        <v>97</v>
      </c>
      <c r="AB29" s="86" t="s">
        <v>158</v>
      </c>
    </row>
    <row r="30" spans="1:48" x14ac:dyDescent="0.15">
      <c r="A30" s="86" t="s">
        <v>51</v>
      </c>
      <c r="B30" s="86" t="s">
        <v>157</v>
      </c>
      <c r="C30" s="86">
        <v>2019</v>
      </c>
      <c r="D30" s="94" t="s">
        <v>235</v>
      </c>
      <c r="E30" s="86" t="s">
        <v>211</v>
      </c>
      <c r="F30" s="86" t="s">
        <v>238</v>
      </c>
      <c r="G30" s="86" t="s">
        <v>42</v>
      </c>
      <c r="H30" s="86" t="s">
        <v>160</v>
      </c>
      <c r="I30" s="86" t="s">
        <v>159</v>
      </c>
      <c r="J30" s="86" t="s">
        <v>38</v>
      </c>
      <c r="K30" s="86" t="s">
        <v>161</v>
      </c>
      <c r="L30" s="86">
        <v>2</v>
      </c>
      <c r="N30" s="86">
        <v>1</v>
      </c>
      <c r="O30" s="86">
        <v>0.75</v>
      </c>
      <c r="P30" s="86">
        <v>0.7</v>
      </c>
      <c r="Q30" s="95">
        <f t="shared" si="0"/>
        <v>0.72499999999999998</v>
      </c>
      <c r="R30" s="86">
        <v>17.899999999999999</v>
      </c>
      <c r="S30" s="86">
        <v>150</v>
      </c>
      <c r="T30" s="96">
        <f t="shared" si="1"/>
        <v>22</v>
      </c>
      <c r="U30" s="86">
        <v>87</v>
      </c>
      <c r="V30" s="97">
        <f t="shared" si="2"/>
        <v>1914</v>
      </c>
      <c r="W30" s="86">
        <v>10</v>
      </c>
      <c r="X30" s="86" t="s">
        <v>46</v>
      </c>
      <c r="Y30" s="86" t="s">
        <v>102</v>
      </c>
      <c r="Z30" s="86" t="s">
        <v>69</v>
      </c>
      <c r="AA30" s="86" t="s">
        <v>97</v>
      </c>
      <c r="AB30" s="86" t="s">
        <v>158</v>
      </c>
    </row>
    <row r="31" spans="1:48" x14ac:dyDescent="0.15">
      <c r="A31" s="86" t="s">
        <v>51</v>
      </c>
      <c r="B31" s="86" t="s">
        <v>157</v>
      </c>
      <c r="C31" s="86">
        <v>2019</v>
      </c>
      <c r="D31" s="94" t="s">
        <v>235</v>
      </c>
      <c r="E31" s="86" t="s">
        <v>211</v>
      </c>
      <c r="F31" s="86" t="s">
        <v>238</v>
      </c>
      <c r="G31" s="86" t="s">
        <v>42</v>
      </c>
      <c r="H31" s="86" t="s">
        <v>160</v>
      </c>
      <c r="I31" s="86" t="s">
        <v>159</v>
      </c>
      <c r="J31" s="86" t="s">
        <v>38</v>
      </c>
      <c r="K31" s="86" t="s">
        <v>161</v>
      </c>
      <c r="L31" s="86">
        <v>3</v>
      </c>
      <c r="N31" s="86">
        <v>1</v>
      </c>
      <c r="O31" s="86">
        <v>0.75</v>
      </c>
      <c r="P31" s="86">
        <v>0.65</v>
      </c>
      <c r="Q31" s="95">
        <f t="shared" si="0"/>
        <v>0.7</v>
      </c>
      <c r="R31" s="86">
        <v>18.2</v>
      </c>
      <c r="S31" s="86">
        <v>150</v>
      </c>
      <c r="T31" s="96">
        <f t="shared" si="1"/>
        <v>22</v>
      </c>
      <c r="U31" s="86">
        <v>87</v>
      </c>
      <c r="V31" s="97">
        <f t="shared" si="2"/>
        <v>1914</v>
      </c>
      <c r="W31" s="86">
        <v>10</v>
      </c>
      <c r="X31" s="86" t="s">
        <v>46</v>
      </c>
      <c r="Y31" s="86" t="s">
        <v>102</v>
      </c>
      <c r="Z31" s="86" t="s">
        <v>69</v>
      </c>
      <c r="AA31" s="86" t="s">
        <v>97</v>
      </c>
      <c r="AB31" s="86" t="s">
        <v>158</v>
      </c>
    </row>
    <row r="32" spans="1:48" x14ac:dyDescent="0.15">
      <c r="A32" s="86" t="s">
        <v>51</v>
      </c>
      <c r="B32" s="86" t="s">
        <v>157</v>
      </c>
      <c r="C32" s="86">
        <v>2019</v>
      </c>
      <c r="D32" s="94" t="s">
        <v>235</v>
      </c>
      <c r="E32" s="86" t="s">
        <v>246</v>
      </c>
      <c r="F32" s="86" t="s">
        <v>238</v>
      </c>
      <c r="G32" s="86" t="s">
        <v>42</v>
      </c>
      <c r="H32" s="86" t="s">
        <v>164</v>
      </c>
      <c r="I32" s="86" t="s">
        <v>159</v>
      </c>
      <c r="J32" s="86" t="s">
        <v>38</v>
      </c>
      <c r="K32" s="86" t="s">
        <v>161</v>
      </c>
      <c r="L32" s="86">
        <v>1</v>
      </c>
      <c r="N32" s="86">
        <v>4</v>
      </c>
      <c r="O32" s="86">
        <v>1</v>
      </c>
      <c r="P32" s="86">
        <v>1</v>
      </c>
      <c r="Q32" s="95">
        <f t="shared" si="0"/>
        <v>1</v>
      </c>
      <c r="R32" s="86">
        <v>13.9</v>
      </c>
      <c r="S32" s="86">
        <v>130</v>
      </c>
      <c r="T32" s="96">
        <f t="shared" si="1"/>
        <v>25</v>
      </c>
      <c r="U32" s="86">
        <v>398</v>
      </c>
      <c r="V32" s="97">
        <f t="shared" si="2"/>
        <v>2487.5</v>
      </c>
      <c r="W32" s="86">
        <v>20</v>
      </c>
      <c r="X32" s="86" t="s">
        <v>46</v>
      </c>
      <c r="Y32" s="86" t="s">
        <v>78</v>
      </c>
      <c r="Z32" s="86" t="s">
        <v>102</v>
      </c>
      <c r="AA32" s="86" t="s">
        <v>69</v>
      </c>
      <c r="AB32" s="86" t="s">
        <v>158</v>
      </c>
    </row>
    <row r="33" spans="1:28" x14ac:dyDescent="0.15">
      <c r="A33" s="86" t="s">
        <v>51</v>
      </c>
      <c r="B33" s="86" t="s">
        <v>157</v>
      </c>
      <c r="C33" s="86">
        <v>2019</v>
      </c>
      <c r="D33" s="94" t="s">
        <v>235</v>
      </c>
      <c r="E33" s="86" t="s">
        <v>246</v>
      </c>
      <c r="F33" s="86" t="s">
        <v>238</v>
      </c>
      <c r="G33" s="86" t="s">
        <v>42</v>
      </c>
      <c r="H33" s="86" t="s">
        <v>164</v>
      </c>
      <c r="I33" s="86" t="s">
        <v>159</v>
      </c>
      <c r="J33" s="86" t="s">
        <v>38</v>
      </c>
      <c r="K33" s="86" t="s">
        <v>161</v>
      </c>
      <c r="L33" s="86">
        <v>2</v>
      </c>
      <c r="N33" s="86">
        <v>4</v>
      </c>
      <c r="O33" s="86">
        <v>0.9</v>
      </c>
      <c r="P33" s="86">
        <v>0.95</v>
      </c>
      <c r="Q33" s="95">
        <f t="shared" si="0"/>
        <v>0.92500000000000004</v>
      </c>
      <c r="R33" s="86">
        <v>14</v>
      </c>
      <c r="S33" s="86">
        <v>130</v>
      </c>
      <c r="T33" s="96">
        <f t="shared" si="1"/>
        <v>25</v>
      </c>
      <c r="U33" s="86">
        <v>398</v>
      </c>
      <c r="V33" s="97">
        <f t="shared" si="2"/>
        <v>2487.5</v>
      </c>
      <c r="W33" s="86">
        <v>20</v>
      </c>
      <c r="X33" s="86" t="s">
        <v>46</v>
      </c>
      <c r="Y33" s="86" t="s">
        <v>78</v>
      </c>
      <c r="Z33" s="86" t="s">
        <v>102</v>
      </c>
      <c r="AA33" s="86" t="s">
        <v>69</v>
      </c>
      <c r="AB33" s="86" t="s">
        <v>158</v>
      </c>
    </row>
    <row r="34" spans="1:28" x14ac:dyDescent="0.15">
      <c r="A34" s="86" t="s">
        <v>51</v>
      </c>
      <c r="B34" s="86" t="s">
        <v>157</v>
      </c>
      <c r="C34" s="86">
        <v>2019</v>
      </c>
      <c r="D34" s="94" t="s">
        <v>235</v>
      </c>
      <c r="E34" s="86" t="s">
        <v>246</v>
      </c>
      <c r="F34" s="86" t="s">
        <v>238</v>
      </c>
      <c r="G34" s="86" t="s">
        <v>42</v>
      </c>
      <c r="H34" s="86" t="s">
        <v>164</v>
      </c>
      <c r="I34" s="86" t="s">
        <v>159</v>
      </c>
      <c r="J34" s="86" t="s">
        <v>38</v>
      </c>
      <c r="K34" s="86" t="s">
        <v>161</v>
      </c>
      <c r="L34" s="86">
        <v>3</v>
      </c>
      <c r="N34" s="86">
        <v>4</v>
      </c>
      <c r="O34" s="86">
        <v>0.95</v>
      </c>
      <c r="P34" s="86">
        <v>1.1000000000000001</v>
      </c>
      <c r="Q34" s="95">
        <f t="shared" si="0"/>
        <v>1.0249999999999999</v>
      </c>
      <c r="R34" s="86">
        <v>13.6</v>
      </c>
      <c r="S34" s="86">
        <v>126</v>
      </c>
      <c r="T34" s="96">
        <f t="shared" si="1"/>
        <v>27</v>
      </c>
      <c r="U34" s="86">
        <v>398</v>
      </c>
      <c r="V34" s="97">
        <f t="shared" si="2"/>
        <v>2686.5</v>
      </c>
      <c r="W34" s="86">
        <v>20</v>
      </c>
      <c r="X34" s="86" t="s">
        <v>46</v>
      </c>
      <c r="Y34" s="86" t="s">
        <v>78</v>
      </c>
      <c r="Z34" s="86" t="s">
        <v>102</v>
      </c>
      <c r="AA34" s="86" t="s">
        <v>69</v>
      </c>
      <c r="AB34" s="86" t="s">
        <v>158</v>
      </c>
    </row>
    <row r="35" spans="1:28" x14ac:dyDescent="0.15">
      <c r="A35" s="86" t="s">
        <v>51</v>
      </c>
      <c r="B35" s="86" t="s">
        <v>157</v>
      </c>
      <c r="C35" s="86">
        <v>2019</v>
      </c>
      <c r="D35" s="94" t="s">
        <v>235</v>
      </c>
      <c r="E35" s="86" t="s">
        <v>246</v>
      </c>
      <c r="F35" s="86" t="s">
        <v>238</v>
      </c>
      <c r="G35" s="86" t="s">
        <v>42</v>
      </c>
      <c r="H35" s="86" t="s">
        <v>164</v>
      </c>
      <c r="I35" s="86" t="s">
        <v>198</v>
      </c>
      <c r="J35" s="86" t="s">
        <v>38</v>
      </c>
      <c r="K35" s="86" t="s">
        <v>161</v>
      </c>
      <c r="L35" s="86">
        <v>1</v>
      </c>
      <c r="N35" s="86">
        <v>4</v>
      </c>
      <c r="O35" s="86">
        <v>0.75</v>
      </c>
      <c r="P35" s="86">
        <v>0.8</v>
      </c>
      <c r="Q35" s="95">
        <f t="shared" si="0"/>
        <v>0.77500000000000002</v>
      </c>
      <c r="R35" s="86">
        <v>14.1</v>
      </c>
      <c r="S35" s="86">
        <v>91</v>
      </c>
      <c r="T35" s="96">
        <f t="shared" si="1"/>
        <v>36</v>
      </c>
      <c r="U35" s="86">
        <v>398</v>
      </c>
      <c r="V35" s="97">
        <f t="shared" si="2"/>
        <v>3582</v>
      </c>
      <c r="W35" s="86">
        <v>20</v>
      </c>
      <c r="X35" s="86" t="s">
        <v>46</v>
      </c>
      <c r="Y35" s="86" t="s">
        <v>78</v>
      </c>
      <c r="Z35" s="86" t="s">
        <v>102</v>
      </c>
      <c r="AA35" s="86" t="s">
        <v>69</v>
      </c>
      <c r="AB35" s="86" t="s">
        <v>158</v>
      </c>
    </row>
    <row r="36" spans="1:28" x14ac:dyDescent="0.15">
      <c r="A36" s="86" t="s">
        <v>51</v>
      </c>
      <c r="B36" s="86" t="s">
        <v>157</v>
      </c>
      <c r="C36" s="86">
        <v>2019</v>
      </c>
      <c r="D36" s="94" t="s">
        <v>235</v>
      </c>
      <c r="E36" s="86" t="s">
        <v>246</v>
      </c>
      <c r="F36" s="86" t="s">
        <v>238</v>
      </c>
      <c r="G36" s="86" t="s">
        <v>42</v>
      </c>
      <c r="H36" s="86" t="s">
        <v>164</v>
      </c>
      <c r="I36" s="86" t="s">
        <v>198</v>
      </c>
      <c r="J36" s="86" t="s">
        <v>38</v>
      </c>
      <c r="K36" s="86" t="s">
        <v>161</v>
      </c>
      <c r="L36" s="86">
        <v>2</v>
      </c>
      <c r="N36" s="86">
        <v>4</v>
      </c>
      <c r="O36" s="86">
        <v>0.75</v>
      </c>
      <c r="P36" s="86">
        <v>0.75</v>
      </c>
      <c r="Q36" s="95">
        <f t="shared" si="0"/>
        <v>0.75</v>
      </c>
      <c r="R36" s="86">
        <v>14.8</v>
      </c>
      <c r="S36" s="86">
        <v>95</v>
      </c>
      <c r="T36" s="96">
        <f t="shared" si="1"/>
        <v>36</v>
      </c>
      <c r="U36" s="86">
        <v>398</v>
      </c>
      <c r="V36" s="97">
        <f t="shared" si="2"/>
        <v>3582</v>
      </c>
      <c r="W36" s="86">
        <v>20</v>
      </c>
      <c r="X36" s="86" t="s">
        <v>46</v>
      </c>
      <c r="Y36" s="86" t="s">
        <v>78</v>
      </c>
      <c r="Z36" s="86" t="s">
        <v>102</v>
      </c>
      <c r="AA36" s="86" t="s">
        <v>69</v>
      </c>
      <c r="AB36" s="86" t="s">
        <v>158</v>
      </c>
    </row>
    <row r="37" spans="1:28" x14ac:dyDescent="0.15">
      <c r="A37" s="86" t="s">
        <v>51</v>
      </c>
      <c r="B37" s="86" t="s">
        <v>157</v>
      </c>
      <c r="C37" s="86">
        <v>2019</v>
      </c>
      <c r="D37" s="94" t="s">
        <v>235</v>
      </c>
      <c r="E37" s="86" t="s">
        <v>246</v>
      </c>
      <c r="F37" s="86" t="s">
        <v>238</v>
      </c>
      <c r="G37" s="86" t="s">
        <v>42</v>
      </c>
      <c r="H37" s="86" t="s">
        <v>164</v>
      </c>
      <c r="I37" s="86" t="s">
        <v>198</v>
      </c>
      <c r="J37" s="86" t="s">
        <v>38</v>
      </c>
      <c r="K37" s="86" t="s">
        <v>161</v>
      </c>
      <c r="L37" s="86">
        <v>3</v>
      </c>
      <c r="N37" s="86">
        <v>4</v>
      </c>
      <c r="O37" s="86">
        <v>0.85</v>
      </c>
      <c r="P37" s="86">
        <v>0.7</v>
      </c>
      <c r="Q37" s="95">
        <f t="shared" si="0"/>
        <v>0.77499999999999991</v>
      </c>
      <c r="R37" s="86">
        <v>14.6</v>
      </c>
      <c r="S37" s="86">
        <v>94</v>
      </c>
      <c r="T37" s="96">
        <f t="shared" si="1"/>
        <v>36</v>
      </c>
      <c r="U37" s="86">
        <v>398</v>
      </c>
      <c r="V37" s="97">
        <f t="shared" si="2"/>
        <v>3582</v>
      </c>
      <c r="W37" s="86">
        <v>20</v>
      </c>
      <c r="X37" s="86" t="s">
        <v>46</v>
      </c>
      <c r="Y37" s="86" t="s">
        <v>78</v>
      </c>
      <c r="Z37" s="86" t="s">
        <v>102</v>
      </c>
      <c r="AA37" s="86" t="s">
        <v>69</v>
      </c>
      <c r="AB37" s="86" t="s">
        <v>158</v>
      </c>
    </row>
    <row r="38" spans="1:28" x14ac:dyDescent="0.15">
      <c r="A38" s="86" t="s">
        <v>51</v>
      </c>
      <c r="B38" s="86" t="s">
        <v>157</v>
      </c>
      <c r="C38" s="86">
        <v>2019</v>
      </c>
      <c r="D38" s="94" t="s">
        <v>235</v>
      </c>
      <c r="E38" s="86" t="s">
        <v>246</v>
      </c>
      <c r="F38" s="86" t="s">
        <v>238</v>
      </c>
      <c r="G38" s="86" t="s">
        <v>42</v>
      </c>
      <c r="H38" s="86" t="s">
        <v>160</v>
      </c>
      <c r="I38" s="86" t="s">
        <v>159</v>
      </c>
      <c r="J38" s="86" t="s">
        <v>38</v>
      </c>
      <c r="K38" s="86" t="s">
        <v>161</v>
      </c>
      <c r="L38" s="86">
        <v>1</v>
      </c>
      <c r="N38" s="86">
        <v>4</v>
      </c>
      <c r="O38" s="86">
        <v>0.65</v>
      </c>
      <c r="P38" s="86">
        <v>0.75</v>
      </c>
      <c r="Q38" s="95">
        <f t="shared" si="0"/>
        <v>0.7</v>
      </c>
      <c r="R38" s="86">
        <v>16.399999999999999</v>
      </c>
      <c r="S38" s="86">
        <v>97</v>
      </c>
      <c r="T38" s="96">
        <f t="shared" si="1"/>
        <v>36</v>
      </c>
      <c r="U38" s="86">
        <v>480</v>
      </c>
      <c r="V38" s="97">
        <f t="shared" si="2"/>
        <v>4320</v>
      </c>
      <c r="W38" s="86">
        <v>20</v>
      </c>
      <c r="X38" s="86" t="s">
        <v>46</v>
      </c>
      <c r="Y38" s="86" t="s">
        <v>78</v>
      </c>
      <c r="Z38" s="86" t="s">
        <v>102</v>
      </c>
      <c r="AA38" s="86" t="s">
        <v>69</v>
      </c>
      <c r="AB38" s="86" t="s">
        <v>158</v>
      </c>
    </row>
    <row r="39" spans="1:28" x14ac:dyDescent="0.15">
      <c r="A39" s="86" t="s">
        <v>51</v>
      </c>
      <c r="B39" s="86" t="s">
        <v>157</v>
      </c>
      <c r="C39" s="86">
        <v>2019</v>
      </c>
      <c r="D39" s="94" t="s">
        <v>235</v>
      </c>
      <c r="E39" s="86" t="s">
        <v>246</v>
      </c>
      <c r="F39" s="86" t="s">
        <v>238</v>
      </c>
      <c r="G39" s="86" t="s">
        <v>42</v>
      </c>
      <c r="H39" s="86" t="s">
        <v>160</v>
      </c>
      <c r="I39" s="86" t="s">
        <v>159</v>
      </c>
      <c r="J39" s="86" t="s">
        <v>38</v>
      </c>
      <c r="K39" s="86" t="s">
        <v>161</v>
      </c>
      <c r="L39" s="86">
        <v>2</v>
      </c>
      <c r="N39" s="86">
        <v>4</v>
      </c>
      <c r="O39" s="86">
        <v>0.75</v>
      </c>
      <c r="P39" s="86">
        <v>0.6</v>
      </c>
      <c r="Q39" s="95">
        <f t="shared" si="0"/>
        <v>0.67500000000000004</v>
      </c>
      <c r="R39" s="86">
        <v>17.100000000000001</v>
      </c>
      <c r="S39" s="86">
        <v>112</v>
      </c>
      <c r="T39" s="96">
        <f t="shared" si="1"/>
        <v>33</v>
      </c>
      <c r="U39" s="86">
        <v>480</v>
      </c>
      <c r="V39" s="97">
        <f t="shared" si="2"/>
        <v>3960</v>
      </c>
      <c r="W39" s="86">
        <v>20</v>
      </c>
      <c r="X39" s="86" t="s">
        <v>46</v>
      </c>
      <c r="Y39" s="86" t="s">
        <v>78</v>
      </c>
      <c r="Z39" s="86" t="s">
        <v>102</v>
      </c>
      <c r="AA39" s="86" t="s">
        <v>69</v>
      </c>
      <c r="AB39" s="86" t="s">
        <v>158</v>
      </c>
    </row>
    <row r="40" spans="1:28" x14ac:dyDescent="0.15">
      <c r="A40" s="86" t="s">
        <v>51</v>
      </c>
      <c r="B40" s="86" t="s">
        <v>157</v>
      </c>
      <c r="C40" s="86">
        <v>2019</v>
      </c>
      <c r="D40" s="94" t="s">
        <v>235</v>
      </c>
      <c r="E40" s="86" t="s">
        <v>246</v>
      </c>
      <c r="F40" s="86" t="s">
        <v>238</v>
      </c>
      <c r="G40" s="86" t="s">
        <v>42</v>
      </c>
      <c r="H40" s="86" t="s">
        <v>160</v>
      </c>
      <c r="I40" s="86" t="s">
        <v>159</v>
      </c>
      <c r="J40" s="86" t="s">
        <v>38</v>
      </c>
      <c r="K40" s="86" t="s">
        <v>161</v>
      </c>
      <c r="L40" s="86">
        <v>3</v>
      </c>
      <c r="N40" s="86">
        <v>4</v>
      </c>
      <c r="O40" s="86">
        <v>0.7</v>
      </c>
      <c r="P40" s="86">
        <v>0.6</v>
      </c>
      <c r="Q40" s="95">
        <f t="shared" si="0"/>
        <v>0.64999999999999991</v>
      </c>
      <c r="R40" s="86">
        <v>16.7</v>
      </c>
      <c r="S40" s="86">
        <v>94</v>
      </c>
      <c r="T40" s="96">
        <f t="shared" si="1"/>
        <v>36</v>
      </c>
      <c r="U40" s="86">
        <v>480</v>
      </c>
      <c r="V40" s="97">
        <f t="shared" si="2"/>
        <v>4320</v>
      </c>
      <c r="W40" s="86">
        <v>20</v>
      </c>
      <c r="X40" s="86" t="s">
        <v>46</v>
      </c>
      <c r="Y40" s="86" t="s">
        <v>78</v>
      </c>
      <c r="Z40" s="86" t="s">
        <v>102</v>
      </c>
      <c r="AA40" s="86" t="s">
        <v>69</v>
      </c>
      <c r="AB40" s="86" t="s">
        <v>158</v>
      </c>
    </row>
    <row r="41" spans="1:28" x14ac:dyDescent="0.15">
      <c r="A41" s="86" t="s">
        <v>51</v>
      </c>
      <c r="B41" s="86" t="s">
        <v>157</v>
      </c>
      <c r="C41" s="86">
        <v>2019</v>
      </c>
      <c r="D41" s="94" t="s">
        <v>235</v>
      </c>
      <c r="E41" s="86" t="s">
        <v>241</v>
      </c>
      <c r="F41" s="86" t="s">
        <v>242</v>
      </c>
      <c r="G41" s="86" t="s">
        <v>42</v>
      </c>
      <c r="H41" s="86" t="s">
        <v>164</v>
      </c>
      <c r="I41" s="86" t="s">
        <v>159</v>
      </c>
      <c r="J41" s="86" t="s">
        <v>38</v>
      </c>
      <c r="K41" s="86" t="s">
        <v>161</v>
      </c>
      <c r="L41" s="86">
        <v>1</v>
      </c>
      <c r="N41" s="86">
        <v>1</v>
      </c>
      <c r="O41" s="86">
        <v>0.65</v>
      </c>
      <c r="P41" s="86">
        <v>0.6</v>
      </c>
      <c r="Q41" s="95">
        <f t="shared" si="0"/>
        <v>0.625</v>
      </c>
      <c r="R41" s="86">
        <v>15.7</v>
      </c>
      <c r="S41" s="86">
        <v>136</v>
      </c>
      <c r="T41" s="96">
        <f t="shared" si="1"/>
        <v>25</v>
      </c>
      <c r="U41" s="86">
        <v>99</v>
      </c>
      <c r="V41" s="97">
        <f t="shared" si="2"/>
        <v>2475</v>
      </c>
      <c r="W41" s="86">
        <v>2</v>
      </c>
      <c r="X41" s="86" t="s">
        <v>46</v>
      </c>
      <c r="Y41" s="86" t="s">
        <v>102</v>
      </c>
      <c r="Z41" s="86" t="s">
        <v>69</v>
      </c>
      <c r="AA41" s="86" t="s">
        <v>97</v>
      </c>
      <c r="AB41" s="86" t="s">
        <v>158</v>
      </c>
    </row>
    <row r="42" spans="1:28" x14ac:dyDescent="0.15">
      <c r="A42" s="86" t="s">
        <v>51</v>
      </c>
      <c r="B42" s="86" t="s">
        <v>157</v>
      </c>
      <c r="C42" s="86">
        <v>2019</v>
      </c>
      <c r="D42" s="94" t="s">
        <v>235</v>
      </c>
      <c r="E42" s="86" t="s">
        <v>241</v>
      </c>
      <c r="F42" s="86" t="s">
        <v>242</v>
      </c>
      <c r="G42" s="86" t="s">
        <v>42</v>
      </c>
      <c r="H42" s="86" t="s">
        <v>164</v>
      </c>
      <c r="I42" s="86" t="s">
        <v>159</v>
      </c>
      <c r="J42" s="86" t="s">
        <v>38</v>
      </c>
      <c r="K42" s="86" t="s">
        <v>161</v>
      </c>
      <c r="L42" s="86">
        <v>2</v>
      </c>
      <c r="N42" s="86">
        <v>1</v>
      </c>
      <c r="O42" s="86">
        <v>0.7</v>
      </c>
      <c r="P42" s="86">
        <v>0.75</v>
      </c>
      <c r="Q42" s="95">
        <f t="shared" si="0"/>
        <v>0.72499999999999998</v>
      </c>
      <c r="R42" s="86">
        <v>14.2</v>
      </c>
      <c r="S42" s="86">
        <v>132</v>
      </c>
      <c r="T42" s="96">
        <f t="shared" si="1"/>
        <v>25</v>
      </c>
      <c r="U42" s="86">
        <v>99</v>
      </c>
      <c r="V42" s="97">
        <f t="shared" si="2"/>
        <v>2475</v>
      </c>
      <c r="W42" s="86">
        <v>2</v>
      </c>
      <c r="X42" s="86" t="s">
        <v>46</v>
      </c>
      <c r="Y42" s="86" t="s">
        <v>102</v>
      </c>
      <c r="Z42" s="86" t="s">
        <v>69</v>
      </c>
      <c r="AA42" s="86" t="s">
        <v>97</v>
      </c>
      <c r="AB42" s="86" t="s">
        <v>158</v>
      </c>
    </row>
    <row r="43" spans="1:28" x14ac:dyDescent="0.15">
      <c r="A43" s="86" t="s">
        <v>51</v>
      </c>
      <c r="B43" s="86" t="s">
        <v>157</v>
      </c>
      <c r="C43" s="86">
        <v>2019</v>
      </c>
      <c r="D43" s="94" t="s">
        <v>235</v>
      </c>
      <c r="E43" s="86" t="s">
        <v>241</v>
      </c>
      <c r="F43" s="86" t="s">
        <v>242</v>
      </c>
      <c r="G43" s="86" t="s">
        <v>42</v>
      </c>
      <c r="H43" s="86" t="s">
        <v>164</v>
      </c>
      <c r="I43" s="86" t="s">
        <v>159</v>
      </c>
      <c r="J43" s="86" t="s">
        <v>38</v>
      </c>
      <c r="K43" s="86" t="s">
        <v>161</v>
      </c>
      <c r="L43" s="86">
        <v>3</v>
      </c>
      <c r="N43" s="86">
        <v>1</v>
      </c>
      <c r="O43" s="86">
        <v>0.75</v>
      </c>
      <c r="P43" s="86">
        <v>0.55000000000000004</v>
      </c>
      <c r="Q43" s="95">
        <f t="shared" si="0"/>
        <v>0.65</v>
      </c>
      <c r="R43" s="86">
        <v>15.9</v>
      </c>
      <c r="S43" s="86">
        <v>134</v>
      </c>
      <c r="T43" s="96">
        <f t="shared" si="1"/>
        <v>25</v>
      </c>
      <c r="U43" s="86">
        <v>99</v>
      </c>
      <c r="V43" s="97">
        <f t="shared" si="2"/>
        <v>2475</v>
      </c>
      <c r="W43" s="86">
        <v>2</v>
      </c>
      <c r="X43" s="86" t="s">
        <v>46</v>
      </c>
      <c r="Y43" s="86" t="s">
        <v>102</v>
      </c>
      <c r="Z43" s="86" t="s">
        <v>69</v>
      </c>
      <c r="AA43" s="86" t="s">
        <v>97</v>
      </c>
      <c r="AB43" s="86" t="s">
        <v>158</v>
      </c>
    </row>
    <row r="44" spans="1:28" x14ac:dyDescent="0.15">
      <c r="A44" s="86" t="s">
        <v>51</v>
      </c>
      <c r="B44" s="86" t="s">
        <v>157</v>
      </c>
      <c r="C44" s="86">
        <v>2019</v>
      </c>
      <c r="D44" s="94" t="s">
        <v>235</v>
      </c>
      <c r="E44" s="86" t="s">
        <v>243</v>
      </c>
      <c r="F44" s="86" t="s">
        <v>237</v>
      </c>
      <c r="G44" s="86" t="s">
        <v>36</v>
      </c>
      <c r="H44" s="86" t="s">
        <v>164</v>
      </c>
      <c r="I44" s="86" t="s">
        <v>159</v>
      </c>
      <c r="J44" s="86" t="s">
        <v>38</v>
      </c>
      <c r="K44" s="86" t="s">
        <v>161</v>
      </c>
      <c r="L44" s="86">
        <v>1</v>
      </c>
      <c r="N44" s="86">
        <v>5</v>
      </c>
      <c r="O44" s="86">
        <v>0.86</v>
      </c>
      <c r="P44" s="86">
        <v>0.85</v>
      </c>
      <c r="Q44" s="95">
        <f t="shared" si="0"/>
        <v>0.85499999999999998</v>
      </c>
      <c r="R44" s="86">
        <v>14.8</v>
      </c>
      <c r="S44" s="86">
        <v>86</v>
      </c>
      <c r="T44" s="96">
        <f t="shared" si="1"/>
        <v>36</v>
      </c>
      <c r="U44" s="86">
        <v>398</v>
      </c>
      <c r="V44" s="97">
        <f t="shared" si="2"/>
        <v>2865.6</v>
      </c>
      <c r="W44" s="86">
        <v>3</v>
      </c>
      <c r="X44" s="86" t="s">
        <v>46</v>
      </c>
      <c r="Y44" s="86" t="s">
        <v>102</v>
      </c>
      <c r="Z44" s="86" t="s">
        <v>78</v>
      </c>
      <c r="AA44" s="86" t="s">
        <v>69</v>
      </c>
      <c r="AB44" s="86" t="s">
        <v>158</v>
      </c>
    </row>
    <row r="45" spans="1:28" x14ac:dyDescent="0.15">
      <c r="A45" s="86" t="s">
        <v>51</v>
      </c>
      <c r="B45" s="86" t="s">
        <v>157</v>
      </c>
      <c r="C45" s="86">
        <v>2019</v>
      </c>
      <c r="D45" s="94" t="s">
        <v>235</v>
      </c>
      <c r="E45" s="86" t="s">
        <v>243</v>
      </c>
      <c r="F45" s="86" t="s">
        <v>237</v>
      </c>
      <c r="G45" s="86" t="s">
        <v>36</v>
      </c>
      <c r="H45" s="86" t="s">
        <v>164</v>
      </c>
      <c r="I45" s="86" t="s">
        <v>159</v>
      </c>
      <c r="J45" s="86" t="s">
        <v>38</v>
      </c>
      <c r="K45" s="86" t="s">
        <v>161</v>
      </c>
      <c r="L45" s="86">
        <v>2</v>
      </c>
      <c r="N45" s="86">
        <v>5</v>
      </c>
      <c r="O45" s="86">
        <v>0.85</v>
      </c>
      <c r="P45" s="86">
        <v>0.75</v>
      </c>
      <c r="Q45" s="95">
        <f t="shared" si="0"/>
        <v>0.8</v>
      </c>
      <c r="R45" s="86">
        <v>15.5</v>
      </c>
      <c r="S45" s="86">
        <v>85</v>
      </c>
      <c r="T45" s="96">
        <f t="shared" si="1"/>
        <v>36</v>
      </c>
      <c r="U45" s="86">
        <v>398</v>
      </c>
      <c r="V45" s="97">
        <f t="shared" si="2"/>
        <v>2865.6</v>
      </c>
      <c r="W45" s="86">
        <v>3</v>
      </c>
      <c r="X45" s="86" t="s">
        <v>46</v>
      </c>
      <c r="Y45" s="86" t="s">
        <v>102</v>
      </c>
      <c r="Z45" s="86" t="s">
        <v>78</v>
      </c>
      <c r="AA45" s="86" t="s">
        <v>69</v>
      </c>
      <c r="AB45" s="86" t="s">
        <v>158</v>
      </c>
    </row>
    <row r="46" spans="1:28" x14ac:dyDescent="0.15">
      <c r="A46" s="86" t="s">
        <v>51</v>
      </c>
      <c r="B46" s="86" t="s">
        <v>157</v>
      </c>
      <c r="C46" s="86">
        <v>2019</v>
      </c>
      <c r="D46" s="94" t="s">
        <v>235</v>
      </c>
      <c r="E46" s="86" t="s">
        <v>243</v>
      </c>
      <c r="F46" s="86" t="s">
        <v>237</v>
      </c>
      <c r="G46" s="86" t="s">
        <v>36</v>
      </c>
      <c r="H46" s="86" t="s">
        <v>164</v>
      </c>
      <c r="I46" s="86" t="s">
        <v>159</v>
      </c>
      <c r="J46" s="86" t="s">
        <v>38</v>
      </c>
      <c r="K46" s="86" t="s">
        <v>161</v>
      </c>
      <c r="L46" s="86">
        <v>3</v>
      </c>
      <c r="N46" s="86">
        <v>5</v>
      </c>
      <c r="O46" s="86">
        <v>0.8</v>
      </c>
      <c r="P46" s="86">
        <v>0.85</v>
      </c>
      <c r="Q46" s="95">
        <f t="shared" si="0"/>
        <v>0.82499999999999996</v>
      </c>
      <c r="R46" s="86">
        <v>15</v>
      </c>
      <c r="S46" s="86">
        <v>84</v>
      </c>
      <c r="T46" s="96">
        <f t="shared" si="1"/>
        <v>36</v>
      </c>
      <c r="U46" s="86">
        <v>398</v>
      </c>
      <c r="V46" s="97">
        <f t="shared" si="2"/>
        <v>2865.6</v>
      </c>
      <c r="W46" s="86">
        <v>3</v>
      </c>
      <c r="X46" s="86" t="s">
        <v>46</v>
      </c>
      <c r="Y46" s="86" t="s">
        <v>102</v>
      </c>
      <c r="Z46" s="86" t="s">
        <v>78</v>
      </c>
      <c r="AA46" s="86" t="s">
        <v>69</v>
      </c>
      <c r="AB46" s="86" t="s">
        <v>158</v>
      </c>
    </row>
    <row r="47" spans="1:28" x14ac:dyDescent="0.15">
      <c r="A47" s="86" t="s">
        <v>51</v>
      </c>
      <c r="B47" s="86" t="s">
        <v>157</v>
      </c>
      <c r="C47" s="86">
        <v>2019</v>
      </c>
      <c r="D47" s="94" t="s">
        <v>235</v>
      </c>
      <c r="E47" s="86" t="s">
        <v>243</v>
      </c>
      <c r="F47" s="86" t="s">
        <v>237</v>
      </c>
      <c r="G47" s="86" t="s">
        <v>36</v>
      </c>
      <c r="H47" s="86" t="s">
        <v>160</v>
      </c>
      <c r="I47" s="86" t="s">
        <v>159</v>
      </c>
      <c r="J47" s="86" t="s">
        <v>38</v>
      </c>
      <c r="K47" s="86" t="s">
        <v>161</v>
      </c>
      <c r="L47" s="86">
        <v>1</v>
      </c>
      <c r="N47" s="86">
        <v>4</v>
      </c>
      <c r="O47" s="86">
        <v>0.75</v>
      </c>
      <c r="P47" s="86">
        <v>0.65</v>
      </c>
      <c r="Q47" s="95">
        <f t="shared" si="0"/>
        <v>0.7</v>
      </c>
      <c r="R47" s="86">
        <v>15.5</v>
      </c>
      <c r="S47" s="86">
        <v>112</v>
      </c>
      <c r="T47" s="96">
        <f t="shared" si="1"/>
        <v>33</v>
      </c>
      <c r="U47" s="86">
        <v>498</v>
      </c>
      <c r="V47" s="97">
        <f t="shared" si="2"/>
        <v>4108.5</v>
      </c>
      <c r="W47" s="86">
        <v>3</v>
      </c>
      <c r="X47" s="86" t="s">
        <v>46</v>
      </c>
      <c r="Y47" s="86" t="s">
        <v>102</v>
      </c>
      <c r="Z47" s="86" t="s">
        <v>78</v>
      </c>
      <c r="AA47" s="86" t="s">
        <v>69</v>
      </c>
      <c r="AB47" s="86" t="s">
        <v>158</v>
      </c>
    </row>
    <row r="48" spans="1:28" x14ac:dyDescent="0.15">
      <c r="A48" s="86" t="s">
        <v>51</v>
      </c>
      <c r="B48" s="86" t="s">
        <v>157</v>
      </c>
      <c r="C48" s="86">
        <v>2019</v>
      </c>
      <c r="D48" s="94" t="s">
        <v>235</v>
      </c>
      <c r="E48" s="86" t="s">
        <v>243</v>
      </c>
      <c r="F48" s="86" t="s">
        <v>237</v>
      </c>
      <c r="G48" s="86" t="s">
        <v>36</v>
      </c>
      <c r="H48" s="86" t="s">
        <v>160</v>
      </c>
      <c r="I48" s="86" t="s">
        <v>159</v>
      </c>
      <c r="J48" s="86" t="s">
        <v>38</v>
      </c>
      <c r="K48" s="86" t="s">
        <v>161</v>
      </c>
      <c r="L48" s="86">
        <v>2</v>
      </c>
      <c r="N48" s="86">
        <v>4</v>
      </c>
      <c r="O48" s="86">
        <v>0.7</v>
      </c>
      <c r="P48" s="86">
        <v>0.7</v>
      </c>
      <c r="Q48" s="95">
        <f t="shared" si="0"/>
        <v>0.7</v>
      </c>
      <c r="R48" s="86">
        <v>16.2</v>
      </c>
      <c r="S48" s="86">
        <v>116</v>
      </c>
      <c r="T48" s="96">
        <f t="shared" si="1"/>
        <v>30</v>
      </c>
      <c r="U48" s="86">
        <v>498</v>
      </c>
      <c r="V48" s="97">
        <f t="shared" si="2"/>
        <v>3735</v>
      </c>
      <c r="W48" s="86">
        <v>3</v>
      </c>
      <c r="X48" s="86" t="s">
        <v>46</v>
      </c>
      <c r="Y48" s="86" t="s">
        <v>102</v>
      </c>
      <c r="Z48" s="86" t="s">
        <v>78</v>
      </c>
      <c r="AA48" s="86" t="s">
        <v>69</v>
      </c>
      <c r="AB48" s="86" t="s">
        <v>158</v>
      </c>
    </row>
    <row r="49" spans="1:28" x14ac:dyDescent="0.15">
      <c r="A49" s="86" t="s">
        <v>51</v>
      </c>
      <c r="B49" s="86" t="s">
        <v>157</v>
      </c>
      <c r="C49" s="86">
        <v>2019</v>
      </c>
      <c r="D49" s="94" t="s">
        <v>235</v>
      </c>
      <c r="E49" s="86" t="s">
        <v>243</v>
      </c>
      <c r="F49" s="86" t="s">
        <v>237</v>
      </c>
      <c r="G49" s="86" t="s">
        <v>36</v>
      </c>
      <c r="H49" s="86" t="s">
        <v>160</v>
      </c>
      <c r="I49" s="86" t="s">
        <v>159</v>
      </c>
      <c r="J49" s="86" t="s">
        <v>38</v>
      </c>
      <c r="K49" s="86" t="s">
        <v>161</v>
      </c>
      <c r="L49" s="86">
        <v>3</v>
      </c>
      <c r="N49" s="86">
        <v>4</v>
      </c>
      <c r="O49" s="86">
        <v>0.7</v>
      </c>
      <c r="P49" s="86">
        <v>0.65</v>
      </c>
      <c r="Q49" s="95">
        <f t="shared" si="0"/>
        <v>0.67500000000000004</v>
      </c>
      <c r="R49" s="86">
        <v>16.399999999999999</v>
      </c>
      <c r="S49" s="86">
        <v>112</v>
      </c>
      <c r="T49" s="96">
        <f t="shared" si="1"/>
        <v>33</v>
      </c>
      <c r="U49" s="86">
        <v>498</v>
      </c>
      <c r="V49" s="97">
        <f t="shared" si="2"/>
        <v>4108.5</v>
      </c>
      <c r="W49" s="86">
        <v>3</v>
      </c>
      <c r="X49" s="86" t="s">
        <v>46</v>
      </c>
      <c r="Y49" s="86" t="s">
        <v>102</v>
      </c>
      <c r="Z49" s="86" t="s">
        <v>78</v>
      </c>
      <c r="AA49" s="86" t="s">
        <v>69</v>
      </c>
      <c r="AB49" s="86" t="s">
        <v>158</v>
      </c>
    </row>
    <row r="50" spans="1:28" x14ac:dyDescent="0.15">
      <c r="A50" s="86" t="s">
        <v>51</v>
      </c>
      <c r="B50" s="86" t="s">
        <v>157</v>
      </c>
      <c r="C50" s="86">
        <v>2019</v>
      </c>
      <c r="D50" s="94" t="s">
        <v>235</v>
      </c>
      <c r="E50" s="86" t="s">
        <v>247</v>
      </c>
      <c r="F50" s="86" t="s">
        <v>248</v>
      </c>
      <c r="G50" s="86" t="s">
        <v>36</v>
      </c>
      <c r="H50" s="86" t="s">
        <v>164</v>
      </c>
      <c r="I50" s="86" t="s">
        <v>159</v>
      </c>
      <c r="J50" s="86" t="s">
        <v>38</v>
      </c>
      <c r="K50" s="86" t="s">
        <v>161</v>
      </c>
      <c r="L50" s="86">
        <v>1</v>
      </c>
      <c r="N50" s="86">
        <v>1</v>
      </c>
      <c r="O50" s="86">
        <v>0.75</v>
      </c>
      <c r="P50" s="86">
        <v>0.75</v>
      </c>
      <c r="Q50" s="95">
        <f t="shared" si="0"/>
        <v>0.75</v>
      </c>
      <c r="R50" s="86">
        <v>14.4</v>
      </c>
      <c r="S50" s="86">
        <v>138</v>
      </c>
      <c r="T50" s="96">
        <f t="shared" si="1"/>
        <v>22</v>
      </c>
      <c r="U50" s="86">
        <v>128</v>
      </c>
      <c r="V50" s="97">
        <f t="shared" si="2"/>
        <v>2816</v>
      </c>
      <c r="W50" s="86">
        <v>6</v>
      </c>
      <c r="X50" s="86" t="s">
        <v>46</v>
      </c>
      <c r="Y50" s="86" t="s">
        <v>78</v>
      </c>
      <c r="Z50" s="86" t="s">
        <v>69</v>
      </c>
      <c r="AA50" s="86" t="s">
        <v>88</v>
      </c>
      <c r="AB50" s="86" t="s">
        <v>158</v>
      </c>
    </row>
    <row r="51" spans="1:28" x14ac:dyDescent="0.15">
      <c r="A51" s="86" t="s">
        <v>51</v>
      </c>
      <c r="B51" s="86" t="s">
        <v>157</v>
      </c>
      <c r="C51" s="86">
        <v>2019</v>
      </c>
      <c r="D51" s="94" t="s">
        <v>235</v>
      </c>
      <c r="E51" s="86" t="s">
        <v>247</v>
      </c>
      <c r="F51" s="86" t="s">
        <v>248</v>
      </c>
      <c r="G51" s="86" t="s">
        <v>36</v>
      </c>
      <c r="H51" s="86" t="s">
        <v>164</v>
      </c>
      <c r="I51" s="86" t="s">
        <v>159</v>
      </c>
      <c r="J51" s="86" t="s">
        <v>38</v>
      </c>
      <c r="K51" s="86" t="s">
        <v>161</v>
      </c>
      <c r="L51" s="86">
        <v>2</v>
      </c>
      <c r="N51" s="86">
        <v>1</v>
      </c>
      <c r="O51" s="86">
        <v>0.8</v>
      </c>
      <c r="P51" s="86">
        <v>0.85</v>
      </c>
      <c r="Q51" s="95">
        <f t="shared" si="0"/>
        <v>0.82499999999999996</v>
      </c>
      <c r="R51" s="86">
        <v>15.2</v>
      </c>
      <c r="S51" s="86">
        <v>144</v>
      </c>
      <c r="T51" s="96">
        <f t="shared" si="1"/>
        <v>22</v>
      </c>
      <c r="U51" s="86">
        <v>128</v>
      </c>
      <c r="V51" s="97">
        <f t="shared" si="2"/>
        <v>2816</v>
      </c>
      <c r="W51" s="86">
        <v>6</v>
      </c>
      <c r="X51" s="86" t="s">
        <v>46</v>
      </c>
      <c r="Y51" s="86" t="s">
        <v>78</v>
      </c>
      <c r="Z51" s="86" t="s">
        <v>69</v>
      </c>
      <c r="AA51" s="86" t="s">
        <v>88</v>
      </c>
      <c r="AB51" s="86" t="s">
        <v>158</v>
      </c>
    </row>
    <row r="52" spans="1:28" x14ac:dyDescent="0.15">
      <c r="A52" s="86" t="s">
        <v>51</v>
      </c>
      <c r="B52" s="86" t="s">
        <v>157</v>
      </c>
      <c r="C52" s="86">
        <v>2019</v>
      </c>
      <c r="D52" s="94" t="s">
        <v>235</v>
      </c>
      <c r="E52" s="86" t="s">
        <v>247</v>
      </c>
      <c r="F52" s="86" t="s">
        <v>248</v>
      </c>
      <c r="G52" s="86" t="s">
        <v>36</v>
      </c>
      <c r="H52" s="86" t="s">
        <v>164</v>
      </c>
      <c r="I52" s="86" t="s">
        <v>159</v>
      </c>
      <c r="J52" s="86" t="s">
        <v>38</v>
      </c>
      <c r="K52" s="86" t="s">
        <v>161</v>
      </c>
      <c r="L52" s="86">
        <v>3</v>
      </c>
      <c r="N52" s="86">
        <v>1</v>
      </c>
      <c r="O52" s="86">
        <v>0.8</v>
      </c>
      <c r="P52" s="86">
        <v>0.75</v>
      </c>
      <c r="Q52" s="95">
        <f t="shared" si="0"/>
        <v>0.77500000000000002</v>
      </c>
      <c r="R52" s="86">
        <v>15.8</v>
      </c>
      <c r="S52" s="86">
        <v>146</v>
      </c>
      <c r="T52" s="96">
        <f t="shared" si="1"/>
        <v>22</v>
      </c>
      <c r="U52" s="86">
        <v>128</v>
      </c>
      <c r="V52" s="97">
        <f t="shared" si="2"/>
        <v>2816</v>
      </c>
      <c r="W52" s="86">
        <v>6</v>
      </c>
      <c r="X52" s="86" t="s">
        <v>46</v>
      </c>
      <c r="Y52" s="86" t="s">
        <v>78</v>
      </c>
      <c r="Z52" s="86" t="s">
        <v>69</v>
      </c>
      <c r="AA52" s="86" t="s">
        <v>88</v>
      </c>
      <c r="AB52" s="86" t="s">
        <v>158</v>
      </c>
    </row>
    <row r="53" spans="1:28" x14ac:dyDescent="0.15">
      <c r="A53" s="86" t="s">
        <v>51</v>
      </c>
      <c r="B53" s="86" t="s">
        <v>157</v>
      </c>
      <c r="C53" s="86">
        <v>2019</v>
      </c>
      <c r="D53" s="94" t="s">
        <v>235</v>
      </c>
      <c r="E53" s="86" t="s">
        <v>247</v>
      </c>
      <c r="F53" s="86" t="s">
        <v>248</v>
      </c>
      <c r="G53" s="86" t="s">
        <v>36</v>
      </c>
      <c r="H53" s="86" t="s">
        <v>160</v>
      </c>
      <c r="I53" s="86" t="s">
        <v>159</v>
      </c>
      <c r="J53" s="86" t="s">
        <v>38</v>
      </c>
      <c r="K53" s="86" t="s">
        <v>161</v>
      </c>
      <c r="L53" s="86">
        <v>1</v>
      </c>
      <c r="N53" s="86">
        <v>1</v>
      </c>
      <c r="O53" s="86">
        <v>0.6</v>
      </c>
      <c r="P53" s="86">
        <v>0.6</v>
      </c>
      <c r="Q53" s="95">
        <f t="shared" si="0"/>
        <v>0.6</v>
      </c>
      <c r="R53" s="86">
        <v>17.5</v>
      </c>
      <c r="S53" s="86">
        <v>136</v>
      </c>
      <c r="T53" s="96">
        <f t="shared" si="1"/>
        <v>25</v>
      </c>
      <c r="U53" s="86">
        <v>128</v>
      </c>
      <c r="V53" s="97">
        <f t="shared" si="2"/>
        <v>3200</v>
      </c>
      <c r="W53" s="86">
        <v>6</v>
      </c>
      <c r="X53" s="86" t="s">
        <v>46</v>
      </c>
      <c r="Y53" s="86" t="s">
        <v>78</v>
      </c>
      <c r="Z53" s="86" t="s">
        <v>69</v>
      </c>
      <c r="AA53" s="86" t="s">
        <v>88</v>
      </c>
      <c r="AB53" s="86" t="s">
        <v>158</v>
      </c>
    </row>
    <row r="54" spans="1:28" x14ac:dyDescent="0.15">
      <c r="A54" s="86" t="s">
        <v>51</v>
      </c>
      <c r="B54" s="86" t="s">
        <v>157</v>
      </c>
      <c r="C54" s="86">
        <v>2019</v>
      </c>
      <c r="D54" s="94" t="s">
        <v>235</v>
      </c>
      <c r="E54" s="86" t="s">
        <v>247</v>
      </c>
      <c r="F54" s="86" t="s">
        <v>248</v>
      </c>
      <c r="G54" s="86" t="s">
        <v>36</v>
      </c>
      <c r="H54" s="86" t="s">
        <v>160</v>
      </c>
      <c r="I54" s="86" t="s">
        <v>159</v>
      </c>
      <c r="J54" s="86" t="s">
        <v>38</v>
      </c>
      <c r="K54" s="86" t="s">
        <v>161</v>
      </c>
      <c r="L54" s="86">
        <v>2</v>
      </c>
      <c r="N54" s="86">
        <v>1</v>
      </c>
      <c r="O54" s="86">
        <v>0.65</v>
      </c>
      <c r="P54" s="86">
        <v>0.7</v>
      </c>
      <c r="Q54" s="95">
        <f t="shared" si="0"/>
        <v>0.67500000000000004</v>
      </c>
      <c r="R54" s="86">
        <v>17.8</v>
      </c>
      <c r="S54" s="86">
        <v>144</v>
      </c>
      <c r="T54" s="96">
        <f t="shared" si="1"/>
        <v>22</v>
      </c>
      <c r="U54" s="86">
        <v>128</v>
      </c>
      <c r="V54" s="97">
        <f t="shared" si="2"/>
        <v>2816</v>
      </c>
      <c r="W54" s="86">
        <v>6</v>
      </c>
      <c r="X54" s="86" t="s">
        <v>46</v>
      </c>
      <c r="Y54" s="86" t="s">
        <v>78</v>
      </c>
      <c r="Z54" s="86" t="s">
        <v>69</v>
      </c>
      <c r="AA54" s="86" t="s">
        <v>88</v>
      </c>
      <c r="AB54" s="86" t="s">
        <v>158</v>
      </c>
    </row>
    <row r="55" spans="1:28" x14ac:dyDescent="0.15">
      <c r="A55" s="86" t="s">
        <v>51</v>
      </c>
      <c r="B55" s="86" t="s">
        <v>157</v>
      </c>
      <c r="C55" s="86">
        <v>2019</v>
      </c>
      <c r="D55" s="94" t="s">
        <v>235</v>
      </c>
      <c r="E55" s="86" t="s">
        <v>247</v>
      </c>
      <c r="F55" s="86" t="s">
        <v>248</v>
      </c>
      <c r="G55" s="86" t="s">
        <v>36</v>
      </c>
      <c r="H55" s="86" t="s">
        <v>160</v>
      </c>
      <c r="I55" s="86" t="s">
        <v>159</v>
      </c>
      <c r="J55" s="86" t="s">
        <v>38</v>
      </c>
      <c r="K55" s="86" t="s">
        <v>161</v>
      </c>
      <c r="L55" s="86">
        <v>3</v>
      </c>
      <c r="N55" s="86">
        <v>1</v>
      </c>
      <c r="O55" s="86">
        <v>0.8</v>
      </c>
      <c r="P55" s="86">
        <v>0.65</v>
      </c>
      <c r="Q55" s="95">
        <f t="shared" si="0"/>
        <v>0.72500000000000009</v>
      </c>
      <c r="R55" s="86">
        <v>16.600000000000001</v>
      </c>
      <c r="S55" s="86">
        <v>146</v>
      </c>
      <c r="T55" s="96">
        <f t="shared" si="1"/>
        <v>22</v>
      </c>
      <c r="U55" s="86">
        <v>128</v>
      </c>
      <c r="V55" s="97">
        <f t="shared" si="2"/>
        <v>2816</v>
      </c>
      <c r="W55" s="86">
        <v>6</v>
      </c>
      <c r="X55" s="86" t="s">
        <v>46</v>
      </c>
      <c r="Y55" s="86" t="s">
        <v>78</v>
      </c>
      <c r="Z55" s="86" t="s">
        <v>69</v>
      </c>
      <c r="AA55" s="86" t="s">
        <v>88</v>
      </c>
      <c r="AB55" s="86" t="s">
        <v>158</v>
      </c>
    </row>
    <row r="56" spans="1:28" x14ac:dyDescent="0.15">
      <c r="A56" s="86" t="s">
        <v>51</v>
      </c>
      <c r="B56" s="86" t="s">
        <v>157</v>
      </c>
      <c r="C56" s="86">
        <v>2019</v>
      </c>
      <c r="D56" s="94" t="s">
        <v>235</v>
      </c>
      <c r="E56" s="86" t="s">
        <v>249</v>
      </c>
      <c r="F56" s="86" t="s">
        <v>237</v>
      </c>
      <c r="G56" s="86" t="s">
        <v>42</v>
      </c>
      <c r="H56" s="86" t="s">
        <v>164</v>
      </c>
      <c r="I56" s="86" t="s">
        <v>159</v>
      </c>
      <c r="J56" s="86" t="s">
        <v>38</v>
      </c>
      <c r="K56" s="86" t="s">
        <v>161</v>
      </c>
      <c r="L56" s="86">
        <v>1</v>
      </c>
      <c r="N56" s="86">
        <v>1</v>
      </c>
      <c r="O56" s="86">
        <v>0.7</v>
      </c>
      <c r="P56" s="86">
        <v>0.85</v>
      </c>
      <c r="Q56" s="95">
        <f t="shared" si="0"/>
        <v>0.77499999999999991</v>
      </c>
      <c r="R56" s="86">
        <v>16.2</v>
      </c>
      <c r="S56" s="86">
        <v>126</v>
      </c>
      <c r="T56" s="96">
        <f t="shared" si="1"/>
        <v>27</v>
      </c>
      <c r="U56" s="86">
        <v>98</v>
      </c>
      <c r="V56" s="97">
        <f t="shared" si="2"/>
        <v>2646</v>
      </c>
      <c r="W56" s="86">
        <v>3</v>
      </c>
      <c r="X56" s="86" t="s">
        <v>46</v>
      </c>
      <c r="Y56" s="86" t="s">
        <v>102</v>
      </c>
      <c r="Z56" s="86" t="s">
        <v>78</v>
      </c>
      <c r="AA56" s="86" t="s">
        <v>69</v>
      </c>
      <c r="AB56" s="86" t="s">
        <v>158</v>
      </c>
    </row>
    <row r="57" spans="1:28" x14ac:dyDescent="0.15">
      <c r="A57" s="86" t="s">
        <v>51</v>
      </c>
      <c r="B57" s="86" t="s">
        <v>157</v>
      </c>
      <c r="C57" s="86">
        <v>2019</v>
      </c>
      <c r="D57" s="94" t="s">
        <v>235</v>
      </c>
      <c r="E57" s="86" t="s">
        <v>249</v>
      </c>
      <c r="F57" s="86" t="s">
        <v>237</v>
      </c>
      <c r="G57" s="86" t="s">
        <v>42</v>
      </c>
      <c r="H57" s="86" t="s">
        <v>164</v>
      </c>
      <c r="I57" s="86" t="s">
        <v>159</v>
      </c>
      <c r="J57" s="86" t="s">
        <v>38</v>
      </c>
      <c r="K57" s="86" t="s">
        <v>161</v>
      </c>
      <c r="L57" s="86">
        <v>2</v>
      </c>
      <c r="N57" s="86">
        <v>1</v>
      </c>
      <c r="O57" s="86">
        <v>0.8</v>
      </c>
      <c r="P57" s="86">
        <v>0.75</v>
      </c>
      <c r="Q57" s="95">
        <f t="shared" si="0"/>
        <v>0.77500000000000002</v>
      </c>
      <c r="R57" s="86">
        <v>15.8</v>
      </c>
      <c r="S57" s="86">
        <v>122</v>
      </c>
      <c r="T57" s="96">
        <f t="shared" si="1"/>
        <v>27</v>
      </c>
      <c r="U57" s="86">
        <v>98</v>
      </c>
      <c r="V57" s="97">
        <f t="shared" si="2"/>
        <v>2646</v>
      </c>
      <c r="W57" s="86">
        <v>3</v>
      </c>
      <c r="X57" s="86" t="s">
        <v>46</v>
      </c>
      <c r="Y57" s="86" t="s">
        <v>102</v>
      </c>
      <c r="Z57" s="86" t="s">
        <v>78</v>
      </c>
      <c r="AA57" s="86" t="s">
        <v>69</v>
      </c>
      <c r="AB57" s="86" t="s">
        <v>158</v>
      </c>
    </row>
    <row r="58" spans="1:28" x14ac:dyDescent="0.15">
      <c r="A58" s="86" t="s">
        <v>51</v>
      </c>
      <c r="B58" s="86" t="s">
        <v>157</v>
      </c>
      <c r="C58" s="86">
        <v>2019</v>
      </c>
      <c r="D58" s="94" t="s">
        <v>235</v>
      </c>
      <c r="E58" s="86" t="s">
        <v>249</v>
      </c>
      <c r="F58" s="86" t="s">
        <v>237</v>
      </c>
      <c r="G58" s="86" t="s">
        <v>42</v>
      </c>
      <c r="H58" s="86" t="s">
        <v>164</v>
      </c>
      <c r="I58" s="86" t="s">
        <v>159</v>
      </c>
      <c r="J58" s="86" t="s">
        <v>38</v>
      </c>
      <c r="K58" s="86" t="s">
        <v>161</v>
      </c>
      <c r="L58" s="86">
        <v>3</v>
      </c>
      <c r="N58" s="86">
        <v>1</v>
      </c>
      <c r="O58" s="86">
        <v>0.75</v>
      </c>
      <c r="P58" s="86">
        <v>0.75</v>
      </c>
      <c r="Q58" s="95">
        <f t="shared" si="0"/>
        <v>0.75</v>
      </c>
      <c r="R58" s="86">
        <v>16</v>
      </c>
      <c r="S58" s="86">
        <v>120</v>
      </c>
      <c r="T58" s="96">
        <f t="shared" si="1"/>
        <v>30</v>
      </c>
      <c r="U58" s="86">
        <v>98</v>
      </c>
      <c r="V58" s="97">
        <f t="shared" si="2"/>
        <v>2940</v>
      </c>
      <c r="W58" s="86">
        <v>3</v>
      </c>
      <c r="X58" s="86" t="s">
        <v>46</v>
      </c>
      <c r="Y58" s="86" t="s">
        <v>102</v>
      </c>
      <c r="Z58" s="86" t="s">
        <v>78</v>
      </c>
      <c r="AA58" s="86" t="s">
        <v>69</v>
      </c>
      <c r="AB58" s="86" t="s">
        <v>158</v>
      </c>
    </row>
    <row r="59" spans="1:28" x14ac:dyDescent="0.15">
      <c r="A59" s="86" t="s">
        <v>51</v>
      </c>
      <c r="B59" s="86" t="s">
        <v>157</v>
      </c>
      <c r="C59" s="86">
        <v>2019</v>
      </c>
      <c r="D59" s="94" t="s">
        <v>235</v>
      </c>
      <c r="E59" s="86" t="s">
        <v>249</v>
      </c>
      <c r="F59" s="86" t="s">
        <v>237</v>
      </c>
      <c r="G59" s="86" t="s">
        <v>42</v>
      </c>
      <c r="H59" s="86" t="s">
        <v>160</v>
      </c>
      <c r="I59" s="86" t="s">
        <v>159</v>
      </c>
      <c r="J59" s="86" t="s">
        <v>38</v>
      </c>
      <c r="K59" s="86" t="s">
        <v>161</v>
      </c>
      <c r="L59" s="86">
        <v>1</v>
      </c>
      <c r="N59" s="86">
        <v>1</v>
      </c>
      <c r="O59" s="86">
        <v>0.7</v>
      </c>
      <c r="P59" s="86">
        <v>0.8</v>
      </c>
      <c r="Q59" s="95">
        <f t="shared" si="0"/>
        <v>0.75</v>
      </c>
      <c r="R59" s="86">
        <v>16.600000000000001</v>
      </c>
      <c r="S59" s="86">
        <v>146</v>
      </c>
      <c r="T59" s="96">
        <f t="shared" si="1"/>
        <v>22</v>
      </c>
      <c r="U59" s="86">
        <v>138</v>
      </c>
      <c r="V59" s="97">
        <f t="shared" si="2"/>
        <v>3036</v>
      </c>
      <c r="W59" s="86">
        <v>3</v>
      </c>
      <c r="X59" s="86" t="s">
        <v>46</v>
      </c>
      <c r="Y59" s="86" t="s">
        <v>102</v>
      </c>
      <c r="Z59" s="86" t="s">
        <v>78</v>
      </c>
      <c r="AA59" s="86" t="s">
        <v>69</v>
      </c>
      <c r="AB59" s="86" t="s">
        <v>158</v>
      </c>
    </row>
    <row r="60" spans="1:28" x14ac:dyDescent="0.15">
      <c r="A60" s="86" t="s">
        <v>51</v>
      </c>
      <c r="B60" s="86" t="s">
        <v>157</v>
      </c>
      <c r="C60" s="86">
        <v>2019</v>
      </c>
      <c r="D60" s="94" t="s">
        <v>235</v>
      </c>
      <c r="E60" s="86" t="s">
        <v>249</v>
      </c>
      <c r="F60" s="86" t="s">
        <v>237</v>
      </c>
      <c r="G60" s="86" t="s">
        <v>42</v>
      </c>
      <c r="H60" s="86" t="s">
        <v>160</v>
      </c>
      <c r="I60" s="86" t="s">
        <v>159</v>
      </c>
      <c r="J60" s="86" t="s">
        <v>38</v>
      </c>
      <c r="K60" s="86" t="s">
        <v>161</v>
      </c>
      <c r="L60" s="86">
        <v>2</v>
      </c>
      <c r="N60" s="86">
        <v>1</v>
      </c>
      <c r="O60" s="86">
        <v>0.8</v>
      </c>
      <c r="P60" s="86">
        <v>0.75</v>
      </c>
      <c r="Q60" s="95">
        <f t="shared" si="0"/>
        <v>0.77500000000000002</v>
      </c>
      <c r="R60" s="86">
        <v>16.399999999999999</v>
      </c>
      <c r="S60" s="86">
        <v>144</v>
      </c>
      <c r="T60" s="96">
        <f t="shared" si="1"/>
        <v>22</v>
      </c>
      <c r="U60" s="86">
        <v>138</v>
      </c>
      <c r="V60" s="97">
        <f t="shared" si="2"/>
        <v>3036</v>
      </c>
      <c r="W60" s="86">
        <v>3</v>
      </c>
      <c r="X60" s="86" t="s">
        <v>46</v>
      </c>
      <c r="Y60" s="86" t="s">
        <v>102</v>
      </c>
      <c r="Z60" s="86" t="s">
        <v>78</v>
      </c>
      <c r="AA60" s="86" t="s">
        <v>69</v>
      </c>
      <c r="AB60" s="86" t="s">
        <v>158</v>
      </c>
    </row>
    <row r="61" spans="1:28" x14ac:dyDescent="0.15">
      <c r="A61" s="86" t="s">
        <v>51</v>
      </c>
      <c r="B61" s="86" t="s">
        <v>157</v>
      </c>
      <c r="C61" s="86">
        <v>2019</v>
      </c>
      <c r="D61" s="94" t="s">
        <v>235</v>
      </c>
      <c r="E61" s="86" t="s">
        <v>249</v>
      </c>
      <c r="F61" s="86" t="s">
        <v>237</v>
      </c>
      <c r="G61" s="86" t="s">
        <v>42</v>
      </c>
      <c r="H61" s="86" t="s">
        <v>160</v>
      </c>
      <c r="I61" s="86" t="s">
        <v>159</v>
      </c>
      <c r="J61" s="86" t="s">
        <v>38</v>
      </c>
      <c r="K61" s="86" t="s">
        <v>161</v>
      </c>
      <c r="L61" s="86">
        <v>3</v>
      </c>
      <c r="N61" s="86">
        <v>1</v>
      </c>
      <c r="O61" s="86">
        <v>0.75</v>
      </c>
      <c r="P61" s="86">
        <v>0.75</v>
      </c>
      <c r="Q61" s="95">
        <f t="shared" si="0"/>
        <v>0.75</v>
      </c>
      <c r="R61" s="86">
        <v>15.9</v>
      </c>
      <c r="S61" s="86">
        <v>142</v>
      </c>
      <c r="T61" s="96">
        <f t="shared" si="1"/>
        <v>22</v>
      </c>
      <c r="U61" s="86">
        <v>138</v>
      </c>
      <c r="V61" s="97">
        <f t="shared" si="2"/>
        <v>3036</v>
      </c>
      <c r="W61" s="86">
        <v>3</v>
      </c>
      <c r="X61" s="86" t="s">
        <v>46</v>
      </c>
      <c r="Y61" s="86" t="s">
        <v>102</v>
      </c>
      <c r="Z61" s="86" t="s">
        <v>78</v>
      </c>
      <c r="AA61" s="86" t="s">
        <v>69</v>
      </c>
      <c r="AB61" s="86" t="s">
        <v>158</v>
      </c>
    </row>
    <row r="62" spans="1:28" x14ac:dyDescent="0.15">
      <c r="D62" s="94"/>
      <c r="Q62" s="95" t="str">
        <f t="shared" si="0"/>
        <v/>
      </c>
      <c r="T62" s="96" t="str">
        <f t="shared" si="1"/>
        <v/>
      </c>
      <c r="V62" s="97" t="str">
        <f t="shared" si="2"/>
        <v/>
      </c>
    </row>
    <row r="63" spans="1:28" x14ac:dyDescent="0.15">
      <c r="D63" s="94"/>
      <c r="Q63" s="95" t="str">
        <f t="shared" si="0"/>
        <v/>
      </c>
      <c r="T63" s="96" t="str">
        <f t="shared" si="1"/>
        <v/>
      </c>
      <c r="V63" s="97" t="str">
        <f t="shared" si="2"/>
        <v/>
      </c>
    </row>
    <row r="64" spans="1:28" x14ac:dyDescent="0.15">
      <c r="D64" s="94"/>
      <c r="Q64" s="95" t="str">
        <f t="shared" si="0"/>
        <v/>
      </c>
      <c r="T64" s="96" t="str">
        <f t="shared" si="1"/>
        <v/>
      </c>
      <c r="V64" s="97" t="str">
        <f t="shared" si="2"/>
        <v/>
      </c>
    </row>
    <row r="65" spans="4:22" x14ac:dyDescent="0.15">
      <c r="D65" s="94"/>
      <c r="Q65" s="96" t="str">
        <f t="shared" si="0"/>
        <v/>
      </c>
      <c r="T65" s="96" t="str">
        <f t="shared" si="1"/>
        <v/>
      </c>
      <c r="V65" s="96" t="str">
        <f t="shared" si="2"/>
        <v/>
      </c>
    </row>
    <row r="66" spans="4:22" x14ac:dyDescent="0.15">
      <c r="D66" s="94"/>
      <c r="Q66" s="96" t="str">
        <f t="shared" ref="Q66:Q85" si="3">IF(OR(O66="",P66=""),"",AVERAGE(O66,P66))</f>
        <v/>
      </c>
      <c r="T66" s="96" t="str">
        <f t="shared" ref="T66:T85" si="4">IF(H66="","",IF(OR(H66="GREEN",H66="GK"),IF(S66&gt;=$AX$2,VLOOKUP(S66,$AX$2:$AY$12,2,1),""),IF(S66&gt;=$AZ$2,VLOOKUP(S66,$AZ$2:$BA$12,2,1),"")))</f>
        <v/>
      </c>
      <c r="V66" s="96" t="str">
        <f t="shared" ref="V66:V85" si="5">IF(OR(N66="",U66="",T66=""),"",U66/N66*T66)</f>
        <v/>
      </c>
    </row>
    <row r="67" spans="4:22" x14ac:dyDescent="0.15">
      <c r="D67" s="94"/>
      <c r="Q67" s="96" t="str">
        <f t="shared" si="3"/>
        <v/>
      </c>
      <c r="T67" s="96" t="str">
        <f t="shared" si="4"/>
        <v/>
      </c>
      <c r="V67" s="96" t="str">
        <f t="shared" si="5"/>
        <v/>
      </c>
    </row>
    <row r="68" spans="4:22" x14ac:dyDescent="0.15">
      <c r="D68" s="94"/>
      <c r="Q68" s="96" t="str">
        <f t="shared" si="3"/>
        <v/>
      </c>
      <c r="T68" s="96" t="str">
        <f t="shared" si="4"/>
        <v/>
      </c>
      <c r="V68" s="96" t="str">
        <f t="shared" si="5"/>
        <v/>
      </c>
    </row>
    <row r="69" spans="4:22" x14ac:dyDescent="0.15">
      <c r="D69" s="94"/>
      <c r="Q69" s="96" t="str">
        <f t="shared" si="3"/>
        <v/>
      </c>
      <c r="T69" s="96" t="str">
        <f t="shared" si="4"/>
        <v/>
      </c>
      <c r="V69" s="96" t="str">
        <f t="shared" si="5"/>
        <v/>
      </c>
    </row>
    <row r="70" spans="4:22" x14ac:dyDescent="0.15">
      <c r="D70" s="94"/>
      <c r="Q70" s="96" t="str">
        <f t="shared" si="3"/>
        <v/>
      </c>
      <c r="T70" s="96" t="str">
        <f t="shared" si="4"/>
        <v/>
      </c>
      <c r="V70" s="96" t="str">
        <f t="shared" si="5"/>
        <v/>
      </c>
    </row>
    <row r="71" spans="4:22" x14ac:dyDescent="0.15">
      <c r="D71" s="94"/>
      <c r="Q71" s="96" t="str">
        <f t="shared" si="3"/>
        <v/>
      </c>
      <c r="T71" s="96" t="str">
        <f t="shared" si="4"/>
        <v/>
      </c>
      <c r="V71" s="96" t="str">
        <f t="shared" si="5"/>
        <v/>
      </c>
    </row>
    <row r="72" spans="4:22" x14ac:dyDescent="0.15">
      <c r="D72" s="94"/>
      <c r="Q72" s="96" t="str">
        <f t="shared" si="3"/>
        <v/>
      </c>
      <c r="T72" s="96" t="str">
        <f t="shared" si="4"/>
        <v/>
      </c>
      <c r="V72" s="96" t="str">
        <f t="shared" si="5"/>
        <v/>
      </c>
    </row>
    <row r="73" spans="4:22" x14ac:dyDescent="0.15">
      <c r="D73" s="94"/>
      <c r="Q73" s="96" t="str">
        <f t="shared" si="3"/>
        <v/>
      </c>
      <c r="T73" s="96" t="str">
        <f t="shared" si="4"/>
        <v/>
      </c>
      <c r="V73" s="96" t="str">
        <f t="shared" si="5"/>
        <v/>
      </c>
    </row>
    <row r="74" spans="4:22" x14ac:dyDescent="0.15">
      <c r="D74" s="94"/>
      <c r="Q74" s="96" t="str">
        <f t="shared" si="3"/>
        <v/>
      </c>
      <c r="T74" s="96" t="str">
        <f t="shared" si="4"/>
        <v/>
      </c>
      <c r="V74" s="96" t="str">
        <f t="shared" si="5"/>
        <v/>
      </c>
    </row>
    <row r="75" spans="4:22" x14ac:dyDescent="0.15">
      <c r="D75" s="94"/>
      <c r="Q75" s="96" t="str">
        <f t="shared" si="3"/>
        <v/>
      </c>
      <c r="T75" s="96" t="str">
        <f t="shared" si="4"/>
        <v/>
      </c>
      <c r="V75" s="96" t="str">
        <f t="shared" si="5"/>
        <v/>
      </c>
    </row>
    <row r="76" spans="4:22" x14ac:dyDescent="0.15">
      <c r="D76" s="94"/>
      <c r="Q76" s="96" t="str">
        <f t="shared" si="3"/>
        <v/>
      </c>
      <c r="T76" s="96" t="str">
        <f t="shared" si="4"/>
        <v/>
      </c>
      <c r="V76" s="96" t="str">
        <f t="shared" si="5"/>
        <v/>
      </c>
    </row>
    <row r="77" spans="4:22" x14ac:dyDescent="0.15">
      <c r="D77" s="94"/>
      <c r="Q77" s="96" t="str">
        <f t="shared" si="3"/>
        <v/>
      </c>
      <c r="T77" s="96" t="str">
        <f t="shared" si="4"/>
        <v/>
      </c>
      <c r="V77" s="96" t="str">
        <f t="shared" si="5"/>
        <v/>
      </c>
    </row>
    <row r="78" spans="4:22" x14ac:dyDescent="0.15">
      <c r="D78" s="94"/>
      <c r="Q78" s="96" t="str">
        <f t="shared" si="3"/>
        <v/>
      </c>
      <c r="T78" s="96" t="str">
        <f t="shared" si="4"/>
        <v/>
      </c>
      <c r="V78" s="96" t="str">
        <f t="shared" si="5"/>
        <v/>
      </c>
    </row>
    <row r="79" spans="4:22" x14ac:dyDescent="0.15">
      <c r="D79" s="94"/>
      <c r="Q79" s="96" t="str">
        <f t="shared" si="3"/>
        <v/>
      </c>
      <c r="T79" s="96" t="str">
        <f t="shared" si="4"/>
        <v/>
      </c>
      <c r="V79" s="96" t="str">
        <f t="shared" si="5"/>
        <v/>
      </c>
    </row>
    <row r="80" spans="4:22" x14ac:dyDescent="0.15">
      <c r="D80" s="115"/>
      <c r="Q80" s="96" t="str">
        <f t="shared" si="3"/>
        <v/>
      </c>
      <c r="T80" s="96" t="str">
        <f t="shared" si="4"/>
        <v/>
      </c>
      <c r="V80" s="96" t="str">
        <f t="shared" si="5"/>
        <v/>
      </c>
    </row>
    <row r="81" spans="4:22" x14ac:dyDescent="0.15">
      <c r="D81" s="115"/>
      <c r="Q81" s="96" t="str">
        <f t="shared" si="3"/>
        <v/>
      </c>
      <c r="T81" s="96" t="str">
        <f t="shared" si="4"/>
        <v/>
      </c>
      <c r="V81" s="96" t="str">
        <f t="shared" si="5"/>
        <v/>
      </c>
    </row>
    <row r="82" spans="4:22" x14ac:dyDescent="0.15">
      <c r="D82" s="115"/>
      <c r="Q82" s="96" t="str">
        <f t="shared" si="3"/>
        <v/>
      </c>
      <c r="T82" s="96" t="str">
        <f t="shared" si="4"/>
        <v/>
      </c>
      <c r="V82" s="96" t="str">
        <f t="shared" si="5"/>
        <v/>
      </c>
    </row>
    <row r="83" spans="4:22" x14ac:dyDescent="0.15">
      <c r="D83" s="115"/>
      <c r="Q83" s="96" t="str">
        <f t="shared" si="3"/>
        <v/>
      </c>
      <c r="T83" s="96" t="str">
        <f t="shared" si="4"/>
        <v/>
      </c>
      <c r="V83" s="96" t="str">
        <f t="shared" si="5"/>
        <v/>
      </c>
    </row>
    <row r="84" spans="4:22" x14ac:dyDescent="0.15">
      <c r="D84" s="115"/>
      <c r="Q84" s="96" t="str">
        <f t="shared" si="3"/>
        <v/>
      </c>
      <c r="T84" s="96" t="str">
        <f t="shared" si="4"/>
        <v/>
      </c>
      <c r="V84" s="96" t="str">
        <f t="shared" si="5"/>
        <v/>
      </c>
    </row>
    <row r="85" spans="4:22" x14ac:dyDescent="0.15">
      <c r="D85" s="115"/>
      <c r="Q85" s="96" t="str">
        <f t="shared" si="3"/>
        <v/>
      </c>
      <c r="T85" s="96" t="str">
        <f t="shared" si="4"/>
        <v/>
      </c>
      <c r="V85" s="96" t="str">
        <f t="shared" si="5"/>
        <v/>
      </c>
    </row>
    <row r="86" spans="4:22" x14ac:dyDescent="0.15">
      <c r="D86" s="115"/>
    </row>
    <row r="87" spans="4:22" x14ac:dyDescent="0.15">
      <c r="D87" s="115"/>
    </row>
    <row r="88" spans="4:22" x14ac:dyDescent="0.15">
      <c r="D88" s="115"/>
    </row>
    <row r="89" spans="4:22" x14ac:dyDescent="0.15">
      <c r="D89" s="115"/>
    </row>
    <row r="90" spans="4:22" x14ac:dyDescent="0.15">
      <c r="D90" s="115"/>
    </row>
    <row r="91" spans="4:22" x14ac:dyDescent="0.15">
      <c r="D91" s="115"/>
    </row>
  </sheetData>
  <autoFilter ref="A1:BA85" xr:uid="{00000000-0009-0000-0000-000000000000}"/>
  <phoneticPr fontId="3"/>
  <dataValidations count="15">
    <dataValidation type="decimal" allowBlank="1" showInputMessage="1" showErrorMessage="1" error="硬度を正しく入力して下さい。" sqref="O2:P500" xr:uid="{0CB7F08E-4FBD-4B24-A798-926475E0EA4D}">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DD5BA655-C65B-40DA-AC07-228BEDF37D38}">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346B3C7C-D884-4BFD-BD22-2D15CC1DA6FD}">
      <formula1>$AL$4:$AL$12</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AB62EB31-16BA-42AD-9FD3-A5DC52E444F7}">
      <formula1>$AT$2:$AT$3</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598EBE37-8D64-4A2D-8E0A-5B04A4644406}">
      <formula1>$AN$5:$AN$6</formula1>
    </dataValidation>
    <dataValidation type="list" allowBlank="1" showInputMessage="1" showErrorMessage="1" sqref="Y2:AA500" xr:uid="{3D014FA0-B03D-4AF2-B7E4-7B4930BD14EE}">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5477860F-5DB4-4538-8340-12B1B50431C5}">
      <formula1>$AP$2:$AP$27</formula1>
    </dataValidation>
    <dataValidation type="list" allowBlank="1" showInputMessage="1" showErrorMessage="1" sqref="H2:H500" xr:uid="{A8FA3741-0994-496B-94AE-44FAE26B3E1A}">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1CECF08E-530E-4AE0-B0F9-9A7ADBC78ABC}">
      <formula1>$AH$2:$AH$11</formula1>
    </dataValidation>
    <dataValidation type="list" allowBlank="1" showInputMessage="1" showErrorMessage="1" sqref="K2:K89" xr:uid="{54D7F6B1-29A0-4836-A600-3C0B591CAD53}">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7639AEDE-06CC-401C-AD9A-31B628F14C7F}">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34D764EB-D74D-47AF-A1AB-CD156B4093BB}"/>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91A98BAD-F4D0-447A-B478-60569FAC3010}">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DD8AA24F-1C96-43F4-8907-B34FAFAB1B76}">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D770A28F-DF1C-45D2-89B6-D24CE432019E}">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C1574-A953-4B5C-83F9-07C9ADEAC48F}">
  <sheetPr>
    <pageSetUpPr fitToPage="1"/>
  </sheetPr>
  <dimension ref="A1:BA105"/>
  <sheetViews>
    <sheetView zoomScale="85" zoomScaleNormal="85" workbookViewId="0">
      <selection activeCell="K78" sqref="K78"/>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16" t="s">
        <v>254</v>
      </c>
      <c r="B1" s="55" t="s">
        <v>1</v>
      </c>
      <c r="C1" s="55" t="s">
        <v>2</v>
      </c>
      <c r="D1" s="56" t="s">
        <v>3</v>
      </c>
      <c r="E1" s="56" t="s">
        <v>255</v>
      </c>
      <c r="F1" s="56" t="s">
        <v>5</v>
      </c>
      <c r="G1" s="56" t="s">
        <v>6</v>
      </c>
      <c r="H1" s="56" t="s">
        <v>256</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17" t="s">
        <v>25</v>
      </c>
      <c r="AB1" s="118" t="s">
        <v>26</v>
      </c>
      <c r="AC1" s="119"/>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0" customFormat="1" x14ac:dyDescent="0.15">
      <c r="A2" s="120" t="s">
        <v>61</v>
      </c>
      <c r="B2" s="120" t="s">
        <v>257</v>
      </c>
      <c r="C2" s="120">
        <v>2019</v>
      </c>
      <c r="D2" s="121" t="s">
        <v>258</v>
      </c>
      <c r="E2" s="120" t="s">
        <v>259</v>
      </c>
      <c r="F2" s="120" t="s">
        <v>260</v>
      </c>
      <c r="G2" s="120" t="s">
        <v>42</v>
      </c>
      <c r="H2" s="53" t="s">
        <v>164</v>
      </c>
      <c r="I2" s="53" t="s">
        <v>159</v>
      </c>
      <c r="J2" s="120" t="s">
        <v>38</v>
      </c>
      <c r="K2" s="53" t="s">
        <v>161</v>
      </c>
      <c r="L2" s="53">
        <v>1</v>
      </c>
      <c r="M2" s="53"/>
      <c r="N2" s="53">
        <v>4</v>
      </c>
      <c r="O2" s="53">
        <v>0.5</v>
      </c>
      <c r="P2" s="53">
        <v>0.75</v>
      </c>
      <c r="Q2" s="75">
        <f t="shared" ref="Q2:Q64" si="0">IF(OR(O2="",P2=""),"",AVERAGE(O2,P2))</f>
        <v>0.625</v>
      </c>
      <c r="R2" s="53">
        <v>17.100000000000001</v>
      </c>
      <c r="S2" s="53">
        <v>102</v>
      </c>
      <c r="T2" s="16">
        <f t="shared" ref="T2:T64" si="1">IF(H2="","",IF(OR(H2="GREEN",H2="GK"),IF(S2&gt;=$AX$2,VLOOKUP(S2,$AX$2:$AY$15,2,1),""),IF(S2&gt;=$AZ$2,VLOOKUP(S2,$AZ$2:$BA$15,2,1),"")))</f>
        <v>33</v>
      </c>
      <c r="U2" s="53">
        <v>350</v>
      </c>
      <c r="V2" s="122">
        <f t="shared" ref="V2:V64" si="2">IF(OR(N2="",U2="",T2=""),"",U2/N2*T2)</f>
        <v>2887.5</v>
      </c>
      <c r="W2" s="53">
        <v>4</v>
      </c>
      <c r="X2" s="120" t="s">
        <v>39</v>
      </c>
      <c r="Y2" s="53" t="s">
        <v>78</v>
      </c>
      <c r="Z2" s="53" t="s">
        <v>102</v>
      </c>
      <c r="AA2" s="53" t="s">
        <v>88</v>
      </c>
      <c r="AB2" s="120" t="s">
        <v>261</v>
      </c>
      <c r="AC2" s="34"/>
      <c r="AE2" s="64" t="s">
        <v>35</v>
      </c>
      <c r="AG2" s="49" t="s">
        <v>259</v>
      </c>
      <c r="AH2" s="49" t="s">
        <v>260</v>
      </c>
      <c r="AJ2" s="123" t="s">
        <v>36</v>
      </c>
      <c r="AL2" s="67" t="s">
        <v>127</v>
      </c>
      <c r="AN2" s="123" t="s">
        <v>37</v>
      </c>
      <c r="AP2" s="67" t="s">
        <v>38</v>
      </c>
      <c r="AR2" s="67" t="s">
        <v>120</v>
      </c>
      <c r="AT2" s="123" t="s">
        <v>39</v>
      </c>
      <c r="AV2" s="67" t="s">
        <v>40</v>
      </c>
      <c r="AX2" s="124">
        <v>1</v>
      </c>
      <c r="AY2" s="125">
        <v>50</v>
      </c>
      <c r="AZ2" s="125">
        <v>1</v>
      </c>
      <c r="BA2" s="126">
        <v>50</v>
      </c>
    </row>
    <row r="3" spans="1:53" x14ac:dyDescent="0.15">
      <c r="A3" s="120" t="s">
        <v>61</v>
      </c>
      <c r="B3" s="120" t="s">
        <v>257</v>
      </c>
      <c r="C3" s="120">
        <v>2019</v>
      </c>
      <c r="D3" s="121" t="s">
        <v>258</v>
      </c>
      <c r="E3" s="120" t="s">
        <v>259</v>
      </c>
      <c r="F3" s="120" t="s">
        <v>260</v>
      </c>
      <c r="G3" s="120" t="s">
        <v>42</v>
      </c>
      <c r="H3" s="53" t="s">
        <v>164</v>
      </c>
      <c r="I3" s="53" t="s">
        <v>159</v>
      </c>
      <c r="J3" s="120" t="s">
        <v>38</v>
      </c>
      <c r="K3" s="53" t="s">
        <v>161</v>
      </c>
      <c r="L3" s="53">
        <v>2</v>
      </c>
      <c r="N3" s="53">
        <v>4</v>
      </c>
      <c r="O3" s="53">
        <v>0.5</v>
      </c>
      <c r="P3" s="53">
        <v>0.65</v>
      </c>
      <c r="Q3" s="75">
        <f t="shared" si="0"/>
        <v>0.57499999999999996</v>
      </c>
      <c r="R3" s="53">
        <v>17.100000000000001</v>
      </c>
      <c r="S3" s="53">
        <v>92</v>
      </c>
      <c r="T3" s="16">
        <f t="shared" si="1"/>
        <v>36</v>
      </c>
      <c r="U3" s="53">
        <v>350</v>
      </c>
      <c r="V3" s="122">
        <f t="shared" si="2"/>
        <v>3150</v>
      </c>
      <c r="W3" s="53">
        <v>4</v>
      </c>
      <c r="X3" s="120" t="s">
        <v>39</v>
      </c>
      <c r="Y3" s="53" t="s">
        <v>78</v>
      </c>
      <c r="Z3" s="53" t="s">
        <v>102</v>
      </c>
      <c r="AA3" s="53" t="s">
        <v>88</v>
      </c>
      <c r="AB3" s="120" t="s">
        <v>261</v>
      </c>
      <c r="AC3" s="34"/>
      <c r="AE3" s="22" t="s">
        <v>41</v>
      </c>
      <c r="AG3" s="49" t="s">
        <v>262</v>
      </c>
      <c r="AH3" s="49" t="s">
        <v>263</v>
      </c>
      <c r="AJ3" s="23" t="s">
        <v>42</v>
      </c>
      <c r="AL3" s="23" t="s">
        <v>128</v>
      </c>
      <c r="AN3" s="23" t="s">
        <v>43</v>
      </c>
      <c r="AP3" s="23" t="s">
        <v>44</v>
      </c>
      <c r="AR3" s="23" t="s">
        <v>45</v>
      </c>
      <c r="AT3" s="23" t="s">
        <v>46</v>
      </c>
      <c r="AV3" s="23" t="s">
        <v>47</v>
      </c>
      <c r="AX3" s="24">
        <v>72</v>
      </c>
      <c r="AY3" s="25">
        <v>46</v>
      </c>
      <c r="AZ3" s="25">
        <v>71</v>
      </c>
      <c r="BA3" s="26">
        <v>42</v>
      </c>
    </row>
    <row r="4" spans="1:53" x14ac:dyDescent="0.15">
      <c r="A4" s="120" t="s">
        <v>61</v>
      </c>
      <c r="B4" s="120" t="s">
        <v>257</v>
      </c>
      <c r="C4" s="120">
        <v>2019</v>
      </c>
      <c r="D4" s="121" t="s">
        <v>258</v>
      </c>
      <c r="E4" s="120" t="s">
        <v>259</v>
      </c>
      <c r="F4" s="120" t="s">
        <v>260</v>
      </c>
      <c r="G4" s="120" t="s">
        <v>42</v>
      </c>
      <c r="H4" s="53" t="s">
        <v>164</v>
      </c>
      <c r="I4" s="53" t="s">
        <v>159</v>
      </c>
      <c r="J4" s="120" t="s">
        <v>38</v>
      </c>
      <c r="K4" s="53" t="s">
        <v>161</v>
      </c>
      <c r="L4" s="53">
        <v>3</v>
      </c>
      <c r="N4" s="53">
        <v>4</v>
      </c>
      <c r="O4" s="53">
        <v>0.5</v>
      </c>
      <c r="P4" s="53">
        <v>0.5</v>
      </c>
      <c r="Q4" s="75">
        <f t="shared" si="0"/>
        <v>0.5</v>
      </c>
      <c r="R4" s="53">
        <v>17.3</v>
      </c>
      <c r="S4" s="53">
        <v>96</v>
      </c>
      <c r="T4" s="16">
        <f t="shared" si="1"/>
        <v>36</v>
      </c>
      <c r="U4" s="53">
        <v>350</v>
      </c>
      <c r="V4" s="122">
        <f t="shared" si="2"/>
        <v>3150</v>
      </c>
      <c r="W4" s="53">
        <v>4</v>
      </c>
      <c r="X4" s="120" t="s">
        <v>39</v>
      </c>
      <c r="Y4" s="53" t="s">
        <v>78</v>
      </c>
      <c r="Z4" s="53" t="s">
        <v>102</v>
      </c>
      <c r="AA4" s="53" t="s">
        <v>88</v>
      </c>
      <c r="AB4" s="120" t="s">
        <v>261</v>
      </c>
      <c r="AC4" s="34"/>
      <c r="AE4" s="22" t="s">
        <v>34</v>
      </c>
      <c r="AG4" s="49" t="s">
        <v>264</v>
      </c>
      <c r="AH4" s="49" t="s">
        <v>265</v>
      </c>
      <c r="AJ4" s="27" t="s">
        <v>48</v>
      </c>
      <c r="AL4" s="27" t="s">
        <v>129</v>
      </c>
      <c r="AN4" s="28" t="s">
        <v>49</v>
      </c>
      <c r="AP4" s="23" t="s">
        <v>93</v>
      </c>
      <c r="AR4" s="23" t="s">
        <v>121</v>
      </c>
      <c r="AT4" s="28"/>
      <c r="AV4" s="23" t="s">
        <v>50</v>
      </c>
      <c r="AX4" s="24">
        <v>75</v>
      </c>
      <c r="AY4" s="25">
        <v>42</v>
      </c>
      <c r="AZ4" s="25">
        <v>76</v>
      </c>
      <c r="BA4" s="26">
        <v>39</v>
      </c>
    </row>
    <row r="5" spans="1:53" x14ac:dyDescent="0.15">
      <c r="A5" s="120" t="s">
        <v>61</v>
      </c>
      <c r="B5" s="120" t="s">
        <v>257</v>
      </c>
      <c r="C5" s="120">
        <v>2019</v>
      </c>
      <c r="D5" s="121" t="s">
        <v>258</v>
      </c>
      <c r="E5" s="120" t="s">
        <v>259</v>
      </c>
      <c r="F5" s="120" t="s">
        <v>260</v>
      </c>
      <c r="G5" s="120" t="s">
        <v>42</v>
      </c>
      <c r="H5" s="53" t="s">
        <v>160</v>
      </c>
      <c r="I5" s="53" t="s">
        <v>159</v>
      </c>
      <c r="J5" s="120" t="s">
        <v>38</v>
      </c>
      <c r="K5" s="53" t="s">
        <v>161</v>
      </c>
      <c r="L5" s="53">
        <v>1</v>
      </c>
      <c r="N5" s="53">
        <v>1</v>
      </c>
      <c r="O5" s="53">
        <v>0.5</v>
      </c>
      <c r="P5" s="53">
        <v>0.5</v>
      </c>
      <c r="Q5" s="75">
        <f t="shared" si="0"/>
        <v>0.5</v>
      </c>
      <c r="R5" s="53">
        <v>17.2</v>
      </c>
      <c r="S5" s="53">
        <v>125</v>
      </c>
      <c r="T5" s="16">
        <f t="shared" si="1"/>
        <v>27</v>
      </c>
      <c r="U5" s="53">
        <v>414</v>
      </c>
      <c r="V5" s="122">
        <f t="shared" si="2"/>
        <v>11178</v>
      </c>
      <c r="W5" s="53">
        <v>4</v>
      </c>
      <c r="X5" s="120" t="s">
        <v>39</v>
      </c>
      <c r="Y5" s="53" t="s">
        <v>78</v>
      </c>
      <c r="Z5" s="53" t="s">
        <v>102</v>
      </c>
      <c r="AA5" s="53" t="s">
        <v>88</v>
      </c>
      <c r="AB5" s="120" t="s">
        <v>261</v>
      </c>
      <c r="AC5" s="34"/>
      <c r="AE5" s="22" t="s">
        <v>51</v>
      </c>
      <c r="AG5" s="49" t="s">
        <v>266</v>
      </c>
      <c r="AH5" s="49" t="s">
        <v>267</v>
      </c>
      <c r="AJ5" s="27"/>
      <c r="AL5" s="73" t="s">
        <v>66</v>
      </c>
      <c r="AN5" s="73" t="s">
        <v>52</v>
      </c>
      <c r="AP5" s="23" t="s">
        <v>119</v>
      </c>
      <c r="AR5" s="23" t="s">
        <v>54</v>
      </c>
      <c r="AV5" s="23" t="s">
        <v>55</v>
      </c>
      <c r="AX5" s="24">
        <v>84</v>
      </c>
      <c r="AY5" s="25">
        <v>39</v>
      </c>
      <c r="AZ5" s="25">
        <v>84</v>
      </c>
      <c r="BA5" s="26">
        <v>36</v>
      </c>
    </row>
    <row r="6" spans="1:53" x14ac:dyDescent="0.15">
      <c r="A6" s="120" t="s">
        <v>61</v>
      </c>
      <c r="B6" s="120" t="s">
        <v>257</v>
      </c>
      <c r="C6" s="120">
        <v>2019</v>
      </c>
      <c r="D6" s="121" t="s">
        <v>258</v>
      </c>
      <c r="E6" s="120" t="s">
        <v>259</v>
      </c>
      <c r="F6" s="120" t="s">
        <v>260</v>
      </c>
      <c r="G6" s="120" t="s">
        <v>42</v>
      </c>
      <c r="H6" s="53" t="s">
        <v>160</v>
      </c>
      <c r="I6" s="53" t="s">
        <v>159</v>
      </c>
      <c r="J6" s="120" t="s">
        <v>38</v>
      </c>
      <c r="K6" s="53" t="s">
        <v>161</v>
      </c>
      <c r="L6" s="53">
        <v>2</v>
      </c>
      <c r="N6" s="53">
        <v>1</v>
      </c>
      <c r="O6" s="53">
        <v>0.5</v>
      </c>
      <c r="P6" s="53">
        <v>0.65</v>
      </c>
      <c r="Q6" s="75">
        <f t="shared" si="0"/>
        <v>0.57499999999999996</v>
      </c>
      <c r="R6" s="53">
        <v>18.2</v>
      </c>
      <c r="S6" s="53">
        <v>140</v>
      </c>
      <c r="T6" s="16">
        <f t="shared" si="1"/>
        <v>22</v>
      </c>
      <c r="U6" s="53">
        <v>414</v>
      </c>
      <c r="V6" s="122">
        <f t="shared" si="2"/>
        <v>9108</v>
      </c>
      <c r="W6" s="53">
        <v>4</v>
      </c>
      <c r="X6" s="120" t="s">
        <v>39</v>
      </c>
      <c r="Y6" s="53" t="s">
        <v>78</v>
      </c>
      <c r="Z6" s="53" t="s">
        <v>102</v>
      </c>
      <c r="AA6" s="53" t="s">
        <v>88</v>
      </c>
      <c r="AB6" s="120" t="s">
        <v>261</v>
      </c>
      <c r="AC6" s="34"/>
      <c r="AE6" s="22" t="s">
        <v>56</v>
      </c>
      <c r="AG6" s="49" t="s">
        <v>268</v>
      </c>
      <c r="AH6" s="49" t="s">
        <v>269</v>
      </c>
      <c r="AJ6" s="27"/>
      <c r="AL6" s="73" t="s">
        <v>99</v>
      </c>
      <c r="AN6" s="73" t="s">
        <v>57</v>
      </c>
      <c r="AP6" s="23" t="s">
        <v>53</v>
      </c>
      <c r="AR6" s="23" t="s">
        <v>59</v>
      </c>
      <c r="AV6" s="23" t="s">
        <v>60</v>
      </c>
      <c r="AX6" s="24">
        <v>97</v>
      </c>
      <c r="AY6" s="25">
        <v>36</v>
      </c>
      <c r="AZ6" s="25">
        <v>99</v>
      </c>
      <c r="BA6" s="26">
        <v>33</v>
      </c>
    </row>
    <row r="7" spans="1:53" x14ac:dyDescent="0.15">
      <c r="A7" s="120" t="s">
        <v>61</v>
      </c>
      <c r="B7" s="120" t="s">
        <v>257</v>
      </c>
      <c r="C7" s="120">
        <v>2019</v>
      </c>
      <c r="D7" s="121" t="s">
        <v>258</v>
      </c>
      <c r="E7" s="120" t="s">
        <v>259</v>
      </c>
      <c r="F7" s="120" t="s">
        <v>260</v>
      </c>
      <c r="G7" s="120" t="s">
        <v>42</v>
      </c>
      <c r="H7" s="53" t="s">
        <v>160</v>
      </c>
      <c r="I7" s="53" t="s">
        <v>159</v>
      </c>
      <c r="J7" s="120" t="s">
        <v>38</v>
      </c>
      <c r="K7" s="53" t="s">
        <v>161</v>
      </c>
      <c r="L7" s="53">
        <v>3</v>
      </c>
      <c r="N7" s="53">
        <v>1</v>
      </c>
      <c r="O7" s="53">
        <v>0.5</v>
      </c>
      <c r="P7" s="53">
        <v>0.5</v>
      </c>
      <c r="Q7" s="75">
        <f t="shared" si="0"/>
        <v>0.5</v>
      </c>
      <c r="R7" s="53">
        <v>17.7</v>
      </c>
      <c r="S7" s="53">
        <v>123</v>
      </c>
      <c r="T7" s="16">
        <f t="shared" si="1"/>
        <v>27</v>
      </c>
      <c r="U7" s="53">
        <v>414</v>
      </c>
      <c r="V7" s="122">
        <f t="shared" si="2"/>
        <v>11178</v>
      </c>
      <c r="W7" s="53">
        <v>4</v>
      </c>
      <c r="X7" s="120" t="s">
        <v>39</v>
      </c>
      <c r="Y7" s="53" t="s">
        <v>78</v>
      </c>
      <c r="Z7" s="53" t="s">
        <v>102</v>
      </c>
      <c r="AA7" s="53" t="s">
        <v>88</v>
      </c>
      <c r="AB7" s="120" t="s">
        <v>261</v>
      </c>
      <c r="AC7" s="34"/>
      <c r="AE7" s="22" t="s">
        <v>61</v>
      </c>
      <c r="AG7" s="49" t="s">
        <v>270</v>
      </c>
      <c r="AH7" s="49" t="s">
        <v>271</v>
      </c>
      <c r="AJ7" s="27"/>
      <c r="AL7" s="34" t="s">
        <v>109</v>
      </c>
      <c r="AN7" s="73"/>
      <c r="AP7" s="23" t="s">
        <v>58</v>
      </c>
      <c r="AR7" s="23" t="s">
        <v>122</v>
      </c>
      <c r="AV7" s="23" t="s">
        <v>64</v>
      </c>
      <c r="AX7" s="24">
        <v>109</v>
      </c>
      <c r="AY7" s="25">
        <v>33</v>
      </c>
      <c r="AZ7" s="25">
        <v>113</v>
      </c>
      <c r="BA7" s="26">
        <v>30</v>
      </c>
    </row>
    <row r="8" spans="1:53" x14ac:dyDescent="0.15">
      <c r="A8" s="120" t="s">
        <v>61</v>
      </c>
      <c r="B8" s="120" t="s">
        <v>257</v>
      </c>
      <c r="C8" s="120">
        <v>2019</v>
      </c>
      <c r="D8" s="121" t="s">
        <v>258</v>
      </c>
      <c r="E8" s="120" t="s">
        <v>262</v>
      </c>
      <c r="F8" s="120" t="s">
        <v>263</v>
      </c>
      <c r="G8" s="120" t="s">
        <v>42</v>
      </c>
      <c r="H8" s="53" t="s">
        <v>164</v>
      </c>
      <c r="I8" s="53" t="s">
        <v>159</v>
      </c>
      <c r="J8" s="120" t="s">
        <v>38</v>
      </c>
      <c r="K8" s="53" t="s">
        <v>161</v>
      </c>
      <c r="L8" s="53">
        <v>1</v>
      </c>
      <c r="N8" s="53">
        <v>1</v>
      </c>
      <c r="O8" s="53">
        <v>0.5</v>
      </c>
      <c r="P8" s="53">
        <v>0.5</v>
      </c>
      <c r="Q8" s="75">
        <f t="shared" si="0"/>
        <v>0.5</v>
      </c>
      <c r="R8" s="53">
        <v>18.2</v>
      </c>
      <c r="S8" s="53">
        <v>137</v>
      </c>
      <c r="T8" s="16">
        <f t="shared" si="1"/>
        <v>25</v>
      </c>
      <c r="U8" s="53">
        <v>128</v>
      </c>
      <c r="V8" s="122">
        <f t="shared" si="2"/>
        <v>3200</v>
      </c>
      <c r="W8" s="53">
        <v>5</v>
      </c>
      <c r="X8" s="120" t="s">
        <v>46</v>
      </c>
      <c r="Y8" s="53" t="s">
        <v>102</v>
      </c>
      <c r="Z8" s="53" t="s">
        <v>78</v>
      </c>
      <c r="AA8" s="53" t="s">
        <v>69</v>
      </c>
      <c r="AB8" s="120" t="s">
        <v>261</v>
      </c>
      <c r="AC8" s="34"/>
      <c r="AE8" s="22" t="s">
        <v>59</v>
      </c>
      <c r="AG8" s="49" t="s">
        <v>272</v>
      </c>
      <c r="AH8" s="49" t="s">
        <v>273</v>
      </c>
      <c r="AJ8" s="28"/>
      <c r="AL8" s="34" t="s">
        <v>134</v>
      </c>
      <c r="AN8" s="73"/>
      <c r="AP8" s="23" t="s">
        <v>62</v>
      </c>
      <c r="AR8" s="23" t="s">
        <v>81</v>
      </c>
      <c r="AV8" s="23" t="s">
        <v>97</v>
      </c>
      <c r="AX8" s="24">
        <v>119</v>
      </c>
      <c r="AY8" s="25">
        <v>30</v>
      </c>
      <c r="AZ8" s="25">
        <v>121</v>
      </c>
      <c r="BA8" s="26">
        <v>27</v>
      </c>
    </row>
    <row r="9" spans="1:53" x14ac:dyDescent="0.15">
      <c r="A9" s="120" t="s">
        <v>61</v>
      </c>
      <c r="B9" s="120" t="s">
        <v>257</v>
      </c>
      <c r="C9" s="120">
        <v>2019</v>
      </c>
      <c r="D9" s="121" t="s">
        <v>258</v>
      </c>
      <c r="E9" s="120" t="s">
        <v>262</v>
      </c>
      <c r="F9" s="120" t="s">
        <v>263</v>
      </c>
      <c r="G9" s="120" t="s">
        <v>42</v>
      </c>
      <c r="H9" s="53" t="s">
        <v>164</v>
      </c>
      <c r="I9" s="53" t="s">
        <v>159</v>
      </c>
      <c r="J9" s="120" t="s">
        <v>38</v>
      </c>
      <c r="K9" s="53" t="s">
        <v>161</v>
      </c>
      <c r="L9" s="53">
        <v>2</v>
      </c>
      <c r="N9" s="53">
        <v>1</v>
      </c>
      <c r="O9" s="53">
        <v>0.5</v>
      </c>
      <c r="P9" s="53">
        <v>0.5</v>
      </c>
      <c r="Q9" s="75">
        <f t="shared" si="0"/>
        <v>0.5</v>
      </c>
      <c r="R9" s="34">
        <v>18.100000000000001</v>
      </c>
      <c r="S9" s="53">
        <v>143</v>
      </c>
      <c r="T9" s="16">
        <f t="shared" si="1"/>
        <v>22</v>
      </c>
      <c r="U9" s="53">
        <v>128</v>
      </c>
      <c r="V9" s="122">
        <f t="shared" si="2"/>
        <v>2816</v>
      </c>
      <c r="W9" s="53">
        <v>5</v>
      </c>
      <c r="X9" s="120" t="s">
        <v>46</v>
      </c>
      <c r="Y9" s="53" t="s">
        <v>102</v>
      </c>
      <c r="Z9" s="53" t="s">
        <v>78</v>
      </c>
      <c r="AA9" s="53" t="s">
        <v>69</v>
      </c>
      <c r="AB9" s="120" t="s">
        <v>261</v>
      </c>
      <c r="AC9" s="34"/>
      <c r="AE9" s="22" t="s">
        <v>98</v>
      </c>
      <c r="AG9" s="49" t="s">
        <v>133</v>
      </c>
      <c r="AH9" s="49" t="s">
        <v>274</v>
      </c>
      <c r="AL9" s="73"/>
      <c r="AN9" s="73"/>
      <c r="AP9" s="23" t="s">
        <v>95</v>
      </c>
      <c r="AR9" s="23" t="s">
        <v>89</v>
      </c>
      <c r="AV9" s="23" t="s">
        <v>102</v>
      </c>
      <c r="AX9" s="24">
        <v>128</v>
      </c>
      <c r="AY9" s="25">
        <v>27</v>
      </c>
      <c r="AZ9" s="25">
        <v>129</v>
      </c>
      <c r="BA9" s="26">
        <v>25</v>
      </c>
    </row>
    <row r="10" spans="1:53" x14ac:dyDescent="0.15">
      <c r="A10" s="120" t="s">
        <v>61</v>
      </c>
      <c r="B10" s="120" t="s">
        <v>257</v>
      </c>
      <c r="C10" s="120">
        <v>2019</v>
      </c>
      <c r="D10" s="121" t="s">
        <v>258</v>
      </c>
      <c r="E10" s="120" t="s">
        <v>262</v>
      </c>
      <c r="F10" s="120" t="s">
        <v>263</v>
      </c>
      <c r="G10" s="120" t="s">
        <v>42</v>
      </c>
      <c r="H10" s="53" t="s">
        <v>164</v>
      </c>
      <c r="I10" s="53" t="s">
        <v>159</v>
      </c>
      <c r="J10" s="120" t="s">
        <v>38</v>
      </c>
      <c r="K10" s="53" t="s">
        <v>161</v>
      </c>
      <c r="L10" s="53">
        <v>3</v>
      </c>
      <c r="N10" s="53">
        <v>1</v>
      </c>
      <c r="O10" s="53">
        <v>0.5</v>
      </c>
      <c r="P10" s="53">
        <v>0.5</v>
      </c>
      <c r="Q10" s="75">
        <f t="shared" si="0"/>
        <v>0.5</v>
      </c>
      <c r="R10" s="53">
        <v>17.899999999999999</v>
      </c>
      <c r="S10" s="53">
        <v>134</v>
      </c>
      <c r="T10" s="16">
        <f t="shared" si="1"/>
        <v>25</v>
      </c>
      <c r="U10" s="53">
        <v>128</v>
      </c>
      <c r="V10" s="122">
        <f t="shared" si="2"/>
        <v>3200</v>
      </c>
      <c r="W10" s="53">
        <v>5</v>
      </c>
      <c r="X10" s="120" t="s">
        <v>46</v>
      </c>
      <c r="Y10" s="53" t="s">
        <v>102</v>
      </c>
      <c r="Z10" s="53" t="s">
        <v>78</v>
      </c>
      <c r="AA10" s="53" t="s">
        <v>69</v>
      </c>
      <c r="AB10" s="120" t="s">
        <v>261</v>
      </c>
      <c r="AC10" s="34"/>
      <c r="AE10" s="22" t="s">
        <v>103</v>
      </c>
      <c r="AG10" s="49" t="s">
        <v>275</v>
      </c>
      <c r="AH10" s="49" t="s">
        <v>276</v>
      </c>
      <c r="AL10" s="27"/>
      <c r="AP10" s="23" t="s">
        <v>100</v>
      </c>
      <c r="AR10" s="23" t="s">
        <v>123</v>
      </c>
      <c r="AV10" s="23" t="s">
        <v>106</v>
      </c>
      <c r="AX10" s="24">
        <v>138</v>
      </c>
      <c r="AY10" s="25">
        <v>25</v>
      </c>
      <c r="AZ10" s="25">
        <v>138</v>
      </c>
      <c r="BA10" s="26">
        <v>22</v>
      </c>
    </row>
    <row r="11" spans="1:53" x14ac:dyDescent="0.15">
      <c r="A11" s="120" t="s">
        <v>61</v>
      </c>
      <c r="B11" s="120" t="s">
        <v>257</v>
      </c>
      <c r="C11" s="120">
        <v>2019</v>
      </c>
      <c r="D11" s="121" t="s">
        <v>258</v>
      </c>
      <c r="E11" s="120" t="s">
        <v>262</v>
      </c>
      <c r="F11" s="120" t="s">
        <v>263</v>
      </c>
      <c r="G11" s="120" t="s">
        <v>42</v>
      </c>
      <c r="H11" s="53" t="s">
        <v>160</v>
      </c>
      <c r="I11" s="53" t="s">
        <v>159</v>
      </c>
      <c r="J11" s="120" t="s">
        <v>38</v>
      </c>
      <c r="K11" s="53" t="s">
        <v>161</v>
      </c>
      <c r="L11" s="53">
        <v>1</v>
      </c>
      <c r="N11" s="53">
        <v>1</v>
      </c>
      <c r="O11" s="53">
        <v>0.5</v>
      </c>
      <c r="P11" s="53">
        <v>0.5</v>
      </c>
      <c r="Q11" s="75">
        <f t="shared" si="0"/>
        <v>0.5</v>
      </c>
      <c r="R11" s="53">
        <v>16.899999999999999</v>
      </c>
      <c r="S11" s="53">
        <v>1141</v>
      </c>
      <c r="T11" s="16">
        <f t="shared" si="1"/>
        <v>16</v>
      </c>
      <c r="U11" s="53">
        <v>128</v>
      </c>
      <c r="V11" s="122">
        <f t="shared" si="2"/>
        <v>2048</v>
      </c>
      <c r="W11" s="53">
        <v>5</v>
      </c>
      <c r="X11" s="120" t="s">
        <v>46</v>
      </c>
      <c r="Y11" s="53" t="s">
        <v>102</v>
      </c>
      <c r="Z11" s="53" t="s">
        <v>78</v>
      </c>
      <c r="AA11" s="53" t="s">
        <v>69</v>
      </c>
      <c r="AB11" s="120" t="s">
        <v>261</v>
      </c>
      <c r="AC11" s="34"/>
      <c r="AE11" s="22" t="s">
        <v>65</v>
      </c>
      <c r="AG11" s="49" t="s">
        <v>277</v>
      </c>
      <c r="AH11" s="49" t="s">
        <v>276</v>
      </c>
      <c r="AL11" s="127"/>
      <c r="AP11" s="23" t="s">
        <v>104</v>
      </c>
      <c r="AR11" s="23" t="s">
        <v>87</v>
      </c>
      <c r="AV11" s="128" t="s">
        <v>278</v>
      </c>
      <c r="AX11" s="24">
        <v>151</v>
      </c>
      <c r="AY11" s="25">
        <v>22</v>
      </c>
      <c r="AZ11" s="25">
        <v>152</v>
      </c>
      <c r="BA11" s="26">
        <v>18</v>
      </c>
    </row>
    <row r="12" spans="1:53" x14ac:dyDescent="0.15">
      <c r="A12" s="120" t="s">
        <v>61</v>
      </c>
      <c r="B12" s="120" t="s">
        <v>257</v>
      </c>
      <c r="C12" s="120">
        <v>2019</v>
      </c>
      <c r="D12" s="121" t="s">
        <v>258</v>
      </c>
      <c r="E12" s="120" t="s">
        <v>262</v>
      </c>
      <c r="F12" s="120" t="s">
        <v>263</v>
      </c>
      <c r="G12" s="120" t="s">
        <v>42</v>
      </c>
      <c r="H12" s="53" t="s">
        <v>160</v>
      </c>
      <c r="I12" s="53" t="s">
        <v>159</v>
      </c>
      <c r="J12" s="120" t="s">
        <v>38</v>
      </c>
      <c r="K12" s="53" t="s">
        <v>161</v>
      </c>
      <c r="L12" s="53">
        <v>2</v>
      </c>
      <c r="N12" s="53">
        <v>1</v>
      </c>
      <c r="O12" s="53">
        <v>0.5</v>
      </c>
      <c r="P12" s="53">
        <v>0.5</v>
      </c>
      <c r="Q12" s="75">
        <f t="shared" si="0"/>
        <v>0.5</v>
      </c>
      <c r="R12" s="34">
        <v>13.4</v>
      </c>
      <c r="S12" s="53">
        <v>150</v>
      </c>
      <c r="T12" s="16">
        <f t="shared" si="1"/>
        <v>22</v>
      </c>
      <c r="U12" s="53">
        <v>128</v>
      </c>
      <c r="V12" s="122">
        <f t="shared" si="2"/>
        <v>2816</v>
      </c>
      <c r="W12" s="53">
        <v>5</v>
      </c>
      <c r="X12" s="120" t="s">
        <v>46</v>
      </c>
      <c r="Y12" s="53" t="s">
        <v>102</v>
      </c>
      <c r="Z12" s="53" t="s">
        <v>78</v>
      </c>
      <c r="AA12" s="53" t="s">
        <v>69</v>
      </c>
      <c r="AB12" s="120" t="s">
        <v>261</v>
      </c>
      <c r="AC12" s="34"/>
      <c r="AE12" s="22" t="s">
        <v>70</v>
      </c>
      <c r="AG12" s="23"/>
      <c r="AH12" s="22"/>
      <c r="AL12" s="127"/>
      <c r="AP12" s="23" t="s">
        <v>67</v>
      </c>
      <c r="AR12" s="23" t="s">
        <v>124</v>
      </c>
      <c r="AV12" s="128" t="s">
        <v>279</v>
      </c>
      <c r="AX12" s="24">
        <v>180</v>
      </c>
      <c r="AY12" s="25">
        <v>18</v>
      </c>
      <c r="AZ12" s="25">
        <v>181</v>
      </c>
      <c r="BA12" s="26">
        <v>16</v>
      </c>
    </row>
    <row r="13" spans="1:53" x14ac:dyDescent="0.15">
      <c r="A13" s="120" t="s">
        <v>61</v>
      </c>
      <c r="B13" s="120" t="s">
        <v>257</v>
      </c>
      <c r="C13" s="120">
        <v>2019</v>
      </c>
      <c r="D13" s="121" t="s">
        <v>258</v>
      </c>
      <c r="E13" s="120" t="s">
        <v>262</v>
      </c>
      <c r="F13" s="120" t="s">
        <v>263</v>
      </c>
      <c r="G13" s="120" t="s">
        <v>42</v>
      </c>
      <c r="H13" s="53" t="s">
        <v>160</v>
      </c>
      <c r="I13" s="53" t="s">
        <v>159</v>
      </c>
      <c r="J13" s="120" t="s">
        <v>38</v>
      </c>
      <c r="K13" s="53" t="s">
        <v>161</v>
      </c>
      <c r="L13" s="53">
        <v>3</v>
      </c>
      <c r="N13" s="53">
        <v>1</v>
      </c>
      <c r="O13" s="53">
        <v>0.5</v>
      </c>
      <c r="P13" s="53">
        <v>0.5</v>
      </c>
      <c r="Q13" s="75">
        <f t="shared" si="0"/>
        <v>0.5</v>
      </c>
      <c r="R13" s="53">
        <v>16.2</v>
      </c>
      <c r="S13" s="53">
        <v>142</v>
      </c>
      <c r="T13" s="16">
        <f t="shared" si="1"/>
        <v>22</v>
      </c>
      <c r="U13" s="53">
        <v>128</v>
      </c>
      <c r="V13" s="122">
        <f t="shared" si="2"/>
        <v>2816</v>
      </c>
      <c r="W13" s="53">
        <v>5</v>
      </c>
      <c r="X13" s="120" t="s">
        <v>46</v>
      </c>
      <c r="Y13" s="53" t="s">
        <v>102</v>
      </c>
      <c r="Z13" s="53" t="s">
        <v>78</v>
      </c>
      <c r="AA13" s="53" t="s">
        <v>69</v>
      </c>
      <c r="AB13" s="120" t="s">
        <v>261</v>
      </c>
      <c r="AC13" s="34"/>
      <c r="AE13" s="22" t="s">
        <v>73</v>
      </c>
      <c r="AG13" s="23"/>
      <c r="AH13" s="22"/>
      <c r="AL13" s="129"/>
      <c r="AP13" s="23" t="s">
        <v>71</v>
      </c>
      <c r="AR13" s="23" t="s">
        <v>103</v>
      </c>
      <c r="AV13" s="128" t="s">
        <v>280</v>
      </c>
      <c r="AX13" s="24"/>
      <c r="AY13" s="25"/>
      <c r="AZ13" s="25"/>
      <c r="BA13" s="26"/>
    </row>
    <row r="14" spans="1:53" x14ac:dyDescent="0.15">
      <c r="A14" s="120" t="s">
        <v>61</v>
      </c>
      <c r="B14" s="120" t="s">
        <v>257</v>
      </c>
      <c r="C14" s="120">
        <v>2019</v>
      </c>
      <c r="D14" s="121" t="s">
        <v>258</v>
      </c>
      <c r="E14" s="120" t="s">
        <v>264</v>
      </c>
      <c r="F14" s="120" t="s">
        <v>265</v>
      </c>
      <c r="G14" s="120" t="s">
        <v>42</v>
      </c>
      <c r="H14" s="53" t="s">
        <v>164</v>
      </c>
      <c r="I14" s="53" t="s">
        <v>159</v>
      </c>
      <c r="J14" s="120" t="s">
        <v>38</v>
      </c>
      <c r="K14" s="53" t="s">
        <v>161</v>
      </c>
      <c r="L14" s="53">
        <v>1</v>
      </c>
      <c r="N14" s="53">
        <v>4</v>
      </c>
      <c r="O14" s="53">
        <v>1</v>
      </c>
      <c r="P14" s="53">
        <v>0.9</v>
      </c>
      <c r="Q14" s="75">
        <f t="shared" si="0"/>
        <v>0.95</v>
      </c>
      <c r="R14" s="53">
        <v>17</v>
      </c>
      <c r="S14" s="53">
        <v>91</v>
      </c>
      <c r="T14" s="16">
        <f t="shared" si="1"/>
        <v>36</v>
      </c>
      <c r="U14" s="53">
        <v>298</v>
      </c>
      <c r="V14" s="122">
        <f t="shared" si="2"/>
        <v>2682</v>
      </c>
      <c r="W14" s="53">
        <v>8</v>
      </c>
      <c r="X14" s="120" t="s">
        <v>46</v>
      </c>
      <c r="Y14" s="53" t="s">
        <v>69</v>
      </c>
      <c r="Z14" s="53" t="s">
        <v>78</v>
      </c>
      <c r="AA14" s="53" t="s">
        <v>102</v>
      </c>
      <c r="AB14" s="120" t="s">
        <v>261</v>
      </c>
      <c r="AC14" s="34"/>
      <c r="AE14" s="22" t="s">
        <v>76</v>
      </c>
      <c r="AG14" s="23"/>
      <c r="AH14" s="22"/>
      <c r="AL14" s="34"/>
      <c r="AP14" s="23" t="s">
        <v>74</v>
      </c>
      <c r="AR14" s="23" t="s">
        <v>125</v>
      </c>
      <c r="AV14" s="128" t="s">
        <v>281</v>
      </c>
      <c r="AX14" s="24"/>
      <c r="AY14" s="25"/>
      <c r="AZ14" s="25"/>
      <c r="BA14" s="26"/>
    </row>
    <row r="15" spans="1:53" x14ac:dyDescent="0.15">
      <c r="A15" s="120" t="s">
        <v>61</v>
      </c>
      <c r="B15" s="120" t="s">
        <v>257</v>
      </c>
      <c r="C15" s="120">
        <v>2019</v>
      </c>
      <c r="D15" s="121" t="s">
        <v>258</v>
      </c>
      <c r="E15" s="120" t="s">
        <v>264</v>
      </c>
      <c r="F15" s="120" t="s">
        <v>265</v>
      </c>
      <c r="G15" s="120" t="s">
        <v>42</v>
      </c>
      <c r="H15" s="53" t="s">
        <v>164</v>
      </c>
      <c r="I15" s="53" t="s">
        <v>159</v>
      </c>
      <c r="J15" s="120" t="s">
        <v>38</v>
      </c>
      <c r="K15" s="53" t="s">
        <v>161</v>
      </c>
      <c r="L15" s="53">
        <v>2</v>
      </c>
      <c r="N15" s="53">
        <v>4</v>
      </c>
      <c r="O15" s="53">
        <v>0.5</v>
      </c>
      <c r="P15" s="53">
        <v>0.5</v>
      </c>
      <c r="Q15" s="75">
        <f t="shared" si="0"/>
        <v>0.5</v>
      </c>
      <c r="R15" s="34">
        <v>17.600000000000001</v>
      </c>
      <c r="S15" s="53">
        <v>93</v>
      </c>
      <c r="T15" s="16">
        <f t="shared" si="1"/>
        <v>36</v>
      </c>
      <c r="U15" s="53">
        <v>298</v>
      </c>
      <c r="V15" s="122">
        <f t="shared" si="2"/>
        <v>2682</v>
      </c>
      <c r="W15" s="53">
        <v>8</v>
      </c>
      <c r="X15" s="120" t="s">
        <v>46</v>
      </c>
      <c r="Y15" s="53" t="s">
        <v>69</v>
      </c>
      <c r="Z15" s="53" t="s">
        <v>78</v>
      </c>
      <c r="AA15" s="53" t="s">
        <v>102</v>
      </c>
      <c r="AB15" s="120" t="s">
        <v>261</v>
      </c>
      <c r="AC15" s="34"/>
      <c r="AE15" s="22" t="s">
        <v>79</v>
      </c>
      <c r="AG15" s="23"/>
      <c r="AH15" s="23"/>
      <c r="AL15" s="34"/>
      <c r="AP15" s="23" t="s">
        <v>77</v>
      </c>
      <c r="AR15" s="23" t="s">
        <v>94</v>
      </c>
      <c r="AV15" s="128" t="s">
        <v>282</v>
      </c>
      <c r="AX15" s="31"/>
      <c r="AY15" s="32"/>
      <c r="AZ15" s="32"/>
      <c r="BA15" s="33"/>
    </row>
    <row r="16" spans="1:53" x14ac:dyDescent="0.15">
      <c r="A16" s="120" t="s">
        <v>61</v>
      </c>
      <c r="B16" s="120" t="s">
        <v>257</v>
      </c>
      <c r="C16" s="120">
        <v>2019</v>
      </c>
      <c r="D16" s="121" t="s">
        <v>258</v>
      </c>
      <c r="E16" s="120" t="s">
        <v>264</v>
      </c>
      <c r="F16" s="120" t="s">
        <v>265</v>
      </c>
      <c r="G16" s="120" t="s">
        <v>42</v>
      </c>
      <c r="H16" s="53" t="s">
        <v>164</v>
      </c>
      <c r="I16" s="53" t="s">
        <v>159</v>
      </c>
      <c r="J16" s="120" t="s">
        <v>38</v>
      </c>
      <c r="K16" s="53" t="s">
        <v>161</v>
      </c>
      <c r="L16" s="53">
        <v>3</v>
      </c>
      <c r="N16" s="53">
        <v>4</v>
      </c>
      <c r="O16" s="53">
        <v>0.8</v>
      </c>
      <c r="P16" s="53">
        <v>0.95</v>
      </c>
      <c r="Q16" s="75">
        <f t="shared" si="0"/>
        <v>0.875</v>
      </c>
      <c r="R16" s="53">
        <v>17.399999999999999</v>
      </c>
      <c r="S16" s="53">
        <v>87</v>
      </c>
      <c r="T16" s="16">
        <f t="shared" si="1"/>
        <v>36</v>
      </c>
      <c r="U16" s="53">
        <v>298</v>
      </c>
      <c r="V16" s="122">
        <f t="shared" si="2"/>
        <v>2682</v>
      </c>
      <c r="W16" s="53">
        <v>8</v>
      </c>
      <c r="X16" s="120" t="s">
        <v>46</v>
      </c>
      <c r="Y16" s="53" t="s">
        <v>69</v>
      </c>
      <c r="Z16" s="53" t="s">
        <v>78</v>
      </c>
      <c r="AA16" s="53" t="s">
        <v>102</v>
      </c>
      <c r="AB16" s="120" t="s">
        <v>261</v>
      </c>
      <c r="AC16" s="34"/>
      <c r="AE16" s="22" t="s">
        <v>82</v>
      </c>
      <c r="AG16" s="23"/>
      <c r="AH16" s="23"/>
      <c r="AP16" s="23" t="s">
        <v>80</v>
      </c>
      <c r="AR16" s="23" t="s">
        <v>63</v>
      </c>
      <c r="AV16" s="128" t="s">
        <v>283</v>
      </c>
    </row>
    <row r="17" spans="1:48" x14ac:dyDescent="0.15">
      <c r="A17" s="120" t="s">
        <v>61</v>
      </c>
      <c r="B17" s="120" t="s">
        <v>257</v>
      </c>
      <c r="C17" s="120">
        <v>2019</v>
      </c>
      <c r="D17" s="121" t="s">
        <v>258</v>
      </c>
      <c r="E17" s="120" t="s">
        <v>264</v>
      </c>
      <c r="F17" s="120" t="s">
        <v>265</v>
      </c>
      <c r="G17" s="120" t="s">
        <v>42</v>
      </c>
      <c r="H17" s="53" t="s">
        <v>160</v>
      </c>
      <c r="I17" s="53" t="s">
        <v>159</v>
      </c>
      <c r="J17" s="120" t="s">
        <v>38</v>
      </c>
      <c r="K17" s="53" t="s">
        <v>161</v>
      </c>
      <c r="L17" s="53">
        <v>1</v>
      </c>
      <c r="N17" s="53">
        <v>1</v>
      </c>
      <c r="O17" s="53">
        <v>1.1000000000000001</v>
      </c>
      <c r="P17" s="53">
        <v>0.75</v>
      </c>
      <c r="Q17" s="75">
        <f t="shared" si="0"/>
        <v>0.92500000000000004</v>
      </c>
      <c r="R17" s="53">
        <v>18.8</v>
      </c>
      <c r="S17" s="53">
        <v>153</v>
      </c>
      <c r="T17" s="16">
        <f t="shared" si="1"/>
        <v>18</v>
      </c>
      <c r="U17" s="53">
        <v>158</v>
      </c>
      <c r="V17" s="122">
        <f t="shared" si="2"/>
        <v>2844</v>
      </c>
      <c r="W17" s="53">
        <v>8</v>
      </c>
      <c r="X17" s="120" t="s">
        <v>46</v>
      </c>
      <c r="Y17" s="53" t="s">
        <v>69</v>
      </c>
      <c r="Z17" s="53" t="s">
        <v>78</v>
      </c>
      <c r="AA17" s="53" t="s">
        <v>102</v>
      </c>
      <c r="AB17" s="120" t="s">
        <v>261</v>
      </c>
      <c r="AC17" s="34"/>
      <c r="AE17" s="22" t="s">
        <v>85</v>
      </c>
      <c r="AP17" s="27" t="s">
        <v>110</v>
      </c>
      <c r="AR17" s="23" t="s">
        <v>96</v>
      </c>
      <c r="AV17" s="128" t="s">
        <v>284</v>
      </c>
    </row>
    <row r="18" spans="1:48" x14ac:dyDescent="0.15">
      <c r="A18" s="120" t="s">
        <v>61</v>
      </c>
      <c r="B18" s="120" t="s">
        <v>257</v>
      </c>
      <c r="C18" s="120">
        <v>2019</v>
      </c>
      <c r="D18" s="121" t="s">
        <v>258</v>
      </c>
      <c r="E18" s="120" t="s">
        <v>264</v>
      </c>
      <c r="F18" s="120" t="s">
        <v>265</v>
      </c>
      <c r="G18" s="120" t="s">
        <v>42</v>
      </c>
      <c r="H18" s="53" t="s">
        <v>160</v>
      </c>
      <c r="I18" s="53" t="s">
        <v>159</v>
      </c>
      <c r="J18" s="120" t="s">
        <v>38</v>
      </c>
      <c r="K18" s="53" t="s">
        <v>161</v>
      </c>
      <c r="L18" s="53">
        <v>2</v>
      </c>
      <c r="N18" s="53">
        <v>1</v>
      </c>
      <c r="O18" s="53">
        <v>0.8</v>
      </c>
      <c r="P18" s="53">
        <v>0.8</v>
      </c>
      <c r="Q18" s="75">
        <f t="shared" si="0"/>
        <v>0.8</v>
      </c>
      <c r="R18" s="34">
        <v>17.899999999999999</v>
      </c>
      <c r="S18" s="53">
        <v>151</v>
      </c>
      <c r="T18" s="16">
        <f t="shared" si="1"/>
        <v>22</v>
      </c>
      <c r="U18" s="53">
        <v>158</v>
      </c>
      <c r="V18" s="122">
        <f t="shared" si="2"/>
        <v>3476</v>
      </c>
      <c r="W18" s="53">
        <v>8</v>
      </c>
      <c r="X18" s="120" t="s">
        <v>46</v>
      </c>
      <c r="Y18" s="53" t="s">
        <v>69</v>
      </c>
      <c r="Z18" s="53" t="s">
        <v>78</v>
      </c>
      <c r="AA18" s="53" t="s">
        <v>102</v>
      </c>
      <c r="AB18" s="120" t="s">
        <v>261</v>
      </c>
      <c r="AC18" s="34"/>
      <c r="AE18" s="22" t="s">
        <v>87</v>
      </c>
      <c r="AP18" s="27" t="s">
        <v>111</v>
      </c>
      <c r="AR18" s="23" t="s">
        <v>101</v>
      </c>
      <c r="AV18" s="128" t="s">
        <v>135</v>
      </c>
    </row>
    <row r="19" spans="1:48" x14ac:dyDescent="0.15">
      <c r="A19" s="120" t="s">
        <v>61</v>
      </c>
      <c r="B19" s="120" t="s">
        <v>257</v>
      </c>
      <c r="C19" s="120">
        <v>2019</v>
      </c>
      <c r="D19" s="121" t="s">
        <v>258</v>
      </c>
      <c r="E19" s="120" t="s">
        <v>264</v>
      </c>
      <c r="F19" s="120" t="s">
        <v>265</v>
      </c>
      <c r="G19" s="120" t="s">
        <v>42</v>
      </c>
      <c r="H19" s="53" t="s">
        <v>160</v>
      </c>
      <c r="I19" s="53" t="s">
        <v>159</v>
      </c>
      <c r="J19" s="120" t="s">
        <v>38</v>
      </c>
      <c r="K19" s="53" t="s">
        <v>161</v>
      </c>
      <c r="L19" s="53">
        <v>3</v>
      </c>
      <c r="N19" s="53">
        <v>1</v>
      </c>
      <c r="O19" s="34">
        <v>0.75</v>
      </c>
      <c r="P19" s="53">
        <v>0.75</v>
      </c>
      <c r="Q19" s="75">
        <f t="shared" si="0"/>
        <v>0.75</v>
      </c>
      <c r="R19" s="53">
        <v>18.5</v>
      </c>
      <c r="S19" s="53">
        <v>156</v>
      </c>
      <c r="T19" s="16">
        <f t="shared" si="1"/>
        <v>18</v>
      </c>
      <c r="U19" s="53">
        <v>158</v>
      </c>
      <c r="V19" s="122">
        <f t="shared" si="2"/>
        <v>2844</v>
      </c>
      <c r="W19" s="53">
        <v>8</v>
      </c>
      <c r="X19" s="120" t="s">
        <v>46</v>
      </c>
      <c r="Y19" s="53" t="s">
        <v>69</v>
      </c>
      <c r="Z19" s="53" t="s">
        <v>78</v>
      </c>
      <c r="AA19" s="53" t="s">
        <v>102</v>
      </c>
      <c r="AB19" s="120" t="s">
        <v>261</v>
      </c>
      <c r="AC19" s="34"/>
      <c r="AE19" s="35" t="s">
        <v>89</v>
      </c>
      <c r="AP19" s="27" t="s">
        <v>112</v>
      </c>
      <c r="AR19" s="23" t="s">
        <v>126</v>
      </c>
      <c r="AV19" s="128" t="s">
        <v>285</v>
      </c>
    </row>
    <row r="20" spans="1:48" x14ac:dyDescent="0.15">
      <c r="A20" s="120" t="s">
        <v>61</v>
      </c>
      <c r="B20" s="120" t="s">
        <v>257</v>
      </c>
      <c r="C20" s="120">
        <v>2019</v>
      </c>
      <c r="D20" s="121" t="s">
        <v>258</v>
      </c>
      <c r="E20" s="120" t="s">
        <v>266</v>
      </c>
      <c r="F20" s="120" t="s">
        <v>267</v>
      </c>
      <c r="G20" s="120" t="s">
        <v>42</v>
      </c>
      <c r="H20" s="53" t="s">
        <v>164</v>
      </c>
      <c r="I20" s="53" t="s">
        <v>159</v>
      </c>
      <c r="J20" s="120" t="s">
        <v>38</v>
      </c>
      <c r="K20" s="53" t="s">
        <v>161</v>
      </c>
      <c r="L20" s="53">
        <v>1</v>
      </c>
      <c r="N20" s="53">
        <v>1</v>
      </c>
      <c r="O20" s="53">
        <v>1</v>
      </c>
      <c r="P20" s="53">
        <v>0.95</v>
      </c>
      <c r="Q20" s="75">
        <f t="shared" si="0"/>
        <v>0.97499999999999998</v>
      </c>
      <c r="R20" s="53">
        <v>17.5</v>
      </c>
      <c r="S20" s="53">
        <v>135</v>
      </c>
      <c r="T20" s="16">
        <f t="shared" si="1"/>
        <v>25</v>
      </c>
      <c r="U20" s="53">
        <v>128</v>
      </c>
      <c r="V20" s="122">
        <f t="shared" si="2"/>
        <v>3200</v>
      </c>
      <c r="W20" s="53">
        <v>6</v>
      </c>
      <c r="X20" s="120" t="s">
        <v>46</v>
      </c>
      <c r="Y20" s="53" t="s">
        <v>102</v>
      </c>
      <c r="Z20" s="53" t="s">
        <v>69</v>
      </c>
      <c r="AA20" s="53" t="s">
        <v>78</v>
      </c>
      <c r="AB20" s="120" t="s">
        <v>261</v>
      </c>
      <c r="AC20" s="34"/>
      <c r="AE20" s="22"/>
      <c r="AP20" s="27" t="s">
        <v>113</v>
      </c>
      <c r="AR20" s="23" t="s">
        <v>105</v>
      </c>
      <c r="AV20" s="128" t="s">
        <v>286</v>
      </c>
    </row>
    <row r="21" spans="1:48" x14ac:dyDescent="0.15">
      <c r="A21" s="120" t="s">
        <v>61</v>
      </c>
      <c r="B21" s="120" t="s">
        <v>257</v>
      </c>
      <c r="C21" s="120">
        <v>2019</v>
      </c>
      <c r="D21" s="121" t="s">
        <v>258</v>
      </c>
      <c r="E21" s="120" t="s">
        <v>266</v>
      </c>
      <c r="F21" s="120" t="s">
        <v>267</v>
      </c>
      <c r="G21" s="120" t="s">
        <v>42</v>
      </c>
      <c r="H21" s="53" t="s">
        <v>164</v>
      </c>
      <c r="I21" s="53" t="s">
        <v>159</v>
      </c>
      <c r="J21" s="120" t="s">
        <v>38</v>
      </c>
      <c r="K21" s="53" t="s">
        <v>161</v>
      </c>
      <c r="L21" s="53">
        <v>2</v>
      </c>
      <c r="N21" s="53">
        <v>1</v>
      </c>
      <c r="O21" s="53">
        <v>0.9</v>
      </c>
      <c r="P21" s="53">
        <v>0.75</v>
      </c>
      <c r="Q21" s="75">
        <f t="shared" si="0"/>
        <v>0.82499999999999996</v>
      </c>
      <c r="R21" s="53">
        <v>16.7</v>
      </c>
      <c r="S21" s="53">
        <v>129</v>
      </c>
      <c r="T21" s="16">
        <f t="shared" si="1"/>
        <v>25</v>
      </c>
      <c r="U21" s="53">
        <v>128</v>
      </c>
      <c r="V21" s="122">
        <f t="shared" si="2"/>
        <v>3200</v>
      </c>
      <c r="W21" s="53">
        <v>6</v>
      </c>
      <c r="X21" s="120" t="s">
        <v>46</v>
      </c>
      <c r="Y21" s="53" t="s">
        <v>102</v>
      </c>
      <c r="Z21" s="53" t="s">
        <v>69</v>
      </c>
      <c r="AA21" s="53" t="s">
        <v>78</v>
      </c>
      <c r="AB21" s="120" t="s">
        <v>261</v>
      </c>
      <c r="AC21" s="34"/>
      <c r="AE21" s="22"/>
      <c r="AP21" s="27" t="s">
        <v>114</v>
      </c>
      <c r="AR21" s="23" t="s">
        <v>68</v>
      </c>
      <c r="AV21" s="128" t="s">
        <v>287</v>
      </c>
    </row>
    <row r="22" spans="1:48" x14ac:dyDescent="0.15">
      <c r="A22" s="120" t="s">
        <v>61</v>
      </c>
      <c r="B22" s="120" t="s">
        <v>257</v>
      </c>
      <c r="C22" s="120">
        <v>2019</v>
      </c>
      <c r="D22" s="121" t="s">
        <v>258</v>
      </c>
      <c r="E22" s="120" t="s">
        <v>266</v>
      </c>
      <c r="F22" s="120" t="s">
        <v>267</v>
      </c>
      <c r="G22" s="120" t="s">
        <v>42</v>
      </c>
      <c r="H22" s="53" t="s">
        <v>164</v>
      </c>
      <c r="I22" s="53" t="s">
        <v>159</v>
      </c>
      <c r="J22" s="120" t="s">
        <v>38</v>
      </c>
      <c r="K22" s="53" t="s">
        <v>161</v>
      </c>
      <c r="L22" s="53">
        <v>3</v>
      </c>
      <c r="N22" s="53">
        <v>1</v>
      </c>
      <c r="O22" s="53">
        <v>1</v>
      </c>
      <c r="P22" s="53">
        <v>0.95</v>
      </c>
      <c r="Q22" s="75">
        <f t="shared" si="0"/>
        <v>0.97499999999999998</v>
      </c>
      <c r="R22" s="53">
        <v>17.5</v>
      </c>
      <c r="S22" s="53">
        <v>131</v>
      </c>
      <c r="T22" s="16">
        <f t="shared" si="1"/>
        <v>25</v>
      </c>
      <c r="U22" s="53">
        <v>128</v>
      </c>
      <c r="V22" s="122">
        <f t="shared" si="2"/>
        <v>3200</v>
      </c>
      <c r="W22" s="53">
        <v>6</v>
      </c>
      <c r="X22" s="120" t="s">
        <v>46</v>
      </c>
      <c r="Y22" s="53" t="s">
        <v>102</v>
      </c>
      <c r="Z22" s="53" t="s">
        <v>69</v>
      </c>
      <c r="AA22" s="53" t="s">
        <v>78</v>
      </c>
      <c r="AB22" s="120" t="s">
        <v>261</v>
      </c>
      <c r="AC22" s="34"/>
      <c r="AE22" s="35"/>
      <c r="AP22" s="27" t="s">
        <v>115</v>
      </c>
      <c r="AR22" s="23" t="s">
        <v>83</v>
      </c>
      <c r="AV22" s="23"/>
    </row>
    <row r="23" spans="1:48" x14ac:dyDescent="0.15">
      <c r="A23" s="120" t="s">
        <v>61</v>
      </c>
      <c r="B23" s="120" t="s">
        <v>257</v>
      </c>
      <c r="C23" s="120">
        <v>2019</v>
      </c>
      <c r="D23" s="121" t="s">
        <v>258</v>
      </c>
      <c r="E23" s="120" t="s">
        <v>266</v>
      </c>
      <c r="F23" s="120" t="s">
        <v>267</v>
      </c>
      <c r="G23" s="120" t="s">
        <v>42</v>
      </c>
      <c r="H23" s="53" t="s">
        <v>160</v>
      </c>
      <c r="I23" s="53" t="s">
        <v>159</v>
      </c>
      <c r="J23" s="120" t="s">
        <v>38</v>
      </c>
      <c r="K23" s="53" t="s">
        <v>161</v>
      </c>
      <c r="L23" s="53">
        <v>1</v>
      </c>
      <c r="N23" s="53">
        <v>1</v>
      </c>
      <c r="O23" s="53">
        <v>1</v>
      </c>
      <c r="P23" s="53">
        <v>0.85</v>
      </c>
      <c r="Q23" s="75">
        <f t="shared" si="0"/>
        <v>0.92500000000000004</v>
      </c>
      <c r="R23" s="53">
        <v>17.3</v>
      </c>
      <c r="S23" s="53">
        <v>137</v>
      </c>
      <c r="T23" s="16">
        <f t="shared" si="1"/>
        <v>25</v>
      </c>
      <c r="U23" s="53">
        <v>138</v>
      </c>
      <c r="V23" s="122">
        <f t="shared" si="2"/>
        <v>3450</v>
      </c>
      <c r="W23" s="53">
        <v>6</v>
      </c>
      <c r="X23" s="120" t="s">
        <v>46</v>
      </c>
      <c r="Y23" s="53" t="s">
        <v>102</v>
      </c>
      <c r="Z23" s="53" t="s">
        <v>69</v>
      </c>
      <c r="AA23" s="53" t="s">
        <v>78</v>
      </c>
      <c r="AB23" s="120" t="s">
        <v>261</v>
      </c>
      <c r="AC23" s="34"/>
      <c r="AE23" s="22"/>
      <c r="AP23" s="27" t="s">
        <v>137</v>
      </c>
      <c r="AR23" s="23" t="s">
        <v>61</v>
      </c>
    </row>
    <row r="24" spans="1:48" x14ac:dyDescent="0.15">
      <c r="A24" s="120" t="s">
        <v>61</v>
      </c>
      <c r="B24" s="120" t="s">
        <v>257</v>
      </c>
      <c r="C24" s="120">
        <v>2019</v>
      </c>
      <c r="D24" s="121" t="s">
        <v>258</v>
      </c>
      <c r="E24" s="120" t="s">
        <v>266</v>
      </c>
      <c r="F24" s="120" t="s">
        <v>267</v>
      </c>
      <c r="G24" s="120" t="s">
        <v>42</v>
      </c>
      <c r="H24" s="53" t="s">
        <v>160</v>
      </c>
      <c r="I24" s="53" t="s">
        <v>159</v>
      </c>
      <c r="J24" s="120" t="s">
        <v>38</v>
      </c>
      <c r="K24" s="53" t="s">
        <v>161</v>
      </c>
      <c r="L24" s="53">
        <v>2</v>
      </c>
      <c r="N24" s="53">
        <v>1</v>
      </c>
      <c r="O24" s="53">
        <v>0.8</v>
      </c>
      <c r="P24" s="53">
        <v>0.85</v>
      </c>
      <c r="Q24" s="75">
        <f t="shared" si="0"/>
        <v>0.82499999999999996</v>
      </c>
      <c r="R24" s="53">
        <v>17.100000000000001</v>
      </c>
      <c r="S24" s="53">
        <v>135</v>
      </c>
      <c r="T24" s="16">
        <f t="shared" si="1"/>
        <v>25</v>
      </c>
      <c r="U24" s="53">
        <v>138</v>
      </c>
      <c r="V24" s="122">
        <f t="shared" si="2"/>
        <v>3450</v>
      </c>
      <c r="W24" s="53">
        <v>6</v>
      </c>
      <c r="X24" s="120" t="s">
        <v>46</v>
      </c>
      <c r="Y24" s="53" t="s">
        <v>102</v>
      </c>
      <c r="Z24" s="53" t="s">
        <v>69</v>
      </c>
      <c r="AA24" s="53" t="s">
        <v>78</v>
      </c>
      <c r="AB24" s="120" t="s">
        <v>261</v>
      </c>
      <c r="AC24" s="34"/>
      <c r="AE24" s="22"/>
      <c r="AP24" s="27" t="s">
        <v>138</v>
      </c>
      <c r="AR24" s="23" t="s">
        <v>91</v>
      </c>
    </row>
    <row r="25" spans="1:48" x14ac:dyDescent="0.15">
      <c r="A25" s="120" t="s">
        <v>61</v>
      </c>
      <c r="B25" s="120" t="s">
        <v>257</v>
      </c>
      <c r="C25" s="120">
        <v>2019</v>
      </c>
      <c r="D25" s="121" t="s">
        <v>258</v>
      </c>
      <c r="E25" s="120" t="s">
        <v>266</v>
      </c>
      <c r="F25" s="120" t="s">
        <v>267</v>
      </c>
      <c r="G25" s="120" t="s">
        <v>42</v>
      </c>
      <c r="H25" s="53" t="s">
        <v>160</v>
      </c>
      <c r="I25" s="53" t="s">
        <v>159</v>
      </c>
      <c r="J25" s="120" t="s">
        <v>38</v>
      </c>
      <c r="K25" s="53" t="s">
        <v>161</v>
      </c>
      <c r="L25" s="53">
        <v>3</v>
      </c>
      <c r="N25" s="53">
        <v>1</v>
      </c>
      <c r="O25" s="34">
        <v>0.8</v>
      </c>
      <c r="P25" s="53">
        <v>0.85</v>
      </c>
      <c r="Q25" s="75">
        <f t="shared" si="0"/>
        <v>0.82499999999999996</v>
      </c>
      <c r="R25" s="53">
        <v>16.899999999999999</v>
      </c>
      <c r="S25" s="53">
        <v>135</v>
      </c>
      <c r="T25" s="16">
        <f t="shared" si="1"/>
        <v>25</v>
      </c>
      <c r="U25" s="53">
        <v>138</v>
      </c>
      <c r="V25" s="122">
        <f t="shared" si="2"/>
        <v>3450</v>
      </c>
      <c r="W25" s="53">
        <v>6</v>
      </c>
      <c r="X25" s="120" t="s">
        <v>46</v>
      </c>
      <c r="Y25" s="53" t="s">
        <v>102</v>
      </c>
      <c r="Z25" s="53" t="s">
        <v>69</v>
      </c>
      <c r="AA25" s="53" t="s">
        <v>78</v>
      </c>
      <c r="AB25" s="120" t="s">
        <v>261</v>
      </c>
      <c r="AC25" s="34"/>
      <c r="AE25" s="35"/>
      <c r="AP25" s="27" t="s">
        <v>116</v>
      </c>
      <c r="AR25" s="27" t="s">
        <v>92</v>
      </c>
    </row>
    <row r="26" spans="1:48" x14ac:dyDescent="0.15">
      <c r="A26" s="120" t="s">
        <v>61</v>
      </c>
      <c r="B26" s="120" t="s">
        <v>257</v>
      </c>
      <c r="C26" s="120">
        <v>2019</v>
      </c>
      <c r="D26" s="121" t="s">
        <v>258</v>
      </c>
      <c r="E26" s="120" t="s">
        <v>268</v>
      </c>
      <c r="F26" s="120" t="s">
        <v>269</v>
      </c>
      <c r="G26" s="120" t="s">
        <v>42</v>
      </c>
      <c r="H26" s="53" t="s">
        <v>164</v>
      </c>
      <c r="I26" s="53" t="s">
        <v>198</v>
      </c>
      <c r="J26" s="120" t="s">
        <v>38</v>
      </c>
      <c r="K26" s="53" t="s">
        <v>161</v>
      </c>
      <c r="L26" s="53">
        <v>1</v>
      </c>
      <c r="N26" s="53">
        <v>1</v>
      </c>
      <c r="O26" s="34">
        <v>0.9</v>
      </c>
      <c r="P26" s="53">
        <v>0.75</v>
      </c>
      <c r="Q26" s="75">
        <f t="shared" si="0"/>
        <v>0.82499999999999996</v>
      </c>
      <c r="R26" s="53">
        <v>13.2</v>
      </c>
      <c r="S26" s="53">
        <v>131</v>
      </c>
      <c r="T26" s="16">
        <f t="shared" si="1"/>
        <v>25</v>
      </c>
      <c r="U26" s="53">
        <v>100</v>
      </c>
      <c r="V26" s="122">
        <f t="shared" si="2"/>
        <v>2500</v>
      </c>
      <c r="W26" s="53">
        <v>4</v>
      </c>
      <c r="X26" s="120" t="s">
        <v>39</v>
      </c>
      <c r="Y26" s="53" t="s">
        <v>78</v>
      </c>
      <c r="Z26" s="53" t="s">
        <v>102</v>
      </c>
      <c r="AA26" s="53" t="s">
        <v>69</v>
      </c>
      <c r="AB26" s="120" t="s">
        <v>261</v>
      </c>
      <c r="AC26" s="34"/>
      <c r="AD26" s="34"/>
      <c r="AE26" s="35"/>
      <c r="AP26" s="27" t="s">
        <v>117</v>
      </c>
      <c r="AR26" s="23" t="s">
        <v>153</v>
      </c>
    </row>
    <row r="27" spans="1:48" x14ac:dyDescent="0.15">
      <c r="A27" s="120" t="s">
        <v>61</v>
      </c>
      <c r="B27" s="120" t="s">
        <v>257</v>
      </c>
      <c r="C27" s="120">
        <v>2019</v>
      </c>
      <c r="D27" s="121" t="s">
        <v>258</v>
      </c>
      <c r="E27" s="120" t="s">
        <v>268</v>
      </c>
      <c r="F27" s="120" t="s">
        <v>269</v>
      </c>
      <c r="G27" s="120" t="s">
        <v>42</v>
      </c>
      <c r="H27" s="53" t="s">
        <v>164</v>
      </c>
      <c r="I27" s="53" t="s">
        <v>198</v>
      </c>
      <c r="J27" s="120" t="s">
        <v>38</v>
      </c>
      <c r="K27" s="53" t="s">
        <v>161</v>
      </c>
      <c r="L27" s="53">
        <v>2</v>
      </c>
      <c r="N27" s="53">
        <v>1</v>
      </c>
      <c r="O27" s="34">
        <v>0.8</v>
      </c>
      <c r="P27" s="53">
        <v>0.9</v>
      </c>
      <c r="Q27" s="75">
        <f t="shared" si="0"/>
        <v>0.85000000000000009</v>
      </c>
      <c r="R27" s="53">
        <v>14.3</v>
      </c>
      <c r="S27" s="53">
        <v>128</v>
      </c>
      <c r="T27" s="16">
        <f t="shared" si="1"/>
        <v>27</v>
      </c>
      <c r="U27" s="53">
        <v>100</v>
      </c>
      <c r="V27" s="122">
        <f t="shared" si="2"/>
        <v>2700</v>
      </c>
      <c r="W27" s="53">
        <v>4</v>
      </c>
      <c r="X27" s="120" t="s">
        <v>39</v>
      </c>
      <c r="Y27" s="53" t="s">
        <v>78</v>
      </c>
      <c r="Z27" s="53" t="s">
        <v>102</v>
      </c>
      <c r="AA27" s="53" t="s">
        <v>69</v>
      </c>
      <c r="AB27" s="120" t="s">
        <v>261</v>
      </c>
      <c r="AC27" s="34"/>
      <c r="AD27" s="34"/>
      <c r="AE27" s="28"/>
      <c r="AP27" s="27" t="s">
        <v>118</v>
      </c>
      <c r="AR27" s="23"/>
    </row>
    <row r="28" spans="1:48" x14ac:dyDescent="0.15">
      <c r="A28" s="120" t="s">
        <v>61</v>
      </c>
      <c r="B28" s="120" t="s">
        <v>257</v>
      </c>
      <c r="C28" s="120">
        <v>2019</v>
      </c>
      <c r="D28" s="121" t="s">
        <v>258</v>
      </c>
      <c r="E28" s="120" t="s">
        <v>268</v>
      </c>
      <c r="F28" s="120" t="s">
        <v>269</v>
      </c>
      <c r="G28" s="120" t="s">
        <v>42</v>
      </c>
      <c r="H28" s="53" t="s">
        <v>164</v>
      </c>
      <c r="I28" s="53" t="s">
        <v>198</v>
      </c>
      <c r="J28" s="120" t="s">
        <v>38</v>
      </c>
      <c r="K28" s="53" t="s">
        <v>161</v>
      </c>
      <c r="L28" s="53">
        <v>3</v>
      </c>
      <c r="N28" s="53">
        <v>1</v>
      </c>
      <c r="O28" s="34">
        <v>0.85</v>
      </c>
      <c r="P28" s="53">
        <v>0.8</v>
      </c>
      <c r="Q28" s="75">
        <f t="shared" si="0"/>
        <v>0.82499999999999996</v>
      </c>
      <c r="R28" s="53">
        <v>16.899999999999999</v>
      </c>
      <c r="S28" s="53">
        <v>134</v>
      </c>
      <c r="T28" s="16">
        <f t="shared" si="1"/>
        <v>25</v>
      </c>
      <c r="U28" s="53">
        <v>100</v>
      </c>
      <c r="V28" s="122">
        <f t="shared" si="2"/>
        <v>2500</v>
      </c>
      <c r="W28" s="53">
        <v>4</v>
      </c>
      <c r="X28" s="120" t="s">
        <v>39</v>
      </c>
      <c r="Y28" s="53" t="s">
        <v>78</v>
      </c>
      <c r="Z28" s="53" t="s">
        <v>102</v>
      </c>
      <c r="AA28" s="53" t="s">
        <v>69</v>
      </c>
      <c r="AB28" s="120" t="s">
        <v>261</v>
      </c>
      <c r="AC28" s="34"/>
      <c r="AD28" s="34"/>
      <c r="AP28" s="27"/>
      <c r="AR28" s="23"/>
    </row>
    <row r="29" spans="1:48" x14ac:dyDescent="0.15">
      <c r="A29" s="120" t="s">
        <v>61</v>
      </c>
      <c r="B29" s="120" t="s">
        <v>257</v>
      </c>
      <c r="C29" s="120">
        <v>2019</v>
      </c>
      <c r="D29" s="121" t="s">
        <v>258</v>
      </c>
      <c r="E29" s="120" t="s">
        <v>268</v>
      </c>
      <c r="F29" s="120" t="s">
        <v>269</v>
      </c>
      <c r="G29" s="120" t="s">
        <v>42</v>
      </c>
      <c r="H29" s="53" t="s">
        <v>160</v>
      </c>
      <c r="I29" s="53" t="s">
        <v>159</v>
      </c>
      <c r="J29" s="120" t="s">
        <v>38</v>
      </c>
      <c r="K29" s="53" t="s">
        <v>161</v>
      </c>
      <c r="L29" s="53">
        <v>1</v>
      </c>
      <c r="N29" s="53">
        <v>1</v>
      </c>
      <c r="O29" s="34">
        <v>0.5</v>
      </c>
      <c r="P29" s="53">
        <v>0.5</v>
      </c>
      <c r="Q29" s="75">
        <f t="shared" si="0"/>
        <v>0.5</v>
      </c>
      <c r="R29" s="53">
        <v>20</v>
      </c>
      <c r="S29" s="53">
        <v>131</v>
      </c>
      <c r="T29" s="16">
        <f t="shared" si="1"/>
        <v>25</v>
      </c>
      <c r="U29" s="53">
        <v>128</v>
      </c>
      <c r="V29" s="122">
        <f t="shared" si="2"/>
        <v>3200</v>
      </c>
      <c r="W29" s="53">
        <v>4</v>
      </c>
      <c r="X29" s="120" t="s">
        <v>39</v>
      </c>
      <c r="Y29" s="53" t="s">
        <v>78</v>
      </c>
      <c r="Z29" s="53" t="s">
        <v>102</v>
      </c>
      <c r="AA29" s="53" t="s">
        <v>69</v>
      </c>
      <c r="AB29" s="120" t="s">
        <v>261</v>
      </c>
      <c r="AC29" s="34"/>
    </row>
    <row r="30" spans="1:48" x14ac:dyDescent="0.15">
      <c r="A30" s="120" t="s">
        <v>61</v>
      </c>
      <c r="B30" s="120" t="s">
        <v>257</v>
      </c>
      <c r="C30" s="120">
        <v>2019</v>
      </c>
      <c r="D30" s="121" t="s">
        <v>258</v>
      </c>
      <c r="E30" s="120" t="s">
        <v>268</v>
      </c>
      <c r="F30" s="120" t="s">
        <v>269</v>
      </c>
      <c r="G30" s="120" t="s">
        <v>42</v>
      </c>
      <c r="H30" s="53" t="s">
        <v>160</v>
      </c>
      <c r="I30" s="53" t="s">
        <v>159</v>
      </c>
      <c r="J30" s="120" t="s">
        <v>38</v>
      </c>
      <c r="K30" s="53" t="s">
        <v>161</v>
      </c>
      <c r="L30" s="53">
        <v>2</v>
      </c>
      <c r="N30" s="53">
        <v>1</v>
      </c>
      <c r="O30" s="34">
        <v>0.5</v>
      </c>
      <c r="P30" s="53">
        <v>0.5</v>
      </c>
      <c r="Q30" s="75">
        <f t="shared" si="0"/>
        <v>0.5</v>
      </c>
      <c r="R30" s="53">
        <v>18.2</v>
      </c>
      <c r="S30" s="53">
        <v>138</v>
      </c>
      <c r="T30" s="16">
        <f t="shared" si="1"/>
        <v>22</v>
      </c>
      <c r="U30" s="53">
        <v>128</v>
      </c>
      <c r="V30" s="122">
        <f t="shared" si="2"/>
        <v>2816</v>
      </c>
      <c r="W30" s="53">
        <v>4</v>
      </c>
      <c r="X30" s="120" t="s">
        <v>39</v>
      </c>
      <c r="Y30" s="53" t="s">
        <v>78</v>
      </c>
      <c r="Z30" s="53" t="s">
        <v>102</v>
      </c>
      <c r="AA30" s="53" t="s">
        <v>69</v>
      </c>
      <c r="AB30" s="120" t="s">
        <v>261</v>
      </c>
      <c r="AC30" s="34"/>
    </row>
    <row r="31" spans="1:48" x14ac:dyDescent="0.15">
      <c r="A31" s="120" t="s">
        <v>61</v>
      </c>
      <c r="B31" s="120" t="s">
        <v>257</v>
      </c>
      <c r="C31" s="120">
        <v>2019</v>
      </c>
      <c r="D31" s="121" t="s">
        <v>258</v>
      </c>
      <c r="E31" s="120" t="s">
        <v>268</v>
      </c>
      <c r="F31" s="120" t="s">
        <v>269</v>
      </c>
      <c r="G31" s="120" t="s">
        <v>42</v>
      </c>
      <c r="H31" s="53" t="s">
        <v>160</v>
      </c>
      <c r="I31" s="53" t="s">
        <v>159</v>
      </c>
      <c r="J31" s="120" t="s">
        <v>38</v>
      </c>
      <c r="K31" s="53" t="s">
        <v>161</v>
      </c>
      <c r="L31" s="53">
        <v>3</v>
      </c>
      <c r="N31" s="53">
        <v>1</v>
      </c>
      <c r="O31" s="34">
        <v>0.5</v>
      </c>
      <c r="P31" s="53">
        <v>0.5</v>
      </c>
      <c r="Q31" s="75">
        <f t="shared" si="0"/>
        <v>0.5</v>
      </c>
      <c r="R31" s="53">
        <v>15.6</v>
      </c>
      <c r="S31" s="53">
        <v>138</v>
      </c>
      <c r="T31" s="16">
        <f t="shared" si="1"/>
        <v>22</v>
      </c>
      <c r="U31" s="53">
        <v>128</v>
      </c>
      <c r="V31" s="122">
        <f t="shared" si="2"/>
        <v>2816</v>
      </c>
      <c r="W31" s="53">
        <v>4</v>
      </c>
      <c r="X31" s="120" t="s">
        <v>39</v>
      </c>
      <c r="Y31" s="53" t="s">
        <v>78</v>
      </c>
      <c r="Z31" s="53" t="s">
        <v>102</v>
      </c>
      <c r="AA31" s="53" t="s">
        <v>69</v>
      </c>
      <c r="AB31" s="120" t="s">
        <v>261</v>
      </c>
      <c r="AC31" s="34"/>
    </row>
    <row r="32" spans="1:48" x14ac:dyDescent="0.15">
      <c r="A32" s="120" t="s">
        <v>61</v>
      </c>
      <c r="B32" s="120" t="s">
        <v>257</v>
      </c>
      <c r="C32" s="120">
        <v>2019</v>
      </c>
      <c r="D32" s="121" t="s">
        <v>258</v>
      </c>
      <c r="E32" s="120" t="s">
        <v>270</v>
      </c>
      <c r="F32" s="120" t="s">
        <v>271</v>
      </c>
      <c r="G32" s="120" t="s">
        <v>42</v>
      </c>
      <c r="H32" s="53" t="s">
        <v>164</v>
      </c>
      <c r="I32" s="53" t="s">
        <v>159</v>
      </c>
      <c r="J32" s="120" t="s">
        <v>38</v>
      </c>
      <c r="K32" s="53" t="s">
        <v>161</v>
      </c>
      <c r="L32" s="53">
        <v>1</v>
      </c>
      <c r="N32" s="53">
        <v>1</v>
      </c>
      <c r="O32" s="34">
        <v>0.75</v>
      </c>
      <c r="P32" s="53">
        <v>0.75</v>
      </c>
      <c r="Q32" s="75">
        <f t="shared" si="0"/>
        <v>0.75</v>
      </c>
      <c r="R32" s="53">
        <v>17.100000000000001</v>
      </c>
      <c r="S32" s="53">
        <v>113</v>
      </c>
      <c r="T32" s="16">
        <f t="shared" si="1"/>
        <v>30</v>
      </c>
      <c r="U32" s="53">
        <v>98</v>
      </c>
      <c r="V32" s="122">
        <f t="shared" si="2"/>
        <v>2940</v>
      </c>
      <c r="W32" s="53">
        <v>6</v>
      </c>
      <c r="X32" s="120" t="s">
        <v>46</v>
      </c>
      <c r="Y32" s="53" t="s">
        <v>69</v>
      </c>
      <c r="Z32" s="53" t="s">
        <v>47</v>
      </c>
      <c r="AA32" s="53" t="s">
        <v>102</v>
      </c>
      <c r="AB32" s="120" t="s">
        <v>261</v>
      </c>
      <c r="AC32" s="34"/>
    </row>
    <row r="33" spans="1:29" x14ac:dyDescent="0.15">
      <c r="A33" s="120" t="s">
        <v>61</v>
      </c>
      <c r="B33" s="120" t="s">
        <v>257</v>
      </c>
      <c r="C33" s="120">
        <v>2019</v>
      </c>
      <c r="D33" s="121" t="s">
        <v>258</v>
      </c>
      <c r="E33" s="120" t="s">
        <v>270</v>
      </c>
      <c r="F33" s="120" t="s">
        <v>271</v>
      </c>
      <c r="G33" s="120" t="s">
        <v>42</v>
      </c>
      <c r="H33" s="53" t="s">
        <v>164</v>
      </c>
      <c r="I33" s="53" t="s">
        <v>159</v>
      </c>
      <c r="J33" s="120" t="s">
        <v>38</v>
      </c>
      <c r="K33" s="53" t="s">
        <v>161</v>
      </c>
      <c r="L33" s="53">
        <v>2</v>
      </c>
      <c r="N33" s="53">
        <v>1</v>
      </c>
      <c r="O33" s="34">
        <v>0.5</v>
      </c>
      <c r="P33" s="53">
        <v>0.75</v>
      </c>
      <c r="Q33" s="75">
        <f t="shared" si="0"/>
        <v>0.625</v>
      </c>
      <c r="R33" s="53">
        <v>17.600000000000001</v>
      </c>
      <c r="S33" s="53">
        <v>94</v>
      </c>
      <c r="T33" s="16">
        <f t="shared" si="1"/>
        <v>36</v>
      </c>
      <c r="U33" s="53">
        <v>98</v>
      </c>
      <c r="V33" s="122">
        <f t="shared" si="2"/>
        <v>3528</v>
      </c>
      <c r="W33" s="53">
        <v>6</v>
      </c>
      <c r="X33" s="120" t="s">
        <v>46</v>
      </c>
      <c r="Y33" s="53" t="s">
        <v>69</v>
      </c>
      <c r="Z33" s="53" t="s">
        <v>47</v>
      </c>
      <c r="AA33" s="53" t="s">
        <v>102</v>
      </c>
      <c r="AB33" s="120" t="s">
        <v>261</v>
      </c>
      <c r="AC33" s="34"/>
    </row>
    <row r="34" spans="1:29" x14ac:dyDescent="0.15">
      <c r="A34" s="120" t="s">
        <v>61</v>
      </c>
      <c r="B34" s="120" t="s">
        <v>257</v>
      </c>
      <c r="C34" s="120">
        <v>2019</v>
      </c>
      <c r="D34" s="121" t="s">
        <v>258</v>
      </c>
      <c r="E34" s="120" t="s">
        <v>270</v>
      </c>
      <c r="F34" s="120" t="s">
        <v>271</v>
      </c>
      <c r="G34" s="120" t="s">
        <v>42</v>
      </c>
      <c r="H34" s="53" t="s">
        <v>164</v>
      </c>
      <c r="I34" s="53" t="s">
        <v>159</v>
      </c>
      <c r="J34" s="120" t="s">
        <v>38</v>
      </c>
      <c r="K34" s="53" t="s">
        <v>161</v>
      </c>
      <c r="L34" s="53">
        <v>3</v>
      </c>
      <c r="N34" s="53">
        <v>1</v>
      </c>
      <c r="O34" s="34">
        <v>0.75</v>
      </c>
      <c r="P34" s="53">
        <v>0.75</v>
      </c>
      <c r="Q34" s="75">
        <f t="shared" si="0"/>
        <v>0.75</v>
      </c>
      <c r="R34" s="53">
        <v>17.399999999999999</v>
      </c>
      <c r="S34" s="53">
        <v>110</v>
      </c>
      <c r="T34" s="16">
        <f t="shared" si="1"/>
        <v>33</v>
      </c>
      <c r="U34" s="53">
        <v>98</v>
      </c>
      <c r="V34" s="122">
        <f t="shared" si="2"/>
        <v>3234</v>
      </c>
      <c r="W34" s="53">
        <v>6</v>
      </c>
      <c r="X34" s="120" t="s">
        <v>46</v>
      </c>
      <c r="Y34" s="53" t="s">
        <v>69</v>
      </c>
      <c r="Z34" s="53" t="s">
        <v>47</v>
      </c>
      <c r="AA34" s="53" t="s">
        <v>102</v>
      </c>
      <c r="AB34" s="120" t="s">
        <v>261</v>
      </c>
      <c r="AC34" s="34"/>
    </row>
    <row r="35" spans="1:29" x14ac:dyDescent="0.15">
      <c r="A35" s="120" t="s">
        <v>61</v>
      </c>
      <c r="B35" s="120" t="s">
        <v>257</v>
      </c>
      <c r="C35" s="120">
        <v>2019</v>
      </c>
      <c r="D35" s="121" t="s">
        <v>258</v>
      </c>
      <c r="E35" s="120" t="s">
        <v>270</v>
      </c>
      <c r="F35" s="120" t="s">
        <v>271</v>
      </c>
      <c r="G35" s="120" t="s">
        <v>42</v>
      </c>
      <c r="H35" s="53" t="s">
        <v>160</v>
      </c>
      <c r="I35" s="53" t="s">
        <v>159</v>
      </c>
      <c r="J35" s="120" t="s">
        <v>38</v>
      </c>
      <c r="K35" s="53" t="s">
        <v>161</v>
      </c>
      <c r="L35" s="53">
        <v>1</v>
      </c>
      <c r="N35" s="53">
        <v>1</v>
      </c>
      <c r="O35" s="34">
        <v>0.75</v>
      </c>
      <c r="P35" s="53">
        <v>0.9</v>
      </c>
      <c r="Q35" s="75">
        <f t="shared" si="0"/>
        <v>0.82499999999999996</v>
      </c>
      <c r="R35" s="53">
        <v>17.7</v>
      </c>
      <c r="S35" s="53">
        <v>112</v>
      </c>
      <c r="T35" s="16">
        <f t="shared" si="1"/>
        <v>33</v>
      </c>
      <c r="U35" s="53">
        <v>98</v>
      </c>
      <c r="V35" s="122">
        <f t="shared" si="2"/>
        <v>3234</v>
      </c>
      <c r="W35" s="53">
        <v>6</v>
      </c>
      <c r="X35" s="120" t="s">
        <v>46</v>
      </c>
      <c r="Y35" s="53" t="s">
        <v>69</v>
      </c>
      <c r="Z35" s="53" t="s">
        <v>47</v>
      </c>
      <c r="AA35" s="53" t="s">
        <v>102</v>
      </c>
      <c r="AB35" s="120" t="s">
        <v>261</v>
      </c>
      <c r="AC35" s="34"/>
    </row>
    <row r="36" spans="1:29" x14ac:dyDescent="0.15">
      <c r="A36" s="120" t="s">
        <v>61</v>
      </c>
      <c r="B36" s="120" t="s">
        <v>257</v>
      </c>
      <c r="C36" s="120">
        <v>2019</v>
      </c>
      <c r="D36" s="121" t="s">
        <v>258</v>
      </c>
      <c r="E36" s="120" t="s">
        <v>270</v>
      </c>
      <c r="F36" s="120" t="s">
        <v>271</v>
      </c>
      <c r="G36" s="120" t="s">
        <v>42</v>
      </c>
      <c r="H36" s="53" t="s">
        <v>160</v>
      </c>
      <c r="I36" s="53" t="s">
        <v>159</v>
      </c>
      <c r="J36" s="120" t="s">
        <v>38</v>
      </c>
      <c r="K36" s="53" t="s">
        <v>161</v>
      </c>
      <c r="L36" s="53">
        <v>2</v>
      </c>
      <c r="N36" s="53">
        <v>1</v>
      </c>
      <c r="O36" s="34">
        <v>0.75</v>
      </c>
      <c r="P36" s="53">
        <v>0.9</v>
      </c>
      <c r="Q36" s="75">
        <f t="shared" si="0"/>
        <v>0.82499999999999996</v>
      </c>
      <c r="R36" s="53">
        <v>19.2</v>
      </c>
      <c r="S36" s="53">
        <v>112</v>
      </c>
      <c r="T36" s="16">
        <f t="shared" si="1"/>
        <v>33</v>
      </c>
      <c r="U36" s="53">
        <v>98</v>
      </c>
      <c r="V36" s="122">
        <f t="shared" si="2"/>
        <v>3234</v>
      </c>
      <c r="W36" s="53">
        <v>6</v>
      </c>
      <c r="X36" s="120" t="s">
        <v>46</v>
      </c>
      <c r="Y36" s="53" t="s">
        <v>69</v>
      </c>
      <c r="Z36" s="53" t="s">
        <v>47</v>
      </c>
      <c r="AA36" s="53" t="s">
        <v>102</v>
      </c>
      <c r="AB36" s="120" t="s">
        <v>261</v>
      </c>
      <c r="AC36" s="34"/>
    </row>
    <row r="37" spans="1:29" x14ac:dyDescent="0.15">
      <c r="A37" s="120" t="s">
        <v>61</v>
      </c>
      <c r="B37" s="120" t="s">
        <v>257</v>
      </c>
      <c r="C37" s="120">
        <v>2019</v>
      </c>
      <c r="D37" s="121" t="s">
        <v>258</v>
      </c>
      <c r="E37" s="120" t="s">
        <v>270</v>
      </c>
      <c r="F37" s="120" t="s">
        <v>271</v>
      </c>
      <c r="G37" s="120" t="s">
        <v>42</v>
      </c>
      <c r="H37" s="53" t="s">
        <v>160</v>
      </c>
      <c r="I37" s="53" t="s">
        <v>159</v>
      </c>
      <c r="J37" s="120" t="s">
        <v>38</v>
      </c>
      <c r="K37" s="53" t="s">
        <v>161</v>
      </c>
      <c r="L37" s="53">
        <v>3</v>
      </c>
      <c r="N37" s="53">
        <v>1</v>
      </c>
      <c r="O37" s="53">
        <v>0.75</v>
      </c>
      <c r="P37" s="53">
        <v>0.75</v>
      </c>
      <c r="Q37" s="75">
        <f t="shared" si="0"/>
        <v>0.75</v>
      </c>
      <c r="R37" s="53">
        <v>18.399999999999999</v>
      </c>
      <c r="S37" s="53">
        <v>106</v>
      </c>
      <c r="T37" s="16">
        <f t="shared" si="1"/>
        <v>33</v>
      </c>
      <c r="U37" s="53">
        <v>98</v>
      </c>
      <c r="V37" s="122">
        <f t="shared" si="2"/>
        <v>3234</v>
      </c>
      <c r="W37" s="53">
        <v>6</v>
      </c>
      <c r="X37" s="120" t="s">
        <v>46</v>
      </c>
      <c r="Y37" s="53" t="s">
        <v>69</v>
      </c>
      <c r="Z37" s="53" t="s">
        <v>47</v>
      </c>
      <c r="AA37" s="53" t="s">
        <v>102</v>
      </c>
      <c r="AB37" s="120" t="s">
        <v>261</v>
      </c>
      <c r="AC37" s="34"/>
    </row>
    <row r="38" spans="1:29" x14ac:dyDescent="0.15">
      <c r="A38" s="120" t="s">
        <v>61</v>
      </c>
      <c r="B38" s="120" t="s">
        <v>257</v>
      </c>
      <c r="C38" s="120">
        <v>2019</v>
      </c>
      <c r="D38" s="121" t="s">
        <v>258</v>
      </c>
      <c r="E38" s="120" t="s">
        <v>272</v>
      </c>
      <c r="F38" s="120" t="s">
        <v>273</v>
      </c>
      <c r="G38" s="120" t="s">
        <v>42</v>
      </c>
      <c r="H38" s="53" t="s">
        <v>164</v>
      </c>
      <c r="I38" s="53" t="s">
        <v>159</v>
      </c>
      <c r="J38" s="120" t="s">
        <v>38</v>
      </c>
      <c r="K38" s="53" t="s">
        <v>161</v>
      </c>
      <c r="L38" s="53">
        <v>1</v>
      </c>
      <c r="N38" s="53">
        <v>1</v>
      </c>
      <c r="O38" s="34">
        <v>0.85</v>
      </c>
      <c r="P38" s="53">
        <v>0.9</v>
      </c>
      <c r="Q38" s="75">
        <f t="shared" si="0"/>
        <v>0.875</v>
      </c>
      <c r="R38" s="53">
        <v>17.8</v>
      </c>
      <c r="S38" s="53">
        <v>137</v>
      </c>
      <c r="T38" s="16">
        <f t="shared" si="1"/>
        <v>25</v>
      </c>
      <c r="U38" s="53">
        <v>138</v>
      </c>
      <c r="V38" s="122">
        <f t="shared" si="2"/>
        <v>3450</v>
      </c>
      <c r="W38" s="53">
        <v>6</v>
      </c>
      <c r="X38" s="120" t="s">
        <v>39</v>
      </c>
      <c r="Y38" s="53" t="s">
        <v>102</v>
      </c>
      <c r="Z38" s="53" t="s">
        <v>69</v>
      </c>
      <c r="AA38" s="53" t="s">
        <v>47</v>
      </c>
      <c r="AB38" s="120" t="s">
        <v>261</v>
      </c>
    </row>
    <row r="39" spans="1:29" x14ac:dyDescent="0.15">
      <c r="A39" s="120" t="s">
        <v>61</v>
      </c>
      <c r="B39" s="120" t="s">
        <v>257</v>
      </c>
      <c r="C39" s="120">
        <v>2020</v>
      </c>
      <c r="D39" s="121" t="s">
        <v>258</v>
      </c>
      <c r="E39" s="120" t="s">
        <v>272</v>
      </c>
      <c r="F39" s="120" t="s">
        <v>273</v>
      </c>
      <c r="G39" s="120" t="s">
        <v>42</v>
      </c>
      <c r="H39" s="53" t="s">
        <v>164</v>
      </c>
      <c r="I39" s="53" t="s">
        <v>159</v>
      </c>
      <c r="J39" s="120" t="s">
        <v>38</v>
      </c>
      <c r="K39" s="53" t="s">
        <v>161</v>
      </c>
      <c r="L39" s="53">
        <v>2</v>
      </c>
      <c r="N39" s="53">
        <v>1</v>
      </c>
      <c r="O39" s="34">
        <v>1</v>
      </c>
      <c r="P39" s="53">
        <v>0.95</v>
      </c>
      <c r="Q39" s="75">
        <f t="shared" si="0"/>
        <v>0.97499999999999998</v>
      </c>
      <c r="R39" s="53">
        <v>17.8</v>
      </c>
      <c r="S39" s="53">
        <v>136</v>
      </c>
      <c r="T39" s="16">
        <f t="shared" si="1"/>
        <v>25</v>
      </c>
      <c r="U39" s="53">
        <v>138</v>
      </c>
      <c r="V39" s="122">
        <f t="shared" si="2"/>
        <v>3450</v>
      </c>
      <c r="W39" s="53">
        <v>6</v>
      </c>
      <c r="X39" s="120" t="s">
        <v>39</v>
      </c>
      <c r="Y39" s="53" t="s">
        <v>102</v>
      </c>
      <c r="Z39" s="53" t="s">
        <v>69</v>
      </c>
      <c r="AA39" s="53" t="s">
        <v>47</v>
      </c>
      <c r="AB39" s="120" t="s">
        <v>261</v>
      </c>
    </row>
    <row r="40" spans="1:29" x14ac:dyDescent="0.15">
      <c r="A40" s="120" t="s">
        <v>61</v>
      </c>
      <c r="B40" s="120" t="s">
        <v>257</v>
      </c>
      <c r="C40" s="120">
        <v>2021</v>
      </c>
      <c r="D40" s="121" t="s">
        <v>258</v>
      </c>
      <c r="E40" s="120" t="s">
        <v>272</v>
      </c>
      <c r="F40" s="120" t="s">
        <v>273</v>
      </c>
      <c r="G40" s="120" t="s">
        <v>42</v>
      </c>
      <c r="H40" s="53" t="s">
        <v>164</v>
      </c>
      <c r="I40" s="53" t="s">
        <v>159</v>
      </c>
      <c r="J40" s="120" t="s">
        <v>38</v>
      </c>
      <c r="K40" s="53" t="s">
        <v>161</v>
      </c>
      <c r="L40" s="53">
        <v>3</v>
      </c>
      <c r="N40" s="53">
        <v>1</v>
      </c>
      <c r="O40" s="34">
        <v>0.95</v>
      </c>
      <c r="P40" s="53">
        <v>0.95</v>
      </c>
      <c r="Q40" s="75">
        <f t="shared" si="0"/>
        <v>0.95</v>
      </c>
      <c r="R40" s="53">
        <v>18.399999999999999</v>
      </c>
      <c r="S40" s="53">
        <v>132</v>
      </c>
      <c r="T40" s="16">
        <f t="shared" si="1"/>
        <v>25</v>
      </c>
      <c r="U40" s="53">
        <v>138</v>
      </c>
      <c r="V40" s="122">
        <f t="shared" si="2"/>
        <v>3450</v>
      </c>
      <c r="W40" s="53">
        <v>6</v>
      </c>
      <c r="X40" s="120" t="s">
        <v>39</v>
      </c>
      <c r="Y40" s="53" t="s">
        <v>102</v>
      </c>
      <c r="Z40" s="53" t="s">
        <v>69</v>
      </c>
      <c r="AA40" s="53" t="s">
        <v>47</v>
      </c>
      <c r="AB40" s="120" t="s">
        <v>261</v>
      </c>
    </row>
    <row r="41" spans="1:29" x14ac:dyDescent="0.15">
      <c r="A41" s="120" t="s">
        <v>61</v>
      </c>
      <c r="B41" s="120" t="s">
        <v>257</v>
      </c>
      <c r="C41" s="120">
        <v>2022</v>
      </c>
      <c r="D41" s="121" t="s">
        <v>258</v>
      </c>
      <c r="E41" s="120" t="s">
        <v>272</v>
      </c>
      <c r="F41" s="120" t="s">
        <v>273</v>
      </c>
      <c r="G41" s="120" t="s">
        <v>42</v>
      </c>
      <c r="H41" s="53" t="s">
        <v>160</v>
      </c>
      <c r="I41" s="53" t="s">
        <v>159</v>
      </c>
      <c r="J41" s="120" t="s">
        <v>38</v>
      </c>
      <c r="K41" s="53" t="s">
        <v>161</v>
      </c>
      <c r="L41" s="53">
        <v>1</v>
      </c>
      <c r="N41" s="53">
        <v>1</v>
      </c>
      <c r="O41" s="34">
        <v>0.5</v>
      </c>
      <c r="P41" s="53">
        <v>0.5</v>
      </c>
      <c r="Q41" s="75">
        <f t="shared" si="0"/>
        <v>0.5</v>
      </c>
      <c r="R41" s="53">
        <v>19.3</v>
      </c>
      <c r="S41" s="53">
        <v>139</v>
      </c>
      <c r="T41" s="16">
        <f t="shared" si="1"/>
        <v>22</v>
      </c>
      <c r="U41" s="53">
        <v>138</v>
      </c>
      <c r="V41" s="122">
        <f t="shared" si="2"/>
        <v>3036</v>
      </c>
      <c r="W41" s="53">
        <v>6</v>
      </c>
      <c r="X41" s="120" t="s">
        <v>39</v>
      </c>
      <c r="Y41" s="53" t="s">
        <v>102</v>
      </c>
      <c r="Z41" s="53" t="s">
        <v>69</v>
      </c>
      <c r="AA41" s="53" t="s">
        <v>47</v>
      </c>
      <c r="AB41" s="120" t="s">
        <v>261</v>
      </c>
      <c r="AC41" s="34"/>
    </row>
    <row r="42" spans="1:29" x14ac:dyDescent="0.15">
      <c r="A42" s="120" t="s">
        <v>61</v>
      </c>
      <c r="B42" s="120" t="s">
        <v>257</v>
      </c>
      <c r="C42" s="120">
        <v>2023</v>
      </c>
      <c r="D42" s="121" t="s">
        <v>258</v>
      </c>
      <c r="E42" s="120" t="s">
        <v>272</v>
      </c>
      <c r="F42" s="120" t="s">
        <v>273</v>
      </c>
      <c r="G42" s="120" t="s">
        <v>42</v>
      </c>
      <c r="H42" s="53" t="s">
        <v>160</v>
      </c>
      <c r="I42" s="53" t="s">
        <v>159</v>
      </c>
      <c r="J42" s="120" t="s">
        <v>38</v>
      </c>
      <c r="K42" s="53" t="s">
        <v>161</v>
      </c>
      <c r="L42" s="53">
        <v>2</v>
      </c>
      <c r="N42" s="53">
        <v>1</v>
      </c>
      <c r="O42" s="34">
        <v>0.5</v>
      </c>
      <c r="P42" s="53">
        <v>0.65</v>
      </c>
      <c r="Q42" s="75">
        <f t="shared" si="0"/>
        <v>0.57499999999999996</v>
      </c>
      <c r="R42" s="53">
        <v>20</v>
      </c>
      <c r="S42" s="53">
        <v>142</v>
      </c>
      <c r="T42" s="16">
        <f t="shared" si="1"/>
        <v>22</v>
      </c>
      <c r="U42" s="53">
        <v>138</v>
      </c>
      <c r="V42" s="122">
        <f t="shared" si="2"/>
        <v>3036</v>
      </c>
      <c r="W42" s="53">
        <v>6</v>
      </c>
      <c r="X42" s="120" t="s">
        <v>39</v>
      </c>
      <c r="Y42" s="53" t="s">
        <v>102</v>
      </c>
      <c r="Z42" s="53" t="s">
        <v>69</v>
      </c>
      <c r="AA42" s="53" t="s">
        <v>47</v>
      </c>
      <c r="AB42" s="120" t="s">
        <v>261</v>
      </c>
      <c r="AC42" s="34"/>
    </row>
    <row r="43" spans="1:29" x14ac:dyDescent="0.15">
      <c r="A43" s="120" t="s">
        <v>61</v>
      </c>
      <c r="B43" s="120" t="s">
        <v>257</v>
      </c>
      <c r="C43" s="120">
        <v>2024</v>
      </c>
      <c r="D43" s="121" t="s">
        <v>258</v>
      </c>
      <c r="E43" s="120" t="s">
        <v>272</v>
      </c>
      <c r="F43" s="120" t="s">
        <v>273</v>
      </c>
      <c r="G43" s="120" t="s">
        <v>42</v>
      </c>
      <c r="H43" s="53" t="s">
        <v>160</v>
      </c>
      <c r="I43" s="53" t="s">
        <v>159</v>
      </c>
      <c r="J43" s="120" t="s">
        <v>38</v>
      </c>
      <c r="K43" s="53" t="s">
        <v>161</v>
      </c>
      <c r="L43" s="53">
        <v>3</v>
      </c>
      <c r="N43" s="53">
        <v>1</v>
      </c>
      <c r="O43" s="34">
        <v>0.5</v>
      </c>
      <c r="P43" s="53">
        <v>0.5</v>
      </c>
      <c r="Q43" s="75">
        <f t="shared" si="0"/>
        <v>0.5</v>
      </c>
      <c r="R43" s="34">
        <v>18.600000000000001</v>
      </c>
      <c r="S43" s="53">
        <v>136</v>
      </c>
      <c r="T43" s="16">
        <f t="shared" si="1"/>
        <v>25</v>
      </c>
      <c r="U43" s="53">
        <v>138</v>
      </c>
      <c r="V43" s="122">
        <f t="shared" si="2"/>
        <v>3450</v>
      </c>
      <c r="W43" s="53">
        <v>6</v>
      </c>
      <c r="X43" s="120" t="s">
        <v>39</v>
      </c>
      <c r="Y43" s="53" t="s">
        <v>102</v>
      </c>
      <c r="Z43" s="53" t="s">
        <v>69</v>
      </c>
      <c r="AA43" s="53" t="s">
        <v>47</v>
      </c>
      <c r="AB43" s="120" t="s">
        <v>261</v>
      </c>
      <c r="AC43" s="34"/>
    </row>
    <row r="44" spans="1:29" x14ac:dyDescent="0.15">
      <c r="A44" s="120" t="s">
        <v>61</v>
      </c>
      <c r="B44" s="120" t="s">
        <v>257</v>
      </c>
      <c r="C44" s="120">
        <v>2019</v>
      </c>
      <c r="D44" s="121" t="s">
        <v>258</v>
      </c>
      <c r="E44" s="120" t="s">
        <v>133</v>
      </c>
      <c r="F44" s="120" t="s">
        <v>274</v>
      </c>
      <c r="G44" s="120" t="s">
        <v>42</v>
      </c>
      <c r="H44" s="53" t="s">
        <v>164</v>
      </c>
      <c r="I44" s="53" t="s">
        <v>159</v>
      </c>
      <c r="J44" s="120" t="s">
        <v>38</v>
      </c>
      <c r="K44" s="53" t="s">
        <v>161</v>
      </c>
      <c r="L44" s="53">
        <v>1</v>
      </c>
      <c r="N44" s="53">
        <v>1</v>
      </c>
      <c r="O44" s="53">
        <v>0.9</v>
      </c>
      <c r="P44" s="53">
        <v>0.8</v>
      </c>
      <c r="Q44" s="75">
        <f t="shared" si="0"/>
        <v>0.85000000000000009</v>
      </c>
      <c r="R44" s="53">
        <v>17.5</v>
      </c>
      <c r="S44" s="53">
        <v>122</v>
      </c>
      <c r="T44" s="16">
        <f t="shared" si="1"/>
        <v>27</v>
      </c>
      <c r="U44" s="53">
        <v>98</v>
      </c>
      <c r="V44" s="122">
        <f t="shared" si="2"/>
        <v>2646</v>
      </c>
      <c r="W44" s="53">
        <v>12</v>
      </c>
      <c r="X44" s="120" t="s">
        <v>46</v>
      </c>
      <c r="Y44" s="53" t="s">
        <v>78</v>
      </c>
      <c r="Z44" s="53" t="s">
        <v>102</v>
      </c>
      <c r="AA44" s="53" t="s">
        <v>69</v>
      </c>
      <c r="AB44" s="120" t="s">
        <v>261</v>
      </c>
      <c r="AC44" s="34"/>
    </row>
    <row r="45" spans="1:29" x14ac:dyDescent="0.15">
      <c r="A45" s="120" t="s">
        <v>61</v>
      </c>
      <c r="B45" s="120" t="s">
        <v>257</v>
      </c>
      <c r="C45" s="120">
        <v>2019</v>
      </c>
      <c r="D45" s="121" t="s">
        <v>258</v>
      </c>
      <c r="E45" s="120" t="s">
        <v>133</v>
      </c>
      <c r="F45" s="120" t="s">
        <v>274</v>
      </c>
      <c r="G45" s="120" t="s">
        <v>42</v>
      </c>
      <c r="H45" s="53" t="s">
        <v>164</v>
      </c>
      <c r="I45" s="53" t="s">
        <v>159</v>
      </c>
      <c r="J45" s="120" t="s">
        <v>38</v>
      </c>
      <c r="K45" s="53" t="s">
        <v>161</v>
      </c>
      <c r="L45" s="53">
        <v>2</v>
      </c>
      <c r="N45" s="53">
        <v>1</v>
      </c>
      <c r="O45" s="53">
        <v>0.75</v>
      </c>
      <c r="P45" s="53">
        <v>0.7</v>
      </c>
      <c r="Q45" s="75">
        <f t="shared" si="0"/>
        <v>0.72499999999999998</v>
      </c>
      <c r="R45" s="53">
        <v>17.7</v>
      </c>
      <c r="S45" s="53">
        <v>120</v>
      </c>
      <c r="T45" s="16">
        <f t="shared" si="1"/>
        <v>30</v>
      </c>
      <c r="U45" s="53">
        <v>98</v>
      </c>
      <c r="V45" s="122">
        <f t="shared" si="2"/>
        <v>2940</v>
      </c>
      <c r="W45" s="53">
        <v>12</v>
      </c>
      <c r="X45" s="120" t="s">
        <v>46</v>
      </c>
      <c r="Y45" s="53" t="s">
        <v>78</v>
      </c>
      <c r="Z45" s="53" t="s">
        <v>102</v>
      </c>
      <c r="AA45" s="53" t="s">
        <v>69</v>
      </c>
      <c r="AB45" s="120" t="s">
        <v>261</v>
      </c>
      <c r="AC45" s="34"/>
    </row>
    <row r="46" spans="1:29" x14ac:dyDescent="0.15">
      <c r="A46" s="120" t="s">
        <v>61</v>
      </c>
      <c r="B46" s="120" t="s">
        <v>257</v>
      </c>
      <c r="C46" s="120">
        <v>2019</v>
      </c>
      <c r="D46" s="121" t="s">
        <v>258</v>
      </c>
      <c r="E46" s="120" t="s">
        <v>133</v>
      </c>
      <c r="F46" s="120" t="s">
        <v>274</v>
      </c>
      <c r="G46" s="120" t="s">
        <v>42</v>
      </c>
      <c r="H46" s="53" t="s">
        <v>164</v>
      </c>
      <c r="I46" s="53" t="s">
        <v>159</v>
      </c>
      <c r="J46" s="120" t="s">
        <v>38</v>
      </c>
      <c r="K46" s="53" t="s">
        <v>161</v>
      </c>
      <c r="L46" s="53">
        <v>3</v>
      </c>
      <c r="N46" s="53">
        <v>1</v>
      </c>
      <c r="O46" s="53">
        <v>0.75</v>
      </c>
      <c r="P46" s="53">
        <v>0.7</v>
      </c>
      <c r="Q46" s="75">
        <f t="shared" si="0"/>
        <v>0.72499999999999998</v>
      </c>
      <c r="R46" s="53">
        <v>17.100000000000001</v>
      </c>
      <c r="S46" s="53">
        <v>119</v>
      </c>
      <c r="T46" s="16">
        <f t="shared" si="1"/>
        <v>30</v>
      </c>
      <c r="U46" s="53">
        <v>98</v>
      </c>
      <c r="V46" s="122">
        <f t="shared" si="2"/>
        <v>2940</v>
      </c>
      <c r="W46" s="53">
        <v>12</v>
      </c>
      <c r="X46" s="120" t="s">
        <v>46</v>
      </c>
      <c r="Y46" s="53" t="s">
        <v>78</v>
      </c>
      <c r="Z46" s="53" t="s">
        <v>102</v>
      </c>
      <c r="AA46" s="53" t="s">
        <v>69</v>
      </c>
      <c r="AB46" s="120" t="s">
        <v>261</v>
      </c>
      <c r="AC46" s="34"/>
    </row>
    <row r="47" spans="1:29" x14ac:dyDescent="0.15">
      <c r="A47" s="120" t="s">
        <v>61</v>
      </c>
      <c r="B47" s="120" t="s">
        <v>257</v>
      </c>
      <c r="C47" s="120">
        <v>2019</v>
      </c>
      <c r="D47" s="121" t="s">
        <v>258</v>
      </c>
      <c r="E47" s="120" t="s">
        <v>133</v>
      </c>
      <c r="F47" s="120" t="s">
        <v>274</v>
      </c>
      <c r="G47" s="120" t="s">
        <v>42</v>
      </c>
      <c r="H47" s="53" t="s">
        <v>160</v>
      </c>
      <c r="I47" s="53" t="s">
        <v>159</v>
      </c>
      <c r="J47" s="120" t="s">
        <v>38</v>
      </c>
      <c r="K47" s="53" t="s">
        <v>161</v>
      </c>
      <c r="L47" s="53">
        <v>1</v>
      </c>
      <c r="N47" s="53">
        <v>1</v>
      </c>
      <c r="O47" s="53">
        <v>0.5</v>
      </c>
      <c r="P47" s="53">
        <v>0.5</v>
      </c>
      <c r="Q47" s="75">
        <f t="shared" si="0"/>
        <v>0.5</v>
      </c>
      <c r="R47" s="53">
        <v>18.5</v>
      </c>
      <c r="S47" s="53">
        <v>138</v>
      </c>
      <c r="T47" s="16">
        <f t="shared" si="1"/>
        <v>22</v>
      </c>
      <c r="U47" s="53">
        <v>148</v>
      </c>
      <c r="V47" s="122">
        <f t="shared" si="2"/>
        <v>3256</v>
      </c>
      <c r="W47" s="53">
        <v>12</v>
      </c>
      <c r="X47" s="120" t="s">
        <v>46</v>
      </c>
      <c r="Y47" s="53" t="s">
        <v>78</v>
      </c>
      <c r="Z47" s="53" t="s">
        <v>102</v>
      </c>
      <c r="AA47" s="53" t="s">
        <v>69</v>
      </c>
      <c r="AB47" s="120" t="s">
        <v>261</v>
      </c>
      <c r="AC47" s="34"/>
    </row>
    <row r="48" spans="1:29" x14ac:dyDescent="0.15">
      <c r="A48" s="120" t="s">
        <v>61</v>
      </c>
      <c r="B48" s="120" t="s">
        <v>257</v>
      </c>
      <c r="C48" s="120">
        <v>2019</v>
      </c>
      <c r="D48" s="121" t="s">
        <v>258</v>
      </c>
      <c r="E48" s="120" t="s">
        <v>133</v>
      </c>
      <c r="F48" s="120" t="s">
        <v>274</v>
      </c>
      <c r="G48" s="120" t="s">
        <v>42</v>
      </c>
      <c r="H48" s="53" t="s">
        <v>160</v>
      </c>
      <c r="I48" s="53" t="s">
        <v>159</v>
      </c>
      <c r="J48" s="120" t="s">
        <v>38</v>
      </c>
      <c r="K48" s="53" t="s">
        <v>161</v>
      </c>
      <c r="L48" s="53">
        <v>2</v>
      </c>
      <c r="N48" s="53">
        <v>1</v>
      </c>
      <c r="O48" s="53">
        <v>0.5</v>
      </c>
      <c r="P48" s="53">
        <v>0.5</v>
      </c>
      <c r="Q48" s="75">
        <f t="shared" si="0"/>
        <v>0.5</v>
      </c>
      <c r="R48" s="53">
        <v>19</v>
      </c>
      <c r="S48" s="53">
        <v>138</v>
      </c>
      <c r="T48" s="16">
        <f t="shared" si="1"/>
        <v>22</v>
      </c>
      <c r="U48" s="53">
        <v>148</v>
      </c>
      <c r="V48" s="122">
        <f t="shared" si="2"/>
        <v>3256</v>
      </c>
      <c r="W48" s="53">
        <v>12</v>
      </c>
      <c r="X48" s="120" t="s">
        <v>46</v>
      </c>
      <c r="Y48" s="53" t="s">
        <v>78</v>
      </c>
      <c r="Z48" s="53" t="s">
        <v>102</v>
      </c>
      <c r="AA48" s="53" t="s">
        <v>69</v>
      </c>
      <c r="AB48" s="120" t="s">
        <v>261</v>
      </c>
      <c r="AC48" s="34"/>
    </row>
    <row r="49" spans="1:29" x14ac:dyDescent="0.15">
      <c r="A49" s="120" t="s">
        <v>61</v>
      </c>
      <c r="B49" s="120" t="s">
        <v>257</v>
      </c>
      <c r="C49" s="120">
        <v>2019</v>
      </c>
      <c r="D49" s="121" t="s">
        <v>258</v>
      </c>
      <c r="E49" s="120" t="s">
        <v>133</v>
      </c>
      <c r="F49" s="120" t="s">
        <v>274</v>
      </c>
      <c r="G49" s="120" t="s">
        <v>42</v>
      </c>
      <c r="H49" s="53" t="s">
        <v>160</v>
      </c>
      <c r="I49" s="53" t="s">
        <v>159</v>
      </c>
      <c r="J49" s="120" t="s">
        <v>38</v>
      </c>
      <c r="K49" s="53" t="s">
        <v>161</v>
      </c>
      <c r="L49" s="53">
        <v>3</v>
      </c>
      <c r="N49" s="53">
        <v>1</v>
      </c>
      <c r="O49" s="53">
        <v>0.9</v>
      </c>
      <c r="P49" s="53">
        <v>0.8</v>
      </c>
      <c r="Q49" s="75">
        <f t="shared" si="0"/>
        <v>0.85000000000000009</v>
      </c>
      <c r="R49" s="53">
        <v>18.5</v>
      </c>
      <c r="S49" s="53">
        <v>137</v>
      </c>
      <c r="T49" s="16">
        <f t="shared" si="1"/>
        <v>25</v>
      </c>
      <c r="U49" s="53">
        <v>148</v>
      </c>
      <c r="V49" s="122">
        <f t="shared" si="2"/>
        <v>3700</v>
      </c>
      <c r="W49" s="53">
        <v>12</v>
      </c>
      <c r="X49" s="120" t="s">
        <v>46</v>
      </c>
      <c r="Y49" s="53" t="s">
        <v>78</v>
      </c>
      <c r="Z49" s="53" t="s">
        <v>102</v>
      </c>
      <c r="AA49" s="53" t="s">
        <v>69</v>
      </c>
      <c r="AB49" s="120" t="s">
        <v>261</v>
      </c>
      <c r="AC49" s="34"/>
    </row>
    <row r="50" spans="1:29" x14ac:dyDescent="0.15">
      <c r="A50" s="120" t="s">
        <v>61</v>
      </c>
      <c r="B50" s="120" t="s">
        <v>257</v>
      </c>
      <c r="C50" s="120">
        <v>2019</v>
      </c>
      <c r="D50" s="121" t="s">
        <v>258</v>
      </c>
      <c r="E50" s="120" t="s">
        <v>275</v>
      </c>
      <c r="F50" s="120" t="s">
        <v>276</v>
      </c>
      <c r="G50" s="120" t="s">
        <v>42</v>
      </c>
      <c r="H50" s="53" t="s">
        <v>164</v>
      </c>
      <c r="I50" s="53" t="s">
        <v>159</v>
      </c>
      <c r="J50" s="120" t="s">
        <v>38</v>
      </c>
      <c r="K50" s="53" t="s">
        <v>161</v>
      </c>
      <c r="L50" s="53">
        <v>1</v>
      </c>
      <c r="N50" s="53">
        <v>1</v>
      </c>
      <c r="O50" s="53">
        <v>0.9</v>
      </c>
      <c r="P50" s="53">
        <v>1.05</v>
      </c>
      <c r="Q50" s="75">
        <f t="shared" si="0"/>
        <v>0.97500000000000009</v>
      </c>
      <c r="R50" s="53">
        <v>17</v>
      </c>
      <c r="S50" s="53">
        <v>141</v>
      </c>
      <c r="T50" s="16">
        <f t="shared" si="1"/>
        <v>22</v>
      </c>
      <c r="U50" s="53">
        <v>98</v>
      </c>
      <c r="V50" s="122">
        <f t="shared" si="2"/>
        <v>2156</v>
      </c>
      <c r="W50" s="53">
        <v>12</v>
      </c>
      <c r="X50" s="120" t="s">
        <v>46</v>
      </c>
      <c r="Y50" s="53" t="s">
        <v>78</v>
      </c>
      <c r="Z50" s="53" t="s">
        <v>102</v>
      </c>
      <c r="AA50" s="53" t="s">
        <v>97</v>
      </c>
      <c r="AB50" s="120" t="s">
        <v>261</v>
      </c>
      <c r="AC50" s="34"/>
    </row>
    <row r="51" spans="1:29" x14ac:dyDescent="0.15">
      <c r="A51" s="120" t="s">
        <v>61</v>
      </c>
      <c r="B51" s="120" t="s">
        <v>257</v>
      </c>
      <c r="C51" s="120">
        <v>2019</v>
      </c>
      <c r="D51" s="121" t="s">
        <v>258</v>
      </c>
      <c r="E51" s="120" t="s">
        <v>275</v>
      </c>
      <c r="F51" s="120" t="s">
        <v>276</v>
      </c>
      <c r="G51" s="120" t="s">
        <v>42</v>
      </c>
      <c r="H51" s="53" t="s">
        <v>164</v>
      </c>
      <c r="I51" s="53" t="s">
        <v>159</v>
      </c>
      <c r="J51" s="120" t="s">
        <v>38</v>
      </c>
      <c r="K51" s="53" t="s">
        <v>161</v>
      </c>
      <c r="L51" s="53">
        <v>2</v>
      </c>
      <c r="N51" s="53">
        <v>1</v>
      </c>
      <c r="O51" s="53">
        <v>0.75</v>
      </c>
      <c r="P51" s="53">
        <v>0.75</v>
      </c>
      <c r="Q51" s="75">
        <f t="shared" si="0"/>
        <v>0.75</v>
      </c>
      <c r="R51" s="53">
        <v>17.899999999999999</v>
      </c>
      <c r="S51" s="53">
        <v>137</v>
      </c>
      <c r="T51" s="16">
        <f t="shared" si="1"/>
        <v>25</v>
      </c>
      <c r="U51" s="53">
        <v>98</v>
      </c>
      <c r="V51" s="122">
        <f t="shared" si="2"/>
        <v>2450</v>
      </c>
      <c r="W51" s="53">
        <v>12</v>
      </c>
      <c r="X51" s="120" t="s">
        <v>46</v>
      </c>
      <c r="Y51" s="53" t="s">
        <v>78</v>
      </c>
      <c r="Z51" s="53" t="s">
        <v>102</v>
      </c>
      <c r="AA51" s="53" t="s">
        <v>97</v>
      </c>
      <c r="AB51" s="120" t="s">
        <v>261</v>
      </c>
      <c r="AC51" s="34"/>
    </row>
    <row r="52" spans="1:29" x14ac:dyDescent="0.15">
      <c r="A52" s="120" t="s">
        <v>61</v>
      </c>
      <c r="B52" s="120" t="s">
        <v>257</v>
      </c>
      <c r="C52" s="120">
        <v>2019</v>
      </c>
      <c r="D52" s="121" t="s">
        <v>258</v>
      </c>
      <c r="E52" s="120" t="s">
        <v>275</v>
      </c>
      <c r="F52" s="120" t="s">
        <v>276</v>
      </c>
      <c r="G52" s="120" t="s">
        <v>42</v>
      </c>
      <c r="H52" s="53" t="s">
        <v>164</v>
      </c>
      <c r="I52" s="53" t="s">
        <v>159</v>
      </c>
      <c r="J52" s="120" t="s">
        <v>38</v>
      </c>
      <c r="K52" s="53" t="s">
        <v>161</v>
      </c>
      <c r="L52" s="53">
        <v>3</v>
      </c>
      <c r="N52" s="53">
        <v>1</v>
      </c>
      <c r="O52" s="53">
        <v>0.95</v>
      </c>
      <c r="P52" s="53">
        <v>0.75</v>
      </c>
      <c r="Q52" s="75">
        <f t="shared" si="0"/>
        <v>0.85</v>
      </c>
      <c r="R52" s="53">
        <v>17.8</v>
      </c>
      <c r="S52" s="53">
        <v>139</v>
      </c>
      <c r="T52" s="16">
        <f t="shared" si="1"/>
        <v>22</v>
      </c>
      <c r="U52" s="53">
        <v>98</v>
      </c>
      <c r="V52" s="122">
        <f t="shared" si="2"/>
        <v>2156</v>
      </c>
      <c r="W52" s="53">
        <v>12</v>
      </c>
      <c r="X52" s="120" t="s">
        <v>46</v>
      </c>
      <c r="Y52" s="53" t="s">
        <v>78</v>
      </c>
      <c r="Z52" s="53" t="s">
        <v>102</v>
      </c>
      <c r="AA52" s="53" t="s">
        <v>97</v>
      </c>
      <c r="AB52" s="120" t="s">
        <v>261</v>
      </c>
      <c r="AC52" s="34"/>
    </row>
    <row r="53" spans="1:29" x14ac:dyDescent="0.15">
      <c r="A53" s="120" t="s">
        <v>61</v>
      </c>
      <c r="B53" s="120" t="s">
        <v>257</v>
      </c>
      <c r="C53" s="120">
        <v>2019</v>
      </c>
      <c r="D53" s="121" t="s">
        <v>258</v>
      </c>
      <c r="E53" s="120" t="s">
        <v>277</v>
      </c>
      <c r="F53" s="120" t="s">
        <v>276</v>
      </c>
      <c r="G53" s="120" t="s">
        <v>42</v>
      </c>
      <c r="H53" s="53" t="s">
        <v>164</v>
      </c>
      <c r="I53" s="53" t="s">
        <v>159</v>
      </c>
      <c r="J53" s="120" t="s">
        <v>38</v>
      </c>
      <c r="K53" s="53" t="s">
        <v>161</v>
      </c>
      <c r="L53" s="53">
        <v>1</v>
      </c>
      <c r="N53" s="53">
        <v>1</v>
      </c>
      <c r="O53" s="53">
        <v>0.95</v>
      </c>
      <c r="P53" s="53">
        <v>0.95</v>
      </c>
      <c r="Q53" s="75">
        <f t="shared" si="0"/>
        <v>0.95</v>
      </c>
      <c r="R53" s="53">
        <v>17.399999999999999</v>
      </c>
      <c r="S53" s="53">
        <v>145</v>
      </c>
      <c r="T53" s="16">
        <f t="shared" si="1"/>
        <v>22</v>
      </c>
      <c r="U53" s="53">
        <v>414</v>
      </c>
      <c r="V53" s="122">
        <f t="shared" si="2"/>
        <v>9108</v>
      </c>
      <c r="W53" s="53">
        <v>14</v>
      </c>
      <c r="X53" s="120" t="s">
        <v>46</v>
      </c>
      <c r="Y53" s="53" t="s">
        <v>102</v>
      </c>
      <c r="Z53" s="53" t="s">
        <v>78</v>
      </c>
      <c r="AA53" s="53" t="s">
        <v>69</v>
      </c>
      <c r="AB53" s="120" t="s">
        <v>261</v>
      </c>
      <c r="AC53" s="34"/>
    </row>
    <row r="54" spans="1:29" x14ac:dyDescent="0.15">
      <c r="A54" s="120" t="s">
        <v>61</v>
      </c>
      <c r="B54" s="120" t="s">
        <v>257</v>
      </c>
      <c r="C54" s="120">
        <v>2019</v>
      </c>
      <c r="D54" s="121" t="s">
        <v>258</v>
      </c>
      <c r="E54" s="120" t="s">
        <v>277</v>
      </c>
      <c r="F54" s="120" t="s">
        <v>276</v>
      </c>
      <c r="G54" s="120" t="s">
        <v>42</v>
      </c>
      <c r="H54" s="53" t="s">
        <v>164</v>
      </c>
      <c r="I54" s="53" t="s">
        <v>159</v>
      </c>
      <c r="J54" s="120" t="s">
        <v>38</v>
      </c>
      <c r="K54" s="53" t="s">
        <v>161</v>
      </c>
      <c r="L54" s="53">
        <v>2</v>
      </c>
      <c r="N54" s="53">
        <v>1</v>
      </c>
      <c r="O54" s="53">
        <v>0.8</v>
      </c>
      <c r="P54" s="53">
        <v>0.7</v>
      </c>
      <c r="Q54" s="75">
        <f t="shared" si="0"/>
        <v>0.75</v>
      </c>
      <c r="R54" s="53">
        <v>17.399999999999999</v>
      </c>
      <c r="S54" s="53">
        <v>147</v>
      </c>
      <c r="T54" s="16">
        <f t="shared" si="1"/>
        <v>22</v>
      </c>
      <c r="U54" s="53">
        <v>414</v>
      </c>
      <c r="V54" s="122">
        <f t="shared" si="2"/>
        <v>9108</v>
      </c>
      <c r="W54" s="53">
        <v>14</v>
      </c>
      <c r="X54" s="120" t="s">
        <v>46</v>
      </c>
      <c r="Y54" s="53" t="s">
        <v>102</v>
      </c>
      <c r="Z54" s="53" t="s">
        <v>78</v>
      </c>
      <c r="AA54" s="53" t="s">
        <v>69</v>
      </c>
      <c r="AB54" s="120" t="s">
        <v>261</v>
      </c>
      <c r="AC54" s="34"/>
    </row>
    <row r="55" spans="1:29" x14ac:dyDescent="0.15">
      <c r="A55" s="120" t="s">
        <v>61</v>
      </c>
      <c r="B55" s="120" t="s">
        <v>257</v>
      </c>
      <c r="C55" s="120">
        <v>2019</v>
      </c>
      <c r="D55" s="121" t="s">
        <v>258</v>
      </c>
      <c r="E55" s="120" t="s">
        <v>277</v>
      </c>
      <c r="F55" s="120" t="s">
        <v>276</v>
      </c>
      <c r="G55" s="120" t="s">
        <v>42</v>
      </c>
      <c r="H55" s="53" t="s">
        <v>164</v>
      </c>
      <c r="I55" s="53" t="s">
        <v>159</v>
      </c>
      <c r="J55" s="120" t="s">
        <v>38</v>
      </c>
      <c r="K55" s="53" t="s">
        <v>161</v>
      </c>
      <c r="L55" s="53">
        <v>3</v>
      </c>
      <c r="N55" s="53">
        <v>1</v>
      </c>
      <c r="O55" s="53">
        <v>0.7</v>
      </c>
      <c r="P55" s="53">
        <v>0.65</v>
      </c>
      <c r="Q55" s="75">
        <f t="shared" si="0"/>
        <v>0.67500000000000004</v>
      </c>
      <c r="R55" s="53">
        <v>16.899999999999999</v>
      </c>
      <c r="S55" s="53">
        <v>138</v>
      </c>
      <c r="T55" s="16">
        <f t="shared" si="1"/>
        <v>22</v>
      </c>
      <c r="U55" s="53">
        <v>414</v>
      </c>
      <c r="V55" s="122">
        <f t="shared" si="2"/>
        <v>9108</v>
      </c>
      <c r="W55" s="53">
        <v>14</v>
      </c>
      <c r="X55" s="120" t="s">
        <v>46</v>
      </c>
      <c r="Y55" s="53" t="s">
        <v>102</v>
      </c>
      <c r="Z55" s="53" t="s">
        <v>78</v>
      </c>
      <c r="AA55" s="53" t="s">
        <v>69</v>
      </c>
      <c r="AB55" s="120" t="s">
        <v>261</v>
      </c>
      <c r="AC55" s="34"/>
    </row>
    <row r="56" spans="1:29" x14ac:dyDescent="0.15">
      <c r="A56" s="120" t="s">
        <v>61</v>
      </c>
      <c r="B56" s="120" t="s">
        <v>257</v>
      </c>
      <c r="C56" s="120">
        <v>2019</v>
      </c>
      <c r="D56" s="121" t="s">
        <v>258</v>
      </c>
      <c r="E56" s="120" t="s">
        <v>277</v>
      </c>
      <c r="F56" s="120" t="s">
        <v>276</v>
      </c>
      <c r="G56" s="120" t="s">
        <v>42</v>
      </c>
      <c r="H56" s="53" t="s">
        <v>160</v>
      </c>
      <c r="I56" s="53" t="s">
        <v>159</v>
      </c>
      <c r="J56" s="120" t="s">
        <v>38</v>
      </c>
      <c r="K56" s="53" t="s">
        <v>161</v>
      </c>
      <c r="L56" s="53">
        <v>1</v>
      </c>
      <c r="N56" s="53">
        <v>7</v>
      </c>
      <c r="O56" s="53">
        <v>0.6</v>
      </c>
      <c r="P56" s="53">
        <v>0.75</v>
      </c>
      <c r="Q56" s="75">
        <f t="shared" si="0"/>
        <v>0.67500000000000004</v>
      </c>
      <c r="R56" s="53">
        <v>18</v>
      </c>
      <c r="S56" s="53">
        <v>111</v>
      </c>
      <c r="T56" s="16">
        <f t="shared" si="1"/>
        <v>33</v>
      </c>
      <c r="U56" s="53">
        <v>645</v>
      </c>
      <c r="V56" s="122">
        <f t="shared" si="2"/>
        <v>3040.7142857142858</v>
      </c>
      <c r="W56" s="53">
        <v>14</v>
      </c>
      <c r="X56" s="120" t="s">
        <v>46</v>
      </c>
      <c r="Y56" s="53" t="s">
        <v>102</v>
      </c>
      <c r="Z56" s="53" t="s">
        <v>78</v>
      </c>
      <c r="AA56" s="53" t="s">
        <v>69</v>
      </c>
      <c r="AB56" s="120" t="s">
        <v>261</v>
      </c>
    </row>
    <row r="57" spans="1:29" x14ac:dyDescent="0.15">
      <c r="A57" s="120" t="s">
        <v>61</v>
      </c>
      <c r="B57" s="120" t="s">
        <v>257</v>
      </c>
      <c r="C57" s="120">
        <v>2019</v>
      </c>
      <c r="D57" s="121" t="s">
        <v>258</v>
      </c>
      <c r="E57" s="120" t="s">
        <v>277</v>
      </c>
      <c r="F57" s="120" t="s">
        <v>276</v>
      </c>
      <c r="G57" s="120" t="s">
        <v>42</v>
      </c>
      <c r="H57" s="53" t="s">
        <v>160</v>
      </c>
      <c r="I57" s="53" t="s">
        <v>159</v>
      </c>
      <c r="J57" s="120" t="s">
        <v>38</v>
      </c>
      <c r="K57" s="53" t="s">
        <v>161</v>
      </c>
      <c r="L57" s="53">
        <v>2</v>
      </c>
      <c r="N57" s="53">
        <v>7</v>
      </c>
      <c r="O57" s="53">
        <v>0.8</v>
      </c>
      <c r="P57" s="53">
        <v>0.8</v>
      </c>
      <c r="Q57" s="75">
        <f t="shared" si="0"/>
        <v>0.8</v>
      </c>
      <c r="R57" s="53">
        <v>18.3</v>
      </c>
      <c r="S57" s="53">
        <v>109</v>
      </c>
      <c r="T57" s="16">
        <f t="shared" si="1"/>
        <v>33</v>
      </c>
      <c r="U57" s="53">
        <v>645</v>
      </c>
      <c r="V57" s="122">
        <f t="shared" si="2"/>
        <v>3040.7142857142858</v>
      </c>
      <c r="W57" s="53">
        <v>14</v>
      </c>
      <c r="X57" s="120" t="s">
        <v>46</v>
      </c>
      <c r="Y57" s="53" t="s">
        <v>102</v>
      </c>
      <c r="Z57" s="53" t="s">
        <v>78</v>
      </c>
      <c r="AA57" s="53" t="s">
        <v>69</v>
      </c>
      <c r="AB57" s="120" t="s">
        <v>261</v>
      </c>
    </row>
    <row r="58" spans="1:29" x14ac:dyDescent="0.15">
      <c r="A58" s="120" t="s">
        <v>61</v>
      </c>
      <c r="B58" s="120" t="s">
        <v>257</v>
      </c>
      <c r="C58" s="120">
        <v>2019</v>
      </c>
      <c r="D58" s="121" t="s">
        <v>258</v>
      </c>
      <c r="E58" s="120" t="s">
        <v>277</v>
      </c>
      <c r="F58" s="120" t="s">
        <v>276</v>
      </c>
      <c r="G58" s="120" t="s">
        <v>42</v>
      </c>
      <c r="H58" s="53" t="s">
        <v>160</v>
      </c>
      <c r="I58" s="53" t="s">
        <v>159</v>
      </c>
      <c r="J58" s="120" t="s">
        <v>38</v>
      </c>
      <c r="K58" s="53" t="s">
        <v>161</v>
      </c>
      <c r="L58" s="53">
        <v>3</v>
      </c>
      <c r="N58" s="53">
        <v>7</v>
      </c>
      <c r="O58" s="53">
        <v>0.85</v>
      </c>
      <c r="P58" s="53">
        <v>0.7</v>
      </c>
      <c r="Q58" s="75">
        <f t="shared" si="0"/>
        <v>0.77499999999999991</v>
      </c>
      <c r="R58" s="53">
        <v>17.5</v>
      </c>
      <c r="S58" s="53">
        <v>112</v>
      </c>
      <c r="T58" s="16">
        <f t="shared" si="1"/>
        <v>33</v>
      </c>
      <c r="U58" s="53">
        <v>645</v>
      </c>
      <c r="V58" s="122">
        <f t="shared" si="2"/>
        <v>3040.7142857142858</v>
      </c>
      <c r="W58" s="53">
        <v>14</v>
      </c>
      <c r="X58" s="120" t="s">
        <v>46</v>
      </c>
      <c r="Y58" s="53" t="s">
        <v>102</v>
      </c>
      <c r="Z58" s="53" t="s">
        <v>78</v>
      </c>
      <c r="AA58" s="53" t="s">
        <v>69</v>
      </c>
      <c r="AB58" s="120" t="s">
        <v>261</v>
      </c>
    </row>
    <row r="59" spans="1:29" x14ac:dyDescent="0.15">
      <c r="A59" s="120"/>
      <c r="B59" s="120"/>
      <c r="C59" s="120"/>
      <c r="D59" s="121"/>
      <c r="E59" s="120"/>
      <c r="F59" s="120"/>
      <c r="G59" s="120"/>
      <c r="J59" s="120"/>
      <c r="Q59" s="75" t="str">
        <f t="shared" si="0"/>
        <v/>
      </c>
      <c r="T59" s="16" t="str">
        <f t="shared" si="1"/>
        <v/>
      </c>
      <c r="V59" s="122" t="str">
        <f t="shared" si="2"/>
        <v/>
      </c>
      <c r="X59" s="120"/>
      <c r="AB59" s="120"/>
      <c r="AC59" s="34"/>
    </row>
    <row r="60" spans="1:29" x14ac:dyDescent="0.15">
      <c r="A60" s="120"/>
      <c r="B60" s="120"/>
      <c r="C60" s="120"/>
      <c r="D60" s="121"/>
      <c r="E60" s="120"/>
      <c r="F60" s="120"/>
      <c r="G60" s="120"/>
      <c r="J60" s="120"/>
      <c r="Q60" s="75" t="str">
        <f t="shared" si="0"/>
        <v/>
      </c>
      <c r="R60" s="34"/>
      <c r="T60" s="16" t="str">
        <f t="shared" si="1"/>
        <v/>
      </c>
      <c r="V60" s="122" t="str">
        <f t="shared" si="2"/>
        <v/>
      </c>
      <c r="X60" s="120"/>
      <c r="AB60" s="120"/>
      <c r="AC60" s="34"/>
    </row>
    <row r="61" spans="1:29" x14ac:dyDescent="0.15">
      <c r="A61" s="120"/>
      <c r="B61" s="120"/>
      <c r="C61" s="120"/>
      <c r="D61" s="121"/>
      <c r="F61" s="120"/>
      <c r="G61" s="120"/>
      <c r="J61" s="120"/>
      <c r="Q61" s="75" t="str">
        <f t="shared" si="0"/>
        <v/>
      </c>
      <c r="R61" s="34"/>
      <c r="T61" s="16" t="str">
        <f t="shared" si="1"/>
        <v/>
      </c>
      <c r="V61" s="122" t="str">
        <f t="shared" si="2"/>
        <v/>
      </c>
      <c r="X61" s="120"/>
      <c r="AB61" s="120"/>
      <c r="AC61" s="34"/>
    </row>
    <row r="62" spans="1:29" x14ac:dyDescent="0.15">
      <c r="A62" s="120"/>
      <c r="B62" s="120"/>
      <c r="C62" s="120"/>
      <c r="D62" s="121"/>
      <c r="F62" s="120"/>
      <c r="G62" s="120"/>
      <c r="J62" s="120"/>
      <c r="Q62" s="75" t="str">
        <f t="shared" si="0"/>
        <v/>
      </c>
      <c r="T62" s="16" t="str">
        <f t="shared" si="1"/>
        <v/>
      </c>
      <c r="V62" s="122" t="str">
        <f t="shared" si="2"/>
        <v/>
      </c>
      <c r="X62" s="120"/>
      <c r="AB62" s="120"/>
      <c r="AC62" s="34"/>
    </row>
    <row r="63" spans="1:29" x14ac:dyDescent="0.15">
      <c r="A63" s="120"/>
      <c r="B63" s="120"/>
      <c r="C63" s="120"/>
      <c r="D63" s="121"/>
      <c r="F63" s="120"/>
      <c r="G63" s="120"/>
      <c r="J63" s="120"/>
      <c r="Q63" s="75" t="str">
        <f t="shared" si="0"/>
        <v/>
      </c>
      <c r="T63" s="16" t="str">
        <f t="shared" si="1"/>
        <v/>
      </c>
      <c r="V63" s="122" t="str">
        <f t="shared" si="2"/>
        <v/>
      </c>
      <c r="X63" s="120"/>
      <c r="AB63" s="120"/>
      <c r="AC63" s="34"/>
    </row>
    <row r="64" spans="1:29" x14ac:dyDescent="0.15">
      <c r="A64" s="120"/>
      <c r="B64" s="120"/>
      <c r="C64" s="120"/>
      <c r="D64" s="121"/>
      <c r="G64" s="120"/>
      <c r="J64" s="120"/>
      <c r="Q64" s="75" t="str">
        <f t="shared" si="0"/>
        <v/>
      </c>
      <c r="T64" s="16" t="str">
        <f t="shared" si="1"/>
        <v/>
      </c>
      <c r="V64" s="122" t="str">
        <f t="shared" si="2"/>
        <v/>
      </c>
      <c r="X64" s="120"/>
      <c r="AB64" s="120"/>
      <c r="AC64" s="34"/>
    </row>
    <row r="65" spans="1:28" x14ac:dyDescent="0.15">
      <c r="A65" s="120"/>
      <c r="B65" s="120"/>
      <c r="C65" s="120"/>
      <c r="D65" s="121"/>
      <c r="G65" s="120"/>
      <c r="J65" s="120"/>
      <c r="Q65" s="75"/>
      <c r="V65" s="122"/>
      <c r="X65" s="120"/>
      <c r="AB65" s="120"/>
    </row>
    <row r="66" spans="1:28" x14ac:dyDescent="0.15">
      <c r="A66" s="120"/>
      <c r="B66" s="120"/>
      <c r="C66" s="120"/>
      <c r="D66" s="121"/>
      <c r="G66" s="120"/>
      <c r="J66" s="120"/>
      <c r="Q66" s="75"/>
      <c r="V66" s="122"/>
      <c r="X66" s="120"/>
      <c r="AB66" s="120"/>
    </row>
    <row r="67" spans="1:28" x14ac:dyDescent="0.15">
      <c r="A67" s="120"/>
      <c r="B67" s="120"/>
      <c r="C67" s="120"/>
      <c r="D67" s="121"/>
      <c r="G67" s="120"/>
      <c r="J67" s="120"/>
      <c r="Q67" s="75"/>
      <c r="V67" s="122"/>
      <c r="X67" s="120"/>
      <c r="AB67" s="120"/>
    </row>
    <row r="68" spans="1:28" x14ac:dyDescent="0.15">
      <c r="A68" s="120"/>
      <c r="B68" s="120"/>
      <c r="C68" s="120"/>
      <c r="D68" s="121"/>
      <c r="G68" s="120"/>
      <c r="J68" s="120"/>
      <c r="Q68" s="75" t="str">
        <f t="shared" ref="Q68:Q70" si="3">IF(OR(O68="",P68=""),"",AVERAGE(O68,P68))</f>
        <v/>
      </c>
      <c r="T68" s="16" t="str">
        <f>IF(H68="","",IF(OR(H68="GREEN",H68="GK"),IF(S68&gt;=$AX$2,VLOOKUP(S68,$AX$2:$AY$15,2,1),""),IF(S68&gt;=$AZ$2,VLOOKUP(S68,$AZ$2:$BA$15,2,1),"")))</f>
        <v/>
      </c>
      <c r="V68" s="122" t="str">
        <f t="shared" ref="V68:V70" si="4">IF(OR(N68="",U68="",T68=""),"",U68/N68*T68)</f>
        <v/>
      </c>
      <c r="X68" s="120"/>
      <c r="AB68" s="120"/>
    </row>
    <row r="69" spans="1:28" x14ac:dyDescent="0.15">
      <c r="A69" s="120"/>
      <c r="B69" s="120"/>
      <c r="C69" s="120"/>
      <c r="D69" s="121"/>
      <c r="G69" s="120"/>
      <c r="J69" s="120"/>
      <c r="Q69" s="75" t="str">
        <f t="shared" si="3"/>
        <v/>
      </c>
      <c r="T69" s="16" t="str">
        <f>IF(H69="","",IF(OR(H69="GREEN",H69="GK"),IF(S69&gt;=$AX$2,VLOOKUP(S69,$AX$2:$AY$15,2,1),""),IF(S69&gt;=$AZ$2,VLOOKUP(S69,$AZ$2:$BA$15,2,1),"")))</f>
        <v/>
      </c>
      <c r="V69" s="122" t="str">
        <f t="shared" si="4"/>
        <v/>
      </c>
      <c r="X69" s="120"/>
      <c r="AB69" s="120"/>
    </row>
    <row r="70" spans="1:28" x14ac:dyDescent="0.15">
      <c r="A70" s="120"/>
      <c r="B70" s="120"/>
      <c r="C70" s="120"/>
      <c r="D70" s="121"/>
      <c r="G70" s="120"/>
      <c r="J70" s="120"/>
      <c r="Q70" s="75" t="str">
        <f t="shared" si="3"/>
        <v/>
      </c>
      <c r="T70" s="16" t="str">
        <f>IF(H70="","",IF(OR(H70="GREEN",H70="GK"),IF(S70&gt;=$AX$2,VLOOKUP(S70,$AX$2:$AY$15,2,1),""),IF(S70&gt;=$AZ$2,VLOOKUP(S70,$AZ$2:$BA$15,2,1),"")))</f>
        <v/>
      </c>
      <c r="V70" s="122" t="str">
        <f t="shared" si="4"/>
        <v/>
      </c>
      <c r="X70" s="120"/>
      <c r="AB70" s="120"/>
    </row>
    <row r="71" spans="1:28" x14ac:dyDescent="0.15">
      <c r="A71" s="120"/>
      <c r="B71" s="120"/>
      <c r="C71" s="120"/>
      <c r="D71" s="121"/>
      <c r="G71" s="120"/>
      <c r="J71" s="120"/>
      <c r="Q71" s="75"/>
      <c r="V71" s="122"/>
      <c r="X71" s="120"/>
      <c r="AB71" s="120"/>
    </row>
    <row r="72" spans="1:28" x14ac:dyDescent="0.15">
      <c r="A72" s="120"/>
      <c r="B72" s="120"/>
      <c r="C72" s="120"/>
      <c r="D72" s="121"/>
      <c r="G72" s="120"/>
      <c r="J72" s="120"/>
      <c r="Q72" s="75"/>
      <c r="V72" s="122"/>
      <c r="X72" s="120"/>
      <c r="AB72" s="120"/>
    </row>
    <row r="73" spans="1:28" x14ac:dyDescent="0.15">
      <c r="A73" s="120"/>
      <c r="B73" s="120"/>
      <c r="C73" s="120"/>
      <c r="D73" s="121"/>
      <c r="G73" s="120"/>
      <c r="J73" s="120"/>
      <c r="Q73" s="75"/>
      <c r="V73" s="122"/>
      <c r="X73" s="120"/>
      <c r="AB73" s="120"/>
    </row>
    <row r="74" spans="1:28" x14ac:dyDescent="0.15">
      <c r="A74" s="120"/>
      <c r="B74" s="120"/>
      <c r="C74" s="120"/>
      <c r="D74" s="121"/>
      <c r="G74" s="120"/>
      <c r="J74" s="120"/>
      <c r="Q74" s="75"/>
      <c r="V74" s="122"/>
      <c r="X74" s="120"/>
      <c r="AB74" s="120"/>
    </row>
    <row r="75" spans="1:28" x14ac:dyDescent="0.15">
      <c r="A75" s="120"/>
      <c r="B75" s="120"/>
      <c r="C75" s="120"/>
      <c r="D75" s="121"/>
      <c r="G75" s="120"/>
      <c r="J75" s="120"/>
      <c r="Q75" s="75"/>
      <c r="V75" s="122"/>
      <c r="X75" s="120"/>
      <c r="AB75" s="120"/>
    </row>
    <row r="76" spans="1:28" x14ac:dyDescent="0.15">
      <c r="A76" s="120"/>
      <c r="B76" s="120"/>
      <c r="C76" s="120"/>
      <c r="D76" s="121"/>
      <c r="G76" s="120"/>
      <c r="J76" s="120"/>
      <c r="Q76" s="75"/>
      <c r="V76" s="122"/>
      <c r="X76" s="120"/>
      <c r="AB76" s="120"/>
    </row>
    <row r="77" spans="1:28" x14ac:dyDescent="0.15">
      <c r="A77" s="120"/>
      <c r="B77" s="120"/>
      <c r="C77" s="120"/>
      <c r="D77" s="121"/>
      <c r="G77" s="120"/>
      <c r="J77" s="120"/>
      <c r="Q77" s="75"/>
      <c r="V77" s="122"/>
      <c r="X77" s="120"/>
      <c r="AB77" s="120"/>
    </row>
    <row r="78" spans="1:28" x14ac:dyDescent="0.15">
      <c r="A78" s="120"/>
      <c r="B78" s="120"/>
      <c r="C78" s="120"/>
      <c r="D78" s="121"/>
      <c r="G78" s="120"/>
      <c r="J78" s="120"/>
      <c r="Q78" s="75"/>
      <c r="V78" s="122"/>
      <c r="X78" s="120"/>
      <c r="AB78" s="120"/>
    </row>
    <row r="79" spans="1:28" x14ac:dyDescent="0.15">
      <c r="A79" s="120"/>
      <c r="B79" s="120"/>
      <c r="C79" s="120"/>
      <c r="D79" s="121"/>
      <c r="G79" s="120"/>
      <c r="J79" s="120"/>
      <c r="Q79" s="75"/>
      <c r="V79" s="122"/>
      <c r="X79" s="120"/>
      <c r="AB79" s="120"/>
    </row>
    <row r="80" spans="1:28" x14ac:dyDescent="0.15">
      <c r="A80" s="120"/>
      <c r="B80" s="120"/>
      <c r="C80" s="120"/>
      <c r="D80" s="121"/>
      <c r="G80" s="120"/>
      <c r="J80" s="120"/>
      <c r="Q80" s="75"/>
      <c r="V80" s="122"/>
      <c r="X80" s="120"/>
      <c r="AB80" s="120"/>
    </row>
    <row r="81" spans="1:28" x14ac:dyDescent="0.15">
      <c r="A81" s="120"/>
      <c r="B81" s="120"/>
      <c r="C81" s="120"/>
      <c r="D81" s="121"/>
      <c r="G81" s="120"/>
      <c r="J81" s="120"/>
      <c r="Q81" s="75"/>
      <c r="V81" s="122"/>
      <c r="X81" s="120"/>
      <c r="AB81" s="120"/>
    </row>
    <row r="82" spans="1:28" x14ac:dyDescent="0.15">
      <c r="A82" s="120"/>
      <c r="B82" s="120"/>
      <c r="C82" s="120"/>
      <c r="D82" s="121"/>
      <c r="G82" s="120"/>
      <c r="J82" s="120"/>
      <c r="Q82" s="75"/>
      <c r="V82" s="122"/>
      <c r="X82" s="120"/>
      <c r="AB82" s="120"/>
    </row>
    <row r="83" spans="1:28" x14ac:dyDescent="0.15">
      <c r="A83" s="120"/>
      <c r="B83" s="120"/>
      <c r="C83" s="120"/>
      <c r="D83" s="121"/>
      <c r="G83" s="120"/>
      <c r="J83" s="120"/>
      <c r="Q83" s="75"/>
      <c r="V83" s="122"/>
      <c r="X83" s="120"/>
      <c r="AB83" s="120"/>
    </row>
    <row r="84" spans="1:28" x14ac:dyDescent="0.15">
      <c r="A84" s="120"/>
      <c r="B84" s="120"/>
      <c r="C84" s="120"/>
      <c r="D84" s="121"/>
      <c r="G84" s="120"/>
      <c r="J84" s="120"/>
      <c r="Q84" s="75"/>
      <c r="V84" s="122"/>
      <c r="X84" s="120"/>
      <c r="AB84" s="120"/>
    </row>
    <row r="85" spans="1:28" x14ac:dyDescent="0.15">
      <c r="A85" s="120"/>
      <c r="B85" s="120"/>
      <c r="C85" s="120"/>
      <c r="D85" s="121"/>
      <c r="G85" s="120"/>
      <c r="J85" s="120"/>
      <c r="Q85" s="75"/>
      <c r="V85" s="122"/>
      <c r="X85" s="120"/>
      <c r="AB85" s="120"/>
    </row>
    <row r="86" spans="1:28" x14ac:dyDescent="0.15">
      <c r="D86" s="121"/>
    </row>
    <row r="87" spans="1:28" x14ac:dyDescent="0.15">
      <c r="A87" s="120"/>
      <c r="B87" s="120"/>
      <c r="C87" s="120"/>
      <c r="D87" s="121"/>
      <c r="G87" s="120"/>
      <c r="J87" s="120"/>
      <c r="Q87" s="75"/>
      <c r="V87" s="122"/>
      <c r="X87" s="120"/>
      <c r="AB87" s="120"/>
    </row>
    <row r="88" spans="1:28" x14ac:dyDescent="0.15">
      <c r="A88" s="120"/>
      <c r="B88" s="120"/>
      <c r="C88" s="120"/>
      <c r="G88" s="120"/>
      <c r="J88" s="120"/>
      <c r="Q88" s="75"/>
      <c r="V88" s="122"/>
      <c r="X88" s="120"/>
      <c r="AB88" s="120"/>
    </row>
    <row r="89" spans="1:28" x14ac:dyDescent="0.15">
      <c r="A89" s="120"/>
      <c r="B89" s="120"/>
      <c r="C89" s="120"/>
      <c r="D89" s="121"/>
      <c r="G89" s="120"/>
      <c r="J89" s="120"/>
      <c r="Q89" s="75"/>
      <c r="V89" s="122"/>
      <c r="X89" s="120"/>
      <c r="AB89" s="120"/>
    </row>
    <row r="90" spans="1:28" x14ac:dyDescent="0.15">
      <c r="A90" s="120"/>
      <c r="B90" s="120"/>
      <c r="C90" s="120"/>
      <c r="D90" s="121"/>
      <c r="G90" s="120"/>
      <c r="J90" s="120"/>
      <c r="Q90" s="75"/>
      <c r="V90" s="122"/>
      <c r="X90" s="120"/>
      <c r="AB90" s="120"/>
    </row>
    <row r="91" spans="1:28" x14ac:dyDescent="0.15">
      <c r="A91" s="120"/>
      <c r="B91" s="120"/>
      <c r="C91" s="120"/>
      <c r="D91" s="121"/>
      <c r="G91" s="120"/>
      <c r="J91" s="120"/>
      <c r="Q91" s="75"/>
      <c r="V91" s="122"/>
      <c r="X91" s="120"/>
      <c r="AB91" s="120"/>
    </row>
    <row r="92" spans="1:28" x14ac:dyDescent="0.15">
      <c r="A92" s="120"/>
      <c r="B92" s="120"/>
      <c r="C92" s="120"/>
      <c r="D92" s="121"/>
      <c r="G92" s="120"/>
      <c r="J92" s="120"/>
      <c r="Q92" s="75"/>
      <c r="V92" s="122"/>
      <c r="X92" s="120"/>
      <c r="AB92" s="120"/>
    </row>
    <row r="93" spans="1:28" x14ac:dyDescent="0.15">
      <c r="A93" s="120"/>
      <c r="B93" s="120"/>
      <c r="C93" s="120"/>
      <c r="D93" s="121"/>
      <c r="G93" s="120"/>
      <c r="J93" s="120"/>
      <c r="Q93" s="75"/>
      <c r="V93" s="122"/>
      <c r="X93" s="120"/>
      <c r="AB93" s="120"/>
    </row>
    <row r="94" spans="1:28" x14ac:dyDescent="0.15">
      <c r="A94" s="120"/>
      <c r="B94" s="120"/>
      <c r="C94" s="120"/>
      <c r="D94" s="121"/>
      <c r="G94" s="120"/>
      <c r="J94" s="120"/>
      <c r="Q94" s="75"/>
      <c r="V94" s="122"/>
      <c r="X94" s="120"/>
      <c r="AB94" s="120"/>
    </row>
    <row r="95" spans="1:28" x14ac:dyDescent="0.15">
      <c r="A95" s="120"/>
      <c r="B95" s="120"/>
      <c r="C95" s="120"/>
      <c r="D95" s="121"/>
      <c r="G95" s="120"/>
      <c r="J95" s="120"/>
      <c r="Q95" s="75"/>
      <c r="V95" s="122"/>
      <c r="X95" s="120"/>
      <c r="AB95" s="120"/>
    </row>
    <row r="96" spans="1:28" x14ac:dyDescent="0.15">
      <c r="A96" s="120"/>
      <c r="B96" s="120"/>
      <c r="C96" s="120"/>
      <c r="D96" s="121"/>
      <c r="G96" s="120"/>
      <c r="J96" s="120"/>
      <c r="Q96" s="75"/>
      <c r="V96" s="122"/>
      <c r="X96" s="120"/>
      <c r="AB96" s="120"/>
    </row>
    <row r="97" spans="1:28" x14ac:dyDescent="0.15">
      <c r="A97" s="120"/>
      <c r="B97" s="120"/>
      <c r="C97" s="120"/>
      <c r="D97" s="121"/>
      <c r="G97" s="120"/>
      <c r="J97" s="120"/>
      <c r="Q97" s="75"/>
      <c r="V97" s="122"/>
      <c r="X97" s="120"/>
      <c r="AB97" s="120"/>
    </row>
    <row r="98" spans="1:28" x14ac:dyDescent="0.15">
      <c r="A98" s="120"/>
      <c r="B98" s="120"/>
      <c r="C98" s="120"/>
      <c r="D98" s="121"/>
      <c r="G98" s="120"/>
      <c r="J98" s="120"/>
      <c r="Q98" s="75"/>
      <c r="V98" s="122"/>
      <c r="X98" s="120"/>
      <c r="AB98" s="120"/>
    </row>
    <row r="99" spans="1:28" x14ac:dyDescent="0.15">
      <c r="A99" s="120"/>
      <c r="B99" s="120"/>
      <c r="C99" s="120"/>
      <c r="D99" s="121"/>
      <c r="G99" s="120"/>
      <c r="J99" s="120"/>
      <c r="Q99" s="75"/>
      <c r="V99" s="122"/>
      <c r="X99" s="120"/>
      <c r="AB99" s="120"/>
    </row>
    <row r="100" spans="1:28" x14ac:dyDescent="0.15">
      <c r="A100" s="120"/>
      <c r="B100" s="120"/>
      <c r="C100" s="120"/>
      <c r="D100" s="121"/>
      <c r="G100" s="120"/>
      <c r="J100" s="120"/>
      <c r="Q100" s="75"/>
      <c r="V100" s="122"/>
      <c r="X100" s="120"/>
      <c r="AB100" s="120"/>
    </row>
    <row r="101" spans="1:28" x14ac:dyDescent="0.15">
      <c r="A101" s="120"/>
      <c r="B101" s="120"/>
      <c r="C101" s="120"/>
      <c r="D101" s="121"/>
      <c r="G101" s="120"/>
      <c r="J101" s="120"/>
      <c r="Q101" s="75"/>
      <c r="V101" s="122"/>
      <c r="X101" s="120"/>
      <c r="AB101" s="120"/>
    </row>
    <row r="102" spans="1:28" x14ac:dyDescent="0.15">
      <c r="A102" s="120"/>
      <c r="B102" s="120"/>
      <c r="C102" s="120"/>
      <c r="D102" s="121"/>
      <c r="G102" s="120"/>
      <c r="J102" s="120"/>
      <c r="Q102" s="75"/>
      <c r="V102" s="122"/>
      <c r="X102" s="120"/>
      <c r="AB102" s="120"/>
    </row>
    <row r="103" spans="1:28" x14ac:dyDescent="0.15">
      <c r="A103" s="120"/>
      <c r="B103" s="120"/>
      <c r="C103" s="120"/>
      <c r="D103" s="121"/>
      <c r="G103" s="120"/>
      <c r="J103" s="120"/>
      <c r="Q103" s="75"/>
      <c r="V103" s="122"/>
      <c r="X103" s="120"/>
      <c r="AB103" s="120"/>
    </row>
    <row r="104" spans="1:28" x14ac:dyDescent="0.15">
      <c r="D104" s="121"/>
    </row>
    <row r="105" spans="1:28" x14ac:dyDescent="0.15">
      <c r="D105" s="121"/>
    </row>
  </sheetData>
  <autoFilter ref="A1:BA1" xr:uid="{00000000-0009-0000-0000-000004000000}"/>
  <phoneticPr fontId="3"/>
  <dataValidations count="20">
    <dataValidation type="list" allowBlank="1" showInputMessage="1" showErrorMessage="1" sqref="K2:K491" xr:uid="{027567DA-63E5-471E-B504-0FAF8EE03CF4}">
      <formula1>$AR$2:$AR$25</formula1>
    </dataValidation>
    <dataValidation type="list" allowBlank="1" showInputMessage="1" showErrorMessage="1" sqref="I64397:I64402 WVQ981880:WVQ981885 WLU981880:WLU981885 WBY981880:WBY981885 VSC981880:VSC981885 VIG981880:VIG981885 UYK981880:UYK981885 UOO981880:UOO981885 UES981880:UES981885 TUW981880:TUW981885 TLA981880:TLA981885 TBE981880:TBE981885 SRI981880:SRI981885 SHM981880:SHM981885 RXQ981880:RXQ981885 RNU981880:RNU981885 RDY981880:RDY981885 QUC981880:QUC981885 QKG981880:QKG981885 QAK981880:QAK981885 PQO981880:PQO981885 PGS981880:PGS981885 OWW981880:OWW981885 ONA981880:ONA981885 ODE981880:ODE981885 NTI981880:NTI981885 NJM981880:NJM981885 MZQ981880:MZQ981885 MPU981880:MPU981885 MFY981880:MFY981885 LWC981880:LWC981885 LMG981880:LMG981885 LCK981880:LCK981885 KSO981880:KSO981885 KIS981880:KIS981885 JYW981880:JYW981885 JPA981880:JPA981885 JFE981880:JFE981885 IVI981880:IVI981885 ILM981880:ILM981885 IBQ981880:IBQ981885 HRU981880:HRU981885 HHY981880:HHY981885 GYC981880:GYC981885 GOG981880:GOG981885 GEK981880:GEK981885 FUO981880:FUO981885 FKS981880:FKS981885 FAW981880:FAW981885 ERA981880:ERA981885 EHE981880:EHE981885 DXI981880:DXI981885 DNM981880:DNM981885 DDQ981880:DDQ981885 CTU981880:CTU981885 CJY981880:CJY981885 CAC981880:CAC981885 BQG981880:BQG981885 BGK981880:BGK981885 AWO981880:AWO981885 AMS981880:AMS981885 ACW981880:ACW981885 TA981880:TA981885 JE981880:JE981885 I981901:I981906 WVQ916344:WVQ916349 WLU916344:WLU916349 WBY916344:WBY916349 VSC916344:VSC916349 VIG916344:VIG916349 UYK916344:UYK916349 UOO916344:UOO916349 UES916344:UES916349 TUW916344:TUW916349 TLA916344:TLA916349 TBE916344:TBE916349 SRI916344:SRI916349 SHM916344:SHM916349 RXQ916344:RXQ916349 RNU916344:RNU916349 RDY916344:RDY916349 QUC916344:QUC916349 QKG916344:QKG916349 QAK916344:QAK916349 PQO916344:PQO916349 PGS916344:PGS916349 OWW916344:OWW916349 ONA916344:ONA916349 ODE916344:ODE916349 NTI916344:NTI916349 NJM916344:NJM916349 MZQ916344:MZQ916349 MPU916344:MPU916349 MFY916344:MFY916349 LWC916344:LWC916349 LMG916344:LMG916349 LCK916344:LCK916349 KSO916344:KSO916349 KIS916344:KIS916349 JYW916344:JYW916349 JPA916344:JPA916349 JFE916344:JFE916349 IVI916344:IVI916349 ILM916344:ILM916349 IBQ916344:IBQ916349 HRU916344:HRU916349 HHY916344:HHY916349 GYC916344:GYC916349 GOG916344:GOG916349 GEK916344:GEK916349 FUO916344:FUO916349 FKS916344:FKS916349 FAW916344:FAW916349 ERA916344:ERA916349 EHE916344:EHE916349 DXI916344:DXI916349 DNM916344:DNM916349 DDQ916344:DDQ916349 CTU916344:CTU916349 CJY916344:CJY916349 CAC916344:CAC916349 BQG916344:BQG916349 BGK916344:BGK916349 AWO916344:AWO916349 AMS916344:AMS916349 ACW916344:ACW916349 TA916344:TA916349 JE916344:JE916349 I916365:I916370 WVQ850808:WVQ850813 WLU850808:WLU850813 WBY850808:WBY850813 VSC850808:VSC850813 VIG850808:VIG850813 UYK850808:UYK850813 UOO850808:UOO850813 UES850808:UES850813 TUW850808:TUW850813 TLA850808:TLA850813 TBE850808:TBE850813 SRI850808:SRI850813 SHM850808:SHM850813 RXQ850808:RXQ850813 RNU850808:RNU850813 RDY850808:RDY850813 QUC850808:QUC850813 QKG850808:QKG850813 QAK850808:QAK850813 PQO850808:PQO850813 PGS850808:PGS850813 OWW850808:OWW850813 ONA850808:ONA850813 ODE850808:ODE850813 NTI850808:NTI850813 NJM850808:NJM850813 MZQ850808:MZQ850813 MPU850808:MPU850813 MFY850808:MFY850813 LWC850808:LWC850813 LMG850808:LMG850813 LCK850808:LCK850813 KSO850808:KSO850813 KIS850808:KIS850813 JYW850808:JYW850813 JPA850808:JPA850813 JFE850808:JFE850813 IVI850808:IVI850813 ILM850808:ILM850813 IBQ850808:IBQ850813 HRU850808:HRU850813 HHY850808:HHY850813 GYC850808:GYC850813 GOG850808:GOG850813 GEK850808:GEK850813 FUO850808:FUO850813 FKS850808:FKS850813 FAW850808:FAW850813 ERA850808:ERA850813 EHE850808:EHE850813 DXI850808:DXI850813 DNM850808:DNM850813 DDQ850808:DDQ850813 CTU850808:CTU850813 CJY850808:CJY850813 CAC850808:CAC850813 BQG850808:BQG850813 BGK850808:BGK850813 AWO850808:AWO850813 AMS850808:AMS850813 ACW850808:ACW850813 TA850808:TA850813 JE850808:JE850813 I850829:I850834 WVQ785272:WVQ785277 WLU785272:WLU785277 WBY785272:WBY785277 VSC785272:VSC785277 VIG785272:VIG785277 UYK785272:UYK785277 UOO785272:UOO785277 UES785272:UES785277 TUW785272:TUW785277 TLA785272:TLA785277 TBE785272:TBE785277 SRI785272:SRI785277 SHM785272:SHM785277 RXQ785272:RXQ785277 RNU785272:RNU785277 RDY785272:RDY785277 QUC785272:QUC785277 QKG785272:QKG785277 QAK785272:QAK785277 PQO785272:PQO785277 PGS785272:PGS785277 OWW785272:OWW785277 ONA785272:ONA785277 ODE785272:ODE785277 NTI785272:NTI785277 NJM785272:NJM785277 MZQ785272:MZQ785277 MPU785272:MPU785277 MFY785272:MFY785277 LWC785272:LWC785277 LMG785272:LMG785277 LCK785272:LCK785277 KSO785272:KSO785277 KIS785272:KIS785277 JYW785272:JYW785277 JPA785272:JPA785277 JFE785272:JFE785277 IVI785272:IVI785277 ILM785272:ILM785277 IBQ785272:IBQ785277 HRU785272:HRU785277 HHY785272:HHY785277 GYC785272:GYC785277 GOG785272:GOG785277 GEK785272:GEK785277 FUO785272:FUO785277 FKS785272:FKS785277 FAW785272:FAW785277 ERA785272:ERA785277 EHE785272:EHE785277 DXI785272:DXI785277 DNM785272:DNM785277 DDQ785272:DDQ785277 CTU785272:CTU785277 CJY785272:CJY785277 CAC785272:CAC785277 BQG785272:BQG785277 BGK785272:BGK785277 AWO785272:AWO785277 AMS785272:AMS785277 ACW785272:ACW785277 TA785272:TA785277 JE785272:JE785277 I785293:I785298 WVQ719736:WVQ719741 WLU719736:WLU719741 WBY719736:WBY719741 VSC719736:VSC719741 VIG719736:VIG719741 UYK719736:UYK719741 UOO719736:UOO719741 UES719736:UES719741 TUW719736:TUW719741 TLA719736:TLA719741 TBE719736:TBE719741 SRI719736:SRI719741 SHM719736:SHM719741 RXQ719736:RXQ719741 RNU719736:RNU719741 RDY719736:RDY719741 QUC719736:QUC719741 QKG719736:QKG719741 QAK719736:QAK719741 PQO719736:PQO719741 PGS719736:PGS719741 OWW719736:OWW719741 ONA719736:ONA719741 ODE719736:ODE719741 NTI719736:NTI719741 NJM719736:NJM719741 MZQ719736:MZQ719741 MPU719736:MPU719741 MFY719736:MFY719741 LWC719736:LWC719741 LMG719736:LMG719741 LCK719736:LCK719741 KSO719736:KSO719741 KIS719736:KIS719741 JYW719736:JYW719741 JPA719736:JPA719741 JFE719736:JFE719741 IVI719736:IVI719741 ILM719736:ILM719741 IBQ719736:IBQ719741 HRU719736:HRU719741 HHY719736:HHY719741 GYC719736:GYC719741 GOG719736:GOG719741 GEK719736:GEK719741 FUO719736:FUO719741 FKS719736:FKS719741 FAW719736:FAW719741 ERA719736:ERA719741 EHE719736:EHE719741 DXI719736:DXI719741 DNM719736:DNM719741 DDQ719736:DDQ719741 CTU719736:CTU719741 CJY719736:CJY719741 CAC719736:CAC719741 BQG719736:BQG719741 BGK719736:BGK719741 AWO719736:AWO719741 AMS719736:AMS719741 ACW719736:ACW719741 TA719736:TA719741 JE719736:JE719741 I719757:I719762 WVQ654200:WVQ654205 WLU654200:WLU654205 WBY654200:WBY654205 VSC654200:VSC654205 VIG654200:VIG654205 UYK654200:UYK654205 UOO654200:UOO654205 UES654200:UES654205 TUW654200:TUW654205 TLA654200:TLA654205 TBE654200:TBE654205 SRI654200:SRI654205 SHM654200:SHM654205 RXQ654200:RXQ654205 RNU654200:RNU654205 RDY654200:RDY654205 QUC654200:QUC654205 QKG654200:QKG654205 QAK654200:QAK654205 PQO654200:PQO654205 PGS654200:PGS654205 OWW654200:OWW654205 ONA654200:ONA654205 ODE654200:ODE654205 NTI654200:NTI654205 NJM654200:NJM654205 MZQ654200:MZQ654205 MPU654200:MPU654205 MFY654200:MFY654205 LWC654200:LWC654205 LMG654200:LMG654205 LCK654200:LCK654205 KSO654200:KSO654205 KIS654200:KIS654205 JYW654200:JYW654205 JPA654200:JPA654205 JFE654200:JFE654205 IVI654200:IVI654205 ILM654200:ILM654205 IBQ654200:IBQ654205 HRU654200:HRU654205 HHY654200:HHY654205 GYC654200:GYC654205 GOG654200:GOG654205 GEK654200:GEK654205 FUO654200:FUO654205 FKS654200:FKS654205 FAW654200:FAW654205 ERA654200:ERA654205 EHE654200:EHE654205 DXI654200:DXI654205 DNM654200:DNM654205 DDQ654200:DDQ654205 CTU654200:CTU654205 CJY654200:CJY654205 CAC654200:CAC654205 BQG654200:BQG654205 BGK654200:BGK654205 AWO654200:AWO654205 AMS654200:AMS654205 ACW654200:ACW654205 TA654200:TA654205 JE654200:JE654205 I654221:I654226 WVQ588664:WVQ588669 WLU588664:WLU588669 WBY588664:WBY588669 VSC588664:VSC588669 VIG588664:VIG588669 UYK588664:UYK588669 UOO588664:UOO588669 UES588664:UES588669 TUW588664:TUW588669 TLA588664:TLA588669 TBE588664:TBE588669 SRI588664:SRI588669 SHM588664:SHM588669 RXQ588664:RXQ588669 RNU588664:RNU588669 RDY588664:RDY588669 QUC588664:QUC588669 QKG588664:QKG588669 QAK588664:QAK588669 PQO588664:PQO588669 PGS588664:PGS588669 OWW588664:OWW588669 ONA588664:ONA588669 ODE588664:ODE588669 NTI588664:NTI588669 NJM588664:NJM588669 MZQ588664:MZQ588669 MPU588664:MPU588669 MFY588664:MFY588669 LWC588664:LWC588669 LMG588664:LMG588669 LCK588664:LCK588669 KSO588664:KSO588669 KIS588664:KIS588669 JYW588664:JYW588669 JPA588664:JPA588669 JFE588664:JFE588669 IVI588664:IVI588669 ILM588664:ILM588669 IBQ588664:IBQ588669 HRU588664:HRU588669 HHY588664:HHY588669 GYC588664:GYC588669 GOG588664:GOG588669 GEK588664:GEK588669 FUO588664:FUO588669 FKS588664:FKS588669 FAW588664:FAW588669 ERA588664:ERA588669 EHE588664:EHE588669 DXI588664:DXI588669 DNM588664:DNM588669 DDQ588664:DDQ588669 CTU588664:CTU588669 CJY588664:CJY588669 CAC588664:CAC588669 BQG588664:BQG588669 BGK588664:BGK588669 AWO588664:AWO588669 AMS588664:AMS588669 ACW588664:ACW588669 TA588664:TA588669 JE588664:JE588669 I588685:I588690 WVQ523128:WVQ523133 WLU523128:WLU523133 WBY523128:WBY523133 VSC523128:VSC523133 VIG523128:VIG523133 UYK523128:UYK523133 UOO523128:UOO523133 UES523128:UES523133 TUW523128:TUW523133 TLA523128:TLA523133 TBE523128:TBE523133 SRI523128:SRI523133 SHM523128:SHM523133 RXQ523128:RXQ523133 RNU523128:RNU523133 RDY523128:RDY523133 QUC523128:QUC523133 QKG523128:QKG523133 QAK523128:QAK523133 PQO523128:PQO523133 PGS523128:PGS523133 OWW523128:OWW523133 ONA523128:ONA523133 ODE523128:ODE523133 NTI523128:NTI523133 NJM523128:NJM523133 MZQ523128:MZQ523133 MPU523128:MPU523133 MFY523128:MFY523133 LWC523128:LWC523133 LMG523128:LMG523133 LCK523128:LCK523133 KSO523128:KSO523133 KIS523128:KIS523133 JYW523128:JYW523133 JPA523128:JPA523133 JFE523128:JFE523133 IVI523128:IVI523133 ILM523128:ILM523133 IBQ523128:IBQ523133 HRU523128:HRU523133 HHY523128:HHY523133 GYC523128:GYC523133 GOG523128:GOG523133 GEK523128:GEK523133 FUO523128:FUO523133 FKS523128:FKS523133 FAW523128:FAW523133 ERA523128:ERA523133 EHE523128:EHE523133 DXI523128:DXI523133 DNM523128:DNM523133 DDQ523128:DDQ523133 CTU523128:CTU523133 CJY523128:CJY523133 CAC523128:CAC523133 BQG523128:BQG523133 BGK523128:BGK523133 AWO523128:AWO523133 AMS523128:AMS523133 ACW523128:ACW523133 TA523128:TA523133 JE523128:JE523133 I523149:I523154 WVQ457592:WVQ457597 WLU457592:WLU457597 WBY457592:WBY457597 VSC457592:VSC457597 VIG457592:VIG457597 UYK457592:UYK457597 UOO457592:UOO457597 UES457592:UES457597 TUW457592:TUW457597 TLA457592:TLA457597 TBE457592:TBE457597 SRI457592:SRI457597 SHM457592:SHM457597 RXQ457592:RXQ457597 RNU457592:RNU457597 RDY457592:RDY457597 QUC457592:QUC457597 QKG457592:QKG457597 QAK457592:QAK457597 PQO457592:PQO457597 PGS457592:PGS457597 OWW457592:OWW457597 ONA457592:ONA457597 ODE457592:ODE457597 NTI457592:NTI457597 NJM457592:NJM457597 MZQ457592:MZQ457597 MPU457592:MPU457597 MFY457592:MFY457597 LWC457592:LWC457597 LMG457592:LMG457597 LCK457592:LCK457597 KSO457592:KSO457597 KIS457592:KIS457597 JYW457592:JYW457597 JPA457592:JPA457597 JFE457592:JFE457597 IVI457592:IVI457597 ILM457592:ILM457597 IBQ457592:IBQ457597 HRU457592:HRU457597 HHY457592:HHY457597 GYC457592:GYC457597 GOG457592:GOG457597 GEK457592:GEK457597 FUO457592:FUO457597 FKS457592:FKS457597 FAW457592:FAW457597 ERA457592:ERA457597 EHE457592:EHE457597 DXI457592:DXI457597 DNM457592:DNM457597 DDQ457592:DDQ457597 CTU457592:CTU457597 CJY457592:CJY457597 CAC457592:CAC457597 BQG457592:BQG457597 BGK457592:BGK457597 AWO457592:AWO457597 AMS457592:AMS457597 ACW457592:ACW457597 TA457592:TA457597 JE457592:JE457597 I457613:I457618 WVQ392056:WVQ392061 WLU392056:WLU392061 WBY392056:WBY392061 VSC392056:VSC392061 VIG392056:VIG392061 UYK392056:UYK392061 UOO392056:UOO392061 UES392056:UES392061 TUW392056:TUW392061 TLA392056:TLA392061 TBE392056:TBE392061 SRI392056:SRI392061 SHM392056:SHM392061 RXQ392056:RXQ392061 RNU392056:RNU392061 RDY392056:RDY392061 QUC392056:QUC392061 QKG392056:QKG392061 QAK392056:QAK392061 PQO392056:PQO392061 PGS392056:PGS392061 OWW392056:OWW392061 ONA392056:ONA392061 ODE392056:ODE392061 NTI392056:NTI392061 NJM392056:NJM392061 MZQ392056:MZQ392061 MPU392056:MPU392061 MFY392056:MFY392061 LWC392056:LWC392061 LMG392056:LMG392061 LCK392056:LCK392061 KSO392056:KSO392061 KIS392056:KIS392061 JYW392056:JYW392061 JPA392056:JPA392061 JFE392056:JFE392061 IVI392056:IVI392061 ILM392056:ILM392061 IBQ392056:IBQ392061 HRU392056:HRU392061 HHY392056:HHY392061 GYC392056:GYC392061 GOG392056:GOG392061 GEK392056:GEK392061 FUO392056:FUO392061 FKS392056:FKS392061 FAW392056:FAW392061 ERA392056:ERA392061 EHE392056:EHE392061 DXI392056:DXI392061 DNM392056:DNM392061 DDQ392056:DDQ392061 CTU392056:CTU392061 CJY392056:CJY392061 CAC392056:CAC392061 BQG392056:BQG392061 BGK392056:BGK392061 AWO392056:AWO392061 AMS392056:AMS392061 ACW392056:ACW392061 TA392056:TA392061 JE392056:JE392061 I392077:I392082 WVQ326520:WVQ326525 WLU326520:WLU326525 WBY326520:WBY326525 VSC326520:VSC326525 VIG326520:VIG326525 UYK326520:UYK326525 UOO326520:UOO326525 UES326520:UES326525 TUW326520:TUW326525 TLA326520:TLA326525 TBE326520:TBE326525 SRI326520:SRI326525 SHM326520:SHM326525 RXQ326520:RXQ326525 RNU326520:RNU326525 RDY326520:RDY326525 QUC326520:QUC326525 QKG326520:QKG326525 QAK326520:QAK326525 PQO326520:PQO326525 PGS326520:PGS326525 OWW326520:OWW326525 ONA326520:ONA326525 ODE326520:ODE326525 NTI326520:NTI326525 NJM326520:NJM326525 MZQ326520:MZQ326525 MPU326520:MPU326525 MFY326520:MFY326525 LWC326520:LWC326525 LMG326520:LMG326525 LCK326520:LCK326525 KSO326520:KSO326525 KIS326520:KIS326525 JYW326520:JYW326525 JPA326520:JPA326525 JFE326520:JFE326525 IVI326520:IVI326525 ILM326520:ILM326525 IBQ326520:IBQ326525 HRU326520:HRU326525 HHY326520:HHY326525 GYC326520:GYC326525 GOG326520:GOG326525 GEK326520:GEK326525 FUO326520:FUO326525 FKS326520:FKS326525 FAW326520:FAW326525 ERA326520:ERA326525 EHE326520:EHE326525 DXI326520:DXI326525 DNM326520:DNM326525 DDQ326520:DDQ326525 CTU326520:CTU326525 CJY326520:CJY326525 CAC326520:CAC326525 BQG326520:BQG326525 BGK326520:BGK326525 AWO326520:AWO326525 AMS326520:AMS326525 ACW326520:ACW326525 TA326520:TA326525 JE326520:JE326525 I326541:I326546 WVQ260984:WVQ260989 WLU260984:WLU260989 WBY260984:WBY260989 VSC260984:VSC260989 VIG260984:VIG260989 UYK260984:UYK260989 UOO260984:UOO260989 UES260984:UES260989 TUW260984:TUW260989 TLA260984:TLA260989 TBE260984:TBE260989 SRI260984:SRI260989 SHM260984:SHM260989 RXQ260984:RXQ260989 RNU260984:RNU260989 RDY260984:RDY260989 QUC260984:QUC260989 QKG260984:QKG260989 QAK260984:QAK260989 PQO260984:PQO260989 PGS260984:PGS260989 OWW260984:OWW260989 ONA260984:ONA260989 ODE260984:ODE260989 NTI260984:NTI260989 NJM260984:NJM260989 MZQ260984:MZQ260989 MPU260984:MPU260989 MFY260984:MFY260989 LWC260984:LWC260989 LMG260984:LMG260989 LCK260984:LCK260989 KSO260984:KSO260989 KIS260984:KIS260989 JYW260984:JYW260989 JPA260984:JPA260989 JFE260984:JFE260989 IVI260984:IVI260989 ILM260984:ILM260989 IBQ260984:IBQ260989 HRU260984:HRU260989 HHY260984:HHY260989 GYC260984:GYC260989 GOG260984:GOG260989 GEK260984:GEK260989 FUO260984:FUO260989 FKS260984:FKS260989 FAW260984:FAW260989 ERA260984:ERA260989 EHE260984:EHE260989 DXI260984:DXI260989 DNM260984:DNM260989 DDQ260984:DDQ260989 CTU260984:CTU260989 CJY260984:CJY260989 CAC260984:CAC260989 BQG260984:BQG260989 BGK260984:BGK260989 AWO260984:AWO260989 AMS260984:AMS260989 ACW260984:ACW260989 TA260984:TA260989 JE260984:JE260989 I261005:I261010 WVQ195448:WVQ195453 WLU195448:WLU195453 WBY195448:WBY195453 VSC195448:VSC195453 VIG195448:VIG195453 UYK195448:UYK195453 UOO195448:UOO195453 UES195448:UES195453 TUW195448:TUW195453 TLA195448:TLA195453 TBE195448:TBE195453 SRI195448:SRI195453 SHM195448:SHM195453 RXQ195448:RXQ195453 RNU195448:RNU195453 RDY195448:RDY195453 QUC195448:QUC195453 QKG195448:QKG195453 QAK195448:QAK195453 PQO195448:PQO195453 PGS195448:PGS195453 OWW195448:OWW195453 ONA195448:ONA195453 ODE195448:ODE195453 NTI195448:NTI195453 NJM195448:NJM195453 MZQ195448:MZQ195453 MPU195448:MPU195453 MFY195448:MFY195453 LWC195448:LWC195453 LMG195448:LMG195453 LCK195448:LCK195453 KSO195448:KSO195453 KIS195448:KIS195453 JYW195448:JYW195453 JPA195448:JPA195453 JFE195448:JFE195453 IVI195448:IVI195453 ILM195448:ILM195453 IBQ195448:IBQ195453 HRU195448:HRU195453 HHY195448:HHY195453 GYC195448:GYC195453 GOG195448:GOG195453 GEK195448:GEK195453 FUO195448:FUO195453 FKS195448:FKS195453 FAW195448:FAW195453 ERA195448:ERA195453 EHE195448:EHE195453 DXI195448:DXI195453 DNM195448:DNM195453 DDQ195448:DDQ195453 CTU195448:CTU195453 CJY195448:CJY195453 CAC195448:CAC195453 BQG195448:BQG195453 BGK195448:BGK195453 AWO195448:AWO195453 AMS195448:AMS195453 ACW195448:ACW195453 TA195448:TA195453 JE195448:JE195453 I195469:I195474 WVQ129912:WVQ129917 WLU129912:WLU129917 WBY129912:WBY129917 VSC129912:VSC129917 VIG129912:VIG129917 UYK129912:UYK129917 UOO129912:UOO129917 UES129912:UES129917 TUW129912:TUW129917 TLA129912:TLA129917 TBE129912:TBE129917 SRI129912:SRI129917 SHM129912:SHM129917 RXQ129912:RXQ129917 RNU129912:RNU129917 RDY129912:RDY129917 QUC129912:QUC129917 QKG129912:QKG129917 QAK129912:QAK129917 PQO129912:PQO129917 PGS129912:PGS129917 OWW129912:OWW129917 ONA129912:ONA129917 ODE129912:ODE129917 NTI129912:NTI129917 NJM129912:NJM129917 MZQ129912:MZQ129917 MPU129912:MPU129917 MFY129912:MFY129917 LWC129912:LWC129917 LMG129912:LMG129917 LCK129912:LCK129917 KSO129912:KSO129917 KIS129912:KIS129917 JYW129912:JYW129917 JPA129912:JPA129917 JFE129912:JFE129917 IVI129912:IVI129917 ILM129912:ILM129917 IBQ129912:IBQ129917 HRU129912:HRU129917 HHY129912:HHY129917 GYC129912:GYC129917 GOG129912:GOG129917 GEK129912:GEK129917 FUO129912:FUO129917 FKS129912:FKS129917 FAW129912:FAW129917 ERA129912:ERA129917 EHE129912:EHE129917 DXI129912:DXI129917 DNM129912:DNM129917 DDQ129912:DDQ129917 CTU129912:CTU129917 CJY129912:CJY129917 CAC129912:CAC129917 BQG129912:BQG129917 BGK129912:BGK129917 AWO129912:AWO129917 AMS129912:AMS129917 ACW129912:ACW129917 TA129912:TA129917 JE129912:JE129917 I129933:I129938 WVQ64376:WVQ64381 WLU64376:WLU64381 WBY64376:WBY64381 VSC64376:VSC64381 VIG64376:VIG64381 UYK64376:UYK64381 UOO64376:UOO64381 UES64376:UES64381 TUW64376:TUW64381 TLA64376:TLA64381 TBE64376:TBE64381 SRI64376:SRI64381 SHM64376:SHM64381 RXQ64376:RXQ64381 RNU64376:RNU64381 RDY64376:RDY64381 QUC64376:QUC64381 QKG64376:QKG64381 QAK64376:QAK64381 PQO64376:PQO64381 PGS64376:PGS64381 OWW64376:OWW64381 ONA64376:ONA64381 ODE64376:ODE64381 NTI64376:NTI64381 NJM64376:NJM64381 MZQ64376:MZQ64381 MPU64376:MPU64381 MFY64376:MFY64381 LWC64376:LWC64381 LMG64376:LMG64381 LCK64376:LCK64381 KSO64376:KSO64381 KIS64376:KIS64381 JYW64376:JYW64381 JPA64376:JPA64381 JFE64376:JFE64381 IVI64376:IVI64381 ILM64376:ILM64381 IBQ64376:IBQ64381 HRU64376:HRU64381 HHY64376:HHY64381 GYC64376:GYC64381 GOG64376:GOG64381 GEK64376:GEK64381 FUO64376:FUO64381 FKS64376:FKS64381 FAW64376:FAW64381 ERA64376:ERA64381 EHE64376:EHE64381 DXI64376:DXI64381 DNM64376:DNM64381 DDQ64376:DDQ64381 CTU64376:CTU64381 CJY64376:CJY64381 CAC64376:CAC64381 BQG64376:BQG64381 BGK64376:BGK64381 AWO64376:AWO64381 AMS64376:AMS64381 ACW64376:ACW64381 TA64376:TA64381 JE64376:JE64381" xr:uid="{EEE06E08-2EA8-4EF4-8546-1196098DAFAF}">
      <formula1>$AN$8:$AN$9</formula1>
    </dataValidation>
    <dataValidation type="list" allowBlank="1" showInputMessage="1" showErrorMessage="1" sqref="WVS981796:WVS981885 WLW981796:WLW981885 WCA981796:WCA981885 VSE981796:VSE981885 VII981796:VII981885 UYM981796:UYM981885 UOQ981796:UOQ981885 UEU981796:UEU981885 TUY981796:TUY981885 TLC981796:TLC981885 TBG981796:TBG981885 SRK981796:SRK981885 SHO981796:SHO981885 RXS981796:RXS981885 RNW981796:RNW981885 REA981796:REA981885 QUE981796:QUE981885 QKI981796:QKI981885 QAM981796:QAM981885 PQQ981796:PQQ981885 PGU981796:PGU981885 OWY981796:OWY981885 ONC981796:ONC981885 ODG981796:ODG981885 NTK981796:NTK981885 NJO981796:NJO981885 MZS981796:MZS981885 MPW981796:MPW981885 MGA981796:MGA981885 LWE981796:LWE981885 LMI981796:LMI981885 LCM981796:LCM981885 KSQ981796:KSQ981885 KIU981796:KIU981885 JYY981796:JYY981885 JPC981796:JPC981885 JFG981796:JFG981885 IVK981796:IVK981885 ILO981796:ILO981885 IBS981796:IBS981885 HRW981796:HRW981885 HIA981796:HIA981885 GYE981796:GYE981885 GOI981796:GOI981885 GEM981796:GEM981885 FUQ981796:FUQ981885 FKU981796:FKU981885 FAY981796:FAY981885 ERC981796:ERC981885 EHG981796:EHG981885 DXK981796:DXK981885 DNO981796:DNO981885 DDS981796:DDS981885 CTW981796:CTW981885 CKA981796:CKA981885 CAE981796:CAE981885 BQI981796:BQI981885 BGM981796:BGM981885 AWQ981796:AWQ981885 AMU981796:AMU981885 ACY981796:ACY981885 TC981796:TC981885 JG981796:JG981885 K981805:K981894 WVS916260:WVS916349 WLW916260:WLW916349 WCA916260:WCA916349 VSE916260:VSE916349 VII916260:VII916349 UYM916260:UYM916349 UOQ916260:UOQ916349 UEU916260:UEU916349 TUY916260:TUY916349 TLC916260:TLC916349 TBG916260:TBG916349 SRK916260:SRK916349 SHO916260:SHO916349 RXS916260:RXS916349 RNW916260:RNW916349 REA916260:REA916349 QUE916260:QUE916349 QKI916260:QKI916349 QAM916260:QAM916349 PQQ916260:PQQ916349 PGU916260:PGU916349 OWY916260:OWY916349 ONC916260:ONC916349 ODG916260:ODG916349 NTK916260:NTK916349 NJO916260:NJO916349 MZS916260:MZS916349 MPW916260:MPW916349 MGA916260:MGA916349 LWE916260:LWE916349 LMI916260:LMI916349 LCM916260:LCM916349 KSQ916260:KSQ916349 KIU916260:KIU916349 JYY916260:JYY916349 JPC916260:JPC916349 JFG916260:JFG916349 IVK916260:IVK916349 ILO916260:ILO916349 IBS916260:IBS916349 HRW916260:HRW916349 HIA916260:HIA916349 GYE916260:GYE916349 GOI916260:GOI916349 GEM916260:GEM916349 FUQ916260:FUQ916349 FKU916260:FKU916349 FAY916260:FAY916349 ERC916260:ERC916349 EHG916260:EHG916349 DXK916260:DXK916349 DNO916260:DNO916349 DDS916260:DDS916349 CTW916260:CTW916349 CKA916260:CKA916349 CAE916260:CAE916349 BQI916260:BQI916349 BGM916260:BGM916349 AWQ916260:AWQ916349 AMU916260:AMU916349 ACY916260:ACY916349 TC916260:TC916349 JG916260:JG916349 K916269:K916358 WVS850724:WVS850813 WLW850724:WLW850813 WCA850724:WCA850813 VSE850724:VSE850813 VII850724:VII850813 UYM850724:UYM850813 UOQ850724:UOQ850813 UEU850724:UEU850813 TUY850724:TUY850813 TLC850724:TLC850813 TBG850724:TBG850813 SRK850724:SRK850813 SHO850724:SHO850813 RXS850724:RXS850813 RNW850724:RNW850813 REA850724:REA850813 QUE850724:QUE850813 QKI850724:QKI850813 QAM850724:QAM850813 PQQ850724:PQQ850813 PGU850724:PGU850813 OWY850724:OWY850813 ONC850724:ONC850813 ODG850724:ODG850813 NTK850724:NTK850813 NJO850724:NJO850813 MZS850724:MZS850813 MPW850724:MPW850813 MGA850724:MGA850813 LWE850724:LWE850813 LMI850724:LMI850813 LCM850724:LCM850813 KSQ850724:KSQ850813 KIU850724:KIU850813 JYY850724:JYY850813 JPC850724:JPC850813 JFG850724:JFG850813 IVK850724:IVK850813 ILO850724:ILO850813 IBS850724:IBS850813 HRW850724:HRW850813 HIA850724:HIA850813 GYE850724:GYE850813 GOI850724:GOI850813 GEM850724:GEM850813 FUQ850724:FUQ850813 FKU850724:FKU850813 FAY850724:FAY850813 ERC850724:ERC850813 EHG850724:EHG850813 DXK850724:DXK850813 DNO850724:DNO850813 DDS850724:DDS850813 CTW850724:CTW850813 CKA850724:CKA850813 CAE850724:CAE850813 BQI850724:BQI850813 BGM850724:BGM850813 AWQ850724:AWQ850813 AMU850724:AMU850813 ACY850724:ACY850813 TC850724:TC850813 JG850724:JG850813 K850733:K850822 WVS785188:WVS785277 WLW785188:WLW785277 WCA785188:WCA785277 VSE785188:VSE785277 VII785188:VII785277 UYM785188:UYM785277 UOQ785188:UOQ785277 UEU785188:UEU785277 TUY785188:TUY785277 TLC785188:TLC785277 TBG785188:TBG785277 SRK785188:SRK785277 SHO785188:SHO785277 RXS785188:RXS785277 RNW785188:RNW785277 REA785188:REA785277 QUE785188:QUE785277 QKI785188:QKI785277 QAM785188:QAM785277 PQQ785188:PQQ785277 PGU785188:PGU785277 OWY785188:OWY785277 ONC785188:ONC785277 ODG785188:ODG785277 NTK785188:NTK785277 NJO785188:NJO785277 MZS785188:MZS785277 MPW785188:MPW785277 MGA785188:MGA785277 LWE785188:LWE785277 LMI785188:LMI785277 LCM785188:LCM785277 KSQ785188:KSQ785277 KIU785188:KIU785277 JYY785188:JYY785277 JPC785188:JPC785277 JFG785188:JFG785277 IVK785188:IVK785277 ILO785188:ILO785277 IBS785188:IBS785277 HRW785188:HRW785277 HIA785188:HIA785277 GYE785188:GYE785277 GOI785188:GOI785277 GEM785188:GEM785277 FUQ785188:FUQ785277 FKU785188:FKU785277 FAY785188:FAY785277 ERC785188:ERC785277 EHG785188:EHG785277 DXK785188:DXK785277 DNO785188:DNO785277 DDS785188:DDS785277 CTW785188:CTW785277 CKA785188:CKA785277 CAE785188:CAE785277 BQI785188:BQI785277 BGM785188:BGM785277 AWQ785188:AWQ785277 AMU785188:AMU785277 ACY785188:ACY785277 TC785188:TC785277 JG785188:JG785277 K785197:K785286 WVS719652:WVS719741 WLW719652:WLW719741 WCA719652:WCA719741 VSE719652:VSE719741 VII719652:VII719741 UYM719652:UYM719741 UOQ719652:UOQ719741 UEU719652:UEU719741 TUY719652:TUY719741 TLC719652:TLC719741 TBG719652:TBG719741 SRK719652:SRK719741 SHO719652:SHO719741 RXS719652:RXS719741 RNW719652:RNW719741 REA719652:REA719741 QUE719652:QUE719741 QKI719652:QKI719741 QAM719652:QAM719741 PQQ719652:PQQ719741 PGU719652:PGU719741 OWY719652:OWY719741 ONC719652:ONC719741 ODG719652:ODG719741 NTK719652:NTK719741 NJO719652:NJO719741 MZS719652:MZS719741 MPW719652:MPW719741 MGA719652:MGA719741 LWE719652:LWE719741 LMI719652:LMI719741 LCM719652:LCM719741 KSQ719652:KSQ719741 KIU719652:KIU719741 JYY719652:JYY719741 JPC719652:JPC719741 JFG719652:JFG719741 IVK719652:IVK719741 ILO719652:ILO719741 IBS719652:IBS719741 HRW719652:HRW719741 HIA719652:HIA719741 GYE719652:GYE719741 GOI719652:GOI719741 GEM719652:GEM719741 FUQ719652:FUQ719741 FKU719652:FKU719741 FAY719652:FAY719741 ERC719652:ERC719741 EHG719652:EHG719741 DXK719652:DXK719741 DNO719652:DNO719741 DDS719652:DDS719741 CTW719652:CTW719741 CKA719652:CKA719741 CAE719652:CAE719741 BQI719652:BQI719741 BGM719652:BGM719741 AWQ719652:AWQ719741 AMU719652:AMU719741 ACY719652:ACY719741 TC719652:TC719741 JG719652:JG719741 K719661:K719750 WVS654116:WVS654205 WLW654116:WLW654205 WCA654116:WCA654205 VSE654116:VSE654205 VII654116:VII654205 UYM654116:UYM654205 UOQ654116:UOQ654205 UEU654116:UEU654205 TUY654116:TUY654205 TLC654116:TLC654205 TBG654116:TBG654205 SRK654116:SRK654205 SHO654116:SHO654205 RXS654116:RXS654205 RNW654116:RNW654205 REA654116:REA654205 QUE654116:QUE654205 QKI654116:QKI654205 QAM654116:QAM654205 PQQ654116:PQQ654205 PGU654116:PGU654205 OWY654116:OWY654205 ONC654116:ONC654205 ODG654116:ODG654205 NTK654116:NTK654205 NJO654116:NJO654205 MZS654116:MZS654205 MPW654116:MPW654205 MGA654116:MGA654205 LWE654116:LWE654205 LMI654116:LMI654205 LCM654116:LCM654205 KSQ654116:KSQ654205 KIU654116:KIU654205 JYY654116:JYY654205 JPC654116:JPC654205 JFG654116:JFG654205 IVK654116:IVK654205 ILO654116:ILO654205 IBS654116:IBS654205 HRW654116:HRW654205 HIA654116:HIA654205 GYE654116:GYE654205 GOI654116:GOI654205 GEM654116:GEM654205 FUQ654116:FUQ654205 FKU654116:FKU654205 FAY654116:FAY654205 ERC654116:ERC654205 EHG654116:EHG654205 DXK654116:DXK654205 DNO654116:DNO654205 DDS654116:DDS654205 CTW654116:CTW654205 CKA654116:CKA654205 CAE654116:CAE654205 BQI654116:BQI654205 BGM654116:BGM654205 AWQ654116:AWQ654205 AMU654116:AMU654205 ACY654116:ACY654205 TC654116:TC654205 JG654116:JG654205 K654125:K654214 WVS588580:WVS588669 WLW588580:WLW588669 WCA588580:WCA588669 VSE588580:VSE588669 VII588580:VII588669 UYM588580:UYM588669 UOQ588580:UOQ588669 UEU588580:UEU588669 TUY588580:TUY588669 TLC588580:TLC588669 TBG588580:TBG588669 SRK588580:SRK588669 SHO588580:SHO588669 RXS588580:RXS588669 RNW588580:RNW588669 REA588580:REA588669 QUE588580:QUE588669 QKI588580:QKI588669 QAM588580:QAM588669 PQQ588580:PQQ588669 PGU588580:PGU588669 OWY588580:OWY588669 ONC588580:ONC588669 ODG588580:ODG588669 NTK588580:NTK588669 NJO588580:NJO588669 MZS588580:MZS588669 MPW588580:MPW588669 MGA588580:MGA588669 LWE588580:LWE588669 LMI588580:LMI588669 LCM588580:LCM588669 KSQ588580:KSQ588669 KIU588580:KIU588669 JYY588580:JYY588669 JPC588580:JPC588669 JFG588580:JFG588669 IVK588580:IVK588669 ILO588580:ILO588669 IBS588580:IBS588669 HRW588580:HRW588669 HIA588580:HIA588669 GYE588580:GYE588669 GOI588580:GOI588669 GEM588580:GEM588669 FUQ588580:FUQ588669 FKU588580:FKU588669 FAY588580:FAY588669 ERC588580:ERC588669 EHG588580:EHG588669 DXK588580:DXK588669 DNO588580:DNO588669 DDS588580:DDS588669 CTW588580:CTW588669 CKA588580:CKA588669 CAE588580:CAE588669 BQI588580:BQI588669 BGM588580:BGM588669 AWQ588580:AWQ588669 AMU588580:AMU588669 ACY588580:ACY588669 TC588580:TC588669 JG588580:JG588669 K588589:K588678 WVS523044:WVS523133 WLW523044:WLW523133 WCA523044:WCA523133 VSE523044:VSE523133 VII523044:VII523133 UYM523044:UYM523133 UOQ523044:UOQ523133 UEU523044:UEU523133 TUY523044:TUY523133 TLC523044:TLC523133 TBG523044:TBG523133 SRK523044:SRK523133 SHO523044:SHO523133 RXS523044:RXS523133 RNW523044:RNW523133 REA523044:REA523133 QUE523044:QUE523133 QKI523044:QKI523133 QAM523044:QAM523133 PQQ523044:PQQ523133 PGU523044:PGU523133 OWY523044:OWY523133 ONC523044:ONC523133 ODG523044:ODG523133 NTK523044:NTK523133 NJO523044:NJO523133 MZS523044:MZS523133 MPW523044:MPW523133 MGA523044:MGA523133 LWE523044:LWE523133 LMI523044:LMI523133 LCM523044:LCM523133 KSQ523044:KSQ523133 KIU523044:KIU523133 JYY523044:JYY523133 JPC523044:JPC523133 JFG523044:JFG523133 IVK523044:IVK523133 ILO523044:ILO523133 IBS523044:IBS523133 HRW523044:HRW523133 HIA523044:HIA523133 GYE523044:GYE523133 GOI523044:GOI523133 GEM523044:GEM523133 FUQ523044:FUQ523133 FKU523044:FKU523133 FAY523044:FAY523133 ERC523044:ERC523133 EHG523044:EHG523133 DXK523044:DXK523133 DNO523044:DNO523133 DDS523044:DDS523133 CTW523044:CTW523133 CKA523044:CKA523133 CAE523044:CAE523133 BQI523044:BQI523133 BGM523044:BGM523133 AWQ523044:AWQ523133 AMU523044:AMU523133 ACY523044:ACY523133 TC523044:TC523133 JG523044:JG523133 K523053:K523142 WVS457508:WVS457597 WLW457508:WLW457597 WCA457508:WCA457597 VSE457508:VSE457597 VII457508:VII457597 UYM457508:UYM457597 UOQ457508:UOQ457597 UEU457508:UEU457597 TUY457508:TUY457597 TLC457508:TLC457597 TBG457508:TBG457597 SRK457508:SRK457597 SHO457508:SHO457597 RXS457508:RXS457597 RNW457508:RNW457597 REA457508:REA457597 QUE457508:QUE457597 QKI457508:QKI457597 QAM457508:QAM457597 PQQ457508:PQQ457597 PGU457508:PGU457597 OWY457508:OWY457597 ONC457508:ONC457597 ODG457508:ODG457597 NTK457508:NTK457597 NJO457508:NJO457597 MZS457508:MZS457597 MPW457508:MPW457597 MGA457508:MGA457597 LWE457508:LWE457597 LMI457508:LMI457597 LCM457508:LCM457597 KSQ457508:KSQ457597 KIU457508:KIU457597 JYY457508:JYY457597 JPC457508:JPC457597 JFG457508:JFG457597 IVK457508:IVK457597 ILO457508:ILO457597 IBS457508:IBS457597 HRW457508:HRW457597 HIA457508:HIA457597 GYE457508:GYE457597 GOI457508:GOI457597 GEM457508:GEM457597 FUQ457508:FUQ457597 FKU457508:FKU457597 FAY457508:FAY457597 ERC457508:ERC457597 EHG457508:EHG457597 DXK457508:DXK457597 DNO457508:DNO457597 DDS457508:DDS457597 CTW457508:CTW457597 CKA457508:CKA457597 CAE457508:CAE457597 BQI457508:BQI457597 BGM457508:BGM457597 AWQ457508:AWQ457597 AMU457508:AMU457597 ACY457508:ACY457597 TC457508:TC457597 JG457508:JG457597 K457517:K457606 WVS391972:WVS392061 WLW391972:WLW392061 WCA391972:WCA392061 VSE391972:VSE392061 VII391972:VII392061 UYM391972:UYM392061 UOQ391972:UOQ392061 UEU391972:UEU392061 TUY391972:TUY392061 TLC391972:TLC392061 TBG391972:TBG392061 SRK391972:SRK392061 SHO391972:SHO392061 RXS391972:RXS392061 RNW391972:RNW392061 REA391972:REA392061 QUE391972:QUE392061 QKI391972:QKI392061 QAM391972:QAM392061 PQQ391972:PQQ392061 PGU391972:PGU392061 OWY391972:OWY392061 ONC391972:ONC392061 ODG391972:ODG392061 NTK391972:NTK392061 NJO391972:NJO392061 MZS391972:MZS392061 MPW391972:MPW392061 MGA391972:MGA392061 LWE391972:LWE392061 LMI391972:LMI392061 LCM391972:LCM392061 KSQ391972:KSQ392061 KIU391972:KIU392061 JYY391972:JYY392061 JPC391972:JPC392061 JFG391972:JFG392061 IVK391972:IVK392061 ILO391972:ILO392061 IBS391972:IBS392061 HRW391972:HRW392061 HIA391972:HIA392061 GYE391972:GYE392061 GOI391972:GOI392061 GEM391972:GEM392061 FUQ391972:FUQ392061 FKU391972:FKU392061 FAY391972:FAY392061 ERC391972:ERC392061 EHG391972:EHG392061 DXK391972:DXK392061 DNO391972:DNO392061 DDS391972:DDS392061 CTW391972:CTW392061 CKA391972:CKA392061 CAE391972:CAE392061 BQI391972:BQI392061 BGM391972:BGM392061 AWQ391972:AWQ392061 AMU391972:AMU392061 ACY391972:ACY392061 TC391972:TC392061 JG391972:JG392061 K391981:K392070 WVS326436:WVS326525 WLW326436:WLW326525 WCA326436:WCA326525 VSE326436:VSE326525 VII326436:VII326525 UYM326436:UYM326525 UOQ326436:UOQ326525 UEU326436:UEU326525 TUY326436:TUY326525 TLC326436:TLC326525 TBG326436:TBG326525 SRK326436:SRK326525 SHO326436:SHO326525 RXS326436:RXS326525 RNW326436:RNW326525 REA326436:REA326525 QUE326436:QUE326525 QKI326436:QKI326525 QAM326436:QAM326525 PQQ326436:PQQ326525 PGU326436:PGU326525 OWY326436:OWY326525 ONC326436:ONC326525 ODG326436:ODG326525 NTK326436:NTK326525 NJO326436:NJO326525 MZS326436:MZS326525 MPW326436:MPW326525 MGA326436:MGA326525 LWE326436:LWE326525 LMI326436:LMI326525 LCM326436:LCM326525 KSQ326436:KSQ326525 KIU326436:KIU326525 JYY326436:JYY326525 JPC326436:JPC326525 JFG326436:JFG326525 IVK326436:IVK326525 ILO326436:ILO326525 IBS326436:IBS326525 HRW326436:HRW326525 HIA326436:HIA326525 GYE326436:GYE326525 GOI326436:GOI326525 GEM326436:GEM326525 FUQ326436:FUQ326525 FKU326436:FKU326525 FAY326436:FAY326525 ERC326436:ERC326525 EHG326436:EHG326525 DXK326436:DXK326525 DNO326436:DNO326525 DDS326436:DDS326525 CTW326436:CTW326525 CKA326436:CKA326525 CAE326436:CAE326525 BQI326436:BQI326525 BGM326436:BGM326525 AWQ326436:AWQ326525 AMU326436:AMU326525 ACY326436:ACY326525 TC326436:TC326525 JG326436:JG326525 K326445:K326534 WVS260900:WVS260989 WLW260900:WLW260989 WCA260900:WCA260989 VSE260900:VSE260989 VII260900:VII260989 UYM260900:UYM260989 UOQ260900:UOQ260989 UEU260900:UEU260989 TUY260900:TUY260989 TLC260900:TLC260989 TBG260900:TBG260989 SRK260900:SRK260989 SHO260900:SHO260989 RXS260900:RXS260989 RNW260900:RNW260989 REA260900:REA260989 QUE260900:QUE260989 QKI260900:QKI260989 QAM260900:QAM260989 PQQ260900:PQQ260989 PGU260900:PGU260989 OWY260900:OWY260989 ONC260900:ONC260989 ODG260900:ODG260989 NTK260900:NTK260989 NJO260900:NJO260989 MZS260900:MZS260989 MPW260900:MPW260989 MGA260900:MGA260989 LWE260900:LWE260989 LMI260900:LMI260989 LCM260900:LCM260989 KSQ260900:KSQ260989 KIU260900:KIU260989 JYY260900:JYY260989 JPC260900:JPC260989 JFG260900:JFG260989 IVK260900:IVK260989 ILO260900:ILO260989 IBS260900:IBS260989 HRW260900:HRW260989 HIA260900:HIA260989 GYE260900:GYE260989 GOI260900:GOI260989 GEM260900:GEM260989 FUQ260900:FUQ260989 FKU260900:FKU260989 FAY260900:FAY260989 ERC260900:ERC260989 EHG260900:EHG260989 DXK260900:DXK260989 DNO260900:DNO260989 DDS260900:DDS260989 CTW260900:CTW260989 CKA260900:CKA260989 CAE260900:CAE260989 BQI260900:BQI260989 BGM260900:BGM260989 AWQ260900:AWQ260989 AMU260900:AMU260989 ACY260900:ACY260989 TC260900:TC260989 JG260900:JG260989 K260909:K260998 WVS195364:WVS195453 WLW195364:WLW195453 WCA195364:WCA195453 VSE195364:VSE195453 VII195364:VII195453 UYM195364:UYM195453 UOQ195364:UOQ195453 UEU195364:UEU195453 TUY195364:TUY195453 TLC195364:TLC195453 TBG195364:TBG195453 SRK195364:SRK195453 SHO195364:SHO195453 RXS195364:RXS195453 RNW195364:RNW195453 REA195364:REA195453 QUE195364:QUE195453 QKI195364:QKI195453 QAM195364:QAM195453 PQQ195364:PQQ195453 PGU195364:PGU195453 OWY195364:OWY195453 ONC195364:ONC195453 ODG195364:ODG195453 NTK195364:NTK195453 NJO195364:NJO195453 MZS195364:MZS195453 MPW195364:MPW195453 MGA195364:MGA195453 LWE195364:LWE195453 LMI195364:LMI195453 LCM195364:LCM195453 KSQ195364:KSQ195453 KIU195364:KIU195453 JYY195364:JYY195453 JPC195364:JPC195453 JFG195364:JFG195453 IVK195364:IVK195453 ILO195364:ILO195453 IBS195364:IBS195453 HRW195364:HRW195453 HIA195364:HIA195453 GYE195364:GYE195453 GOI195364:GOI195453 GEM195364:GEM195453 FUQ195364:FUQ195453 FKU195364:FKU195453 FAY195364:FAY195453 ERC195364:ERC195453 EHG195364:EHG195453 DXK195364:DXK195453 DNO195364:DNO195453 DDS195364:DDS195453 CTW195364:CTW195453 CKA195364:CKA195453 CAE195364:CAE195453 BQI195364:BQI195453 BGM195364:BGM195453 AWQ195364:AWQ195453 AMU195364:AMU195453 ACY195364:ACY195453 TC195364:TC195453 JG195364:JG195453 K195373:K195462 WVS129828:WVS129917 WLW129828:WLW129917 WCA129828:WCA129917 VSE129828:VSE129917 VII129828:VII129917 UYM129828:UYM129917 UOQ129828:UOQ129917 UEU129828:UEU129917 TUY129828:TUY129917 TLC129828:TLC129917 TBG129828:TBG129917 SRK129828:SRK129917 SHO129828:SHO129917 RXS129828:RXS129917 RNW129828:RNW129917 REA129828:REA129917 QUE129828:QUE129917 QKI129828:QKI129917 QAM129828:QAM129917 PQQ129828:PQQ129917 PGU129828:PGU129917 OWY129828:OWY129917 ONC129828:ONC129917 ODG129828:ODG129917 NTK129828:NTK129917 NJO129828:NJO129917 MZS129828:MZS129917 MPW129828:MPW129917 MGA129828:MGA129917 LWE129828:LWE129917 LMI129828:LMI129917 LCM129828:LCM129917 KSQ129828:KSQ129917 KIU129828:KIU129917 JYY129828:JYY129917 JPC129828:JPC129917 JFG129828:JFG129917 IVK129828:IVK129917 ILO129828:ILO129917 IBS129828:IBS129917 HRW129828:HRW129917 HIA129828:HIA129917 GYE129828:GYE129917 GOI129828:GOI129917 GEM129828:GEM129917 FUQ129828:FUQ129917 FKU129828:FKU129917 FAY129828:FAY129917 ERC129828:ERC129917 EHG129828:EHG129917 DXK129828:DXK129917 DNO129828:DNO129917 DDS129828:DDS129917 CTW129828:CTW129917 CKA129828:CKA129917 CAE129828:CAE129917 BQI129828:BQI129917 BGM129828:BGM129917 AWQ129828:AWQ129917 AMU129828:AMU129917 ACY129828:ACY129917 TC129828:TC129917 JG129828:JG129917 K129837:K129926 WVS64292:WVS64381 WLW64292:WLW64381 WCA64292:WCA64381 VSE64292:VSE64381 VII64292:VII64381 UYM64292:UYM64381 UOQ64292:UOQ64381 UEU64292:UEU64381 TUY64292:TUY64381 TLC64292:TLC64381 TBG64292:TBG64381 SRK64292:SRK64381 SHO64292:SHO64381 RXS64292:RXS64381 RNW64292:RNW64381 REA64292:REA64381 QUE64292:QUE64381 QKI64292:QKI64381 QAM64292:QAM64381 PQQ64292:PQQ64381 PGU64292:PGU64381 OWY64292:OWY64381 ONC64292:ONC64381 ODG64292:ODG64381 NTK64292:NTK64381 NJO64292:NJO64381 MZS64292:MZS64381 MPW64292:MPW64381 MGA64292:MGA64381 LWE64292:LWE64381 LMI64292:LMI64381 LCM64292:LCM64381 KSQ64292:KSQ64381 KIU64292:KIU64381 JYY64292:JYY64381 JPC64292:JPC64381 JFG64292:JFG64381 IVK64292:IVK64381 ILO64292:ILO64381 IBS64292:IBS64381 HRW64292:HRW64381 HIA64292:HIA64381 GYE64292:GYE64381 GOI64292:GOI64381 GEM64292:GEM64381 FUQ64292:FUQ64381 FKU64292:FKU64381 FAY64292:FAY64381 ERC64292:ERC64381 EHG64292:EHG64381 DXK64292:DXK64381 DNO64292:DNO64381 DDS64292:DDS64381 CTW64292:CTW64381 CKA64292:CKA64381 CAE64292:CAE64381 BQI64292:BQI64381 BGM64292:BGM64381 AWQ64292:AWQ64381 AMU64292:AMU64381 ACY64292:ACY64381 TC64292:TC64381 JG64292:JG64381 K64301:K64390 WVS2:WVS64 WLW2:WLW64 WCA2:WCA64 VSE2:VSE64 VII2:VII64 UYM2:UYM64 UOQ2:UOQ64 UEU2:UEU64 TUY2:TUY64 TLC2:TLC64 TBG2:TBG64 SRK2:SRK64 SHO2:SHO64 RXS2:RXS64 RNW2:RNW64 REA2:REA64 QUE2:QUE64 QKI2:QKI64 QAM2:QAM64 PQQ2:PQQ64 PGU2:PGU64 OWY2:OWY64 ONC2:ONC64 ODG2:ODG64 NTK2:NTK64 NJO2:NJO64 MZS2:MZS64 MPW2:MPW64 MGA2:MGA64 LWE2:LWE64 LMI2:LMI64 LCM2:LCM64 KSQ2:KSQ64 KIU2:KIU64 JYY2:JYY64 JPC2:JPC64 JFG2:JFG64 IVK2:IVK64 ILO2:ILO64 IBS2:IBS64 HRW2:HRW64 HIA2:HIA64 GYE2:GYE64 GOI2:GOI64 GEM2:GEM64 FUQ2:FUQ64 FKU2:FKU64 FAY2:FAY64 ERC2:ERC64 EHG2:EHG64 DXK2:DXK64 DNO2:DNO64 DDS2:DDS64 CTW2:CTW64 CKA2:CKA64 CAE2:CAE64 BQI2:BQI64 BGM2:BGM64 AWQ2:AWQ64 AMU2:AMU64 ACY2:ACY64 TC2:TC64 JG2:JG64" xr:uid="{BAAEBA64-425E-4A89-9616-C7C21A83E208}">
      <formula1>$AR$2:$AR$24</formula1>
    </dataValidation>
    <dataValidation type="list" allowBlank="1" showInputMessage="1" showErrorMessage="1" sqref="WVR981796:WVR981885 WLV981796:WLV981885 WBZ981796:WBZ981885 VSD981796:VSD981885 VIH981796:VIH981885 UYL981796:UYL981885 UOP981796:UOP981885 UET981796:UET981885 TUX981796:TUX981885 TLB981796:TLB981885 TBF981796:TBF981885 SRJ981796:SRJ981885 SHN981796:SHN981885 RXR981796:RXR981885 RNV981796:RNV981885 RDZ981796:RDZ981885 QUD981796:QUD981885 QKH981796:QKH981885 QAL981796:QAL981885 PQP981796:PQP981885 PGT981796:PGT981885 OWX981796:OWX981885 ONB981796:ONB981885 ODF981796:ODF981885 NTJ981796:NTJ981885 NJN981796:NJN981885 MZR981796:MZR981885 MPV981796:MPV981885 MFZ981796:MFZ981885 LWD981796:LWD981885 LMH981796:LMH981885 LCL981796:LCL981885 KSP981796:KSP981885 KIT981796:KIT981885 JYX981796:JYX981885 JPB981796:JPB981885 JFF981796:JFF981885 IVJ981796:IVJ981885 ILN981796:ILN981885 IBR981796:IBR981885 HRV981796:HRV981885 HHZ981796:HHZ981885 GYD981796:GYD981885 GOH981796:GOH981885 GEL981796:GEL981885 FUP981796:FUP981885 FKT981796:FKT981885 FAX981796:FAX981885 ERB981796:ERB981885 EHF981796:EHF981885 DXJ981796:DXJ981885 DNN981796:DNN981885 DDR981796:DDR981885 CTV981796:CTV981885 CJZ981796:CJZ981885 CAD981796:CAD981885 BQH981796:BQH981885 BGL981796:BGL981885 AWP981796:AWP981885 AMT981796:AMT981885 ACX981796:ACX981885 TB981796:TB981885 JF981796:JF981885 J981805:J981894 WVR916260:WVR916349 WLV916260:WLV916349 WBZ916260:WBZ916349 VSD916260:VSD916349 VIH916260:VIH916349 UYL916260:UYL916349 UOP916260:UOP916349 UET916260:UET916349 TUX916260:TUX916349 TLB916260:TLB916349 TBF916260:TBF916349 SRJ916260:SRJ916349 SHN916260:SHN916349 RXR916260:RXR916349 RNV916260:RNV916349 RDZ916260:RDZ916349 QUD916260:QUD916349 QKH916260:QKH916349 QAL916260:QAL916349 PQP916260:PQP916349 PGT916260:PGT916349 OWX916260:OWX916349 ONB916260:ONB916349 ODF916260:ODF916349 NTJ916260:NTJ916349 NJN916260:NJN916349 MZR916260:MZR916349 MPV916260:MPV916349 MFZ916260:MFZ916349 LWD916260:LWD916349 LMH916260:LMH916349 LCL916260:LCL916349 KSP916260:KSP916349 KIT916260:KIT916349 JYX916260:JYX916349 JPB916260:JPB916349 JFF916260:JFF916349 IVJ916260:IVJ916349 ILN916260:ILN916349 IBR916260:IBR916349 HRV916260:HRV916349 HHZ916260:HHZ916349 GYD916260:GYD916349 GOH916260:GOH916349 GEL916260:GEL916349 FUP916260:FUP916349 FKT916260:FKT916349 FAX916260:FAX916349 ERB916260:ERB916349 EHF916260:EHF916349 DXJ916260:DXJ916349 DNN916260:DNN916349 DDR916260:DDR916349 CTV916260:CTV916349 CJZ916260:CJZ916349 CAD916260:CAD916349 BQH916260:BQH916349 BGL916260:BGL916349 AWP916260:AWP916349 AMT916260:AMT916349 ACX916260:ACX916349 TB916260:TB916349 JF916260:JF916349 J916269:J916358 WVR850724:WVR850813 WLV850724:WLV850813 WBZ850724:WBZ850813 VSD850724:VSD850813 VIH850724:VIH850813 UYL850724:UYL850813 UOP850724:UOP850813 UET850724:UET850813 TUX850724:TUX850813 TLB850724:TLB850813 TBF850724:TBF850813 SRJ850724:SRJ850813 SHN850724:SHN850813 RXR850724:RXR850813 RNV850724:RNV850813 RDZ850724:RDZ850813 QUD850724:QUD850813 QKH850724:QKH850813 QAL850724:QAL850813 PQP850724:PQP850813 PGT850724:PGT850813 OWX850724:OWX850813 ONB850724:ONB850813 ODF850724:ODF850813 NTJ850724:NTJ850813 NJN850724:NJN850813 MZR850724:MZR850813 MPV850724:MPV850813 MFZ850724:MFZ850813 LWD850724:LWD850813 LMH850724:LMH850813 LCL850724:LCL850813 KSP850724:KSP850813 KIT850724:KIT850813 JYX850724:JYX850813 JPB850724:JPB850813 JFF850724:JFF850813 IVJ850724:IVJ850813 ILN850724:ILN850813 IBR850724:IBR850813 HRV850724:HRV850813 HHZ850724:HHZ850813 GYD850724:GYD850813 GOH850724:GOH850813 GEL850724:GEL850813 FUP850724:FUP850813 FKT850724:FKT850813 FAX850724:FAX850813 ERB850724:ERB850813 EHF850724:EHF850813 DXJ850724:DXJ850813 DNN850724:DNN850813 DDR850724:DDR850813 CTV850724:CTV850813 CJZ850724:CJZ850813 CAD850724:CAD850813 BQH850724:BQH850813 BGL850724:BGL850813 AWP850724:AWP850813 AMT850724:AMT850813 ACX850724:ACX850813 TB850724:TB850813 JF850724:JF850813 J850733:J850822 WVR785188:WVR785277 WLV785188:WLV785277 WBZ785188:WBZ785277 VSD785188:VSD785277 VIH785188:VIH785277 UYL785188:UYL785277 UOP785188:UOP785277 UET785188:UET785277 TUX785188:TUX785277 TLB785188:TLB785277 TBF785188:TBF785277 SRJ785188:SRJ785277 SHN785188:SHN785277 RXR785188:RXR785277 RNV785188:RNV785277 RDZ785188:RDZ785277 QUD785188:QUD785277 QKH785188:QKH785277 QAL785188:QAL785277 PQP785188:PQP785277 PGT785188:PGT785277 OWX785188:OWX785277 ONB785188:ONB785277 ODF785188:ODF785277 NTJ785188:NTJ785277 NJN785188:NJN785277 MZR785188:MZR785277 MPV785188:MPV785277 MFZ785188:MFZ785277 LWD785188:LWD785277 LMH785188:LMH785277 LCL785188:LCL785277 KSP785188:KSP785277 KIT785188:KIT785277 JYX785188:JYX785277 JPB785188:JPB785277 JFF785188:JFF785277 IVJ785188:IVJ785277 ILN785188:ILN785277 IBR785188:IBR785277 HRV785188:HRV785277 HHZ785188:HHZ785277 GYD785188:GYD785277 GOH785188:GOH785277 GEL785188:GEL785277 FUP785188:FUP785277 FKT785188:FKT785277 FAX785188:FAX785277 ERB785188:ERB785277 EHF785188:EHF785277 DXJ785188:DXJ785277 DNN785188:DNN785277 DDR785188:DDR785277 CTV785188:CTV785277 CJZ785188:CJZ785277 CAD785188:CAD785277 BQH785188:BQH785277 BGL785188:BGL785277 AWP785188:AWP785277 AMT785188:AMT785277 ACX785188:ACX785277 TB785188:TB785277 JF785188:JF785277 J785197:J785286 WVR719652:WVR719741 WLV719652:WLV719741 WBZ719652:WBZ719741 VSD719652:VSD719741 VIH719652:VIH719741 UYL719652:UYL719741 UOP719652:UOP719741 UET719652:UET719741 TUX719652:TUX719741 TLB719652:TLB719741 TBF719652:TBF719741 SRJ719652:SRJ719741 SHN719652:SHN719741 RXR719652:RXR719741 RNV719652:RNV719741 RDZ719652:RDZ719741 QUD719652:QUD719741 QKH719652:QKH719741 QAL719652:QAL719741 PQP719652:PQP719741 PGT719652:PGT719741 OWX719652:OWX719741 ONB719652:ONB719741 ODF719652:ODF719741 NTJ719652:NTJ719741 NJN719652:NJN719741 MZR719652:MZR719741 MPV719652:MPV719741 MFZ719652:MFZ719741 LWD719652:LWD719741 LMH719652:LMH719741 LCL719652:LCL719741 KSP719652:KSP719741 KIT719652:KIT719741 JYX719652:JYX719741 JPB719652:JPB719741 JFF719652:JFF719741 IVJ719652:IVJ719741 ILN719652:ILN719741 IBR719652:IBR719741 HRV719652:HRV719741 HHZ719652:HHZ719741 GYD719652:GYD719741 GOH719652:GOH719741 GEL719652:GEL719741 FUP719652:FUP719741 FKT719652:FKT719741 FAX719652:FAX719741 ERB719652:ERB719741 EHF719652:EHF719741 DXJ719652:DXJ719741 DNN719652:DNN719741 DDR719652:DDR719741 CTV719652:CTV719741 CJZ719652:CJZ719741 CAD719652:CAD719741 BQH719652:BQH719741 BGL719652:BGL719741 AWP719652:AWP719741 AMT719652:AMT719741 ACX719652:ACX719741 TB719652:TB719741 JF719652:JF719741 J719661:J719750 WVR654116:WVR654205 WLV654116:WLV654205 WBZ654116:WBZ654205 VSD654116:VSD654205 VIH654116:VIH654205 UYL654116:UYL654205 UOP654116:UOP654205 UET654116:UET654205 TUX654116:TUX654205 TLB654116:TLB654205 TBF654116:TBF654205 SRJ654116:SRJ654205 SHN654116:SHN654205 RXR654116:RXR654205 RNV654116:RNV654205 RDZ654116:RDZ654205 QUD654116:QUD654205 QKH654116:QKH654205 QAL654116:QAL654205 PQP654116:PQP654205 PGT654116:PGT654205 OWX654116:OWX654205 ONB654116:ONB654205 ODF654116:ODF654205 NTJ654116:NTJ654205 NJN654116:NJN654205 MZR654116:MZR654205 MPV654116:MPV654205 MFZ654116:MFZ654205 LWD654116:LWD654205 LMH654116:LMH654205 LCL654116:LCL654205 KSP654116:KSP654205 KIT654116:KIT654205 JYX654116:JYX654205 JPB654116:JPB654205 JFF654116:JFF654205 IVJ654116:IVJ654205 ILN654116:ILN654205 IBR654116:IBR654205 HRV654116:HRV654205 HHZ654116:HHZ654205 GYD654116:GYD654205 GOH654116:GOH654205 GEL654116:GEL654205 FUP654116:FUP654205 FKT654116:FKT654205 FAX654116:FAX654205 ERB654116:ERB654205 EHF654116:EHF654205 DXJ654116:DXJ654205 DNN654116:DNN654205 DDR654116:DDR654205 CTV654116:CTV654205 CJZ654116:CJZ654205 CAD654116:CAD654205 BQH654116:BQH654205 BGL654116:BGL654205 AWP654116:AWP654205 AMT654116:AMT654205 ACX654116:ACX654205 TB654116:TB654205 JF654116:JF654205 J654125:J654214 WVR588580:WVR588669 WLV588580:WLV588669 WBZ588580:WBZ588669 VSD588580:VSD588669 VIH588580:VIH588669 UYL588580:UYL588669 UOP588580:UOP588669 UET588580:UET588669 TUX588580:TUX588669 TLB588580:TLB588669 TBF588580:TBF588669 SRJ588580:SRJ588669 SHN588580:SHN588669 RXR588580:RXR588669 RNV588580:RNV588669 RDZ588580:RDZ588669 QUD588580:QUD588669 QKH588580:QKH588669 QAL588580:QAL588669 PQP588580:PQP588669 PGT588580:PGT588669 OWX588580:OWX588669 ONB588580:ONB588669 ODF588580:ODF588669 NTJ588580:NTJ588669 NJN588580:NJN588669 MZR588580:MZR588669 MPV588580:MPV588669 MFZ588580:MFZ588669 LWD588580:LWD588669 LMH588580:LMH588669 LCL588580:LCL588669 KSP588580:KSP588669 KIT588580:KIT588669 JYX588580:JYX588669 JPB588580:JPB588669 JFF588580:JFF588669 IVJ588580:IVJ588669 ILN588580:ILN588669 IBR588580:IBR588669 HRV588580:HRV588669 HHZ588580:HHZ588669 GYD588580:GYD588669 GOH588580:GOH588669 GEL588580:GEL588669 FUP588580:FUP588669 FKT588580:FKT588669 FAX588580:FAX588669 ERB588580:ERB588669 EHF588580:EHF588669 DXJ588580:DXJ588669 DNN588580:DNN588669 DDR588580:DDR588669 CTV588580:CTV588669 CJZ588580:CJZ588669 CAD588580:CAD588669 BQH588580:BQH588669 BGL588580:BGL588669 AWP588580:AWP588669 AMT588580:AMT588669 ACX588580:ACX588669 TB588580:TB588669 JF588580:JF588669 J588589:J588678 WVR523044:WVR523133 WLV523044:WLV523133 WBZ523044:WBZ523133 VSD523044:VSD523133 VIH523044:VIH523133 UYL523044:UYL523133 UOP523044:UOP523133 UET523044:UET523133 TUX523044:TUX523133 TLB523044:TLB523133 TBF523044:TBF523133 SRJ523044:SRJ523133 SHN523044:SHN523133 RXR523044:RXR523133 RNV523044:RNV523133 RDZ523044:RDZ523133 QUD523044:QUD523133 QKH523044:QKH523133 QAL523044:QAL523133 PQP523044:PQP523133 PGT523044:PGT523133 OWX523044:OWX523133 ONB523044:ONB523133 ODF523044:ODF523133 NTJ523044:NTJ523133 NJN523044:NJN523133 MZR523044:MZR523133 MPV523044:MPV523133 MFZ523044:MFZ523133 LWD523044:LWD523133 LMH523044:LMH523133 LCL523044:LCL523133 KSP523044:KSP523133 KIT523044:KIT523133 JYX523044:JYX523133 JPB523044:JPB523133 JFF523044:JFF523133 IVJ523044:IVJ523133 ILN523044:ILN523133 IBR523044:IBR523133 HRV523044:HRV523133 HHZ523044:HHZ523133 GYD523044:GYD523133 GOH523044:GOH523133 GEL523044:GEL523133 FUP523044:FUP523133 FKT523044:FKT523133 FAX523044:FAX523133 ERB523044:ERB523133 EHF523044:EHF523133 DXJ523044:DXJ523133 DNN523044:DNN523133 DDR523044:DDR523133 CTV523044:CTV523133 CJZ523044:CJZ523133 CAD523044:CAD523133 BQH523044:BQH523133 BGL523044:BGL523133 AWP523044:AWP523133 AMT523044:AMT523133 ACX523044:ACX523133 TB523044:TB523133 JF523044:JF523133 J523053:J523142 WVR457508:WVR457597 WLV457508:WLV457597 WBZ457508:WBZ457597 VSD457508:VSD457597 VIH457508:VIH457597 UYL457508:UYL457597 UOP457508:UOP457597 UET457508:UET457597 TUX457508:TUX457597 TLB457508:TLB457597 TBF457508:TBF457597 SRJ457508:SRJ457597 SHN457508:SHN457597 RXR457508:RXR457597 RNV457508:RNV457597 RDZ457508:RDZ457597 QUD457508:QUD457597 QKH457508:QKH457597 QAL457508:QAL457597 PQP457508:PQP457597 PGT457508:PGT457597 OWX457508:OWX457597 ONB457508:ONB457597 ODF457508:ODF457597 NTJ457508:NTJ457597 NJN457508:NJN457597 MZR457508:MZR457597 MPV457508:MPV457597 MFZ457508:MFZ457597 LWD457508:LWD457597 LMH457508:LMH457597 LCL457508:LCL457597 KSP457508:KSP457597 KIT457508:KIT457597 JYX457508:JYX457597 JPB457508:JPB457597 JFF457508:JFF457597 IVJ457508:IVJ457597 ILN457508:ILN457597 IBR457508:IBR457597 HRV457508:HRV457597 HHZ457508:HHZ457597 GYD457508:GYD457597 GOH457508:GOH457597 GEL457508:GEL457597 FUP457508:FUP457597 FKT457508:FKT457597 FAX457508:FAX457597 ERB457508:ERB457597 EHF457508:EHF457597 DXJ457508:DXJ457597 DNN457508:DNN457597 DDR457508:DDR457597 CTV457508:CTV457597 CJZ457508:CJZ457597 CAD457508:CAD457597 BQH457508:BQH457597 BGL457508:BGL457597 AWP457508:AWP457597 AMT457508:AMT457597 ACX457508:ACX457597 TB457508:TB457597 JF457508:JF457597 J457517:J457606 WVR391972:WVR392061 WLV391972:WLV392061 WBZ391972:WBZ392061 VSD391972:VSD392061 VIH391972:VIH392061 UYL391972:UYL392061 UOP391972:UOP392061 UET391972:UET392061 TUX391972:TUX392061 TLB391972:TLB392061 TBF391972:TBF392061 SRJ391972:SRJ392061 SHN391972:SHN392061 RXR391972:RXR392061 RNV391972:RNV392061 RDZ391972:RDZ392061 QUD391972:QUD392061 QKH391972:QKH392061 QAL391972:QAL392061 PQP391972:PQP392061 PGT391972:PGT392061 OWX391972:OWX392061 ONB391972:ONB392061 ODF391972:ODF392061 NTJ391972:NTJ392061 NJN391972:NJN392061 MZR391972:MZR392061 MPV391972:MPV392061 MFZ391972:MFZ392061 LWD391972:LWD392061 LMH391972:LMH392061 LCL391972:LCL392061 KSP391972:KSP392061 KIT391972:KIT392061 JYX391972:JYX392061 JPB391972:JPB392061 JFF391972:JFF392061 IVJ391972:IVJ392061 ILN391972:ILN392061 IBR391972:IBR392061 HRV391972:HRV392061 HHZ391972:HHZ392061 GYD391972:GYD392061 GOH391972:GOH392061 GEL391972:GEL392061 FUP391972:FUP392061 FKT391972:FKT392061 FAX391972:FAX392061 ERB391972:ERB392061 EHF391972:EHF392061 DXJ391972:DXJ392061 DNN391972:DNN392061 DDR391972:DDR392061 CTV391972:CTV392061 CJZ391972:CJZ392061 CAD391972:CAD392061 BQH391972:BQH392061 BGL391972:BGL392061 AWP391972:AWP392061 AMT391972:AMT392061 ACX391972:ACX392061 TB391972:TB392061 JF391972:JF392061 J391981:J392070 WVR326436:WVR326525 WLV326436:WLV326525 WBZ326436:WBZ326525 VSD326436:VSD326525 VIH326436:VIH326525 UYL326436:UYL326525 UOP326436:UOP326525 UET326436:UET326525 TUX326436:TUX326525 TLB326436:TLB326525 TBF326436:TBF326525 SRJ326436:SRJ326525 SHN326436:SHN326525 RXR326436:RXR326525 RNV326436:RNV326525 RDZ326436:RDZ326525 QUD326436:QUD326525 QKH326436:QKH326525 QAL326436:QAL326525 PQP326436:PQP326525 PGT326436:PGT326525 OWX326436:OWX326525 ONB326436:ONB326525 ODF326436:ODF326525 NTJ326436:NTJ326525 NJN326436:NJN326525 MZR326436:MZR326525 MPV326436:MPV326525 MFZ326436:MFZ326525 LWD326436:LWD326525 LMH326436:LMH326525 LCL326436:LCL326525 KSP326436:KSP326525 KIT326436:KIT326525 JYX326436:JYX326525 JPB326436:JPB326525 JFF326436:JFF326525 IVJ326436:IVJ326525 ILN326436:ILN326525 IBR326436:IBR326525 HRV326436:HRV326525 HHZ326436:HHZ326525 GYD326436:GYD326525 GOH326436:GOH326525 GEL326436:GEL326525 FUP326436:FUP326525 FKT326436:FKT326525 FAX326436:FAX326525 ERB326436:ERB326525 EHF326436:EHF326525 DXJ326436:DXJ326525 DNN326436:DNN326525 DDR326436:DDR326525 CTV326436:CTV326525 CJZ326436:CJZ326525 CAD326436:CAD326525 BQH326436:BQH326525 BGL326436:BGL326525 AWP326436:AWP326525 AMT326436:AMT326525 ACX326436:ACX326525 TB326436:TB326525 JF326436:JF326525 J326445:J326534 WVR260900:WVR260989 WLV260900:WLV260989 WBZ260900:WBZ260989 VSD260900:VSD260989 VIH260900:VIH260989 UYL260900:UYL260989 UOP260900:UOP260989 UET260900:UET260989 TUX260900:TUX260989 TLB260900:TLB260989 TBF260900:TBF260989 SRJ260900:SRJ260989 SHN260900:SHN260989 RXR260900:RXR260989 RNV260900:RNV260989 RDZ260900:RDZ260989 QUD260900:QUD260989 QKH260900:QKH260989 QAL260900:QAL260989 PQP260900:PQP260989 PGT260900:PGT260989 OWX260900:OWX260989 ONB260900:ONB260989 ODF260900:ODF260989 NTJ260900:NTJ260989 NJN260900:NJN260989 MZR260900:MZR260989 MPV260900:MPV260989 MFZ260900:MFZ260989 LWD260900:LWD260989 LMH260900:LMH260989 LCL260900:LCL260989 KSP260900:KSP260989 KIT260900:KIT260989 JYX260900:JYX260989 JPB260900:JPB260989 JFF260900:JFF260989 IVJ260900:IVJ260989 ILN260900:ILN260989 IBR260900:IBR260989 HRV260900:HRV260989 HHZ260900:HHZ260989 GYD260900:GYD260989 GOH260900:GOH260989 GEL260900:GEL260989 FUP260900:FUP260989 FKT260900:FKT260989 FAX260900:FAX260989 ERB260900:ERB260989 EHF260900:EHF260989 DXJ260900:DXJ260989 DNN260900:DNN260989 DDR260900:DDR260989 CTV260900:CTV260989 CJZ260900:CJZ260989 CAD260900:CAD260989 BQH260900:BQH260989 BGL260900:BGL260989 AWP260900:AWP260989 AMT260900:AMT260989 ACX260900:ACX260989 TB260900:TB260989 JF260900:JF260989 J260909:J260998 WVR195364:WVR195453 WLV195364:WLV195453 WBZ195364:WBZ195453 VSD195364:VSD195453 VIH195364:VIH195453 UYL195364:UYL195453 UOP195364:UOP195453 UET195364:UET195453 TUX195364:TUX195453 TLB195364:TLB195453 TBF195364:TBF195453 SRJ195364:SRJ195453 SHN195364:SHN195453 RXR195364:RXR195453 RNV195364:RNV195453 RDZ195364:RDZ195453 QUD195364:QUD195453 QKH195364:QKH195453 QAL195364:QAL195453 PQP195364:PQP195453 PGT195364:PGT195453 OWX195364:OWX195453 ONB195364:ONB195453 ODF195364:ODF195453 NTJ195364:NTJ195453 NJN195364:NJN195453 MZR195364:MZR195453 MPV195364:MPV195453 MFZ195364:MFZ195453 LWD195364:LWD195453 LMH195364:LMH195453 LCL195364:LCL195453 KSP195364:KSP195453 KIT195364:KIT195453 JYX195364:JYX195453 JPB195364:JPB195453 JFF195364:JFF195453 IVJ195364:IVJ195453 ILN195364:ILN195453 IBR195364:IBR195453 HRV195364:HRV195453 HHZ195364:HHZ195453 GYD195364:GYD195453 GOH195364:GOH195453 GEL195364:GEL195453 FUP195364:FUP195453 FKT195364:FKT195453 FAX195364:FAX195453 ERB195364:ERB195453 EHF195364:EHF195453 DXJ195364:DXJ195453 DNN195364:DNN195453 DDR195364:DDR195453 CTV195364:CTV195453 CJZ195364:CJZ195453 CAD195364:CAD195453 BQH195364:BQH195453 BGL195364:BGL195453 AWP195364:AWP195453 AMT195364:AMT195453 ACX195364:ACX195453 TB195364:TB195453 JF195364:JF195453 J195373:J195462 WVR129828:WVR129917 WLV129828:WLV129917 WBZ129828:WBZ129917 VSD129828:VSD129917 VIH129828:VIH129917 UYL129828:UYL129917 UOP129828:UOP129917 UET129828:UET129917 TUX129828:TUX129917 TLB129828:TLB129917 TBF129828:TBF129917 SRJ129828:SRJ129917 SHN129828:SHN129917 RXR129828:RXR129917 RNV129828:RNV129917 RDZ129828:RDZ129917 QUD129828:QUD129917 QKH129828:QKH129917 QAL129828:QAL129917 PQP129828:PQP129917 PGT129828:PGT129917 OWX129828:OWX129917 ONB129828:ONB129917 ODF129828:ODF129917 NTJ129828:NTJ129917 NJN129828:NJN129917 MZR129828:MZR129917 MPV129828:MPV129917 MFZ129828:MFZ129917 LWD129828:LWD129917 LMH129828:LMH129917 LCL129828:LCL129917 KSP129828:KSP129917 KIT129828:KIT129917 JYX129828:JYX129917 JPB129828:JPB129917 JFF129828:JFF129917 IVJ129828:IVJ129917 ILN129828:ILN129917 IBR129828:IBR129917 HRV129828:HRV129917 HHZ129828:HHZ129917 GYD129828:GYD129917 GOH129828:GOH129917 GEL129828:GEL129917 FUP129828:FUP129917 FKT129828:FKT129917 FAX129828:FAX129917 ERB129828:ERB129917 EHF129828:EHF129917 DXJ129828:DXJ129917 DNN129828:DNN129917 DDR129828:DDR129917 CTV129828:CTV129917 CJZ129828:CJZ129917 CAD129828:CAD129917 BQH129828:BQH129917 BGL129828:BGL129917 AWP129828:AWP129917 AMT129828:AMT129917 ACX129828:ACX129917 TB129828:TB129917 JF129828:JF129917 J129837:J129926 WVR64292:WVR64381 WLV64292:WLV64381 WBZ64292:WBZ64381 VSD64292:VSD64381 VIH64292:VIH64381 UYL64292:UYL64381 UOP64292:UOP64381 UET64292:UET64381 TUX64292:TUX64381 TLB64292:TLB64381 TBF64292:TBF64381 SRJ64292:SRJ64381 SHN64292:SHN64381 RXR64292:RXR64381 RNV64292:RNV64381 RDZ64292:RDZ64381 QUD64292:QUD64381 QKH64292:QKH64381 QAL64292:QAL64381 PQP64292:PQP64381 PGT64292:PGT64381 OWX64292:OWX64381 ONB64292:ONB64381 ODF64292:ODF64381 NTJ64292:NTJ64381 NJN64292:NJN64381 MZR64292:MZR64381 MPV64292:MPV64381 MFZ64292:MFZ64381 LWD64292:LWD64381 LMH64292:LMH64381 LCL64292:LCL64381 KSP64292:KSP64381 KIT64292:KIT64381 JYX64292:JYX64381 JPB64292:JPB64381 JFF64292:JFF64381 IVJ64292:IVJ64381 ILN64292:ILN64381 IBR64292:IBR64381 HRV64292:HRV64381 HHZ64292:HHZ64381 GYD64292:GYD64381 GOH64292:GOH64381 GEL64292:GEL64381 FUP64292:FUP64381 FKT64292:FKT64381 FAX64292:FAX64381 ERB64292:ERB64381 EHF64292:EHF64381 DXJ64292:DXJ64381 DNN64292:DNN64381 DDR64292:DDR64381 CTV64292:CTV64381 CJZ64292:CJZ64381 CAD64292:CAD64381 BQH64292:BQH64381 BGL64292:BGL64381 AWP64292:AWP64381 AMT64292:AMT64381 ACX64292:ACX64381 TB64292:TB64381 JF64292:JF64381 J64301:J64390 JF2:JF64 TB2:TB64 ACX2:ACX64 AMT2:AMT64 AWP2:AWP64 BGL2:BGL64 BQH2:BQH64 CAD2:CAD64 CJZ2:CJZ64 CTV2:CTV64 DDR2:DDR64 DNN2:DNN64 DXJ2:DXJ64 EHF2:EHF64 ERB2:ERB64 FAX2:FAX64 FKT2:FKT64 FUP2:FUP64 GEL2:GEL64 GOH2:GOH64 GYD2:GYD64 HHZ2:HHZ64 HRV2:HRV64 IBR2:IBR64 ILN2:ILN64 IVJ2:IVJ64 JFF2:JFF64 JPB2:JPB64 JYX2:JYX64 KIT2:KIT64 KSP2:KSP64 LCL2:LCL64 LMH2:LMH64 LWD2:LWD64 MFZ2:MFZ64 MPV2:MPV64 MZR2:MZR64 NJN2:NJN64 NTJ2:NTJ64 ODF2:ODF64 ONB2:ONB64 OWX2:OWX64 PGT2:PGT64 PQP2:PQP64 QAL2:QAL64 QKH2:QKH64 QUD2:QUD64 RDZ2:RDZ64 RNV2:RNV64 RXR2:RXR64 SHN2:SHN64 SRJ2:SRJ64 TBF2:TBF64 TLB2:TLB64 TUX2:TUX64 UET2:UET64 UOP2:UOP64 UYL2:UYL64 VIH2:VIH64 VSD2:VSD64 WBZ2:WBZ64 WLV2:WLV64 WVR2:WVR64" xr:uid="{0C828DE9-2BF0-464F-8746-EE82CBD93323}">
      <formula1>$AP$2:$AP$15</formula1>
    </dataValidation>
    <dataValidation type="list" allowBlank="1" showInputMessage="1" showErrorMessage="1" sqref="WVN981796:WVN981885 WLR981796:WLR981885 WBV981796:WBV981885 VRZ981796:VRZ981885 VID981796:VID981885 UYH981796:UYH981885 UOL981796:UOL981885 UEP981796:UEP981885 TUT981796:TUT981885 TKX981796:TKX981885 TBB981796:TBB981885 SRF981796:SRF981885 SHJ981796:SHJ981885 RXN981796:RXN981885 RNR981796:RNR981885 RDV981796:RDV981885 QTZ981796:QTZ981885 QKD981796:QKD981885 QAH981796:QAH981885 PQL981796:PQL981885 PGP981796:PGP981885 OWT981796:OWT981885 OMX981796:OMX981885 ODB981796:ODB981885 NTF981796:NTF981885 NJJ981796:NJJ981885 MZN981796:MZN981885 MPR981796:MPR981885 MFV981796:MFV981885 LVZ981796:LVZ981885 LMD981796:LMD981885 LCH981796:LCH981885 KSL981796:KSL981885 KIP981796:KIP981885 JYT981796:JYT981885 JOX981796:JOX981885 JFB981796:JFB981885 IVF981796:IVF981885 ILJ981796:ILJ981885 IBN981796:IBN981885 HRR981796:HRR981885 HHV981796:HHV981885 GXZ981796:GXZ981885 GOD981796:GOD981885 GEH981796:GEH981885 FUL981796:FUL981885 FKP981796:FKP981885 FAT981796:FAT981885 EQX981796:EQX981885 EHB981796:EHB981885 DXF981796:DXF981885 DNJ981796:DNJ981885 DDN981796:DDN981885 CTR981796:CTR981885 CJV981796:CJV981885 BZZ981796:BZZ981885 BQD981796:BQD981885 BGH981796:BGH981885 AWL981796:AWL981885 AMP981796:AMP981885 ACT981796:ACT981885 SX981796:SX981885 JB981796:JB981885 F981807:F981896 WVN916260:WVN916349 WLR916260:WLR916349 WBV916260:WBV916349 VRZ916260:VRZ916349 VID916260:VID916349 UYH916260:UYH916349 UOL916260:UOL916349 UEP916260:UEP916349 TUT916260:TUT916349 TKX916260:TKX916349 TBB916260:TBB916349 SRF916260:SRF916349 SHJ916260:SHJ916349 RXN916260:RXN916349 RNR916260:RNR916349 RDV916260:RDV916349 QTZ916260:QTZ916349 QKD916260:QKD916349 QAH916260:QAH916349 PQL916260:PQL916349 PGP916260:PGP916349 OWT916260:OWT916349 OMX916260:OMX916349 ODB916260:ODB916349 NTF916260:NTF916349 NJJ916260:NJJ916349 MZN916260:MZN916349 MPR916260:MPR916349 MFV916260:MFV916349 LVZ916260:LVZ916349 LMD916260:LMD916349 LCH916260:LCH916349 KSL916260:KSL916349 KIP916260:KIP916349 JYT916260:JYT916349 JOX916260:JOX916349 JFB916260:JFB916349 IVF916260:IVF916349 ILJ916260:ILJ916349 IBN916260:IBN916349 HRR916260:HRR916349 HHV916260:HHV916349 GXZ916260:GXZ916349 GOD916260:GOD916349 GEH916260:GEH916349 FUL916260:FUL916349 FKP916260:FKP916349 FAT916260:FAT916349 EQX916260:EQX916349 EHB916260:EHB916349 DXF916260:DXF916349 DNJ916260:DNJ916349 DDN916260:DDN916349 CTR916260:CTR916349 CJV916260:CJV916349 BZZ916260:BZZ916349 BQD916260:BQD916349 BGH916260:BGH916349 AWL916260:AWL916349 AMP916260:AMP916349 ACT916260:ACT916349 SX916260:SX916349 JB916260:JB916349 F916271:F916360 WVN850724:WVN850813 WLR850724:WLR850813 WBV850724:WBV850813 VRZ850724:VRZ850813 VID850724:VID850813 UYH850724:UYH850813 UOL850724:UOL850813 UEP850724:UEP850813 TUT850724:TUT850813 TKX850724:TKX850813 TBB850724:TBB850813 SRF850724:SRF850813 SHJ850724:SHJ850813 RXN850724:RXN850813 RNR850724:RNR850813 RDV850724:RDV850813 QTZ850724:QTZ850813 QKD850724:QKD850813 QAH850724:QAH850813 PQL850724:PQL850813 PGP850724:PGP850813 OWT850724:OWT850813 OMX850724:OMX850813 ODB850724:ODB850813 NTF850724:NTF850813 NJJ850724:NJJ850813 MZN850724:MZN850813 MPR850724:MPR850813 MFV850724:MFV850813 LVZ850724:LVZ850813 LMD850724:LMD850813 LCH850724:LCH850813 KSL850724:KSL850813 KIP850724:KIP850813 JYT850724:JYT850813 JOX850724:JOX850813 JFB850724:JFB850813 IVF850724:IVF850813 ILJ850724:ILJ850813 IBN850724:IBN850813 HRR850724:HRR850813 HHV850724:HHV850813 GXZ850724:GXZ850813 GOD850724:GOD850813 GEH850724:GEH850813 FUL850724:FUL850813 FKP850724:FKP850813 FAT850724:FAT850813 EQX850724:EQX850813 EHB850724:EHB850813 DXF850724:DXF850813 DNJ850724:DNJ850813 DDN850724:DDN850813 CTR850724:CTR850813 CJV850724:CJV850813 BZZ850724:BZZ850813 BQD850724:BQD850813 BGH850724:BGH850813 AWL850724:AWL850813 AMP850724:AMP850813 ACT850724:ACT850813 SX850724:SX850813 JB850724:JB850813 F850735:F850824 WVN785188:WVN785277 WLR785188:WLR785277 WBV785188:WBV785277 VRZ785188:VRZ785277 VID785188:VID785277 UYH785188:UYH785277 UOL785188:UOL785277 UEP785188:UEP785277 TUT785188:TUT785277 TKX785188:TKX785277 TBB785188:TBB785277 SRF785188:SRF785277 SHJ785188:SHJ785277 RXN785188:RXN785277 RNR785188:RNR785277 RDV785188:RDV785277 QTZ785188:QTZ785277 QKD785188:QKD785277 QAH785188:QAH785277 PQL785188:PQL785277 PGP785188:PGP785277 OWT785188:OWT785277 OMX785188:OMX785277 ODB785188:ODB785277 NTF785188:NTF785277 NJJ785188:NJJ785277 MZN785188:MZN785277 MPR785188:MPR785277 MFV785188:MFV785277 LVZ785188:LVZ785277 LMD785188:LMD785277 LCH785188:LCH785277 KSL785188:KSL785277 KIP785188:KIP785277 JYT785188:JYT785277 JOX785188:JOX785277 JFB785188:JFB785277 IVF785188:IVF785277 ILJ785188:ILJ785277 IBN785188:IBN785277 HRR785188:HRR785277 HHV785188:HHV785277 GXZ785188:GXZ785277 GOD785188:GOD785277 GEH785188:GEH785277 FUL785188:FUL785277 FKP785188:FKP785277 FAT785188:FAT785277 EQX785188:EQX785277 EHB785188:EHB785277 DXF785188:DXF785277 DNJ785188:DNJ785277 DDN785188:DDN785277 CTR785188:CTR785277 CJV785188:CJV785277 BZZ785188:BZZ785277 BQD785188:BQD785277 BGH785188:BGH785277 AWL785188:AWL785277 AMP785188:AMP785277 ACT785188:ACT785277 SX785188:SX785277 JB785188:JB785277 F785199:F785288 WVN719652:WVN719741 WLR719652:WLR719741 WBV719652:WBV719741 VRZ719652:VRZ719741 VID719652:VID719741 UYH719652:UYH719741 UOL719652:UOL719741 UEP719652:UEP719741 TUT719652:TUT719741 TKX719652:TKX719741 TBB719652:TBB719741 SRF719652:SRF719741 SHJ719652:SHJ719741 RXN719652:RXN719741 RNR719652:RNR719741 RDV719652:RDV719741 QTZ719652:QTZ719741 QKD719652:QKD719741 QAH719652:QAH719741 PQL719652:PQL719741 PGP719652:PGP719741 OWT719652:OWT719741 OMX719652:OMX719741 ODB719652:ODB719741 NTF719652:NTF719741 NJJ719652:NJJ719741 MZN719652:MZN719741 MPR719652:MPR719741 MFV719652:MFV719741 LVZ719652:LVZ719741 LMD719652:LMD719741 LCH719652:LCH719741 KSL719652:KSL719741 KIP719652:KIP719741 JYT719652:JYT719741 JOX719652:JOX719741 JFB719652:JFB719741 IVF719652:IVF719741 ILJ719652:ILJ719741 IBN719652:IBN719741 HRR719652:HRR719741 HHV719652:HHV719741 GXZ719652:GXZ719741 GOD719652:GOD719741 GEH719652:GEH719741 FUL719652:FUL719741 FKP719652:FKP719741 FAT719652:FAT719741 EQX719652:EQX719741 EHB719652:EHB719741 DXF719652:DXF719741 DNJ719652:DNJ719741 DDN719652:DDN719741 CTR719652:CTR719741 CJV719652:CJV719741 BZZ719652:BZZ719741 BQD719652:BQD719741 BGH719652:BGH719741 AWL719652:AWL719741 AMP719652:AMP719741 ACT719652:ACT719741 SX719652:SX719741 JB719652:JB719741 F719663:F719752 WVN654116:WVN654205 WLR654116:WLR654205 WBV654116:WBV654205 VRZ654116:VRZ654205 VID654116:VID654205 UYH654116:UYH654205 UOL654116:UOL654205 UEP654116:UEP654205 TUT654116:TUT654205 TKX654116:TKX654205 TBB654116:TBB654205 SRF654116:SRF654205 SHJ654116:SHJ654205 RXN654116:RXN654205 RNR654116:RNR654205 RDV654116:RDV654205 QTZ654116:QTZ654205 QKD654116:QKD654205 QAH654116:QAH654205 PQL654116:PQL654205 PGP654116:PGP654205 OWT654116:OWT654205 OMX654116:OMX654205 ODB654116:ODB654205 NTF654116:NTF654205 NJJ654116:NJJ654205 MZN654116:MZN654205 MPR654116:MPR654205 MFV654116:MFV654205 LVZ654116:LVZ654205 LMD654116:LMD654205 LCH654116:LCH654205 KSL654116:KSL654205 KIP654116:KIP654205 JYT654116:JYT654205 JOX654116:JOX654205 JFB654116:JFB654205 IVF654116:IVF654205 ILJ654116:ILJ654205 IBN654116:IBN654205 HRR654116:HRR654205 HHV654116:HHV654205 GXZ654116:GXZ654205 GOD654116:GOD654205 GEH654116:GEH654205 FUL654116:FUL654205 FKP654116:FKP654205 FAT654116:FAT654205 EQX654116:EQX654205 EHB654116:EHB654205 DXF654116:DXF654205 DNJ654116:DNJ654205 DDN654116:DDN654205 CTR654116:CTR654205 CJV654116:CJV654205 BZZ654116:BZZ654205 BQD654116:BQD654205 BGH654116:BGH654205 AWL654116:AWL654205 AMP654116:AMP654205 ACT654116:ACT654205 SX654116:SX654205 JB654116:JB654205 F654127:F654216 WVN588580:WVN588669 WLR588580:WLR588669 WBV588580:WBV588669 VRZ588580:VRZ588669 VID588580:VID588669 UYH588580:UYH588669 UOL588580:UOL588669 UEP588580:UEP588669 TUT588580:TUT588669 TKX588580:TKX588669 TBB588580:TBB588669 SRF588580:SRF588669 SHJ588580:SHJ588669 RXN588580:RXN588669 RNR588580:RNR588669 RDV588580:RDV588669 QTZ588580:QTZ588669 QKD588580:QKD588669 QAH588580:QAH588669 PQL588580:PQL588669 PGP588580:PGP588669 OWT588580:OWT588669 OMX588580:OMX588669 ODB588580:ODB588669 NTF588580:NTF588669 NJJ588580:NJJ588669 MZN588580:MZN588669 MPR588580:MPR588669 MFV588580:MFV588669 LVZ588580:LVZ588669 LMD588580:LMD588669 LCH588580:LCH588669 KSL588580:KSL588669 KIP588580:KIP588669 JYT588580:JYT588669 JOX588580:JOX588669 JFB588580:JFB588669 IVF588580:IVF588669 ILJ588580:ILJ588669 IBN588580:IBN588669 HRR588580:HRR588669 HHV588580:HHV588669 GXZ588580:GXZ588669 GOD588580:GOD588669 GEH588580:GEH588669 FUL588580:FUL588669 FKP588580:FKP588669 FAT588580:FAT588669 EQX588580:EQX588669 EHB588580:EHB588669 DXF588580:DXF588669 DNJ588580:DNJ588669 DDN588580:DDN588669 CTR588580:CTR588669 CJV588580:CJV588669 BZZ588580:BZZ588669 BQD588580:BQD588669 BGH588580:BGH588669 AWL588580:AWL588669 AMP588580:AMP588669 ACT588580:ACT588669 SX588580:SX588669 JB588580:JB588669 F588591:F588680 WVN523044:WVN523133 WLR523044:WLR523133 WBV523044:WBV523133 VRZ523044:VRZ523133 VID523044:VID523133 UYH523044:UYH523133 UOL523044:UOL523133 UEP523044:UEP523133 TUT523044:TUT523133 TKX523044:TKX523133 TBB523044:TBB523133 SRF523044:SRF523133 SHJ523044:SHJ523133 RXN523044:RXN523133 RNR523044:RNR523133 RDV523044:RDV523133 QTZ523044:QTZ523133 QKD523044:QKD523133 QAH523044:QAH523133 PQL523044:PQL523133 PGP523044:PGP523133 OWT523044:OWT523133 OMX523044:OMX523133 ODB523044:ODB523133 NTF523044:NTF523133 NJJ523044:NJJ523133 MZN523044:MZN523133 MPR523044:MPR523133 MFV523044:MFV523133 LVZ523044:LVZ523133 LMD523044:LMD523133 LCH523044:LCH523133 KSL523044:KSL523133 KIP523044:KIP523133 JYT523044:JYT523133 JOX523044:JOX523133 JFB523044:JFB523133 IVF523044:IVF523133 ILJ523044:ILJ523133 IBN523044:IBN523133 HRR523044:HRR523133 HHV523044:HHV523133 GXZ523044:GXZ523133 GOD523044:GOD523133 GEH523044:GEH523133 FUL523044:FUL523133 FKP523044:FKP523133 FAT523044:FAT523133 EQX523044:EQX523133 EHB523044:EHB523133 DXF523044:DXF523133 DNJ523044:DNJ523133 DDN523044:DDN523133 CTR523044:CTR523133 CJV523044:CJV523133 BZZ523044:BZZ523133 BQD523044:BQD523133 BGH523044:BGH523133 AWL523044:AWL523133 AMP523044:AMP523133 ACT523044:ACT523133 SX523044:SX523133 JB523044:JB523133 F523055:F523144 WVN457508:WVN457597 WLR457508:WLR457597 WBV457508:WBV457597 VRZ457508:VRZ457597 VID457508:VID457597 UYH457508:UYH457597 UOL457508:UOL457597 UEP457508:UEP457597 TUT457508:TUT457597 TKX457508:TKX457597 TBB457508:TBB457597 SRF457508:SRF457597 SHJ457508:SHJ457597 RXN457508:RXN457597 RNR457508:RNR457597 RDV457508:RDV457597 QTZ457508:QTZ457597 QKD457508:QKD457597 QAH457508:QAH457597 PQL457508:PQL457597 PGP457508:PGP457597 OWT457508:OWT457597 OMX457508:OMX457597 ODB457508:ODB457597 NTF457508:NTF457597 NJJ457508:NJJ457597 MZN457508:MZN457597 MPR457508:MPR457597 MFV457508:MFV457597 LVZ457508:LVZ457597 LMD457508:LMD457597 LCH457508:LCH457597 KSL457508:KSL457597 KIP457508:KIP457597 JYT457508:JYT457597 JOX457508:JOX457597 JFB457508:JFB457597 IVF457508:IVF457597 ILJ457508:ILJ457597 IBN457508:IBN457597 HRR457508:HRR457597 HHV457508:HHV457597 GXZ457508:GXZ457597 GOD457508:GOD457597 GEH457508:GEH457597 FUL457508:FUL457597 FKP457508:FKP457597 FAT457508:FAT457597 EQX457508:EQX457597 EHB457508:EHB457597 DXF457508:DXF457597 DNJ457508:DNJ457597 DDN457508:DDN457597 CTR457508:CTR457597 CJV457508:CJV457597 BZZ457508:BZZ457597 BQD457508:BQD457597 BGH457508:BGH457597 AWL457508:AWL457597 AMP457508:AMP457597 ACT457508:ACT457597 SX457508:SX457597 JB457508:JB457597 F457519:F457608 WVN391972:WVN392061 WLR391972:WLR392061 WBV391972:WBV392061 VRZ391972:VRZ392061 VID391972:VID392061 UYH391972:UYH392061 UOL391972:UOL392061 UEP391972:UEP392061 TUT391972:TUT392061 TKX391972:TKX392061 TBB391972:TBB392061 SRF391972:SRF392061 SHJ391972:SHJ392061 RXN391972:RXN392061 RNR391972:RNR392061 RDV391972:RDV392061 QTZ391972:QTZ392061 QKD391972:QKD392061 QAH391972:QAH392061 PQL391972:PQL392061 PGP391972:PGP392061 OWT391972:OWT392061 OMX391972:OMX392061 ODB391972:ODB392061 NTF391972:NTF392061 NJJ391972:NJJ392061 MZN391972:MZN392061 MPR391972:MPR392061 MFV391972:MFV392061 LVZ391972:LVZ392061 LMD391972:LMD392061 LCH391972:LCH392061 KSL391972:KSL392061 KIP391972:KIP392061 JYT391972:JYT392061 JOX391972:JOX392061 JFB391972:JFB392061 IVF391972:IVF392061 ILJ391972:ILJ392061 IBN391972:IBN392061 HRR391972:HRR392061 HHV391972:HHV392061 GXZ391972:GXZ392061 GOD391972:GOD392061 GEH391972:GEH392061 FUL391972:FUL392061 FKP391972:FKP392061 FAT391972:FAT392061 EQX391972:EQX392061 EHB391972:EHB392061 DXF391972:DXF392061 DNJ391972:DNJ392061 DDN391972:DDN392061 CTR391972:CTR392061 CJV391972:CJV392061 BZZ391972:BZZ392061 BQD391972:BQD392061 BGH391972:BGH392061 AWL391972:AWL392061 AMP391972:AMP392061 ACT391972:ACT392061 SX391972:SX392061 JB391972:JB392061 F391983:F392072 WVN326436:WVN326525 WLR326436:WLR326525 WBV326436:WBV326525 VRZ326436:VRZ326525 VID326436:VID326525 UYH326436:UYH326525 UOL326436:UOL326525 UEP326436:UEP326525 TUT326436:TUT326525 TKX326436:TKX326525 TBB326436:TBB326525 SRF326436:SRF326525 SHJ326436:SHJ326525 RXN326436:RXN326525 RNR326436:RNR326525 RDV326436:RDV326525 QTZ326436:QTZ326525 QKD326436:QKD326525 QAH326436:QAH326525 PQL326436:PQL326525 PGP326436:PGP326525 OWT326436:OWT326525 OMX326436:OMX326525 ODB326436:ODB326525 NTF326436:NTF326525 NJJ326436:NJJ326525 MZN326436:MZN326525 MPR326436:MPR326525 MFV326436:MFV326525 LVZ326436:LVZ326525 LMD326436:LMD326525 LCH326436:LCH326525 KSL326436:KSL326525 KIP326436:KIP326525 JYT326436:JYT326525 JOX326436:JOX326525 JFB326436:JFB326525 IVF326436:IVF326525 ILJ326436:ILJ326525 IBN326436:IBN326525 HRR326436:HRR326525 HHV326436:HHV326525 GXZ326436:GXZ326525 GOD326436:GOD326525 GEH326436:GEH326525 FUL326436:FUL326525 FKP326436:FKP326525 FAT326436:FAT326525 EQX326436:EQX326525 EHB326436:EHB326525 DXF326436:DXF326525 DNJ326436:DNJ326525 DDN326436:DDN326525 CTR326436:CTR326525 CJV326436:CJV326525 BZZ326436:BZZ326525 BQD326436:BQD326525 BGH326436:BGH326525 AWL326436:AWL326525 AMP326436:AMP326525 ACT326436:ACT326525 SX326436:SX326525 JB326436:JB326525 F326447:F326536 WVN260900:WVN260989 WLR260900:WLR260989 WBV260900:WBV260989 VRZ260900:VRZ260989 VID260900:VID260989 UYH260900:UYH260989 UOL260900:UOL260989 UEP260900:UEP260989 TUT260900:TUT260989 TKX260900:TKX260989 TBB260900:TBB260989 SRF260900:SRF260989 SHJ260900:SHJ260989 RXN260900:RXN260989 RNR260900:RNR260989 RDV260900:RDV260989 QTZ260900:QTZ260989 QKD260900:QKD260989 QAH260900:QAH260989 PQL260900:PQL260989 PGP260900:PGP260989 OWT260900:OWT260989 OMX260900:OMX260989 ODB260900:ODB260989 NTF260900:NTF260989 NJJ260900:NJJ260989 MZN260900:MZN260989 MPR260900:MPR260989 MFV260900:MFV260989 LVZ260900:LVZ260989 LMD260900:LMD260989 LCH260900:LCH260989 KSL260900:KSL260989 KIP260900:KIP260989 JYT260900:JYT260989 JOX260900:JOX260989 JFB260900:JFB260989 IVF260900:IVF260989 ILJ260900:ILJ260989 IBN260900:IBN260989 HRR260900:HRR260989 HHV260900:HHV260989 GXZ260900:GXZ260989 GOD260900:GOD260989 GEH260900:GEH260989 FUL260900:FUL260989 FKP260900:FKP260989 FAT260900:FAT260989 EQX260900:EQX260989 EHB260900:EHB260989 DXF260900:DXF260989 DNJ260900:DNJ260989 DDN260900:DDN260989 CTR260900:CTR260989 CJV260900:CJV260989 BZZ260900:BZZ260989 BQD260900:BQD260989 BGH260900:BGH260989 AWL260900:AWL260989 AMP260900:AMP260989 ACT260900:ACT260989 SX260900:SX260989 JB260900:JB260989 F260911:F261000 WVN195364:WVN195453 WLR195364:WLR195453 WBV195364:WBV195453 VRZ195364:VRZ195453 VID195364:VID195453 UYH195364:UYH195453 UOL195364:UOL195453 UEP195364:UEP195453 TUT195364:TUT195453 TKX195364:TKX195453 TBB195364:TBB195453 SRF195364:SRF195453 SHJ195364:SHJ195453 RXN195364:RXN195453 RNR195364:RNR195453 RDV195364:RDV195453 QTZ195364:QTZ195453 QKD195364:QKD195453 QAH195364:QAH195453 PQL195364:PQL195453 PGP195364:PGP195453 OWT195364:OWT195453 OMX195364:OMX195453 ODB195364:ODB195453 NTF195364:NTF195453 NJJ195364:NJJ195453 MZN195364:MZN195453 MPR195364:MPR195453 MFV195364:MFV195453 LVZ195364:LVZ195453 LMD195364:LMD195453 LCH195364:LCH195453 KSL195364:KSL195453 KIP195364:KIP195453 JYT195364:JYT195453 JOX195364:JOX195453 JFB195364:JFB195453 IVF195364:IVF195453 ILJ195364:ILJ195453 IBN195364:IBN195453 HRR195364:HRR195453 HHV195364:HHV195453 GXZ195364:GXZ195453 GOD195364:GOD195453 GEH195364:GEH195453 FUL195364:FUL195453 FKP195364:FKP195453 FAT195364:FAT195453 EQX195364:EQX195453 EHB195364:EHB195453 DXF195364:DXF195453 DNJ195364:DNJ195453 DDN195364:DDN195453 CTR195364:CTR195453 CJV195364:CJV195453 BZZ195364:BZZ195453 BQD195364:BQD195453 BGH195364:BGH195453 AWL195364:AWL195453 AMP195364:AMP195453 ACT195364:ACT195453 SX195364:SX195453 JB195364:JB195453 F195375:F195464 WVN129828:WVN129917 WLR129828:WLR129917 WBV129828:WBV129917 VRZ129828:VRZ129917 VID129828:VID129917 UYH129828:UYH129917 UOL129828:UOL129917 UEP129828:UEP129917 TUT129828:TUT129917 TKX129828:TKX129917 TBB129828:TBB129917 SRF129828:SRF129917 SHJ129828:SHJ129917 RXN129828:RXN129917 RNR129828:RNR129917 RDV129828:RDV129917 QTZ129828:QTZ129917 QKD129828:QKD129917 QAH129828:QAH129917 PQL129828:PQL129917 PGP129828:PGP129917 OWT129828:OWT129917 OMX129828:OMX129917 ODB129828:ODB129917 NTF129828:NTF129917 NJJ129828:NJJ129917 MZN129828:MZN129917 MPR129828:MPR129917 MFV129828:MFV129917 LVZ129828:LVZ129917 LMD129828:LMD129917 LCH129828:LCH129917 KSL129828:KSL129917 KIP129828:KIP129917 JYT129828:JYT129917 JOX129828:JOX129917 JFB129828:JFB129917 IVF129828:IVF129917 ILJ129828:ILJ129917 IBN129828:IBN129917 HRR129828:HRR129917 HHV129828:HHV129917 GXZ129828:GXZ129917 GOD129828:GOD129917 GEH129828:GEH129917 FUL129828:FUL129917 FKP129828:FKP129917 FAT129828:FAT129917 EQX129828:EQX129917 EHB129828:EHB129917 DXF129828:DXF129917 DNJ129828:DNJ129917 DDN129828:DDN129917 CTR129828:CTR129917 CJV129828:CJV129917 BZZ129828:BZZ129917 BQD129828:BQD129917 BGH129828:BGH129917 AWL129828:AWL129917 AMP129828:AMP129917 ACT129828:ACT129917 SX129828:SX129917 JB129828:JB129917 F129839:F129928 WVN64292:WVN64381 WLR64292:WLR64381 WBV64292:WBV64381 VRZ64292:VRZ64381 VID64292:VID64381 UYH64292:UYH64381 UOL64292:UOL64381 UEP64292:UEP64381 TUT64292:TUT64381 TKX64292:TKX64381 TBB64292:TBB64381 SRF64292:SRF64381 SHJ64292:SHJ64381 RXN64292:RXN64381 RNR64292:RNR64381 RDV64292:RDV64381 QTZ64292:QTZ64381 QKD64292:QKD64381 QAH64292:QAH64381 PQL64292:PQL64381 PGP64292:PGP64381 OWT64292:OWT64381 OMX64292:OMX64381 ODB64292:ODB64381 NTF64292:NTF64381 NJJ64292:NJJ64381 MZN64292:MZN64381 MPR64292:MPR64381 MFV64292:MFV64381 LVZ64292:LVZ64381 LMD64292:LMD64381 LCH64292:LCH64381 KSL64292:KSL64381 KIP64292:KIP64381 JYT64292:JYT64381 JOX64292:JOX64381 JFB64292:JFB64381 IVF64292:IVF64381 ILJ64292:ILJ64381 IBN64292:IBN64381 HRR64292:HRR64381 HHV64292:HHV64381 GXZ64292:GXZ64381 GOD64292:GOD64381 GEH64292:GEH64381 FUL64292:FUL64381 FKP64292:FKP64381 FAT64292:FAT64381 EQX64292:EQX64381 EHB64292:EHB64381 DXF64292:DXF64381 DNJ64292:DNJ64381 DDN64292:DDN64381 CTR64292:CTR64381 CJV64292:CJV64381 BZZ64292:BZZ64381 BQD64292:BQD64381 BGH64292:BGH64381 AWL64292:AWL64381 AMP64292:AMP64381 ACT64292:ACT64381 SX64292:SX64381 JB64292:JB64381 F64303:F64392 WVN2:WVN64 WLR2:WLR64 WBV2:WBV64 VRZ2:VRZ64 VID2:VID64 UYH2:UYH64 UOL2:UOL64 UEP2:UEP64 TUT2:TUT64 TKX2:TKX64 TBB2:TBB64 SRF2:SRF64 SHJ2:SHJ64 RXN2:RXN64 RNR2:RNR64 RDV2:RDV64 QTZ2:QTZ64 QKD2:QKD64 QAH2:QAH64 PQL2:PQL64 PGP2:PGP64 OWT2:OWT64 OMX2:OMX64 ODB2:ODB64 NTF2:NTF64 NJJ2:NJJ64 MZN2:MZN64 MPR2:MPR64 MFV2:MFV64 LVZ2:LVZ64 LMD2:LMD64 LCH2:LCH64 KSL2:KSL64 KIP2:KIP64 JYT2:JYT64 JOX2:JOX64 JFB2:JFB64 IVF2:IVF64 ILJ2:ILJ64 IBN2:IBN64 HRR2:HRR64 HHV2:HHV64 GXZ2:GXZ64 GOD2:GOD64 GEH2:GEH64 FUL2:FUL64 FKP2:FKP64 FAT2:FAT64 EQX2:EQX64 EHB2:EHB64 DXF2:DXF64 DNJ2:DNJ64 DDN2:DDN64 CTR2:CTR64 CJV2:CJV64 BZZ2:BZZ64 BQD2:BQD64 BGH2:BGH64 AWL2:AWL64 AMP2:AMP64 ACT2:ACT64 SX2:SX64 JB2:JB64" xr:uid="{C683DEEB-7854-43E3-8164-F6E56DDCE45E}">
      <formula1>$AH$2:$AH$13</formula1>
    </dataValidation>
    <dataValidation type="list" allowBlank="1" showInputMessage="1" showErrorMessage="1" sqref="WVM981796:WVM981885 WLQ981796:WLQ981885 WBU981796:WBU981885 VRY981796:VRY981885 VIC981796:VIC981885 UYG981796:UYG981885 UOK981796:UOK981885 UEO981796:UEO981885 TUS981796:TUS981885 TKW981796:TKW981885 TBA981796:TBA981885 SRE981796:SRE981885 SHI981796:SHI981885 RXM981796:RXM981885 RNQ981796:RNQ981885 RDU981796:RDU981885 QTY981796:QTY981885 QKC981796:QKC981885 QAG981796:QAG981885 PQK981796:PQK981885 PGO981796:PGO981885 OWS981796:OWS981885 OMW981796:OMW981885 ODA981796:ODA981885 NTE981796:NTE981885 NJI981796:NJI981885 MZM981796:MZM981885 MPQ981796:MPQ981885 MFU981796:MFU981885 LVY981796:LVY981885 LMC981796:LMC981885 LCG981796:LCG981885 KSK981796:KSK981885 KIO981796:KIO981885 JYS981796:JYS981885 JOW981796:JOW981885 JFA981796:JFA981885 IVE981796:IVE981885 ILI981796:ILI981885 IBM981796:IBM981885 HRQ981796:HRQ981885 HHU981796:HHU981885 GXY981796:GXY981885 GOC981796:GOC981885 GEG981796:GEG981885 FUK981796:FUK981885 FKO981796:FKO981885 FAS981796:FAS981885 EQW981796:EQW981885 EHA981796:EHA981885 DXE981796:DXE981885 DNI981796:DNI981885 DDM981796:DDM981885 CTQ981796:CTQ981885 CJU981796:CJU981885 BZY981796:BZY981885 BQC981796:BQC981885 BGG981796:BGG981885 AWK981796:AWK981885 AMO981796:AMO981885 ACS981796:ACS981885 SW981796:SW981885 JA981796:JA981885 E981807:E981896 WVM916260:WVM916349 WLQ916260:WLQ916349 WBU916260:WBU916349 VRY916260:VRY916349 VIC916260:VIC916349 UYG916260:UYG916349 UOK916260:UOK916349 UEO916260:UEO916349 TUS916260:TUS916349 TKW916260:TKW916349 TBA916260:TBA916349 SRE916260:SRE916349 SHI916260:SHI916349 RXM916260:RXM916349 RNQ916260:RNQ916349 RDU916260:RDU916349 QTY916260:QTY916349 QKC916260:QKC916349 QAG916260:QAG916349 PQK916260:PQK916349 PGO916260:PGO916349 OWS916260:OWS916349 OMW916260:OMW916349 ODA916260:ODA916349 NTE916260:NTE916349 NJI916260:NJI916349 MZM916260:MZM916349 MPQ916260:MPQ916349 MFU916260:MFU916349 LVY916260:LVY916349 LMC916260:LMC916349 LCG916260:LCG916349 KSK916260:KSK916349 KIO916260:KIO916349 JYS916260:JYS916349 JOW916260:JOW916349 JFA916260:JFA916349 IVE916260:IVE916349 ILI916260:ILI916349 IBM916260:IBM916349 HRQ916260:HRQ916349 HHU916260:HHU916349 GXY916260:GXY916349 GOC916260:GOC916349 GEG916260:GEG916349 FUK916260:FUK916349 FKO916260:FKO916349 FAS916260:FAS916349 EQW916260:EQW916349 EHA916260:EHA916349 DXE916260:DXE916349 DNI916260:DNI916349 DDM916260:DDM916349 CTQ916260:CTQ916349 CJU916260:CJU916349 BZY916260:BZY916349 BQC916260:BQC916349 BGG916260:BGG916349 AWK916260:AWK916349 AMO916260:AMO916349 ACS916260:ACS916349 SW916260:SW916349 JA916260:JA916349 E916271:E916360 WVM850724:WVM850813 WLQ850724:WLQ850813 WBU850724:WBU850813 VRY850724:VRY850813 VIC850724:VIC850813 UYG850724:UYG850813 UOK850724:UOK850813 UEO850724:UEO850813 TUS850724:TUS850813 TKW850724:TKW850813 TBA850724:TBA850813 SRE850724:SRE850813 SHI850724:SHI850813 RXM850724:RXM850813 RNQ850724:RNQ850813 RDU850724:RDU850813 QTY850724:QTY850813 QKC850724:QKC850813 QAG850724:QAG850813 PQK850724:PQK850813 PGO850724:PGO850813 OWS850724:OWS850813 OMW850724:OMW850813 ODA850724:ODA850813 NTE850724:NTE850813 NJI850724:NJI850813 MZM850724:MZM850813 MPQ850724:MPQ850813 MFU850724:MFU850813 LVY850724:LVY850813 LMC850724:LMC850813 LCG850724:LCG850813 KSK850724:KSK850813 KIO850724:KIO850813 JYS850724:JYS850813 JOW850724:JOW850813 JFA850724:JFA850813 IVE850724:IVE850813 ILI850724:ILI850813 IBM850724:IBM850813 HRQ850724:HRQ850813 HHU850724:HHU850813 GXY850724:GXY850813 GOC850724:GOC850813 GEG850724:GEG850813 FUK850724:FUK850813 FKO850724:FKO850813 FAS850724:FAS850813 EQW850724:EQW850813 EHA850724:EHA850813 DXE850724:DXE850813 DNI850724:DNI850813 DDM850724:DDM850813 CTQ850724:CTQ850813 CJU850724:CJU850813 BZY850724:BZY850813 BQC850724:BQC850813 BGG850724:BGG850813 AWK850724:AWK850813 AMO850724:AMO850813 ACS850724:ACS850813 SW850724:SW850813 JA850724:JA850813 E850735:E850824 WVM785188:WVM785277 WLQ785188:WLQ785277 WBU785188:WBU785277 VRY785188:VRY785277 VIC785188:VIC785277 UYG785188:UYG785277 UOK785188:UOK785277 UEO785188:UEO785277 TUS785188:TUS785277 TKW785188:TKW785277 TBA785188:TBA785277 SRE785188:SRE785277 SHI785188:SHI785277 RXM785188:RXM785277 RNQ785188:RNQ785277 RDU785188:RDU785277 QTY785188:QTY785277 QKC785188:QKC785277 QAG785188:QAG785277 PQK785188:PQK785277 PGO785188:PGO785277 OWS785188:OWS785277 OMW785188:OMW785277 ODA785188:ODA785277 NTE785188:NTE785277 NJI785188:NJI785277 MZM785188:MZM785277 MPQ785188:MPQ785277 MFU785188:MFU785277 LVY785188:LVY785277 LMC785188:LMC785277 LCG785188:LCG785277 KSK785188:KSK785277 KIO785188:KIO785277 JYS785188:JYS785277 JOW785188:JOW785277 JFA785188:JFA785277 IVE785188:IVE785277 ILI785188:ILI785277 IBM785188:IBM785277 HRQ785188:HRQ785277 HHU785188:HHU785277 GXY785188:GXY785277 GOC785188:GOC785277 GEG785188:GEG785277 FUK785188:FUK785277 FKO785188:FKO785277 FAS785188:FAS785277 EQW785188:EQW785277 EHA785188:EHA785277 DXE785188:DXE785277 DNI785188:DNI785277 DDM785188:DDM785277 CTQ785188:CTQ785277 CJU785188:CJU785277 BZY785188:BZY785277 BQC785188:BQC785277 BGG785188:BGG785277 AWK785188:AWK785277 AMO785188:AMO785277 ACS785188:ACS785277 SW785188:SW785277 JA785188:JA785277 E785199:E785288 WVM719652:WVM719741 WLQ719652:WLQ719741 WBU719652:WBU719741 VRY719652:VRY719741 VIC719652:VIC719741 UYG719652:UYG719741 UOK719652:UOK719741 UEO719652:UEO719741 TUS719652:TUS719741 TKW719652:TKW719741 TBA719652:TBA719741 SRE719652:SRE719741 SHI719652:SHI719741 RXM719652:RXM719741 RNQ719652:RNQ719741 RDU719652:RDU719741 QTY719652:QTY719741 QKC719652:QKC719741 QAG719652:QAG719741 PQK719652:PQK719741 PGO719652:PGO719741 OWS719652:OWS719741 OMW719652:OMW719741 ODA719652:ODA719741 NTE719652:NTE719741 NJI719652:NJI719741 MZM719652:MZM719741 MPQ719652:MPQ719741 MFU719652:MFU719741 LVY719652:LVY719741 LMC719652:LMC719741 LCG719652:LCG719741 KSK719652:KSK719741 KIO719652:KIO719741 JYS719652:JYS719741 JOW719652:JOW719741 JFA719652:JFA719741 IVE719652:IVE719741 ILI719652:ILI719741 IBM719652:IBM719741 HRQ719652:HRQ719741 HHU719652:HHU719741 GXY719652:GXY719741 GOC719652:GOC719741 GEG719652:GEG719741 FUK719652:FUK719741 FKO719652:FKO719741 FAS719652:FAS719741 EQW719652:EQW719741 EHA719652:EHA719741 DXE719652:DXE719741 DNI719652:DNI719741 DDM719652:DDM719741 CTQ719652:CTQ719741 CJU719652:CJU719741 BZY719652:BZY719741 BQC719652:BQC719741 BGG719652:BGG719741 AWK719652:AWK719741 AMO719652:AMO719741 ACS719652:ACS719741 SW719652:SW719741 JA719652:JA719741 E719663:E719752 WVM654116:WVM654205 WLQ654116:WLQ654205 WBU654116:WBU654205 VRY654116:VRY654205 VIC654116:VIC654205 UYG654116:UYG654205 UOK654116:UOK654205 UEO654116:UEO654205 TUS654116:TUS654205 TKW654116:TKW654205 TBA654116:TBA654205 SRE654116:SRE654205 SHI654116:SHI654205 RXM654116:RXM654205 RNQ654116:RNQ654205 RDU654116:RDU654205 QTY654116:QTY654205 QKC654116:QKC654205 QAG654116:QAG654205 PQK654116:PQK654205 PGO654116:PGO654205 OWS654116:OWS654205 OMW654116:OMW654205 ODA654116:ODA654205 NTE654116:NTE654205 NJI654116:NJI654205 MZM654116:MZM654205 MPQ654116:MPQ654205 MFU654116:MFU654205 LVY654116:LVY654205 LMC654116:LMC654205 LCG654116:LCG654205 KSK654116:KSK654205 KIO654116:KIO654205 JYS654116:JYS654205 JOW654116:JOW654205 JFA654116:JFA654205 IVE654116:IVE654205 ILI654116:ILI654205 IBM654116:IBM654205 HRQ654116:HRQ654205 HHU654116:HHU654205 GXY654116:GXY654205 GOC654116:GOC654205 GEG654116:GEG654205 FUK654116:FUK654205 FKO654116:FKO654205 FAS654116:FAS654205 EQW654116:EQW654205 EHA654116:EHA654205 DXE654116:DXE654205 DNI654116:DNI654205 DDM654116:DDM654205 CTQ654116:CTQ654205 CJU654116:CJU654205 BZY654116:BZY654205 BQC654116:BQC654205 BGG654116:BGG654205 AWK654116:AWK654205 AMO654116:AMO654205 ACS654116:ACS654205 SW654116:SW654205 JA654116:JA654205 E654127:E654216 WVM588580:WVM588669 WLQ588580:WLQ588669 WBU588580:WBU588669 VRY588580:VRY588669 VIC588580:VIC588669 UYG588580:UYG588669 UOK588580:UOK588669 UEO588580:UEO588669 TUS588580:TUS588669 TKW588580:TKW588669 TBA588580:TBA588669 SRE588580:SRE588669 SHI588580:SHI588669 RXM588580:RXM588669 RNQ588580:RNQ588669 RDU588580:RDU588669 QTY588580:QTY588669 QKC588580:QKC588669 QAG588580:QAG588669 PQK588580:PQK588669 PGO588580:PGO588669 OWS588580:OWS588669 OMW588580:OMW588669 ODA588580:ODA588669 NTE588580:NTE588669 NJI588580:NJI588669 MZM588580:MZM588669 MPQ588580:MPQ588669 MFU588580:MFU588669 LVY588580:LVY588669 LMC588580:LMC588669 LCG588580:LCG588669 KSK588580:KSK588669 KIO588580:KIO588669 JYS588580:JYS588669 JOW588580:JOW588669 JFA588580:JFA588669 IVE588580:IVE588669 ILI588580:ILI588669 IBM588580:IBM588669 HRQ588580:HRQ588669 HHU588580:HHU588669 GXY588580:GXY588669 GOC588580:GOC588669 GEG588580:GEG588669 FUK588580:FUK588669 FKO588580:FKO588669 FAS588580:FAS588669 EQW588580:EQW588669 EHA588580:EHA588669 DXE588580:DXE588669 DNI588580:DNI588669 DDM588580:DDM588669 CTQ588580:CTQ588669 CJU588580:CJU588669 BZY588580:BZY588669 BQC588580:BQC588669 BGG588580:BGG588669 AWK588580:AWK588669 AMO588580:AMO588669 ACS588580:ACS588669 SW588580:SW588669 JA588580:JA588669 E588591:E588680 WVM523044:WVM523133 WLQ523044:WLQ523133 WBU523044:WBU523133 VRY523044:VRY523133 VIC523044:VIC523133 UYG523044:UYG523133 UOK523044:UOK523133 UEO523044:UEO523133 TUS523044:TUS523133 TKW523044:TKW523133 TBA523044:TBA523133 SRE523044:SRE523133 SHI523044:SHI523133 RXM523044:RXM523133 RNQ523044:RNQ523133 RDU523044:RDU523133 QTY523044:QTY523133 QKC523044:QKC523133 QAG523044:QAG523133 PQK523044:PQK523133 PGO523044:PGO523133 OWS523044:OWS523133 OMW523044:OMW523133 ODA523044:ODA523133 NTE523044:NTE523133 NJI523044:NJI523133 MZM523044:MZM523133 MPQ523044:MPQ523133 MFU523044:MFU523133 LVY523044:LVY523133 LMC523044:LMC523133 LCG523044:LCG523133 KSK523044:KSK523133 KIO523044:KIO523133 JYS523044:JYS523133 JOW523044:JOW523133 JFA523044:JFA523133 IVE523044:IVE523133 ILI523044:ILI523133 IBM523044:IBM523133 HRQ523044:HRQ523133 HHU523044:HHU523133 GXY523044:GXY523133 GOC523044:GOC523133 GEG523044:GEG523133 FUK523044:FUK523133 FKO523044:FKO523133 FAS523044:FAS523133 EQW523044:EQW523133 EHA523044:EHA523133 DXE523044:DXE523133 DNI523044:DNI523133 DDM523044:DDM523133 CTQ523044:CTQ523133 CJU523044:CJU523133 BZY523044:BZY523133 BQC523044:BQC523133 BGG523044:BGG523133 AWK523044:AWK523133 AMO523044:AMO523133 ACS523044:ACS523133 SW523044:SW523133 JA523044:JA523133 E523055:E523144 WVM457508:WVM457597 WLQ457508:WLQ457597 WBU457508:WBU457597 VRY457508:VRY457597 VIC457508:VIC457597 UYG457508:UYG457597 UOK457508:UOK457597 UEO457508:UEO457597 TUS457508:TUS457597 TKW457508:TKW457597 TBA457508:TBA457597 SRE457508:SRE457597 SHI457508:SHI457597 RXM457508:RXM457597 RNQ457508:RNQ457597 RDU457508:RDU457597 QTY457508:QTY457597 QKC457508:QKC457597 QAG457508:QAG457597 PQK457508:PQK457597 PGO457508:PGO457597 OWS457508:OWS457597 OMW457508:OMW457597 ODA457508:ODA457597 NTE457508:NTE457597 NJI457508:NJI457597 MZM457508:MZM457597 MPQ457508:MPQ457597 MFU457508:MFU457597 LVY457508:LVY457597 LMC457508:LMC457597 LCG457508:LCG457597 KSK457508:KSK457597 KIO457508:KIO457597 JYS457508:JYS457597 JOW457508:JOW457597 JFA457508:JFA457597 IVE457508:IVE457597 ILI457508:ILI457597 IBM457508:IBM457597 HRQ457508:HRQ457597 HHU457508:HHU457597 GXY457508:GXY457597 GOC457508:GOC457597 GEG457508:GEG457597 FUK457508:FUK457597 FKO457508:FKO457597 FAS457508:FAS457597 EQW457508:EQW457597 EHA457508:EHA457597 DXE457508:DXE457597 DNI457508:DNI457597 DDM457508:DDM457597 CTQ457508:CTQ457597 CJU457508:CJU457597 BZY457508:BZY457597 BQC457508:BQC457597 BGG457508:BGG457597 AWK457508:AWK457597 AMO457508:AMO457597 ACS457508:ACS457597 SW457508:SW457597 JA457508:JA457597 E457519:E457608 WVM391972:WVM392061 WLQ391972:WLQ392061 WBU391972:WBU392061 VRY391972:VRY392061 VIC391972:VIC392061 UYG391972:UYG392061 UOK391972:UOK392061 UEO391972:UEO392061 TUS391972:TUS392061 TKW391972:TKW392061 TBA391972:TBA392061 SRE391972:SRE392061 SHI391972:SHI392061 RXM391972:RXM392061 RNQ391972:RNQ392061 RDU391972:RDU392061 QTY391972:QTY392061 QKC391972:QKC392061 QAG391972:QAG392061 PQK391972:PQK392061 PGO391972:PGO392061 OWS391972:OWS392061 OMW391972:OMW392061 ODA391972:ODA392061 NTE391972:NTE392061 NJI391972:NJI392061 MZM391972:MZM392061 MPQ391972:MPQ392061 MFU391972:MFU392061 LVY391972:LVY392061 LMC391972:LMC392061 LCG391972:LCG392061 KSK391972:KSK392061 KIO391972:KIO392061 JYS391972:JYS392061 JOW391972:JOW392061 JFA391972:JFA392061 IVE391972:IVE392061 ILI391972:ILI392061 IBM391972:IBM392061 HRQ391972:HRQ392061 HHU391972:HHU392061 GXY391972:GXY392061 GOC391972:GOC392061 GEG391972:GEG392061 FUK391972:FUK392061 FKO391972:FKO392061 FAS391972:FAS392061 EQW391972:EQW392061 EHA391972:EHA392061 DXE391972:DXE392061 DNI391972:DNI392061 DDM391972:DDM392061 CTQ391972:CTQ392061 CJU391972:CJU392061 BZY391972:BZY392061 BQC391972:BQC392061 BGG391972:BGG392061 AWK391972:AWK392061 AMO391972:AMO392061 ACS391972:ACS392061 SW391972:SW392061 JA391972:JA392061 E391983:E392072 WVM326436:WVM326525 WLQ326436:WLQ326525 WBU326436:WBU326525 VRY326436:VRY326525 VIC326436:VIC326525 UYG326436:UYG326525 UOK326436:UOK326525 UEO326436:UEO326525 TUS326436:TUS326525 TKW326436:TKW326525 TBA326436:TBA326525 SRE326436:SRE326525 SHI326436:SHI326525 RXM326436:RXM326525 RNQ326436:RNQ326525 RDU326436:RDU326525 QTY326436:QTY326525 QKC326436:QKC326525 QAG326436:QAG326525 PQK326436:PQK326525 PGO326436:PGO326525 OWS326436:OWS326525 OMW326436:OMW326525 ODA326436:ODA326525 NTE326436:NTE326525 NJI326436:NJI326525 MZM326436:MZM326525 MPQ326436:MPQ326525 MFU326436:MFU326525 LVY326436:LVY326525 LMC326436:LMC326525 LCG326436:LCG326525 KSK326436:KSK326525 KIO326436:KIO326525 JYS326436:JYS326525 JOW326436:JOW326525 JFA326436:JFA326525 IVE326436:IVE326525 ILI326436:ILI326525 IBM326436:IBM326525 HRQ326436:HRQ326525 HHU326436:HHU326525 GXY326436:GXY326525 GOC326436:GOC326525 GEG326436:GEG326525 FUK326436:FUK326525 FKO326436:FKO326525 FAS326436:FAS326525 EQW326436:EQW326525 EHA326436:EHA326525 DXE326436:DXE326525 DNI326436:DNI326525 DDM326436:DDM326525 CTQ326436:CTQ326525 CJU326436:CJU326525 BZY326436:BZY326525 BQC326436:BQC326525 BGG326436:BGG326525 AWK326436:AWK326525 AMO326436:AMO326525 ACS326436:ACS326525 SW326436:SW326525 JA326436:JA326525 E326447:E326536 WVM260900:WVM260989 WLQ260900:WLQ260989 WBU260900:WBU260989 VRY260900:VRY260989 VIC260900:VIC260989 UYG260900:UYG260989 UOK260900:UOK260989 UEO260900:UEO260989 TUS260900:TUS260989 TKW260900:TKW260989 TBA260900:TBA260989 SRE260900:SRE260989 SHI260900:SHI260989 RXM260900:RXM260989 RNQ260900:RNQ260989 RDU260900:RDU260989 QTY260900:QTY260989 QKC260900:QKC260989 QAG260900:QAG260989 PQK260900:PQK260989 PGO260900:PGO260989 OWS260900:OWS260989 OMW260900:OMW260989 ODA260900:ODA260989 NTE260900:NTE260989 NJI260900:NJI260989 MZM260900:MZM260989 MPQ260900:MPQ260989 MFU260900:MFU260989 LVY260900:LVY260989 LMC260900:LMC260989 LCG260900:LCG260989 KSK260900:KSK260989 KIO260900:KIO260989 JYS260900:JYS260989 JOW260900:JOW260989 JFA260900:JFA260989 IVE260900:IVE260989 ILI260900:ILI260989 IBM260900:IBM260989 HRQ260900:HRQ260989 HHU260900:HHU260989 GXY260900:GXY260989 GOC260900:GOC260989 GEG260900:GEG260989 FUK260900:FUK260989 FKO260900:FKO260989 FAS260900:FAS260989 EQW260900:EQW260989 EHA260900:EHA260989 DXE260900:DXE260989 DNI260900:DNI260989 DDM260900:DDM260989 CTQ260900:CTQ260989 CJU260900:CJU260989 BZY260900:BZY260989 BQC260900:BQC260989 BGG260900:BGG260989 AWK260900:AWK260989 AMO260900:AMO260989 ACS260900:ACS260989 SW260900:SW260989 JA260900:JA260989 E260911:E261000 WVM195364:WVM195453 WLQ195364:WLQ195453 WBU195364:WBU195453 VRY195364:VRY195453 VIC195364:VIC195453 UYG195364:UYG195453 UOK195364:UOK195453 UEO195364:UEO195453 TUS195364:TUS195453 TKW195364:TKW195453 TBA195364:TBA195453 SRE195364:SRE195453 SHI195364:SHI195453 RXM195364:RXM195453 RNQ195364:RNQ195453 RDU195364:RDU195453 QTY195364:QTY195453 QKC195364:QKC195453 QAG195364:QAG195453 PQK195364:PQK195453 PGO195364:PGO195453 OWS195364:OWS195453 OMW195364:OMW195453 ODA195364:ODA195453 NTE195364:NTE195453 NJI195364:NJI195453 MZM195364:MZM195453 MPQ195364:MPQ195453 MFU195364:MFU195453 LVY195364:LVY195453 LMC195364:LMC195453 LCG195364:LCG195453 KSK195364:KSK195453 KIO195364:KIO195453 JYS195364:JYS195453 JOW195364:JOW195453 JFA195364:JFA195453 IVE195364:IVE195453 ILI195364:ILI195453 IBM195364:IBM195453 HRQ195364:HRQ195453 HHU195364:HHU195453 GXY195364:GXY195453 GOC195364:GOC195453 GEG195364:GEG195453 FUK195364:FUK195453 FKO195364:FKO195453 FAS195364:FAS195453 EQW195364:EQW195453 EHA195364:EHA195453 DXE195364:DXE195453 DNI195364:DNI195453 DDM195364:DDM195453 CTQ195364:CTQ195453 CJU195364:CJU195453 BZY195364:BZY195453 BQC195364:BQC195453 BGG195364:BGG195453 AWK195364:AWK195453 AMO195364:AMO195453 ACS195364:ACS195453 SW195364:SW195453 JA195364:JA195453 E195375:E195464 WVM129828:WVM129917 WLQ129828:WLQ129917 WBU129828:WBU129917 VRY129828:VRY129917 VIC129828:VIC129917 UYG129828:UYG129917 UOK129828:UOK129917 UEO129828:UEO129917 TUS129828:TUS129917 TKW129828:TKW129917 TBA129828:TBA129917 SRE129828:SRE129917 SHI129828:SHI129917 RXM129828:RXM129917 RNQ129828:RNQ129917 RDU129828:RDU129917 QTY129828:QTY129917 QKC129828:QKC129917 QAG129828:QAG129917 PQK129828:PQK129917 PGO129828:PGO129917 OWS129828:OWS129917 OMW129828:OMW129917 ODA129828:ODA129917 NTE129828:NTE129917 NJI129828:NJI129917 MZM129828:MZM129917 MPQ129828:MPQ129917 MFU129828:MFU129917 LVY129828:LVY129917 LMC129828:LMC129917 LCG129828:LCG129917 KSK129828:KSK129917 KIO129828:KIO129917 JYS129828:JYS129917 JOW129828:JOW129917 JFA129828:JFA129917 IVE129828:IVE129917 ILI129828:ILI129917 IBM129828:IBM129917 HRQ129828:HRQ129917 HHU129828:HHU129917 GXY129828:GXY129917 GOC129828:GOC129917 GEG129828:GEG129917 FUK129828:FUK129917 FKO129828:FKO129917 FAS129828:FAS129917 EQW129828:EQW129917 EHA129828:EHA129917 DXE129828:DXE129917 DNI129828:DNI129917 DDM129828:DDM129917 CTQ129828:CTQ129917 CJU129828:CJU129917 BZY129828:BZY129917 BQC129828:BQC129917 BGG129828:BGG129917 AWK129828:AWK129917 AMO129828:AMO129917 ACS129828:ACS129917 SW129828:SW129917 JA129828:JA129917 E129839:E129928 WVM64292:WVM64381 WLQ64292:WLQ64381 WBU64292:WBU64381 VRY64292:VRY64381 VIC64292:VIC64381 UYG64292:UYG64381 UOK64292:UOK64381 UEO64292:UEO64381 TUS64292:TUS64381 TKW64292:TKW64381 TBA64292:TBA64381 SRE64292:SRE64381 SHI64292:SHI64381 RXM64292:RXM64381 RNQ64292:RNQ64381 RDU64292:RDU64381 QTY64292:QTY64381 QKC64292:QKC64381 QAG64292:QAG64381 PQK64292:PQK64381 PGO64292:PGO64381 OWS64292:OWS64381 OMW64292:OMW64381 ODA64292:ODA64381 NTE64292:NTE64381 NJI64292:NJI64381 MZM64292:MZM64381 MPQ64292:MPQ64381 MFU64292:MFU64381 LVY64292:LVY64381 LMC64292:LMC64381 LCG64292:LCG64381 KSK64292:KSK64381 KIO64292:KIO64381 JYS64292:JYS64381 JOW64292:JOW64381 JFA64292:JFA64381 IVE64292:IVE64381 ILI64292:ILI64381 IBM64292:IBM64381 HRQ64292:HRQ64381 HHU64292:HHU64381 GXY64292:GXY64381 GOC64292:GOC64381 GEG64292:GEG64381 FUK64292:FUK64381 FKO64292:FKO64381 FAS64292:FAS64381 EQW64292:EQW64381 EHA64292:EHA64381 DXE64292:DXE64381 DNI64292:DNI64381 DDM64292:DDM64381 CTQ64292:CTQ64381 CJU64292:CJU64381 BZY64292:BZY64381 BQC64292:BQC64381 BGG64292:BGG64381 AWK64292:AWK64381 AMO64292:AMO64381 ACS64292:ACS64381 SW64292:SW64381 JA64292:JA64381 E64303:E64392 WVM2:WVM64 WLQ2:WLQ64 WBU2:WBU64 VRY2:VRY64 VIC2:VIC64 UYG2:UYG64 UOK2:UOK64 UEO2:UEO64 TUS2:TUS64 TKW2:TKW64 TBA2:TBA64 SRE2:SRE64 SHI2:SHI64 RXM2:RXM64 RNQ2:RNQ64 RDU2:RDU64 QTY2:QTY64 QKC2:QKC64 QAG2:QAG64 PQK2:PQK64 PGO2:PGO64 OWS2:OWS64 OMW2:OMW64 ODA2:ODA64 NTE2:NTE64 NJI2:NJI64 MZM2:MZM64 MPQ2:MPQ64 MFU2:MFU64 LVY2:LVY64 LMC2:LMC64 LCG2:LCG64 KSK2:KSK64 KIO2:KIO64 JYS2:JYS64 JOW2:JOW64 JFA2:JFA64 IVE2:IVE64 ILI2:ILI64 IBM2:IBM64 HRQ2:HRQ64 HHU2:HHU64 GXY2:GXY64 GOC2:GOC64 GEG2:GEG64 FUK2:FUK64 FKO2:FKO64 FAS2:FAS64 EQW2:EQW64 EHA2:EHA64 DXE2:DXE64 DNI2:DNI64 DDM2:DDM64 CTQ2:CTQ64 CJU2:CJU64 BZY2:BZY64 BQC2:BQC64 BGG2:BGG64 AWK2:AWK64 AMO2:AMO64 ACS2:ACS64 SW2:SW64 JA2:JA64" xr:uid="{2A5DA4C0-2337-4756-9512-018A7E673174}">
      <formula1>$AG$2:$AG$13</formula1>
    </dataValidation>
    <dataValidation type="list" allowBlank="1" showInputMessage="1" showErrorMessage="1" sqref="WWF981796:WWF981879 WMJ981796:WMJ981879 WCN981796:WCN981879 VSR981796:VSR981879 VIV981796:VIV981879 UYZ981796:UYZ981879 UPD981796:UPD981879 UFH981796:UFH981879 TVL981796:TVL981879 TLP981796:TLP981879 TBT981796:TBT981879 SRX981796:SRX981879 SIB981796:SIB981879 RYF981796:RYF981879 ROJ981796:ROJ981879 REN981796:REN981879 QUR981796:QUR981879 QKV981796:QKV981879 QAZ981796:QAZ981879 PRD981796:PRD981879 PHH981796:PHH981879 OXL981796:OXL981879 ONP981796:ONP981879 ODT981796:ODT981879 NTX981796:NTX981879 NKB981796:NKB981879 NAF981796:NAF981879 MQJ981796:MQJ981879 MGN981796:MGN981879 LWR981796:LWR981879 LMV981796:LMV981879 LCZ981796:LCZ981879 KTD981796:KTD981879 KJH981796:KJH981879 JZL981796:JZL981879 JPP981796:JPP981879 JFT981796:JFT981879 IVX981796:IVX981879 IMB981796:IMB981879 ICF981796:ICF981879 HSJ981796:HSJ981879 HIN981796:HIN981879 GYR981796:GYR981879 GOV981796:GOV981879 GEZ981796:GEZ981879 FVD981796:FVD981879 FLH981796:FLH981879 FBL981796:FBL981879 ERP981796:ERP981879 EHT981796:EHT981879 DXX981796:DXX981879 DOB981796:DOB981879 DEF981796:DEF981879 CUJ981796:CUJ981879 CKN981796:CKN981879 CAR981796:CAR981879 BQV981796:BQV981879 BGZ981796:BGZ981879 AXD981796:AXD981879 ANH981796:ANH981879 ADL981796:ADL981879 TP981796:TP981879 JT981796:JT981879 X981796:X981879 WWF916260:WWF916343 WMJ916260:WMJ916343 WCN916260:WCN916343 VSR916260:VSR916343 VIV916260:VIV916343 UYZ916260:UYZ916343 UPD916260:UPD916343 UFH916260:UFH916343 TVL916260:TVL916343 TLP916260:TLP916343 TBT916260:TBT916343 SRX916260:SRX916343 SIB916260:SIB916343 RYF916260:RYF916343 ROJ916260:ROJ916343 REN916260:REN916343 QUR916260:QUR916343 QKV916260:QKV916343 QAZ916260:QAZ916343 PRD916260:PRD916343 PHH916260:PHH916343 OXL916260:OXL916343 ONP916260:ONP916343 ODT916260:ODT916343 NTX916260:NTX916343 NKB916260:NKB916343 NAF916260:NAF916343 MQJ916260:MQJ916343 MGN916260:MGN916343 LWR916260:LWR916343 LMV916260:LMV916343 LCZ916260:LCZ916343 KTD916260:KTD916343 KJH916260:KJH916343 JZL916260:JZL916343 JPP916260:JPP916343 JFT916260:JFT916343 IVX916260:IVX916343 IMB916260:IMB916343 ICF916260:ICF916343 HSJ916260:HSJ916343 HIN916260:HIN916343 GYR916260:GYR916343 GOV916260:GOV916343 GEZ916260:GEZ916343 FVD916260:FVD916343 FLH916260:FLH916343 FBL916260:FBL916343 ERP916260:ERP916343 EHT916260:EHT916343 DXX916260:DXX916343 DOB916260:DOB916343 DEF916260:DEF916343 CUJ916260:CUJ916343 CKN916260:CKN916343 CAR916260:CAR916343 BQV916260:BQV916343 BGZ916260:BGZ916343 AXD916260:AXD916343 ANH916260:ANH916343 ADL916260:ADL916343 TP916260:TP916343 JT916260:JT916343 X916260:X916343 WWF850724:WWF850807 WMJ850724:WMJ850807 WCN850724:WCN850807 VSR850724:VSR850807 VIV850724:VIV850807 UYZ850724:UYZ850807 UPD850724:UPD850807 UFH850724:UFH850807 TVL850724:TVL850807 TLP850724:TLP850807 TBT850724:TBT850807 SRX850724:SRX850807 SIB850724:SIB850807 RYF850724:RYF850807 ROJ850724:ROJ850807 REN850724:REN850807 QUR850724:QUR850807 QKV850724:QKV850807 QAZ850724:QAZ850807 PRD850724:PRD850807 PHH850724:PHH850807 OXL850724:OXL850807 ONP850724:ONP850807 ODT850724:ODT850807 NTX850724:NTX850807 NKB850724:NKB850807 NAF850724:NAF850807 MQJ850724:MQJ850807 MGN850724:MGN850807 LWR850724:LWR850807 LMV850724:LMV850807 LCZ850724:LCZ850807 KTD850724:KTD850807 KJH850724:KJH850807 JZL850724:JZL850807 JPP850724:JPP850807 JFT850724:JFT850807 IVX850724:IVX850807 IMB850724:IMB850807 ICF850724:ICF850807 HSJ850724:HSJ850807 HIN850724:HIN850807 GYR850724:GYR850807 GOV850724:GOV850807 GEZ850724:GEZ850807 FVD850724:FVD850807 FLH850724:FLH850807 FBL850724:FBL850807 ERP850724:ERP850807 EHT850724:EHT850807 DXX850724:DXX850807 DOB850724:DOB850807 DEF850724:DEF850807 CUJ850724:CUJ850807 CKN850724:CKN850807 CAR850724:CAR850807 BQV850724:BQV850807 BGZ850724:BGZ850807 AXD850724:AXD850807 ANH850724:ANH850807 ADL850724:ADL850807 TP850724:TP850807 JT850724:JT850807 X850724:X850807 WWF785188:WWF785271 WMJ785188:WMJ785271 WCN785188:WCN785271 VSR785188:VSR785271 VIV785188:VIV785271 UYZ785188:UYZ785271 UPD785188:UPD785271 UFH785188:UFH785271 TVL785188:TVL785271 TLP785188:TLP785271 TBT785188:TBT785271 SRX785188:SRX785271 SIB785188:SIB785271 RYF785188:RYF785271 ROJ785188:ROJ785271 REN785188:REN785271 QUR785188:QUR785271 QKV785188:QKV785271 QAZ785188:QAZ785271 PRD785188:PRD785271 PHH785188:PHH785271 OXL785188:OXL785271 ONP785188:ONP785271 ODT785188:ODT785271 NTX785188:NTX785271 NKB785188:NKB785271 NAF785188:NAF785271 MQJ785188:MQJ785271 MGN785188:MGN785271 LWR785188:LWR785271 LMV785188:LMV785271 LCZ785188:LCZ785271 KTD785188:KTD785271 KJH785188:KJH785271 JZL785188:JZL785271 JPP785188:JPP785271 JFT785188:JFT785271 IVX785188:IVX785271 IMB785188:IMB785271 ICF785188:ICF785271 HSJ785188:HSJ785271 HIN785188:HIN785271 GYR785188:GYR785271 GOV785188:GOV785271 GEZ785188:GEZ785271 FVD785188:FVD785271 FLH785188:FLH785271 FBL785188:FBL785271 ERP785188:ERP785271 EHT785188:EHT785271 DXX785188:DXX785271 DOB785188:DOB785271 DEF785188:DEF785271 CUJ785188:CUJ785271 CKN785188:CKN785271 CAR785188:CAR785271 BQV785188:BQV785271 BGZ785188:BGZ785271 AXD785188:AXD785271 ANH785188:ANH785271 ADL785188:ADL785271 TP785188:TP785271 JT785188:JT785271 X785188:X785271 WWF719652:WWF719735 WMJ719652:WMJ719735 WCN719652:WCN719735 VSR719652:VSR719735 VIV719652:VIV719735 UYZ719652:UYZ719735 UPD719652:UPD719735 UFH719652:UFH719735 TVL719652:TVL719735 TLP719652:TLP719735 TBT719652:TBT719735 SRX719652:SRX719735 SIB719652:SIB719735 RYF719652:RYF719735 ROJ719652:ROJ719735 REN719652:REN719735 QUR719652:QUR719735 QKV719652:QKV719735 QAZ719652:QAZ719735 PRD719652:PRD719735 PHH719652:PHH719735 OXL719652:OXL719735 ONP719652:ONP719735 ODT719652:ODT719735 NTX719652:NTX719735 NKB719652:NKB719735 NAF719652:NAF719735 MQJ719652:MQJ719735 MGN719652:MGN719735 LWR719652:LWR719735 LMV719652:LMV719735 LCZ719652:LCZ719735 KTD719652:KTD719735 KJH719652:KJH719735 JZL719652:JZL719735 JPP719652:JPP719735 JFT719652:JFT719735 IVX719652:IVX719735 IMB719652:IMB719735 ICF719652:ICF719735 HSJ719652:HSJ719735 HIN719652:HIN719735 GYR719652:GYR719735 GOV719652:GOV719735 GEZ719652:GEZ719735 FVD719652:FVD719735 FLH719652:FLH719735 FBL719652:FBL719735 ERP719652:ERP719735 EHT719652:EHT719735 DXX719652:DXX719735 DOB719652:DOB719735 DEF719652:DEF719735 CUJ719652:CUJ719735 CKN719652:CKN719735 CAR719652:CAR719735 BQV719652:BQV719735 BGZ719652:BGZ719735 AXD719652:AXD719735 ANH719652:ANH719735 ADL719652:ADL719735 TP719652:TP719735 JT719652:JT719735 X719652:X719735 WWF654116:WWF654199 WMJ654116:WMJ654199 WCN654116:WCN654199 VSR654116:VSR654199 VIV654116:VIV654199 UYZ654116:UYZ654199 UPD654116:UPD654199 UFH654116:UFH654199 TVL654116:TVL654199 TLP654116:TLP654199 TBT654116:TBT654199 SRX654116:SRX654199 SIB654116:SIB654199 RYF654116:RYF654199 ROJ654116:ROJ654199 REN654116:REN654199 QUR654116:QUR654199 QKV654116:QKV654199 QAZ654116:QAZ654199 PRD654116:PRD654199 PHH654116:PHH654199 OXL654116:OXL654199 ONP654116:ONP654199 ODT654116:ODT654199 NTX654116:NTX654199 NKB654116:NKB654199 NAF654116:NAF654199 MQJ654116:MQJ654199 MGN654116:MGN654199 LWR654116:LWR654199 LMV654116:LMV654199 LCZ654116:LCZ654199 KTD654116:KTD654199 KJH654116:KJH654199 JZL654116:JZL654199 JPP654116:JPP654199 JFT654116:JFT654199 IVX654116:IVX654199 IMB654116:IMB654199 ICF654116:ICF654199 HSJ654116:HSJ654199 HIN654116:HIN654199 GYR654116:GYR654199 GOV654116:GOV654199 GEZ654116:GEZ654199 FVD654116:FVD654199 FLH654116:FLH654199 FBL654116:FBL654199 ERP654116:ERP654199 EHT654116:EHT654199 DXX654116:DXX654199 DOB654116:DOB654199 DEF654116:DEF654199 CUJ654116:CUJ654199 CKN654116:CKN654199 CAR654116:CAR654199 BQV654116:BQV654199 BGZ654116:BGZ654199 AXD654116:AXD654199 ANH654116:ANH654199 ADL654116:ADL654199 TP654116:TP654199 JT654116:JT654199 X654116:X654199 WWF588580:WWF588663 WMJ588580:WMJ588663 WCN588580:WCN588663 VSR588580:VSR588663 VIV588580:VIV588663 UYZ588580:UYZ588663 UPD588580:UPD588663 UFH588580:UFH588663 TVL588580:TVL588663 TLP588580:TLP588663 TBT588580:TBT588663 SRX588580:SRX588663 SIB588580:SIB588663 RYF588580:RYF588663 ROJ588580:ROJ588663 REN588580:REN588663 QUR588580:QUR588663 QKV588580:QKV588663 QAZ588580:QAZ588663 PRD588580:PRD588663 PHH588580:PHH588663 OXL588580:OXL588663 ONP588580:ONP588663 ODT588580:ODT588663 NTX588580:NTX588663 NKB588580:NKB588663 NAF588580:NAF588663 MQJ588580:MQJ588663 MGN588580:MGN588663 LWR588580:LWR588663 LMV588580:LMV588663 LCZ588580:LCZ588663 KTD588580:KTD588663 KJH588580:KJH588663 JZL588580:JZL588663 JPP588580:JPP588663 JFT588580:JFT588663 IVX588580:IVX588663 IMB588580:IMB588663 ICF588580:ICF588663 HSJ588580:HSJ588663 HIN588580:HIN588663 GYR588580:GYR588663 GOV588580:GOV588663 GEZ588580:GEZ588663 FVD588580:FVD588663 FLH588580:FLH588663 FBL588580:FBL588663 ERP588580:ERP588663 EHT588580:EHT588663 DXX588580:DXX588663 DOB588580:DOB588663 DEF588580:DEF588663 CUJ588580:CUJ588663 CKN588580:CKN588663 CAR588580:CAR588663 BQV588580:BQV588663 BGZ588580:BGZ588663 AXD588580:AXD588663 ANH588580:ANH588663 ADL588580:ADL588663 TP588580:TP588663 JT588580:JT588663 X588580:X588663 WWF523044:WWF523127 WMJ523044:WMJ523127 WCN523044:WCN523127 VSR523044:VSR523127 VIV523044:VIV523127 UYZ523044:UYZ523127 UPD523044:UPD523127 UFH523044:UFH523127 TVL523044:TVL523127 TLP523044:TLP523127 TBT523044:TBT523127 SRX523044:SRX523127 SIB523044:SIB523127 RYF523044:RYF523127 ROJ523044:ROJ523127 REN523044:REN523127 QUR523044:QUR523127 QKV523044:QKV523127 QAZ523044:QAZ523127 PRD523044:PRD523127 PHH523044:PHH523127 OXL523044:OXL523127 ONP523044:ONP523127 ODT523044:ODT523127 NTX523044:NTX523127 NKB523044:NKB523127 NAF523044:NAF523127 MQJ523044:MQJ523127 MGN523044:MGN523127 LWR523044:LWR523127 LMV523044:LMV523127 LCZ523044:LCZ523127 KTD523044:KTD523127 KJH523044:KJH523127 JZL523044:JZL523127 JPP523044:JPP523127 JFT523044:JFT523127 IVX523044:IVX523127 IMB523044:IMB523127 ICF523044:ICF523127 HSJ523044:HSJ523127 HIN523044:HIN523127 GYR523044:GYR523127 GOV523044:GOV523127 GEZ523044:GEZ523127 FVD523044:FVD523127 FLH523044:FLH523127 FBL523044:FBL523127 ERP523044:ERP523127 EHT523044:EHT523127 DXX523044:DXX523127 DOB523044:DOB523127 DEF523044:DEF523127 CUJ523044:CUJ523127 CKN523044:CKN523127 CAR523044:CAR523127 BQV523044:BQV523127 BGZ523044:BGZ523127 AXD523044:AXD523127 ANH523044:ANH523127 ADL523044:ADL523127 TP523044:TP523127 JT523044:JT523127 X523044:X523127 WWF457508:WWF457591 WMJ457508:WMJ457591 WCN457508:WCN457591 VSR457508:VSR457591 VIV457508:VIV457591 UYZ457508:UYZ457591 UPD457508:UPD457591 UFH457508:UFH457591 TVL457508:TVL457591 TLP457508:TLP457591 TBT457508:TBT457591 SRX457508:SRX457591 SIB457508:SIB457591 RYF457508:RYF457591 ROJ457508:ROJ457591 REN457508:REN457591 QUR457508:QUR457591 QKV457508:QKV457591 QAZ457508:QAZ457591 PRD457508:PRD457591 PHH457508:PHH457591 OXL457508:OXL457591 ONP457508:ONP457591 ODT457508:ODT457591 NTX457508:NTX457591 NKB457508:NKB457591 NAF457508:NAF457591 MQJ457508:MQJ457591 MGN457508:MGN457591 LWR457508:LWR457591 LMV457508:LMV457591 LCZ457508:LCZ457591 KTD457508:KTD457591 KJH457508:KJH457591 JZL457508:JZL457591 JPP457508:JPP457591 JFT457508:JFT457591 IVX457508:IVX457591 IMB457508:IMB457591 ICF457508:ICF457591 HSJ457508:HSJ457591 HIN457508:HIN457591 GYR457508:GYR457591 GOV457508:GOV457591 GEZ457508:GEZ457591 FVD457508:FVD457591 FLH457508:FLH457591 FBL457508:FBL457591 ERP457508:ERP457591 EHT457508:EHT457591 DXX457508:DXX457591 DOB457508:DOB457591 DEF457508:DEF457591 CUJ457508:CUJ457591 CKN457508:CKN457591 CAR457508:CAR457591 BQV457508:BQV457591 BGZ457508:BGZ457591 AXD457508:AXD457591 ANH457508:ANH457591 ADL457508:ADL457591 TP457508:TP457591 JT457508:JT457591 X457508:X457591 WWF391972:WWF392055 WMJ391972:WMJ392055 WCN391972:WCN392055 VSR391972:VSR392055 VIV391972:VIV392055 UYZ391972:UYZ392055 UPD391972:UPD392055 UFH391972:UFH392055 TVL391972:TVL392055 TLP391972:TLP392055 TBT391972:TBT392055 SRX391972:SRX392055 SIB391972:SIB392055 RYF391972:RYF392055 ROJ391972:ROJ392055 REN391972:REN392055 QUR391972:QUR392055 QKV391972:QKV392055 QAZ391972:QAZ392055 PRD391972:PRD392055 PHH391972:PHH392055 OXL391972:OXL392055 ONP391972:ONP392055 ODT391972:ODT392055 NTX391972:NTX392055 NKB391972:NKB392055 NAF391972:NAF392055 MQJ391972:MQJ392055 MGN391972:MGN392055 LWR391972:LWR392055 LMV391972:LMV392055 LCZ391972:LCZ392055 KTD391972:KTD392055 KJH391972:KJH392055 JZL391972:JZL392055 JPP391972:JPP392055 JFT391972:JFT392055 IVX391972:IVX392055 IMB391972:IMB392055 ICF391972:ICF392055 HSJ391972:HSJ392055 HIN391972:HIN392055 GYR391972:GYR392055 GOV391972:GOV392055 GEZ391972:GEZ392055 FVD391972:FVD392055 FLH391972:FLH392055 FBL391972:FBL392055 ERP391972:ERP392055 EHT391972:EHT392055 DXX391972:DXX392055 DOB391972:DOB392055 DEF391972:DEF392055 CUJ391972:CUJ392055 CKN391972:CKN392055 CAR391972:CAR392055 BQV391972:BQV392055 BGZ391972:BGZ392055 AXD391972:AXD392055 ANH391972:ANH392055 ADL391972:ADL392055 TP391972:TP392055 JT391972:JT392055 X391972:X392055 WWF326436:WWF326519 WMJ326436:WMJ326519 WCN326436:WCN326519 VSR326436:VSR326519 VIV326436:VIV326519 UYZ326436:UYZ326519 UPD326436:UPD326519 UFH326436:UFH326519 TVL326436:TVL326519 TLP326436:TLP326519 TBT326436:TBT326519 SRX326436:SRX326519 SIB326436:SIB326519 RYF326436:RYF326519 ROJ326436:ROJ326519 REN326436:REN326519 QUR326436:QUR326519 QKV326436:QKV326519 QAZ326436:QAZ326519 PRD326436:PRD326519 PHH326436:PHH326519 OXL326436:OXL326519 ONP326436:ONP326519 ODT326436:ODT326519 NTX326436:NTX326519 NKB326436:NKB326519 NAF326436:NAF326519 MQJ326436:MQJ326519 MGN326436:MGN326519 LWR326436:LWR326519 LMV326436:LMV326519 LCZ326436:LCZ326519 KTD326436:KTD326519 KJH326436:KJH326519 JZL326436:JZL326519 JPP326436:JPP326519 JFT326436:JFT326519 IVX326436:IVX326519 IMB326436:IMB326519 ICF326436:ICF326519 HSJ326436:HSJ326519 HIN326436:HIN326519 GYR326436:GYR326519 GOV326436:GOV326519 GEZ326436:GEZ326519 FVD326436:FVD326519 FLH326436:FLH326519 FBL326436:FBL326519 ERP326436:ERP326519 EHT326436:EHT326519 DXX326436:DXX326519 DOB326436:DOB326519 DEF326436:DEF326519 CUJ326436:CUJ326519 CKN326436:CKN326519 CAR326436:CAR326519 BQV326436:BQV326519 BGZ326436:BGZ326519 AXD326436:AXD326519 ANH326436:ANH326519 ADL326436:ADL326519 TP326436:TP326519 JT326436:JT326519 X326436:X326519 WWF260900:WWF260983 WMJ260900:WMJ260983 WCN260900:WCN260983 VSR260900:VSR260983 VIV260900:VIV260983 UYZ260900:UYZ260983 UPD260900:UPD260983 UFH260900:UFH260983 TVL260900:TVL260983 TLP260900:TLP260983 TBT260900:TBT260983 SRX260900:SRX260983 SIB260900:SIB260983 RYF260900:RYF260983 ROJ260900:ROJ260983 REN260900:REN260983 QUR260900:QUR260983 QKV260900:QKV260983 QAZ260900:QAZ260983 PRD260900:PRD260983 PHH260900:PHH260983 OXL260900:OXL260983 ONP260900:ONP260983 ODT260900:ODT260983 NTX260900:NTX260983 NKB260900:NKB260983 NAF260900:NAF260983 MQJ260900:MQJ260983 MGN260900:MGN260983 LWR260900:LWR260983 LMV260900:LMV260983 LCZ260900:LCZ260983 KTD260900:KTD260983 KJH260900:KJH260983 JZL260900:JZL260983 JPP260900:JPP260983 JFT260900:JFT260983 IVX260900:IVX260983 IMB260900:IMB260983 ICF260900:ICF260983 HSJ260900:HSJ260983 HIN260900:HIN260983 GYR260900:GYR260983 GOV260900:GOV260983 GEZ260900:GEZ260983 FVD260900:FVD260983 FLH260900:FLH260983 FBL260900:FBL260983 ERP260900:ERP260983 EHT260900:EHT260983 DXX260900:DXX260983 DOB260900:DOB260983 DEF260900:DEF260983 CUJ260900:CUJ260983 CKN260900:CKN260983 CAR260900:CAR260983 BQV260900:BQV260983 BGZ260900:BGZ260983 AXD260900:AXD260983 ANH260900:ANH260983 ADL260900:ADL260983 TP260900:TP260983 JT260900:JT260983 X260900:X260983 WWF195364:WWF195447 WMJ195364:WMJ195447 WCN195364:WCN195447 VSR195364:VSR195447 VIV195364:VIV195447 UYZ195364:UYZ195447 UPD195364:UPD195447 UFH195364:UFH195447 TVL195364:TVL195447 TLP195364:TLP195447 TBT195364:TBT195447 SRX195364:SRX195447 SIB195364:SIB195447 RYF195364:RYF195447 ROJ195364:ROJ195447 REN195364:REN195447 QUR195364:QUR195447 QKV195364:QKV195447 QAZ195364:QAZ195447 PRD195364:PRD195447 PHH195364:PHH195447 OXL195364:OXL195447 ONP195364:ONP195447 ODT195364:ODT195447 NTX195364:NTX195447 NKB195364:NKB195447 NAF195364:NAF195447 MQJ195364:MQJ195447 MGN195364:MGN195447 LWR195364:LWR195447 LMV195364:LMV195447 LCZ195364:LCZ195447 KTD195364:KTD195447 KJH195364:KJH195447 JZL195364:JZL195447 JPP195364:JPP195447 JFT195364:JFT195447 IVX195364:IVX195447 IMB195364:IMB195447 ICF195364:ICF195447 HSJ195364:HSJ195447 HIN195364:HIN195447 GYR195364:GYR195447 GOV195364:GOV195447 GEZ195364:GEZ195447 FVD195364:FVD195447 FLH195364:FLH195447 FBL195364:FBL195447 ERP195364:ERP195447 EHT195364:EHT195447 DXX195364:DXX195447 DOB195364:DOB195447 DEF195364:DEF195447 CUJ195364:CUJ195447 CKN195364:CKN195447 CAR195364:CAR195447 BQV195364:BQV195447 BGZ195364:BGZ195447 AXD195364:AXD195447 ANH195364:ANH195447 ADL195364:ADL195447 TP195364:TP195447 JT195364:JT195447 X195364:X195447 WWF129828:WWF129911 WMJ129828:WMJ129911 WCN129828:WCN129911 VSR129828:VSR129911 VIV129828:VIV129911 UYZ129828:UYZ129911 UPD129828:UPD129911 UFH129828:UFH129911 TVL129828:TVL129911 TLP129828:TLP129911 TBT129828:TBT129911 SRX129828:SRX129911 SIB129828:SIB129911 RYF129828:RYF129911 ROJ129828:ROJ129911 REN129828:REN129911 QUR129828:QUR129911 QKV129828:QKV129911 QAZ129828:QAZ129911 PRD129828:PRD129911 PHH129828:PHH129911 OXL129828:OXL129911 ONP129828:ONP129911 ODT129828:ODT129911 NTX129828:NTX129911 NKB129828:NKB129911 NAF129828:NAF129911 MQJ129828:MQJ129911 MGN129828:MGN129911 LWR129828:LWR129911 LMV129828:LMV129911 LCZ129828:LCZ129911 KTD129828:KTD129911 KJH129828:KJH129911 JZL129828:JZL129911 JPP129828:JPP129911 JFT129828:JFT129911 IVX129828:IVX129911 IMB129828:IMB129911 ICF129828:ICF129911 HSJ129828:HSJ129911 HIN129828:HIN129911 GYR129828:GYR129911 GOV129828:GOV129911 GEZ129828:GEZ129911 FVD129828:FVD129911 FLH129828:FLH129911 FBL129828:FBL129911 ERP129828:ERP129911 EHT129828:EHT129911 DXX129828:DXX129911 DOB129828:DOB129911 DEF129828:DEF129911 CUJ129828:CUJ129911 CKN129828:CKN129911 CAR129828:CAR129911 BQV129828:BQV129911 BGZ129828:BGZ129911 AXD129828:AXD129911 ANH129828:ANH129911 ADL129828:ADL129911 TP129828:TP129911 JT129828:JT129911 X129828:X129911 WWF64292:WWF64375 WMJ64292:WMJ64375 WCN64292:WCN64375 VSR64292:VSR64375 VIV64292:VIV64375 UYZ64292:UYZ64375 UPD64292:UPD64375 UFH64292:UFH64375 TVL64292:TVL64375 TLP64292:TLP64375 TBT64292:TBT64375 SRX64292:SRX64375 SIB64292:SIB64375 RYF64292:RYF64375 ROJ64292:ROJ64375 REN64292:REN64375 QUR64292:QUR64375 QKV64292:QKV64375 QAZ64292:QAZ64375 PRD64292:PRD64375 PHH64292:PHH64375 OXL64292:OXL64375 ONP64292:ONP64375 ODT64292:ODT64375 NTX64292:NTX64375 NKB64292:NKB64375 NAF64292:NAF64375 MQJ64292:MQJ64375 MGN64292:MGN64375 LWR64292:LWR64375 LMV64292:LMV64375 LCZ64292:LCZ64375 KTD64292:KTD64375 KJH64292:KJH64375 JZL64292:JZL64375 JPP64292:JPP64375 JFT64292:JFT64375 IVX64292:IVX64375 IMB64292:IMB64375 ICF64292:ICF64375 HSJ64292:HSJ64375 HIN64292:HIN64375 GYR64292:GYR64375 GOV64292:GOV64375 GEZ64292:GEZ64375 FVD64292:FVD64375 FLH64292:FLH64375 FBL64292:FBL64375 ERP64292:ERP64375 EHT64292:EHT64375 DXX64292:DXX64375 DOB64292:DOB64375 DEF64292:DEF64375 CUJ64292:CUJ64375 CKN64292:CKN64375 CAR64292:CAR64375 BQV64292:BQV64375 BGZ64292:BGZ64375 AXD64292:AXD64375 ANH64292:ANH64375 ADL64292:ADL64375 TP64292:TP64375 JT64292:JT64375 X64292:X64375 X87:X491 X2:X85 WWF2:WWF64 WMJ2:WMJ64 WCN2:WCN64 VSR2:VSR64 VIV2:VIV64 UYZ2:UYZ64 UPD2:UPD64 UFH2:UFH64 TVL2:TVL64 TLP2:TLP64 TBT2:TBT64 SRX2:SRX64 SIB2:SIB64 RYF2:RYF64 ROJ2:ROJ64 REN2:REN64 QUR2:QUR64 QKV2:QKV64 QAZ2:QAZ64 PRD2:PRD64 PHH2:PHH64 OXL2:OXL64 ONP2:ONP64 ODT2:ODT64 NTX2:NTX64 NKB2:NKB64 NAF2:NAF64 MQJ2:MQJ64 MGN2:MGN64 LWR2:LWR64 LMV2:LMV64 LCZ2:LCZ64 KTD2:KTD64 KJH2:KJH64 JZL2:JZL64 JPP2:JPP64 JFT2:JFT64 IVX2:IVX64 IMB2:IMB64 ICF2:ICF64 HSJ2:HSJ64 HIN2:HIN64 GYR2:GYR64 GOV2:GOV64 GEZ2:GEZ64 FVD2:FVD64 FLH2:FLH64 FBL2:FBL64 ERP2:ERP64 EHT2:EHT64 DXX2:DXX64 DOB2:DOB64 DEF2:DEF64 CUJ2:CUJ64 CKN2:CKN64 CAR2:CAR64 BQV2:BQV64 BGZ2:BGZ64 AXD2:AXD64 ANH2:ANH64 ADL2:ADL64 TP2:TP64 JT2:JT64" xr:uid="{0933ED78-2625-4843-8ECF-7A1B85A595AD}">
      <formula1>$AT$2:$AT$3</formula1>
    </dataValidation>
    <dataValidation operator="equal" allowBlank="1" showInputMessage="1" showErrorMessage="1" sqref="WVJ981796:WVJ981885 WLN981796:WLN981885 WBR981796:WBR981885 VRV981796:VRV981885 VHZ981796:VHZ981885 UYD981796:UYD981885 UOH981796:UOH981885 UEL981796:UEL981885 TUP981796:TUP981885 TKT981796:TKT981885 TAX981796:TAX981885 SRB981796:SRB981885 SHF981796:SHF981885 RXJ981796:RXJ981885 RNN981796:RNN981885 RDR981796:RDR981885 QTV981796:QTV981885 QJZ981796:QJZ981885 QAD981796:QAD981885 PQH981796:PQH981885 PGL981796:PGL981885 OWP981796:OWP981885 OMT981796:OMT981885 OCX981796:OCX981885 NTB981796:NTB981885 NJF981796:NJF981885 MZJ981796:MZJ981885 MPN981796:MPN981885 MFR981796:MFR981885 LVV981796:LVV981885 LLZ981796:LLZ981885 LCD981796:LCD981885 KSH981796:KSH981885 KIL981796:KIL981885 JYP981796:JYP981885 JOT981796:JOT981885 JEX981796:JEX981885 IVB981796:IVB981885 ILF981796:ILF981885 IBJ981796:IBJ981885 HRN981796:HRN981885 HHR981796:HHR981885 GXV981796:GXV981885 GNZ981796:GNZ981885 GED981796:GED981885 FUH981796:FUH981885 FKL981796:FKL981885 FAP981796:FAP981885 EQT981796:EQT981885 EGX981796:EGX981885 DXB981796:DXB981885 DNF981796:DNF981885 DDJ981796:DDJ981885 CTN981796:CTN981885 CJR981796:CJR981885 BZV981796:BZV981885 BPZ981796:BPZ981885 BGD981796:BGD981885 AWH981796:AWH981885 AML981796:AML981885 ACP981796:ACP981885 ST981796:ST981885 IX981796:IX981885 B981802:B981891 WVJ916260:WVJ916349 WLN916260:WLN916349 WBR916260:WBR916349 VRV916260:VRV916349 VHZ916260:VHZ916349 UYD916260:UYD916349 UOH916260:UOH916349 UEL916260:UEL916349 TUP916260:TUP916349 TKT916260:TKT916349 TAX916260:TAX916349 SRB916260:SRB916349 SHF916260:SHF916349 RXJ916260:RXJ916349 RNN916260:RNN916349 RDR916260:RDR916349 QTV916260:QTV916349 QJZ916260:QJZ916349 QAD916260:QAD916349 PQH916260:PQH916349 PGL916260:PGL916349 OWP916260:OWP916349 OMT916260:OMT916349 OCX916260:OCX916349 NTB916260:NTB916349 NJF916260:NJF916349 MZJ916260:MZJ916349 MPN916260:MPN916349 MFR916260:MFR916349 LVV916260:LVV916349 LLZ916260:LLZ916349 LCD916260:LCD916349 KSH916260:KSH916349 KIL916260:KIL916349 JYP916260:JYP916349 JOT916260:JOT916349 JEX916260:JEX916349 IVB916260:IVB916349 ILF916260:ILF916349 IBJ916260:IBJ916349 HRN916260:HRN916349 HHR916260:HHR916349 GXV916260:GXV916349 GNZ916260:GNZ916349 GED916260:GED916349 FUH916260:FUH916349 FKL916260:FKL916349 FAP916260:FAP916349 EQT916260:EQT916349 EGX916260:EGX916349 DXB916260:DXB916349 DNF916260:DNF916349 DDJ916260:DDJ916349 CTN916260:CTN916349 CJR916260:CJR916349 BZV916260:BZV916349 BPZ916260:BPZ916349 BGD916260:BGD916349 AWH916260:AWH916349 AML916260:AML916349 ACP916260:ACP916349 ST916260:ST916349 IX916260:IX916349 B916266:B916355 WVJ850724:WVJ850813 WLN850724:WLN850813 WBR850724:WBR850813 VRV850724:VRV850813 VHZ850724:VHZ850813 UYD850724:UYD850813 UOH850724:UOH850813 UEL850724:UEL850813 TUP850724:TUP850813 TKT850724:TKT850813 TAX850724:TAX850813 SRB850724:SRB850813 SHF850724:SHF850813 RXJ850724:RXJ850813 RNN850724:RNN850813 RDR850724:RDR850813 QTV850724:QTV850813 QJZ850724:QJZ850813 QAD850724:QAD850813 PQH850724:PQH850813 PGL850724:PGL850813 OWP850724:OWP850813 OMT850724:OMT850813 OCX850724:OCX850813 NTB850724:NTB850813 NJF850724:NJF850813 MZJ850724:MZJ850813 MPN850724:MPN850813 MFR850724:MFR850813 LVV850724:LVV850813 LLZ850724:LLZ850813 LCD850724:LCD850813 KSH850724:KSH850813 KIL850724:KIL850813 JYP850724:JYP850813 JOT850724:JOT850813 JEX850724:JEX850813 IVB850724:IVB850813 ILF850724:ILF850813 IBJ850724:IBJ850813 HRN850724:HRN850813 HHR850724:HHR850813 GXV850724:GXV850813 GNZ850724:GNZ850813 GED850724:GED850813 FUH850724:FUH850813 FKL850724:FKL850813 FAP850724:FAP850813 EQT850724:EQT850813 EGX850724:EGX850813 DXB850724:DXB850813 DNF850724:DNF850813 DDJ850724:DDJ850813 CTN850724:CTN850813 CJR850724:CJR850813 BZV850724:BZV850813 BPZ850724:BPZ850813 BGD850724:BGD850813 AWH850724:AWH850813 AML850724:AML850813 ACP850724:ACP850813 ST850724:ST850813 IX850724:IX850813 B850730:B850819 WVJ785188:WVJ785277 WLN785188:WLN785277 WBR785188:WBR785277 VRV785188:VRV785277 VHZ785188:VHZ785277 UYD785188:UYD785277 UOH785188:UOH785277 UEL785188:UEL785277 TUP785188:TUP785277 TKT785188:TKT785277 TAX785188:TAX785277 SRB785188:SRB785277 SHF785188:SHF785277 RXJ785188:RXJ785277 RNN785188:RNN785277 RDR785188:RDR785277 QTV785188:QTV785277 QJZ785188:QJZ785277 QAD785188:QAD785277 PQH785188:PQH785277 PGL785188:PGL785277 OWP785188:OWP785277 OMT785188:OMT785277 OCX785188:OCX785277 NTB785188:NTB785277 NJF785188:NJF785277 MZJ785188:MZJ785277 MPN785188:MPN785277 MFR785188:MFR785277 LVV785188:LVV785277 LLZ785188:LLZ785277 LCD785188:LCD785277 KSH785188:KSH785277 KIL785188:KIL785277 JYP785188:JYP785277 JOT785188:JOT785277 JEX785188:JEX785277 IVB785188:IVB785277 ILF785188:ILF785277 IBJ785188:IBJ785277 HRN785188:HRN785277 HHR785188:HHR785277 GXV785188:GXV785277 GNZ785188:GNZ785277 GED785188:GED785277 FUH785188:FUH785277 FKL785188:FKL785277 FAP785188:FAP785277 EQT785188:EQT785277 EGX785188:EGX785277 DXB785188:DXB785277 DNF785188:DNF785277 DDJ785188:DDJ785277 CTN785188:CTN785277 CJR785188:CJR785277 BZV785188:BZV785277 BPZ785188:BPZ785277 BGD785188:BGD785277 AWH785188:AWH785277 AML785188:AML785277 ACP785188:ACP785277 ST785188:ST785277 IX785188:IX785277 B785194:B785283 WVJ719652:WVJ719741 WLN719652:WLN719741 WBR719652:WBR719741 VRV719652:VRV719741 VHZ719652:VHZ719741 UYD719652:UYD719741 UOH719652:UOH719741 UEL719652:UEL719741 TUP719652:TUP719741 TKT719652:TKT719741 TAX719652:TAX719741 SRB719652:SRB719741 SHF719652:SHF719741 RXJ719652:RXJ719741 RNN719652:RNN719741 RDR719652:RDR719741 QTV719652:QTV719741 QJZ719652:QJZ719741 QAD719652:QAD719741 PQH719652:PQH719741 PGL719652:PGL719741 OWP719652:OWP719741 OMT719652:OMT719741 OCX719652:OCX719741 NTB719652:NTB719741 NJF719652:NJF719741 MZJ719652:MZJ719741 MPN719652:MPN719741 MFR719652:MFR719741 LVV719652:LVV719741 LLZ719652:LLZ719741 LCD719652:LCD719741 KSH719652:KSH719741 KIL719652:KIL719741 JYP719652:JYP719741 JOT719652:JOT719741 JEX719652:JEX719741 IVB719652:IVB719741 ILF719652:ILF719741 IBJ719652:IBJ719741 HRN719652:HRN719741 HHR719652:HHR719741 GXV719652:GXV719741 GNZ719652:GNZ719741 GED719652:GED719741 FUH719652:FUH719741 FKL719652:FKL719741 FAP719652:FAP719741 EQT719652:EQT719741 EGX719652:EGX719741 DXB719652:DXB719741 DNF719652:DNF719741 DDJ719652:DDJ719741 CTN719652:CTN719741 CJR719652:CJR719741 BZV719652:BZV719741 BPZ719652:BPZ719741 BGD719652:BGD719741 AWH719652:AWH719741 AML719652:AML719741 ACP719652:ACP719741 ST719652:ST719741 IX719652:IX719741 B719658:B719747 WVJ654116:WVJ654205 WLN654116:WLN654205 WBR654116:WBR654205 VRV654116:VRV654205 VHZ654116:VHZ654205 UYD654116:UYD654205 UOH654116:UOH654205 UEL654116:UEL654205 TUP654116:TUP654205 TKT654116:TKT654205 TAX654116:TAX654205 SRB654116:SRB654205 SHF654116:SHF654205 RXJ654116:RXJ654205 RNN654116:RNN654205 RDR654116:RDR654205 QTV654116:QTV654205 QJZ654116:QJZ654205 QAD654116:QAD654205 PQH654116:PQH654205 PGL654116:PGL654205 OWP654116:OWP654205 OMT654116:OMT654205 OCX654116:OCX654205 NTB654116:NTB654205 NJF654116:NJF654205 MZJ654116:MZJ654205 MPN654116:MPN654205 MFR654116:MFR654205 LVV654116:LVV654205 LLZ654116:LLZ654205 LCD654116:LCD654205 KSH654116:KSH654205 KIL654116:KIL654205 JYP654116:JYP654205 JOT654116:JOT654205 JEX654116:JEX654205 IVB654116:IVB654205 ILF654116:ILF654205 IBJ654116:IBJ654205 HRN654116:HRN654205 HHR654116:HHR654205 GXV654116:GXV654205 GNZ654116:GNZ654205 GED654116:GED654205 FUH654116:FUH654205 FKL654116:FKL654205 FAP654116:FAP654205 EQT654116:EQT654205 EGX654116:EGX654205 DXB654116:DXB654205 DNF654116:DNF654205 DDJ654116:DDJ654205 CTN654116:CTN654205 CJR654116:CJR654205 BZV654116:BZV654205 BPZ654116:BPZ654205 BGD654116:BGD654205 AWH654116:AWH654205 AML654116:AML654205 ACP654116:ACP654205 ST654116:ST654205 IX654116:IX654205 B654122:B654211 WVJ588580:WVJ588669 WLN588580:WLN588669 WBR588580:WBR588669 VRV588580:VRV588669 VHZ588580:VHZ588669 UYD588580:UYD588669 UOH588580:UOH588669 UEL588580:UEL588669 TUP588580:TUP588669 TKT588580:TKT588669 TAX588580:TAX588669 SRB588580:SRB588669 SHF588580:SHF588669 RXJ588580:RXJ588669 RNN588580:RNN588669 RDR588580:RDR588669 QTV588580:QTV588669 QJZ588580:QJZ588669 QAD588580:QAD588669 PQH588580:PQH588669 PGL588580:PGL588669 OWP588580:OWP588669 OMT588580:OMT588669 OCX588580:OCX588669 NTB588580:NTB588669 NJF588580:NJF588669 MZJ588580:MZJ588669 MPN588580:MPN588669 MFR588580:MFR588669 LVV588580:LVV588669 LLZ588580:LLZ588669 LCD588580:LCD588669 KSH588580:KSH588669 KIL588580:KIL588669 JYP588580:JYP588669 JOT588580:JOT588669 JEX588580:JEX588669 IVB588580:IVB588669 ILF588580:ILF588669 IBJ588580:IBJ588669 HRN588580:HRN588669 HHR588580:HHR588669 GXV588580:GXV588669 GNZ588580:GNZ588669 GED588580:GED588669 FUH588580:FUH588669 FKL588580:FKL588669 FAP588580:FAP588669 EQT588580:EQT588669 EGX588580:EGX588669 DXB588580:DXB588669 DNF588580:DNF588669 DDJ588580:DDJ588669 CTN588580:CTN588669 CJR588580:CJR588669 BZV588580:BZV588669 BPZ588580:BPZ588669 BGD588580:BGD588669 AWH588580:AWH588669 AML588580:AML588669 ACP588580:ACP588669 ST588580:ST588669 IX588580:IX588669 B588586:B588675 WVJ523044:WVJ523133 WLN523044:WLN523133 WBR523044:WBR523133 VRV523044:VRV523133 VHZ523044:VHZ523133 UYD523044:UYD523133 UOH523044:UOH523133 UEL523044:UEL523133 TUP523044:TUP523133 TKT523044:TKT523133 TAX523044:TAX523133 SRB523044:SRB523133 SHF523044:SHF523133 RXJ523044:RXJ523133 RNN523044:RNN523133 RDR523044:RDR523133 QTV523044:QTV523133 QJZ523044:QJZ523133 QAD523044:QAD523133 PQH523044:PQH523133 PGL523044:PGL523133 OWP523044:OWP523133 OMT523044:OMT523133 OCX523044:OCX523133 NTB523044:NTB523133 NJF523044:NJF523133 MZJ523044:MZJ523133 MPN523044:MPN523133 MFR523044:MFR523133 LVV523044:LVV523133 LLZ523044:LLZ523133 LCD523044:LCD523133 KSH523044:KSH523133 KIL523044:KIL523133 JYP523044:JYP523133 JOT523044:JOT523133 JEX523044:JEX523133 IVB523044:IVB523133 ILF523044:ILF523133 IBJ523044:IBJ523133 HRN523044:HRN523133 HHR523044:HHR523133 GXV523044:GXV523133 GNZ523044:GNZ523133 GED523044:GED523133 FUH523044:FUH523133 FKL523044:FKL523133 FAP523044:FAP523133 EQT523044:EQT523133 EGX523044:EGX523133 DXB523044:DXB523133 DNF523044:DNF523133 DDJ523044:DDJ523133 CTN523044:CTN523133 CJR523044:CJR523133 BZV523044:BZV523133 BPZ523044:BPZ523133 BGD523044:BGD523133 AWH523044:AWH523133 AML523044:AML523133 ACP523044:ACP523133 ST523044:ST523133 IX523044:IX523133 B523050:B523139 WVJ457508:WVJ457597 WLN457508:WLN457597 WBR457508:WBR457597 VRV457508:VRV457597 VHZ457508:VHZ457597 UYD457508:UYD457597 UOH457508:UOH457597 UEL457508:UEL457597 TUP457508:TUP457597 TKT457508:TKT457597 TAX457508:TAX457597 SRB457508:SRB457597 SHF457508:SHF457597 RXJ457508:RXJ457597 RNN457508:RNN457597 RDR457508:RDR457597 QTV457508:QTV457597 QJZ457508:QJZ457597 QAD457508:QAD457597 PQH457508:PQH457597 PGL457508:PGL457597 OWP457508:OWP457597 OMT457508:OMT457597 OCX457508:OCX457597 NTB457508:NTB457597 NJF457508:NJF457597 MZJ457508:MZJ457597 MPN457508:MPN457597 MFR457508:MFR457597 LVV457508:LVV457597 LLZ457508:LLZ457597 LCD457508:LCD457597 KSH457508:KSH457597 KIL457508:KIL457597 JYP457508:JYP457597 JOT457508:JOT457597 JEX457508:JEX457597 IVB457508:IVB457597 ILF457508:ILF457597 IBJ457508:IBJ457597 HRN457508:HRN457597 HHR457508:HHR457597 GXV457508:GXV457597 GNZ457508:GNZ457597 GED457508:GED457597 FUH457508:FUH457597 FKL457508:FKL457597 FAP457508:FAP457597 EQT457508:EQT457597 EGX457508:EGX457597 DXB457508:DXB457597 DNF457508:DNF457597 DDJ457508:DDJ457597 CTN457508:CTN457597 CJR457508:CJR457597 BZV457508:BZV457597 BPZ457508:BPZ457597 BGD457508:BGD457597 AWH457508:AWH457597 AML457508:AML457597 ACP457508:ACP457597 ST457508:ST457597 IX457508:IX457597 B457514:B457603 WVJ391972:WVJ392061 WLN391972:WLN392061 WBR391972:WBR392061 VRV391972:VRV392061 VHZ391972:VHZ392061 UYD391972:UYD392061 UOH391972:UOH392061 UEL391972:UEL392061 TUP391972:TUP392061 TKT391972:TKT392061 TAX391972:TAX392061 SRB391972:SRB392061 SHF391972:SHF392061 RXJ391972:RXJ392061 RNN391972:RNN392061 RDR391972:RDR392061 QTV391972:QTV392061 QJZ391972:QJZ392061 QAD391972:QAD392061 PQH391972:PQH392061 PGL391972:PGL392061 OWP391972:OWP392061 OMT391972:OMT392061 OCX391972:OCX392061 NTB391972:NTB392061 NJF391972:NJF392061 MZJ391972:MZJ392061 MPN391972:MPN392061 MFR391972:MFR392061 LVV391972:LVV392061 LLZ391972:LLZ392061 LCD391972:LCD392061 KSH391972:KSH392061 KIL391972:KIL392061 JYP391972:JYP392061 JOT391972:JOT392061 JEX391972:JEX392061 IVB391972:IVB392061 ILF391972:ILF392061 IBJ391972:IBJ392061 HRN391972:HRN392061 HHR391972:HHR392061 GXV391972:GXV392061 GNZ391972:GNZ392061 GED391972:GED392061 FUH391972:FUH392061 FKL391972:FKL392061 FAP391972:FAP392061 EQT391972:EQT392061 EGX391972:EGX392061 DXB391972:DXB392061 DNF391972:DNF392061 DDJ391972:DDJ392061 CTN391972:CTN392061 CJR391972:CJR392061 BZV391972:BZV392061 BPZ391972:BPZ392061 BGD391972:BGD392061 AWH391972:AWH392061 AML391972:AML392061 ACP391972:ACP392061 ST391972:ST392061 IX391972:IX392061 B391978:B392067 WVJ326436:WVJ326525 WLN326436:WLN326525 WBR326436:WBR326525 VRV326436:VRV326525 VHZ326436:VHZ326525 UYD326436:UYD326525 UOH326436:UOH326525 UEL326436:UEL326525 TUP326436:TUP326525 TKT326436:TKT326525 TAX326436:TAX326525 SRB326436:SRB326525 SHF326436:SHF326525 RXJ326436:RXJ326525 RNN326436:RNN326525 RDR326436:RDR326525 QTV326436:QTV326525 QJZ326436:QJZ326525 QAD326436:QAD326525 PQH326436:PQH326525 PGL326436:PGL326525 OWP326436:OWP326525 OMT326436:OMT326525 OCX326436:OCX326525 NTB326436:NTB326525 NJF326436:NJF326525 MZJ326436:MZJ326525 MPN326436:MPN326525 MFR326436:MFR326525 LVV326436:LVV326525 LLZ326436:LLZ326525 LCD326436:LCD326525 KSH326436:KSH326525 KIL326436:KIL326525 JYP326436:JYP326525 JOT326436:JOT326525 JEX326436:JEX326525 IVB326436:IVB326525 ILF326436:ILF326525 IBJ326436:IBJ326525 HRN326436:HRN326525 HHR326436:HHR326525 GXV326436:GXV326525 GNZ326436:GNZ326525 GED326436:GED326525 FUH326436:FUH326525 FKL326436:FKL326525 FAP326436:FAP326525 EQT326436:EQT326525 EGX326436:EGX326525 DXB326436:DXB326525 DNF326436:DNF326525 DDJ326436:DDJ326525 CTN326436:CTN326525 CJR326436:CJR326525 BZV326436:BZV326525 BPZ326436:BPZ326525 BGD326436:BGD326525 AWH326436:AWH326525 AML326436:AML326525 ACP326436:ACP326525 ST326436:ST326525 IX326436:IX326525 B326442:B326531 WVJ260900:WVJ260989 WLN260900:WLN260989 WBR260900:WBR260989 VRV260900:VRV260989 VHZ260900:VHZ260989 UYD260900:UYD260989 UOH260900:UOH260989 UEL260900:UEL260989 TUP260900:TUP260989 TKT260900:TKT260989 TAX260900:TAX260989 SRB260900:SRB260989 SHF260900:SHF260989 RXJ260900:RXJ260989 RNN260900:RNN260989 RDR260900:RDR260989 QTV260900:QTV260989 QJZ260900:QJZ260989 QAD260900:QAD260989 PQH260900:PQH260989 PGL260900:PGL260989 OWP260900:OWP260989 OMT260900:OMT260989 OCX260900:OCX260989 NTB260900:NTB260989 NJF260900:NJF260989 MZJ260900:MZJ260989 MPN260900:MPN260989 MFR260900:MFR260989 LVV260900:LVV260989 LLZ260900:LLZ260989 LCD260900:LCD260989 KSH260900:KSH260989 KIL260900:KIL260989 JYP260900:JYP260989 JOT260900:JOT260989 JEX260900:JEX260989 IVB260900:IVB260989 ILF260900:ILF260989 IBJ260900:IBJ260989 HRN260900:HRN260989 HHR260900:HHR260989 GXV260900:GXV260989 GNZ260900:GNZ260989 GED260900:GED260989 FUH260900:FUH260989 FKL260900:FKL260989 FAP260900:FAP260989 EQT260900:EQT260989 EGX260900:EGX260989 DXB260900:DXB260989 DNF260900:DNF260989 DDJ260900:DDJ260989 CTN260900:CTN260989 CJR260900:CJR260989 BZV260900:BZV260989 BPZ260900:BPZ260989 BGD260900:BGD260989 AWH260900:AWH260989 AML260900:AML260989 ACP260900:ACP260989 ST260900:ST260989 IX260900:IX260989 B260906:B260995 WVJ195364:WVJ195453 WLN195364:WLN195453 WBR195364:WBR195453 VRV195364:VRV195453 VHZ195364:VHZ195453 UYD195364:UYD195453 UOH195364:UOH195453 UEL195364:UEL195453 TUP195364:TUP195453 TKT195364:TKT195453 TAX195364:TAX195453 SRB195364:SRB195453 SHF195364:SHF195453 RXJ195364:RXJ195453 RNN195364:RNN195453 RDR195364:RDR195453 QTV195364:QTV195453 QJZ195364:QJZ195453 QAD195364:QAD195453 PQH195364:PQH195453 PGL195364:PGL195453 OWP195364:OWP195453 OMT195364:OMT195453 OCX195364:OCX195453 NTB195364:NTB195453 NJF195364:NJF195453 MZJ195364:MZJ195453 MPN195364:MPN195453 MFR195364:MFR195453 LVV195364:LVV195453 LLZ195364:LLZ195453 LCD195364:LCD195453 KSH195364:KSH195453 KIL195364:KIL195453 JYP195364:JYP195453 JOT195364:JOT195453 JEX195364:JEX195453 IVB195364:IVB195453 ILF195364:ILF195453 IBJ195364:IBJ195453 HRN195364:HRN195453 HHR195364:HHR195453 GXV195364:GXV195453 GNZ195364:GNZ195453 GED195364:GED195453 FUH195364:FUH195453 FKL195364:FKL195453 FAP195364:FAP195453 EQT195364:EQT195453 EGX195364:EGX195453 DXB195364:DXB195453 DNF195364:DNF195453 DDJ195364:DDJ195453 CTN195364:CTN195453 CJR195364:CJR195453 BZV195364:BZV195453 BPZ195364:BPZ195453 BGD195364:BGD195453 AWH195364:AWH195453 AML195364:AML195453 ACP195364:ACP195453 ST195364:ST195453 IX195364:IX195453 B195370:B195459 WVJ129828:WVJ129917 WLN129828:WLN129917 WBR129828:WBR129917 VRV129828:VRV129917 VHZ129828:VHZ129917 UYD129828:UYD129917 UOH129828:UOH129917 UEL129828:UEL129917 TUP129828:TUP129917 TKT129828:TKT129917 TAX129828:TAX129917 SRB129828:SRB129917 SHF129828:SHF129917 RXJ129828:RXJ129917 RNN129828:RNN129917 RDR129828:RDR129917 QTV129828:QTV129917 QJZ129828:QJZ129917 QAD129828:QAD129917 PQH129828:PQH129917 PGL129828:PGL129917 OWP129828:OWP129917 OMT129828:OMT129917 OCX129828:OCX129917 NTB129828:NTB129917 NJF129828:NJF129917 MZJ129828:MZJ129917 MPN129828:MPN129917 MFR129828:MFR129917 LVV129828:LVV129917 LLZ129828:LLZ129917 LCD129828:LCD129917 KSH129828:KSH129917 KIL129828:KIL129917 JYP129828:JYP129917 JOT129828:JOT129917 JEX129828:JEX129917 IVB129828:IVB129917 ILF129828:ILF129917 IBJ129828:IBJ129917 HRN129828:HRN129917 HHR129828:HHR129917 GXV129828:GXV129917 GNZ129828:GNZ129917 GED129828:GED129917 FUH129828:FUH129917 FKL129828:FKL129917 FAP129828:FAP129917 EQT129828:EQT129917 EGX129828:EGX129917 DXB129828:DXB129917 DNF129828:DNF129917 DDJ129828:DDJ129917 CTN129828:CTN129917 CJR129828:CJR129917 BZV129828:BZV129917 BPZ129828:BPZ129917 BGD129828:BGD129917 AWH129828:AWH129917 AML129828:AML129917 ACP129828:ACP129917 ST129828:ST129917 IX129828:IX129917 B129834:B129923 WVJ64292:WVJ64381 WLN64292:WLN64381 WBR64292:WBR64381 VRV64292:VRV64381 VHZ64292:VHZ64381 UYD64292:UYD64381 UOH64292:UOH64381 UEL64292:UEL64381 TUP64292:TUP64381 TKT64292:TKT64381 TAX64292:TAX64381 SRB64292:SRB64381 SHF64292:SHF64381 RXJ64292:RXJ64381 RNN64292:RNN64381 RDR64292:RDR64381 QTV64292:QTV64381 QJZ64292:QJZ64381 QAD64292:QAD64381 PQH64292:PQH64381 PGL64292:PGL64381 OWP64292:OWP64381 OMT64292:OMT64381 OCX64292:OCX64381 NTB64292:NTB64381 NJF64292:NJF64381 MZJ64292:MZJ64381 MPN64292:MPN64381 MFR64292:MFR64381 LVV64292:LVV64381 LLZ64292:LLZ64381 LCD64292:LCD64381 KSH64292:KSH64381 KIL64292:KIL64381 JYP64292:JYP64381 JOT64292:JOT64381 JEX64292:JEX64381 IVB64292:IVB64381 ILF64292:ILF64381 IBJ64292:IBJ64381 HRN64292:HRN64381 HHR64292:HHR64381 GXV64292:GXV64381 GNZ64292:GNZ64381 GED64292:GED64381 FUH64292:FUH64381 FKL64292:FKL64381 FAP64292:FAP64381 EQT64292:EQT64381 EGX64292:EGX64381 DXB64292:DXB64381 DNF64292:DNF64381 DDJ64292:DDJ64381 CTN64292:CTN64381 CJR64292:CJR64381 BZV64292:BZV64381 BPZ64292:BPZ64381 BGD64292:BGD64381 AWH64292:AWH64381 AML64292:AML64381 ACP64292:ACP64381 ST64292:ST64381 IX64292:IX64381 B64298:B64387 B87:B103 IX2:IX64 WVJ2:WVJ64 WLN2:WLN64 WBR2:WBR64 VRV2:VRV64 VHZ2:VHZ64 UYD2:UYD64 UOH2:UOH64 UEL2:UEL64 TUP2:TUP64 TKT2:TKT64 TAX2:TAX64 SRB2:SRB64 SHF2:SHF64 RXJ2:RXJ64 RNN2:RNN64 RDR2:RDR64 QTV2:QTV64 QJZ2:QJZ64 QAD2:QAD64 PQH2:PQH64 PGL2:PGL64 OWP2:OWP64 OMT2:OMT64 OCX2:OCX64 NTB2:NTB64 NJF2:NJF64 MZJ2:MZJ64 MPN2:MPN64 MFR2:MFR64 LVV2:LVV64 LLZ2:LLZ64 LCD2:LCD64 KSH2:KSH64 KIL2:KIL64 JYP2:JYP64 JOT2:JOT64 JEX2:JEX64 IVB2:IVB64 ILF2:ILF64 IBJ2:IBJ64 HRN2:HRN64 HHR2:HHR64 GXV2:GXV64 GNZ2:GNZ64 GED2:GED64 FUH2:FUH64 FKL2:FKL64 FAP2:FAP64 EQT2:EQT64 EGX2:EGX64 DXB2:DXB64 DNF2:DNF64 DDJ2:DDJ64 CTN2:CTN64 CJR2:CJR64 BZV2:BZV64 BPZ2:BPZ64 BGD2:BGD64 AWH2:AWH64 AML2:AML64 ACP2:ACP64 ST2:ST64 B2:B85" xr:uid="{38BE5F32-C90A-4274-A335-EAB3DCFFBF76}"/>
    <dataValidation type="list" allowBlank="1" showInputMessage="1" showErrorMessage="1" sqref="WVI981796:WVI981885 WLM981796:WLM981885 WBQ981796:WBQ981885 VRU981796:VRU981885 VHY981796:VHY981885 UYC981796:UYC981885 UOG981796:UOG981885 UEK981796:UEK981885 TUO981796:TUO981885 TKS981796:TKS981885 TAW981796:TAW981885 SRA981796:SRA981885 SHE981796:SHE981885 RXI981796:RXI981885 RNM981796:RNM981885 RDQ981796:RDQ981885 QTU981796:QTU981885 QJY981796:QJY981885 QAC981796:QAC981885 PQG981796:PQG981885 PGK981796:PGK981885 OWO981796:OWO981885 OMS981796:OMS981885 OCW981796:OCW981885 NTA981796:NTA981885 NJE981796:NJE981885 MZI981796:MZI981885 MPM981796:MPM981885 MFQ981796:MFQ981885 LVU981796:LVU981885 LLY981796:LLY981885 LCC981796:LCC981885 KSG981796:KSG981885 KIK981796:KIK981885 JYO981796:JYO981885 JOS981796:JOS981885 JEW981796:JEW981885 IVA981796:IVA981885 ILE981796:ILE981885 IBI981796:IBI981885 HRM981796:HRM981885 HHQ981796:HHQ981885 GXU981796:GXU981885 GNY981796:GNY981885 GEC981796:GEC981885 FUG981796:FUG981885 FKK981796:FKK981885 FAO981796:FAO981885 EQS981796:EQS981885 EGW981796:EGW981885 DXA981796:DXA981885 DNE981796:DNE981885 DDI981796:DDI981885 CTM981796:CTM981885 CJQ981796:CJQ981885 BZU981796:BZU981885 BPY981796:BPY981885 BGC981796:BGC981885 AWG981796:AWG981885 AMK981796:AMK981885 ACO981796:ACO981885 SS981796:SS981885 IW981796:IW981885 A981802:A981891 WVI916260:WVI916349 WLM916260:WLM916349 WBQ916260:WBQ916349 VRU916260:VRU916349 VHY916260:VHY916349 UYC916260:UYC916349 UOG916260:UOG916349 UEK916260:UEK916349 TUO916260:TUO916349 TKS916260:TKS916349 TAW916260:TAW916349 SRA916260:SRA916349 SHE916260:SHE916349 RXI916260:RXI916349 RNM916260:RNM916349 RDQ916260:RDQ916349 QTU916260:QTU916349 QJY916260:QJY916349 QAC916260:QAC916349 PQG916260:PQG916349 PGK916260:PGK916349 OWO916260:OWO916349 OMS916260:OMS916349 OCW916260:OCW916349 NTA916260:NTA916349 NJE916260:NJE916349 MZI916260:MZI916349 MPM916260:MPM916349 MFQ916260:MFQ916349 LVU916260:LVU916349 LLY916260:LLY916349 LCC916260:LCC916349 KSG916260:KSG916349 KIK916260:KIK916349 JYO916260:JYO916349 JOS916260:JOS916349 JEW916260:JEW916349 IVA916260:IVA916349 ILE916260:ILE916349 IBI916260:IBI916349 HRM916260:HRM916349 HHQ916260:HHQ916349 GXU916260:GXU916349 GNY916260:GNY916349 GEC916260:GEC916349 FUG916260:FUG916349 FKK916260:FKK916349 FAO916260:FAO916349 EQS916260:EQS916349 EGW916260:EGW916349 DXA916260:DXA916349 DNE916260:DNE916349 DDI916260:DDI916349 CTM916260:CTM916349 CJQ916260:CJQ916349 BZU916260:BZU916349 BPY916260:BPY916349 BGC916260:BGC916349 AWG916260:AWG916349 AMK916260:AMK916349 ACO916260:ACO916349 SS916260:SS916349 IW916260:IW916349 A916266:A916355 WVI850724:WVI850813 WLM850724:WLM850813 WBQ850724:WBQ850813 VRU850724:VRU850813 VHY850724:VHY850813 UYC850724:UYC850813 UOG850724:UOG850813 UEK850724:UEK850813 TUO850724:TUO850813 TKS850724:TKS850813 TAW850724:TAW850813 SRA850724:SRA850813 SHE850724:SHE850813 RXI850724:RXI850813 RNM850724:RNM850813 RDQ850724:RDQ850813 QTU850724:QTU850813 QJY850724:QJY850813 QAC850724:QAC850813 PQG850724:PQG850813 PGK850724:PGK850813 OWO850724:OWO850813 OMS850724:OMS850813 OCW850724:OCW850813 NTA850724:NTA850813 NJE850724:NJE850813 MZI850724:MZI850813 MPM850724:MPM850813 MFQ850724:MFQ850813 LVU850724:LVU850813 LLY850724:LLY850813 LCC850724:LCC850813 KSG850724:KSG850813 KIK850724:KIK850813 JYO850724:JYO850813 JOS850724:JOS850813 JEW850724:JEW850813 IVA850724:IVA850813 ILE850724:ILE850813 IBI850724:IBI850813 HRM850724:HRM850813 HHQ850724:HHQ850813 GXU850724:GXU850813 GNY850724:GNY850813 GEC850724:GEC850813 FUG850724:FUG850813 FKK850724:FKK850813 FAO850724:FAO850813 EQS850724:EQS850813 EGW850724:EGW850813 DXA850724:DXA850813 DNE850724:DNE850813 DDI850724:DDI850813 CTM850724:CTM850813 CJQ850724:CJQ850813 BZU850724:BZU850813 BPY850724:BPY850813 BGC850724:BGC850813 AWG850724:AWG850813 AMK850724:AMK850813 ACO850724:ACO850813 SS850724:SS850813 IW850724:IW850813 A850730:A850819 WVI785188:WVI785277 WLM785188:WLM785277 WBQ785188:WBQ785277 VRU785188:VRU785277 VHY785188:VHY785277 UYC785188:UYC785277 UOG785188:UOG785277 UEK785188:UEK785277 TUO785188:TUO785277 TKS785188:TKS785277 TAW785188:TAW785277 SRA785188:SRA785277 SHE785188:SHE785277 RXI785188:RXI785277 RNM785188:RNM785277 RDQ785188:RDQ785277 QTU785188:QTU785277 QJY785188:QJY785277 QAC785188:QAC785277 PQG785188:PQG785277 PGK785188:PGK785277 OWO785188:OWO785277 OMS785188:OMS785277 OCW785188:OCW785277 NTA785188:NTA785277 NJE785188:NJE785277 MZI785188:MZI785277 MPM785188:MPM785277 MFQ785188:MFQ785277 LVU785188:LVU785277 LLY785188:LLY785277 LCC785188:LCC785277 KSG785188:KSG785277 KIK785188:KIK785277 JYO785188:JYO785277 JOS785188:JOS785277 JEW785188:JEW785277 IVA785188:IVA785277 ILE785188:ILE785277 IBI785188:IBI785277 HRM785188:HRM785277 HHQ785188:HHQ785277 GXU785188:GXU785277 GNY785188:GNY785277 GEC785188:GEC785277 FUG785188:FUG785277 FKK785188:FKK785277 FAO785188:FAO785277 EQS785188:EQS785277 EGW785188:EGW785277 DXA785188:DXA785277 DNE785188:DNE785277 DDI785188:DDI785277 CTM785188:CTM785277 CJQ785188:CJQ785277 BZU785188:BZU785277 BPY785188:BPY785277 BGC785188:BGC785277 AWG785188:AWG785277 AMK785188:AMK785277 ACO785188:ACO785277 SS785188:SS785277 IW785188:IW785277 A785194:A785283 WVI719652:WVI719741 WLM719652:WLM719741 WBQ719652:WBQ719741 VRU719652:VRU719741 VHY719652:VHY719741 UYC719652:UYC719741 UOG719652:UOG719741 UEK719652:UEK719741 TUO719652:TUO719741 TKS719652:TKS719741 TAW719652:TAW719741 SRA719652:SRA719741 SHE719652:SHE719741 RXI719652:RXI719741 RNM719652:RNM719741 RDQ719652:RDQ719741 QTU719652:QTU719741 QJY719652:QJY719741 QAC719652:QAC719741 PQG719652:PQG719741 PGK719652:PGK719741 OWO719652:OWO719741 OMS719652:OMS719741 OCW719652:OCW719741 NTA719652:NTA719741 NJE719652:NJE719741 MZI719652:MZI719741 MPM719652:MPM719741 MFQ719652:MFQ719741 LVU719652:LVU719741 LLY719652:LLY719741 LCC719652:LCC719741 KSG719652:KSG719741 KIK719652:KIK719741 JYO719652:JYO719741 JOS719652:JOS719741 JEW719652:JEW719741 IVA719652:IVA719741 ILE719652:ILE719741 IBI719652:IBI719741 HRM719652:HRM719741 HHQ719652:HHQ719741 GXU719652:GXU719741 GNY719652:GNY719741 GEC719652:GEC719741 FUG719652:FUG719741 FKK719652:FKK719741 FAO719652:FAO719741 EQS719652:EQS719741 EGW719652:EGW719741 DXA719652:DXA719741 DNE719652:DNE719741 DDI719652:DDI719741 CTM719652:CTM719741 CJQ719652:CJQ719741 BZU719652:BZU719741 BPY719652:BPY719741 BGC719652:BGC719741 AWG719652:AWG719741 AMK719652:AMK719741 ACO719652:ACO719741 SS719652:SS719741 IW719652:IW719741 A719658:A719747 WVI654116:WVI654205 WLM654116:WLM654205 WBQ654116:WBQ654205 VRU654116:VRU654205 VHY654116:VHY654205 UYC654116:UYC654205 UOG654116:UOG654205 UEK654116:UEK654205 TUO654116:TUO654205 TKS654116:TKS654205 TAW654116:TAW654205 SRA654116:SRA654205 SHE654116:SHE654205 RXI654116:RXI654205 RNM654116:RNM654205 RDQ654116:RDQ654205 QTU654116:QTU654205 QJY654116:QJY654205 QAC654116:QAC654205 PQG654116:PQG654205 PGK654116:PGK654205 OWO654116:OWO654205 OMS654116:OMS654205 OCW654116:OCW654205 NTA654116:NTA654205 NJE654116:NJE654205 MZI654116:MZI654205 MPM654116:MPM654205 MFQ654116:MFQ654205 LVU654116:LVU654205 LLY654116:LLY654205 LCC654116:LCC654205 KSG654116:KSG654205 KIK654116:KIK654205 JYO654116:JYO654205 JOS654116:JOS654205 JEW654116:JEW654205 IVA654116:IVA654205 ILE654116:ILE654205 IBI654116:IBI654205 HRM654116:HRM654205 HHQ654116:HHQ654205 GXU654116:GXU654205 GNY654116:GNY654205 GEC654116:GEC654205 FUG654116:FUG654205 FKK654116:FKK654205 FAO654116:FAO654205 EQS654116:EQS654205 EGW654116:EGW654205 DXA654116:DXA654205 DNE654116:DNE654205 DDI654116:DDI654205 CTM654116:CTM654205 CJQ654116:CJQ654205 BZU654116:BZU654205 BPY654116:BPY654205 BGC654116:BGC654205 AWG654116:AWG654205 AMK654116:AMK654205 ACO654116:ACO654205 SS654116:SS654205 IW654116:IW654205 A654122:A654211 WVI588580:WVI588669 WLM588580:WLM588669 WBQ588580:WBQ588669 VRU588580:VRU588669 VHY588580:VHY588669 UYC588580:UYC588669 UOG588580:UOG588669 UEK588580:UEK588669 TUO588580:TUO588669 TKS588580:TKS588669 TAW588580:TAW588669 SRA588580:SRA588669 SHE588580:SHE588669 RXI588580:RXI588669 RNM588580:RNM588669 RDQ588580:RDQ588669 QTU588580:QTU588669 QJY588580:QJY588669 QAC588580:QAC588669 PQG588580:PQG588669 PGK588580:PGK588669 OWO588580:OWO588669 OMS588580:OMS588669 OCW588580:OCW588669 NTA588580:NTA588669 NJE588580:NJE588669 MZI588580:MZI588669 MPM588580:MPM588669 MFQ588580:MFQ588669 LVU588580:LVU588669 LLY588580:LLY588669 LCC588580:LCC588669 KSG588580:KSG588669 KIK588580:KIK588669 JYO588580:JYO588669 JOS588580:JOS588669 JEW588580:JEW588669 IVA588580:IVA588669 ILE588580:ILE588669 IBI588580:IBI588669 HRM588580:HRM588669 HHQ588580:HHQ588669 GXU588580:GXU588669 GNY588580:GNY588669 GEC588580:GEC588669 FUG588580:FUG588669 FKK588580:FKK588669 FAO588580:FAO588669 EQS588580:EQS588669 EGW588580:EGW588669 DXA588580:DXA588669 DNE588580:DNE588669 DDI588580:DDI588669 CTM588580:CTM588669 CJQ588580:CJQ588669 BZU588580:BZU588669 BPY588580:BPY588669 BGC588580:BGC588669 AWG588580:AWG588669 AMK588580:AMK588669 ACO588580:ACO588669 SS588580:SS588669 IW588580:IW588669 A588586:A588675 WVI523044:WVI523133 WLM523044:WLM523133 WBQ523044:WBQ523133 VRU523044:VRU523133 VHY523044:VHY523133 UYC523044:UYC523133 UOG523044:UOG523133 UEK523044:UEK523133 TUO523044:TUO523133 TKS523044:TKS523133 TAW523044:TAW523133 SRA523044:SRA523133 SHE523044:SHE523133 RXI523044:RXI523133 RNM523044:RNM523133 RDQ523044:RDQ523133 QTU523044:QTU523133 QJY523044:QJY523133 QAC523044:QAC523133 PQG523044:PQG523133 PGK523044:PGK523133 OWO523044:OWO523133 OMS523044:OMS523133 OCW523044:OCW523133 NTA523044:NTA523133 NJE523044:NJE523133 MZI523044:MZI523133 MPM523044:MPM523133 MFQ523044:MFQ523133 LVU523044:LVU523133 LLY523044:LLY523133 LCC523044:LCC523133 KSG523044:KSG523133 KIK523044:KIK523133 JYO523044:JYO523133 JOS523044:JOS523133 JEW523044:JEW523133 IVA523044:IVA523133 ILE523044:ILE523133 IBI523044:IBI523133 HRM523044:HRM523133 HHQ523044:HHQ523133 GXU523044:GXU523133 GNY523044:GNY523133 GEC523044:GEC523133 FUG523044:FUG523133 FKK523044:FKK523133 FAO523044:FAO523133 EQS523044:EQS523133 EGW523044:EGW523133 DXA523044:DXA523133 DNE523044:DNE523133 DDI523044:DDI523133 CTM523044:CTM523133 CJQ523044:CJQ523133 BZU523044:BZU523133 BPY523044:BPY523133 BGC523044:BGC523133 AWG523044:AWG523133 AMK523044:AMK523133 ACO523044:ACO523133 SS523044:SS523133 IW523044:IW523133 A523050:A523139 WVI457508:WVI457597 WLM457508:WLM457597 WBQ457508:WBQ457597 VRU457508:VRU457597 VHY457508:VHY457597 UYC457508:UYC457597 UOG457508:UOG457597 UEK457508:UEK457597 TUO457508:TUO457597 TKS457508:TKS457597 TAW457508:TAW457597 SRA457508:SRA457597 SHE457508:SHE457597 RXI457508:RXI457597 RNM457508:RNM457597 RDQ457508:RDQ457597 QTU457508:QTU457597 QJY457508:QJY457597 QAC457508:QAC457597 PQG457508:PQG457597 PGK457508:PGK457597 OWO457508:OWO457597 OMS457508:OMS457597 OCW457508:OCW457597 NTA457508:NTA457597 NJE457508:NJE457597 MZI457508:MZI457597 MPM457508:MPM457597 MFQ457508:MFQ457597 LVU457508:LVU457597 LLY457508:LLY457597 LCC457508:LCC457597 KSG457508:KSG457597 KIK457508:KIK457597 JYO457508:JYO457597 JOS457508:JOS457597 JEW457508:JEW457597 IVA457508:IVA457597 ILE457508:ILE457597 IBI457508:IBI457597 HRM457508:HRM457597 HHQ457508:HHQ457597 GXU457508:GXU457597 GNY457508:GNY457597 GEC457508:GEC457597 FUG457508:FUG457597 FKK457508:FKK457597 FAO457508:FAO457597 EQS457508:EQS457597 EGW457508:EGW457597 DXA457508:DXA457597 DNE457508:DNE457597 DDI457508:DDI457597 CTM457508:CTM457597 CJQ457508:CJQ457597 BZU457508:BZU457597 BPY457508:BPY457597 BGC457508:BGC457597 AWG457508:AWG457597 AMK457508:AMK457597 ACO457508:ACO457597 SS457508:SS457597 IW457508:IW457597 A457514:A457603 WVI391972:WVI392061 WLM391972:WLM392061 WBQ391972:WBQ392061 VRU391972:VRU392061 VHY391972:VHY392061 UYC391972:UYC392061 UOG391972:UOG392061 UEK391972:UEK392061 TUO391972:TUO392061 TKS391972:TKS392061 TAW391972:TAW392061 SRA391972:SRA392061 SHE391972:SHE392061 RXI391972:RXI392061 RNM391972:RNM392061 RDQ391972:RDQ392061 QTU391972:QTU392061 QJY391972:QJY392061 QAC391972:QAC392061 PQG391972:PQG392061 PGK391972:PGK392061 OWO391972:OWO392061 OMS391972:OMS392061 OCW391972:OCW392061 NTA391972:NTA392061 NJE391972:NJE392061 MZI391972:MZI392061 MPM391972:MPM392061 MFQ391972:MFQ392061 LVU391972:LVU392061 LLY391972:LLY392061 LCC391972:LCC392061 KSG391972:KSG392061 KIK391972:KIK392061 JYO391972:JYO392061 JOS391972:JOS392061 JEW391972:JEW392061 IVA391972:IVA392061 ILE391972:ILE392061 IBI391972:IBI392061 HRM391972:HRM392061 HHQ391972:HHQ392061 GXU391972:GXU392061 GNY391972:GNY392061 GEC391972:GEC392061 FUG391972:FUG392061 FKK391972:FKK392061 FAO391972:FAO392061 EQS391972:EQS392061 EGW391972:EGW392061 DXA391972:DXA392061 DNE391972:DNE392061 DDI391972:DDI392061 CTM391972:CTM392061 CJQ391972:CJQ392061 BZU391972:BZU392061 BPY391972:BPY392061 BGC391972:BGC392061 AWG391972:AWG392061 AMK391972:AMK392061 ACO391972:ACO392061 SS391972:SS392061 IW391972:IW392061 A391978:A392067 WVI326436:WVI326525 WLM326436:WLM326525 WBQ326436:WBQ326525 VRU326436:VRU326525 VHY326436:VHY326525 UYC326436:UYC326525 UOG326436:UOG326525 UEK326436:UEK326525 TUO326436:TUO326525 TKS326436:TKS326525 TAW326436:TAW326525 SRA326436:SRA326525 SHE326436:SHE326525 RXI326436:RXI326525 RNM326436:RNM326525 RDQ326436:RDQ326525 QTU326436:QTU326525 QJY326436:QJY326525 QAC326436:QAC326525 PQG326436:PQG326525 PGK326436:PGK326525 OWO326436:OWO326525 OMS326436:OMS326525 OCW326436:OCW326525 NTA326436:NTA326525 NJE326436:NJE326525 MZI326436:MZI326525 MPM326436:MPM326525 MFQ326436:MFQ326525 LVU326436:LVU326525 LLY326436:LLY326525 LCC326436:LCC326525 KSG326436:KSG326525 KIK326436:KIK326525 JYO326436:JYO326525 JOS326436:JOS326525 JEW326436:JEW326525 IVA326436:IVA326525 ILE326436:ILE326525 IBI326436:IBI326525 HRM326436:HRM326525 HHQ326436:HHQ326525 GXU326436:GXU326525 GNY326436:GNY326525 GEC326436:GEC326525 FUG326436:FUG326525 FKK326436:FKK326525 FAO326436:FAO326525 EQS326436:EQS326525 EGW326436:EGW326525 DXA326436:DXA326525 DNE326436:DNE326525 DDI326436:DDI326525 CTM326436:CTM326525 CJQ326436:CJQ326525 BZU326436:BZU326525 BPY326436:BPY326525 BGC326436:BGC326525 AWG326436:AWG326525 AMK326436:AMK326525 ACO326436:ACO326525 SS326436:SS326525 IW326436:IW326525 A326442:A326531 WVI260900:WVI260989 WLM260900:WLM260989 WBQ260900:WBQ260989 VRU260900:VRU260989 VHY260900:VHY260989 UYC260900:UYC260989 UOG260900:UOG260989 UEK260900:UEK260989 TUO260900:TUO260989 TKS260900:TKS260989 TAW260900:TAW260989 SRA260900:SRA260989 SHE260900:SHE260989 RXI260900:RXI260989 RNM260900:RNM260989 RDQ260900:RDQ260989 QTU260900:QTU260989 QJY260900:QJY260989 QAC260900:QAC260989 PQG260900:PQG260989 PGK260900:PGK260989 OWO260900:OWO260989 OMS260900:OMS260989 OCW260900:OCW260989 NTA260900:NTA260989 NJE260900:NJE260989 MZI260900:MZI260989 MPM260900:MPM260989 MFQ260900:MFQ260989 LVU260900:LVU260989 LLY260900:LLY260989 LCC260900:LCC260989 KSG260900:KSG260989 KIK260900:KIK260989 JYO260900:JYO260989 JOS260900:JOS260989 JEW260900:JEW260989 IVA260900:IVA260989 ILE260900:ILE260989 IBI260900:IBI260989 HRM260900:HRM260989 HHQ260900:HHQ260989 GXU260900:GXU260989 GNY260900:GNY260989 GEC260900:GEC260989 FUG260900:FUG260989 FKK260900:FKK260989 FAO260900:FAO260989 EQS260900:EQS260989 EGW260900:EGW260989 DXA260900:DXA260989 DNE260900:DNE260989 DDI260900:DDI260989 CTM260900:CTM260989 CJQ260900:CJQ260989 BZU260900:BZU260989 BPY260900:BPY260989 BGC260900:BGC260989 AWG260900:AWG260989 AMK260900:AMK260989 ACO260900:ACO260989 SS260900:SS260989 IW260900:IW260989 A260906:A260995 WVI195364:WVI195453 WLM195364:WLM195453 WBQ195364:WBQ195453 VRU195364:VRU195453 VHY195364:VHY195453 UYC195364:UYC195453 UOG195364:UOG195453 UEK195364:UEK195453 TUO195364:TUO195453 TKS195364:TKS195453 TAW195364:TAW195453 SRA195364:SRA195453 SHE195364:SHE195453 RXI195364:RXI195453 RNM195364:RNM195453 RDQ195364:RDQ195453 QTU195364:QTU195453 QJY195364:QJY195453 QAC195364:QAC195453 PQG195364:PQG195453 PGK195364:PGK195453 OWO195364:OWO195453 OMS195364:OMS195453 OCW195364:OCW195453 NTA195364:NTA195453 NJE195364:NJE195453 MZI195364:MZI195453 MPM195364:MPM195453 MFQ195364:MFQ195453 LVU195364:LVU195453 LLY195364:LLY195453 LCC195364:LCC195453 KSG195364:KSG195453 KIK195364:KIK195453 JYO195364:JYO195453 JOS195364:JOS195453 JEW195364:JEW195453 IVA195364:IVA195453 ILE195364:ILE195453 IBI195364:IBI195453 HRM195364:HRM195453 HHQ195364:HHQ195453 GXU195364:GXU195453 GNY195364:GNY195453 GEC195364:GEC195453 FUG195364:FUG195453 FKK195364:FKK195453 FAO195364:FAO195453 EQS195364:EQS195453 EGW195364:EGW195453 DXA195364:DXA195453 DNE195364:DNE195453 DDI195364:DDI195453 CTM195364:CTM195453 CJQ195364:CJQ195453 BZU195364:BZU195453 BPY195364:BPY195453 BGC195364:BGC195453 AWG195364:AWG195453 AMK195364:AMK195453 ACO195364:ACO195453 SS195364:SS195453 IW195364:IW195453 A195370:A195459 WVI129828:WVI129917 WLM129828:WLM129917 WBQ129828:WBQ129917 VRU129828:VRU129917 VHY129828:VHY129917 UYC129828:UYC129917 UOG129828:UOG129917 UEK129828:UEK129917 TUO129828:TUO129917 TKS129828:TKS129917 TAW129828:TAW129917 SRA129828:SRA129917 SHE129828:SHE129917 RXI129828:RXI129917 RNM129828:RNM129917 RDQ129828:RDQ129917 QTU129828:QTU129917 QJY129828:QJY129917 QAC129828:QAC129917 PQG129828:PQG129917 PGK129828:PGK129917 OWO129828:OWO129917 OMS129828:OMS129917 OCW129828:OCW129917 NTA129828:NTA129917 NJE129828:NJE129917 MZI129828:MZI129917 MPM129828:MPM129917 MFQ129828:MFQ129917 LVU129828:LVU129917 LLY129828:LLY129917 LCC129828:LCC129917 KSG129828:KSG129917 KIK129828:KIK129917 JYO129828:JYO129917 JOS129828:JOS129917 JEW129828:JEW129917 IVA129828:IVA129917 ILE129828:ILE129917 IBI129828:IBI129917 HRM129828:HRM129917 HHQ129828:HHQ129917 GXU129828:GXU129917 GNY129828:GNY129917 GEC129828:GEC129917 FUG129828:FUG129917 FKK129828:FKK129917 FAO129828:FAO129917 EQS129828:EQS129917 EGW129828:EGW129917 DXA129828:DXA129917 DNE129828:DNE129917 DDI129828:DDI129917 CTM129828:CTM129917 CJQ129828:CJQ129917 BZU129828:BZU129917 BPY129828:BPY129917 BGC129828:BGC129917 AWG129828:AWG129917 AMK129828:AMK129917 ACO129828:ACO129917 SS129828:SS129917 IW129828:IW129917 A129834:A129923 WVI64292:WVI64381 WLM64292:WLM64381 WBQ64292:WBQ64381 VRU64292:VRU64381 VHY64292:VHY64381 UYC64292:UYC64381 UOG64292:UOG64381 UEK64292:UEK64381 TUO64292:TUO64381 TKS64292:TKS64381 TAW64292:TAW64381 SRA64292:SRA64381 SHE64292:SHE64381 RXI64292:RXI64381 RNM64292:RNM64381 RDQ64292:RDQ64381 QTU64292:QTU64381 QJY64292:QJY64381 QAC64292:QAC64381 PQG64292:PQG64381 PGK64292:PGK64381 OWO64292:OWO64381 OMS64292:OMS64381 OCW64292:OCW64381 NTA64292:NTA64381 NJE64292:NJE64381 MZI64292:MZI64381 MPM64292:MPM64381 MFQ64292:MFQ64381 LVU64292:LVU64381 LLY64292:LLY64381 LCC64292:LCC64381 KSG64292:KSG64381 KIK64292:KIK64381 JYO64292:JYO64381 JOS64292:JOS64381 JEW64292:JEW64381 IVA64292:IVA64381 ILE64292:ILE64381 IBI64292:IBI64381 HRM64292:HRM64381 HHQ64292:HHQ64381 GXU64292:GXU64381 GNY64292:GNY64381 GEC64292:GEC64381 FUG64292:FUG64381 FKK64292:FKK64381 FAO64292:FAO64381 EQS64292:EQS64381 EGW64292:EGW64381 DXA64292:DXA64381 DNE64292:DNE64381 DDI64292:DDI64381 CTM64292:CTM64381 CJQ64292:CJQ64381 BZU64292:BZU64381 BPY64292:BPY64381 BGC64292:BGC64381 AWG64292:AWG64381 AMK64292:AMK64381 ACO64292:ACO64381 SS64292:SS64381 IW64292:IW64381 A64298:A64387 IW2:IW64 SS2:SS64 ACO2:ACO64 AMK2:AMK64 AWG2:AWG64 BGC2:BGC64 BPY2:BPY64 BZU2:BZU64 CJQ2:CJQ64 CTM2:CTM64 DDI2:DDI64 DNE2:DNE64 DXA2:DXA64 EGW2:EGW64 EQS2:EQS64 FAO2:FAO64 FKK2:FKK64 FUG2:FUG64 GEC2:GEC64 GNY2:GNY64 GXU2:GXU64 HHQ2:HHQ64 HRM2:HRM64 IBI2:IBI64 ILE2:ILE64 IVA2:IVA64 JEW2:JEW64 JOS2:JOS64 JYO2:JYO64 KIK2:KIK64 KSG2:KSG64 LCC2:LCC64 LLY2:LLY64 LVU2:LVU64 MFQ2:MFQ64 MPM2:MPM64 MZI2:MZI64 NJE2:NJE64 NTA2:NTA64 OCW2:OCW64 OMS2:OMS64 OWO2:OWO64 PGK2:PGK64 PQG2:PQG64 QAC2:QAC64 QJY2:QJY64 QTU2:QTU64 RDQ2:RDQ64 RNM2:RNM64 RXI2:RXI64 SHE2:SHE64 SRA2:SRA64 TAW2:TAW64 TKS2:TKS64 TUO2:TUO64 UEK2:UEK64 UOG2:UOG64 UYC2:UYC64 VHY2:VHY64 VRU2:VRU64 WBQ2:WBQ64 WLM2:WLM64 WVI2:WVI64" xr:uid="{902A49FB-C97A-42F6-942B-25E507E34337}">
      <formula1>$AE$2:$AE$22</formula1>
    </dataValidation>
    <dataValidation type="list" allowBlank="1" showInputMessage="1" showErrorMessage="1" sqref="WVO981796:WVO981885 WLS981796:WLS981885 WBW981796:WBW981885 VSA981796:VSA981885 VIE981796:VIE981885 UYI981796:UYI981885 UOM981796:UOM981885 UEQ981796:UEQ981885 TUU981796:TUU981885 TKY981796:TKY981885 TBC981796:TBC981885 SRG981796:SRG981885 SHK981796:SHK981885 RXO981796:RXO981885 RNS981796:RNS981885 RDW981796:RDW981885 QUA981796:QUA981885 QKE981796:QKE981885 QAI981796:QAI981885 PQM981796:PQM981885 PGQ981796:PGQ981885 OWU981796:OWU981885 OMY981796:OMY981885 ODC981796:ODC981885 NTG981796:NTG981885 NJK981796:NJK981885 MZO981796:MZO981885 MPS981796:MPS981885 MFW981796:MFW981885 LWA981796:LWA981885 LME981796:LME981885 LCI981796:LCI981885 KSM981796:KSM981885 KIQ981796:KIQ981885 JYU981796:JYU981885 JOY981796:JOY981885 JFC981796:JFC981885 IVG981796:IVG981885 ILK981796:ILK981885 IBO981796:IBO981885 HRS981796:HRS981885 HHW981796:HHW981885 GYA981796:GYA981885 GOE981796:GOE981885 GEI981796:GEI981885 FUM981796:FUM981885 FKQ981796:FKQ981885 FAU981796:FAU981885 EQY981796:EQY981885 EHC981796:EHC981885 DXG981796:DXG981885 DNK981796:DNK981885 DDO981796:DDO981885 CTS981796:CTS981885 CJW981796:CJW981885 CAA981796:CAA981885 BQE981796:BQE981885 BGI981796:BGI981885 AWM981796:AWM981885 AMQ981796:AMQ981885 ACU981796:ACU981885 SY981796:SY981885 JC981796:JC981885 G981805:G981894 WVO916260:WVO916349 WLS916260:WLS916349 WBW916260:WBW916349 VSA916260:VSA916349 VIE916260:VIE916349 UYI916260:UYI916349 UOM916260:UOM916349 UEQ916260:UEQ916349 TUU916260:TUU916349 TKY916260:TKY916349 TBC916260:TBC916349 SRG916260:SRG916349 SHK916260:SHK916349 RXO916260:RXO916349 RNS916260:RNS916349 RDW916260:RDW916349 QUA916260:QUA916349 QKE916260:QKE916349 QAI916260:QAI916349 PQM916260:PQM916349 PGQ916260:PGQ916349 OWU916260:OWU916349 OMY916260:OMY916349 ODC916260:ODC916349 NTG916260:NTG916349 NJK916260:NJK916349 MZO916260:MZO916349 MPS916260:MPS916349 MFW916260:MFW916349 LWA916260:LWA916349 LME916260:LME916349 LCI916260:LCI916349 KSM916260:KSM916349 KIQ916260:KIQ916349 JYU916260:JYU916349 JOY916260:JOY916349 JFC916260:JFC916349 IVG916260:IVG916349 ILK916260:ILK916349 IBO916260:IBO916349 HRS916260:HRS916349 HHW916260:HHW916349 GYA916260:GYA916349 GOE916260:GOE916349 GEI916260:GEI916349 FUM916260:FUM916349 FKQ916260:FKQ916349 FAU916260:FAU916349 EQY916260:EQY916349 EHC916260:EHC916349 DXG916260:DXG916349 DNK916260:DNK916349 DDO916260:DDO916349 CTS916260:CTS916349 CJW916260:CJW916349 CAA916260:CAA916349 BQE916260:BQE916349 BGI916260:BGI916349 AWM916260:AWM916349 AMQ916260:AMQ916349 ACU916260:ACU916349 SY916260:SY916349 JC916260:JC916349 G916269:G916358 WVO850724:WVO850813 WLS850724:WLS850813 WBW850724:WBW850813 VSA850724:VSA850813 VIE850724:VIE850813 UYI850724:UYI850813 UOM850724:UOM850813 UEQ850724:UEQ850813 TUU850724:TUU850813 TKY850724:TKY850813 TBC850724:TBC850813 SRG850724:SRG850813 SHK850724:SHK850813 RXO850724:RXO850813 RNS850724:RNS850813 RDW850724:RDW850813 QUA850724:QUA850813 QKE850724:QKE850813 QAI850724:QAI850813 PQM850724:PQM850813 PGQ850724:PGQ850813 OWU850724:OWU850813 OMY850724:OMY850813 ODC850724:ODC850813 NTG850724:NTG850813 NJK850724:NJK850813 MZO850724:MZO850813 MPS850724:MPS850813 MFW850724:MFW850813 LWA850724:LWA850813 LME850724:LME850813 LCI850724:LCI850813 KSM850724:KSM850813 KIQ850724:KIQ850813 JYU850724:JYU850813 JOY850724:JOY850813 JFC850724:JFC850813 IVG850724:IVG850813 ILK850724:ILK850813 IBO850724:IBO850813 HRS850724:HRS850813 HHW850724:HHW850813 GYA850724:GYA850813 GOE850724:GOE850813 GEI850724:GEI850813 FUM850724:FUM850813 FKQ850724:FKQ850813 FAU850724:FAU850813 EQY850724:EQY850813 EHC850724:EHC850813 DXG850724:DXG850813 DNK850724:DNK850813 DDO850724:DDO850813 CTS850724:CTS850813 CJW850724:CJW850813 CAA850724:CAA850813 BQE850724:BQE850813 BGI850724:BGI850813 AWM850724:AWM850813 AMQ850724:AMQ850813 ACU850724:ACU850813 SY850724:SY850813 JC850724:JC850813 G850733:G850822 WVO785188:WVO785277 WLS785188:WLS785277 WBW785188:WBW785277 VSA785188:VSA785277 VIE785188:VIE785277 UYI785188:UYI785277 UOM785188:UOM785277 UEQ785188:UEQ785277 TUU785188:TUU785277 TKY785188:TKY785277 TBC785188:TBC785277 SRG785188:SRG785277 SHK785188:SHK785277 RXO785188:RXO785277 RNS785188:RNS785277 RDW785188:RDW785277 QUA785188:QUA785277 QKE785188:QKE785277 QAI785188:QAI785277 PQM785188:PQM785277 PGQ785188:PGQ785277 OWU785188:OWU785277 OMY785188:OMY785277 ODC785188:ODC785277 NTG785188:NTG785277 NJK785188:NJK785277 MZO785188:MZO785277 MPS785188:MPS785277 MFW785188:MFW785277 LWA785188:LWA785277 LME785188:LME785277 LCI785188:LCI785277 KSM785188:KSM785277 KIQ785188:KIQ785277 JYU785188:JYU785277 JOY785188:JOY785277 JFC785188:JFC785277 IVG785188:IVG785277 ILK785188:ILK785277 IBO785188:IBO785277 HRS785188:HRS785277 HHW785188:HHW785277 GYA785188:GYA785277 GOE785188:GOE785277 GEI785188:GEI785277 FUM785188:FUM785277 FKQ785188:FKQ785277 FAU785188:FAU785277 EQY785188:EQY785277 EHC785188:EHC785277 DXG785188:DXG785277 DNK785188:DNK785277 DDO785188:DDO785277 CTS785188:CTS785277 CJW785188:CJW785277 CAA785188:CAA785277 BQE785188:BQE785277 BGI785188:BGI785277 AWM785188:AWM785277 AMQ785188:AMQ785277 ACU785188:ACU785277 SY785188:SY785277 JC785188:JC785277 G785197:G785286 WVO719652:WVO719741 WLS719652:WLS719741 WBW719652:WBW719741 VSA719652:VSA719741 VIE719652:VIE719741 UYI719652:UYI719741 UOM719652:UOM719741 UEQ719652:UEQ719741 TUU719652:TUU719741 TKY719652:TKY719741 TBC719652:TBC719741 SRG719652:SRG719741 SHK719652:SHK719741 RXO719652:RXO719741 RNS719652:RNS719741 RDW719652:RDW719741 QUA719652:QUA719741 QKE719652:QKE719741 QAI719652:QAI719741 PQM719652:PQM719741 PGQ719652:PGQ719741 OWU719652:OWU719741 OMY719652:OMY719741 ODC719652:ODC719741 NTG719652:NTG719741 NJK719652:NJK719741 MZO719652:MZO719741 MPS719652:MPS719741 MFW719652:MFW719741 LWA719652:LWA719741 LME719652:LME719741 LCI719652:LCI719741 KSM719652:KSM719741 KIQ719652:KIQ719741 JYU719652:JYU719741 JOY719652:JOY719741 JFC719652:JFC719741 IVG719652:IVG719741 ILK719652:ILK719741 IBO719652:IBO719741 HRS719652:HRS719741 HHW719652:HHW719741 GYA719652:GYA719741 GOE719652:GOE719741 GEI719652:GEI719741 FUM719652:FUM719741 FKQ719652:FKQ719741 FAU719652:FAU719741 EQY719652:EQY719741 EHC719652:EHC719741 DXG719652:DXG719741 DNK719652:DNK719741 DDO719652:DDO719741 CTS719652:CTS719741 CJW719652:CJW719741 CAA719652:CAA719741 BQE719652:BQE719741 BGI719652:BGI719741 AWM719652:AWM719741 AMQ719652:AMQ719741 ACU719652:ACU719741 SY719652:SY719741 JC719652:JC719741 G719661:G719750 WVO654116:WVO654205 WLS654116:WLS654205 WBW654116:WBW654205 VSA654116:VSA654205 VIE654116:VIE654205 UYI654116:UYI654205 UOM654116:UOM654205 UEQ654116:UEQ654205 TUU654116:TUU654205 TKY654116:TKY654205 TBC654116:TBC654205 SRG654116:SRG654205 SHK654116:SHK654205 RXO654116:RXO654205 RNS654116:RNS654205 RDW654116:RDW654205 QUA654116:QUA654205 QKE654116:QKE654205 QAI654116:QAI654205 PQM654116:PQM654205 PGQ654116:PGQ654205 OWU654116:OWU654205 OMY654116:OMY654205 ODC654116:ODC654205 NTG654116:NTG654205 NJK654116:NJK654205 MZO654116:MZO654205 MPS654116:MPS654205 MFW654116:MFW654205 LWA654116:LWA654205 LME654116:LME654205 LCI654116:LCI654205 KSM654116:KSM654205 KIQ654116:KIQ654205 JYU654116:JYU654205 JOY654116:JOY654205 JFC654116:JFC654205 IVG654116:IVG654205 ILK654116:ILK654205 IBO654116:IBO654205 HRS654116:HRS654205 HHW654116:HHW654205 GYA654116:GYA654205 GOE654116:GOE654205 GEI654116:GEI654205 FUM654116:FUM654205 FKQ654116:FKQ654205 FAU654116:FAU654205 EQY654116:EQY654205 EHC654116:EHC654205 DXG654116:DXG654205 DNK654116:DNK654205 DDO654116:DDO654205 CTS654116:CTS654205 CJW654116:CJW654205 CAA654116:CAA654205 BQE654116:BQE654205 BGI654116:BGI654205 AWM654116:AWM654205 AMQ654116:AMQ654205 ACU654116:ACU654205 SY654116:SY654205 JC654116:JC654205 G654125:G654214 WVO588580:WVO588669 WLS588580:WLS588669 WBW588580:WBW588669 VSA588580:VSA588669 VIE588580:VIE588669 UYI588580:UYI588669 UOM588580:UOM588669 UEQ588580:UEQ588669 TUU588580:TUU588669 TKY588580:TKY588669 TBC588580:TBC588669 SRG588580:SRG588669 SHK588580:SHK588669 RXO588580:RXO588669 RNS588580:RNS588669 RDW588580:RDW588669 QUA588580:QUA588669 QKE588580:QKE588669 QAI588580:QAI588669 PQM588580:PQM588669 PGQ588580:PGQ588669 OWU588580:OWU588669 OMY588580:OMY588669 ODC588580:ODC588669 NTG588580:NTG588669 NJK588580:NJK588669 MZO588580:MZO588669 MPS588580:MPS588669 MFW588580:MFW588669 LWA588580:LWA588669 LME588580:LME588669 LCI588580:LCI588669 KSM588580:KSM588669 KIQ588580:KIQ588669 JYU588580:JYU588669 JOY588580:JOY588669 JFC588580:JFC588669 IVG588580:IVG588669 ILK588580:ILK588669 IBO588580:IBO588669 HRS588580:HRS588669 HHW588580:HHW588669 GYA588580:GYA588669 GOE588580:GOE588669 GEI588580:GEI588669 FUM588580:FUM588669 FKQ588580:FKQ588669 FAU588580:FAU588669 EQY588580:EQY588669 EHC588580:EHC588669 DXG588580:DXG588669 DNK588580:DNK588669 DDO588580:DDO588669 CTS588580:CTS588669 CJW588580:CJW588669 CAA588580:CAA588669 BQE588580:BQE588669 BGI588580:BGI588669 AWM588580:AWM588669 AMQ588580:AMQ588669 ACU588580:ACU588669 SY588580:SY588669 JC588580:JC588669 G588589:G588678 WVO523044:WVO523133 WLS523044:WLS523133 WBW523044:WBW523133 VSA523044:VSA523133 VIE523044:VIE523133 UYI523044:UYI523133 UOM523044:UOM523133 UEQ523044:UEQ523133 TUU523044:TUU523133 TKY523044:TKY523133 TBC523044:TBC523133 SRG523044:SRG523133 SHK523044:SHK523133 RXO523044:RXO523133 RNS523044:RNS523133 RDW523044:RDW523133 QUA523044:QUA523133 QKE523044:QKE523133 QAI523044:QAI523133 PQM523044:PQM523133 PGQ523044:PGQ523133 OWU523044:OWU523133 OMY523044:OMY523133 ODC523044:ODC523133 NTG523044:NTG523133 NJK523044:NJK523133 MZO523044:MZO523133 MPS523044:MPS523133 MFW523044:MFW523133 LWA523044:LWA523133 LME523044:LME523133 LCI523044:LCI523133 KSM523044:KSM523133 KIQ523044:KIQ523133 JYU523044:JYU523133 JOY523044:JOY523133 JFC523044:JFC523133 IVG523044:IVG523133 ILK523044:ILK523133 IBO523044:IBO523133 HRS523044:HRS523133 HHW523044:HHW523133 GYA523044:GYA523133 GOE523044:GOE523133 GEI523044:GEI523133 FUM523044:FUM523133 FKQ523044:FKQ523133 FAU523044:FAU523133 EQY523044:EQY523133 EHC523044:EHC523133 DXG523044:DXG523133 DNK523044:DNK523133 DDO523044:DDO523133 CTS523044:CTS523133 CJW523044:CJW523133 CAA523044:CAA523133 BQE523044:BQE523133 BGI523044:BGI523133 AWM523044:AWM523133 AMQ523044:AMQ523133 ACU523044:ACU523133 SY523044:SY523133 JC523044:JC523133 G523053:G523142 WVO457508:WVO457597 WLS457508:WLS457597 WBW457508:WBW457597 VSA457508:VSA457597 VIE457508:VIE457597 UYI457508:UYI457597 UOM457508:UOM457597 UEQ457508:UEQ457597 TUU457508:TUU457597 TKY457508:TKY457597 TBC457508:TBC457597 SRG457508:SRG457597 SHK457508:SHK457597 RXO457508:RXO457597 RNS457508:RNS457597 RDW457508:RDW457597 QUA457508:QUA457597 QKE457508:QKE457597 QAI457508:QAI457597 PQM457508:PQM457597 PGQ457508:PGQ457597 OWU457508:OWU457597 OMY457508:OMY457597 ODC457508:ODC457597 NTG457508:NTG457597 NJK457508:NJK457597 MZO457508:MZO457597 MPS457508:MPS457597 MFW457508:MFW457597 LWA457508:LWA457597 LME457508:LME457597 LCI457508:LCI457597 KSM457508:KSM457597 KIQ457508:KIQ457597 JYU457508:JYU457597 JOY457508:JOY457597 JFC457508:JFC457597 IVG457508:IVG457597 ILK457508:ILK457597 IBO457508:IBO457597 HRS457508:HRS457597 HHW457508:HHW457597 GYA457508:GYA457597 GOE457508:GOE457597 GEI457508:GEI457597 FUM457508:FUM457597 FKQ457508:FKQ457597 FAU457508:FAU457597 EQY457508:EQY457597 EHC457508:EHC457597 DXG457508:DXG457597 DNK457508:DNK457597 DDO457508:DDO457597 CTS457508:CTS457597 CJW457508:CJW457597 CAA457508:CAA457597 BQE457508:BQE457597 BGI457508:BGI457597 AWM457508:AWM457597 AMQ457508:AMQ457597 ACU457508:ACU457597 SY457508:SY457597 JC457508:JC457597 G457517:G457606 WVO391972:WVO392061 WLS391972:WLS392061 WBW391972:WBW392061 VSA391972:VSA392061 VIE391972:VIE392061 UYI391972:UYI392061 UOM391972:UOM392061 UEQ391972:UEQ392061 TUU391972:TUU392061 TKY391972:TKY392061 TBC391972:TBC392061 SRG391972:SRG392061 SHK391972:SHK392061 RXO391972:RXO392061 RNS391972:RNS392061 RDW391972:RDW392061 QUA391972:QUA392061 QKE391972:QKE392061 QAI391972:QAI392061 PQM391972:PQM392061 PGQ391972:PGQ392061 OWU391972:OWU392061 OMY391972:OMY392061 ODC391972:ODC392061 NTG391972:NTG392061 NJK391972:NJK392061 MZO391972:MZO392061 MPS391972:MPS392061 MFW391972:MFW392061 LWA391972:LWA392061 LME391972:LME392061 LCI391972:LCI392061 KSM391972:KSM392061 KIQ391972:KIQ392061 JYU391972:JYU392061 JOY391972:JOY392061 JFC391972:JFC392061 IVG391972:IVG392061 ILK391972:ILK392061 IBO391972:IBO392061 HRS391972:HRS392061 HHW391972:HHW392061 GYA391972:GYA392061 GOE391972:GOE392061 GEI391972:GEI392061 FUM391972:FUM392061 FKQ391972:FKQ392061 FAU391972:FAU392061 EQY391972:EQY392061 EHC391972:EHC392061 DXG391972:DXG392061 DNK391972:DNK392061 DDO391972:DDO392061 CTS391972:CTS392061 CJW391972:CJW392061 CAA391972:CAA392061 BQE391972:BQE392061 BGI391972:BGI392061 AWM391972:AWM392061 AMQ391972:AMQ392061 ACU391972:ACU392061 SY391972:SY392061 JC391972:JC392061 G391981:G392070 WVO326436:WVO326525 WLS326436:WLS326525 WBW326436:WBW326525 VSA326436:VSA326525 VIE326436:VIE326525 UYI326436:UYI326525 UOM326436:UOM326525 UEQ326436:UEQ326525 TUU326436:TUU326525 TKY326436:TKY326525 TBC326436:TBC326525 SRG326436:SRG326525 SHK326436:SHK326525 RXO326436:RXO326525 RNS326436:RNS326525 RDW326436:RDW326525 QUA326436:QUA326525 QKE326436:QKE326525 QAI326436:QAI326525 PQM326436:PQM326525 PGQ326436:PGQ326525 OWU326436:OWU326525 OMY326436:OMY326525 ODC326436:ODC326525 NTG326436:NTG326525 NJK326436:NJK326525 MZO326436:MZO326525 MPS326436:MPS326525 MFW326436:MFW326525 LWA326436:LWA326525 LME326436:LME326525 LCI326436:LCI326525 KSM326436:KSM326525 KIQ326436:KIQ326525 JYU326436:JYU326525 JOY326436:JOY326525 JFC326436:JFC326525 IVG326436:IVG326525 ILK326436:ILK326525 IBO326436:IBO326525 HRS326436:HRS326525 HHW326436:HHW326525 GYA326436:GYA326525 GOE326436:GOE326525 GEI326436:GEI326525 FUM326436:FUM326525 FKQ326436:FKQ326525 FAU326436:FAU326525 EQY326436:EQY326525 EHC326436:EHC326525 DXG326436:DXG326525 DNK326436:DNK326525 DDO326436:DDO326525 CTS326436:CTS326525 CJW326436:CJW326525 CAA326436:CAA326525 BQE326436:BQE326525 BGI326436:BGI326525 AWM326436:AWM326525 AMQ326436:AMQ326525 ACU326436:ACU326525 SY326436:SY326525 JC326436:JC326525 G326445:G326534 WVO260900:WVO260989 WLS260900:WLS260989 WBW260900:WBW260989 VSA260900:VSA260989 VIE260900:VIE260989 UYI260900:UYI260989 UOM260900:UOM260989 UEQ260900:UEQ260989 TUU260900:TUU260989 TKY260900:TKY260989 TBC260900:TBC260989 SRG260900:SRG260989 SHK260900:SHK260989 RXO260900:RXO260989 RNS260900:RNS260989 RDW260900:RDW260989 QUA260900:QUA260989 QKE260900:QKE260989 QAI260900:QAI260989 PQM260900:PQM260989 PGQ260900:PGQ260989 OWU260900:OWU260989 OMY260900:OMY260989 ODC260900:ODC260989 NTG260900:NTG260989 NJK260900:NJK260989 MZO260900:MZO260989 MPS260900:MPS260989 MFW260900:MFW260989 LWA260900:LWA260989 LME260900:LME260989 LCI260900:LCI260989 KSM260900:KSM260989 KIQ260900:KIQ260989 JYU260900:JYU260989 JOY260900:JOY260989 JFC260900:JFC260989 IVG260900:IVG260989 ILK260900:ILK260989 IBO260900:IBO260989 HRS260900:HRS260989 HHW260900:HHW260989 GYA260900:GYA260989 GOE260900:GOE260989 GEI260900:GEI260989 FUM260900:FUM260989 FKQ260900:FKQ260989 FAU260900:FAU260989 EQY260900:EQY260989 EHC260900:EHC260989 DXG260900:DXG260989 DNK260900:DNK260989 DDO260900:DDO260989 CTS260900:CTS260989 CJW260900:CJW260989 CAA260900:CAA260989 BQE260900:BQE260989 BGI260900:BGI260989 AWM260900:AWM260989 AMQ260900:AMQ260989 ACU260900:ACU260989 SY260900:SY260989 JC260900:JC260989 G260909:G260998 WVO195364:WVO195453 WLS195364:WLS195453 WBW195364:WBW195453 VSA195364:VSA195453 VIE195364:VIE195453 UYI195364:UYI195453 UOM195364:UOM195453 UEQ195364:UEQ195453 TUU195364:TUU195453 TKY195364:TKY195453 TBC195364:TBC195453 SRG195364:SRG195453 SHK195364:SHK195453 RXO195364:RXO195453 RNS195364:RNS195453 RDW195364:RDW195453 QUA195364:QUA195453 QKE195364:QKE195453 QAI195364:QAI195453 PQM195364:PQM195453 PGQ195364:PGQ195453 OWU195364:OWU195453 OMY195364:OMY195453 ODC195364:ODC195453 NTG195364:NTG195453 NJK195364:NJK195453 MZO195364:MZO195453 MPS195364:MPS195453 MFW195364:MFW195453 LWA195364:LWA195453 LME195364:LME195453 LCI195364:LCI195453 KSM195364:KSM195453 KIQ195364:KIQ195453 JYU195364:JYU195453 JOY195364:JOY195453 JFC195364:JFC195453 IVG195364:IVG195453 ILK195364:ILK195453 IBO195364:IBO195453 HRS195364:HRS195453 HHW195364:HHW195453 GYA195364:GYA195453 GOE195364:GOE195453 GEI195364:GEI195453 FUM195364:FUM195453 FKQ195364:FKQ195453 FAU195364:FAU195453 EQY195364:EQY195453 EHC195364:EHC195453 DXG195364:DXG195453 DNK195364:DNK195453 DDO195364:DDO195453 CTS195364:CTS195453 CJW195364:CJW195453 CAA195364:CAA195453 BQE195364:BQE195453 BGI195364:BGI195453 AWM195364:AWM195453 AMQ195364:AMQ195453 ACU195364:ACU195453 SY195364:SY195453 JC195364:JC195453 G195373:G195462 WVO129828:WVO129917 WLS129828:WLS129917 WBW129828:WBW129917 VSA129828:VSA129917 VIE129828:VIE129917 UYI129828:UYI129917 UOM129828:UOM129917 UEQ129828:UEQ129917 TUU129828:TUU129917 TKY129828:TKY129917 TBC129828:TBC129917 SRG129828:SRG129917 SHK129828:SHK129917 RXO129828:RXO129917 RNS129828:RNS129917 RDW129828:RDW129917 QUA129828:QUA129917 QKE129828:QKE129917 QAI129828:QAI129917 PQM129828:PQM129917 PGQ129828:PGQ129917 OWU129828:OWU129917 OMY129828:OMY129917 ODC129828:ODC129917 NTG129828:NTG129917 NJK129828:NJK129917 MZO129828:MZO129917 MPS129828:MPS129917 MFW129828:MFW129917 LWA129828:LWA129917 LME129828:LME129917 LCI129828:LCI129917 KSM129828:KSM129917 KIQ129828:KIQ129917 JYU129828:JYU129917 JOY129828:JOY129917 JFC129828:JFC129917 IVG129828:IVG129917 ILK129828:ILK129917 IBO129828:IBO129917 HRS129828:HRS129917 HHW129828:HHW129917 GYA129828:GYA129917 GOE129828:GOE129917 GEI129828:GEI129917 FUM129828:FUM129917 FKQ129828:FKQ129917 FAU129828:FAU129917 EQY129828:EQY129917 EHC129828:EHC129917 DXG129828:DXG129917 DNK129828:DNK129917 DDO129828:DDO129917 CTS129828:CTS129917 CJW129828:CJW129917 CAA129828:CAA129917 BQE129828:BQE129917 BGI129828:BGI129917 AWM129828:AWM129917 AMQ129828:AMQ129917 ACU129828:ACU129917 SY129828:SY129917 JC129828:JC129917 G129837:G129926 WVO64292:WVO64381 WLS64292:WLS64381 WBW64292:WBW64381 VSA64292:VSA64381 VIE64292:VIE64381 UYI64292:UYI64381 UOM64292:UOM64381 UEQ64292:UEQ64381 TUU64292:TUU64381 TKY64292:TKY64381 TBC64292:TBC64381 SRG64292:SRG64381 SHK64292:SHK64381 RXO64292:RXO64381 RNS64292:RNS64381 RDW64292:RDW64381 QUA64292:QUA64381 QKE64292:QKE64381 QAI64292:QAI64381 PQM64292:PQM64381 PGQ64292:PGQ64381 OWU64292:OWU64381 OMY64292:OMY64381 ODC64292:ODC64381 NTG64292:NTG64381 NJK64292:NJK64381 MZO64292:MZO64381 MPS64292:MPS64381 MFW64292:MFW64381 LWA64292:LWA64381 LME64292:LME64381 LCI64292:LCI64381 KSM64292:KSM64381 KIQ64292:KIQ64381 JYU64292:JYU64381 JOY64292:JOY64381 JFC64292:JFC64381 IVG64292:IVG64381 ILK64292:ILK64381 IBO64292:IBO64381 HRS64292:HRS64381 HHW64292:HHW64381 GYA64292:GYA64381 GOE64292:GOE64381 GEI64292:GEI64381 FUM64292:FUM64381 FKQ64292:FKQ64381 FAU64292:FAU64381 EQY64292:EQY64381 EHC64292:EHC64381 DXG64292:DXG64381 DNK64292:DNK64381 DDO64292:DDO64381 CTS64292:CTS64381 CJW64292:CJW64381 CAA64292:CAA64381 BQE64292:BQE64381 BGI64292:BGI64381 AWM64292:AWM64381 AMQ64292:AMQ64381 ACU64292:ACU64381 SY64292:SY64381 JC64292:JC64381 G64301:G64390 G87:G491 JC2:JC64 WVO2:WVO64 WLS2:WLS64 WBW2:WBW64 VSA2:VSA64 VIE2:VIE64 UYI2:UYI64 UOM2:UOM64 UEQ2:UEQ64 TUU2:TUU64 TKY2:TKY64 TBC2:TBC64 SRG2:SRG64 SHK2:SHK64 RXO2:RXO64 RNS2:RNS64 RDW2:RDW64 QUA2:QUA64 QKE2:QKE64 QAI2:QAI64 PQM2:PQM64 PGQ2:PGQ64 OWU2:OWU64 OMY2:OMY64 ODC2:ODC64 NTG2:NTG64 NJK2:NJK64 MZO2:MZO64 MPS2:MPS64 MFW2:MFW64 LWA2:LWA64 LME2:LME64 LCI2:LCI64 KSM2:KSM64 KIQ2:KIQ64 JYU2:JYU64 JOY2:JOY64 JFC2:JFC64 IVG2:IVG64 ILK2:ILK64 IBO2:IBO64 HRS2:HRS64 HHW2:HHW64 GYA2:GYA64 GOE2:GOE64 GEI2:GEI64 FUM2:FUM64 FKQ2:FKQ64 FAU2:FAU64 EQY2:EQY64 EHC2:EHC64 DXG2:DXG64 DNK2:DNK64 DDO2:DDO64 CTS2:CTS64 CJW2:CJW64 CAA2:CAA64 BQE2:BQE64 BGI2:BGI64 AWM2:AWM64 AMQ2:AMQ64 ACU2:ACU64 SY2:SY64 G2:G85" xr:uid="{3811E2A4-8F27-422F-A331-ED00BD4CF183}">
      <formula1>$AJ$2:$AJ$4</formula1>
    </dataValidation>
    <dataValidation type="list" allowBlank="1" showInputMessage="1" showErrorMessage="1" sqref="WVP981796:WVP981885 WLT981796:WLT981885 WBX981796:WBX981885 VSB981796:VSB981885 VIF981796:VIF981885 UYJ981796:UYJ981885 UON981796:UON981885 UER981796:UER981885 TUV981796:TUV981885 TKZ981796:TKZ981885 TBD981796:TBD981885 SRH981796:SRH981885 SHL981796:SHL981885 RXP981796:RXP981885 RNT981796:RNT981885 RDX981796:RDX981885 QUB981796:QUB981885 QKF981796:QKF981885 QAJ981796:QAJ981885 PQN981796:PQN981885 PGR981796:PGR981885 OWV981796:OWV981885 OMZ981796:OMZ981885 ODD981796:ODD981885 NTH981796:NTH981885 NJL981796:NJL981885 MZP981796:MZP981885 MPT981796:MPT981885 MFX981796:MFX981885 LWB981796:LWB981885 LMF981796:LMF981885 LCJ981796:LCJ981885 KSN981796:KSN981885 KIR981796:KIR981885 JYV981796:JYV981885 JOZ981796:JOZ981885 JFD981796:JFD981885 IVH981796:IVH981885 ILL981796:ILL981885 IBP981796:IBP981885 HRT981796:HRT981885 HHX981796:HHX981885 GYB981796:GYB981885 GOF981796:GOF981885 GEJ981796:GEJ981885 FUN981796:FUN981885 FKR981796:FKR981885 FAV981796:FAV981885 EQZ981796:EQZ981885 EHD981796:EHD981885 DXH981796:DXH981885 DNL981796:DNL981885 DDP981796:DDP981885 CTT981796:CTT981885 CJX981796:CJX981885 CAB981796:CAB981885 BQF981796:BQF981885 BGJ981796:BGJ981885 AWN981796:AWN981885 AMR981796:AMR981885 ACV981796:ACV981885 SZ981796:SZ981885 JD981796:JD981885 H981817:H981906 WVP916260:WVP916349 WLT916260:WLT916349 WBX916260:WBX916349 VSB916260:VSB916349 VIF916260:VIF916349 UYJ916260:UYJ916349 UON916260:UON916349 UER916260:UER916349 TUV916260:TUV916349 TKZ916260:TKZ916349 TBD916260:TBD916349 SRH916260:SRH916349 SHL916260:SHL916349 RXP916260:RXP916349 RNT916260:RNT916349 RDX916260:RDX916349 QUB916260:QUB916349 QKF916260:QKF916349 QAJ916260:QAJ916349 PQN916260:PQN916349 PGR916260:PGR916349 OWV916260:OWV916349 OMZ916260:OMZ916349 ODD916260:ODD916349 NTH916260:NTH916349 NJL916260:NJL916349 MZP916260:MZP916349 MPT916260:MPT916349 MFX916260:MFX916349 LWB916260:LWB916349 LMF916260:LMF916349 LCJ916260:LCJ916349 KSN916260:KSN916349 KIR916260:KIR916349 JYV916260:JYV916349 JOZ916260:JOZ916349 JFD916260:JFD916349 IVH916260:IVH916349 ILL916260:ILL916349 IBP916260:IBP916349 HRT916260:HRT916349 HHX916260:HHX916349 GYB916260:GYB916349 GOF916260:GOF916349 GEJ916260:GEJ916349 FUN916260:FUN916349 FKR916260:FKR916349 FAV916260:FAV916349 EQZ916260:EQZ916349 EHD916260:EHD916349 DXH916260:DXH916349 DNL916260:DNL916349 DDP916260:DDP916349 CTT916260:CTT916349 CJX916260:CJX916349 CAB916260:CAB916349 BQF916260:BQF916349 BGJ916260:BGJ916349 AWN916260:AWN916349 AMR916260:AMR916349 ACV916260:ACV916349 SZ916260:SZ916349 JD916260:JD916349 H916281:H916370 WVP850724:WVP850813 WLT850724:WLT850813 WBX850724:WBX850813 VSB850724:VSB850813 VIF850724:VIF850813 UYJ850724:UYJ850813 UON850724:UON850813 UER850724:UER850813 TUV850724:TUV850813 TKZ850724:TKZ850813 TBD850724:TBD850813 SRH850724:SRH850813 SHL850724:SHL850813 RXP850724:RXP850813 RNT850724:RNT850813 RDX850724:RDX850813 QUB850724:QUB850813 QKF850724:QKF850813 QAJ850724:QAJ850813 PQN850724:PQN850813 PGR850724:PGR850813 OWV850724:OWV850813 OMZ850724:OMZ850813 ODD850724:ODD850813 NTH850724:NTH850813 NJL850724:NJL850813 MZP850724:MZP850813 MPT850724:MPT850813 MFX850724:MFX850813 LWB850724:LWB850813 LMF850724:LMF850813 LCJ850724:LCJ850813 KSN850724:KSN850813 KIR850724:KIR850813 JYV850724:JYV850813 JOZ850724:JOZ850813 JFD850724:JFD850813 IVH850724:IVH850813 ILL850724:ILL850813 IBP850724:IBP850813 HRT850724:HRT850813 HHX850724:HHX850813 GYB850724:GYB850813 GOF850724:GOF850813 GEJ850724:GEJ850813 FUN850724:FUN850813 FKR850724:FKR850813 FAV850724:FAV850813 EQZ850724:EQZ850813 EHD850724:EHD850813 DXH850724:DXH850813 DNL850724:DNL850813 DDP850724:DDP850813 CTT850724:CTT850813 CJX850724:CJX850813 CAB850724:CAB850813 BQF850724:BQF850813 BGJ850724:BGJ850813 AWN850724:AWN850813 AMR850724:AMR850813 ACV850724:ACV850813 SZ850724:SZ850813 JD850724:JD850813 H850745:H850834 WVP785188:WVP785277 WLT785188:WLT785277 WBX785188:WBX785277 VSB785188:VSB785277 VIF785188:VIF785277 UYJ785188:UYJ785277 UON785188:UON785277 UER785188:UER785277 TUV785188:TUV785277 TKZ785188:TKZ785277 TBD785188:TBD785277 SRH785188:SRH785277 SHL785188:SHL785277 RXP785188:RXP785277 RNT785188:RNT785277 RDX785188:RDX785277 QUB785188:QUB785277 QKF785188:QKF785277 QAJ785188:QAJ785277 PQN785188:PQN785277 PGR785188:PGR785277 OWV785188:OWV785277 OMZ785188:OMZ785277 ODD785188:ODD785277 NTH785188:NTH785277 NJL785188:NJL785277 MZP785188:MZP785277 MPT785188:MPT785277 MFX785188:MFX785277 LWB785188:LWB785277 LMF785188:LMF785277 LCJ785188:LCJ785277 KSN785188:KSN785277 KIR785188:KIR785277 JYV785188:JYV785277 JOZ785188:JOZ785277 JFD785188:JFD785277 IVH785188:IVH785277 ILL785188:ILL785277 IBP785188:IBP785277 HRT785188:HRT785277 HHX785188:HHX785277 GYB785188:GYB785277 GOF785188:GOF785277 GEJ785188:GEJ785277 FUN785188:FUN785277 FKR785188:FKR785277 FAV785188:FAV785277 EQZ785188:EQZ785277 EHD785188:EHD785277 DXH785188:DXH785277 DNL785188:DNL785277 DDP785188:DDP785277 CTT785188:CTT785277 CJX785188:CJX785277 CAB785188:CAB785277 BQF785188:BQF785277 BGJ785188:BGJ785277 AWN785188:AWN785277 AMR785188:AMR785277 ACV785188:ACV785277 SZ785188:SZ785277 JD785188:JD785277 H785209:H785298 WVP719652:WVP719741 WLT719652:WLT719741 WBX719652:WBX719741 VSB719652:VSB719741 VIF719652:VIF719741 UYJ719652:UYJ719741 UON719652:UON719741 UER719652:UER719741 TUV719652:TUV719741 TKZ719652:TKZ719741 TBD719652:TBD719741 SRH719652:SRH719741 SHL719652:SHL719741 RXP719652:RXP719741 RNT719652:RNT719741 RDX719652:RDX719741 QUB719652:QUB719741 QKF719652:QKF719741 QAJ719652:QAJ719741 PQN719652:PQN719741 PGR719652:PGR719741 OWV719652:OWV719741 OMZ719652:OMZ719741 ODD719652:ODD719741 NTH719652:NTH719741 NJL719652:NJL719741 MZP719652:MZP719741 MPT719652:MPT719741 MFX719652:MFX719741 LWB719652:LWB719741 LMF719652:LMF719741 LCJ719652:LCJ719741 KSN719652:KSN719741 KIR719652:KIR719741 JYV719652:JYV719741 JOZ719652:JOZ719741 JFD719652:JFD719741 IVH719652:IVH719741 ILL719652:ILL719741 IBP719652:IBP719741 HRT719652:HRT719741 HHX719652:HHX719741 GYB719652:GYB719741 GOF719652:GOF719741 GEJ719652:GEJ719741 FUN719652:FUN719741 FKR719652:FKR719741 FAV719652:FAV719741 EQZ719652:EQZ719741 EHD719652:EHD719741 DXH719652:DXH719741 DNL719652:DNL719741 DDP719652:DDP719741 CTT719652:CTT719741 CJX719652:CJX719741 CAB719652:CAB719741 BQF719652:BQF719741 BGJ719652:BGJ719741 AWN719652:AWN719741 AMR719652:AMR719741 ACV719652:ACV719741 SZ719652:SZ719741 JD719652:JD719741 H719673:H719762 WVP654116:WVP654205 WLT654116:WLT654205 WBX654116:WBX654205 VSB654116:VSB654205 VIF654116:VIF654205 UYJ654116:UYJ654205 UON654116:UON654205 UER654116:UER654205 TUV654116:TUV654205 TKZ654116:TKZ654205 TBD654116:TBD654205 SRH654116:SRH654205 SHL654116:SHL654205 RXP654116:RXP654205 RNT654116:RNT654205 RDX654116:RDX654205 QUB654116:QUB654205 QKF654116:QKF654205 QAJ654116:QAJ654205 PQN654116:PQN654205 PGR654116:PGR654205 OWV654116:OWV654205 OMZ654116:OMZ654205 ODD654116:ODD654205 NTH654116:NTH654205 NJL654116:NJL654205 MZP654116:MZP654205 MPT654116:MPT654205 MFX654116:MFX654205 LWB654116:LWB654205 LMF654116:LMF654205 LCJ654116:LCJ654205 KSN654116:KSN654205 KIR654116:KIR654205 JYV654116:JYV654205 JOZ654116:JOZ654205 JFD654116:JFD654205 IVH654116:IVH654205 ILL654116:ILL654205 IBP654116:IBP654205 HRT654116:HRT654205 HHX654116:HHX654205 GYB654116:GYB654205 GOF654116:GOF654205 GEJ654116:GEJ654205 FUN654116:FUN654205 FKR654116:FKR654205 FAV654116:FAV654205 EQZ654116:EQZ654205 EHD654116:EHD654205 DXH654116:DXH654205 DNL654116:DNL654205 DDP654116:DDP654205 CTT654116:CTT654205 CJX654116:CJX654205 CAB654116:CAB654205 BQF654116:BQF654205 BGJ654116:BGJ654205 AWN654116:AWN654205 AMR654116:AMR654205 ACV654116:ACV654205 SZ654116:SZ654205 JD654116:JD654205 H654137:H654226 WVP588580:WVP588669 WLT588580:WLT588669 WBX588580:WBX588669 VSB588580:VSB588669 VIF588580:VIF588669 UYJ588580:UYJ588669 UON588580:UON588669 UER588580:UER588669 TUV588580:TUV588669 TKZ588580:TKZ588669 TBD588580:TBD588669 SRH588580:SRH588669 SHL588580:SHL588669 RXP588580:RXP588669 RNT588580:RNT588669 RDX588580:RDX588669 QUB588580:QUB588669 QKF588580:QKF588669 QAJ588580:QAJ588669 PQN588580:PQN588669 PGR588580:PGR588669 OWV588580:OWV588669 OMZ588580:OMZ588669 ODD588580:ODD588669 NTH588580:NTH588669 NJL588580:NJL588669 MZP588580:MZP588669 MPT588580:MPT588669 MFX588580:MFX588669 LWB588580:LWB588669 LMF588580:LMF588669 LCJ588580:LCJ588669 KSN588580:KSN588669 KIR588580:KIR588669 JYV588580:JYV588669 JOZ588580:JOZ588669 JFD588580:JFD588669 IVH588580:IVH588669 ILL588580:ILL588669 IBP588580:IBP588669 HRT588580:HRT588669 HHX588580:HHX588669 GYB588580:GYB588669 GOF588580:GOF588669 GEJ588580:GEJ588669 FUN588580:FUN588669 FKR588580:FKR588669 FAV588580:FAV588669 EQZ588580:EQZ588669 EHD588580:EHD588669 DXH588580:DXH588669 DNL588580:DNL588669 DDP588580:DDP588669 CTT588580:CTT588669 CJX588580:CJX588669 CAB588580:CAB588669 BQF588580:BQF588669 BGJ588580:BGJ588669 AWN588580:AWN588669 AMR588580:AMR588669 ACV588580:ACV588669 SZ588580:SZ588669 JD588580:JD588669 H588601:H588690 WVP523044:WVP523133 WLT523044:WLT523133 WBX523044:WBX523133 VSB523044:VSB523133 VIF523044:VIF523133 UYJ523044:UYJ523133 UON523044:UON523133 UER523044:UER523133 TUV523044:TUV523133 TKZ523044:TKZ523133 TBD523044:TBD523133 SRH523044:SRH523133 SHL523044:SHL523133 RXP523044:RXP523133 RNT523044:RNT523133 RDX523044:RDX523133 QUB523044:QUB523133 QKF523044:QKF523133 QAJ523044:QAJ523133 PQN523044:PQN523133 PGR523044:PGR523133 OWV523044:OWV523133 OMZ523044:OMZ523133 ODD523044:ODD523133 NTH523044:NTH523133 NJL523044:NJL523133 MZP523044:MZP523133 MPT523044:MPT523133 MFX523044:MFX523133 LWB523044:LWB523133 LMF523044:LMF523133 LCJ523044:LCJ523133 KSN523044:KSN523133 KIR523044:KIR523133 JYV523044:JYV523133 JOZ523044:JOZ523133 JFD523044:JFD523133 IVH523044:IVH523133 ILL523044:ILL523133 IBP523044:IBP523133 HRT523044:HRT523133 HHX523044:HHX523133 GYB523044:GYB523133 GOF523044:GOF523133 GEJ523044:GEJ523133 FUN523044:FUN523133 FKR523044:FKR523133 FAV523044:FAV523133 EQZ523044:EQZ523133 EHD523044:EHD523133 DXH523044:DXH523133 DNL523044:DNL523133 DDP523044:DDP523133 CTT523044:CTT523133 CJX523044:CJX523133 CAB523044:CAB523133 BQF523044:BQF523133 BGJ523044:BGJ523133 AWN523044:AWN523133 AMR523044:AMR523133 ACV523044:ACV523133 SZ523044:SZ523133 JD523044:JD523133 H523065:H523154 WVP457508:WVP457597 WLT457508:WLT457597 WBX457508:WBX457597 VSB457508:VSB457597 VIF457508:VIF457597 UYJ457508:UYJ457597 UON457508:UON457597 UER457508:UER457597 TUV457508:TUV457597 TKZ457508:TKZ457597 TBD457508:TBD457597 SRH457508:SRH457597 SHL457508:SHL457597 RXP457508:RXP457597 RNT457508:RNT457597 RDX457508:RDX457597 QUB457508:QUB457597 QKF457508:QKF457597 QAJ457508:QAJ457597 PQN457508:PQN457597 PGR457508:PGR457597 OWV457508:OWV457597 OMZ457508:OMZ457597 ODD457508:ODD457597 NTH457508:NTH457597 NJL457508:NJL457597 MZP457508:MZP457597 MPT457508:MPT457597 MFX457508:MFX457597 LWB457508:LWB457597 LMF457508:LMF457597 LCJ457508:LCJ457597 KSN457508:KSN457597 KIR457508:KIR457597 JYV457508:JYV457597 JOZ457508:JOZ457597 JFD457508:JFD457597 IVH457508:IVH457597 ILL457508:ILL457597 IBP457508:IBP457597 HRT457508:HRT457597 HHX457508:HHX457597 GYB457508:GYB457597 GOF457508:GOF457597 GEJ457508:GEJ457597 FUN457508:FUN457597 FKR457508:FKR457597 FAV457508:FAV457597 EQZ457508:EQZ457597 EHD457508:EHD457597 DXH457508:DXH457597 DNL457508:DNL457597 DDP457508:DDP457597 CTT457508:CTT457597 CJX457508:CJX457597 CAB457508:CAB457597 BQF457508:BQF457597 BGJ457508:BGJ457597 AWN457508:AWN457597 AMR457508:AMR457597 ACV457508:ACV457597 SZ457508:SZ457597 JD457508:JD457597 H457529:H457618 WVP391972:WVP392061 WLT391972:WLT392061 WBX391972:WBX392061 VSB391972:VSB392061 VIF391972:VIF392061 UYJ391972:UYJ392061 UON391972:UON392061 UER391972:UER392061 TUV391972:TUV392061 TKZ391972:TKZ392061 TBD391972:TBD392061 SRH391972:SRH392061 SHL391972:SHL392061 RXP391972:RXP392061 RNT391972:RNT392061 RDX391972:RDX392061 QUB391972:QUB392061 QKF391972:QKF392061 QAJ391972:QAJ392061 PQN391972:PQN392061 PGR391972:PGR392061 OWV391972:OWV392061 OMZ391972:OMZ392061 ODD391972:ODD392061 NTH391972:NTH392061 NJL391972:NJL392061 MZP391972:MZP392061 MPT391972:MPT392061 MFX391972:MFX392061 LWB391972:LWB392061 LMF391972:LMF392061 LCJ391972:LCJ392061 KSN391972:KSN392061 KIR391972:KIR392061 JYV391972:JYV392061 JOZ391972:JOZ392061 JFD391972:JFD392061 IVH391972:IVH392061 ILL391972:ILL392061 IBP391972:IBP392061 HRT391972:HRT392061 HHX391972:HHX392061 GYB391972:GYB392061 GOF391972:GOF392061 GEJ391972:GEJ392061 FUN391972:FUN392061 FKR391972:FKR392061 FAV391972:FAV392061 EQZ391972:EQZ392061 EHD391972:EHD392061 DXH391972:DXH392061 DNL391972:DNL392061 DDP391972:DDP392061 CTT391972:CTT392061 CJX391972:CJX392061 CAB391972:CAB392061 BQF391972:BQF392061 BGJ391972:BGJ392061 AWN391972:AWN392061 AMR391972:AMR392061 ACV391972:ACV392061 SZ391972:SZ392061 JD391972:JD392061 H391993:H392082 WVP326436:WVP326525 WLT326436:WLT326525 WBX326436:WBX326525 VSB326436:VSB326525 VIF326436:VIF326525 UYJ326436:UYJ326525 UON326436:UON326525 UER326436:UER326525 TUV326436:TUV326525 TKZ326436:TKZ326525 TBD326436:TBD326525 SRH326436:SRH326525 SHL326436:SHL326525 RXP326436:RXP326525 RNT326436:RNT326525 RDX326436:RDX326525 QUB326436:QUB326525 QKF326436:QKF326525 QAJ326436:QAJ326525 PQN326436:PQN326525 PGR326436:PGR326525 OWV326436:OWV326525 OMZ326436:OMZ326525 ODD326436:ODD326525 NTH326436:NTH326525 NJL326436:NJL326525 MZP326436:MZP326525 MPT326436:MPT326525 MFX326436:MFX326525 LWB326436:LWB326525 LMF326436:LMF326525 LCJ326436:LCJ326525 KSN326436:KSN326525 KIR326436:KIR326525 JYV326436:JYV326525 JOZ326436:JOZ326525 JFD326436:JFD326525 IVH326436:IVH326525 ILL326436:ILL326525 IBP326436:IBP326525 HRT326436:HRT326525 HHX326436:HHX326525 GYB326436:GYB326525 GOF326436:GOF326525 GEJ326436:GEJ326525 FUN326436:FUN326525 FKR326436:FKR326525 FAV326436:FAV326525 EQZ326436:EQZ326525 EHD326436:EHD326525 DXH326436:DXH326525 DNL326436:DNL326525 DDP326436:DDP326525 CTT326436:CTT326525 CJX326436:CJX326525 CAB326436:CAB326525 BQF326436:BQF326525 BGJ326436:BGJ326525 AWN326436:AWN326525 AMR326436:AMR326525 ACV326436:ACV326525 SZ326436:SZ326525 JD326436:JD326525 H326457:H326546 WVP260900:WVP260989 WLT260900:WLT260989 WBX260900:WBX260989 VSB260900:VSB260989 VIF260900:VIF260989 UYJ260900:UYJ260989 UON260900:UON260989 UER260900:UER260989 TUV260900:TUV260989 TKZ260900:TKZ260989 TBD260900:TBD260989 SRH260900:SRH260989 SHL260900:SHL260989 RXP260900:RXP260989 RNT260900:RNT260989 RDX260900:RDX260989 QUB260900:QUB260989 QKF260900:QKF260989 QAJ260900:QAJ260989 PQN260900:PQN260989 PGR260900:PGR260989 OWV260900:OWV260989 OMZ260900:OMZ260989 ODD260900:ODD260989 NTH260900:NTH260989 NJL260900:NJL260989 MZP260900:MZP260989 MPT260900:MPT260989 MFX260900:MFX260989 LWB260900:LWB260989 LMF260900:LMF260989 LCJ260900:LCJ260989 KSN260900:KSN260989 KIR260900:KIR260989 JYV260900:JYV260989 JOZ260900:JOZ260989 JFD260900:JFD260989 IVH260900:IVH260989 ILL260900:ILL260989 IBP260900:IBP260989 HRT260900:HRT260989 HHX260900:HHX260989 GYB260900:GYB260989 GOF260900:GOF260989 GEJ260900:GEJ260989 FUN260900:FUN260989 FKR260900:FKR260989 FAV260900:FAV260989 EQZ260900:EQZ260989 EHD260900:EHD260989 DXH260900:DXH260989 DNL260900:DNL260989 DDP260900:DDP260989 CTT260900:CTT260989 CJX260900:CJX260989 CAB260900:CAB260989 BQF260900:BQF260989 BGJ260900:BGJ260989 AWN260900:AWN260989 AMR260900:AMR260989 ACV260900:ACV260989 SZ260900:SZ260989 JD260900:JD260989 H260921:H261010 WVP195364:WVP195453 WLT195364:WLT195453 WBX195364:WBX195453 VSB195364:VSB195453 VIF195364:VIF195453 UYJ195364:UYJ195453 UON195364:UON195453 UER195364:UER195453 TUV195364:TUV195453 TKZ195364:TKZ195453 TBD195364:TBD195453 SRH195364:SRH195453 SHL195364:SHL195453 RXP195364:RXP195453 RNT195364:RNT195453 RDX195364:RDX195453 QUB195364:QUB195453 QKF195364:QKF195453 QAJ195364:QAJ195453 PQN195364:PQN195453 PGR195364:PGR195453 OWV195364:OWV195453 OMZ195364:OMZ195453 ODD195364:ODD195453 NTH195364:NTH195453 NJL195364:NJL195453 MZP195364:MZP195453 MPT195364:MPT195453 MFX195364:MFX195453 LWB195364:LWB195453 LMF195364:LMF195453 LCJ195364:LCJ195453 KSN195364:KSN195453 KIR195364:KIR195453 JYV195364:JYV195453 JOZ195364:JOZ195453 JFD195364:JFD195453 IVH195364:IVH195453 ILL195364:ILL195453 IBP195364:IBP195453 HRT195364:HRT195453 HHX195364:HHX195453 GYB195364:GYB195453 GOF195364:GOF195453 GEJ195364:GEJ195453 FUN195364:FUN195453 FKR195364:FKR195453 FAV195364:FAV195453 EQZ195364:EQZ195453 EHD195364:EHD195453 DXH195364:DXH195453 DNL195364:DNL195453 DDP195364:DDP195453 CTT195364:CTT195453 CJX195364:CJX195453 CAB195364:CAB195453 BQF195364:BQF195453 BGJ195364:BGJ195453 AWN195364:AWN195453 AMR195364:AMR195453 ACV195364:ACV195453 SZ195364:SZ195453 JD195364:JD195453 H195385:H195474 WVP129828:WVP129917 WLT129828:WLT129917 WBX129828:WBX129917 VSB129828:VSB129917 VIF129828:VIF129917 UYJ129828:UYJ129917 UON129828:UON129917 UER129828:UER129917 TUV129828:TUV129917 TKZ129828:TKZ129917 TBD129828:TBD129917 SRH129828:SRH129917 SHL129828:SHL129917 RXP129828:RXP129917 RNT129828:RNT129917 RDX129828:RDX129917 QUB129828:QUB129917 QKF129828:QKF129917 QAJ129828:QAJ129917 PQN129828:PQN129917 PGR129828:PGR129917 OWV129828:OWV129917 OMZ129828:OMZ129917 ODD129828:ODD129917 NTH129828:NTH129917 NJL129828:NJL129917 MZP129828:MZP129917 MPT129828:MPT129917 MFX129828:MFX129917 LWB129828:LWB129917 LMF129828:LMF129917 LCJ129828:LCJ129917 KSN129828:KSN129917 KIR129828:KIR129917 JYV129828:JYV129917 JOZ129828:JOZ129917 JFD129828:JFD129917 IVH129828:IVH129917 ILL129828:ILL129917 IBP129828:IBP129917 HRT129828:HRT129917 HHX129828:HHX129917 GYB129828:GYB129917 GOF129828:GOF129917 GEJ129828:GEJ129917 FUN129828:FUN129917 FKR129828:FKR129917 FAV129828:FAV129917 EQZ129828:EQZ129917 EHD129828:EHD129917 DXH129828:DXH129917 DNL129828:DNL129917 DDP129828:DDP129917 CTT129828:CTT129917 CJX129828:CJX129917 CAB129828:CAB129917 BQF129828:BQF129917 BGJ129828:BGJ129917 AWN129828:AWN129917 AMR129828:AMR129917 ACV129828:ACV129917 SZ129828:SZ129917 JD129828:JD129917 H129849:H129938 WVP64292:WVP64381 WLT64292:WLT64381 WBX64292:WBX64381 VSB64292:VSB64381 VIF64292:VIF64381 UYJ64292:UYJ64381 UON64292:UON64381 UER64292:UER64381 TUV64292:TUV64381 TKZ64292:TKZ64381 TBD64292:TBD64381 SRH64292:SRH64381 SHL64292:SHL64381 RXP64292:RXP64381 RNT64292:RNT64381 RDX64292:RDX64381 QUB64292:QUB64381 QKF64292:QKF64381 QAJ64292:QAJ64381 PQN64292:PQN64381 PGR64292:PGR64381 OWV64292:OWV64381 OMZ64292:OMZ64381 ODD64292:ODD64381 NTH64292:NTH64381 NJL64292:NJL64381 MZP64292:MZP64381 MPT64292:MPT64381 MFX64292:MFX64381 LWB64292:LWB64381 LMF64292:LMF64381 LCJ64292:LCJ64381 KSN64292:KSN64381 KIR64292:KIR64381 JYV64292:JYV64381 JOZ64292:JOZ64381 JFD64292:JFD64381 IVH64292:IVH64381 ILL64292:ILL64381 IBP64292:IBP64381 HRT64292:HRT64381 HHX64292:HHX64381 GYB64292:GYB64381 GOF64292:GOF64381 GEJ64292:GEJ64381 FUN64292:FUN64381 FKR64292:FKR64381 FAV64292:FAV64381 EQZ64292:EQZ64381 EHD64292:EHD64381 DXH64292:DXH64381 DNL64292:DNL64381 DDP64292:DDP64381 CTT64292:CTT64381 CJX64292:CJX64381 CAB64292:CAB64381 BQF64292:BQF64381 BGJ64292:BGJ64381 AWN64292:AWN64381 AMR64292:AMR64381 ACV64292:ACV64381 SZ64292:SZ64381 JD64292:JD64381 H64313:H64402 WVP2:WVP64 WLT2:WLT64 WBX2:WBX64 VSB2:VSB64 VIF2:VIF64 UYJ2:UYJ64 UON2:UON64 UER2:UER64 TUV2:TUV64 TKZ2:TKZ64 TBD2:TBD64 SRH2:SRH64 SHL2:SHL64 RXP2:RXP64 RNT2:RNT64 RDX2:RDX64 QUB2:QUB64 QKF2:QKF64 QAJ2:QAJ64 PQN2:PQN64 PGR2:PGR64 OWV2:OWV64 OMZ2:OMZ64 ODD2:ODD64 NTH2:NTH64 NJL2:NJL64 MZP2:MZP64 MPT2:MPT64 MFX2:MFX64 LWB2:LWB64 LMF2:LMF64 LCJ2:LCJ64 KSN2:KSN64 KIR2:KIR64 JYV2:JYV64 JOZ2:JOZ64 JFD2:JFD64 IVH2:IVH64 ILL2:ILL64 IBP2:IBP64 HRT2:HRT64 HHX2:HHX64 GYB2:GYB64 GOF2:GOF64 GEJ2:GEJ64 FUN2:FUN64 FKR2:FKR64 FAV2:FAV64 EQZ2:EQZ64 EHD2:EHD64 DXH2:DXH64 DNL2:DNL64 DDP2:DDP64 CTT2:CTT64 CJX2:CJX64 CAB2:CAB64 BQF2:BQF64 BGJ2:BGJ64 AWN2:AWN64 AMR2:AMR64 ACV2:ACV64 SZ2:SZ64 JD2:JD64" xr:uid="{CE6649B4-F4B2-48E5-8DDE-74F5099015E8}">
      <formula1>$AL$8:$AL$13</formula1>
    </dataValidation>
    <dataValidation type="list" allowBlank="1" showInputMessage="1" showErrorMessage="1" sqref="WVQ981796:WVQ981879 WLU981796:WLU981879 WBY981796:WBY981879 VSC981796:VSC981879 VIG981796:VIG981879 UYK981796:UYK981879 UOO981796:UOO981879 UES981796:UES981879 TUW981796:TUW981879 TLA981796:TLA981879 TBE981796:TBE981879 SRI981796:SRI981879 SHM981796:SHM981879 RXQ981796:RXQ981879 RNU981796:RNU981879 RDY981796:RDY981879 QUC981796:QUC981879 QKG981796:QKG981879 QAK981796:QAK981879 PQO981796:PQO981879 PGS981796:PGS981879 OWW981796:OWW981879 ONA981796:ONA981879 ODE981796:ODE981879 NTI981796:NTI981879 NJM981796:NJM981879 MZQ981796:MZQ981879 MPU981796:MPU981879 MFY981796:MFY981879 LWC981796:LWC981879 LMG981796:LMG981879 LCK981796:LCK981879 KSO981796:KSO981879 KIS981796:KIS981879 JYW981796:JYW981879 JPA981796:JPA981879 JFE981796:JFE981879 IVI981796:IVI981879 ILM981796:ILM981879 IBQ981796:IBQ981879 HRU981796:HRU981879 HHY981796:HHY981879 GYC981796:GYC981879 GOG981796:GOG981879 GEK981796:GEK981879 FUO981796:FUO981879 FKS981796:FKS981879 FAW981796:FAW981879 ERA981796:ERA981879 EHE981796:EHE981879 DXI981796:DXI981879 DNM981796:DNM981879 DDQ981796:DDQ981879 CTU981796:CTU981879 CJY981796:CJY981879 CAC981796:CAC981879 BQG981796:BQG981879 BGK981796:BGK981879 AWO981796:AWO981879 AMS981796:AMS981879 ACW981796:ACW981879 TA981796:TA981879 JE981796:JE981879 I981817:I981900 WVQ916260:WVQ916343 WLU916260:WLU916343 WBY916260:WBY916343 VSC916260:VSC916343 VIG916260:VIG916343 UYK916260:UYK916343 UOO916260:UOO916343 UES916260:UES916343 TUW916260:TUW916343 TLA916260:TLA916343 TBE916260:TBE916343 SRI916260:SRI916343 SHM916260:SHM916343 RXQ916260:RXQ916343 RNU916260:RNU916343 RDY916260:RDY916343 QUC916260:QUC916343 QKG916260:QKG916343 QAK916260:QAK916343 PQO916260:PQO916343 PGS916260:PGS916343 OWW916260:OWW916343 ONA916260:ONA916343 ODE916260:ODE916343 NTI916260:NTI916343 NJM916260:NJM916343 MZQ916260:MZQ916343 MPU916260:MPU916343 MFY916260:MFY916343 LWC916260:LWC916343 LMG916260:LMG916343 LCK916260:LCK916343 KSO916260:KSO916343 KIS916260:KIS916343 JYW916260:JYW916343 JPA916260:JPA916343 JFE916260:JFE916343 IVI916260:IVI916343 ILM916260:ILM916343 IBQ916260:IBQ916343 HRU916260:HRU916343 HHY916260:HHY916343 GYC916260:GYC916343 GOG916260:GOG916343 GEK916260:GEK916343 FUO916260:FUO916343 FKS916260:FKS916343 FAW916260:FAW916343 ERA916260:ERA916343 EHE916260:EHE916343 DXI916260:DXI916343 DNM916260:DNM916343 DDQ916260:DDQ916343 CTU916260:CTU916343 CJY916260:CJY916343 CAC916260:CAC916343 BQG916260:BQG916343 BGK916260:BGK916343 AWO916260:AWO916343 AMS916260:AMS916343 ACW916260:ACW916343 TA916260:TA916343 JE916260:JE916343 I916281:I916364 WVQ850724:WVQ850807 WLU850724:WLU850807 WBY850724:WBY850807 VSC850724:VSC850807 VIG850724:VIG850807 UYK850724:UYK850807 UOO850724:UOO850807 UES850724:UES850807 TUW850724:TUW850807 TLA850724:TLA850807 TBE850724:TBE850807 SRI850724:SRI850807 SHM850724:SHM850807 RXQ850724:RXQ850807 RNU850724:RNU850807 RDY850724:RDY850807 QUC850724:QUC850807 QKG850724:QKG850807 QAK850724:QAK850807 PQO850724:PQO850807 PGS850724:PGS850807 OWW850724:OWW850807 ONA850724:ONA850807 ODE850724:ODE850807 NTI850724:NTI850807 NJM850724:NJM850807 MZQ850724:MZQ850807 MPU850724:MPU850807 MFY850724:MFY850807 LWC850724:LWC850807 LMG850724:LMG850807 LCK850724:LCK850807 KSO850724:KSO850807 KIS850724:KIS850807 JYW850724:JYW850807 JPA850724:JPA850807 JFE850724:JFE850807 IVI850724:IVI850807 ILM850724:ILM850807 IBQ850724:IBQ850807 HRU850724:HRU850807 HHY850724:HHY850807 GYC850724:GYC850807 GOG850724:GOG850807 GEK850724:GEK850807 FUO850724:FUO850807 FKS850724:FKS850807 FAW850724:FAW850807 ERA850724:ERA850807 EHE850724:EHE850807 DXI850724:DXI850807 DNM850724:DNM850807 DDQ850724:DDQ850807 CTU850724:CTU850807 CJY850724:CJY850807 CAC850724:CAC850807 BQG850724:BQG850807 BGK850724:BGK850807 AWO850724:AWO850807 AMS850724:AMS850807 ACW850724:ACW850807 TA850724:TA850807 JE850724:JE850807 I850745:I850828 WVQ785188:WVQ785271 WLU785188:WLU785271 WBY785188:WBY785271 VSC785188:VSC785271 VIG785188:VIG785271 UYK785188:UYK785271 UOO785188:UOO785271 UES785188:UES785271 TUW785188:TUW785271 TLA785188:TLA785271 TBE785188:TBE785271 SRI785188:SRI785271 SHM785188:SHM785271 RXQ785188:RXQ785271 RNU785188:RNU785271 RDY785188:RDY785271 QUC785188:QUC785271 QKG785188:QKG785271 QAK785188:QAK785271 PQO785188:PQO785271 PGS785188:PGS785271 OWW785188:OWW785271 ONA785188:ONA785271 ODE785188:ODE785271 NTI785188:NTI785271 NJM785188:NJM785271 MZQ785188:MZQ785271 MPU785188:MPU785271 MFY785188:MFY785271 LWC785188:LWC785271 LMG785188:LMG785271 LCK785188:LCK785271 KSO785188:KSO785271 KIS785188:KIS785271 JYW785188:JYW785271 JPA785188:JPA785271 JFE785188:JFE785271 IVI785188:IVI785271 ILM785188:ILM785271 IBQ785188:IBQ785271 HRU785188:HRU785271 HHY785188:HHY785271 GYC785188:GYC785271 GOG785188:GOG785271 GEK785188:GEK785271 FUO785188:FUO785271 FKS785188:FKS785271 FAW785188:FAW785271 ERA785188:ERA785271 EHE785188:EHE785271 DXI785188:DXI785271 DNM785188:DNM785271 DDQ785188:DDQ785271 CTU785188:CTU785271 CJY785188:CJY785271 CAC785188:CAC785271 BQG785188:BQG785271 BGK785188:BGK785271 AWO785188:AWO785271 AMS785188:AMS785271 ACW785188:ACW785271 TA785188:TA785271 JE785188:JE785271 I785209:I785292 WVQ719652:WVQ719735 WLU719652:WLU719735 WBY719652:WBY719735 VSC719652:VSC719735 VIG719652:VIG719735 UYK719652:UYK719735 UOO719652:UOO719735 UES719652:UES719735 TUW719652:TUW719735 TLA719652:TLA719735 TBE719652:TBE719735 SRI719652:SRI719735 SHM719652:SHM719735 RXQ719652:RXQ719735 RNU719652:RNU719735 RDY719652:RDY719735 QUC719652:QUC719735 QKG719652:QKG719735 QAK719652:QAK719735 PQO719652:PQO719735 PGS719652:PGS719735 OWW719652:OWW719735 ONA719652:ONA719735 ODE719652:ODE719735 NTI719652:NTI719735 NJM719652:NJM719735 MZQ719652:MZQ719735 MPU719652:MPU719735 MFY719652:MFY719735 LWC719652:LWC719735 LMG719652:LMG719735 LCK719652:LCK719735 KSO719652:KSO719735 KIS719652:KIS719735 JYW719652:JYW719735 JPA719652:JPA719735 JFE719652:JFE719735 IVI719652:IVI719735 ILM719652:ILM719735 IBQ719652:IBQ719735 HRU719652:HRU719735 HHY719652:HHY719735 GYC719652:GYC719735 GOG719652:GOG719735 GEK719652:GEK719735 FUO719652:FUO719735 FKS719652:FKS719735 FAW719652:FAW719735 ERA719652:ERA719735 EHE719652:EHE719735 DXI719652:DXI719735 DNM719652:DNM719735 DDQ719652:DDQ719735 CTU719652:CTU719735 CJY719652:CJY719735 CAC719652:CAC719735 BQG719652:BQG719735 BGK719652:BGK719735 AWO719652:AWO719735 AMS719652:AMS719735 ACW719652:ACW719735 TA719652:TA719735 JE719652:JE719735 I719673:I719756 WVQ654116:WVQ654199 WLU654116:WLU654199 WBY654116:WBY654199 VSC654116:VSC654199 VIG654116:VIG654199 UYK654116:UYK654199 UOO654116:UOO654199 UES654116:UES654199 TUW654116:TUW654199 TLA654116:TLA654199 TBE654116:TBE654199 SRI654116:SRI654199 SHM654116:SHM654199 RXQ654116:RXQ654199 RNU654116:RNU654199 RDY654116:RDY654199 QUC654116:QUC654199 QKG654116:QKG654199 QAK654116:QAK654199 PQO654116:PQO654199 PGS654116:PGS654199 OWW654116:OWW654199 ONA654116:ONA654199 ODE654116:ODE654199 NTI654116:NTI654199 NJM654116:NJM654199 MZQ654116:MZQ654199 MPU654116:MPU654199 MFY654116:MFY654199 LWC654116:LWC654199 LMG654116:LMG654199 LCK654116:LCK654199 KSO654116:KSO654199 KIS654116:KIS654199 JYW654116:JYW654199 JPA654116:JPA654199 JFE654116:JFE654199 IVI654116:IVI654199 ILM654116:ILM654199 IBQ654116:IBQ654199 HRU654116:HRU654199 HHY654116:HHY654199 GYC654116:GYC654199 GOG654116:GOG654199 GEK654116:GEK654199 FUO654116:FUO654199 FKS654116:FKS654199 FAW654116:FAW654199 ERA654116:ERA654199 EHE654116:EHE654199 DXI654116:DXI654199 DNM654116:DNM654199 DDQ654116:DDQ654199 CTU654116:CTU654199 CJY654116:CJY654199 CAC654116:CAC654199 BQG654116:BQG654199 BGK654116:BGK654199 AWO654116:AWO654199 AMS654116:AMS654199 ACW654116:ACW654199 TA654116:TA654199 JE654116:JE654199 I654137:I654220 WVQ588580:WVQ588663 WLU588580:WLU588663 WBY588580:WBY588663 VSC588580:VSC588663 VIG588580:VIG588663 UYK588580:UYK588663 UOO588580:UOO588663 UES588580:UES588663 TUW588580:TUW588663 TLA588580:TLA588663 TBE588580:TBE588663 SRI588580:SRI588663 SHM588580:SHM588663 RXQ588580:RXQ588663 RNU588580:RNU588663 RDY588580:RDY588663 QUC588580:QUC588663 QKG588580:QKG588663 QAK588580:QAK588663 PQO588580:PQO588663 PGS588580:PGS588663 OWW588580:OWW588663 ONA588580:ONA588663 ODE588580:ODE588663 NTI588580:NTI588663 NJM588580:NJM588663 MZQ588580:MZQ588663 MPU588580:MPU588663 MFY588580:MFY588663 LWC588580:LWC588663 LMG588580:LMG588663 LCK588580:LCK588663 KSO588580:KSO588663 KIS588580:KIS588663 JYW588580:JYW588663 JPA588580:JPA588663 JFE588580:JFE588663 IVI588580:IVI588663 ILM588580:ILM588663 IBQ588580:IBQ588663 HRU588580:HRU588663 HHY588580:HHY588663 GYC588580:GYC588663 GOG588580:GOG588663 GEK588580:GEK588663 FUO588580:FUO588663 FKS588580:FKS588663 FAW588580:FAW588663 ERA588580:ERA588663 EHE588580:EHE588663 DXI588580:DXI588663 DNM588580:DNM588663 DDQ588580:DDQ588663 CTU588580:CTU588663 CJY588580:CJY588663 CAC588580:CAC588663 BQG588580:BQG588663 BGK588580:BGK588663 AWO588580:AWO588663 AMS588580:AMS588663 ACW588580:ACW588663 TA588580:TA588663 JE588580:JE588663 I588601:I588684 WVQ523044:WVQ523127 WLU523044:WLU523127 WBY523044:WBY523127 VSC523044:VSC523127 VIG523044:VIG523127 UYK523044:UYK523127 UOO523044:UOO523127 UES523044:UES523127 TUW523044:TUW523127 TLA523044:TLA523127 TBE523044:TBE523127 SRI523044:SRI523127 SHM523044:SHM523127 RXQ523044:RXQ523127 RNU523044:RNU523127 RDY523044:RDY523127 QUC523044:QUC523127 QKG523044:QKG523127 QAK523044:QAK523127 PQO523044:PQO523127 PGS523044:PGS523127 OWW523044:OWW523127 ONA523044:ONA523127 ODE523044:ODE523127 NTI523044:NTI523127 NJM523044:NJM523127 MZQ523044:MZQ523127 MPU523044:MPU523127 MFY523044:MFY523127 LWC523044:LWC523127 LMG523044:LMG523127 LCK523044:LCK523127 KSO523044:KSO523127 KIS523044:KIS523127 JYW523044:JYW523127 JPA523044:JPA523127 JFE523044:JFE523127 IVI523044:IVI523127 ILM523044:ILM523127 IBQ523044:IBQ523127 HRU523044:HRU523127 HHY523044:HHY523127 GYC523044:GYC523127 GOG523044:GOG523127 GEK523044:GEK523127 FUO523044:FUO523127 FKS523044:FKS523127 FAW523044:FAW523127 ERA523044:ERA523127 EHE523044:EHE523127 DXI523044:DXI523127 DNM523044:DNM523127 DDQ523044:DDQ523127 CTU523044:CTU523127 CJY523044:CJY523127 CAC523044:CAC523127 BQG523044:BQG523127 BGK523044:BGK523127 AWO523044:AWO523127 AMS523044:AMS523127 ACW523044:ACW523127 TA523044:TA523127 JE523044:JE523127 I523065:I523148 WVQ457508:WVQ457591 WLU457508:WLU457591 WBY457508:WBY457591 VSC457508:VSC457591 VIG457508:VIG457591 UYK457508:UYK457591 UOO457508:UOO457591 UES457508:UES457591 TUW457508:TUW457591 TLA457508:TLA457591 TBE457508:TBE457591 SRI457508:SRI457591 SHM457508:SHM457591 RXQ457508:RXQ457591 RNU457508:RNU457591 RDY457508:RDY457591 QUC457508:QUC457591 QKG457508:QKG457591 QAK457508:QAK457591 PQO457508:PQO457591 PGS457508:PGS457591 OWW457508:OWW457591 ONA457508:ONA457591 ODE457508:ODE457591 NTI457508:NTI457591 NJM457508:NJM457591 MZQ457508:MZQ457591 MPU457508:MPU457591 MFY457508:MFY457591 LWC457508:LWC457591 LMG457508:LMG457591 LCK457508:LCK457591 KSO457508:KSO457591 KIS457508:KIS457591 JYW457508:JYW457591 JPA457508:JPA457591 JFE457508:JFE457591 IVI457508:IVI457591 ILM457508:ILM457591 IBQ457508:IBQ457591 HRU457508:HRU457591 HHY457508:HHY457591 GYC457508:GYC457591 GOG457508:GOG457591 GEK457508:GEK457591 FUO457508:FUO457591 FKS457508:FKS457591 FAW457508:FAW457591 ERA457508:ERA457591 EHE457508:EHE457591 DXI457508:DXI457591 DNM457508:DNM457591 DDQ457508:DDQ457591 CTU457508:CTU457591 CJY457508:CJY457591 CAC457508:CAC457591 BQG457508:BQG457591 BGK457508:BGK457591 AWO457508:AWO457591 AMS457508:AMS457591 ACW457508:ACW457591 TA457508:TA457591 JE457508:JE457591 I457529:I457612 WVQ391972:WVQ392055 WLU391972:WLU392055 WBY391972:WBY392055 VSC391972:VSC392055 VIG391972:VIG392055 UYK391972:UYK392055 UOO391972:UOO392055 UES391972:UES392055 TUW391972:TUW392055 TLA391972:TLA392055 TBE391972:TBE392055 SRI391972:SRI392055 SHM391972:SHM392055 RXQ391972:RXQ392055 RNU391972:RNU392055 RDY391972:RDY392055 QUC391972:QUC392055 QKG391972:QKG392055 QAK391972:QAK392055 PQO391972:PQO392055 PGS391972:PGS392055 OWW391972:OWW392055 ONA391972:ONA392055 ODE391972:ODE392055 NTI391972:NTI392055 NJM391972:NJM392055 MZQ391972:MZQ392055 MPU391972:MPU392055 MFY391972:MFY392055 LWC391972:LWC392055 LMG391972:LMG392055 LCK391972:LCK392055 KSO391972:KSO392055 KIS391972:KIS392055 JYW391972:JYW392055 JPA391972:JPA392055 JFE391972:JFE392055 IVI391972:IVI392055 ILM391972:ILM392055 IBQ391972:IBQ392055 HRU391972:HRU392055 HHY391972:HHY392055 GYC391972:GYC392055 GOG391972:GOG392055 GEK391972:GEK392055 FUO391972:FUO392055 FKS391972:FKS392055 FAW391972:FAW392055 ERA391972:ERA392055 EHE391972:EHE392055 DXI391972:DXI392055 DNM391972:DNM392055 DDQ391972:DDQ392055 CTU391972:CTU392055 CJY391972:CJY392055 CAC391972:CAC392055 BQG391972:BQG392055 BGK391972:BGK392055 AWO391972:AWO392055 AMS391972:AMS392055 ACW391972:ACW392055 TA391972:TA392055 JE391972:JE392055 I391993:I392076 WVQ326436:WVQ326519 WLU326436:WLU326519 WBY326436:WBY326519 VSC326436:VSC326519 VIG326436:VIG326519 UYK326436:UYK326519 UOO326436:UOO326519 UES326436:UES326519 TUW326436:TUW326519 TLA326436:TLA326519 TBE326436:TBE326519 SRI326436:SRI326519 SHM326436:SHM326519 RXQ326436:RXQ326519 RNU326436:RNU326519 RDY326436:RDY326519 QUC326436:QUC326519 QKG326436:QKG326519 QAK326436:QAK326519 PQO326436:PQO326519 PGS326436:PGS326519 OWW326436:OWW326519 ONA326436:ONA326519 ODE326436:ODE326519 NTI326436:NTI326519 NJM326436:NJM326519 MZQ326436:MZQ326519 MPU326436:MPU326519 MFY326436:MFY326519 LWC326436:LWC326519 LMG326436:LMG326519 LCK326436:LCK326519 KSO326436:KSO326519 KIS326436:KIS326519 JYW326436:JYW326519 JPA326436:JPA326519 JFE326436:JFE326519 IVI326436:IVI326519 ILM326436:ILM326519 IBQ326436:IBQ326519 HRU326436:HRU326519 HHY326436:HHY326519 GYC326436:GYC326519 GOG326436:GOG326519 GEK326436:GEK326519 FUO326436:FUO326519 FKS326436:FKS326519 FAW326436:FAW326519 ERA326436:ERA326519 EHE326436:EHE326519 DXI326436:DXI326519 DNM326436:DNM326519 DDQ326436:DDQ326519 CTU326436:CTU326519 CJY326436:CJY326519 CAC326436:CAC326519 BQG326436:BQG326519 BGK326436:BGK326519 AWO326436:AWO326519 AMS326436:AMS326519 ACW326436:ACW326519 TA326436:TA326519 JE326436:JE326519 I326457:I326540 WVQ260900:WVQ260983 WLU260900:WLU260983 WBY260900:WBY260983 VSC260900:VSC260983 VIG260900:VIG260983 UYK260900:UYK260983 UOO260900:UOO260983 UES260900:UES260983 TUW260900:TUW260983 TLA260900:TLA260983 TBE260900:TBE260983 SRI260900:SRI260983 SHM260900:SHM260983 RXQ260900:RXQ260983 RNU260900:RNU260983 RDY260900:RDY260983 QUC260900:QUC260983 QKG260900:QKG260983 QAK260900:QAK260983 PQO260900:PQO260983 PGS260900:PGS260983 OWW260900:OWW260983 ONA260900:ONA260983 ODE260900:ODE260983 NTI260900:NTI260983 NJM260900:NJM260983 MZQ260900:MZQ260983 MPU260900:MPU260983 MFY260900:MFY260983 LWC260900:LWC260983 LMG260900:LMG260983 LCK260900:LCK260983 KSO260900:KSO260983 KIS260900:KIS260983 JYW260900:JYW260983 JPA260900:JPA260983 JFE260900:JFE260983 IVI260900:IVI260983 ILM260900:ILM260983 IBQ260900:IBQ260983 HRU260900:HRU260983 HHY260900:HHY260983 GYC260900:GYC260983 GOG260900:GOG260983 GEK260900:GEK260983 FUO260900:FUO260983 FKS260900:FKS260983 FAW260900:FAW260983 ERA260900:ERA260983 EHE260900:EHE260983 DXI260900:DXI260983 DNM260900:DNM260983 DDQ260900:DDQ260983 CTU260900:CTU260983 CJY260900:CJY260983 CAC260900:CAC260983 BQG260900:BQG260983 BGK260900:BGK260983 AWO260900:AWO260983 AMS260900:AMS260983 ACW260900:ACW260983 TA260900:TA260983 JE260900:JE260983 I260921:I261004 WVQ195364:WVQ195447 WLU195364:WLU195447 WBY195364:WBY195447 VSC195364:VSC195447 VIG195364:VIG195447 UYK195364:UYK195447 UOO195364:UOO195447 UES195364:UES195447 TUW195364:TUW195447 TLA195364:TLA195447 TBE195364:TBE195447 SRI195364:SRI195447 SHM195364:SHM195447 RXQ195364:RXQ195447 RNU195364:RNU195447 RDY195364:RDY195447 QUC195364:QUC195447 QKG195364:QKG195447 QAK195364:QAK195447 PQO195364:PQO195447 PGS195364:PGS195447 OWW195364:OWW195447 ONA195364:ONA195447 ODE195364:ODE195447 NTI195364:NTI195447 NJM195364:NJM195447 MZQ195364:MZQ195447 MPU195364:MPU195447 MFY195364:MFY195447 LWC195364:LWC195447 LMG195364:LMG195447 LCK195364:LCK195447 KSO195364:KSO195447 KIS195364:KIS195447 JYW195364:JYW195447 JPA195364:JPA195447 JFE195364:JFE195447 IVI195364:IVI195447 ILM195364:ILM195447 IBQ195364:IBQ195447 HRU195364:HRU195447 HHY195364:HHY195447 GYC195364:GYC195447 GOG195364:GOG195447 GEK195364:GEK195447 FUO195364:FUO195447 FKS195364:FKS195447 FAW195364:FAW195447 ERA195364:ERA195447 EHE195364:EHE195447 DXI195364:DXI195447 DNM195364:DNM195447 DDQ195364:DDQ195447 CTU195364:CTU195447 CJY195364:CJY195447 CAC195364:CAC195447 BQG195364:BQG195447 BGK195364:BGK195447 AWO195364:AWO195447 AMS195364:AMS195447 ACW195364:ACW195447 TA195364:TA195447 JE195364:JE195447 I195385:I195468 WVQ129828:WVQ129911 WLU129828:WLU129911 WBY129828:WBY129911 VSC129828:VSC129911 VIG129828:VIG129911 UYK129828:UYK129911 UOO129828:UOO129911 UES129828:UES129911 TUW129828:TUW129911 TLA129828:TLA129911 TBE129828:TBE129911 SRI129828:SRI129911 SHM129828:SHM129911 RXQ129828:RXQ129911 RNU129828:RNU129911 RDY129828:RDY129911 QUC129828:QUC129911 QKG129828:QKG129911 QAK129828:QAK129911 PQO129828:PQO129911 PGS129828:PGS129911 OWW129828:OWW129911 ONA129828:ONA129911 ODE129828:ODE129911 NTI129828:NTI129911 NJM129828:NJM129911 MZQ129828:MZQ129911 MPU129828:MPU129911 MFY129828:MFY129911 LWC129828:LWC129911 LMG129828:LMG129911 LCK129828:LCK129911 KSO129828:KSO129911 KIS129828:KIS129911 JYW129828:JYW129911 JPA129828:JPA129911 JFE129828:JFE129911 IVI129828:IVI129911 ILM129828:ILM129911 IBQ129828:IBQ129911 HRU129828:HRU129911 HHY129828:HHY129911 GYC129828:GYC129911 GOG129828:GOG129911 GEK129828:GEK129911 FUO129828:FUO129911 FKS129828:FKS129911 FAW129828:FAW129911 ERA129828:ERA129911 EHE129828:EHE129911 DXI129828:DXI129911 DNM129828:DNM129911 DDQ129828:DDQ129911 CTU129828:CTU129911 CJY129828:CJY129911 CAC129828:CAC129911 BQG129828:BQG129911 BGK129828:BGK129911 AWO129828:AWO129911 AMS129828:AMS129911 ACW129828:ACW129911 TA129828:TA129911 JE129828:JE129911 I129849:I129932 WVQ64292:WVQ64375 WLU64292:WLU64375 WBY64292:WBY64375 VSC64292:VSC64375 VIG64292:VIG64375 UYK64292:UYK64375 UOO64292:UOO64375 UES64292:UES64375 TUW64292:TUW64375 TLA64292:TLA64375 TBE64292:TBE64375 SRI64292:SRI64375 SHM64292:SHM64375 RXQ64292:RXQ64375 RNU64292:RNU64375 RDY64292:RDY64375 QUC64292:QUC64375 QKG64292:QKG64375 QAK64292:QAK64375 PQO64292:PQO64375 PGS64292:PGS64375 OWW64292:OWW64375 ONA64292:ONA64375 ODE64292:ODE64375 NTI64292:NTI64375 NJM64292:NJM64375 MZQ64292:MZQ64375 MPU64292:MPU64375 MFY64292:MFY64375 LWC64292:LWC64375 LMG64292:LMG64375 LCK64292:LCK64375 KSO64292:KSO64375 KIS64292:KIS64375 JYW64292:JYW64375 JPA64292:JPA64375 JFE64292:JFE64375 IVI64292:IVI64375 ILM64292:ILM64375 IBQ64292:IBQ64375 HRU64292:HRU64375 HHY64292:HHY64375 GYC64292:GYC64375 GOG64292:GOG64375 GEK64292:GEK64375 FUO64292:FUO64375 FKS64292:FKS64375 FAW64292:FAW64375 ERA64292:ERA64375 EHE64292:EHE64375 DXI64292:DXI64375 DNM64292:DNM64375 DDQ64292:DDQ64375 CTU64292:CTU64375 CJY64292:CJY64375 CAC64292:CAC64375 BQG64292:BQG64375 BGK64292:BGK64375 AWO64292:AWO64375 AMS64292:AMS64375 ACW64292:ACW64375 TA64292:TA64375 JE64292:JE64375 I64313:I64396 I87:I491 JE2:JE64 WVQ2:WVQ64 WLU2:WLU64 WBY2:WBY64 VSC2:VSC64 VIG2:VIG64 UYK2:UYK64 UOO2:UOO64 UES2:UES64 TUW2:TUW64 TLA2:TLA64 TBE2:TBE64 SRI2:SRI64 SHM2:SHM64 RXQ2:RXQ64 RNU2:RNU64 RDY2:RDY64 QUC2:QUC64 QKG2:QKG64 QAK2:QAK64 PQO2:PQO64 PGS2:PGS64 OWW2:OWW64 ONA2:ONA64 ODE2:ODE64 NTI2:NTI64 NJM2:NJM64 MZQ2:MZQ64 MPU2:MPU64 MFY2:MFY64 LWC2:LWC64 LMG2:LMG64 LCK2:LCK64 KSO2:KSO64 KIS2:KIS64 JYW2:JYW64 JPA2:JPA64 JFE2:JFE64 IVI2:IVI64 ILM2:ILM64 IBQ2:IBQ64 HRU2:HRU64 HHY2:HHY64 GYC2:GYC64 GOG2:GOG64 GEK2:GEK64 FUO2:FUO64 FKS2:FKS64 FAW2:FAW64 ERA2:ERA64 EHE2:EHE64 DXI2:DXI64 DNM2:DNM64 DDQ2:DDQ64 CTU2:CTU64 CJY2:CJY64 CAC2:CAC64 BQG2:BQG64 BGK2:BGK64 AWO2:AWO64 AMS2:AMS64 ACW2:ACW64 TA2:TA64 I2:I85" xr:uid="{C269F631-4D1E-419E-AE5D-DC5509A2CBE6}">
      <formula1>$AN$5:$AN$6</formula1>
    </dataValidation>
    <dataValidation type="list" allowBlank="1" showInputMessage="1" showErrorMessage="1" sqref="WWG981796:WWI981879 WCO981796:WCQ981879 WMK981796:WMM981879 Y64292:AA64375 JU64292:JW64375 TQ64292:TS64375 ADM64292:ADO64375 ANI64292:ANK64375 AXE64292:AXG64375 BHA64292:BHC64375 BQW64292:BQY64375 CAS64292:CAU64375 CKO64292:CKQ64375 CUK64292:CUM64375 DEG64292:DEI64375 DOC64292:DOE64375 DXY64292:DYA64375 EHU64292:EHW64375 ERQ64292:ERS64375 FBM64292:FBO64375 FLI64292:FLK64375 FVE64292:FVG64375 GFA64292:GFC64375 GOW64292:GOY64375 GYS64292:GYU64375 HIO64292:HIQ64375 HSK64292:HSM64375 ICG64292:ICI64375 IMC64292:IME64375 IVY64292:IWA64375 JFU64292:JFW64375 JPQ64292:JPS64375 JZM64292:JZO64375 KJI64292:KJK64375 KTE64292:KTG64375 LDA64292:LDC64375 LMW64292:LMY64375 LWS64292:LWU64375 MGO64292:MGQ64375 MQK64292:MQM64375 NAG64292:NAI64375 NKC64292:NKE64375 NTY64292:NUA64375 ODU64292:ODW64375 ONQ64292:ONS64375 OXM64292:OXO64375 PHI64292:PHK64375 PRE64292:PRG64375 QBA64292:QBC64375 QKW64292:QKY64375 QUS64292:QUU64375 REO64292:REQ64375 ROK64292:ROM64375 RYG64292:RYI64375 SIC64292:SIE64375 SRY64292:SSA64375 TBU64292:TBW64375 TLQ64292:TLS64375 TVM64292:TVO64375 UFI64292:UFK64375 UPE64292:UPG64375 UZA64292:UZC64375 VIW64292:VIY64375 VSS64292:VSU64375 WCO64292:WCQ64375 WMK64292:WMM64375 WWG64292:WWI64375 Y129828:AA129911 JU129828:JW129911 TQ129828:TS129911 ADM129828:ADO129911 ANI129828:ANK129911 AXE129828:AXG129911 BHA129828:BHC129911 BQW129828:BQY129911 CAS129828:CAU129911 CKO129828:CKQ129911 CUK129828:CUM129911 DEG129828:DEI129911 DOC129828:DOE129911 DXY129828:DYA129911 EHU129828:EHW129911 ERQ129828:ERS129911 FBM129828:FBO129911 FLI129828:FLK129911 FVE129828:FVG129911 GFA129828:GFC129911 GOW129828:GOY129911 GYS129828:GYU129911 HIO129828:HIQ129911 HSK129828:HSM129911 ICG129828:ICI129911 IMC129828:IME129911 IVY129828:IWA129911 JFU129828:JFW129911 JPQ129828:JPS129911 JZM129828:JZO129911 KJI129828:KJK129911 KTE129828:KTG129911 LDA129828:LDC129911 LMW129828:LMY129911 LWS129828:LWU129911 MGO129828:MGQ129911 MQK129828:MQM129911 NAG129828:NAI129911 NKC129828:NKE129911 NTY129828:NUA129911 ODU129828:ODW129911 ONQ129828:ONS129911 OXM129828:OXO129911 PHI129828:PHK129911 PRE129828:PRG129911 QBA129828:QBC129911 QKW129828:QKY129911 QUS129828:QUU129911 REO129828:REQ129911 ROK129828:ROM129911 RYG129828:RYI129911 SIC129828:SIE129911 SRY129828:SSA129911 TBU129828:TBW129911 TLQ129828:TLS129911 TVM129828:TVO129911 UFI129828:UFK129911 UPE129828:UPG129911 UZA129828:UZC129911 VIW129828:VIY129911 VSS129828:VSU129911 WCO129828:WCQ129911 WMK129828:WMM129911 WWG129828:WWI129911 Y195364:AA195447 JU195364:JW195447 TQ195364:TS195447 ADM195364:ADO195447 ANI195364:ANK195447 AXE195364:AXG195447 BHA195364:BHC195447 BQW195364:BQY195447 CAS195364:CAU195447 CKO195364:CKQ195447 CUK195364:CUM195447 DEG195364:DEI195447 DOC195364:DOE195447 DXY195364:DYA195447 EHU195364:EHW195447 ERQ195364:ERS195447 FBM195364:FBO195447 FLI195364:FLK195447 FVE195364:FVG195447 GFA195364:GFC195447 GOW195364:GOY195447 GYS195364:GYU195447 HIO195364:HIQ195447 HSK195364:HSM195447 ICG195364:ICI195447 IMC195364:IME195447 IVY195364:IWA195447 JFU195364:JFW195447 JPQ195364:JPS195447 JZM195364:JZO195447 KJI195364:KJK195447 KTE195364:KTG195447 LDA195364:LDC195447 LMW195364:LMY195447 LWS195364:LWU195447 MGO195364:MGQ195447 MQK195364:MQM195447 NAG195364:NAI195447 NKC195364:NKE195447 NTY195364:NUA195447 ODU195364:ODW195447 ONQ195364:ONS195447 OXM195364:OXO195447 PHI195364:PHK195447 PRE195364:PRG195447 QBA195364:QBC195447 QKW195364:QKY195447 QUS195364:QUU195447 REO195364:REQ195447 ROK195364:ROM195447 RYG195364:RYI195447 SIC195364:SIE195447 SRY195364:SSA195447 TBU195364:TBW195447 TLQ195364:TLS195447 TVM195364:TVO195447 UFI195364:UFK195447 UPE195364:UPG195447 UZA195364:UZC195447 VIW195364:VIY195447 VSS195364:VSU195447 WCO195364:WCQ195447 WMK195364:WMM195447 WWG195364:WWI195447 Y260900:AA260983 JU260900:JW260983 TQ260900:TS260983 ADM260900:ADO260983 ANI260900:ANK260983 AXE260900:AXG260983 BHA260900:BHC260983 BQW260900:BQY260983 CAS260900:CAU260983 CKO260900:CKQ260983 CUK260900:CUM260983 DEG260900:DEI260983 DOC260900:DOE260983 DXY260900:DYA260983 EHU260900:EHW260983 ERQ260900:ERS260983 FBM260900:FBO260983 FLI260900:FLK260983 FVE260900:FVG260983 GFA260900:GFC260983 GOW260900:GOY260983 GYS260900:GYU260983 HIO260900:HIQ260983 HSK260900:HSM260983 ICG260900:ICI260983 IMC260900:IME260983 IVY260900:IWA260983 JFU260900:JFW260983 JPQ260900:JPS260983 JZM260900:JZO260983 KJI260900:KJK260983 KTE260900:KTG260983 LDA260900:LDC260983 LMW260900:LMY260983 LWS260900:LWU260983 MGO260900:MGQ260983 MQK260900:MQM260983 NAG260900:NAI260983 NKC260900:NKE260983 NTY260900:NUA260983 ODU260900:ODW260983 ONQ260900:ONS260983 OXM260900:OXO260983 PHI260900:PHK260983 PRE260900:PRG260983 QBA260900:QBC260983 QKW260900:QKY260983 QUS260900:QUU260983 REO260900:REQ260983 ROK260900:ROM260983 RYG260900:RYI260983 SIC260900:SIE260983 SRY260900:SSA260983 TBU260900:TBW260983 TLQ260900:TLS260983 TVM260900:TVO260983 UFI260900:UFK260983 UPE260900:UPG260983 UZA260900:UZC260983 VIW260900:VIY260983 VSS260900:VSU260983 WCO260900:WCQ260983 WMK260900:WMM260983 WWG260900:WWI260983 Y326436:AA326519 JU326436:JW326519 TQ326436:TS326519 ADM326436:ADO326519 ANI326436:ANK326519 AXE326436:AXG326519 BHA326436:BHC326519 BQW326436:BQY326519 CAS326436:CAU326519 CKO326436:CKQ326519 CUK326436:CUM326519 DEG326436:DEI326519 DOC326436:DOE326519 DXY326436:DYA326519 EHU326436:EHW326519 ERQ326436:ERS326519 FBM326436:FBO326519 FLI326436:FLK326519 FVE326436:FVG326519 GFA326436:GFC326519 GOW326436:GOY326519 GYS326436:GYU326519 HIO326436:HIQ326519 HSK326436:HSM326519 ICG326436:ICI326519 IMC326436:IME326519 IVY326436:IWA326519 JFU326436:JFW326519 JPQ326436:JPS326519 JZM326436:JZO326519 KJI326436:KJK326519 KTE326436:KTG326519 LDA326436:LDC326519 LMW326436:LMY326519 LWS326436:LWU326519 MGO326436:MGQ326519 MQK326436:MQM326519 NAG326436:NAI326519 NKC326436:NKE326519 NTY326436:NUA326519 ODU326436:ODW326519 ONQ326436:ONS326519 OXM326436:OXO326519 PHI326436:PHK326519 PRE326436:PRG326519 QBA326436:QBC326519 QKW326436:QKY326519 QUS326436:QUU326519 REO326436:REQ326519 ROK326436:ROM326519 RYG326436:RYI326519 SIC326436:SIE326519 SRY326436:SSA326519 TBU326436:TBW326519 TLQ326436:TLS326519 TVM326436:TVO326519 UFI326436:UFK326519 UPE326436:UPG326519 UZA326436:UZC326519 VIW326436:VIY326519 VSS326436:VSU326519 WCO326436:WCQ326519 WMK326436:WMM326519 WWG326436:WWI326519 Y391972:AA392055 JU391972:JW392055 TQ391972:TS392055 ADM391972:ADO392055 ANI391972:ANK392055 AXE391972:AXG392055 BHA391972:BHC392055 BQW391972:BQY392055 CAS391972:CAU392055 CKO391972:CKQ392055 CUK391972:CUM392055 DEG391972:DEI392055 DOC391972:DOE392055 DXY391972:DYA392055 EHU391972:EHW392055 ERQ391972:ERS392055 FBM391972:FBO392055 FLI391972:FLK392055 FVE391972:FVG392055 GFA391972:GFC392055 GOW391972:GOY392055 GYS391972:GYU392055 HIO391972:HIQ392055 HSK391972:HSM392055 ICG391972:ICI392055 IMC391972:IME392055 IVY391972:IWA392055 JFU391972:JFW392055 JPQ391972:JPS392055 JZM391972:JZO392055 KJI391972:KJK392055 KTE391972:KTG392055 LDA391972:LDC392055 LMW391972:LMY392055 LWS391972:LWU392055 MGO391972:MGQ392055 MQK391972:MQM392055 NAG391972:NAI392055 NKC391972:NKE392055 NTY391972:NUA392055 ODU391972:ODW392055 ONQ391972:ONS392055 OXM391972:OXO392055 PHI391972:PHK392055 PRE391972:PRG392055 QBA391972:QBC392055 QKW391972:QKY392055 QUS391972:QUU392055 REO391972:REQ392055 ROK391972:ROM392055 RYG391972:RYI392055 SIC391972:SIE392055 SRY391972:SSA392055 TBU391972:TBW392055 TLQ391972:TLS392055 TVM391972:TVO392055 UFI391972:UFK392055 UPE391972:UPG392055 UZA391972:UZC392055 VIW391972:VIY392055 VSS391972:VSU392055 WCO391972:WCQ392055 WMK391972:WMM392055 WWG391972:WWI392055 Y457508:AA457591 JU457508:JW457591 TQ457508:TS457591 ADM457508:ADO457591 ANI457508:ANK457591 AXE457508:AXG457591 BHA457508:BHC457591 BQW457508:BQY457591 CAS457508:CAU457591 CKO457508:CKQ457591 CUK457508:CUM457591 DEG457508:DEI457591 DOC457508:DOE457591 DXY457508:DYA457591 EHU457508:EHW457591 ERQ457508:ERS457591 FBM457508:FBO457591 FLI457508:FLK457591 FVE457508:FVG457591 GFA457508:GFC457591 GOW457508:GOY457591 GYS457508:GYU457591 HIO457508:HIQ457591 HSK457508:HSM457591 ICG457508:ICI457591 IMC457508:IME457591 IVY457508:IWA457591 JFU457508:JFW457591 JPQ457508:JPS457591 JZM457508:JZO457591 KJI457508:KJK457591 KTE457508:KTG457591 LDA457508:LDC457591 LMW457508:LMY457591 LWS457508:LWU457591 MGO457508:MGQ457591 MQK457508:MQM457591 NAG457508:NAI457591 NKC457508:NKE457591 NTY457508:NUA457591 ODU457508:ODW457591 ONQ457508:ONS457591 OXM457508:OXO457591 PHI457508:PHK457591 PRE457508:PRG457591 QBA457508:QBC457591 QKW457508:QKY457591 QUS457508:QUU457591 REO457508:REQ457591 ROK457508:ROM457591 RYG457508:RYI457591 SIC457508:SIE457591 SRY457508:SSA457591 TBU457508:TBW457591 TLQ457508:TLS457591 TVM457508:TVO457591 UFI457508:UFK457591 UPE457508:UPG457591 UZA457508:UZC457591 VIW457508:VIY457591 VSS457508:VSU457591 WCO457508:WCQ457591 WMK457508:WMM457591 WWG457508:WWI457591 Y523044:AA523127 JU523044:JW523127 TQ523044:TS523127 ADM523044:ADO523127 ANI523044:ANK523127 AXE523044:AXG523127 BHA523044:BHC523127 BQW523044:BQY523127 CAS523044:CAU523127 CKO523044:CKQ523127 CUK523044:CUM523127 DEG523044:DEI523127 DOC523044:DOE523127 DXY523044:DYA523127 EHU523044:EHW523127 ERQ523044:ERS523127 FBM523044:FBO523127 FLI523044:FLK523127 FVE523044:FVG523127 GFA523044:GFC523127 GOW523044:GOY523127 GYS523044:GYU523127 HIO523044:HIQ523127 HSK523044:HSM523127 ICG523044:ICI523127 IMC523044:IME523127 IVY523044:IWA523127 JFU523044:JFW523127 JPQ523044:JPS523127 JZM523044:JZO523127 KJI523044:KJK523127 KTE523044:KTG523127 LDA523044:LDC523127 LMW523044:LMY523127 LWS523044:LWU523127 MGO523044:MGQ523127 MQK523044:MQM523127 NAG523044:NAI523127 NKC523044:NKE523127 NTY523044:NUA523127 ODU523044:ODW523127 ONQ523044:ONS523127 OXM523044:OXO523127 PHI523044:PHK523127 PRE523044:PRG523127 QBA523044:QBC523127 QKW523044:QKY523127 QUS523044:QUU523127 REO523044:REQ523127 ROK523044:ROM523127 RYG523044:RYI523127 SIC523044:SIE523127 SRY523044:SSA523127 TBU523044:TBW523127 TLQ523044:TLS523127 TVM523044:TVO523127 UFI523044:UFK523127 UPE523044:UPG523127 UZA523044:UZC523127 VIW523044:VIY523127 VSS523044:VSU523127 WCO523044:WCQ523127 WMK523044:WMM523127 WWG523044:WWI523127 Y588580:AA588663 JU588580:JW588663 TQ588580:TS588663 ADM588580:ADO588663 ANI588580:ANK588663 AXE588580:AXG588663 BHA588580:BHC588663 BQW588580:BQY588663 CAS588580:CAU588663 CKO588580:CKQ588663 CUK588580:CUM588663 DEG588580:DEI588663 DOC588580:DOE588663 DXY588580:DYA588663 EHU588580:EHW588663 ERQ588580:ERS588663 FBM588580:FBO588663 FLI588580:FLK588663 FVE588580:FVG588663 GFA588580:GFC588663 GOW588580:GOY588663 GYS588580:GYU588663 HIO588580:HIQ588663 HSK588580:HSM588663 ICG588580:ICI588663 IMC588580:IME588663 IVY588580:IWA588663 JFU588580:JFW588663 JPQ588580:JPS588663 JZM588580:JZO588663 KJI588580:KJK588663 KTE588580:KTG588663 LDA588580:LDC588663 LMW588580:LMY588663 LWS588580:LWU588663 MGO588580:MGQ588663 MQK588580:MQM588663 NAG588580:NAI588663 NKC588580:NKE588663 NTY588580:NUA588663 ODU588580:ODW588663 ONQ588580:ONS588663 OXM588580:OXO588663 PHI588580:PHK588663 PRE588580:PRG588663 QBA588580:QBC588663 QKW588580:QKY588663 QUS588580:QUU588663 REO588580:REQ588663 ROK588580:ROM588663 RYG588580:RYI588663 SIC588580:SIE588663 SRY588580:SSA588663 TBU588580:TBW588663 TLQ588580:TLS588663 TVM588580:TVO588663 UFI588580:UFK588663 UPE588580:UPG588663 UZA588580:UZC588663 VIW588580:VIY588663 VSS588580:VSU588663 WCO588580:WCQ588663 WMK588580:WMM588663 WWG588580:WWI588663 Y654116:AA654199 JU654116:JW654199 TQ654116:TS654199 ADM654116:ADO654199 ANI654116:ANK654199 AXE654116:AXG654199 BHA654116:BHC654199 BQW654116:BQY654199 CAS654116:CAU654199 CKO654116:CKQ654199 CUK654116:CUM654199 DEG654116:DEI654199 DOC654116:DOE654199 DXY654116:DYA654199 EHU654116:EHW654199 ERQ654116:ERS654199 FBM654116:FBO654199 FLI654116:FLK654199 FVE654116:FVG654199 GFA654116:GFC654199 GOW654116:GOY654199 GYS654116:GYU654199 HIO654116:HIQ654199 HSK654116:HSM654199 ICG654116:ICI654199 IMC654116:IME654199 IVY654116:IWA654199 JFU654116:JFW654199 JPQ654116:JPS654199 JZM654116:JZO654199 KJI654116:KJK654199 KTE654116:KTG654199 LDA654116:LDC654199 LMW654116:LMY654199 LWS654116:LWU654199 MGO654116:MGQ654199 MQK654116:MQM654199 NAG654116:NAI654199 NKC654116:NKE654199 NTY654116:NUA654199 ODU654116:ODW654199 ONQ654116:ONS654199 OXM654116:OXO654199 PHI654116:PHK654199 PRE654116:PRG654199 QBA654116:QBC654199 QKW654116:QKY654199 QUS654116:QUU654199 REO654116:REQ654199 ROK654116:ROM654199 RYG654116:RYI654199 SIC654116:SIE654199 SRY654116:SSA654199 TBU654116:TBW654199 TLQ654116:TLS654199 TVM654116:TVO654199 UFI654116:UFK654199 UPE654116:UPG654199 UZA654116:UZC654199 VIW654116:VIY654199 VSS654116:VSU654199 WCO654116:WCQ654199 WMK654116:WMM654199 WWG654116:WWI654199 Y719652:AA719735 JU719652:JW719735 TQ719652:TS719735 ADM719652:ADO719735 ANI719652:ANK719735 AXE719652:AXG719735 BHA719652:BHC719735 BQW719652:BQY719735 CAS719652:CAU719735 CKO719652:CKQ719735 CUK719652:CUM719735 DEG719652:DEI719735 DOC719652:DOE719735 DXY719652:DYA719735 EHU719652:EHW719735 ERQ719652:ERS719735 FBM719652:FBO719735 FLI719652:FLK719735 FVE719652:FVG719735 GFA719652:GFC719735 GOW719652:GOY719735 GYS719652:GYU719735 HIO719652:HIQ719735 HSK719652:HSM719735 ICG719652:ICI719735 IMC719652:IME719735 IVY719652:IWA719735 JFU719652:JFW719735 JPQ719652:JPS719735 JZM719652:JZO719735 KJI719652:KJK719735 KTE719652:KTG719735 LDA719652:LDC719735 LMW719652:LMY719735 LWS719652:LWU719735 MGO719652:MGQ719735 MQK719652:MQM719735 NAG719652:NAI719735 NKC719652:NKE719735 NTY719652:NUA719735 ODU719652:ODW719735 ONQ719652:ONS719735 OXM719652:OXO719735 PHI719652:PHK719735 PRE719652:PRG719735 QBA719652:QBC719735 QKW719652:QKY719735 QUS719652:QUU719735 REO719652:REQ719735 ROK719652:ROM719735 RYG719652:RYI719735 SIC719652:SIE719735 SRY719652:SSA719735 TBU719652:TBW719735 TLQ719652:TLS719735 TVM719652:TVO719735 UFI719652:UFK719735 UPE719652:UPG719735 UZA719652:UZC719735 VIW719652:VIY719735 VSS719652:VSU719735 WCO719652:WCQ719735 WMK719652:WMM719735 WWG719652:WWI719735 Y785188:AA785271 JU785188:JW785271 TQ785188:TS785271 ADM785188:ADO785271 ANI785188:ANK785271 AXE785188:AXG785271 BHA785188:BHC785271 BQW785188:BQY785271 CAS785188:CAU785271 CKO785188:CKQ785271 CUK785188:CUM785271 DEG785188:DEI785271 DOC785188:DOE785271 DXY785188:DYA785271 EHU785188:EHW785271 ERQ785188:ERS785271 FBM785188:FBO785271 FLI785188:FLK785271 FVE785188:FVG785271 GFA785188:GFC785271 GOW785188:GOY785271 GYS785188:GYU785271 HIO785188:HIQ785271 HSK785188:HSM785271 ICG785188:ICI785271 IMC785188:IME785271 IVY785188:IWA785271 JFU785188:JFW785271 JPQ785188:JPS785271 JZM785188:JZO785271 KJI785188:KJK785271 KTE785188:KTG785271 LDA785188:LDC785271 LMW785188:LMY785271 LWS785188:LWU785271 MGO785188:MGQ785271 MQK785188:MQM785271 NAG785188:NAI785271 NKC785188:NKE785271 NTY785188:NUA785271 ODU785188:ODW785271 ONQ785188:ONS785271 OXM785188:OXO785271 PHI785188:PHK785271 PRE785188:PRG785271 QBA785188:QBC785271 QKW785188:QKY785271 QUS785188:QUU785271 REO785188:REQ785271 ROK785188:ROM785271 RYG785188:RYI785271 SIC785188:SIE785271 SRY785188:SSA785271 TBU785188:TBW785271 TLQ785188:TLS785271 TVM785188:TVO785271 UFI785188:UFK785271 UPE785188:UPG785271 UZA785188:UZC785271 VIW785188:VIY785271 VSS785188:VSU785271 WCO785188:WCQ785271 WMK785188:WMM785271 WWG785188:WWI785271 Y850724:AA850807 JU850724:JW850807 TQ850724:TS850807 ADM850724:ADO850807 ANI850724:ANK850807 AXE850724:AXG850807 BHA850724:BHC850807 BQW850724:BQY850807 CAS850724:CAU850807 CKO850724:CKQ850807 CUK850724:CUM850807 DEG850724:DEI850807 DOC850724:DOE850807 DXY850724:DYA850807 EHU850724:EHW850807 ERQ850724:ERS850807 FBM850724:FBO850807 FLI850724:FLK850807 FVE850724:FVG850807 GFA850724:GFC850807 GOW850724:GOY850807 GYS850724:GYU850807 HIO850724:HIQ850807 HSK850724:HSM850807 ICG850724:ICI850807 IMC850724:IME850807 IVY850724:IWA850807 JFU850724:JFW850807 JPQ850724:JPS850807 JZM850724:JZO850807 KJI850724:KJK850807 KTE850724:KTG850807 LDA850724:LDC850807 LMW850724:LMY850807 LWS850724:LWU850807 MGO850724:MGQ850807 MQK850724:MQM850807 NAG850724:NAI850807 NKC850724:NKE850807 NTY850724:NUA850807 ODU850724:ODW850807 ONQ850724:ONS850807 OXM850724:OXO850807 PHI850724:PHK850807 PRE850724:PRG850807 QBA850724:QBC850807 QKW850724:QKY850807 QUS850724:QUU850807 REO850724:REQ850807 ROK850724:ROM850807 RYG850724:RYI850807 SIC850724:SIE850807 SRY850724:SSA850807 TBU850724:TBW850807 TLQ850724:TLS850807 TVM850724:TVO850807 UFI850724:UFK850807 UPE850724:UPG850807 UZA850724:UZC850807 VIW850724:VIY850807 VSS850724:VSU850807 WCO850724:WCQ850807 WMK850724:WMM850807 WWG850724:WWI850807 Y916260:AA916343 JU916260:JW916343 TQ916260:TS916343 ADM916260:ADO916343 ANI916260:ANK916343 AXE916260:AXG916343 BHA916260:BHC916343 BQW916260:BQY916343 CAS916260:CAU916343 CKO916260:CKQ916343 CUK916260:CUM916343 DEG916260:DEI916343 DOC916260:DOE916343 DXY916260:DYA916343 EHU916260:EHW916343 ERQ916260:ERS916343 FBM916260:FBO916343 FLI916260:FLK916343 FVE916260:FVG916343 GFA916260:GFC916343 GOW916260:GOY916343 GYS916260:GYU916343 HIO916260:HIQ916343 HSK916260:HSM916343 ICG916260:ICI916343 IMC916260:IME916343 IVY916260:IWA916343 JFU916260:JFW916343 JPQ916260:JPS916343 JZM916260:JZO916343 KJI916260:KJK916343 KTE916260:KTG916343 LDA916260:LDC916343 LMW916260:LMY916343 LWS916260:LWU916343 MGO916260:MGQ916343 MQK916260:MQM916343 NAG916260:NAI916343 NKC916260:NKE916343 NTY916260:NUA916343 ODU916260:ODW916343 ONQ916260:ONS916343 OXM916260:OXO916343 PHI916260:PHK916343 PRE916260:PRG916343 QBA916260:QBC916343 QKW916260:QKY916343 QUS916260:QUU916343 REO916260:REQ916343 ROK916260:ROM916343 RYG916260:RYI916343 SIC916260:SIE916343 SRY916260:SSA916343 TBU916260:TBW916343 TLQ916260:TLS916343 TVM916260:TVO916343 UFI916260:UFK916343 UPE916260:UPG916343 UZA916260:UZC916343 VIW916260:VIY916343 VSS916260:VSU916343 WCO916260:WCQ916343 WMK916260:WMM916343 WWG916260:WWI916343 Y981796:AA981879 JU981796:JW981879 TQ981796:TS981879 ADM981796:ADO981879 ANI981796:ANK981879 AXE981796:AXG981879 BHA981796:BHC981879 BQW981796:BQY981879 CAS981796:CAU981879 CKO981796:CKQ981879 CUK981796:CUM981879 DEG981796:DEI981879 DOC981796:DOE981879 DXY981796:DYA981879 EHU981796:EHW981879 ERQ981796:ERS981879 FBM981796:FBO981879 FLI981796:FLK981879 FVE981796:FVG981879 GFA981796:GFC981879 GOW981796:GOY981879 GYS981796:GYU981879 HIO981796:HIQ981879 HSK981796:HSM981879 ICG981796:ICI981879 IMC981796:IME981879 IVY981796:IWA981879 JFU981796:JFW981879 JPQ981796:JPS981879 JZM981796:JZO981879 KJI981796:KJK981879 KTE981796:KTG981879 LDA981796:LDC981879 LMW981796:LMY981879 LWS981796:LWU981879 MGO981796:MGQ981879 MQK981796:MQM981879 NAG981796:NAI981879 NKC981796:NKE981879 NTY981796:NUA981879 ODU981796:ODW981879 ONQ981796:ONS981879 OXM981796:OXO981879 PHI981796:PHK981879 PRE981796:PRG981879 QBA981796:QBC981879 QKW981796:QKY981879 QUS981796:QUU981879 REO981796:REQ981879 ROK981796:ROM981879 RYG981796:RYI981879 SIC981796:SIE981879 SRY981796:SSA981879 TBU981796:TBW981879 TLQ981796:TLS981879 TVM981796:TVO981879 UFI981796:UFK981879 UPE981796:UPG981879 UZA981796:UZC981879 VIW981796:VIY981879 VSS981796:VSU981879 WWG2:WWI64 WMK2:WMM64 WCO2:WCQ64 VSS2:VSU64 VIW2:VIY64 UZA2:UZC64 UPE2:UPG64 UFI2:UFK64 TVM2:TVO64 TLQ2:TLS64 TBU2:TBW64 SRY2:SSA64 SIC2:SIE64 RYG2:RYI64 ROK2:ROM64 REO2:REQ64 QUS2:QUU64 QKW2:QKY64 QBA2:QBC64 PRE2:PRG64 PHI2:PHK64 OXM2:OXO64 ONQ2:ONS64 ODU2:ODW64 NTY2:NUA64 NKC2:NKE64 NAG2:NAI64 MQK2:MQM64 MGO2:MGQ64 LWS2:LWU64 LMW2:LMY64 LDA2:LDC64 KTE2:KTG64 KJI2:KJK64 JZM2:JZO64 JPQ2:JPS64 JFU2:JFW64 IVY2:IWA64 IMC2:IME64 ICG2:ICI64 HSK2:HSM64 HIO2:HIQ64 GYS2:GYU64 GOW2:GOY64 GFA2:GFC64 FVE2:FVG64 FLI2:FLK64 FBM2:FBO64 ERQ2:ERS64 EHU2:EHW64 DXY2:DYA64 DOC2:DOE64 DEG2:DEI64 CUK2:CUM64 CKO2:CKQ64 CAS2:CAU64 BQW2:BQY64 BHA2:BHC64 AXE2:AXG64 ANI2:ANK64 ADM2:ADO64 TQ2:TS64 JU2:JW64" xr:uid="{7E6B7A0C-16AA-4E07-BF23-EC0B1115A3BB}">
      <formula1>$AV$2:$AV$22</formula1>
    </dataValidation>
    <dataValidation type="list" allowBlank="1" showInputMessage="1" showErrorMessage="1" sqref="J87:J491 J2:J85" xr:uid="{183F6284-C5A0-4180-BA46-679E548DEB0D}">
      <formula1>$AP$2:$AP$25</formula1>
    </dataValidation>
    <dataValidation type="list" allowBlank="1" showInputMessage="1" showErrorMessage="1" sqref="F89:F493 F2:F87" xr:uid="{2CE6BBF9-85CB-475F-B406-06A943F9CEE7}">
      <formula1>$AH$2:$AH$10</formula1>
    </dataValidation>
    <dataValidation type="list" allowBlank="1" showInputMessage="1" showErrorMessage="1" sqref="E89:E493 E2:E87" xr:uid="{39312350-7530-403A-88A5-F5AC42965434}">
      <formula1>$AG$2:$AG$11</formula1>
    </dataValidation>
    <dataValidation type="list" allowBlank="1" showInputMessage="1" showErrorMessage="1" sqref="A87:A491 A2:A85" xr:uid="{64302026-05D2-4C96-A585-F4E3A72AD4D2}">
      <formula1>$AE$2:$AE$19</formula1>
    </dataValidation>
    <dataValidation type="list" allowBlank="1" showInputMessage="1" showErrorMessage="1" sqref="H87:H491 H2:H85" xr:uid="{83C07CE7-2D65-4BB4-9328-51EED228F8D4}">
      <formula1>$AL$2:$AL$8</formula1>
    </dataValidation>
    <dataValidation type="list" allowBlank="1" showInputMessage="1" showErrorMessage="1" sqref="Y87:AA491 Y2:AA85" xr:uid="{F0211E65-F252-4491-AD77-2DE9F82AA0B0}">
      <formula1>$AV$2:$AV$21</formula1>
    </dataValidation>
    <dataValidation type="decimal" allowBlank="1" showInputMessage="1" showErrorMessage="1" error="硬度を正しく入力して下さい。" sqref="O87:P491 O18:P19 P15 P13 O59:P85 O23:P43" xr:uid="{8B8EFFAB-62F2-41F3-AB51-4625BE0AFD5A}">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EAF2F-AE10-4A30-AACF-DFE5D0BFB5AB}">
  <dimension ref="A1:BA145"/>
  <sheetViews>
    <sheetView zoomScale="70" zoomScaleNormal="70" workbookViewId="0"/>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288</v>
      </c>
      <c r="O1" s="56" t="s">
        <v>14</v>
      </c>
      <c r="P1" s="56" t="s">
        <v>15</v>
      </c>
      <c r="Q1" s="3" t="s">
        <v>16</v>
      </c>
      <c r="R1" s="56" t="s">
        <v>17</v>
      </c>
      <c r="S1" s="56" t="s">
        <v>18</v>
      </c>
      <c r="T1" s="3" t="s">
        <v>19</v>
      </c>
      <c r="U1" s="58" t="s">
        <v>289</v>
      </c>
      <c r="V1" s="5" t="s">
        <v>20</v>
      </c>
      <c r="W1" s="56" t="s">
        <v>21</v>
      </c>
      <c r="X1" s="45" t="s">
        <v>22</v>
      </c>
      <c r="Y1" s="45" t="s">
        <v>23</v>
      </c>
      <c r="Z1" s="45" t="s">
        <v>24</v>
      </c>
      <c r="AA1" s="46" t="s">
        <v>25</v>
      </c>
      <c r="AB1" s="13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257</v>
      </c>
      <c r="C2" s="62">
        <v>2019</v>
      </c>
      <c r="D2" s="131" t="s">
        <v>258</v>
      </c>
      <c r="E2" s="53" t="s">
        <v>290</v>
      </c>
      <c r="F2" s="53" t="s">
        <v>291</v>
      </c>
      <c r="G2" s="53" t="s">
        <v>36</v>
      </c>
      <c r="H2" s="53" t="s">
        <v>160</v>
      </c>
      <c r="I2" s="53" t="s">
        <v>159</v>
      </c>
      <c r="J2" s="53" t="s">
        <v>38</v>
      </c>
      <c r="K2" s="53" t="s">
        <v>161</v>
      </c>
      <c r="L2" s="53">
        <v>1</v>
      </c>
      <c r="N2" s="53">
        <v>4</v>
      </c>
      <c r="O2" s="53">
        <v>0.55000000000000004</v>
      </c>
      <c r="P2" s="53">
        <v>0.56999999999999995</v>
      </c>
      <c r="Q2" s="75">
        <f>IF(OR(O2="",P2=""),"",AVERAGE(O2,P2))</f>
        <v>0.56000000000000005</v>
      </c>
      <c r="R2" s="53">
        <v>16</v>
      </c>
      <c r="S2" s="53">
        <v>121</v>
      </c>
      <c r="T2" s="16">
        <f t="shared" ref="T2:T58" si="0">IF(H2="","",IF(OR(H2="GREEN",H2="GK"),IF(S2&gt;=$AX$2,VLOOKUP(S2,$AX$2:$AY$12,2,1),""),IF(S2&gt;=$AZ$2,VLOOKUP(S2,$AZ$2:$BA$12,2,1),"")))</f>
        <v>27</v>
      </c>
      <c r="U2" s="53">
        <v>298</v>
      </c>
      <c r="V2" s="16">
        <f t="shared" ref="V2:V58" si="1">IF(J2="","",IF(OR(J2="GREEN",J2="GK"),IF(U2&gt;=$AX$2,VLOOKUP(U2,$AX$2:$AY$12,2,1),""),IF(U2&gt;=$AZ$2,VLOOKUP(U2,$AZ$2:$BA$12,2,1),"")))</f>
        <v>16</v>
      </c>
      <c r="W2" s="53">
        <v>2</v>
      </c>
      <c r="X2" s="53" t="s">
        <v>46</v>
      </c>
      <c r="Y2" s="53" t="s">
        <v>78</v>
      </c>
      <c r="Z2" s="53" t="s">
        <v>102</v>
      </c>
      <c r="AA2" s="53" t="s">
        <v>88</v>
      </c>
      <c r="AB2" s="53" t="s">
        <v>292</v>
      </c>
      <c r="AE2" s="64" t="s">
        <v>35</v>
      </c>
      <c r="AG2" s="132" t="s">
        <v>293</v>
      </c>
      <c r="AH2" s="133" t="s">
        <v>294</v>
      </c>
      <c r="AJ2" s="67" t="s">
        <v>36</v>
      </c>
      <c r="AL2" s="67" t="s">
        <v>127</v>
      </c>
      <c r="AN2" s="67" t="s">
        <v>295</v>
      </c>
      <c r="AP2" s="67" t="s">
        <v>38</v>
      </c>
      <c r="AR2" s="67" t="s">
        <v>120</v>
      </c>
      <c r="AT2" s="67" t="s">
        <v>39</v>
      </c>
      <c r="AV2" s="23" t="s">
        <v>55</v>
      </c>
      <c r="AX2" s="68">
        <v>1</v>
      </c>
      <c r="AY2" s="69">
        <v>50</v>
      </c>
      <c r="AZ2" s="69">
        <v>1</v>
      </c>
      <c r="BA2" s="70">
        <v>50</v>
      </c>
    </row>
    <row r="3" spans="1:53" x14ac:dyDescent="0.15">
      <c r="A3" s="53" t="s">
        <v>59</v>
      </c>
      <c r="B3" s="53" t="s">
        <v>257</v>
      </c>
      <c r="C3" s="62">
        <v>2019</v>
      </c>
      <c r="D3" s="131" t="s">
        <v>258</v>
      </c>
      <c r="E3" s="53" t="s">
        <v>290</v>
      </c>
      <c r="F3" s="53" t="s">
        <v>291</v>
      </c>
      <c r="G3" s="53" t="s">
        <v>36</v>
      </c>
      <c r="H3" s="53" t="s">
        <v>160</v>
      </c>
      <c r="I3" s="53" t="s">
        <v>159</v>
      </c>
      <c r="J3" s="53" t="s">
        <v>38</v>
      </c>
      <c r="K3" s="53" t="s">
        <v>161</v>
      </c>
      <c r="L3" s="53">
        <v>2</v>
      </c>
      <c r="N3" s="53">
        <v>4</v>
      </c>
      <c r="O3" s="53">
        <v>0.51</v>
      </c>
      <c r="P3" s="53">
        <v>0.56000000000000005</v>
      </c>
      <c r="Q3" s="75">
        <f t="shared" ref="Q3:Q58" si="2">IF(OR(O3="",P3=""),"",AVERAGE(O3,P3))</f>
        <v>0.53500000000000003</v>
      </c>
      <c r="R3" s="53">
        <v>15.7</v>
      </c>
      <c r="S3" s="53">
        <v>106</v>
      </c>
      <c r="T3" s="16">
        <f t="shared" si="0"/>
        <v>33</v>
      </c>
      <c r="U3" s="53">
        <v>298</v>
      </c>
      <c r="V3" s="16">
        <f t="shared" si="1"/>
        <v>16</v>
      </c>
      <c r="W3" s="53">
        <v>2</v>
      </c>
      <c r="X3" s="53" t="s">
        <v>46</v>
      </c>
      <c r="Y3" s="53" t="s">
        <v>78</v>
      </c>
      <c r="Z3" s="53" t="s">
        <v>102</v>
      </c>
      <c r="AA3" s="53" t="s">
        <v>88</v>
      </c>
      <c r="AB3" s="53" t="s">
        <v>292</v>
      </c>
      <c r="AE3" s="22" t="s">
        <v>41</v>
      </c>
      <c r="AG3" s="132" t="s">
        <v>296</v>
      </c>
      <c r="AH3" s="133" t="s">
        <v>291</v>
      </c>
      <c r="AJ3" s="23" t="s">
        <v>42</v>
      </c>
      <c r="AL3" s="23" t="s">
        <v>128</v>
      </c>
      <c r="AN3" s="23" t="s">
        <v>43</v>
      </c>
      <c r="AP3" s="23" t="s">
        <v>44</v>
      </c>
      <c r="AR3" s="23" t="s">
        <v>45</v>
      </c>
      <c r="AT3" s="23" t="s">
        <v>46</v>
      </c>
      <c r="AV3" s="23" t="s">
        <v>297</v>
      </c>
      <c r="AX3" s="24">
        <v>72</v>
      </c>
      <c r="AY3" s="25">
        <v>46</v>
      </c>
      <c r="AZ3" s="25">
        <v>71</v>
      </c>
      <c r="BA3" s="26">
        <v>42</v>
      </c>
    </row>
    <row r="4" spans="1:53" x14ac:dyDescent="0.15">
      <c r="A4" s="53" t="s">
        <v>59</v>
      </c>
      <c r="B4" s="53" t="s">
        <v>257</v>
      </c>
      <c r="C4" s="62">
        <v>2019</v>
      </c>
      <c r="D4" s="131" t="s">
        <v>258</v>
      </c>
      <c r="E4" s="53" t="s">
        <v>290</v>
      </c>
      <c r="F4" s="53" t="s">
        <v>291</v>
      </c>
      <c r="G4" s="53" t="s">
        <v>36</v>
      </c>
      <c r="H4" s="53" t="s">
        <v>160</v>
      </c>
      <c r="I4" s="53" t="s">
        <v>298</v>
      </c>
      <c r="J4" s="53" t="s">
        <v>38</v>
      </c>
      <c r="K4" s="53" t="s">
        <v>161</v>
      </c>
      <c r="L4" s="53">
        <v>3</v>
      </c>
      <c r="N4" s="53">
        <v>4</v>
      </c>
      <c r="O4" s="53">
        <v>0.53</v>
      </c>
      <c r="P4" s="53">
        <v>0.59</v>
      </c>
      <c r="Q4" s="75">
        <f t="shared" si="2"/>
        <v>0.56000000000000005</v>
      </c>
      <c r="R4" s="53">
        <v>15.8</v>
      </c>
      <c r="S4" s="53">
        <v>116</v>
      </c>
      <c r="T4" s="16">
        <f t="shared" si="0"/>
        <v>30</v>
      </c>
      <c r="U4" s="53">
        <v>298</v>
      </c>
      <c r="V4" s="16">
        <f t="shared" si="1"/>
        <v>16</v>
      </c>
      <c r="W4" s="53">
        <v>2</v>
      </c>
      <c r="X4" s="53" t="s">
        <v>46</v>
      </c>
      <c r="Y4" s="53" t="s">
        <v>78</v>
      </c>
      <c r="Z4" s="53" t="s">
        <v>102</v>
      </c>
      <c r="AA4" s="53" t="s">
        <v>88</v>
      </c>
      <c r="AB4" s="53" t="s">
        <v>292</v>
      </c>
      <c r="AE4" s="22" t="s">
        <v>34</v>
      </c>
      <c r="AG4" s="132" t="s">
        <v>299</v>
      </c>
      <c r="AH4" s="133" t="s">
        <v>300</v>
      </c>
      <c r="AJ4" s="27" t="s">
        <v>48</v>
      </c>
      <c r="AL4" s="27" t="s">
        <v>129</v>
      </c>
      <c r="AN4" s="28" t="s">
        <v>49</v>
      </c>
      <c r="AP4" s="23" t="s">
        <v>93</v>
      </c>
      <c r="AR4" s="23" t="s">
        <v>301</v>
      </c>
      <c r="AT4" s="28"/>
      <c r="AV4" s="23" t="s">
        <v>302</v>
      </c>
      <c r="AX4" s="24">
        <v>75</v>
      </c>
      <c r="AY4" s="25">
        <v>42</v>
      </c>
      <c r="AZ4" s="25">
        <v>76</v>
      </c>
      <c r="BA4" s="26">
        <v>39</v>
      </c>
    </row>
    <row r="5" spans="1:53" x14ac:dyDescent="0.15">
      <c r="A5" s="53" t="s">
        <v>59</v>
      </c>
      <c r="B5" s="53" t="s">
        <v>257</v>
      </c>
      <c r="C5" s="62">
        <v>2019</v>
      </c>
      <c r="D5" s="131" t="s">
        <v>258</v>
      </c>
      <c r="E5" s="53" t="s">
        <v>290</v>
      </c>
      <c r="F5" s="53" t="s">
        <v>291</v>
      </c>
      <c r="G5" s="53" t="s">
        <v>36</v>
      </c>
      <c r="H5" s="53" t="s">
        <v>164</v>
      </c>
      <c r="I5" s="53" t="s">
        <v>159</v>
      </c>
      <c r="J5" s="53" t="s">
        <v>38</v>
      </c>
      <c r="K5" s="53" t="s">
        <v>161</v>
      </c>
      <c r="L5" s="53">
        <v>1</v>
      </c>
      <c r="N5" s="53">
        <v>5</v>
      </c>
      <c r="O5" s="53">
        <v>0.55000000000000004</v>
      </c>
      <c r="P5" s="53">
        <v>0.55000000000000004</v>
      </c>
      <c r="Q5" s="75">
        <f t="shared" si="2"/>
        <v>0.55000000000000004</v>
      </c>
      <c r="R5" s="53">
        <v>14.4</v>
      </c>
      <c r="S5" s="53">
        <v>95</v>
      </c>
      <c r="T5" s="16">
        <f t="shared" si="0"/>
        <v>36</v>
      </c>
      <c r="U5" s="53">
        <v>348</v>
      </c>
      <c r="V5" s="16">
        <f t="shared" si="1"/>
        <v>16</v>
      </c>
      <c r="W5" s="53">
        <v>2</v>
      </c>
      <c r="X5" s="53" t="s">
        <v>46</v>
      </c>
      <c r="Y5" s="53" t="s">
        <v>78</v>
      </c>
      <c r="Z5" s="53" t="s">
        <v>102</v>
      </c>
      <c r="AA5" s="53" t="s">
        <v>88</v>
      </c>
      <c r="AB5" s="53" t="s">
        <v>292</v>
      </c>
      <c r="AE5" s="22" t="s">
        <v>51</v>
      </c>
      <c r="AG5" s="132" t="s">
        <v>303</v>
      </c>
      <c r="AH5" s="133" t="s">
        <v>304</v>
      </c>
      <c r="AJ5" s="28"/>
      <c r="AL5" s="73" t="s">
        <v>66</v>
      </c>
      <c r="AN5" s="73" t="s">
        <v>52</v>
      </c>
      <c r="AP5" s="23" t="s">
        <v>305</v>
      </c>
      <c r="AR5" s="23" t="s">
        <v>54</v>
      </c>
      <c r="AV5" s="23" t="s">
        <v>306</v>
      </c>
      <c r="AX5" s="24">
        <v>84</v>
      </c>
      <c r="AY5" s="25">
        <v>39</v>
      </c>
      <c r="AZ5" s="25">
        <v>84</v>
      </c>
      <c r="BA5" s="26">
        <v>36</v>
      </c>
    </row>
    <row r="6" spans="1:53" x14ac:dyDescent="0.15">
      <c r="A6" s="53" t="s">
        <v>59</v>
      </c>
      <c r="B6" s="53" t="s">
        <v>257</v>
      </c>
      <c r="C6" s="62">
        <v>2019</v>
      </c>
      <c r="D6" s="131" t="s">
        <v>258</v>
      </c>
      <c r="E6" s="53" t="s">
        <v>290</v>
      </c>
      <c r="F6" s="53" t="s">
        <v>291</v>
      </c>
      <c r="G6" s="53" t="s">
        <v>36</v>
      </c>
      <c r="H6" s="53" t="s">
        <v>164</v>
      </c>
      <c r="I6" s="53" t="s">
        <v>159</v>
      </c>
      <c r="J6" s="53" t="s">
        <v>38</v>
      </c>
      <c r="K6" s="53" t="s">
        <v>161</v>
      </c>
      <c r="L6" s="53">
        <v>2</v>
      </c>
      <c r="N6" s="53">
        <v>5</v>
      </c>
      <c r="O6" s="53">
        <v>0.77</v>
      </c>
      <c r="P6" s="53">
        <v>0.65</v>
      </c>
      <c r="Q6" s="75">
        <f t="shared" si="2"/>
        <v>0.71</v>
      </c>
      <c r="R6" s="53">
        <v>14.6</v>
      </c>
      <c r="S6" s="53">
        <v>90</v>
      </c>
      <c r="T6" s="16">
        <f t="shared" si="0"/>
        <v>36</v>
      </c>
      <c r="U6" s="53">
        <v>348</v>
      </c>
      <c r="V6" s="16">
        <f t="shared" si="1"/>
        <v>16</v>
      </c>
      <c r="W6" s="53">
        <v>2</v>
      </c>
      <c r="X6" s="53" t="s">
        <v>46</v>
      </c>
      <c r="Y6" s="53" t="s">
        <v>78</v>
      </c>
      <c r="Z6" s="53" t="s">
        <v>102</v>
      </c>
      <c r="AA6" s="53" t="s">
        <v>88</v>
      </c>
      <c r="AB6" s="53" t="s">
        <v>292</v>
      </c>
      <c r="AE6" s="22" t="s">
        <v>56</v>
      </c>
      <c r="AG6" s="132" t="s">
        <v>307</v>
      </c>
      <c r="AH6" s="133" t="s">
        <v>308</v>
      </c>
      <c r="AL6" s="73" t="s">
        <v>99</v>
      </c>
      <c r="AN6" s="73" t="s">
        <v>57</v>
      </c>
      <c r="AP6" s="23" t="s">
        <v>53</v>
      </c>
      <c r="AR6" s="23" t="s">
        <v>309</v>
      </c>
      <c r="AV6" s="23" t="s">
        <v>60</v>
      </c>
      <c r="AX6" s="24">
        <v>97</v>
      </c>
      <c r="AY6" s="25">
        <v>36</v>
      </c>
      <c r="AZ6" s="25">
        <v>99</v>
      </c>
      <c r="BA6" s="26">
        <v>33</v>
      </c>
    </row>
    <row r="7" spans="1:53" x14ac:dyDescent="0.15">
      <c r="A7" s="53" t="s">
        <v>59</v>
      </c>
      <c r="B7" s="53" t="s">
        <v>257</v>
      </c>
      <c r="C7" s="62">
        <v>2019</v>
      </c>
      <c r="D7" s="131" t="s">
        <v>258</v>
      </c>
      <c r="E7" s="53" t="s">
        <v>290</v>
      </c>
      <c r="F7" s="53" t="s">
        <v>291</v>
      </c>
      <c r="G7" s="53" t="s">
        <v>36</v>
      </c>
      <c r="H7" s="53" t="s">
        <v>164</v>
      </c>
      <c r="I7" s="53" t="s">
        <v>159</v>
      </c>
      <c r="J7" s="53" t="s">
        <v>38</v>
      </c>
      <c r="K7" s="53" t="s">
        <v>161</v>
      </c>
      <c r="L7" s="53">
        <v>3</v>
      </c>
      <c r="N7" s="53">
        <v>5</v>
      </c>
      <c r="O7" s="53">
        <v>0.52</v>
      </c>
      <c r="P7" s="53">
        <v>0.53</v>
      </c>
      <c r="Q7" s="75">
        <f t="shared" si="2"/>
        <v>0.52500000000000002</v>
      </c>
      <c r="R7" s="53">
        <v>14.1</v>
      </c>
      <c r="S7" s="53">
        <v>90</v>
      </c>
      <c r="T7" s="16">
        <f t="shared" si="0"/>
        <v>36</v>
      </c>
      <c r="U7" s="53">
        <v>348</v>
      </c>
      <c r="V7" s="16">
        <f t="shared" si="1"/>
        <v>16</v>
      </c>
      <c r="W7" s="53">
        <v>2</v>
      </c>
      <c r="X7" s="53" t="s">
        <v>46</v>
      </c>
      <c r="Y7" s="53" t="s">
        <v>78</v>
      </c>
      <c r="Z7" s="53" t="s">
        <v>102</v>
      </c>
      <c r="AA7" s="53" t="s">
        <v>88</v>
      </c>
      <c r="AB7" s="53" t="s">
        <v>292</v>
      </c>
      <c r="AE7" s="22" t="s">
        <v>61</v>
      </c>
      <c r="AG7" s="132" t="s">
        <v>310</v>
      </c>
      <c r="AH7" s="133" t="s">
        <v>311</v>
      </c>
      <c r="AL7" s="34" t="s">
        <v>109</v>
      </c>
      <c r="AP7" s="23" t="s">
        <v>58</v>
      </c>
      <c r="AR7" s="23" t="s">
        <v>312</v>
      </c>
      <c r="AV7" s="23" t="s">
        <v>64</v>
      </c>
      <c r="AX7" s="24">
        <v>109</v>
      </c>
      <c r="AY7" s="25">
        <v>33</v>
      </c>
      <c r="AZ7" s="25">
        <v>113</v>
      </c>
      <c r="BA7" s="26">
        <v>30</v>
      </c>
    </row>
    <row r="8" spans="1:53" x14ac:dyDescent="0.15">
      <c r="A8" s="53" t="s">
        <v>59</v>
      </c>
      <c r="B8" s="53" t="s">
        <v>257</v>
      </c>
      <c r="C8" s="62">
        <v>2019</v>
      </c>
      <c r="D8" s="131" t="s">
        <v>258</v>
      </c>
      <c r="E8" s="53" t="s">
        <v>293</v>
      </c>
      <c r="F8" s="53" t="s">
        <v>294</v>
      </c>
      <c r="G8" s="53" t="s">
        <v>36</v>
      </c>
      <c r="H8" s="53" t="s">
        <v>160</v>
      </c>
      <c r="I8" s="53" t="s">
        <v>159</v>
      </c>
      <c r="J8" s="53" t="s">
        <v>38</v>
      </c>
      <c r="K8" s="53" t="s">
        <v>161</v>
      </c>
      <c r="L8" s="53">
        <v>1</v>
      </c>
      <c r="N8" s="53">
        <v>4</v>
      </c>
      <c r="O8" s="53">
        <v>0.28000000000000003</v>
      </c>
      <c r="P8" s="53">
        <v>0.25</v>
      </c>
      <c r="Q8" s="75">
        <f t="shared" si="2"/>
        <v>0.26500000000000001</v>
      </c>
      <c r="R8" s="53">
        <v>16.3</v>
      </c>
      <c r="S8" s="53">
        <v>95</v>
      </c>
      <c r="T8" s="16">
        <f t="shared" si="0"/>
        <v>36</v>
      </c>
      <c r="U8" s="53">
        <v>377</v>
      </c>
      <c r="V8" s="16">
        <f t="shared" si="1"/>
        <v>16</v>
      </c>
      <c r="W8" s="53">
        <v>5</v>
      </c>
      <c r="X8" s="53" t="s">
        <v>39</v>
      </c>
      <c r="Y8" s="53" t="s">
        <v>102</v>
      </c>
      <c r="Z8" s="53" t="s">
        <v>88</v>
      </c>
      <c r="AA8" s="53" t="s">
        <v>78</v>
      </c>
      <c r="AB8" s="53" t="s">
        <v>292</v>
      </c>
      <c r="AE8" s="22" t="s">
        <v>59</v>
      </c>
      <c r="AG8" s="134" t="s">
        <v>162</v>
      </c>
      <c r="AH8" s="133" t="s">
        <v>313</v>
      </c>
      <c r="AL8" s="34" t="s">
        <v>134</v>
      </c>
      <c r="AP8" s="23" t="s">
        <v>62</v>
      </c>
      <c r="AR8" s="23" t="s">
        <v>81</v>
      </c>
      <c r="AV8" s="23" t="s">
        <v>97</v>
      </c>
      <c r="AX8" s="24">
        <v>119</v>
      </c>
      <c r="AY8" s="25">
        <v>30</v>
      </c>
      <c r="AZ8" s="25">
        <v>121</v>
      </c>
      <c r="BA8" s="26">
        <v>27</v>
      </c>
    </row>
    <row r="9" spans="1:53" x14ac:dyDescent="0.15">
      <c r="A9" s="53" t="s">
        <v>59</v>
      </c>
      <c r="B9" s="53" t="s">
        <v>257</v>
      </c>
      <c r="C9" s="62">
        <v>2019</v>
      </c>
      <c r="D9" s="131" t="s">
        <v>258</v>
      </c>
      <c r="E9" s="53" t="s">
        <v>293</v>
      </c>
      <c r="F9" s="53" t="s">
        <v>294</v>
      </c>
      <c r="G9" s="53" t="s">
        <v>36</v>
      </c>
      <c r="H9" s="53" t="s">
        <v>160</v>
      </c>
      <c r="I9" s="53" t="s">
        <v>159</v>
      </c>
      <c r="J9" s="53" t="s">
        <v>38</v>
      </c>
      <c r="K9" s="53" t="s">
        <v>161</v>
      </c>
      <c r="L9" s="53">
        <v>2</v>
      </c>
      <c r="N9" s="53">
        <v>4</v>
      </c>
      <c r="O9" s="53">
        <v>0.28000000000000003</v>
      </c>
      <c r="P9" s="53">
        <v>0.32</v>
      </c>
      <c r="Q9" s="75">
        <f t="shared" si="2"/>
        <v>0.30000000000000004</v>
      </c>
      <c r="R9" s="53">
        <v>16.2</v>
      </c>
      <c r="S9" s="53">
        <v>107</v>
      </c>
      <c r="T9" s="16">
        <f t="shared" si="0"/>
        <v>33</v>
      </c>
      <c r="U9" s="53">
        <v>377</v>
      </c>
      <c r="V9" s="16">
        <f t="shared" si="1"/>
        <v>16</v>
      </c>
      <c r="W9" s="53">
        <v>5</v>
      </c>
      <c r="X9" s="53" t="s">
        <v>39</v>
      </c>
      <c r="Y9" s="53" t="s">
        <v>102</v>
      </c>
      <c r="Z9" s="53" t="s">
        <v>88</v>
      </c>
      <c r="AA9" s="53" t="s">
        <v>78</v>
      </c>
      <c r="AB9" s="53" t="s">
        <v>292</v>
      </c>
      <c r="AE9" s="22" t="s">
        <v>98</v>
      </c>
      <c r="AG9" s="134" t="s">
        <v>314</v>
      </c>
      <c r="AH9" s="133" t="s">
        <v>313</v>
      </c>
      <c r="AL9" s="73"/>
      <c r="AP9" s="23" t="s">
        <v>315</v>
      </c>
      <c r="AR9" s="23" t="s">
        <v>89</v>
      </c>
      <c r="AV9" s="23" t="s">
        <v>102</v>
      </c>
      <c r="AX9" s="24">
        <v>128</v>
      </c>
      <c r="AY9" s="25">
        <v>27</v>
      </c>
      <c r="AZ9" s="25">
        <v>129</v>
      </c>
      <c r="BA9" s="26">
        <v>25</v>
      </c>
    </row>
    <row r="10" spans="1:53" x14ac:dyDescent="0.15">
      <c r="A10" s="53" t="s">
        <v>59</v>
      </c>
      <c r="B10" s="53" t="s">
        <v>257</v>
      </c>
      <c r="C10" s="62">
        <v>2019</v>
      </c>
      <c r="D10" s="131" t="s">
        <v>258</v>
      </c>
      <c r="E10" s="53" t="s">
        <v>293</v>
      </c>
      <c r="F10" s="53" t="s">
        <v>294</v>
      </c>
      <c r="G10" s="53" t="s">
        <v>36</v>
      </c>
      <c r="H10" s="53" t="s">
        <v>160</v>
      </c>
      <c r="I10" s="53" t="s">
        <v>159</v>
      </c>
      <c r="J10" s="53" t="s">
        <v>38</v>
      </c>
      <c r="K10" s="53" t="s">
        <v>161</v>
      </c>
      <c r="L10" s="53">
        <v>3</v>
      </c>
      <c r="N10" s="53">
        <v>4</v>
      </c>
      <c r="O10" s="53">
        <v>0.33</v>
      </c>
      <c r="P10" s="53">
        <v>0.28999999999999998</v>
      </c>
      <c r="Q10" s="75">
        <f t="shared" si="2"/>
        <v>0.31</v>
      </c>
      <c r="R10" s="53">
        <v>16.5</v>
      </c>
      <c r="S10" s="53">
        <v>103</v>
      </c>
      <c r="T10" s="16">
        <f t="shared" si="0"/>
        <v>33</v>
      </c>
      <c r="U10" s="53">
        <v>377</v>
      </c>
      <c r="V10" s="16">
        <f t="shared" si="1"/>
        <v>16</v>
      </c>
      <c r="W10" s="53">
        <v>5</v>
      </c>
      <c r="X10" s="53" t="s">
        <v>39</v>
      </c>
      <c r="Y10" s="53" t="s">
        <v>102</v>
      </c>
      <c r="Z10" s="53" t="s">
        <v>88</v>
      </c>
      <c r="AA10" s="53" t="s">
        <v>78</v>
      </c>
      <c r="AB10" s="53" t="s">
        <v>292</v>
      </c>
      <c r="AE10" s="22" t="s">
        <v>103</v>
      </c>
      <c r="AG10" s="132" t="s">
        <v>316</v>
      </c>
      <c r="AH10" s="133" t="s">
        <v>304</v>
      </c>
      <c r="AL10" s="135"/>
      <c r="AP10" s="23" t="s">
        <v>100</v>
      </c>
      <c r="AR10" s="23" t="s">
        <v>123</v>
      </c>
      <c r="AV10" s="23" t="s">
        <v>106</v>
      </c>
      <c r="AX10" s="24">
        <v>138</v>
      </c>
      <c r="AY10" s="25">
        <v>25</v>
      </c>
      <c r="AZ10" s="25">
        <v>138</v>
      </c>
      <c r="BA10" s="26">
        <v>22</v>
      </c>
    </row>
    <row r="11" spans="1:53" x14ac:dyDescent="0.15">
      <c r="A11" s="53" t="s">
        <v>59</v>
      </c>
      <c r="B11" s="53" t="s">
        <v>257</v>
      </c>
      <c r="C11" s="62">
        <v>2019</v>
      </c>
      <c r="D11" s="131" t="s">
        <v>258</v>
      </c>
      <c r="E11" s="53" t="s">
        <v>293</v>
      </c>
      <c r="F11" s="53" t="s">
        <v>294</v>
      </c>
      <c r="G11" s="53" t="s">
        <v>36</v>
      </c>
      <c r="H11" s="53" t="s">
        <v>164</v>
      </c>
      <c r="I11" s="53" t="s">
        <v>159</v>
      </c>
      <c r="J11" s="53" t="s">
        <v>38</v>
      </c>
      <c r="K11" s="53" t="s">
        <v>161</v>
      </c>
      <c r="L11" s="53">
        <v>1</v>
      </c>
      <c r="N11" s="53">
        <v>4</v>
      </c>
      <c r="O11" s="53">
        <v>0.22</v>
      </c>
      <c r="P11" s="53">
        <v>0.24</v>
      </c>
      <c r="Q11" s="75">
        <f t="shared" si="2"/>
        <v>0.22999999999999998</v>
      </c>
      <c r="R11" s="53">
        <v>14.2</v>
      </c>
      <c r="S11" s="53">
        <v>95</v>
      </c>
      <c r="T11" s="16">
        <f t="shared" si="0"/>
        <v>36</v>
      </c>
      <c r="U11" s="53">
        <v>297</v>
      </c>
      <c r="V11" s="16">
        <f t="shared" si="1"/>
        <v>16</v>
      </c>
      <c r="W11" s="53">
        <v>1</v>
      </c>
      <c r="X11" s="53" t="s">
        <v>46</v>
      </c>
      <c r="Y11" s="53" t="s">
        <v>102</v>
      </c>
      <c r="Z11" s="53" t="s">
        <v>88</v>
      </c>
      <c r="AA11" s="53" t="s">
        <v>78</v>
      </c>
      <c r="AB11" s="53" t="s">
        <v>292</v>
      </c>
      <c r="AE11" s="22" t="s">
        <v>65</v>
      </c>
      <c r="AG11" s="134" t="s">
        <v>317</v>
      </c>
      <c r="AH11" s="133" t="s">
        <v>318</v>
      </c>
      <c r="AL11" s="135"/>
      <c r="AP11" s="23" t="s">
        <v>319</v>
      </c>
      <c r="AR11" s="23" t="s">
        <v>320</v>
      </c>
      <c r="AV11" s="23" t="s">
        <v>321</v>
      </c>
      <c r="AX11" s="24">
        <v>151</v>
      </c>
      <c r="AY11" s="25">
        <v>22</v>
      </c>
      <c r="AZ11" s="25">
        <v>152</v>
      </c>
      <c r="BA11" s="26">
        <v>18</v>
      </c>
    </row>
    <row r="12" spans="1:53" x14ac:dyDescent="0.15">
      <c r="A12" s="53" t="s">
        <v>59</v>
      </c>
      <c r="B12" s="53" t="s">
        <v>257</v>
      </c>
      <c r="C12" s="62">
        <v>2019</v>
      </c>
      <c r="D12" s="131" t="s">
        <v>258</v>
      </c>
      <c r="E12" s="53" t="s">
        <v>293</v>
      </c>
      <c r="F12" s="53" t="s">
        <v>294</v>
      </c>
      <c r="G12" s="53" t="s">
        <v>36</v>
      </c>
      <c r="H12" s="53" t="s">
        <v>164</v>
      </c>
      <c r="I12" s="53" t="s">
        <v>159</v>
      </c>
      <c r="J12" s="53" t="s">
        <v>38</v>
      </c>
      <c r="K12" s="53" t="s">
        <v>161</v>
      </c>
      <c r="L12" s="53">
        <v>2</v>
      </c>
      <c r="N12" s="53">
        <v>4</v>
      </c>
      <c r="O12" s="53">
        <v>0.24</v>
      </c>
      <c r="P12" s="53">
        <v>0.24</v>
      </c>
      <c r="Q12" s="75">
        <f t="shared" si="2"/>
        <v>0.24</v>
      </c>
      <c r="R12" s="53">
        <v>14.2</v>
      </c>
      <c r="S12" s="53">
        <v>95</v>
      </c>
      <c r="T12" s="16">
        <f t="shared" si="0"/>
        <v>36</v>
      </c>
      <c r="U12" s="53">
        <v>297</v>
      </c>
      <c r="V12" s="16">
        <f t="shared" si="1"/>
        <v>16</v>
      </c>
      <c r="W12" s="53">
        <v>1</v>
      </c>
      <c r="X12" s="53" t="s">
        <v>46</v>
      </c>
      <c r="Y12" s="53" t="s">
        <v>102</v>
      </c>
      <c r="Z12" s="53" t="s">
        <v>88</v>
      </c>
      <c r="AA12" s="53" t="s">
        <v>78</v>
      </c>
      <c r="AB12" s="53" t="s">
        <v>292</v>
      </c>
      <c r="AE12" s="22" t="s">
        <v>70</v>
      </c>
      <c r="AG12" s="23"/>
      <c r="AH12" s="136"/>
      <c r="AL12" s="135"/>
      <c r="AP12" s="23" t="s">
        <v>67</v>
      </c>
      <c r="AR12" s="23" t="s">
        <v>124</v>
      </c>
      <c r="AV12" s="23" t="s">
        <v>72</v>
      </c>
      <c r="AX12" s="31">
        <v>180</v>
      </c>
      <c r="AY12" s="32">
        <v>18</v>
      </c>
      <c r="AZ12" s="32">
        <v>181</v>
      </c>
      <c r="BA12" s="33">
        <v>16</v>
      </c>
    </row>
    <row r="13" spans="1:53" x14ac:dyDescent="0.15">
      <c r="A13" s="53" t="s">
        <v>59</v>
      </c>
      <c r="B13" s="53" t="s">
        <v>257</v>
      </c>
      <c r="C13" s="62">
        <v>2019</v>
      </c>
      <c r="D13" s="131" t="s">
        <v>258</v>
      </c>
      <c r="E13" s="53" t="s">
        <v>293</v>
      </c>
      <c r="F13" s="53" t="s">
        <v>294</v>
      </c>
      <c r="G13" s="53" t="s">
        <v>36</v>
      </c>
      <c r="H13" s="53" t="s">
        <v>164</v>
      </c>
      <c r="I13" s="53" t="s">
        <v>159</v>
      </c>
      <c r="J13" s="53" t="s">
        <v>38</v>
      </c>
      <c r="K13" s="53" t="s">
        <v>161</v>
      </c>
      <c r="L13" s="53">
        <v>3</v>
      </c>
      <c r="N13" s="53">
        <v>4</v>
      </c>
      <c r="O13" s="53">
        <v>0.23</v>
      </c>
      <c r="P13" s="53">
        <v>0.25</v>
      </c>
      <c r="Q13" s="75">
        <f t="shared" si="2"/>
        <v>0.24</v>
      </c>
      <c r="R13" s="53">
        <v>14.1</v>
      </c>
      <c r="S13" s="53">
        <v>97</v>
      </c>
      <c r="T13" s="16">
        <f t="shared" si="0"/>
        <v>36</v>
      </c>
      <c r="U13" s="53">
        <v>297</v>
      </c>
      <c r="V13" s="16">
        <f t="shared" si="1"/>
        <v>16</v>
      </c>
      <c r="W13" s="53">
        <v>1</v>
      </c>
      <c r="X13" s="53" t="s">
        <v>46</v>
      </c>
      <c r="Y13" s="53" t="s">
        <v>102</v>
      </c>
      <c r="Z13" s="53" t="s">
        <v>88</v>
      </c>
      <c r="AA13" s="53" t="s">
        <v>78</v>
      </c>
      <c r="AB13" s="53" t="s">
        <v>292</v>
      </c>
      <c r="AE13" s="22" t="s">
        <v>73</v>
      </c>
      <c r="AG13" s="23"/>
      <c r="AH13" s="23"/>
      <c r="AP13" s="23" t="s">
        <v>71</v>
      </c>
      <c r="AR13" s="23" t="s">
        <v>103</v>
      </c>
      <c r="AV13" s="23" t="s">
        <v>75</v>
      </c>
    </row>
    <row r="14" spans="1:53" x14ac:dyDescent="0.15">
      <c r="A14" s="53" t="s">
        <v>59</v>
      </c>
      <c r="B14" s="53" t="s">
        <v>257</v>
      </c>
      <c r="C14" s="62">
        <v>2019</v>
      </c>
      <c r="D14" s="131" t="s">
        <v>258</v>
      </c>
      <c r="E14" s="53" t="s">
        <v>303</v>
      </c>
      <c r="F14" s="53" t="s">
        <v>304</v>
      </c>
      <c r="G14" s="53" t="s">
        <v>36</v>
      </c>
      <c r="H14" s="53" t="s">
        <v>160</v>
      </c>
      <c r="I14" s="53" t="s">
        <v>159</v>
      </c>
      <c r="J14" s="53" t="s">
        <v>38</v>
      </c>
      <c r="K14" s="53" t="s">
        <v>161</v>
      </c>
      <c r="L14" s="53">
        <v>1</v>
      </c>
      <c r="N14" s="53">
        <v>3</v>
      </c>
      <c r="O14" s="53">
        <v>0.45</v>
      </c>
      <c r="P14" s="53">
        <v>0.43</v>
      </c>
      <c r="Q14" s="75">
        <f t="shared" si="2"/>
        <v>0.44</v>
      </c>
      <c r="R14" s="53">
        <v>15.1</v>
      </c>
      <c r="S14" s="53">
        <v>116</v>
      </c>
      <c r="T14" s="16">
        <f t="shared" si="0"/>
        <v>30</v>
      </c>
      <c r="U14" s="53">
        <v>399</v>
      </c>
      <c r="V14" s="16">
        <f t="shared" si="1"/>
        <v>16</v>
      </c>
      <c r="W14" s="53">
        <v>3</v>
      </c>
      <c r="X14" s="53" t="s">
        <v>39</v>
      </c>
      <c r="Y14" s="53" t="s">
        <v>78</v>
      </c>
      <c r="Z14" s="53" t="s">
        <v>97</v>
      </c>
      <c r="AA14" s="53" t="s">
        <v>102</v>
      </c>
      <c r="AB14" s="53" t="s">
        <v>292</v>
      </c>
      <c r="AE14" s="22" t="s">
        <v>76</v>
      </c>
      <c r="AG14" s="23"/>
      <c r="AH14" s="23"/>
      <c r="AP14" s="23" t="s">
        <v>322</v>
      </c>
      <c r="AR14" s="23" t="s">
        <v>125</v>
      </c>
      <c r="AV14" s="23" t="s">
        <v>78</v>
      </c>
    </row>
    <row r="15" spans="1:53" x14ac:dyDescent="0.15">
      <c r="A15" s="53" t="s">
        <v>59</v>
      </c>
      <c r="B15" s="53" t="s">
        <v>257</v>
      </c>
      <c r="C15" s="62">
        <v>2019</v>
      </c>
      <c r="D15" s="131" t="s">
        <v>258</v>
      </c>
      <c r="E15" s="53" t="s">
        <v>303</v>
      </c>
      <c r="F15" s="53" t="s">
        <v>304</v>
      </c>
      <c r="G15" s="53" t="s">
        <v>36</v>
      </c>
      <c r="H15" s="53" t="s">
        <v>160</v>
      </c>
      <c r="I15" s="53" t="s">
        <v>159</v>
      </c>
      <c r="J15" s="53" t="s">
        <v>38</v>
      </c>
      <c r="K15" s="53" t="s">
        <v>161</v>
      </c>
      <c r="L15" s="53">
        <v>2</v>
      </c>
      <c r="N15" s="53">
        <v>3</v>
      </c>
      <c r="O15" s="53">
        <v>0.4</v>
      </c>
      <c r="P15" s="53">
        <v>0.45</v>
      </c>
      <c r="Q15" s="75">
        <f t="shared" si="2"/>
        <v>0.42500000000000004</v>
      </c>
      <c r="R15" s="53">
        <v>15.2</v>
      </c>
      <c r="S15" s="53">
        <v>110</v>
      </c>
      <c r="T15" s="16">
        <f t="shared" si="0"/>
        <v>33</v>
      </c>
      <c r="U15" s="53">
        <v>399</v>
      </c>
      <c r="V15" s="16">
        <f t="shared" si="1"/>
        <v>16</v>
      </c>
      <c r="W15" s="53">
        <v>3</v>
      </c>
      <c r="X15" s="53" t="s">
        <v>39</v>
      </c>
      <c r="Y15" s="53" t="s">
        <v>78</v>
      </c>
      <c r="Z15" s="53" t="s">
        <v>97</v>
      </c>
      <c r="AA15" s="53" t="s">
        <v>102</v>
      </c>
      <c r="AB15" s="53" t="s">
        <v>292</v>
      </c>
      <c r="AE15" s="22" t="s">
        <v>79</v>
      </c>
      <c r="AG15" s="23"/>
      <c r="AH15" s="23"/>
      <c r="AP15" s="23" t="s">
        <v>323</v>
      </c>
      <c r="AR15" s="23" t="s">
        <v>94</v>
      </c>
      <c r="AV15" s="23" t="s">
        <v>107</v>
      </c>
    </row>
    <row r="16" spans="1:53" x14ac:dyDescent="0.15">
      <c r="A16" s="53" t="s">
        <v>59</v>
      </c>
      <c r="B16" s="53" t="s">
        <v>257</v>
      </c>
      <c r="C16" s="62">
        <v>2019</v>
      </c>
      <c r="D16" s="131" t="s">
        <v>258</v>
      </c>
      <c r="E16" s="53" t="s">
        <v>303</v>
      </c>
      <c r="F16" s="53" t="s">
        <v>304</v>
      </c>
      <c r="G16" s="53" t="s">
        <v>36</v>
      </c>
      <c r="H16" s="53" t="s">
        <v>160</v>
      </c>
      <c r="I16" s="53" t="s">
        <v>159</v>
      </c>
      <c r="J16" s="53" t="s">
        <v>38</v>
      </c>
      <c r="K16" s="53" t="s">
        <v>161</v>
      </c>
      <c r="L16" s="53">
        <v>3</v>
      </c>
      <c r="N16" s="53">
        <v>3</v>
      </c>
      <c r="O16" s="53">
        <v>0.47</v>
      </c>
      <c r="P16" s="53">
        <v>0.45</v>
      </c>
      <c r="Q16" s="75">
        <f t="shared" si="2"/>
        <v>0.45999999999999996</v>
      </c>
      <c r="R16" s="53">
        <v>15.1</v>
      </c>
      <c r="S16" s="53">
        <v>109</v>
      </c>
      <c r="T16" s="16">
        <f t="shared" si="0"/>
        <v>33</v>
      </c>
      <c r="U16" s="53">
        <v>399</v>
      </c>
      <c r="V16" s="16">
        <f t="shared" si="1"/>
        <v>16</v>
      </c>
      <c r="W16" s="53">
        <v>3</v>
      </c>
      <c r="X16" s="53" t="s">
        <v>39</v>
      </c>
      <c r="Y16" s="53" t="s">
        <v>78</v>
      </c>
      <c r="Z16" s="53" t="s">
        <v>97</v>
      </c>
      <c r="AA16" s="53" t="s">
        <v>102</v>
      </c>
      <c r="AB16" s="53" t="s">
        <v>292</v>
      </c>
      <c r="AE16" s="22" t="s">
        <v>82</v>
      </c>
      <c r="AG16" s="28"/>
      <c r="AH16" s="28"/>
      <c r="AP16" s="23" t="s">
        <v>80</v>
      </c>
      <c r="AR16" s="23" t="s">
        <v>63</v>
      </c>
      <c r="AV16" s="23" t="s">
        <v>84</v>
      </c>
    </row>
    <row r="17" spans="1:48" x14ac:dyDescent="0.15">
      <c r="A17" s="53" t="s">
        <v>59</v>
      </c>
      <c r="B17" s="53" t="s">
        <v>257</v>
      </c>
      <c r="C17" s="62">
        <v>2019</v>
      </c>
      <c r="D17" s="131" t="s">
        <v>258</v>
      </c>
      <c r="E17" s="53" t="s">
        <v>303</v>
      </c>
      <c r="F17" s="53" t="s">
        <v>304</v>
      </c>
      <c r="G17" s="53" t="s">
        <v>36</v>
      </c>
      <c r="H17" s="53" t="s">
        <v>164</v>
      </c>
      <c r="I17" s="53" t="s">
        <v>159</v>
      </c>
      <c r="J17" s="53" t="s">
        <v>38</v>
      </c>
      <c r="K17" s="53" t="s">
        <v>161</v>
      </c>
      <c r="L17" s="53">
        <v>1</v>
      </c>
      <c r="N17" s="53">
        <v>4</v>
      </c>
      <c r="O17" s="53">
        <v>0.55000000000000004</v>
      </c>
      <c r="P17" s="53">
        <v>0.56000000000000005</v>
      </c>
      <c r="Q17" s="75">
        <f t="shared" si="2"/>
        <v>0.55500000000000005</v>
      </c>
      <c r="R17" s="53">
        <v>14.4</v>
      </c>
      <c r="S17" s="53">
        <v>115</v>
      </c>
      <c r="T17" s="16">
        <f t="shared" si="0"/>
        <v>30</v>
      </c>
      <c r="U17" s="53">
        <v>399</v>
      </c>
      <c r="V17" s="16">
        <f t="shared" si="1"/>
        <v>16</v>
      </c>
      <c r="W17" s="53">
        <v>3</v>
      </c>
      <c r="X17" s="53" t="s">
        <v>39</v>
      </c>
      <c r="Y17" s="53" t="s">
        <v>78</v>
      </c>
      <c r="Z17" s="53" t="s">
        <v>97</v>
      </c>
      <c r="AA17" s="53" t="s">
        <v>102</v>
      </c>
      <c r="AB17" s="53" t="s">
        <v>292</v>
      </c>
      <c r="AE17" s="22" t="s">
        <v>85</v>
      </c>
      <c r="AP17" s="27" t="s">
        <v>110</v>
      </c>
      <c r="AR17" s="23" t="s">
        <v>96</v>
      </c>
      <c r="AV17" s="23" t="s">
        <v>86</v>
      </c>
    </row>
    <row r="18" spans="1:48" x14ac:dyDescent="0.15">
      <c r="A18" s="53" t="s">
        <v>59</v>
      </c>
      <c r="B18" s="53" t="s">
        <v>257</v>
      </c>
      <c r="C18" s="62">
        <v>2019</v>
      </c>
      <c r="D18" s="131" t="s">
        <v>258</v>
      </c>
      <c r="E18" s="53" t="s">
        <v>303</v>
      </c>
      <c r="F18" s="53" t="s">
        <v>304</v>
      </c>
      <c r="G18" s="53" t="s">
        <v>36</v>
      </c>
      <c r="H18" s="53" t="s">
        <v>164</v>
      </c>
      <c r="I18" s="53" t="s">
        <v>159</v>
      </c>
      <c r="J18" s="53" t="s">
        <v>38</v>
      </c>
      <c r="K18" s="53" t="s">
        <v>161</v>
      </c>
      <c r="L18" s="53">
        <v>2</v>
      </c>
      <c r="N18" s="53">
        <v>4</v>
      </c>
      <c r="O18" s="53">
        <v>0.55000000000000004</v>
      </c>
      <c r="P18" s="53">
        <v>0.5</v>
      </c>
      <c r="Q18" s="75">
        <f t="shared" si="2"/>
        <v>0.52500000000000002</v>
      </c>
      <c r="R18" s="53">
        <v>15.1</v>
      </c>
      <c r="S18" s="53">
        <v>115</v>
      </c>
      <c r="T18" s="16">
        <f t="shared" si="0"/>
        <v>30</v>
      </c>
      <c r="U18" s="53">
        <v>399</v>
      </c>
      <c r="V18" s="16">
        <f t="shared" si="1"/>
        <v>16</v>
      </c>
      <c r="W18" s="53">
        <v>3</v>
      </c>
      <c r="X18" s="53" t="s">
        <v>39</v>
      </c>
      <c r="Y18" s="53" t="s">
        <v>78</v>
      </c>
      <c r="Z18" s="53" t="s">
        <v>97</v>
      </c>
      <c r="AA18" s="53" t="s">
        <v>102</v>
      </c>
      <c r="AB18" s="53" t="s">
        <v>292</v>
      </c>
      <c r="AE18" s="22" t="s">
        <v>87</v>
      </c>
      <c r="AP18" s="27" t="s">
        <v>324</v>
      </c>
      <c r="AR18" s="23" t="s">
        <v>101</v>
      </c>
      <c r="AV18" s="23" t="s">
        <v>88</v>
      </c>
    </row>
    <row r="19" spans="1:48" x14ac:dyDescent="0.15">
      <c r="A19" s="53" t="s">
        <v>59</v>
      </c>
      <c r="B19" s="53" t="s">
        <v>257</v>
      </c>
      <c r="C19" s="62">
        <v>2019</v>
      </c>
      <c r="D19" s="131" t="s">
        <v>258</v>
      </c>
      <c r="E19" s="53" t="s">
        <v>303</v>
      </c>
      <c r="F19" s="53" t="s">
        <v>304</v>
      </c>
      <c r="G19" s="53" t="s">
        <v>36</v>
      </c>
      <c r="H19" s="53" t="s">
        <v>164</v>
      </c>
      <c r="I19" s="53" t="s">
        <v>159</v>
      </c>
      <c r="J19" s="53" t="s">
        <v>38</v>
      </c>
      <c r="K19" s="53" t="s">
        <v>161</v>
      </c>
      <c r="L19" s="53">
        <v>3</v>
      </c>
      <c r="N19" s="53">
        <v>4</v>
      </c>
      <c r="O19" s="53">
        <v>0.52</v>
      </c>
      <c r="P19" s="53">
        <v>0.53</v>
      </c>
      <c r="Q19" s="75">
        <f t="shared" si="2"/>
        <v>0.52500000000000002</v>
      </c>
      <c r="R19" s="53">
        <v>14.9</v>
      </c>
      <c r="S19" s="53">
        <v>110</v>
      </c>
      <c r="T19" s="16">
        <f t="shared" si="0"/>
        <v>33</v>
      </c>
      <c r="U19" s="53">
        <v>399</v>
      </c>
      <c r="V19" s="16">
        <f t="shared" si="1"/>
        <v>16</v>
      </c>
      <c r="W19" s="53">
        <v>3</v>
      </c>
      <c r="X19" s="53" t="s">
        <v>39</v>
      </c>
      <c r="Y19" s="53" t="s">
        <v>78</v>
      </c>
      <c r="Z19" s="53" t="s">
        <v>97</v>
      </c>
      <c r="AA19" s="53" t="s">
        <v>102</v>
      </c>
      <c r="AB19" s="53" t="s">
        <v>292</v>
      </c>
      <c r="AE19" s="35" t="s">
        <v>89</v>
      </c>
      <c r="AP19" s="27" t="s">
        <v>112</v>
      </c>
      <c r="AR19" s="23" t="s">
        <v>126</v>
      </c>
      <c r="AV19" s="23" t="s">
        <v>325</v>
      </c>
    </row>
    <row r="20" spans="1:48" x14ac:dyDescent="0.15">
      <c r="A20" s="53" t="s">
        <v>59</v>
      </c>
      <c r="B20" s="53" t="s">
        <v>257</v>
      </c>
      <c r="C20" s="62">
        <v>2019</v>
      </c>
      <c r="D20" s="131" t="s">
        <v>258</v>
      </c>
      <c r="E20" s="53" t="s">
        <v>316</v>
      </c>
      <c r="F20" s="53" t="s">
        <v>304</v>
      </c>
      <c r="G20" s="53" t="s">
        <v>36</v>
      </c>
      <c r="H20" s="53" t="s">
        <v>160</v>
      </c>
      <c r="I20" s="53" t="s">
        <v>159</v>
      </c>
      <c r="J20" s="53" t="s">
        <v>38</v>
      </c>
      <c r="K20" s="53" t="s">
        <v>161</v>
      </c>
      <c r="L20" s="53">
        <v>1</v>
      </c>
      <c r="N20" s="53">
        <v>2</v>
      </c>
      <c r="O20" s="53">
        <v>0.28999999999999998</v>
      </c>
      <c r="P20" s="53">
        <v>0.28000000000000003</v>
      </c>
      <c r="Q20" s="75">
        <f t="shared" si="2"/>
        <v>0.28500000000000003</v>
      </c>
      <c r="R20" s="53">
        <v>17.5</v>
      </c>
      <c r="S20" s="53">
        <v>152</v>
      </c>
      <c r="T20" s="16">
        <f t="shared" si="0"/>
        <v>18</v>
      </c>
      <c r="U20" s="53">
        <v>429</v>
      </c>
      <c r="V20" s="16">
        <f t="shared" si="1"/>
        <v>16</v>
      </c>
      <c r="W20" s="53">
        <v>3</v>
      </c>
      <c r="X20" s="53" t="s">
        <v>46</v>
      </c>
      <c r="Y20" s="53" t="s">
        <v>78</v>
      </c>
      <c r="Z20" s="53" t="s">
        <v>102</v>
      </c>
      <c r="AA20" s="53" t="s">
        <v>88</v>
      </c>
      <c r="AB20" s="53" t="s">
        <v>292</v>
      </c>
      <c r="AE20" s="35"/>
      <c r="AP20" s="27" t="s">
        <v>113</v>
      </c>
      <c r="AR20" s="23" t="s">
        <v>105</v>
      </c>
      <c r="AV20" s="27" t="s">
        <v>135</v>
      </c>
    </row>
    <row r="21" spans="1:48" x14ac:dyDescent="0.15">
      <c r="A21" s="53" t="s">
        <v>59</v>
      </c>
      <c r="B21" s="53" t="s">
        <v>257</v>
      </c>
      <c r="C21" s="62">
        <v>2019</v>
      </c>
      <c r="D21" s="131" t="s">
        <v>258</v>
      </c>
      <c r="E21" s="53" t="s">
        <v>316</v>
      </c>
      <c r="F21" s="53" t="s">
        <v>304</v>
      </c>
      <c r="G21" s="53" t="s">
        <v>36</v>
      </c>
      <c r="H21" s="53" t="s">
        <v>160</v>
      </c>
      <c r="I21" s="53" t="s">
        <v>159</v>
      </c>
      <c r="J21" s="53" t="s">
        <v>38</v>
      </c>
      <c r="K21" s="53" t="s">
        <v>161</v>
      </c>
      <c r="L21" s="53">
        <v>2</v>
      </c>
      <c r="N21" s="53">
        <v>2</v>
      </c>
      <c r="O21" s="53">
        <v>0.39</v>
      </c>
      <c r="P21" s="53">
        <v>0.33</v>
      </c>
      <c r="Q21" s="75">
        <f t="shared" si="2"/>
        <v>0.36</v>
      </c>
      <c r="R21" s="53">
        <v>17.100000000000001</v>
      </c>
      <c r="S21" s="53">
        <v>155</v>
      </c>
      <c r="T21" s="16">
        <f t="shared" si="0"/>
        <v>18</v>
      </c>
      <c r="U21" s="53">
        <v>429</v>
      </c>
      <c r="V21" s="16">
        <f t="shared" si="1"/>
        <v>16</v>
      </c>
      <c r="W21" s="53">
        <v>3</v>
      </c>
      <c r="X21" s="53" t="s">
        <v>46</v>
      </c>
      <c r="Y21" s="53" t="s">
        <v>78</v>
      </c>
      <c r="Z21" s="53" t="s">
        <v>102</v>
      </c>
      <c r="AA21" s="53" t="s">
        <v>88</v>
      </c>
      <c r="AB21" s="53" t="s">
        <v>292</v>
      </c>
      <c r="AE21" s="28"/>
      <c r="AP21" s="27" t="s">
        <v>326</v>
      </c>
      <c r="AR21" s="23" t="s">
        <v>68</v>
      </c>
      <c r="AV21" s="27" t="s">
        <v>136</v>
      </c>
    </row>
    <row r="22" spans="1:48" x14ac:dyDescent="0.15">
      <c r="A22" s="53" t="s">
        <v>59</v>
      </c>
      <c r="B22" s="53" t="s">
        <v>257</v>
      </c>
      <c r="C22" s="62">
        <v>2019</v>
      </c>
      <c r="D22" s="131" t="s">
        <v>258</v>
      </c>
      <c r="E22" s="53" t="s">
        <v>316</v>
      </c>
      <c r="F22" s="53" t="s">
        <v>304</v>
      </c>
      <c r="G22" s="53" t="s">
        <v>36</v>
      </c>
      <c r="H22" s="53" t="s">
        <v>160</v>
      </c>
      <c r="I22" s="53" t="s">
        <v>159</v>
      </c>
      <c r="J22" s="53" t="s">
        <v>38</v>
      </c>
      <c r="K22" s="53" t="s">
        <v>161</v>
      </c>
      <c r="L22" s="53">
        <v>3</v>
      </c>
      <c r="N22" s="53">
        <v>2</v>
      </c>
      <c r="O22" s="53">
        <v>0.35</v>
      </c>
      <c r="P22" s="53">
        <v>0.34</v>
      </c>
      <c r="Q22" s="75">
        <f t="shared" si="2"/>
        <v>0.34499999999999997</v>
      </c>
      <c r="R22" s="53">
        <v>17.2</v>
      </c>
      <c r="S22" s="53">
        <v>153</v>
      </c>
      <c r="T22" s="16">
        <f t="shared" si="0"/>
        <v>18</v>
      </c>
      <c r="U22" s="53">
        <v>429</v>
      </c>
      <c r="V22" s="16">
        <f t="shared" si="1"/>
        <v>16</v>
      </c>
      <c r="W22" s="53">
        <v>3</v>
      </c>
      <c r="X22" s="53" t="s">
        <v>46</v>
      </c>
      <c r="Y22" s="53" t="s">
        <v>78</v>
      </c>
      <c r="Z22" s="53" t="s">
        <v>102</v>
      </c>
      <c r="AA22" s="53" t="s">
        <v>88</v>
      </c>
      <c r="AB22" s="53" t="s">
        <v>292</v>
      </c>
      <c r="AP22" s="27" t="s">
        <v>327</v>
      </c>
      <c r="AR22" s="23" t="s">
        <v>83</v>
      </c>
      <c r="AV22" s="27" t="s">
        <v>328</v>
      </c>
    </row>
    <row r="23" spans="1:48" x14ac:dyDescent="0.15">
      <c r="A23" s="53" t="s">
        <v>59</v>
      </c>
      <c r="B23" s="53" t="s">
        <v>257</v>
      </c>
      <c r="C23" s="62">
        <v>2019</v>
      </c>
      <c r="D23" s="131" t="s">
        <v>258</v>
      </c>
      <c r="E23" s="53" t="s">
        <v>316</v>
      </c>
      <c r="F23" s="53" t="s">
        <v>304</v>
      </c>
      <c r="G23" s="53" t="s">
        <v>36</v>
      </c>
      <c r="H23" s="53" t="s">
        <v>164</v>
      </c>
      <c r="I23" s="53" t="s">
        <v>159</v>
      </c>
      <c r="J23" s="53" t="s">
        <v>38</v>
      </c>
      <c r="K23" s="53" t="s">
        <v>161</v>
      </c>
      <c r="L23" s="53">
        <v>1</v>
      </c>
      <c r="N23" s="53">
        <v>1</v>
      </c>
      <c r="O23" s="53">
        <v>0.67</v>
      </c>
      <c r="P23" s="53">
        <v>0.63</v>
      </c>
      <c r="Q23" s="75">
        <f t="shared" si="2"/>
        <v>0.65</v>
      </c>
      <c r="R23" s="53">
        <v>14.1</v>
      </c>
      <c r="S23" s="53">
        <v>112</v>
      </c>
      <c r="T23" s="16">
        <f t="shared" si="0"/>
        <v>33</v>
      </c>
      <c r="U23" s="53">
        <v>62</v>
      </c>
      <c r="V23" s="16">
        <f t="shared" si="1"/>
        <v>50</v>
      </c>
      <c r="W23" s="53">
        <v>1</v>
      </c>
      <c r="X23" s="53" t="s">
        <v>46</v>
      </c>
      <c r="Y23" s="53" t="s">
        <v>78</v>
      </c>
      <c r="Z23" s="53" t="s">
        <v>102</v>
      </c>
      <c r="AA23" s="53" t="s">
        <v>88</v>
      </c>
      <c r="AB23" s="53" t="s">
        <v>292</v>
      </c>
      <c r="AP23" s="27" t="s">
        <v>137</v>
      </c>
      <c r="AR23" s="23" t="s">
        <v>61</v>
      </c>
      <c r="AV23" s="27" t="s">
        <v>329</v>
      </c>
    </row>
    <row r="24" spans="1:48" x14ac:dyDescent="0.15">
      <c r="A24" s="53" t="s">
        <v>59</v>
      </c>
      <c r="B24" s="53" t="s">
        <v>257</v>
      </c>
      <c r="C24" s="62">
        <v>2019</v>
      </c>
      <c r="D24" s="131" t="s">
        <v>258</v>
      </c>
      <c r="E24" s="53" t="s">
        <v>316</v>
      </c>
      <c r="F24" s="53" t="s">
        <v>304</v>
      </c>
      <c r="G24" s="53" t="s">
        <v>36</v>
      </c>
      <c r="H24" s="53" t="s">
        <v>164</v>
      </c>
      <c r="I24" s="53" t="s">
        <v>159</v>
      </c>
      <c r="J24" s="53" t="s">
        <v>38</v>
      </c>
      <c r="K24" s="53" t="s">
        <v>161</v>
      </c>
      <c r="L24" s="53">
        <v>2</v>
      </c>
      <c r="N24" s="53">
        <v>1</v>
      </c>
      <c r="O24" s="53">
        <v>0.88</v>
      </c>
      <c r="P24" s="53">
        <v>0.91</v>
      </c>
      <c r="Q24" s="75">
        <f t="shared" si="2"/>
        <v>0.89500000000000002</v>
      </c>
      <c r="R24" s="53">
        <v>13.6</v>
      </c>
      <c r="S24" s="53">
        <v>119</v>
      </c>
      <c r="T24" s="16">
        <f t="shared" si="0"/>
        <v>30</v>
      </c>
      <c r="U24" s="53">
        <v>62</v>
      </c>
      <c r="V24" s="16">
        <f t="shared" si="1"/>
        <v>50</v>
      </c>
      <c r="W24" s="53">
        <v>1</v>
      </c>
      <c r="X24" s="53" t="s">
        <v>46</v>
      </c>
      <c r="Y24" s="53" t="s">
        <v>78</v>
      </c>
      <c r="Z24" s="53" t="s">
        <v>102</v>
      </c>
      <c r="AA24" s="53" t="s">
        <v>88</v>
      </c>
      <c r="AB24" s="53" t="s">
        <v>292</v>
      </c>
      <c r="AP24" s="27" t="s">
        <v>138</v>
      </c>
      <c r="AR24" s="23" t="s">
        <v>91</v>
      </c>
      <c r="AV24" s="27" t="s">
        <v>330</v>
      </c>
    </row>
    <row r="25" spans="1:48" x14ac:dyDescent="0.15">
      <c r="A25" s="53" t="s">
        <v>59</v>
      </c>
      <c r="B25" s="53" t="s">
        <v>257</v>
      </c>
      <c r="C25" s="62">
        <v>2019</v>
      </c>
      <c r="D25" s="131" t="s">
        <v>258</v>
      </c>
      <c r="E25" s="53" t="s">
        <v>316</v>
      </c>
      <c r="F25" s="53" t="s">
        <v>304</v>
      </c>
      <c r="G25" s="53" t="s">
        <v>36</v>
      </c>
      <c r="H25" s="53" t="s">
        <v>164</v>
      </c>
      <c r="I25" s="53" t="s">
        <v>159</v>
      </c>
      <c r="J25" s="53" t="s">
        <v>38</v>
      </c>
      <c r="K25" s="53" t="s">
        <v>161</v>
      </c>
      <c r="L25" s="53">
        <v>3</v>
      </c>
      <c r="N25" s="53">
        <v>1</v>
      </c>
      <c r="O25" s="53">
        <v>0.75</v>
      </c>
      <c r="P25" s="53">
        <v>0.72</v>
      </c>
      <c r="Q25" s="75">
        <f t="shared" si="2"/>
        <v>0.73499999999999999</v>
      </c>
      <c r="R25" s="53">
        <v>13.8</v>
      </c>
      <c r="S25" s="53">
        <v>111</v>
      </c>
      <c r="T25" s="16">
        <f t="shared" si="0"/>
        <v>33</v>
      </c>
      <c r="U25" s="53">
        <v>62</v>
      </c>
      <c r="V25" s="16">
        <f t="shared" si="1"/>
        <v>50</v>
      </c>
      <c r="W25" s="53">
        <v>1</v>
      </c>
      <c r="X25" s="53" t="s">
        <v>46</v>
      </c>
      <c r="Y25" s="53" t="s">
        <v>78</v>
      </c>
      <c r="Z25" s="53" t="s">
        <v>102</v>
      </c>
      <c r="AA25" s="53" t="s">
        <v>88</v>
      </c>
      <c r="AB25" s="53" t="s">
        <v>292</v>
      </c>
      <c r="AP25" s="27" t="s">
        <v>116</v>
      </c>
      <c r="AR25" s="27" t="s">
        <v>92</v>
      </c>
      <c r="AV25" s="27" t="s">
        <v>331</v>
      </c>
    </row>
    <row r="26" spans="1:48" x14ac:dyDescent="0.15">
      <c r="A26" s="53" t="s">
        <v>59</v>
      </c>
      <c r="B26" s="53" t="s">
        <v>257</v>
      </c>
      <c r="C26" s="62">
        <v>2019</v>
      </c>
      <c r="D26" s="131" t="s">
        <v>258</v>
      </c>
      <c r="E26" s="53" t="s">
        <v>314</v>
      </c>
      <c r="F26" s="53" t="s">
        <v>313</v>
      </c>
      <c r="G26" s="53" t="s">
        <v>36</v>
      </c>
      <c r="H26" s="53" t="s">
        <v>160</v>
      </c>
      <c r="I26" s="53" t="s">
        <v>159</v>
      </c>
      <c r="J26" s="53" t="s">
        <v>38</v>
      </c>
      <c r="K26" s="53" t="s">
        <v>161</v>
      </c>
      <c r="L26" s="53">
        <v>1</v>
      </c>
      <c r="N26" s="53">
        <v>4</v>
      </c>
      <c r="O26" s="53">
        <v>0.4</v>
      </c>
      <c r="P26" s="53">
        <v>0.41</v>
      </c>
      <c r="Q26" s="75">
        <f t="shared" si="2"/>
        <v>0.40500000000000003</v>
      </c>
      <c r="R26" s="53">
        <v>15.6</v>
      </c>
      <c r="S26" s="53">
        <v>110</v>
      </c>
      <c r="T26" s="16">
        <f t="shared" si="0"/>
        <v>33</v>
      </c>
      <c r="U26" s="53">
        <v>398</v>
      </c>
      <c r="V26" s="16">
        <f t="shared" si="1"/>
        <v>16</v>
      </c>
      <c r="W26" s="53">
        <v>2</v>
      </c>
      <c r="X26" s="53" t="s">
        <v>39</v>
      </c>
      <c r="Y26" s="53" t="s">
        <v>78</v>
      </c>
      <c r="Z26" s="53" t="s">
        <v>88</v>
      </c>
      <c r="AA26" s="53" t="s">
        <v>97</v>
      </c>
      <c r="AB26" s="53" t="s">
        <v>292</v>
      </c>
      <c r="AP26" s="27" t="s">
        <v>117</v>
      </c>
      <c r="AR26" s="27" t="s">
        <v>332</v>
      </c>
      <c r="AV26" s="27"/>
    </row>
    <row r="27" spans="1:48" x14ac:dyDescent="0.15">
      <c r="A27" s="53" t="s">
        <v>59</v>
      </c>
      <c r="B27" s="53" t="s">
        <v>257</v>
      </c>
      <c r="C27" s="62">
        <v>2019</v>
      </c>
      <c r="D27" s="131" t="s">
        <v>258</v>
      </c>
      <c r="E27" s="53" t="s">
        <v>314</v>
      </c>
      <c r="F27" s="53" t="s">
        <v>313</v>
      </c>
      <c r="G27" s="53" t="s">
        <v>36</v>
      </c>
      <c r="H27" s="53" t="s">
        <v>160</v>
      </c>
      <c r="I27" s="53" t="s">
        <v>159</v>
      </c>
      <c r="J27" s="53" t="s">
        <v>38</v>
      </c>
      <c r="K27" s="53" t="s">
        <v>161</v>
      </c>
      <c r="L27" s="53">
        <v>2</v>
      </c>
      <c r="N27" s="53">
        <v>4</v>
      </c>
      <c r="O27" s="53">
        <v>0.38</v>
      </c>
      <c r="P27" s="53">
        <v>0.42</v>
      </c>
      <c r="Q27" s="75">
        <f t="shared" si="2"/>
        <v>0.4</v>
      </c>
      <c r="R27" s="53">
        <v>15.7</v>
      </c>
      <c r="S27" s="53">
        <v>114</v>
      </c>
      <c r="T27" s="16">
        <f t="shared" si="0"/>
        <v>30</v>
      </c>
      <c r="U27" s="53">
        <v>398</v>
      </c>
      <c r="V27" s="16">
        <f t="shared" si="1"/>
        <v>16</v>
      </c>
      <c r="W27" s="53">
        <v>2</v>
      </c>
      <c r="X27" s="53" t="s">
        <v>39</v>
      </c>
      <c r="Y27" s="53" t="s">
        <v>78</v>
      </c>
      <c r="Z27" s="53" t="s">
        <v>88</v>
      </c>
      <c r="AA27" s="53" t="s">
        <v>97</v>
      </c>
      <c r="AB27" s="53" t="s">
        <v>292</v>
      </c>
      <c r="AP27" s="27" t="s">
        <v>118</v>
      </c>
      <c r="AR27" s="28" t="s">
        <v>153</v>
      </c>
      <c r="AV27" s="27"/>
    </row>
    <row r="28" spans="1:48" x14ac:dyDescent="0.15">
      <c r="A28" s="53" t="s">
        <v>59</v>
      </c>
      <c r="B28" s="53" t="s">
        <v>257</v>
      </c>
      <c r="C28" s="62">
        <v>2019</v>
      </c>
      <c r="D28" s="131" t="s">
        <v>258</v>
      </c>
      <c r="E28" s="53" t="s">
        <v>314</v>
      </c>
      <c r="F28" s="53" t="s">
        <v>313</v>
      </c>
      <c r="G28" s="53" t="s">
        <v>36</v>
      </c>
      <c r="H28" s="53" t="s">
        <v>160</v>
      </c>
      <c r="I28" s="53" t="s">
        <v>159</v>
      </c>
      <c r="J28" s="53" t="s">
        <v>38</v>
      </c>
      <c r="K28" s="53" t="s">
        <v>161</v>
      </c>
      <c r="L28" s="53">
        <v>3</v>
      </c>
      <c r="N28" s="53">
        <v>4</v>
      </c>
      <c r="O28" s="53">
        <v>0.44</v>
      </c>
      <c r="P28" s="53">
        <v>0.42</v>
      </c>
      <c r="Q28" s="75">
        <f t="shared" si="2"/>
        <v>0.43</v>
      </c>
      <c r="R28" s="53">
        <v>16.2</v>
      </c>
      <c r="S28" s="53">
        <v>115</v>
      </c>
      <c r="T28" s="16">
        <f t="shared" si="0"/>
        <v>30</v>
      </c>
      <c r="U28" s="53">
        <v>398</v>
      </c>
      <c r="V28" s="16">
        <f t="shared" si="1"/>
        <v>16</v>
      </c>
      <c r="W28" s="53">
        <v>2</v>
      </c>
      <c r="X28" s="53" t="s">
        <v>39</v>
      </c>
      <c r="Y28" s="53" t="s">
        <v>78</v>
      </c>
      <c r="Z28" s="53" t="s">
        <v>88</v>
      </c>
      <c r="AA28" s="53" t="s">
        <v>97</v>
      </c>
      <c r="AB28" s="53" t="s">
        <v>292</v>
      </c>
      <c r="AV28" s="27"/>
    </row>
    <row r="29" spans="1:48" x14ac:dyDescent="0.15">
      <c r="A29" s="53" t="s">
        <v>59</v>
      </c>
      <c r="B29" s="53" t="s">
        <v>257</v>
      </c>
      <c r="C29" s="62">
        <v>2019</v>
      </c>
      <c r="D29" s="131" t="s">
        <v>258</v>
      </c>
      <c r="E29" s="53" t="s">
        <v>314</v>
      </c>
      <c r="F29" s="53" t="s">
        <v>313</v>
      </c>
      <c r="G29" s="53" t="s">
        <v>36</v>
      </c>
      <c r="H29" s="53" t="s">
        <v>164</v>
      </c>
      <c r="I29" s="53" t="s">
        <v>159</v>
      </c>
      <c r="J29" s="53" t="s">
        <v>38</v>
      </c>
      <c r="K29" s="53" t="s">
        <v>161</v>
      </c>
      <c r="L29" s="53">
        <v>1</v>
      </c>
      <c r="N29" s="53">
        <v>4</v>
      </c>
      <c r="O29" s="53">
        <v>0.31</v>
      </c>
      <c r="P29" s="53">
        <v>0.32</v>
      </c>
      <c r="Q29" s="75">
        <f t="shared" si="2"/>
        <v>0.315</v>
      </c>
      <c r="R29" s="53">
        <v>14.8</v>
      </c>
      <c r="S29" s="53">
        <v>95</v>
      </c>
      <c r="T29" s="16">
        <f t="shared" si="0"/>
        <v>36</v>
      </c>
      <c r="U29" s="53">
        <v>398</v>
      </c>
      <c r="V29" s="16">
        <f t="shared" si="1"/>
        <v>16</v>
      </c>
      <c r="W29" s="53">
        <v>2</v>
      </c>
      <c r="X29" s="53" t="s">
        <v>39</v>
      </c>
      <c r="Y29" s="53" t="s">
        <v>78</v>
      </c>
      <c r="Z29" s="53" t="s">
        <v>88</v>
      </c>
      <c r="AA29" s="53" t="s">
        <v>97</v>
      </c>
      <c r="AB29" s="53" t="s">
        <v>292</v>
      </c>
      <c r="AV29" s="27"/>
    </row>
    <row r="30" spans="1:48" x14ac:dyDescent="0.15">
      <c r="A30" s="53" t="s">
        <v>59</v>
      </c>
      <c r="B30" s="53" t="s">
        <v>257</v>
      </c>
      <c r="C30" s="62">
        <v>2019</v>
      </c>
      <c r="D30" s="131" t="s">
        <v>258</v>
      </c>
      <c r="E30" s="53" t="s">
        <v>314</v>
      </c>
      <c r="F30" s="53" t="s">
        <v>313</v>
      </c>
      <c r="G30" s="53" t="s">
        <v>36</v>
      </c>
      <c r="H30" s="53" t="s">
        <v>164</v>
      </c>
      <c r="I30" s="53" t="s">
        <v>159</v>
      </c>
      <c r="J30" s="53" t="s">
        <v>38</v>
      </c>
      <c r="K30" s="53" t="s">
        <v>161</v>
      </c>
      <c r="L30" s="53">
        <v>2</v>
      </c>
      <c r="N30" s="53">
        <v>4</v>
      </c>
      <c r="O30" s="53">
        <v>0.5</v>
      </c>
      <c r="P30" s="53">
        <v>0.53</v>
      </c>
      <c r="Q30" s="75">
        <f t="shared" si="2"/>
        <v>0.51500000000000001</v>
      </c>
      <c r="R30" s="53">
        <v>13.7</v>
      </c>
      <c r="S30" s="53">
        <v>98</v>
      </c>
      <c r="T30" s="16">
        <f t="shared" si="0"/>
        <v>36</v>
      </c>
      <c r="U30" s="53">
        <v>398</v>
      </c>
      <c r="V30" s="16">
        <f t="shared" si="1"/>
        <v>16</v>
      </c>
      <c r="W30" s="53">
        <v>2</v>
      </c>
      <c r="X30" s="53" t="s">
        <v>39</v>
      </c>
      <c r="Y30" s="53" t="s">
        <v>78</v>
      </c>
      <c r="Z30" s="53" t="s">
        <v>88</v>
      </c>
      <c r="AA30" s="53" t="s">
        <v>97</v>
      </c>
      <c r="AB30" s="53" t="s">
        <v>292</v>
      </c>
      <c r="AV30" s="27"/>
    </row>
    <row r="31" spans="1:48" x14ac:dyDescent="0.15">
      <c r="A31" s="53" t="s">
        <v>59</v>
      </c>
      <c r="B31" s="53" t="s">
        <v>257</v>
      </c>
      <c r="C31" s="62">
        <v>2019</v>
      </c>
      <c r="D31" s="131" t="s">
        <v>258</v>
      </c>
      <c r="E31" s="53" t="s">
        <v>314</v>
      </c>
      <c r="F31" s="53" t="s">
        <v>313</v>
      </c>
      <c r="G31" s="53" t="s">
        <v>36</v>
      </c>
      <c r="H31" s="53" t="s">
        <v>164</v>
      </c>
      <c r="I31" s="53" t="s">
        <v>159</v>
      </c>
      <c r="J31" s="53" t="s">
        <v>38</v>
      </c>
      <c r="K31" s="53" t="s">
        <v>161</v>
      </c>
      <c r="L31" s="53">
        <v>3</v>
      </c>
      <c r="N31" s="53">
        <v>4</v>
      </c>
      <c r="O31" s="53">
        <v>0.51</v>
      </c>
      <c r="P31" s="53">
        <v>0.53</v>
      </c>
      <c r="Q31" s="75">
        <f t="shared" si="2"/>
        <v>0.52</v>
      </c>
      <c r="R31" s="53">
        <v>13.9</v>
      </c>
      <c r="S31" s="53">
        <v>100</v>
      </c>
      <c r="T31" s="16">
        <f t="shared" si="0"/>
        <v>33</v>
      </c>
      <c r="U31" s="53">
        <v>398</v>
      </c>
      <c r="V31" s="16">
        <f t="shared" si="1"/>
        <v>16</v>
      </c>
      <c r="W31" s="53">
        <v>2</v>
      </c>
      <c r="X31" s="53" t="s">
        <v>39</v>
      </c>
      <c r="Y31" s="53" t="s">
        <v>78</v>
      </c>
      <c r="Z31" s="53" t="s">
        <v>88</v>
      </c>
      <c r="AA31" s="53" t="s">
        <v>97</v>
      </c>
      <c r="AB31" s="53" t="s">
        <v>292</v>
      </c>
      <c r="AV31" s="27"/>
    </row>
    <row r="32" spans="1:48" x14ac:dyDescent="0.15">
      <c r="A32" s="53" t="s">
        <v>59</v>
      </c>
      <c r="B32" s="53" t="s">
        <v>257</v>
      </c>
      <c r="C32" s="62">
        <v>2019</v>
      </c>
      <c r="D32" s="131" t="s">
        <v>258</v>
      </c>
      <c r="E32" s="53" t="s">
        <v>162</v>
      </c>
      <c r="F32" s="53" t="s">
        <v>313</v>
      </c>
      <c r="G32" s="53" t="s">
        <v>36</v>
      </c>
      <c r="H32" s="53" t="s">
        <v>164</v>
      </c>
      <c r="I32" s="53" t="s">
        <v>159</v>
      </c>
      <c r="J32" s="53" t="s">
        <v>38</v>
      </c>
      <c r="K32" s="53" t="s">
        <v>161</v>
      </c>
      <c r="L32" s="53">
        <v>1</v>
      </c>
      <c r="N32" s="53">
        <v>1</v>
      </c>
      <c r="O32" s="53">
        <v>0.7</v>
      </c>
      <c r="P32" s="53">
        <v>0.79</v>
      </c>
      <c r="Q32" s="75">
        <f t="shared" si="2"/>
        <v>0.745</v>
      </c>
      <c r="R32" s="53">
        <v>16.100000000000001</v>
      </c>
      <c r="S32" s="53">
        <v>152</v>
      </c>
      <c r="T32" s="16">
        <f t="shared" si="0"/>
        <v>18</v>
      </c>
      <c r="U32" s="53">
        <v>158</v>
      </c>
      <c r="V32" s="16">
        <f t="shared" si="1"/>
        <v>18</v>
      </c>
      <c r="W32" s="53">
        <v>5</v>
      </c>
      <c r="X32" s="53" t="s">
        <v>46</v>
      </c>
      <c r="Y32" s="53" t="s">
        <v>78</v>
      </c>
      <c r="Z32" s="53" t="s">
        <v>69</v>
      </c>
      <c r="AA32" s="53" t="s">
        <v>90</v>
      </c>
      <c r="AB32" s="53" t="s">
        <v>292</v>
      </c>
      <c r="AV32" s="27"/>
    </row>
    <row r="33" spans="1:48" x14ac:dyDescent="0.15">
      <c r="A33" s="53" t="s">
        <v>59</v>
      </c>
      <c r="B33" s="53" t="s">
        <v>257</v>
      </c>
      <c r="C33" s="62">
        <v>2019</v>
      </c>
      <c r="D33" s="131" t="s">
        <v>258</v>
      </c>
      <c r="E33" s="53" t="s">
        <v>162</v>
      </c>
      <c r="F33" s="53" t="s">
        <v>313</v>
      </c>
      <c r="G33" s="53" t="s">
        <v>36</v>
      </c>
      <c r="H33" s="53" t="s">
        <v>164</v>
      </c>
      <c r="I33" s="53" t="s">
        <v>159</v>
      </c>
      <c r="J33" s="53" t="s">
        <v>38</v>
      </c>
      <c r="K33" s="53" t="s">
        <v>161</v>
      </c>
      <c r="L33" s="53">
        <v>2</v>
      </c>
      <c r="N33" s="53">
        <v>1</v>
      </c>
      <c r="O33" s="53">
        <v>0.6</v>
      </c>
      <c r="P33" s="53">
        <v>0.64</v>
      </c>
      <c r="Q33" s="75">
        <f t="shared" si="2"/>
        <v>0.62</v>
      </c>
      <c r="R33" s="53">
        <v>15.5</v>
      </c>
      <c r="S33" s="53">
        <v>151</v>
      </c>
      <c r="T33" s="16">
        <f t="shared" si="0"/>
        <v>22</v>
      </c>
      <c r="U33" s="53">
        <v>158</v>
      </c>
      <c r="V33" s="16">
        <f t="shared" si="1"/>
        <v>18</v>
      </c>
      <c r="W33" s="53">
        <v>5</v>
      </c>
      <c r="X33" s="53" t="s">
        <v>46</v>
      </c>
      <c r="Y33" s="53" t="s">
        <v>78</v>
      </c>
      <c r="Z33" s="53" t="s">
        <v>69</v>
      </c>
      <c r="AA33" s="53" t="s">
        <v>90</v>
      </c>
      <c r="AB33" s="53" t="s">
        <v>292</v>
      </c>
      <c r="AV33" s="27"/>
    </row>
    <row r="34" spans="1:48" x14ac:dyDescent="0.15">
      <c r="A34" s="53" t="s">
        <v>59</v>
      </c>
      <c r="B34" s="53" t="s">
        <v>257</v>
      </c>
      <c r="C34" s="62">
        <v>2019</v>
      </c>
      <c r="D34" s="131" t="s">
        <v>258</v>
      </c>
      <c r="E34" s="53" t="s">
        <v>162</v>
      </c>
      <c r="F34" s="53" t="s">
        <v>313</v>
      </c>
      <c r="G34" s="53" t="s">
        <v>36</v>
      </c>
      <c r="H34" s="53" t="s">
        <v>164</v>
      </c>
      <c r="I34" s="53" t="s">
        <v>159</v>
      </c>
      <c r="J34" s="53" t="s">
        <v>38</v>
      </c>
      <c r="K34" s="53" t="s">
        <v>161</v>
      </c>
      <c r="L34" s="53">
        <v>3</v>
      </c>
      <c r="N34" s="53">
        <v>1</v>
      </c>
      <c r="O34" s="53">
        <v>0.66</v>
      </c>
      <c r="P34" s="53">
        <v>0.63</v>
      </c>
      <c r="Q34" s="75">
        <f t="shared" si="2"/>
        <v>0.64500000000000002</v>
      </c>
      <c r="R34" s="53">
        <v>16.3</v>
      </c>
      <c r="S34" s="53">
        <v>150</v>
      </c>
      <c r="T34" s="16">
        <f t="shared" si="0"/>
        <v>22</v>
      </c>
      <c r="U34" s="53">
        <v>158</v>
      </c>
      <c r="V34" s="16">
        <f t="shared" si="1"/>
        <v>18</v>
      </c>
      <c r="W34" s="53">
        <v>5</v>
      </c>
      <c r="X34" s="53" t="s">
        <v>46</v>
      </c>
      <c r="Y34" s="53" t="s">
        <v>78</v>
      </c>
      <c r="Z34" s="53" t="s">
        <v>69</v>
      </c>
      <c r="AA34" s="53" t="s">
        <v>90</v>
      </c>
      <c r="AB34" s="53" t="s">
        <v>292</v>
      </c>
      <c r="AV34" s="27"/>
    </row>
    <row r="35" spans="1:48" x14ac:dyDescent="0.15">
      <c r="A35" s="53" t="s">
        <v>59</v>
      </c>
      <c r="B35" s="53" t="s">
        <v>257</v>
      </c>
      <c r="C35" s="62">
        <v>2019</v>
      </c>
      <c r="D35" s="131" t="s">
        <v>258</v>
      </c>
      <c r="E35" s="53" t="s">
        <v>310</v>
      </c>
      <c r="F35" s="53" t="s">
        <v>311</v>
      </c>
      <c r="G35" s="53" t="s">
        <v>36</v>
      </c>
      <c r="H35" s="53" t="s">
        <v>160</v>
      </c>
      <c r="I35" s="53" t="s">
        <v>159</v>
      </c>
      <c r="J35" s="53" t="s">
        <v>38</v>
      </c>
      <c r="K35" s="53" t="s">
        <v>161</v>
      </c>
      <c r="L35" s="53">
        <v>1</v>
      </c>
      <c r="N35" s="53">
        <v>3</v>
      </c>
      <c r="O35" s="53">
        <v>0.49</v>
      </c>
      <c r="P35" s="53">
        <v>0.46</v>
      </c>
      <c r="Q35" s="75">
        <f t="shared" si="2"/>
        <v>0.47499999999999998</v>
      </c>
      <c r="R35" s="53">
        <v>17.7</v>
      </c>
      <c r="S35" s="53">
        <v>136</v>
      </c>
      <c r="T35" s="16">
        <f t="shared" si="0"/>
        <v>25</v>
      </c>
      <c r="U35" s="53">
        <v>399</v>
      </c>
      <c r="V35" s="16">
        <f t="shared" si="1"/>
        <v>16</v>
      </c>
      <c r="W35" s="53">
        <v>5</v>
      </c>
      <c r="X35" s="53" t="s">
        <v>39</v>
      </c>
      <c r="Y35" s="53" t="s">
        <v>97</v>
      </c>
      <c r="Z35" s="53" t="s">
        <v>78</v>
      </c>
      <c r="AA35" s="53" t="s">
        <v>69</v>
      </c>
      <c r="AB35" s="53" t="s">
        <v>292</v>
      </c>
      <c r="AV35" s="27"/>
    </row>
    <row r="36" spans="1:48" x14ac:dyDescent="0.15">
      <c r="A36" s="53" t="s">
        <v>59</v>
      </c>
      <c r="B36" s="53" t="s">
        <v>257</v>
      </c>
      <c r="C36" s="62">
        <v>2019</v>
      </c>
      <c r="D36" s="131" t="s">
        <v>258</v>
      </c>
      <c r="E36" s="53" t="s">
        <v>310</v>
      </c>
      <c r="F36" s="53" t="s">
        <v>311</v>
      </c>
      <c r="G36" s="53" t="s">
        <v>36</v>
      </c>
      <c r="H36" s="53" t="s">
        <v>160</v>
      </c>
      <c r="I36" s="53" t="s">
        <v>159</v>
      </c>
      <c r="J36" s="53" t="s">
        <v>38</v>
      </c>
      <c r="K36" s="53" t="s">
        <v>161</v>
      </c>
      <c r="L36" s="53">
        <v>2</v>
      </c>
      <c r="N36" s="53">
        <v>3</v>
      </c>
      <c r="O36" s="53">
        <v>0.38</v>
      </c>
      <c r="P36" s="53">
        <v>0.43</v>
      </c>
      <c r="Q36" s="75">
        <f t="shared" si="2"/>
        <v>0.40500000000000003</v>
      </c>
      <c r="R36" s="53">
        <v>17.399999999999999</v>
      </c>
      <c r="S36" s="53">
        <v>132</v>
      </c>
      <c r="T36" s="16">
        <f t="shared" si="0"/>
        <v>25</v>
      </c>
      <c r="U36" s="53">
        <v>399</v>
      </c>
      <c r="V36" s="16">
        <f t="shared" si="1"/>
        <v>16</v>
      </c>
      <c r="W36" s="53">
        <v>5</v>
      </c>
      <c r="X36" s="53" t="s">
        <v>39</v>
      </c>
      <c r="Y36" s="53" t="s">
        <v>97</v>
      </c>
      <c r="Z36" s="53" t="s">
        <v>78</v>
      </c>
      <c r="AA36" s="53" t="s">
        <v>69</v>
      </c>
      <c r="AB36" s="53" t="s">
        <v>292</v>
      </c>
      <c r="AV36" s="27"/>
    </row>
    <row r="37" spans="1:48" x14ac:dyDescent="0.15">
      <c r="A37" s="53" t="s">
        <v>59</v>
      </c>
      <c r="B37" s="53" t="s">
        <v>257</v>
      </c>
      <c r="C37" s="62">
        <v>2019</v>
      </c>
      <c r="D37" s="131" t="s">
        <v>258</v>
      </c>
      <c r="E37" s="53" t="s">
        <v>310</v>
      </c>
      <c r="F37" s="53" t="s">
        <v>311</v>
      </c>
      <c r="G37" s="53" t="s">
        <v>36</v>
      </c>
      <c r="H37" s="53" t="s">
        <v>160</v>
      </c>
      <c r="I37" s="53" t="s">
        <v>159</v>
      </c>
      <c r="J37" s="53" t="s">
        <v>38</v>
      </c>
      <c r="K37" s="53" t="s">
        <v>161</v>
      </c>
      <c r="L37" s="53">
        <v>3</v>
      </c>
      <c r="N37" s="53">
        <v>3</v>
      </c>
      <c r="O37" s="53">
        <v>0.48</v>
      </c>
      <c r="P37" s="53">
        <v>0.45</v>
      </c>
      <c r="Q37" s="75">
        <f t="shared" si="2"/>
        <v>0.46499999999999997</v>
      </c>
      <c r="R37" s="53">
        <v>17.2</v>
      </c>
      <c r="S37" s="53">
        <v>134</v>
      </c>
      <c r="T37" s="16">
        <f t="shared" si="0"/>
        <v>25</v>
      </c>
      <c r="U37" s="53">
        <v>399</v>
      </c>
      <c r="V37" s="16">
        <f t="shared" si="1"/>
        <v>16</v>
      </c>
      <c r="W37" s="53">
        <v>5</v>
      </c>
      <c r="X37" s="53" t="s">
        <v>39</v>
      </c>
      <c r="Y37" s="53" t="s">
        <v>97</v>
      </c>
      <c r="Z37" s="53" t="s">
        <v>78</v>
      </c>
      <c r="AA37" s="53" t="s">
        <v>69</v>
      </c>
      <c r="AB37" s="53" t="s">
        <v>292</v>
      </c>
      <c r="AV37" s="27"/>
    </row>
    <row r="38" spans="1:48" x14ac:dyDescent="0.15">
      <c r="A38" s="53" t="s">
        <v>59</v>
      </c>
      <c r="B38" s="53" t="s">
        <v>257</v>
      </c>
      <c r="C38" s="62">
        <v>2019</v>
      </c>
      <c r="D38" s="131" t="s">
        <v>258</v>
      </c>
      <c r="E38" s="53" t="s">
        <v>310</v>
      </c>
      <c r="F38" s="53" t="s">
        <v>311</v>
      </c>
      <c r="G38" s="53" t="s">
        <v>36</v>
      </c>
      <c r="H38" s="53" t="s">
        <v>164</v>
      </c>
      <c r="I38" s="53" t="s">
        <v>159</v>
      </c>
      <c r="J38" s="53" t="s">
        <v>38</v>
      </c>
      <c r="K38" s="53" t="s">
        <v>161</v>
      </c>
      <c r="L38" s="53">
        <v>1</v>
      </c>
      <c r="N38" s="53">
        <v>3</v>
      </c>
      <c r="O38" s="53">
        <v>0.51</v>
      </c>
      <c r="P38" s="53">
        <v>0.56000000000000005</v>
      </c>
      <c r="Q38" s="75">
        <f t="shared" si="2"/>
        <v>0.53500000000000003</v>
      </c>
      <c r="R38" s="53">
        <v>14.6</v>
      </c>
      <c r="S38" s="53">
        <v>132</v>
      </c>
      <c r="T38" s="16">
        <f t="shared" si="0"/>
        <v>25</v>
      </c>
      <c r="U38" s="53">
        <v>350</v>
      </c>
      <c r="V38" s="16">
        <f t="shared" si="1"/>
        <v>16</v>
      </c>
      <c r="W38" s="53">
        <v>7</v>
      </c>
      <c r="X38" s="53" t="s">
        <v>39</v>
      </c>
      <c r="Y38" s="53" t="s">
        <v>97</v>
      </c>
      <c r="Z38" s="53" t="s">
        <v>78</v>
      </c>
      <c r="AA38" s="53" t="s">
        <v>69</v>
      </c>
      <c r="AB38" s="53" t="s">
        <v>292</v>
      </c>
      <c r="AV38" s="27"/>
    </row>
    <row r="39" spans="1:48" x14ac:dyDescent="0.15">
      <c r="A39" s="53" t="s">
        <v>59</v>
      </c>
      <c r="B39" s="53" t="s">
        <v>257</v>
      </c>
      <c r="C39" s="62">
        <v>2019</v>
      </c>
      <c r="D39" s="131" t="s">
        <v>258</v>
      </c>
      <c r="E39" s="53" t="s">
        <v>310</v>
      </c>
      <c r="F39" s="53" t="s">
        <v>311</v>
      </c>
      <c r="G39" s="53" t="s">
        <v>36</v>
      </c>
      <c r="H39" s="53" t="s">
        <v>164</v>
      </c>
      <c r="I39" s="53" t="s">
        <v>159</v>
      </c>
      <c r="J39" s="53" t="s">
        <v>38</v>
      </c>
      <c r="K39" s="53" t="s">
        <v>161</v>
      </c>
      <c r="L39" s="53">
        <v>2</v>
      </c>
      <c r="N39" s="53">
        <v>3</v>
      </c>
      <c r="O39" s="53">
        <v>0.49</v>
      </c>
      <c r="P39" s="53">
        <v>0.57999999999999996</v>
      </c>
      <c r="Q39" s="75">
        <f t="shared" si="2"/>
        <v>0.53499999999999992</v>
      </c>
      <c r="R39" s="53">
        <v>14.9</v>
      </c>
      <c r="S39" s="53">
        <v>131</v>
      </c>
      <c r="T39" s="16">
        <f t="shared" si="0"/>
        <v>25</v>
      </c>
      <c r="U39" s="53">
        <v>350</v>
      </c>
      <c r="V39" s="16">
        <f t="shared" si="1"/>
        <v>16</v>
      </c>
      <c r="W39" s="53">
        <v>7</v>
      </c>
      <c r="X39" s="53" t="s">
        <v>39</v>
      </c>
      <c r="Y39" s="53" t="s">
        <v>97</v>
      </c>
      <c r="Z39" s="53" t="s">
        <v>78</v>
      </c>
      <c r="AA39" s="53" t="s">
        <v>69</v>
      </c>
      <c r="AB39" s="53" t="s">
        <v>292</v>
      </c>
      <c r="AV39" s="27"/>
    </row>
    <row r="40" spans="1:48" x14ac:dyDescent="0.15">
      <c r="A40" s="53" t="s">
        <v>59</v>
      </c>
      <c r="B40" s="53" t="s">
        <v>257</v>
      </c>
      <c r="C40" s="62">
        <v>2019</v>
      </c>
      <c r="D40" s="131" t="s">
        <v>258</v>
      </c>
      <c r="E40" s="53" t="s">
        <v>310</v>
      </c>
      <c r="F40" s="53" t="s">
        <v>311</v>
      </c>
      <c r="G40" s="53" t="s">
        <v>36</v>
      </c>
      <c r="H40" s="53" t="s">
        <v>164</v>
      </c>
      <c r="I40" s="53" t="s">
        <v>159</v>
      </c>
      <c r="J40" s="53" t="s">
        <v>38</v>
      </c>
      <c r="K40" s="53" t="s">
        <v>161</v>
      </c>
      <c r="L40" s="53">
        <v>3</v>
      </c>
      <c r="N40" s="53">
        <v>3</v>
      </c>
      <c r="O40" s="53">
        <v>0.53</v>
      </c>
      <c r="P40" s="53">
        <v>0.55000000000000004</v>
      </c>
      <c r="Q40" s="75">
        <f t="shared" si="2"/>
        <v>0.54</v>
      </c>
      <c r="R40" s="53">
        <v>15.1</v>
      </c>
      <c r="S40" s="53">
        <v>134</v>
      </c>
      <c r="T40" s="16">
        <f t="shared" si="0"/>
        <v>25</v>
      </c>
      <c r="U40" s="53">
        <v>350</v>
      </c>
      <c r="V40" s="16">
        <f t="shared" si="1"/>
        <v>16</v>
      </c>
      <c r="W40" s="53">
        <v>7</v>
      </c>
      <c r="X40" s="53" t="s">
        <v>39</v>
      </c>
      <c r="Y40" s="53" t="s">
        <v>97</v>
      </c>
      <c r="Z40" s="53" t="s">
        <v>78</v>
      </c>
      <c r="AA40" s="53" t="s">
        <v>69</v>
      </c>
      <c r="AB40" s="53" t="s">
        <v>292</v>
      </c>
      <c r="AV40" s="27"/>
    </row>
    <row r="41" spans="1:48" x14ac:dyDescent="0.15">
      <c r="A41" s="53" t="s">
        <v>59</v>
      </c>
      <c r="B41" s="53" t="s">
        <v>257</v>
      </c>
      <c r="C41" s="62">
        <v>2019</v>
      </c>
      <c r="D41" s="131" t="s">
        <v>258</v>
      </c>
      <c r="E41" s="53" t="s">
        <v>299</v>
      </c>
      <c r="F41" s="53" t="s">
        <v>300</v>
      </c>
      <c r="G41" s="53" t="s">
        <v>36</v>
      </c>
      <c r="H41" s="53" t="s">
        <v>160</v>
      </c>
      <c r="I41" s="53" t="s">
        <v>159</v>
      </c>
      <c r="J41" s="53" t="s">
        <v>38</v>
      </c>
      <c r="K41" s="53" t="s">
        <v>161</v>
      </c>
      <c r="L41" s="53">
        <v>1</v>
      </c>
      <c r="N41" s="53">
        <v>4</v>
      </c>
      <c r="O41" s="53">
        <v>0.39</v>
      </c>
      <c r="P41" s="53">
        <v>0.4</v>
      </c>
      <c r="Q41" s="75">
        <f t="shared" si="2"/>
        <v>0.39500000000000002</v>
      </c>
      <c r="R41" s="53">
        <v>16.100000000000001</v>
      </c>
      <c r="S41" s="53">
        <v>110</v>
      </c>
      <c r="T41" s="16">
        <f t="shared" si="0"/>
        <v>33</v>
      </c>
      <c r="U41" s="53">
        <v>486</v>
      </c>
      <c r="V41" s="16">
        <f t="shared" si="1"/>
        <v>16</v>
      </c>
      <c r="W41" s="53">
        <v>1</v>
      </c>
      <c r="X41" s="53" t="s">
        <v>39</v>
      </c>
      <c r="Y41" s="53" t="s">
        <v>78</v>
      </c>
      <c r="Z41" s="53" t="s">
        <v>69</v>
      </c>
      <c r="AA41" s="53" t="s">
        <v>102</v>
      </c>
      <c r="AB41" s="53" t="s">
        <v>292</v>
      </c>
      <c r="AV41" s="27"/>
    </row>
    <row r="42" spans="1:48" x14ac:dyDescent="0.15">
      <c r="A42" s="53" t="s">
        <v>59</v>
      </c>
      <c r="B42" s="53" t="s">
        <v>257</v>
      </c>
      <c r="C42" s="62">
        <v>2019</v>
      </c>
      <c r="D42" s="131" t="s">
        <v>258</v>
      </c>
      <c r="E42" s="53" t="s">
        <v>299</v>
      </c>
      <c r="F42" s="53" t="s">
        <v>300</v>
      </c>
      <c r="G42" s="53" t="s">
        <v>36</v>
      </c>
      <c r="H42" s="53" t="s">
        <v>160</v>
      </c>
      <c r="I42" s="53" t="s">
        <v>159</v>
      </c>
      <c r="J42" s="53" t="s">
        <v>38</v>
      </c>
      <c r="K42" s="53" t="s">
        <v>161</v>
      </c>
      <c r="L42" s="53">
        <v>2</v>
      </c>
      <c r="N42" s="53">
        <v>4</v>
      </c>
      <c r="O42" s="53">
        <v>0.38</v>
      </c>
      <c r="P42" s="53">
        <v>0.36</v>
      </c>
      <c r="Q42" s="75">
        <f t="shared" si="2"/>
        <v>0.37</v>
      </c>
      <c r="R42" s="53">
        <v>17.3</v>
      </c>
      <c r="S42" s="53">
        <v>116</v>
      </c>
      <c r="T42" s="16">
        <f t="shared" si="0"/>
        <v>30</v>
      </c>
      <c r="U42" s="53">
        <v>486</v>
      </c>
      <c r="V42" s="16">
        <f t="shared" si="1"/>
        <v>16</v>
      </c>
      <c r="W42" s="53">
        <v>1</v>
      </c>
      <c r="X42" s="53" t="s">
        <v>39</v>
      </c>
      <c r="Y42" s="53" t="s">
        <v>78</v>
      </c>
      <c r="Z42" s="53" t="s">
        <v>69</v>
      </c>
      <c r="AA42" s="53" t="s">
        <v>102</v>
      </c>
      <c r="AB42" s="53" t="s">
        <v>292</v>
      </c>
      <c r="AV42" s="27"/>
    </row>
    <row r="43" spans="1:48" x14ac:dyDescent="0.15">
      <c r="A43" s="53" t="s">
        <v>59</v>
      </c>
      <c r="B43" s="53" t="s">
        <v>257</v>
      </c>
      <c r="C43" s="62">
        <v>2019</v>
      </c>
      <c r="D43" s="131" t="s">
        <v>258</v>
      </c>
      <c r="E43" s="53" t="s">
        <v>299</v>
      </c>
      <c r="F43" s="53" t="s">
        <v>300</v>
      </c>
      <c r="G43" s="53" t="s">
        <v>36</v>
      </c>
      <c r="H43" s="53" t="s">
        <v>160</v>
      </c>
      <c r="I43" s="53" t="s">
        <v>159</v>
      </c>
      <c r="J43" s="53" t="s">
        <v>38</v>
      </c>
      <c r="K43" s="53" t="s">
        <v>161</v>
      </c>
      <c r="L43" s="53">
        <v>3</v>
      </c>
      <c r="N43" s="53">
        <v>4</v>
      </c>
      <c r="O43" s="53">
        <v>0.42</v>
      </c>
      <c r="P43" s="53">
        <v>0.39</v>
      </c>
      <c r="Q43" s="75">
        <f t="shared" si="2"/>
        <v>0.40500000000000003</v>
      </c>
      <c r="R43" s="53">
        <v>17</v>
      </c>
      <c r="S43" s="53">
        <v>112</v>
      </c>
      <c r="T43" s="16">
        <f t="shared" si="0"/>
        <v>33</v>
      </c>
      <c r="U43" s="53">
        <v>486</v>
      </c>
      <c r="V43" s="16">
        <f t="shared" si="1"/>
        <v>16</v>
      </c>
      <c r="W43" s="53">
        <v>1</v>
      </c>
      <c r="X43" s="53" t="s">
        <v>39</v>
      </c>
      <c r="Y43" s="53" t="s">
        <v>78</v>
      </c>
      <c r="Z43" s="53" t="s">
        <v>69</v>
      </c>
      <c r="AA43" s="53" t="s">
        <v>102</v>
      </c>
      <c r="AB43" s="53" t="s">
        <v>292</v>
      </c>
      <c r="AV43" s="27"/>
    </row>
    <row r="44" spans="1:48" x14ac:dyDescent="0.15">
      <c r="A44" s="53" t="s">
        <v>59</v>
      </c>
      <c r="B44" s="53" t="s">
        <v>257</v>
      </c>
      <c r="C44" s="62">
        <v>2019</v>
      </c>
      <c r="D44" s="131" t="s">
        <v>258</v>
      </c>
      <c r="E44" s="53" t="s">
        <v>299</v>
      </c>
      <c r="F44" s="53" t="s">
        <v>300</v>
      </c>
      <c r="G44" s="53" t="s">
        <v>36</v>
      </c>
      <c r="H44" s="53" t="s">
        <v>164</v>
      </c>
      <c r="I44" s="53" t="s">
        <v>159</v>
      </c>
      <c r="J44" s="53" t="s">
        <v>38</v>
      </c>
      <c r="K44" s="53" t="s">
        <v>161</v>
      </c>
      <c r="L44" s="53">
        <v>1</v>
      </c>
      <c r="N44" s="53">
        <v>5</v>
      </c>
      <c r="O44" s="53">
        <v>0.34</v>
      </c>
      <c r="P44" s="53">
        <v>0.37</v>
      </c>
      <c r="Q44" s="75">
        <f t="shared" si="2"/>
        <v>0.35499999999999998</v>
      </c>
      <c r="R44" s="53">
        <v>13.8</v>
      </c>
      <c r="S44" s="53">
        <v>95</v>
      </c>
      <c r="T44" s="16">
        <f t="shared" si="0"/>
        <v>36</v>
      </c>
      <c r="U44" s="53">
        <v>378</v>
      </c>
      <c r="V44" s="16">
        <f t="shared" si="1"/>
        <v>16</v>
      </c>
      <c r="W44" s="53">
        <v>1</v>
      </c>
      <c r="X44" s="53" t="s">
        <v>39</v>
      </c>
      <c r="Y44" s="53" t="s">
        <v>78</v>
      </c>
      <c r="Z44" s="53" t="s">
        <v>69</v>
      </c>
      <c r="AA44" s="53" t="s">
        <v>102</v>
      </c>
      <c r="AB44" s="53" t="s">
        <v>292</v>
      </c>
      <c r="AV44" s="27"/>
    </row>
    <row r="45" spans="1:48" x14ac:dyDescent="0.15">
      <c r="A45" s="53" t="s">
        <v>59</v>
      </c>
      <c r="B45" s="53" t="s">
        <v>257</v>
      </c>
      <c r="C45" s="62">
        <v>2019</v>
      </c>
      <c r="D45" s="131" t="s">
        <v>258</v>
      </c>
      <c r="E45" s="53" t="s">
        <v>299</v>
      </c>
      <c r="F45" s="53" t="s">
        <v>300</v>
      </c>
      <c r="G45" s="53" t="s">
        <v>36</v>
      </c>
      <c r="H45" s="53" t="s">
        <v>164</v>
      </c>
      <c r="I45" s="53" t="s">
        <v>159</v>
      </c>
      <c r="J45" s="53" t="s">
        <v>38</v>
      </c>
      <c r="K45" s="53" t="s">
        <v>161</v>
      </c>
      <c r="L45" s="53">
        <v>2</v>
      </c>
      <c r="N45" s="53">
        <v>5</v>
      </c>
      <c r="O45" s="53">
        <v>0.67</v>
      </c>
      <c r="P45" s="53">
        <v>0.6</v>
      </c>
      <c r="Q45" s="75">
        <f t="shared" si="2"/>
        <v>0.63500000000000001</v>
      </c>
      <c r="R45" s="53">
        <v>15.5</v>
      </c>
      <c r="S45" s="53">
        <v>92</v>
      </c>
      <c r="T45" s="16">
        <f t="shared" si="0"/>
        <v>36</v>
      </c>
      <c r="U45" s="53">
        <v>378</v>
      </c>
      <c r="V45" s="16">
        <f t="shared" si="1"/>
        <v>16</v>
      </c>
      <c r="W45" s="53">
        <v>1</v>
      </c>
      <c r="X45" s="53" t="s">
        <v>39</v>
      </c>
      <c r="Y45" s="53" t="s">
        <v>78</v>
      </c>
      <c r="Z45" s="53" t="s">
        <v>69</v>
      </c>
      <c r="AA45" s="53" t="s">
        <v>102</v>
      </c>
      <c r="AB45" s="53" t="s">
        <v>292</v>
      </c>
      <c r="AV45" s="27"/>
    </row>
    <row r="46" spans="1:48" x14ac:dyDescent="0.15">
      <c r="A46" s="53" t="s">
        <v>59</v>
      </c>
      <c r="B46" s="53" t="s">
        <v>257</v>
      </c>
      <c r="C46" s="62">
        <v>2019</v>
      </c>
      <c r="D46" s="131" t="s">
        <v>258</v>
      </c>
      <c r="E46" s="53" t="s">
        <v>299</v>
      </c>
      <c r="F46" s="53" t="s">
        <v>300</v>
      </c>
      <c r="G46" s="53" t="s">
        <v>36</v>
      </c>
      <c r="H46" s="53" t="s">
        <v>164</v>
      </c>
      <c r="I46" s="53" t="s">
        <v>159</v>
      </c>
      <c r="J46" s="53" t="s">
        <v>38</v>
      </c>
      <c r="K46" s="53" t="s">
        <v>161</v>
      </c>
      <c r="L46" s="53">
        <v>3</v>
      </c>
      <c r="N46" s="53">
        <v>5</v>
      </c>
      <c r="O46" s="53">
        <v>0.39</v>
      </c>
      <c r="P46" s="53">
        <v>0.42</v>
      </c>
      <c r="Q46" s="75">
        <f t="shared" si="2"/>
        <v>0.40500000000000003</v>
      </c>
      <c r="R46" s="53">
        <v>15.2</v>
      </c>
      <c r="S46" s="53">
        <v>94</v>
      </c>
      <c r="T46" s="16">
        <f t="shared" si="0"/>
        <v>36</v>
      </c>
      <c r="U46" s="53">
        <v>378</v>
      </c>
      <c r="V46" s="16">
        <f t="shared" si="1"/>
        <v>16</v>
      </c>
      <c r="W46" s="53">
        <v>1</v>
      </c>
      <c r="X46" s="53" t="s">
        <v>39</v>
      </c>
      <c r="Y46" s="53" t="s">
        <v>78</v>
      </c>
      <c r="Z46" s="53" t="s">
        <v>69</v>
      </c>
      <c r="AA46" s="53" t="s">
        <v>102</v>
      </c>
      <c r="AB46" s="53" t="s">
        <v>292</v>
      </c>
      <c r="AV46" s="27"/>
    </row>
    <row r="47" spans="1:48" x14ac:dyDescent="0.15">
      <c r="A47" s="53" t="s">
        <v>59</v>
      </c>
      <c r="B47" s="53" t="s">
        <v>257</v>
      </c>
      <c r="C47" s="62">
        <v>2019</v>
      </c>
      <c r="D47" s="131" t="s">
        <v>258</v>
      </c>
      <c r="E47" s="53" t="s">
        <v>317</v>
      </c>
      <c r="F47" s="53" t="s">
        <v>318</v>
      </c>
      <c r="G47" s="53" t="s">
        <v>36</v>
      </c>
      <c r="H47" s="53" t="s">
        <v>160</v>
      </c>
      <c r="I47" s="53" t="s">
        <v>159</v>
      </c>
      <c r="J47" s="53" t="s">
        <v>38</v>
      </c>
      <c r="K47" s="53" t="s">
        <v>161</v>
      </c>
      <c r="L47" s="53">
        <v>1</v>
      </c>
      <c r="N47" s="53">
        <v>4</v>
      </c>
      <c r="O47" s="53">
        <v>0.37</v>
      </c>
      <c r="P47" s="53">
        <v>0.4</v>
      </c>
      <c r="Q47" s="75">
        <f t="shared" si="2"/>
        <v>0.38500000000000001</v>
      </c>
      <c r="R47" s="53">
        <v>17.5</v>
      </c>
      <c r="S47" s="53">
        <v>135</v>
      </c>
      <c r="T47" s="16">
        <f t="shared" si="0"/>
        <v>25</v>
      </c>
      <c r="U47" s="53">
        <v>458</v>
      </c>
      <c r="V47" s="16">
        <f t="shared" si="1"/>
        <v>16</v>
      </c>
      <c r="W47" s="53">
        <v>5</v>
      </c>
      <c r="X47" s="53" t="s">
        <v>46</v>
      </c>
      <c r="Y47" s="53" t="s">
        <v>78</v>
      </c>
      <c r="Z47" s="53" t="s">
        <v>88</v>
      </c>
      <c r="AA47" s="53" t="s">
        <v>55</v>
      </c>
      <c r="AB47" s="53" t="s">
        <v>292</v>
      </c>
      <c r="AV47" s="27"/>
    </row>
    <row r="48" spans="1:48" x14ac:dyDescent="0.15">
      <c r="A48" s="53" t="s">
        <v>59</v>
      </c>
      <c r="B48" s="53" t="s">
        <v>257</v>
      </c>
      <c r="C48" s="62">
        <v>2019</v>
      </c>
      <c r="D48" s="131" t="s">
        <v>258</v>
      </c>
      <c r="E48" s="53" t="s">
        <v>317</v>
      </c>
      <c r="F48" s="53" t="s">
        <v>318</v>
      </c>
      <c r="G48" s="53" t="s">
        <v>36</v>
      </c>
      <c r="H48" s="53" t="s">
        <v>160</v>
      </c>
      <c r="I48" s="53" t="s">
        <v>159</v>
      </c>
      <c r="J48" s="53" t="s">
        <v>38</v>
      </c>
      <c r="K48" s="53" t="s">
        <v>161</v>
      </c>
      <c r="L48" s="53">
        <v>2</v>
      </c>
      <c r="N48" s="53">
        <v>4</v>
      </c>
      <c r="O48" s="53">
        <v>0.37</v>
      </c>
      <c r="P48" s="53">
        <v>0.41</v>
      </c>
      <c r="Q48" s="75">
        <f t="shared" si="2"/>
        <v>0.39</v>
      </c>
      <c r="R48" s="53">
        <v>16.3</v>
      </c>
      <c r="S48" s="53">
        <v>131</v>
      </c>
      <c r="T48" s="16">
        <f t="shared" si="0"/>
        <v>25</v>
      </c>
      <c r="U48" s="53">
        <v>458</v>
      </c>
      <c r="V48" s="16">
        <f t="shared" si="1"/>
        <v>16</v>
      </c>
      <c r="W48" s="53">
        <v>5</v>
      </c>
      <c r="X48" s="53" t="s">
        <v>46</v>
      </c>
      <c r="Y48" s="53" t="s">
        <v>78</v>
      </c>
      <c r="Z48" s="53" t="s">
        <v>88</v>
      </c>
      <c r="AA48" s="53" t="s">
        <v>55</v>
      </c>
      <c r="AB48" s="53" t="s">
        <v>292</v>
      </c>
      <c r="AV48" s="27"/>
    </row>
    <row r="49" spans="1:48" x14ac:dyDescent="0.15">
      <c r="A49" s="53" t="s">
        <v>59</v>
      </c>
      <c r="B49" s="53" t="s">
        <v>257</v>
      </c>
      <c r="C49" s="62">
        <v>2019</v>
      </c>
      <c r="D49" s="131" t="s">
        <v>258</v>
      </c>
      <c r="E49" s="53" t="s">
        <v>317</v>
      </c>
      <c r="F49" s="53" t="s">
        <v>318</v>
      </c>
      <c r="G49" s="53" t="s">
        <v>36</v>
      </c>
      <c r="H49" s="53" t="s">
        <v>160</v>
      </c>
      <c r="I49" s="53" t="s">
        <v>159</v>
      </c>
      <c r="J49" s="53" t="s">
        <v>38</v>
      </c>
      <c r="K49" s="53" t="s">
        <v>161</v>
      </c>
      <c r="L49" s="53">
        <v>3</v>
      </c>
      <c r="N49" s="53">
        <v>4</v>
      </c>
      <c r="O49" s="53">
        <v>0.38</v>
      </c>
      <c r="P49" s="53">
        <v>0.44</v>
      </c>
      <c r="Q49" s="75">
        <f t="shared" si="2"/>
        <v>0.41000000000000003</v>
      </c>
      <c r="R49" s="53">
        <v>16.8</v>
      </c>
      <c r="S49" s="53">
        <v>136</v>
      </c>
      <c r="T49" s="16">
        <f t="shared" si="0"/>
        <v>25</v>
      </c>
      <c r="U49" s="53">
        <v>458</v>
      </c>
      <c r="V49" s="16">
        <f t="shared" si="1"/>
        <v>16</v>
      </c>
      <c r="W49" s="53">
        <v>5</v>
      </c>
      <c r="X49" s="53" t="s">
        <v>46</v>
      </c>
      <c r="Y49" s="53" t="s">
        <v>78</v>
      </c>
      <c r="Z49" s="53" t="s">
        <v>88</v>
      </c>
      <c r="AA49" s="53" t="s">
        <v>55</v>
      </c>
      <c r="AB49" s="53" t="s">
        <v>292</v>
      </c>
      <c r="AV49" s="27"/>
    </row>
    <row r="50" spans="1:48" x14ac:dyDescent="0.15">
      <c r="A50" s="53" t="s">
        <v>59</v>
      </c>
      <c r="B50" s="53" t="s">
        <v>257</v>
      </c>
      <c r="C50" s="62">
        <v>2019</v>
      </c>
      <c r="D50" s="131" t="s">
        <v>258</v>
      </c>
      <c r="E50" s="53" t="s">
        <v>317</v>
      </c>
      <c r="F50" s="53" t="s">
        <v>318</v>
      </c>
      <c r="G50" s="53" t="s">
        <v>36</v>
      </c>
      <c r="H50" s="53" t="s">
        <v>164</v>
      </c>
      <c r="I50" s="53" t="s">
        <v>159</v>
      </c>
      <c r="J50" s="53" t="s">
        <v>38</v>
      </c>
      <c r="K50" s="53" t="s">
        <v>161</v>
      </c>
      <c r="L50" s="53">
        <v>1</v>
      </c>
      <c r="N50" s="53">
        <v>4</v>
      </c>
      <c r="O50" s="53">
        <v>0.38</v>
      </c>
      <c r="P50" s="53">
        <v>0.42</v>
      </c>
      <c r="Q50" s="75">
        <f t="shared" si="2"/>
        <v>0.4</v>
      </c>
      <c r="R50" s="53">
        <v>15.6</v>
      </c>
      <c r="S50" s="53">
        <v>151</v>
      </c>
      <c r="T50" s="16">
        <f t="shared" si="0"/>
        <v>22</v>
      </c>
      <c r="U50" s="53">
        <v>358</v>
      </c>
      <c r="V50" s="16">
        <f t="shared" si="1"/>
        <v>16</v>
      </c>
      <c r="W50" s="53">
        <v>5</v>
      </c>
      <c r="X50" s="53" t="s">
        <v>46</v>
      </c>
      <c r="Y50" s="53" t="s">
        <v>78</v>
      </c>
      <c r="Z50" s="53" t="s">
        <v>88</v>
      </c>
      <c r="AA50" s="53" t="s">
        <v>55</v>
      </c>
      <c r="AB50" s="53" t="s">
        <v>292</v>
      </c>
      <c r="AV50" s="27"/>
    </row>
    <row r="51" spans="1:48" x14ac:dyDescent="0.15">
      <c r="A51" s="53" t="s">
        <v>59</v>
      </c>
      <c r="B51" s="53" t="s">
        <v>257</v>
      </c>
      <c r="C51" s="62">
        <v>2019</v>
      </c>
      <c r="D51" s="131" t="s">
        <v>258</v>
      </c>
      <c r="E51" s="53" t="s">
        <v>317</v>
      </c>
      <c r="F51" s="53" t="s">
        <v>318</v>
      </c>
      <c r="G51" s="53" t="s">
        <v>36</v>
      </c>
      <c r="H51" s="53" t="s">
        <v>164</v>
      </c>
      <c r="I51" s="53" t="s">
        <v>159</v>
      </c>
      <c r="J51" s="53" t="s">
        <v>38</v>
      </c>
      <c r="K51" s="53" t="s">
        <v>161</v>
      </c>
      <c r="L51" s="53">
        <v>2</v>
      </c>
      <c r="N51" s="53">
        <v>4</v>
      </c>
      <c r="O51" s="53">
        <v>0.41</v>
      </c>
      <c r="P51" s="53">
        <v>0.45</v>
      </c>
      <c r="Q51" s="75">
        <f t="shared" si="2"/>
        <v>0.43</v>
      </c>
      <c r="R51" s="53">
        <v>16.100000000000001</v>
      </c>
      <c r="S51" s="53">
        <v>150</v>
      </c>
      <c r="T51" s="16">
        <f t="shared" si="0"/>
        <v>22</v>
      </c>
      <c r="U51" s="53">
        <v>358</v>
      </c>
      <c r="V51" s="16">
        <f t="shared" si="1"/>
        <v>16</v>
      </c>
      <c r="W51" s="53">
        <v>5</v>
      </c>
      <c r="X51" s="53" t="s">
        <v>46</v>
      </c>
      <c r="Y51" s="53" t="s">
        <v>78</v>
      </c>
      <c r="Z51" s="53" t="s">
        <v>88</v>
      </c>
      <c r="AA51" s="53" t="s">
        <v>55</v>
      </c>
      <c r="AB51" s="53" t="s">
        <v>292</v>
      </c>
      <c r="AV51" s="27"/>
    </row>
    <row r="52" spans="1:48" x14ac:dyDescent="0.15">
      <c r="A52" s="53" t="s">
        <v>59</v>
      </c>
      <c r="B52" s="53" t="s">
        <v>257</v>
      </c>
      <c r="C52" s="62">
        <v>2019</v>
      </c>
      <c r="D52" s="131" t="s">
        <v>258</v>
      </c>
      <c r="E52" s="53" t="s">
        <v>317</v>
      </c>
      <c r="F52" s="53" t="s">
        <v>318</v>
      </c>
      <c r="G52" s="53" t="s">
        <v>36</v>
      </c>
      <c r="H52" s="53" t="s">
        <v>164</v>
      </c>
      <c r="I52" s="53" t="s">
        <v>159</v>
      </c>
      <c r="J52" s="53" t="s">
        <v>38</v>
      </c>
      <c r="K52" s="53" t="s">
        <v>161</v>
      </c>
      <c r="L52" s="53">
        <v>3</v>
      </c>
      <c r="N52" s="53">
        <v>4</v>
      </c>
      <c r="O52" s="53">
        <v>0.4</v>
      </c>
      <c r="P52" s="53">
        <v>0.37</v>
      </c>
      <c r="Q52" s="75">
        <f t="shared" si="2"/>
        <v>0.38500000000000001</v>
      </c>
      <c r="R52" s="53">
        <v>15.3</v>
      </c>
      <c r="S52" s="53">
        <v>154</v>
      </c>
      <c r="T52" s="16">
        <f t="shared" si="0"/>
        <v>18</v>
      </c>
      <c r="U52" s="53">
        <v>358</v>
      </c>
      <c r="V52" s="16">
        <f t="shared" si="1"/>
        <v>16</v>
      </c>
      <c r="W52" s="53">
        <v>5</v>
      </c>
      <c r="X52" s="53" t="s">
        <v>46</v>
      </c>
      <c r="Y52" s="53" t="s">
        <v>78</v>
      </c>
      <c r="Z52" s="53" t="s">
        <v>88</v>
      </c>
      <c r="AA52" s="53" t="s">
        <v>55</v>
      </c>
      <c r="AB52" s="53" t="s">
        <v>292</v>
      </c>
      <c r="AV52" s="27"/>
    </row>
    <row r="53" spans="1:48" x14ac:dyDescent="0.15">
      <c r="A53" s="53" t="s">
        <v>59</v>
      </c>
      <c r="B53" s="53" t="s">
        <v>257</v>
      </c>
      <c r="C53" s="62">
        <v>2019</v>
      </c>
      <c r="D53" s="131" t="s">
        <v>258</v>
      </c>
      <c r="E53" s="53" t="s">
        <v>307</v>
      </c>
      <c r="F53" s="53" t="s">
        <v>308</v>
      </c>
      <c r="G53" s="53" t="s">
        <v>36</v>
      </c>
      <c r="H53" s="53" t="s">
        <v>160</v>
      </c>
      <c r="I53" s="53" t="s">
        <v>159</v>
      </c>
      <c r="J53" s="53" t="s">
        <v>38</v>
      </c>
      <c r="K53" s="53" t="s">
        <v>161</v>
      </c>
      <c r="L53" s="53">
        <v>1</v>
      </c>
      <c r="N53" s="53">
        <v>4</v>
      </c>
      <c r="O53" s="53">
        <v>0.35</v>
      </c>
      <c r="P53" s="53">
        <v>0.34</v>
      </c>
      <c r="Q53" s="75">
        <f t="shared" si="2"/>
        <v>0.34499999999999997</v>
      </c>
      <c r="R53" s="53">
        <v>17.899999999999999</v>
      </c>
      <c r="S53" s="53">
        <v>111</v>
      </c>
      <c r="T53" s="16">
        <f t="shared" si="0"/>
        <v>33</v>
      </c>
      <c r="U53" s="53">
        <v>518</v>
      </c>
      <c r="V53" s="16">
        <f t="shared" si="1"/>
        <v>16</v>
      </c>
      <c r="W53" s="53">
        <v>4</v>
      </c>
      <c r="X53" s="53" t="s">
        <v>39</v>
      </c>
      <c r="Y53" s="53" t="s">
        <v>78</v>
      </c>
      <c r="Z53" s="53" t="s">
        <v>102</v>
      </c>
      <c r="AA53" s="53" t="s">
        <v>88</v>
      </c>
      <c r="AB53" s="53" t="s">
        <v>292</v>
      </c>
      <c r="AV53" s="27"/>
    </row>
    <row r="54" spans="1:48" x14ac:dyDescent="0.15">
      <c r="A54" s="53" t="s">
        <v>59</v>
      </c>
      <c r="B54" s="53" t="s">
        <v>257</v>
      </c>
      <c r="C54" s="62">
        <v>2019</v>
      </c>
      <c r="D54" s="131" t="s">
        <v>258</v>
      </c>
      <c r="E54" s="53" t="s">
        <v>307</v>
      </c>
      <c r="F54" s="53" t="s">
        <v>308</v>
      </c>
      <c r="G54" s="53" t="s">
        <v>36</v>
      </c>
      <c r="H54" s="53" t="s">
        <v>160</v>
      </c>
      <c r="I54" s="53" t="s">
        <v>159</v>
      </c>
      <c r="J54" s="53" t="s">
        <v>38</v>
      </c>
      <c r="K54" s="53" t="s">
        <v>161</v>
      </c>
      <c r="L54" s="53">
        <v>2</v>
      </c>
      <c r="N54" s="53">
        <v>4</v>
      </c>
      <c r="O54" s="53">
        <v>0.34</v>
      </c>
      <c r="P54" s="53">
        <v>0.34</v>
      </c>
      <c r="Q54" s="75">
        <f t="shared" si="2"/>
        <v>0.34</v>
      </c>
      <c r="R54" s="53">
        <v>17.8</v>
      </c>
      <c r="S54" s="53">
        <v>113</v>
      </c>
      <c r="T54" s="16">
        <f t="shared" si="0"/>
        <v>30</v>
      </c>
      <c r="U54" s="53">
        <v>518</v>
      </c>
      <c r="V54" s="16">
        <f t="shared" si="1"/>
        <v>16</v>
      </c>
      <c r="W54" s="53">
        <v>4</v>
      </c>
      <c r="X54" s="53" t="s">
        <v>39</v>
      </c>
      <c r="Y54" s="53" t="s">
        <v>78</v>
      </c>
      <c r="Z54" s="53" t="s">
        <v>102</v>
      </c>
      <c r="AA54" s="53" t="s">
        <v>88</v>
      </c>
      <c r="AB54" s="53" t="s">
        <v>292</v>
      </c>
      <c r="AV54" s="27"/>
    </row>
    <row r="55" spans="1:48" x14ac:dyDescent="0.15">
      <c r="A55" s="53" t="s">
        <v>59</v>
      </c>
      <c r="B55" s="53" t="s">
        <v>257</v>
      </c>
      <c r="C55" s="62">
        <v>2019</v>
      </c>
      <c r="D55" s="131" t="s">
        <v>258</v>
      </c>
      <c r="E55" s="53" t="s">
        <v>307</v>
      </c>
      <c r="F55" s="53" t="s">
        <v>308</v>
      </c>
      <c r="G55" s="53" t="s">
        <v>36</v>
      </c>
      <c r="H55" s="53" t="s">
        <v>160</v>
      </c>
      <c r="I55" s="53" t="s">
        <v>159</v>
      </c>
      <c r="J55" s="53" t="s">
        <v>38</v>
      </c>
      <c r="K55" s="53" t="s">
        <v>161</v>
      </c>
      <c r="L55" s="53">
        <v>3</v>
      </c>
      <c r="N55" s="53">
        <v>4</v>
      </c>
      <c r="O55" s="53">
        <v>0.36</v>
      </c>
      <c r="P55" s="53">
        <v>0.35</v>
      </c>
      <c r="Q55" s="75">
        <f t="shared" si="2"/>
        <v>0.35499999999999998</v>
      </c>
      <c r="R55" s="53">
        <v>17.3</v>
      </c>
      <c r="S55" s="53">
        <v>113</v>
      </c>
      <c r="T55" s="16">
        <f t="shared" si="0"/>
        <v>30</v>
      </c>
      <c r="U55" s="53">
        <v>518</v>
      </c>
      <c r="V55" s="16">
        <f t="shared" si="1"/>
        <v>16</v>
      </c>
      <c r="W55" s="53">
        <v>4</v>
      </c>
      <c r="X55" s="53" t="s">
        <v>39</v>
      </c>
      <c r="Y55" s="53" t="s">
        <v>78</v>
      </c>
      <c r="Z55" s="53" t="s">
        <v>102</v>
      </c>
      <c r="AA55" s="53" t="s">
        <v>88</v>
      </c>
      <c r="AB55" s="53" t="s">
        <v>292</v>
      </c>
      <c r="AV55" s="27"/>
    </row>
    <row r="56" spans="1:48" x14ac:dyDescent="0.15">
      <c r="A56" s="53" t="s">
        <v>59</v>
      </c>
      <c r="B56" s="53" t="s">
        <v>257</v>
      </c>
      <c r="C56" s="62">
        <v>2019</v>
      </c>
      <c r="D56" s="131" t="s">
        <v>258</v>
      </c>
      <c r="E56" s="53" t="s">
        <v>307</v>
      </c>
      <c r="F56" s="53" t="s">
        <v>308</v>
      </c>
      <c r="G56" s="53" t="s">
        <v>36</v>
      </c>
      <c r="H56" s="53" t="s">
        <v>164</v>
      </c>
      <c r="I56" s="53" t="s">
        <v>159</v>
      </c>
      <c r="J56" s="53" t="s">
        <v>38</v>
      </c>
      <c r="K56" s="53" t="s">
        <v>161</v>
      </c>
      <c r="L56" s="53">
        <v>1</v>
      </c>
      <c r="N56" s="53">
        <v>5</v>
      </c>
      <c r="O56" s="53">
        <v>0.5</v>
      </c>
      <c r="P56" s="53">
        <v>0.49</v>
      </c>
      <c r="Q56" s="75">
        <f t="shared" si="2"/>
        <v>0.495</v>
      </c>
      <c r="R56" s="53">
        <v>15.9</v>
      </c>
      <c r="S56" s="53">
        <v>89</v>
      </c>
      <c r="T56" s="16">
        <f t="shared" si="0"/>
        <v>36</v>
      </c>
      <c r="U56" s="53">
        <v>321</v>
      </c>
      <c r="V56" s="16">
        <f t="shared" si="1"/>
        <v>16</v>
      </c>
      <c r="W56" s="53">
        <v>6</v>
      </c>
      <c r="X56" s="53" t="s">
        <v>39</v>
      </c>
      <c r="Y56" s="53" t="s">
        <v>78</v>
      </c>
      <c r="Z56" s="53" t="s">
        <v>102</v>
      </c>
      <c r="AA56" s="53" t="s">
        <v>88</v>
      </c>
      <c r="AB56" s="53" t="s">
        <v>292</v>
      </c>
      <c r="AV56" s="27"/>
    </row>
    <row r="57" spans="1:48" x14ac:dyDescent="0.15">
      <c r="A57" s="53" t="s">
        <v>59</v>
      </c>
      <c r="B57" s="53" t="s">
        <v>257</v>
      </c>
      <c r="C57" s="62">
        <v>2019</v>
      </c>
      <c r="D57" s="131" t="s">
        <v>258</v>
      </c>
      <c r="E57" s="53" t="s">
        <v>307</v>
      </c>
      <c r="F57" s="53" t="s">
        <v>308</v>
      </c>
      <c r="G57" s="53" t="s">
        <v>36</v>
      </c>
      <c r="H57" s="53" t="s">
        <v>164</v>
      </c>
      <c r="I57" s="53" t="s">
        <v>159</v>
      </c>
      <c r="J57" s="53" t="s">
        <v>38</v>
      </c>
      <c r="K57" s="53" t="s">
        <v>161</v>
      </c>
      <c r="L57" s="53">
        <v>2</v>
      </c>
      <c r="N57" s="53">
        <v>5</v>
      </c>
      <c r="O57" s="53">
        <v>0.56000000000000005</v>
      </c>
      <c r="P57" s="53">
        <v>0.57999999999999996</v>
      </c>
      <c r="Q57" s="75">
        <f t="shared" si="2"/>
        <v>0.57000000000000006</v>
      </c>
      <c r="R57" s="53">
        <v>15.8</v>
      </c>
      <c r="S57" s="53">
        <v>91</v>
      </c>
      <c r="T57" s="16">
        <f t="shared" si="0"/>
        <v>36</v>
      </c>
      <c r="U57" s="53">
        <v>321</v>
      </c>
      <c r="V57" s="16">
        <f t="shared" si="1"/>
        <v>16</v>
      </c>
      <c r="W57" s="53">
        <v>6</v>
      </c>
      <c r="X57" s="53" t="s">
        <v>39</v>
      </c>
      <c r="Y57" s="53" t="s">
        <v>78</v>
      </c>
      <c r="Z57" s="53" t="s">
        <v>102</v>
      </c>
      <c r="AA57" s="53" t="s">
        <v>88</v>
      </c>
      <c r="AB57" s="53" t="s">
        <v>292</v>
      </c>
      <c r="AV57" s="27"/>
    </row>
    <row r="58" spans="1:48" x14ac:dyDescent="0.15">
      <c r="A58" s="53" t="s">
        <v>59</v>
      </c>
      <c r="B58" s="53" t="s">
        <v>257</v>
      </c>
      <c r="C58" s="62">
        <v>2019</v>
      </c>
      <c r="D58" s="131" t="s">
        <v>258</v>
      </c>
      <c r="E58" s="53" t="s">
        <v>307</v>
      </c>
      <c r="F58" s="53" t="s">
        <v>308</v>
      </c>
      <c r="G58" s="53" t="s">
        <v>36</v>
      </c>
      <c r="H58" s="53" t="s">
        <v>164</v>
      </c>
      <c r="I58" s="53" t="s">
        <v>159</v>
      </c>
      <c r="J58" s="53" t="s">
        <v>38</v>
      </c>
      <c r="K58" s="53" t="s">
        <v>161</v>
      </c>
      <c r="L58" s="53">
        <v>3</v>
      </c>
      <c r="N58" s="53">
        <v>5</v>
      </c>
      <c r="O58" s="53">
        <v>0.52</v>
      </c>
      <c r="P58" s="53">
        <v>0.48</v>
      </c>
      <c r="Q58" s="75">
        <f t="shared" si="2"/>
        <v>0.5</v>
      </c>
      <c r="R58" s="53">
        <v>15.5</v>
      </c>
      <c r="S58" s="53">
        <v>84</v>
      </c>
      <c r="T58" s="16">
        <f t="shared" si="0"/>
        <v>36</v>
      </c>
      <c r="U58" s="53">
        <v>321</v>
      </c>
      <c r="V58" s="16">
        <f t="shared" si="1"/>
        <v>16</v>
      </c>
      <c r="W58" s="53">
        <v>6</v>
      </c>
      <c r="X58" s="53" t="s">
        <v>39</v>
      </c>
      <c r="Y58" s="53" t="s">
        <v>78</v>
      </c>
      <c r="Z58" s="53" t="s">
        <v>102</v>
      </c>
      <c r="AA58" s="53" t="s">
        <v>88</v>
      </c>
      <c r="AB58" s="53" t="s">
        <v>292</v>
      </c>
      <c r="AV58" s="27"/>
    </row>
    <row r="59" spans="1:48" x14ac:dyDescent="0.15">
      <c r="C59" s="62"/>
      <c r="D59" s="131"/>
      <c r="Q59" s="75"/>
      <c r="AV59" s="27"/>
    </row>
    <row r="60" spans="1:48" x14ac:dyDescent="0.15">
      <c r="C60" s="62"/>
      <c r="D60" s="131"/>
      <c r="Q60" s="75"/>
      <c r="AV60" s="27"/>
    </row>
    <row r="61" spans="1:48" x14ac:dyDescent="0.15">
      <c r="C61" s="62"/>
      <c r="D61" s="131"/>
      <c r="Q61" s="75"/>
      <c r="AV61" s="27"/>
    </row>
    <row r="62" spans="1:48" x14ac:dyDescent="0.15">
      <c r="C62" s="62"/>
      <c r="D62" s="131"/>
      <c r="Q62" s="75"/>
      <c r="AV62" s="27"/>
    </row>
    <row r="63" spans="1:48" x14ac:dyDescent="0.15">
      <c r="C63" s="62"/>
      <c r="D63" s="131"/>
      <c r="Q63" s="75"/>
      <c r="AV63" s="27"/>
    </row>
    <row r="64" spans="1:48" x14ac:dyDescent="0.15">
      <c r="C64" s="62"/>
      <c r="D64" s="131"/>
      <c r="Q64" s="75"/>
      <c r="AV64" s="27"/>
    </row>
    <row r="65" spans="3:48" x14ac:dyDescent="0.15">
      <c r="C65" s="62"/>
      <c r="D65" s="131"/>
      <c r="Q65" s="75"/>
      <c r="AV65" s="27"/>
    </row>
    <row r="66" spans="3:48" x14ac:dyDescent="0.15">
      <c r="C66" s="62"/>
      <c r="D66" s="131"/>
      <c r="Q66" s="75"/>
      <c r="AV66" s="27"/>
    </row>
    <row r="67" spans="3:48" x14ac:dyDescent="0.15">
      <c r="C67" s="62"/>
      <c r="D67" s="131"/>
      <c r="Q67" s="75"/>
      <c r="AV67" s="27"/>
    </row>
    <row r="68" spans="3:48" x14ac:dyDescent="0.15">
      <c r="C68" s="62"/>
      <c r="D68" s="131"/>
      <c r="Q68" s="75"/>
      <c r="AV68" s="27"/>
    </row>
    <row r="69" spans="3:48" x14ac:dyDescent="0.15">
      <c r="C69" s="62"/>
      <c r="D69" s="131"/>
      <c r="Q69" s="75"/>
      <c r="AV69" s="27"/>
    </row>
    <row r="70" spans="3:48" x14ac:dyDescent="0.15">
      <c r="C70" s="62"/>
      <c r="D70" s="131"/>
      <c r="Q70" s="75"/>
      <c r="AV70" s="27"/>
    </row>
    <row r="71" spans="3:48" x14ac:dyDescent="0.15">
      <c r="C71" s="62"/>
      <c r="D71" s="131"/>
      <c r="Q71" s="75"/>
      <c r="AV71" s="27"/>
    </row>
    <row r="72" spans="3:48" x14ac:dyDescent="0.15">
      <c r="C72" s="62"/>
      <c r="D72" s="131"/>
      <c r="Q72" s="75"/>
      <c r="AV72" s="27"/>
    </row>
    <row r="73" spans="3:48" x14ac:dyDescent="0.15">
      <c r="C73" s="62"/>
      <c r="D73" s="131"/>
      <c r="Q73" s="75"/>
    </row>
    <row r="74" spans="3:48" x14ac:dyDescent="0.15">
      <c r="C74" s="62"/>
      <c r="D74" s="131"/>
      <c r="Q74" s="75"/>
    </row>
    <row r="75" spans="3:48" x14ac:dyDescent="0.15">
      <c r="C75" s="62"/>
      <c r="D75" s="131"/>
      <c r="Q75" s="75"/>
    </row>
    <row r="76" spans="3:48" x14ac:dyDescent="0.15">
      <c r="C76" s="62"/>
      <c r="Q76" s="75"/>
    </row>
    <row r="77" spans="3:48" x14ac:dyDescent="0.15">
      <c r="C77" s="62"/>
      <c r="Q77" s="75"/>
    </row>
    <row r="78" spans="3:48" x14ac:dyDescent="0.15">
      <c r="C78" s="62"/>
      <c r="Q78" s="75"/>
    </row>
    <row r="79" spans="3:48" x14ac:dyDescent="0.15">
      <c r="C79" s="62"/>
      <c r="Q79" s="75"/>
    </row>
    <row r="80" spans="3: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c r="Q89" s="75"/>
    </row>
    <row r="90" spans="3:22" x14ac:dyDescent="0.15">
      <c r="C90" s="62"/>
      <c r="Q90" s="75"/>
    </row>
    <row r="91" spans="3:22" x14ac:dyDescent="0.15">
      <c r="C91" s="62"/>
      <c r="Q91" s="75"/>
    </row>
    <row r="92" spans="3:22" x14ac:dyDescent="0.15">
      <c r="C92" s="62"/>
    </row>
    <row r="93" spans="3:22" x14ac:dyDescent="0.15">
      <c r="C93" s="62"/>
    </row>
    <row r="94" spans="3:22" x14ac:dyDescent="0.15">
      <c r="Q94" s="16" t="str">
        <f t="shared" ref="Q94:Q145" si="3">IF(OR(O94="",P94=""),"",AVERAGE(O94,P94))</f>
        <v/>
      </c>
      <c r="T94" s="16" t="str">
        <f t="shared" ref="T94:T145" si="4">IF(H94="","",IF(OR(H94="GREEN",H94="GK"),IF(S94&gt;=$AX$2,VLOOKUP(S94,$AX$2:$AY$12,2,1),""),IF(S94&gt;=$AZ$2,VLOOKUP(S94,$AZ$2:$BA$12,2,1),"")))</f>
        <v/>
      </c>
      <c r="V94" s="16" t="str">
        <f t="shared" ref="V94:V145" si="5">IF(J94="","",IF(OR(J94="GREEN",J94="GK"),IF(U94&gt;=$AX$2,VLOOKUP(U94,$AX$2:$AY$12,2,1),""),IF(U94&gt;=$AZ$2,VLOOKUP(U94,$AZ$2:$BA$12,2,1),"")))</f>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sheetData>
  <autoFilter ref="A1:BA145" xr:uid="{00000000-0009-0000-0000-000000000000}"/>
  <phoneticPr fontId="3"/>
  <dataValidations count="19">
    <dataValidation type="list" allowBlank="1" showInputMessage="1" showErrorMessage="1" sqref="K2:K427" xr:uid="{7282AAA6-C115-433B-AB4A-54248B581BFF}">
      <formula1>$AR$2:$AR$27</formula1>
    </dataValidation>
    <dataValidation type="list" allowBlank="1" showInputMessage="1" showErrorMessage="1" sqref="E2:E485" xr:uid="{632E5310-8192-447D-8FE6-4F841987CE5F}">
      <formula1>$AG$2:$AG$11</formula1>
    </dataValidation>
    <dataValidation type="list" allowBlank="1" showInputMessage="1" showErrorMessage="1" sqref="H2:H485" xr:uid="{E2482C0D-C519-4953-BAAE-B239EB7C7F28}">
      <formula1>$AL$2:$AL$8</formula1>
    </dataValidation>
    <dataValidation type="decimal" allowBlank="1" showInputMessage="1" showErrorMessage="1" error="硬度を正しく入力して下さい。" sqref="O2:P485" xr:uid="{2DEABB5C-59D2-4097-A56D-18A68918DBA3}">
      <formula1>0</formula1>
      <formula2>7</formula2>
    </dataValidation>
    <dataValidation type="list" allowBlank="1" showInputMessage="1" showErrorMessage="1" sqref="F2:F1439" xr:uid="{72420420-6C38-40AC-B9F2-B12AC1738EDF}">
      <formula1>$AH$2:$AH$11</formula1>
    </dataValidation>
    <dataValidation type="list" allowBlank="1" showInputMessage="1" showErrorMessage="1" sqref="Y2:AA576" xr:uid="{D16FB498-50B9-4A33-9832-C37E75C06143}">
      <formula1>$AV$2:$AV$38</formula1>
    </dataValidation>
    <dataValidation type="list" allowBlank="1" showInputMessage="1" showErrorMessage="1" sqref="J2:J72" xr:uid="{65CC309B-B486-4CC2-B92A-E12FA88629AB}">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1CE55105-0249-47B1-A678-64DD06D81B95}">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5C81BEE8-D1A9-43D9-AA06-09A292D6F0B1}">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70C7CA3C-1D6F-4A11-8FAC-16848B899651}">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EE302FFA-03D5-4C7D-B4C8-F6BF93A72084}">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1CAA9874-CBB7-40F5-9999-208550D5459E}">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99180A1F-6EBA-4CAB-9CD7-E098A12F491B}">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6782CA45-8306-44FC-A12D-D1D086C963FE}">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2804CFAD-B07D-4410-A08B-EA1D42111195}">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40151A3A-FA12-4548-8127-1C7D582E6686}">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12F9B7C8-A9E6-4ED7-AB68-2DA3F0246ACF}">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E942CDB8-0DC6-459B-B462-C099CFC1D32D}">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918C947A-E333-4BE8-83A3-D0AD3515C616}">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3FFD3-2F0E-4CA3-B032-377ED7FE0A7E}">
  <dimension ref="A1:BA443"/>
  <sheetViews>
    <sheetView zoomScale="85" zoomScaleNormal="85" zoomScaleSheetLayoutView="100" workbookViewId="0">
      <selection activeCell="N61" sqref="N61"/>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0"/>
    <col min="40" max="16384" width="9" style="53"/>
  </cols>
  <sheetData>
    <row r="1" spans="1:53" ht="45" x14ac:dyDescent="0.15">
      <c r="A1" s="44" t="s">
        <v>0</v>
      </c>
      <c r="B1" s="55" t="s">
        <v>1</v>
      </c>
      <c r="C1" s="55" t="s">
        <v>2</v>
      </c>
      <c r="D1" s="56" t="s">
        <v>3</v>
      </c>
      <c r="E1" s="45" t="s">
        <v>4</v>
      </c>
      <c r="F1" s="45" t="s">
        <v>353</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13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257</v>
      </c>
      <c r="C2" s="146">
        <v>2019</v>
      </c>
      <c r="D2" s="147" t="s">
        <v>354</v>
      </c>
      <c r="E2" s="146" t="s">
        <v>355</v>
      </c>
      <c r="F2" s="146" t="s">
        <v>356</v>
      </c>
      <c r="G2" s="148" t="s">
        <v>36</v>
      </c>
      <c r="H2" s="149" t="s">
        <v>164</v>
      </c>
      <c r="I2" s="120" t="s">
        <v>159</v>
      </c>
      <c r="J2" s="150" t="s">
        <v>38</v>
      </c>
      <c r="K2" s="120" t="s">
        <v>161</v>
      </c>
      <c r="L2" s="151">
        <v>1</v>
      </c>
      <c r="M2" s="152"/>
      <c r="N2" s="152">
        <v>1</v>
      </c>
      <c r="O2" s="152">
        <v>0.85</v>
      </c>
      <c r="P2" s="152">
        <v>0.8</v>
      </c>
      <c r="Q2" s="153">
        <f>IF(OR(O2="",P2=""),"",AVERAGE(O2,P2))</f>
        <v>0.82499999999999996</v>
      </c>
      <c r="R2" s="154">
        <v>15.3</v>
      </c>
      <c r="S2" s="149">
        <v>124</v>
      </c>
      <c r="T2" s="155">
        <f t="shared" ref="T2:T65" si="0">IF(H2="","",IF(OR(H2="GREEN",H2="GK"),IF(S2&gt;=$AX$2,VLOOKUP(S2,$AX$2:$AY$7,2,1),""),IF(S2&gt;=$AZ$2,VLOOKUP(S2,$AZ$2:$BA$7,2,1),"")))</f>
        <v>30</v>
      </c>
      <c r="U2" s="120">
        <v>128</v>
      </c>
      <c r="V2" s="155">
        <f t="shared" ref="V2:V65" si="1">IF(OR(N2="",U2="",T2=""),"",U2/N2*T2)</f>
        <v>3840</v>
      </c>
      <c r="W2" s="156">
        <v>8</v>
      </c>
      <c r="X2" s="157" t="s">
        <v>46</v>
      </c>
      <c r="Y2" s="157" t="s">
        <v>88</v>
      </c>
      <c r="Z2" s="157" t="s">
        <v>102</v>
      </c>
      <c r="AA2" s="157" t="s">
        <v>78</v>
      </c>
      <c r="AB2" s="53" t="s">
        <v>261</v>
      </c>
      <c r="AE2" s="64" t="s">
        <v>35</v>
      </c>
      <c r="AG2" s="67" t="s">
        <v>355</v>
      </c>
      <c r="AH2" s="67" t="s">
        <v>356</v>
      </c>
      <c r="AJ2" s="123"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357</v>
      </c>
      <c r="E3" s="158" t="s">
        <v>355</v>
      </c>
      <c r="F3" s="158" t="s">
        <v>356</v>
      </c>
      <c r="G3" s="161" t="s">
        <v>36</v>
      </c>
      <c r="H3" s="120" t="s">
        <v>164</v>
      </c>
      <c r="I3" s="120" t="s">
        <v>159</v>
      </c>
      <c r="J3" s="120" t="s">
        <v>38</v>
      </c>
      <c r="K3" s="120" t="s">
        <v>161</v>
      </c>
      <c r="L3" s="53">
        <v>2</v>
      </c>
      <c r="N3" s="53">
        <v>1</v>
      </c>
      <c r="O3" s="53">
        <v>1</v>
      </c>
      <c r="P3" s="34">
        <v>0.9</v>
      </c>
      <c r="Q3" s="162">
        <f t="shared" ref="Q3:Q66" si="2">IF(OR(O3="",P3=""),"",AVERAGE(O3,P3))</f>
        <v>0.95</v>
      </c>
      <c r="R3" s="163">
        <v>14.4</v>
      </c>
      <c r="S3" s="163">
        <v>120</v>
      </c>
      <c r="T3" s="16">
        <f t="shared" si="0"/>
        <v>30</v>
      </c>
      <c r="U3" s="164">
        <v>128</v>
      </c>
      <c r="V3" s="38">
        <f t="shared" si="1"/>
        <v>3840</v>
      </c>
      <c r="W3" s="165">
        <v>8</v>
      </c>
      <c r="X3" s="166" t="s">
        <v>46</v>
      </c>
      <c r="Y3" s="166" t="s">
        <v>88</v>
      </c>
      <c r="Z3" s="166" t="s">
        <v>102</v>
      </c>
      <c r="AA3" s="157" t="s">
        <v>78</v>
      </c>
      <c r="AB3" s="53" t="s">
        <v>158</v>
      </c>
      <c r="AE3" s="22" t="s">
        <v>41</v>
      </c>
      <c r="AG3" s="67" t="s">
        <v>358</v>
      </c>
      <c r="AH3" s="67" t="s">
        <v>359</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357</v>
      </c>
      <c r="E4" s="158" t="s">
        <v>355</v>
      </c>
      <c r="F4" s="158" t="s">
        <v>356</v>
      </c>
      <c r="G4" s="161" t="s">
        <v>36</v>
      </c>
      <c r="H4" s="120" t="s">
        <v>164</v>
      </c>
      <c r="I4" s="120" t="s">
        <v>159</v>
      </c>
      <c r="J4" s="120" t="s">
        <v>38</v>
      </c>
      <c r="K4" s="120" t="s">
        <v>161</v>
      </c>
      <c r="L4" s="53">
        <v>3</v>
      </c>
      <c r="N4" s="53">
        <v>1</v>
      </c>
      <c r="O4" s="53">
        <v>0.8</v>
      </c>
      <c r="P4" s="34">
        <v>0.95</v>
      </c>
      <c r="Q4" s="75">
        <f t="shared" si="2"/>
        <v>0.875</v>
      </c>
      <c r="R4" s="168">
        <v>14.8</v>
      </c>
      <c r="S4" s="168">
        <v>127</v>
      </c>
      <c r="T4" s="16">
        <f t="shared" si="0"/>
        <v>30</v>
      </c>
      <c r="U4" s="169">
        <v>128</v>
      </c>
      <c r="V4" s="38">
        <f t="shared" si="1"/>
        <v>3840</v>
      </c>
      <c r="W4" s="165">
        <v>8</v>
      </c>
      <c r="X4" s="166" t="s">
        <v>46</v>
      </c>
      <c r="Y4" s="166" t="s">
        <v>88</v>
      </c>
      <c r="Z4" s="166" t="s">
        <v>102</v>
      </c>
      <c r="AA4" s="157" t="s">
        <v>78</v>
      </c>
      <c r="AB4" s="53" t="s">
        <v>158</v>
      </c>
      <c r="AE4" s="22" t="s">
        <v>34</v>
      </c>
      <c r="AG4" s="67" t="s">
        <v>337</v>
      </c>
      <c r="AH4" s="67" t="s">
        <v>359</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357</v>
      </c>
      <c r="E5" s="158" t="s">
        <v>355</v>
      </c>
      <c r="F5" s="158" t="s">
        <v>356</v>
      </c>
      <c r="G5" s="161" t="s">
        <v>36</v>
      </c>
      <c r="H5" s="120" t="s">
        <v>160</v>
      </c>
      <c r="I5" s="120" t="s">
        <v>159</v>
      </c>
      <c r="J5" s="120" t="s">
        <v>38</v>
      </c>
      <c r="K5" s="120" t="s">
        <v>161</v>
      </c>
      <c r="L5" s="53">
        <v>1</v>
      </c>
      <c r="N5" s="53">
        <v>1</v>
      </c>
      <c r="O5" s="53">
        <v>0.75</v>
      </c>
      <c r="P5" s="53">
        <v>0.7</v>
      </c>
      <c r="Q5" s="75">
        <f t="shared" si="2"/>
        <v>0.72499999999999998</v>
      </c>
      <c r="R5" s="168">
        <v>17.600000000000001</v>
      </c>
      <c r="S5" s="168">
        <v>125</v>
      </c>
      <c r="T5" s="16">
        <f t="shared" si="0"/>
        <v>30</v>
      </c>
      <c r="U5" s="169">
        <v>138</v>
      </c>
      <c r="V5" s="38">
        <f t="shared" si="1"/>
        <v>4140</v>
      </c>
      <c r="W5" s="165">
        <v>8</v>
      </c>
      <c r="X5" s="166" t="s">
        <v>46</v>
      </c>
      <c r="Y5" s="166" t="s">
        <v>88</v>
      </c>
      <c r="Z5" s="166" t="s">
        <v>102</v>
      </c>
      <c r="AA5" s="157" t="s">
        <v>78</v>
      </c>
      <c r="AB5" s="53" t="s">
        <v>158</v>
      </c>
      <c r="AE5" s="22" t="s">
        <v>51</v>
      </c>
      <c r="AG5" s="67" t="s">
        <v>355</v>
      </c>
      <c r="AH5" s="67" t="s">
        <v>360</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357</v>
      </c>
      <c r="E6" s="158" t="s">
        <v>355</v>
      </c>
      <c r="F6" s="158" t="s">
        <v>356</v>
      </c>
      <c r="G6" s="161" t="s">
        <v>36</v>
      </c>
      <c r="H6" s="120" t="s">
        <v>160</v>
      </c>
      <c r="I6" s="120" t="s">
        <v>159</v>
      </c>
      <c r="J6" s="120" t="s">
        <v>38</v>
      </c>
      <c r="K6" s="120" t="s">
        <v>161</v>
      </c>
      <c r="L6" s="53">
        <v>2</v>
      </c>
      <c r="N6" s="53">
        <v>1</v>
      </c>
      <c r="O6" s="53">
        <v>0.7</v>
      </c>
      <c r="P6" s="53">
        <v>0.75</v>
      </c>
      <c r="Q6" s="75">
        <f t="shared" si="2"/>
        <v>0.72499999999999998</v>
      </c>
      <c r="R6" s="168">
        <v>18.100000000000001</v>
      </c>
      <c r="S6" s="168">
        <v>112</v>
      </c>
      <c r="T6" s="16">
        <f t="shared" si="0"/>
        <v>33</v>
      </c>
      <c r="U6" s="169">
        <v>138</v>
      </c>
      <c r="V6" s="38">
        <f t="shared" si="1"/>
        <v>4554</v>
      </c>
      <c r="W6" s="165">
        <v>8</v>
      </c>
      <c r="X6" s="166" t="s">
        <v>46</v>
      </c>
      <c r="Y6" s="166" t="s">
        <v>88</v>
      </c>
      <c r="Z6" s="166" t="s">
        <v>102</v>
      </c>
      <c r="AA6" s="157" t="s">
        <v>78</v>
      </c>
      <c r="AB6" s="53" t="s">
        <v>158</v>
      </c>
      <c r="AE6" s="22" t="s">
        <v>56</v>
      </c>
      <c r="AG6" s="67" t="s">
        <v>211</v>
      </c>
      <c r="AH6" s="67" t="s">
        <v>361</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357</v>
      </c>
      <c r="E7" s="158" t="s">
        <v>355</v>
      </c>
      <c r="F7" s="158" t="s">
        <v>356</v>
      </c>
      <c r="G7" s="161" t="s">
        <v>36</v>
      </c>
      <c r="H7" s="120" t="s">
        <v>160</v>
      </c>
      <c r="I7" s="120" t="s">
        <v>159</v>
      </c>
      <c r="J7" s="120" t="s">
        <v>38</v>
      </c>
      <c r="K7" s="120" t="s">
        <v>161</v>
      </c>
      <c r="L7" s="53">
        <v>3</v>
      </c>
      <c r="N7" s="53">
        <v>1</v>
      </c>
      <c r="O7" s="53">
        <v>0.8</v>
      </c>
      <c r="P7" s="53">
        <v>0.7</v>
      </c>
      <c r="Q7" s="75">
        <f t="shared" si="2"/>
        <v>0.75</v>
      </c>
      <c r="R7" s="168">
        <v>17.5</v>
      </c>
      <c r="S7" s="168">
        <v>122</v>
      </c>
      <c r="T7" s="16">
        <f t="shared" si="0"/>
        <v>30</v>
      </c>
      <c r="U7" s="169">
        <v>138</v>
      </c>
      <c r="V7" s="38">
        <f t="shared" si="1"/>
        <v>4140</v>
      </c>
      <c r="W7" s="165">
        <v>8</v>
      </c>
      <c r="X7" s="166" t="s">
        <v>46</v>
      </c>
      <c r="Y7" s="166" t="s">
        <v>88</v>
      </c>
      <c r="Z7" s="166" t="s">
        <v>102</v>
      </c>
      <c r="AA7" s="157" t="s">
        <v>78</v>
      </c>
      <c r="AB7" s="53" t="s">
        <v>158</v>
      </c>
      <c r="AE7" s="22" t="s">
        <v>61</v>
      </c>
      <c r="AG7" s="67" t="s">
        <v>362</v>
      </c>
      <c r="AH7" s="67" t="s">
        <v>361</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357</v>
      </c>
      <c r="E8" s="159" t="s">
        <v>358</v>
      </c>
      <c r="F8" s="158" t="s">
        <v>359</v>
      </c>
      <c r="G8" s="161" t="s">
        <v>36</v>
      </c>
      <c r="H8" s="120" t="s">
        <v>164</v>
      </c>
      <c r="I8" s="120" t="s">
        <v>159</v>
      </c>
      <c r="J8" s="120" t="s">
        <v>38</v>
      </c>
      <c r="K8" s="120" t="s">
        <v>161</v>
      </c>
      <c r="L8" s="53">
        <v>1</v>
      </c>
      <c r="N8" s="53">
        <v>1</v>
      </c>
      <c r="O8" s="53">
        <v>0.4</v>
      </c>
      <c r="P8" s="53">
        <v>0.5</v>
      </c>
      <c r="Q8" s="75">
        <f t="shared" si="2"/>
        <v>0.45</v>
      </c>
      <c r="R8" s="168">
        <v>14.8</v>
      </c>
      <c r="S8" s="168">
        <v>117</v>
      </c>
      <c r="T8" s="16">
        <f t="shared" si="0"/>
        <v>30</v>
      </c>
      <c r="U8" s="164">
        <v>128</v>
      </c>
      <c r="V8" s="38">
        <f t="shared" si="1"/>
        <v>3840</v>
      </c>
      <c r="W8" s="165">
        <v>6</v>
      </c>
      <c r="X8" s="166" t="s">
        <v>46</v>
      </c>
      <c r="Y8" s="172" t="s">
        <v>88</v>
      </c>
      <c r="Z8" s="166" t="s">
        <v>78</v>
      </c>
      <c r="AA8" s="157" t="s">
        <v>226</v>
      </c>
      <c r="AB8" s="53" t="s">
        <v>158</v>
      </c>
      <c r="AE8" s="22" t="s">
        <v>59</v>
      </c>
      <c r="AG8" s="67" t="s">
        <v>211</v>
      </c>
      <c r="AH8" s="67" t="s">
        <v>363</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357</v>
      </c>
      <c r="E9" s="159" t="s">
        <v>358</v>
      </c>
      <c r="F9" s="158" t="s">
        <v>359</v>
      </c>
      <c r="G9" s="161" t="s">
        <v>36</v>
      </c>
      <c r="H9" s="120" t="s">
        <v>364</v>
      </c>
      <c r="I9" s="120" t="s">
        <v>159</v>
      </c>
      <c r="J9" s="120" t="s">
        <v>38</v>
      </c>
      <c r="K9" s="120" t="s">
        <v>161</v>
      </c>
      <c r="L9" s="53">
        <v>2</v>
      </c>
      <c r="N9" s="53">
        <v>1</v>
      </c>
      <c r="O9" s="53">
        <v>0.35</v>
      </c>
      <c r="P9" s="53">
        <v>0.4</v>
      </c>
      <c r="Q9" s="75">
        <f t="shared" si="2"/>
        <v>0.375</v>
      </c>
      <c r="R9" s="168">
        <v>13.6</v>
      </c>
      <c r="S9" s="168">
        <v>116</v>
      </c>
      <c r="T9" s="16">
        <f t="shared" si="0"/>
        <v>30</v>
      </c>
      <c r="U9" s="164">
        <v>128</v>
      </c>
      <c r="V9" s="38">
        <f t="shared" si="1"/>
        <v>3840</v>
      </c>
      <c r="W9" s="165">
        <v>6</v>
      </c>
      <c r="X9" s="166" t="s">
        <v>46</v>
      </c>
      <c r="Y9" s="172" t="s">
        <v>88</v>
      </c>
      <c r="Z9" s="166" t="s">
        <v>78</v>
      </c>
      <c r="AA9" s="157" t="s">
        <v>226</v>
      </c>
      <c r="AB9" s="53" t="s">
        <v>158</v>
      </c>
      <c r="AE9" s="22" t="s">
        <v>98</v>
      </c>
      <c r="AG9" s="67" t="s">
        <v>139</v>
      </c>
      <c r="AH9" s="67" t="s">
        <v>363</v>
      </c>
      <c r="AL9" s="73"/>
      <c r="AP9" s="23" t="s">
        <v>95</v>
      </c>
      <c r="AR9" s="23" t="s">
        <v>89</v>
      </c>
      <c r="AV9" s="23" t="s">
        <v>102</v>
      </c>
      <c r="AX9" s="31">
        <v>180</v>
      </c>
      <c r="AY9" s="32">
        <v>18</v>
      </c>
      <c r="AZ9" s="32">
        <v>181</v>
      </c>
      <c r="BA9" s="33">
        <v>16</v>
      </c>
    </row>
    <row r="10" spans="1:53" x14ac:dyDescent="0.15">
      <c r="A10" s="158" t="s">
        <v>34</v>
      </c>
      <c r="B10" s="158" t="s">
        <v>157</v>
      </c>
      <c r="C10" s="158">
        <v>2019</v>
      </c>
      <c r="D10" s="160" t="s">
        <v>357</v>
      </c>
      <c r="E10" s="159" t="s">
        <v>358</v>
      </c>
      <c r="F10" s="158" t="s">
        <v>359</v>
      </c>
      <c r="G10" s="161" t="s">
        <v>36</v>
      </c>
      <c r="H10" s="120" t="s">
        <v>164</v>
      </c>
      <c r="I10" s="120" t="s">
        <v>159</v>
      </c>
      <c r="J10" s="120" t="s">
        <v>38</v>
      </c>
      <c r="K10" s="120" t="s">
        <v>161</v>
      </c>
      <c r="L10" s="53">
        <v>3</v>
      </c>
      <c r="N10" s="53">
        <v>1</v>
      </c>
      <c r="O10" s="53">
        <v>0.35</v>
      </c>
      <c r="P10" s="53">
        <v>0.35</v>
      </c>
      <c r="Q10" s="75">
        <f t="shared" si="2"/>
        <v>0.35</v>
      </c>
      <c r="R10" s="168">
        <v>13.3</v>
      </c>
      <c r="S10" s="168">
        <v>120</v>
      </c>
      <c r="T10" s="16">
        <f t="shared" si="0"/>
        <v>30</v>
      </c>
      <c r="U10" s="164">
        <v>128</v>
      </c>
      <c r="V10" s="38">
        <f t="shared" si="1"/>
        <v>3840</v>
      </c>
      <c r="W10" s="165">
        <v>6</v>
      </c>
      <c r="X10" s="166" t="s">
        <v>46</v>
      </c>
      <c r="Y10" s="172" t="s">
        <v>88</v>
      </c>
      <c r="Z10" s="166" t="s">
        <v>78</v>
      </c>
      <c r="AA10" s="157" t="s">
        <v>226</v>
      </c>
      <c r="AB10" s="53" t="s">
        <v>158</v>
      </c>
      <c r="AE10" s="22" t="s">
        <v>103</v>
      </c>
      <c r="AG10" s="67" t="s">
        <v>133</v>
      </c>
      <c r="AH10" s="67" t="s">
        <v>365</v>
      </c>
      <c r="AL10" s="34"/>
      <c r="AP10" s="23" t="s">
        <v>100</v>
      </c>
      <c r="AR10" s="23" t="s">
        <v>123</v>
      </c>
      <c r="AV10" s="23" t="s">
        <v>106</v>
      </c>
    </row>
    <row r="11" spans="1:53" x14ac:dyDescent="0.15">
      <c r="A11" s="158" t="s">
        <v>34</v>
      </c>
      <c r="B11" s="158" t="s">
        <v>157</v>
      </c>
      <c r="C11" s="159">
        <v>2019</v>
      </c>
      <c r="D11" s="160" t="s">
        <v>357</v>
      </c>
      <c r="E11" s="159" t="s">
        <v>358</v>
      </c>
      <c r="F11" s="158" t="s">
        <v>359</v>
      </c>
      <c r="G11" s="161" t="s">
        <v>36</v>
      </c>
      <c r="H11" s="120" t="s">
        <v>160</v>
      </c>
      <c r="I11" s="120" t="s">
        <v>159</v>
      </c>
      <c r="J11" s="120" t="s">
        <v>38</v>
      </c>
      <c r="K11" s="120" t="s">
        <v>161</v>
      </c>
      <c r="L11" s="53">
        <v>1</v>
      </c>
      <c r="N11" s="53">
        <v>1</v>
      </c>
      <c r="O11" s="53">
        <v>0.75</v>
      </c>
      <c r="P11" s="53">
        <v>0.7</v>
      </c>
      <c r="Q11" s="75">
        <f t="shared" si="2"/>
        <v>0.72499999999999998</v>
      </c>
      <c r="R11" s="168">
        <v>15.5</v>
      </c>
      <c r="S11" s="168">
        <v>122</v>
      </c>
      <c r="T11" s="16">
        <f t="shared" si="0"/>
        <v>30</v>
      </c>
      <c r="U11" s="164">
        <v>128</v>
      </c>
      <c r="V11" s="38">
        <f t="shared" si="1"/>
        <v>3840</v>
      </c>
      <c r="W11" s="165">
        <v>6</v>
      </c>
      <c r="X11" s="166" t="s">
        <v>46</v>
      </c>
      <c r="Y11" s="172" t="s">
        <v>88</v>
      </c>
      <c r="Z11" s="166" t="s">
        <v>78</v>
      </c>
      <c r="AA11" s="172" t="s">
        <v>226</v>
      </c>
      <c r="AB11" s="53" t="s">
        <v>158</v>
      </c>
      <c r="AE11" s="22" t="s">
        <v>65</v>
      </c>
      <c r="AG11" s="23" t="s">
        <v>243</v>
      </c>
      <c r="AH11" s="23" t="s">
        <v>366</v>
      </c>
      <c r="AL11" s="34"/>
      <c r="AP11" s="23" t="s">
        <v>104</v>
      </c>
      <c r="AR11" s="23" t="s">
        <v>87</v>
      </c>
      <c r="AV11" s="23" t="s">
        <v>69</v>
      </c>
    </row>
    <row r="12" spans="1:53" x14ac:dyDescent="0.15">
      <c r="A12" s="158" t="s">
        <v>34</v>
      </c>
      <c r="B12" s="158" t="s">
        <v>157</v>
      </c>
      <c r="C12" s="158">
        <v>2019</v>
      </c>
      <c r="D12" s="160" t="s">
        <v>357</v>
      </c>
      <c r="E12" s="159" t="s">
        <v>358</v>
      </c>
      <c r="F12" s="158" t="s">
        <v>359</v>
      </c>
      <c r="G12" s="161" t="s">
        <v>36</v>
      </c>
      <c r="H12" s="120" t="s">
        <v>160</v>
      </c>
      <c r="I12" s="120" t="s">
        <v>159</v>
      </c>
      <c r="J12" s="120" t="s">
        <v>38</v>
      </c>
      <c r="K12" s="120" t="s">
        <v>161</v>
      </c>
      <c r="L12" s="53">
        <v>2</v>
      </c>
      <c r="N12" s="53">
        <v>1</v>
      </c>
      <c r="O12" s="53">
        <v>0.6</v>
      </c>
      <c r="P12" s="53">
        <v>0.55000000000000004</v>
      </c>
      <c r="Q12" s="75">
        <f t="shared" si="2"/>
        <v>0.57499999999999996</v>
      </c>
      <c r="R12" s="168">
        <v>16.100000000000001</v>
      </c>
      <c r="S12" s="168">
        <v>125</v>
      </c>
      <c r="T12" s="16">
        <f t="shared" si="0"/>
        <v>30</v>
      </c>
      <c r="U12" s="164">
        <v>128</v>
      </c>
      <c r="V12" s="38">
        <f t="shared" si="1"/>
        <v>3840</v>
      </c>
      <c r="W12" s="165">
        <v>6</v>
      </c>
      <c r="X12" s="166" t="s">
        <v>46</v>
      </c>
      <c r="Y12" s="172" t="s">
        <v>88</v>
      </c>
      <c r="Z12" s="166" t="s">
        <v>78</v>
      </c>
      <c r="AA12" s="172" t="s">
        <v>226</v>
      </c>
      <c r="AB12" s="53" t="s">
        <v>158</v>
      </c>
      <c r="AE12" s="22" t="s">
        <v>70</v>
      </c>
      <c r="AG12" s="23"/>
      <c r="AH12" s="23"/>
      <c r="AL12" s="34"/>
      <c r="AP12" s="23" t="s">
        <v>67</v>
      </c>
      <c r="AR12" s="23" t="s">
        <v>124</v>
      </c>
      <c r="AV12" s="23" t="s">
        <v>72</v>
      </c>
    </row>
    <row r="13" spans="1:53" x14ac:dyDescent="0.15">
      <c r="A13" s="158" t="s">
        <v>34</v>
      </c>
      <c r="B13" s="158" t="s">
        <v>157</v>
      </c>
      <c r="C13" s="159">
        <v>2019</v>
      </c>
      <c r="D13" s="160" t="s">
        <v>357</v>
      </c>
      <c r="E13" s="159" t="s">
        <v>358</v>
      </c>
      <c r="F13" s="158" t="s">
        <v>359</v>
      </c>
      <c r="G13" s="161" t="s">
        <v>36</v>
      </c>
      <c r="H13" s="120" t="s">
        <v>160</v>
      </c>
      <c r="I13" s="120" t="s">
        <v>159</v>
      </c>
      <c r="J13" s="120" t="s">
        <v>38</v>
      </c>
      <c r="K13" s="120" t="s">
        <v>161</v>
      </c>
      <c r="L13" s="53">
        <v>3</v>
      </c>
      <c r="N13" s="53">
        <v>1</v>
      </c>
      <c r="O13" s="53">
        <v>0.7</v>
      </c>
      <c r="P13" s="53">
        <v>0.7</v>
      </c>
      <c r="Q13" s="75">
        <f t="shared" si="2"/>
        <v>0.7</v>
      </c>
      <c r="R13" s="168">
        <v>15.3</v>
      </c>
      <c r="S13" s="168">
        <v>119</v>
      </c>
      <c r="T13" s="16">
        <f t="shared" si="0"/>
        <v>30</v>
      </c>
      <c r="U13" s="164">
        <v>128</v>
      </c>
      <c r="V13" s="38">
        <f t="shared" si="1"/>
        <v>3840</v>
      </c>
      <c r="W13" s="165">
        <v>6</v>
      </c>
      <c r="X13" s="166" t="s">
        <v>46</v>
      </c>
      <c r="Y13" s="172" t="s">
        <v>88</v>
      </c>
      <c r="Z13" s="166" t="s">
        <v>78</v>
      </c>
      <c r="AA13" s="172" t="s">
        <v>226</v>
      </c>
      <c r="AB13" s="53" t="s">
        <v>158</v>
      </c>
      <c r="AE13" s="22" t="s">
        <v>73</v>
      </c>
      <c r="AG13" s="28"/>
      <c r="AH13" s="28"/>
      <c r="AP13" s="23" t="s">
        <v>71</v>
      </c>
      <c r="AR13" s="23" t="s">
        <v>103</v>
      </c>
      <c r="AV13" s="23" t="s">
        <v>75</v>
      </c>
    </row>
    <row r="14" spans="1:53" x14ac:dyDescent="0.15">
      <c r="A14" s="158" t="s">
        <v>34</v>
      </c>
      <c r="B14" s="158" t="s">
        <v>157</v>
      </c>
      <c r="C14" s="158">
        <v>2019</v>
      </c>
      <c r="D14" s="160" t="s">
        <v>357</v>
      </c>
      <c r="E14" s="159" t="s">
        <v>337</v>
      </c>
      <c r="F14" s="158" t="s">
        <v>359</v>
      </c>
      <c r="G14" s="161" t="s">
        <v>36</v>
      </c>
      <c r="H14" s="120" t="s">
        <v>164</v>
      </c>
      <c r="I14" s="120" t="s">
        <v>159</v>
      </c>
      <c r="J14" s="120" t="s">
        <v>38</v>
      </c>
      <c r="K14" s="120" t="s">
        <v>161</v>
      </c>
      <c r="L14" s="53">
        <v>1</v>
      </c>
      <c r="N14" s="53">
        <v>1</v>
      </c>
      <c r="O14" s="53">
        <v>0.8</v>
      </c>
      <c r="P14" s="53">
        <v>0.75</v>
      </c>
      <c r="Q14" s="75">
        <f t="shared" si="2"/>
        <v>0.77500000000000002</v>
      </c>
      <c r="R14" s="168">
        <v>13.7</v>
      </c>
      <c r="S14" s="168">
        <v>108</v>
      </c>
      <c r="T14" s="16">
        <f t="shared" si="0"/>
        <v>33</v>
      </c>
      <c r="U14" s="164">
        <v>98</v>
      </c>
      <c r="V14" s="38">
        <f t="shared" si="1"/>
        <v>3234</v>
      </c>
      <c r="W14" s="165">
        <v>4</v>
      </c>
      <c r="X14" s="166" t="s">
        <v>46</v>
      </c>
      <c r="Y14" s="172" t="s">
        <v>78</v>
      </c>
      <c r="Z14" s="172" t="s">
        <v>226</v>
      </c>
      <c r="AA14" s="172" t="s">
        <v>102</v>
      </c>
      <c r="AB14" s="53" t="s">
        <v>158</v>
      </c>
      <c r="AC14" s="34"/>
      <c r="AE14" s="22" t="s">
        <v>76</v>
      </c>
      <c r="AP14" s="23" t="s">
        <v>74</v>
      </c>
      <c r="AR14" s="23" t="s">
        <v>125</v>
      </c>
      <c r="AV14" s="23" t="s">
        <v>78</v>
      </c>
    </row>
    <row r="15" spans="1:53" x14ac:dyDescent="0.15">
      <c r="A15" s="158" t="s">
        <v>34</v>
      </c>
      <c r="B15" s="158" t="s">
        <v>157</v>
      </c>
      <c r="C15" s="159">
        <v>2019</v>
      </c>
      <c r="D15" s="160" t="s">
        <v>357</v>
      </c>
      <c r="E15" s="159" t="s">
        <v>337</v>
      </c>
      <c r="F15" s="158" t="s">
        <v>359</v>
      </c>
      <c r="G15" s="161" t="s">
        <v>36</v>
      </c>
      <c r="H15" s="120" t="s">
        <v>164</v>
      </c>
      <c r="I15" s="120" t="s">
        <v>159</v>
      </c>
      <c r="J15" s="120" t="s">
        <v>38</v>
      </c>
      <c r="K15" s="120" t="s">
        <v>161</v>
      </c>
      <c r="L15" s="53">
        <v>2</v>
      </c>
      <c r="N15" s="53">
        <v>1</v>
      </c>
      <c r="O15" s="53">
        <v>0.7</v>
      </c>
      <c r="P15" s="53">
        <v>0.6</v>
      </c>
      <c r="Q15" s="75">
        <f t="shared" si="2"/>
        <v>0.64999999999999991</v>
      </c>
      <c r="R15" s="168">
        <v>14.7</v>
      </c>
      <c r="S15" s="168">
        <v>115</v>
      </c>
      <c r="T15" s="16">
        <f t="shared" si="0"/>
        <v>30</v>
      </c>
      <c r="U15" s="164">
        <v>98</v>
      </c>
      <c r="V15" s="38">
        <f t="shared" si="1"/>
        <v>2940</v>
      </c>
      <c r="W15" s="165">
        <v>4</v>
      </c>
      <c r="X15" s="166" t="s">
        <v>46</v>
      </c>
      <c r="Y15" s="172" t="s">
        <v>78</v>
      </c>
      <c r="Z15" s="172" t="s">
        <v>226</v>
      </c>
      <c r="AA15" s="172" t="s">
        <v>102</v>
      </c>
      <c r="AB15" s="53" t="s">
        <v>158</v>
      </c>
      <c r="AC15" s="34"/>
      <c r="AE15" s="22" t="s">
        <v>79</v>
      </c>
      <c r="AP15" s="23" t="s">
        <v>77</v>
      </c>
      <c r="AR15" s="23" t="s">
        <v>94</v>
      </c>
      <c r="AV15" s="23" t="s">
        <v>107</v>
      </c>
    </row>
    <row r="16" spans="1:53" x14ac:dyDescent="0.15">
      <c r="A16" s="158" t="s">
        <v>34</v>
      </c>
      <c r="B16" s="158" t="s">
        <v>157</v>
      </c>
      <c r="C16" s="158">
        <v>2019</v>
      </c>
      <c r="D16" s="160" t="s">
        <v>357</v>
      </c>
      <c r="E16" s="159" t="s">
        <v>337</v>
      </c>
      <c r="F16" s="158" t="s">
        <v>359</v>
      </c>
      <c r="G16" s="161" t="s">
        <v>36</v>
      </c>
      <c r="H16" s="120" t="s">
        <v>164</v>
      </c>
      <c r="I16" s="120" t="s">
        <v>159</v>
      </c>
      <c r="J16" s="120" t="s">
        <v>38</v>
      </c>
      <c r="K16" s="120" t="s">
        <v>161</v>
      </c>
      <c r="L16" s="53">
        <v>3</v>
      </c>
      <c r="N16" s="53">
        <v>1</v>
      </c>
      <c r="O16" s="53">
        <v>0.7</v>
      </c>
      <c r="P16" s="53">
        <v>0.65</v>
      </c>
      <c r="Q16" s="75">
        <f t="shared" si="2"/>
        <v>0.67500000000000004</v>
      </c>
      <c r="R16" s="168">
        <v>15.2</v>
      </c>
      <c r="S16" s="168">
        <v>113</v>
      </c>
      <c r="T16" s="16">
        <f t="shared" si="0"/>
        <v>30</v>
      </c>
      <c r="U16" s="164">
        <v>98</v>
      </c>
      <c r="V16" s="38">
        <f t="shared" si="1"/>
        <v>2940</v>
      </c>
      <c r="W16" s="165">
        <v>4</v>
      </c>
      <c r="X16" s="166" t="s">
        <v>46</v>
      </c>
      <c r="Y16" s="172" t="s">
        <v>78</v>
      </c>
      <c r="Z16" s="172" t="s">
        <v>226</v>
      </c>
      <c r="AA16" s="172" t="s">
        <v>102</v>
      </c>
      <c r="AB16" s="53" t="s">
        <v>158</v>
      </c>
      <c r="AC16" s="34"/>
      <c r="AE16" s="22" t="s">
        <v>82</v>
      </c>
      <c r="AP16" s="23" t="s">
        <v>80</v>
      </c>
      <c r="AR16" s="23" t="s">
        <v>63</v>
      </c>
      <c r="AV16" s="23" t="s">
        <v>84</v>
      </c>
    </row>
    <row r="17" spans="1:48" x14ac:dyDescent="0.15">
      <c r="A17" s="158" t="s">
        <v>34</v>
      </c>
      <c r="B17" s="158" t="s">
        <v>257</v>
      </c>
      <c r="C17" s="159">
        <v>2019</v>
      </c>
      <c r="D17" s="160" t="s">
        <v>357</v>
      </c>
      <c r="E17" s="159" t="s">
        <v>337</v>
      </c>
      <c r="F17" s="158" t="s">
        <v>359</v>
      </c>
      <c r="G17" s="161" t="s">
        <v>36</v>
      </c>
      <c r="H17" s="120" t="s">
        <v>160</v>
      </c>
      <c r="I17" s="120" t="s">
        <v>159</v>
      </c>
      <c r="J17" s="120" t="s">
        <v>38</v>
      </c>
      <c r="K17" s="120" t="s">
        <v>161</v>
      </c>
      <c r="L17" s="53">
        <v>1</v>
      </c>
      <c r="N17" s="53">
        <v>1</v>
      </c>
      <c r="O17" s="53">
        <v>0.75</v>
      </c>
      <c r="P17" s="53">
        <v>0.7</v>
      </c>
      <c r="Q17" s="75">
        <f t="shared" si="2"/>
        <v>0.72499999999999998</v>
      </c>
      <c r="R17" s="168">
        <v>16.399999999999999</v>
      </c>
      <c r="S17" s="168">
        <v>116</v>
      </c>
      <c r="T17" s="16">
        <f t="shared" si="0"/>
        <v>30</v>
      </c>
      <c r="U17" s="164">
        <v>128</v>
      </c>
      <c r="V17" s="38">
        <f t="shared" si="1"/>
        <v>3840</v>
      </c>
      <c r="W17" s="165">
        <v>4</v>
      </c>
      <c r="X17" s="166" t="s">
        <v>46</v>
      </c>
      <c r="Y17" s="172" t="s">
        <v>78</v>
      </c>
      <c r="Z17" s="172" t="s">
        <v>226</v>
      </c>
      <c r="AA17" s="172" t="s">
        <v>102</v>
      </c>
      <c r="AB17" s="53" t="s">
        <v>158</v>
      </c>
      <c r="AC17" s="34"/>
      <c r="AE17" s="22" t="s">
        <v>85</v>
      </c>
      <c r="AP17" s="27" t="s">
        <v>110</v>
      </c>
      <c r="AR17" s="23" t="s">
        <v>96</v>
      </c>
      <c r="AV17" s="23" t="s">
        <v>86</v>
      </c>
    </row>
    <row r="18" spans="1:48" x14ac:dyDescent="0.15">
      <c r="A18" s="158" t="s">
        <v>34</v>
      </c>
      <c r="B18" s="158" t="s">
        <v>157</v>
      </c>
      <c r="C18" s="158">
        <v>2019</v>
      </c>
      <c r="D18" s="160" t="s">
        <v>357</v>
      </c>
      <c r="E18" s="159" t="s">
        <v>337</v>
      </c>
      <c r="F18" s="158" t="s">
        <v>359</v>
      </c>
      <c r="G18" s="161" t="s">
        <v>36</v>
      </c>
      <c r="H18" s="120" t="s">
        <v>160</v>
      </c>
      <c r="I18" s="120" t="s">
        <v>159</v>
      </c>
      <c r="J18" s="120" t="s">
        <v>38</v>
      </c>
      <c r="K18" s="120" t="s">
        <v>161</v>
      </c>
      <c r="L18" s="53">
        <v>2</v>
      </c>
      <c r="N18" s="53">
        <v>1</v>
      </c>
      <c r="O18" s="53">
        <v>0.8</v>
      </c>
      <c r="P18" s="53">
        <v>0.7</v>
      </c>
      <c r="Q18" s="75">
        <f t="shared" si="2"/>
        <v>0.75</v>
      </c>
      <c r="R18" s="168">
        <v>16.399999999999999</v>
      </c>
      <c r="S18" s="168">
        <v>118</v>
      </c>
      <c r="T18" s="16">
        <f t="shared" si="0"/>
        <v>30</v>
      </c>
      <c r="U18" s="164">
        <v>128</v>
      </c>
      <c r="V18" s="38">
        <f t="shared" si="1"/>
        <v>3840</v>
      </c>
      <c r="W18" s="165">
        <v>4</v>
      </c>
      <c r="X18" s="166" t="s">
        <v>46</v>
      </c>
      <c r="Y18" s="172" t="s">
        <v>78</v>
      </c>
      <c r="Z18" s="172" t="s">
        <v>226</v>
      </c>
      <c r="AA18" s="172" t="s">
        <v>102</v>
      </c>
      <c r="AB18" s="53" t="s">
        <v>158</v>
      </c>
      <c r="AC18" s="34"/>
      <c r="AE18" s="22" t="s">
        <v>87</v>
      </c>
      <c r="AP18" s="27" t="s">
        <v>111</v>
      </c>
      <c r="AR18" s="23" t="s">
        <v>101</v>
      </c>
      <c r="AV18" s="23" t="s">
        <v>88</v>
      </c>
    </row>
    <row r="19" spans="1:48" x14ac:dyDescent="0.15">
      <c r="A19" s="158" t="s">
        <v>34</v>
      </c>
      <c r="B19" s="158" t="s">
        <v>157</v>
      </c>
      <c r="C19" s="159">
        <v>2019</v>
      </c>
      <c r="D19" s="160" t="s">
        <v>357</v>
      </c>
      <c r="E19" s="159" t="s">
        <v>337</v>
      </c>
      <c r="F19" s="158" t="s">
        <v>359</v>
      </c>
      <c r="G19" s="161" t="s">
        <v>36</v>
      </c>
      <c r="H19" s="120" t="s">
        <v>160</v>
      </c>
      <c r="I19" s="120" t="s">
        <v>159</v>
      </c>
      <c r="J19" s="120" t="s">
        <v>38</v>
      </c>
      <c r="K19" s="120" t="s">
        <v>161</v>
      </c>
      <c r="L19" s="53">
        <v>3</v>
      </c>
      <c r="N19" s="53">
        <v>1</v>
      </c>
      <c r="O19" s="53">
        <v>0.7</v>
      </c>
      <c r="P19" s="53">
        <v>0.8</v>
      </c>
      <c r="Q19" s="75">
        <f t="shared" si="2"/>
        <v>0.75</v>
      </c>
      <c r="R19" s="168">
        <v>16.3</v>
      </c>
      <c r="S19" s="168">
        <v>109</v>
      </c>
      <c r="T19" s="16">
        <f t="shared" si="0"/>
        <v>33</v>
      </c>
      <c r="U19" s="164">
        <v>128</v>
      </c>
      <c r="V19" s="38">
        <f t="shared" si="1"/>
        <v>4224</v>
      </c>
      <c r="W19" s="165">
        <v>4</v>
      </c>
      <c r="X19" s="166" t="s">
        <v>46</v>
      </c>
      <c r="Y19" s="172" t="s">
        <v>78</v>
      </c>
      <c r="Z19" s="172" t="s">
        <v>226</v>
      </c>
      <c r="AA19" s="172" t="s">
        <v>102</v>
      </c>
      <c r="AB19" s="53" t="s">
        <v>158</v>
      </c>
      <c r="AC19" s="34"/>
      <c r="AE19" s="35" t="s">
        <v>89</v>
      </c>
      <c r="AP19" s="27" t="s">
        <v>112</v>
      </c>
      <c r="AR19" s="23" t="s">
        <v>126</v>
      </c>
      <c r="AV19" s="23" t="s">
        <v>90</v>
      </c>
    </row>
    <row r="20" spans="1:48" x14ac:dyDescent="0.15">
      <c r="A20" s="158" t="s">
        <v>34</v>
      </c>
      <c r="B20" s="158" t="s">
        <v>157</v>
      </c>
      <c r="C20" s="158">
        <v>2019</v>
      </c>
      <c r="D20" s="160" t="s">
        <v>357</v>
      </c>
      <c r="E20" s="159" t="s">
        <v>355</v>
      </c>
      <c r="F20" s="158" t="s">
        <v>360</v>
      </c>
      <c r="G20" s="161" t="s">
        <v>36</v>
      </c>
      <c r="H20" s="120" t="s">
        <v>164</v>
      </c>
      <c r="I20" s="120" t="s">
        <v>159</v>
      </c>
      <c r="J20" s="120" t="s">
        <v>38</v>
      </c>
      <c r="K20" s="120" t="s">
        <v>161</v>
      </c>
      <c r="L20" s="53">
        <v>1</v>
      </c>
      <c r="N20" s="53">
        <v>1</v>
      </c>
      <c r="O20" s="53">
        <v>0.95</v>
      </c>
      <c r="P20" s="53">
        <v>1</v>
      </c>
      <c r="Q20" s="75">
        <f t="shared" si="2"/>
        <v>0.97499999999999998</v>
      </c>
      <c r="R20" s="168">
        <v>14.8</v>
      </c>
      <c r="S20" s="168">
        <v>120</v>
      </c>
      <c r="T20" s="16">
        <f t="shared" si="0"/>
        <v>30</v>
      </c>
      <c r="U20" s="164">
        <v>128</v>
      </c>
      <c r="V20" s="38">
        <f t="shared" si="1"/>
        <v>3840</v>
      </c>
      <c r="W20" s="165">
        <v>6</v>
      </c>
      <c r="X20" s="166" t="s">
        <v>39</v>
      </c>
      <c r="Y20" s="172" t="s">
        <v>97</v>
      </c>
      <c r="Z20" s="172" t="s">
        <v>88</v>
      </c>
      <c r="AA20" s="172" t="s">
        <v>102</v>
      </c>
      <c r="AB20" s="53" t="s">
        <v>158</v>
      </c>
      <c r="AE20" s="35"/>
      <c r="AP20" s="27" t="s">
        <v>113</v>
      </c>
      <c r="AR20" s="23" t="s">
        <v>105</v>
      </c>
      <c r="AV20" s="27" t="s">
        <v>135</v>
      </c>
    </row>
    <row r="21" spans="1:48" x14ac:dyDescent="0.15">
      <c r="A21" s="158" t="s">
        <v>34</v>
      </c>
      <c r="B21" s="158" t="s">
        <v>157</v>
      </c>
      <c r="C21" s="159">
        <v>2019</v>
      </c>
      <c r="D21" s="160" t="s">
        <v>357</v>
      </c>
      <c r="E21" s="159" t="s">
        <v>355</v>
      </c>
      <c r="F21" s="158" t="s">
        <v>360</v>
      </c>
      <c r="G21" s="161" t="s">
        <v>36</v>
      </c>
      <c r="H21" s="120" t="s">
        <v>164</v>
      </c>
      <c r="I21" s="120" t="s">
        <v>159</v>
      </c>
      <c r="J21" s="120" t="s">
        <v>38</v>
      </c>
      <c r="K21" s="120" t="s">
        <v>161</v>
      </c>
      <c r="L21" s="53">
        <v>2</v>
      </c>
      <c r="N21" s="53">
        <v>1</v>
      </c>
      <c r="O21" s="53">
        <v>0.8</v>
      </c>
      <c r="P21" s="53">
        <v>0.85</v>
      </c>
      <c r="Q21" s="75">
        <f t="shared" si="2"/>
        <v>0.82499999999999996</v>
      </c>
      <c r="R21" s="168">
        <v>15.2</v>
      </c>
      <c r="S21" s="168">
        <v>121</v>
      </c>
      <c r="T21" s="16">
        <f t="shared" si="0"/>
        <v>30</v>
      </c>
      <c r="U21" s="164">
        <v>128</v>
      </c>
      <c r="V21" s="38">
        <f t="shared" si="1"/>
        <v>3840</v>
      </c>
      <c r="W21" s="165">
        <v>6</v>
      </c>
      <c r="X21" s="166" t="s">
        <v>39</v>
      </c>
      <c r="Y21" s="172" t="s">
        <v>97</v>
      </c>
      <c r="Z21" s="172" t="s">
        <v>88</v>
      </c>
      <c r="AA21" s="172" t="s">
        <v>102</v>
      </c>
      <c r="AB21" s="53" t="s">
        <v>158</v>
      </c>
      <c r="AE21" s="28"/>
      <c r="AP21" s="27" t="s">
        <v>114</v>
      </c>
      <c r="AR21" s="23" t="s">
        <v>68</v>
      </c>
      <c r="AV21" s="27" t="s">
        <v>136</v>
      </c>
    </row>
    <row r="22" spans="1:48" x14ac:dyDescent="0.15">
      <c r="A22" s="158" t="s">
        <v>34</v>
      </c>
      <c r="B22" s="158" t="s">
        <v>157</v>
      </c>
      <c r="C22" s="158">
        <v>2019</v>
      </c>
      <c r="D22" s="160" t="s">
        <v>357</v>
      </c>
      <c r="E22" s="159" t="s">
        <v>355</v>
      </c>
      <c r="F22" s="158" t="s">
        <v>360</v>
      </c>
      <c r="G22" s="161" t="s">
        <v>36</v>
      </c>
      <c r="H22" s="120" t="s">
        <v>164</v>
      </c>
      <c r="I22" s="120" t="s">
        <v>159</v>
      </c>
      <c r="J22" s="120" t="s">
        <v>38</v>
      </c>
      <c r="K22" s="120" t="s">
        <v>161</v>
      </c>
      <c r="L22" s="53">
        <v>3</v>
      </c>
      <c r="N22" s="53">
        <v>1</v>
      </c>
      <c r="O22" s="53">
        <v>0.8</v>
      </c>
      <c r="P22" s="34">
        <v>0.8</v>
      </c>
      <c r="Q22" s="75">
        <f t="shared" si="2"/>
        <v>0.8</v>
      </c>
      <c r="R22" s="168">
        <v>14.6</v>
      </c>
      <c r="S22" s="168">
        <v>120</v>
      </c>
      <c r="T22" s="16">
        <f t="shared" si="0"/>
        <v>30</v>
      </c>
      <c r="U22" s="164">
        <v>128</v>
      </c>
      <c r="V22" s="38">
        <f t="shared" si="1"/>
        <v>3840</v>
      </c>
      <c r="W22" s="165">
        <v>6</v>
      </c>
      <c r="X22" s="166" t="s">
        <v>39</v>
      </c>
      <c r="Y22" s="172" t="s">
        <v>97</v>
      </c>
      <c r="Z22" s="172" t="s">
        <v>88</v>
      </c>
      <c r="AA22" s="172" t="s">
        <v>102</v>
      </c>
      <c r="AB22" s="53" t="s">
        <v>158</v>
      </c>
      <c r="AP22" s="27" t="s">
        <v>115</v>
      </c>
      <c r="AR22" s="23" t="s">
        <v>83</v>
      </c>
      <c r="AV22" s="23"/>
    </row>
    <row r="23" spans="1:48" x14ac:dyDescent="0.15">
      <c r="A23" s="158" t="s">
        <v>34</v>
      </c>
      <c r="B23" s="158" t="s">
        <v>157</v>
      </c>
      <c r="C23" s="159">
        <v>2019</v>
      </c>
      <c r="D23" s="160" t="s">
        <v>357</v>
      </c>
      <c r="E23" s="159" t="s">
        <v>355</v>
      </c>
      <c r="F23" s="158" t="s">
        <v>360</v>
      </c>
      <c r="G23" s="161" t="s">
        <v>36</v>
      </c>
      <c r="H23" s="120" t="s">
        <v>160</v>
      </c>
      <c r="I23" s="120" t="s">
        <v>159</v>
      </c>
      <c r="J23" s="120" t="s">
        <v>38</v>
      </c>
      <c r="K23" s="120" t="s">
        <v>161</v>
      </c>
      <c r="L23" s="53">
        <v>1</v>
      </c>
      <c r="N23" s="53">
        <v>1</v>
      </c>
      <c r="O23" s="53">
        <v>0.85</v>
      </c>
      <c r="P23" s="34">
        <v>0.7</v>
      </c>
      <c r="Q23" s="75">
        <f t="shared" si="2"/>
        <v>0.77499999999999991</v>
      </c>
      <c r="R23" s="168">
        <v>17.600000000000001</v>
      </c>
      <c r="S23" s="168">
        <v>117</v>
      </c>
      <c r="T23" s="16">
        <f t="shared" si="0"/>
        <v>30</v>
      </c>
      <c r="U23" s="164">
        <v>138</v>
      </c>
      <c r="V23" s="38">
        <f t="shared" si="1"/>
        <v>4140</v>
      </c>
      <c r="W23" s="165">
        <v>6</v>
      </c>
      <c r="X23" s="166" t="s">
        <v>39</v>
      </c>
      <c r="Y23" s="172" t="s">
        <v>97</v>
      </c>
      <c r="Z23" s="172" t="s">
        <v>88</v>
      </c>
      <c r="AA23" s="172" t="s">
        <v>102</v>
      </c>
      <c r="AB23" s="53" t="s">
        <v>158</v>
      </c>
      <c r="AP23" s="27" t="s">
        <v>137</v>
      </c>
      <c r="AR23" s="23" t="s">
        <v>61</v>
      </c>
      <c r="AV23" s="23"/>
    </row>
    <row r="24" spans="1:48" x14ac:dyDescent="0.15">
      <c r="A24" s="158" t="s">
        <v>34</v>
      </c>
      <c r="B24" s="158" t="s">
        <v>157</v>
      </c>
      <c r="C24" s="158">
        <v>2019</v>
      </c>
      <c r="D24" s="160" t="s">
        <v>357</v>
      </c>
      <c r="E24" s="159" t="s">
        <v>355</v>
      </c>
      <c r="F24" s="158" t="s">
        <v>360</v>
      </c>
      <c r="G24" s="161" t="s">
        <v>36</v>
      </c>
      <c r="H24" s="120" t="s">
        <v>160</v>
      </c>
      <c r="I24" s="120" t="s">
        <v>159</v>
      </c>
      <c r="J24" s="120" t="s">
        <v>38</v>
      </c>
      <c r="K24" s="120" t="s">
        <v>161</v>
      </c>
      <c r="L24" s="53">
        <v>2</v>
      </c>
      <c r="N24" s="53">
        <v>1</v>
      </c>
      <c r="O24" s="53">
        <v>0.7</v>
      </c>
      <c r="P24" s="34">
        <v>0.75</v>
      </c>
      <c r="Q24" s="75">
        <f t="shared" si="2"/>
        <v>0.72499999999999998</v>
      </c>
      <c r="R24" s="168">
        <v>17.7</v>
      </c>
      <c r="S24" s="168">
        <v>123</v>
      </c>
      <c r="T24" s="16">
        <f t="shared" si="0"/>
        <v>30</v>
      </c>
      <c r="U24" s="164">
        <v>138</v>
      </c>
      <c r="V24" s="38">
        <f t="shared" si="1"/>
        <v>4140</v>
      </c>
      <c r="W24" s="165">
        <v>6</v>
      </c>
      <c r="X24" s="166" t="s">
        <v>39</v>
      </c>
      <c r="Y24" s="172" t="s">
        <v>97</v>
      </c>
      <c r="Z24" s="172" t="s">
        <v>88</v>
      </c>
      <c r="AA24" s="172" t="s">
        <v>102</v>
      </c>
      <c r="AB24" s="53" t="s">
        <v>158</v>
      </c>
      <c r="AP24" s="27" t="s">
        <v>138</v>
      </c>
      <c r="AR24" s="23" t="s">
        <v>91</v>
      </c>
      <c r="AV24" s="23"/>
    </row>
    <row r="25" spans="1:48" x14ac:dyDescent="0.15">
      <c r="A25" s="158" t="s">
        <v>34</v>
      </c>
      <c r="B25" s="158" t="s">
        <v>157</v>
      </c>
      <c r="C25" s="159">
        <v>2019</v>
      </c>
      <c r="D25" s="160" t="s">
        <v>357</v>
      </c>
      <c r="E25" s="159" t="s">
        <v>355</v>
      </c>
      <c r="F25" s="158" t="s">
        <v>360</v>
      </c>
      <c r="G25" s="161" t="s">
        <v>36</v>
      </c>
      <c r="H25" s="120" t="s">
        <v>160</v>
      </c>
      <c r="I25" s="120" t="s">
        <v>159</v>
      </c>
      <c r="J25" s="120" t="s">
        <v>38</v>
      </c>
      <c r="K25" s="120" t="s">
        <v>161</v>
      </c>
      <c r="L25" s="53">
        <v>3</v>
      </c>
      <c r="N25" s="53">
        <v>1</v>
      </c>
      <c r="O25" s="53">
        <v>0.65</v>
      </c>
      <c r="P25" s="34">
        <v>0.6</v>
      </c>
      <c r="Q25" s="75">
        <f t="shared" si="2"/>
        <v>0.625</v>
      </c>
      <c r="R25" s="168">
        <v>18.399999999999999</v>
      </c>
      <c r="S25" s="168">
        <v>119</v>
      </c>
      <c r="T25" s="16">
        <f t="shared" si="0"/>
        <v>30</v>
      </c>
      <c r="U25" s="164">
        <v>138</v>
      </c>
      <c r="V25" s="38">
        <f t="shared" si="1"/>
        <v>4140</v>
      </c>
      <c r="W25" s="165">
        <v>6</v>
      </c>
      <c r="X25" s="166" t="s">
        <v>39</v>
      </c>
      <c r="Y25" s="172" t="s">
        <v>97</v>
      </c>
      <c r="Z25" s="172" t="s">
        <v>88</v>
      </c>
      <c r="AA25" s="172" t="s">
        <v>102</v>
      </c>
      <c r="AB25" s="53" t="s">
        <v>158</v>
      </c>
      <c r="AP25" s="27" t="s">
        <v>116</v>
      </c>
      <c r="AR25" s="27" t="s">
        <v>92</v>
      </c>
      <c r="AV25" s="23"/>
    </row>
    <row r="26" spans="1:48" x14ac:dyDescent="0.15">
      <c r="A26" s="158" t="s">
        <v>34</v>
      </c>
      <c r="B26" s="158" t="s">
        <v>157</v>
      </c>
      <c r="C26" s="158">
        <v>2019</v>
      </c>
      <c r="D26" s="160" t="s">
        <v>357</v>
      </c>
      <c r="E26" s="159" t="s">
        <v>211</v>
      </c>
      <c r="F26" s="158" t="s">
        <v>361</v>
      </c>
      <c r="G26" s="161" t="s">
        <v>42</v>
      </c>
      <c r="H26" s="120" t="s">
        <v>164</v>
      </c>
      <c r="I26" s="120" t="s">
        <v>159</v>
      </c>
      <c r="J26" s="120" t="s">
        <v>38</v>
      </c>
      <c r="K26" s="120" t="s">
        <v>161</v>
      </c>
      <c r="L26" s="53">
        <v>1</v>
      </c>
      <c r="N26" s="53">
        <v>1</v>
      </c>
      <c r="O26" s="53">
        <v>0.65</v>
      </c>
      <c r="P26" s="53">
        <v>0.7</v>
      </c>
      <c r="Q26" s="75">
        <f t="shared" si="2"/>
        <v>0.67500000000000004</v>
      </c>
      <c r="R26" s="168">
        <v>14.8</v>
      </c>
      <c r="S26" s="168">
        <v>118</v>
      </c>
      <c r="T26" s="16">
        <f t="shared" si="0"/>
        <v>30</v>
      </c>
      <c r="U26" s="164">
        <v>97</v>
      </c>
      <c r="V26" s="38">
        <f t="shared" si="1"/>
        <v>2910</v>
      </c>
      <c r="W26" s="165">
        <v>8</v>
      </c>
      <c r="X26" s="166" t="s">
        <v>46</v>
      </c>
      <c r="Y26" s="172" t="s">
        <v>78</v>
      </c>
      <c r="Z26" s="172" t="s">
        <v>88</v>
      </c>
      <c r="AA26" s="172" t="s">
        <v>102</v>
      </c>
      <c r="AB26" s="53" t="s">
        <v>158</v>
      </c>
      <c r="AP26" s="27" t="s">
        <v>117</v>
      </c>
      <c r="AR26" s="23" t="s">
        <v>153</v>
      </c>
      <c r="AV26" s="27"/>
    </row>
    <row r="27" spans="1:48" x14ac:dyDescent="0.15">
      <c r="A27" s="158" t="s">
        <v>34</v>
      </c>
      <c r="B27" s="158" t="s">
        <v>157</v>
      </c>
      <c r="C27" s="159">
        <v>2019</v>
      </c>
      <c r="D27" s="160" t="s">
        <v>357</v>
      </c>
      <c r="E27" s="159" t="s">
        <v>211</v>
      </c>
      <c r="F27" s="158" t="s">
        <v>361</v>
      </c>
      <c r="G27" s="161" t="s">
        <v>42</v>
      </c>
      <c r="H27" s="120" t="s">
        <v>164</v>
      </c>
      <c r="I27" s="120" t="s">
        <v>159</v>
      </c>
      <c r="J27" s="120" t="s">
        <v>38</v>
      </c>
      <c r="K27" s="120" t="s">
        <v>161</v>
      </c>
      <c r="L27" s="53">
        <v>2</v>
      </c>
      <c r="N27" s="53">
        <v>1</v>
      </c>
      <c r="O27" s="34">
        <v>0.5</v>
      </c>
      <c r="P27" s="53">
        <v>0.6</v>
      </c>
      <c r="Q27" s="75">
        <f t="shared" si="2"/>
        <v>0.55000000000000004</v>
      </c>
      <c r="R27" s="168">
        <v>15</v>
      </c>
      <c r="S27" s="168">
        <v>120</v>
      </c>
      <c r="T27" s="16">
        <f t="shared" si="0"/>
        <v>30</v>
      </c>
      <c r="U27" s="164">
        <v>97</v>
      </c>
      <c r="V27" s="38">
        <f t="shared" si="1"/>
        <v>2910</v>
      </c>
      <c r="W27" s="165">
        <v>8</v>
      </c>
      <c r="X27" s="166" t="s">
        <v>46</v>
      </c>
      <c r="Y27" s="172" t="s">
        <v>78</v>
      </c>
      <c r="Z27" s="172" t="s">
        <v>88</v>
      </c>
      <c r="AA27" s="172" t="s">
        <v>102</v>
      </c>
      <c r="AB27" s="53" t="s">
        <v>158</v>
      </c>
      <c r="AP27" s="27" t="s">
        <v>118</v>
      </c>
      <c r="AR27" s="23"/>
    </row>
    <row r="28" spans="1:48" x14ac:dyDescent="0.15">
      <c r="A28" s="158" t="s">
        <v>34</v>
      </c>
      <c r="B28" s="158" t="s">
        <v>157</v>
      </c>
      <c r="C28" s="158">
        <v>2019</v>
      </c>
      <c r="D28" s="160" t="s">
        <v>357</v>
      </c>
      <c r="E28" s="159" t="s">
        <v>211</v>
      </c>
      <c r="F28" s="158" t="s">
        <v>361</v>
      </c>
      <c r="G28" s="161" t="s">
        <v>42</v>
      </c>
      <c r="H28" s="120" t="s">
        <v>164</v>
      </c>
      <c r="I28" s="120" t="s">
        <v>159</v>
      </c>
      <c r="J28" s="120" t="s">
        <v>38</v>
      </c>
      <c r="K28" s="120" t="s">
        <v>161</v>
      </c>
      <c r="L28" s="53">
        <v>3</v>
      </c>
      <c r="N28" s="53">
        <v>1</v>
      </c>
      <c r="O28" s="34">
        <v>0.55000000000000004</v>
      </c>
      <c r="P28" s="53">
        <v>0.6</v>
      </c>
      <c r="Q28" s="75">
        <f t="shared" si="2"/>
        <v>0.57499999999999996</v>
      </c>
      <c r="R28" s="168">
        <v>14.8</v>
      </c>
      <c r="S28" s="168">
        <v>100</v>
      </c>
      <c r="T28" s="16">
        <f t="shared" si="0"/>
        <v>33</v>
      </c>
      <c r="U28" s="164">
        <v>97</v>
      </c>
      <c r="V28" s="38">
        <f t="shared" si="1"/>
        <v>3201</v>
      </c>
      <c r="W28" s="165">
        <v>8</v>
      </c>
      <c r="X28" s="166" t="s">
        <v>46</v>
      </c>
      <c r="Y28" s="172" t="s">
        <v>78</v>
      </c>
      <c r="Z28" s="172" t="s">
        <v>88</v>
      </c>
      <c r="AA28" s="172" t="s">
        <v>102</v>
      </c>
      <c r="AB28" s="53" t="s">
        <v>158</v>
      </c>
      <c r="AR28" s="23"/>
    </row>
    <row r="29" spans="1:48" x14ac:dyDescent="0.15">
      <c r="A29" s="158" t="s">
        <v>34</v>
      </c>
      <c r="B29" s="158" t="s">
        <v>157</v>
      </c>
      <c r="C29" s="158">
        <v>2019</v>
      </c>
      <c r="D29" s="160" t="s">
        <v>357</v>
      </c>
      <c r="E29" s="159" t="s">
        <v>211</v>
      </c>
      <c r="F29" s="158" t="s">
        <v>361</v>
      </c>
      <c r="G29" s="161" t="s">
        <v>42</v>
      </c>
      <c r="H29" s="120" t="s">
        <v>160</v>
      </c>
      <c r="I29" s="120" t="s">
        <v>159</v>
      </c>
      <c r="J29" s="120" t="s">
        <v>38</v>
      </c>
      <c r="K29" s="120" t="s">
        <v>161</v>
      </c>
      <c r="L29" s="53">
        <v>1</v>
      </c>
      <c r="N29" s="53">
        <v>4</v>
      </c>
      <c r="O29" s="53">
        <v>0.4</v>
      </c>
      <c r="P29" s="53">
        <v>0.5</v>
      </c>
      <c r="Q29" s="75">
        <f t="shared" si="2"/>
        <v>0.45</v>
      </c>
      <c r="R29" s="168">
        <v>15.8</v>
      </c>
      <c r="S29" s="168">
        <v>103</v>
      </c>
      <c r="T29" s="16">
        <f t="shared" si="0"/>
        <v>33</v>
      </c>
      <c r="U29" s="164">
        <v>377</v>
      </c>
      <c r="V29" s="38">
        <f t="shared" si="1"/>
        <v>3110.25</v>
      </c>
      <c r="W29" s="165">
        <v>8</v>
      </c>
      <c r="X29" s="166" t="s">
        <v>46</v>
      </c>
      <c r="Y29" s="172" t="s">
        <v>78</v>
      </c>
      <c r="Z29" s="172" t="s">
        <v>88</v>
      </c>
      <c r="AA29" s="172" t="s">
        <v>102</v>
      </c>
      <c r="AB29" s="53" t="s">
        <v>158</v>
      </c>
      <c r="AR29" s="28"/>
    </row>
    <row r="30" spans="1:48" x14ac:dyDescent="0.15">
      <c r="A30" s="158" t="s">
        <v>34</v>
      </c>
      <c r="B30" s="158" t="s">
        <v>157</v>
      </c>
      <c r="C30" s="159">
        <v>2019</v>
      </c>
      <c r="D30" s="160" t="s">
        <v>357</v>
      </c>
      <c r="E30" s="159" t="s">
        <v>211</v>
      </c>
      <c r="F30" s="158" t="s">
        <v>361</v>
      </c>
      <c r="G30" s="161" t="s">
        <v>42</v>
      </c>
      <c r="H30" s="120" t="s">
        <v>160</v>
      </c>
      <c r="I30" s="120" t="s">
        <v>159</v>
      </c>
      <c r="J30" s="120" t="s">
        <v>38</v>
      </c>
      <c r="K30" s="120" t="s">
        <v>161</v>
      </c>
      <c r="L30" s="53">
        <v>2</v>
      </c>
      <c r="N30" s="53">
        <v>4</v>
      </c>
      <c r="O30" s="53">
        <v>0.5</v>
      </c>
      <c r="P30" s="53">
        <v>0.45</v>
      </c>
      <c r="Q30" s="75">
        <f t="shared" si="2"/>
        <v>0.47499999999999998</v>
      </c>
      <c r="R30" s="168">
        <v>16.2</v>
      </c>
      <c r="S30" s="168">
        <v>102</v>
      </c>
      <c r="T30" s="16">
        <f t="shared" si="0"/>
        <v>33</v>
      </c>
      <c r="U30" s="164">
        <v>377</v>
      </c>
      <c r="V30" s="38">
        <f t="shared" si="1"/>
        <v>3110.25</v>
      </c>
      <c r="W30" s="165">
        <v>8</v>
      </c>
      <c r="X30" s="166" t="s">
        <v>46</v>
      </c>
      <c r="Y30" s="172" t="s">
        <v>78</v>
      </c>
      <c r="Z30" s="172" t="s">
        <v>88</v>
      </c>
      <c r="AA30" s="172" t="s">
        <v>102</v>
      </c>
      <c r="AB30" s="53" t="s">
        <v>158</v>
      </c>
    </row>
    <row r="31" spans="1:48" x14ac:dyDescent="0.15">
      <c r="A31" s="158" t="s">
        <v>34</v>
      </c>
      <c r="B31" s="158" t="s">
        <v>157</v>
      </c>
      <c r="C31" s="158">
        <v>2019</v>
      </c>
      <c r="D31" s="160" t="s">
        <v>357</v>
      </c>
      <c r="E31" s="159" t="s">
        <v>211</v>
      </c>
      <c r="F31" s="158" t="s">
        <v>361</v>
      </c>
      <c r="G31" s="161" t="s">
        <v>42</v>
      </c>
      <c r="H31" s="120" t="s">
        <v>160</v>
      </c>
      <c r="I31" s="120" t="s">
        <v>159</v>
      </c>
      <c r="J31" s="120" t="s">
        <v>38</v>
      </c>
      <c r="K31" s="120" t="s">
        <v>161</v>
      </c>
      <c r="L31" s="53">
        <v>3</v>
      </c>
      <c r="N31" s="53">
        <v>4</v>
      </c>
      <c r="O31" s="53">
        <v>0.4</v>
      </c>
      <c r="P31" s="53">
        <v>0.55000000000000004</v>
      </c>
      <c r="Q31" s="75">
        <f t="shared" si="2"/>
        <v>0.47500000000000003</v>
      </c>
      <c r="R31" s="168">
        <v>16.3</v>
      </c>
      <c r="S31" s="168">
        <v>97</v>
      </c>
      <c r="T31" s="16">
        <f t="shared" si="0"/>
        <v>36</v>
      </c>
      <c r="U31" s="164">
        <v>377</v>
      </c>
      <c r="V31" s="38">
        <f t="shared" si="1"/>
        <v>3393</v>
      </c>
      <c r="W31" s="165">
        <v>8</v>
      </c>
      <c r="X31" s="166" t="s">
        <v>46</v>
      </c>
      <c r="Y31" s="172" t="s">
        <v>78</v>
      </c>
      <c r="Z31" s="172" t="s">
        <v>88</v>
      </c>
      <c r="AA31" s="172" t="s">
        <v>102</v>
      </c>
      <c r="AB31" s="53" t="s">
        <v>158</v>
      </c>
    </row>
    <row r="32" spans="1:48" ht="14.25" customHeight="1" x14ac:dyDescent="0.15">
      <c r="A32" s="158" t="s">
        <v>34</v>
      </c>
      <c r="B32" s="158" t="s">
        <v>157</v>
      </c>
      <c r="C32" s="159">
        <v>2019</v>
      </c>
      <c r="D32" s="160" t="s">
        <v>357</v>
      </c>
      <c r="E32" s="159" t="s">
        <v>243</v>
      </c>
      <c r="F32" s="158" t="s">
        <v>361</v>
      </c>
      <c r="G32" s="161" t="s">
        <v>42</v>
      </c>
      <c r="H32" s="120" t="s">
        <v>164</v>
      </c>
      <c r="I32" s="120" t="s">
        <v>159</v>
      </c>
      <c r="J32" s="120" t="s">
        <v>38</v>
      </c>
      <c r="K32" s="120" t="s">
        <v>161</v>
      </c>
      <c r="L32" s="53">
        <v>1</v>
      </c>
      <c r="N32" s="53">
        <v>1</v>
      </c>
      <c r="O32" s="53">
        <v>0.6</v>
      </c>
      <c r="P32" s="53">
        <v>0.65</v>
      </c>
      <c r="Q32" s="75">
        <f t="shared" si="2"/>
        <v>0.625</v>
      </c>
      <c r="R32" s="168">
        <v>15.1</v>
      </c>
      <c r="S32" s="168">
        <v>132</v>
      </c>
      <c r="T32" s="16">
        <f t="shared" si="0"/>
        <v>30</v>
      </c>
      <c r="U32" s="164">
        <v>89</v>
      </c>
      <c r="V32" s="38">
        <f t="shared" si="1"/>
        <v>2670</v>
      </c>
      <c r="W32" s="165">
        <v>4</v>
      </c>
      <c r="X32" s="166" t="s">
        <v>46</v>
      </c>
      <c r="Y32" s="172" t="s">
        <v>88</v>
      </c>
      <c r="Z32" s="172" t="s">
        <v>102</v>
      </c>
      <c r="AA32" s="172" t="s">
        <v>78</v>
      </c>
      <c r="AB32" s="53" t="s">
        <v>158</v>
      </c>
    </row>
    <row r="33" spans="1:28" x14ac:dyDescent="0.15">
      <c r="A33" s="158" t="s">
        <v>34</v>
      </c>
      <c r="B33" s="158" t="s">
        <v>157</v>
      </c>
      <c r="C33" s="158">
        <v>2019</v>
      </c>
      <c r="D33" s="160" t="s">
        <v>357</v>
      </c>
      <c r="E33" s="159" t="s">
        <v>243</v>
      </c>
      <c r="F33" s="158" t="s">
        <v>361</v>
      </c>
      <c r="G33" s="161" t="s">
        <v>42</v>
      </c>
      <c r="H33" s="120" t="s">
        <v>164</v>
      </c>
      <c r="I33" s="120" t="s">
        <v>159</v>
      </c>
      <c r="J33" s="120" t="s">
        <v>38</v>
      </c>
      <c r="K33" s="120" t="s">
        <v>161</v>
      </c>
      <c r="L33" s="53">
        <v>2</v>
      </c>
      <c r="N33" s="53">
        <v>1</v>
      </c>
      <c r="O33" s="53">
        <v>0.55000000000000004</v>
      </c>
      <c r="P33" s="53">
        <v>0.6</v>
      </c>
      <c r="Q33" s="75">
        <f t="shared" si="2"/>
        <v>0.57499999999999996</v>
      </c>
      <c r="R33" s="168">
        <v>15.2</v>
      </c>
      <c r="S33" s="168">
        <v>124</v>
      </c>
      <c r="T33" s="16">
        <f t="shared" si="0"/>
        <v>30</v>
      </c>
      <c r="U33" s="164">
        <v>89</v>
      </c>
      <c r="V33" s="38">
        <f t="shared" si="1"/>
        <v>2670</v>
      </c>
      <c r="W33" s="165">
        <v>4</v>
      </c>
      <c r="X33" s="166" t="s">
        <v>46</v>
      </c>
      <c r="Y33" s="172" t="s">
        <v>88</v>
      </c>
      <c r="Z33" s="172" t="s">
        <v>102</v>
      </c>
      <c r="AA33" s="172" t="s">
        <v>78</v>
      </c>
      <c r="AB33" s="53" t="s">
        <v>158</v>
      </c>
    </row>
    <row r="34" spans="1:28" x14ac:dyDescent="0.15">
      <c r="A34" s="158" t="s">
        <v>34</v>
      </c>
      <c r="B34" s="158" t="s">
        <v>157</v>
      </c>
      <c r="C34" s="159">
        <v>2019</v>
      </c>
      <c r="D34" s="160" t="s">
        <v>357</v>
      </c>
      <c r="E34" s="159" t="s">
        <v>243</v>
      </c>
      <c r="F34" s="158" t="s">
        <v>361</v>
      </c>
      <c r="G34" s="161" t="s">
        <v>42</v>
      </c>
      <c r="H34" s="120" t="s">
        <v>164</v>
      </c>
      <c r="I34" s="120" t="s">
        <v>159</v>
      </c>
      <c r="J34" s="120" t="s">
        <v>38</v>
      </c>
      <c r="K34" s="120" t="s">
        <v>161</v>
      </c>
      <c r="L34" s="53">
        <v>3</v>
      </c>
      <c r="N34" s="53">
        <v>1</v>
      </c>
      <c r="O34" s="53">
        <v>0.6</v>
      </c>
      <c r="P34" s="34">
        <v>0.65</v>
      </c>
      <c r="Q34" s="75">
        <f t="shared" si="2"/>
        <v>0.625</v>
      </c>
      <c r="R34" s="168">
        <v>14.9</v>
      </c>
      <c r="S34" s="168">
        <v>130</v>
      </c>
      <c r="T34" s="16">
        <f t="shared" si="0"/>
        <v>30</v>
      </c>
      <c r="U34" s="164">
        <v>89</v>
      </c>
      <c r="V34" s="38">
        <f t="shared" si="1"/>
        <v>2670</v>
      </c>
      <c r="W34" s="165">
        <v>4</v>
      </c>
      <c r="X34" s="166" t="s">
        <v>46</v>
      </c>
      <c r="Y34" s="172" t="s">
        <v>88</v>
      </c>
      <c r="Z34" s="172" t="s">
        <v>102</v>
      </c>
      <c r="AA34" s="172" t="s">
        <v>78</v>
      </c>
      <c r="AB34" s="53" t="s">
        <v>158</v>
      </c>
    </row>
    <row r="35" spans="1:28" x14ac:dyDescent="0.15">
      <c r="A35" s="158" t="s">
        <v>34</v>
      </c>
      <c r="B35" s="158" t="s">
        <v>157</v>
      </c>
      <c r="C35" s="158">
        <v>2019</v>
      </c>
      <c r="D35" s="160" t="s">
        <v>357</v>
      </c>
      <c r="E35" s="159" t="s">
        <v>243</v>
      </c>
      <c r="F35" s="158" t="s">
        <v>361</v>
      </c>
      <c r="G35" s="161" t="s">
        <v>42</v>
      </c>
      <c r="H35" s="120" t="s">
        <v>160</v>
      </c>
      <c r="I35" s="120" t="s">
        <v>159</v>
      </c>
      <c r="J35" s="120" t="s">
        <v>38</v>
      </c>
      <c r="K35" s="120" t="s">
        <v>161</v>
      </c>
      <c r="L35" s="53">
        <v>1</v>
      </c>
      <c r="N35" s="53">
        <v>4</v>
      </c>
      <c r="O35" s="53">
        <v>0.6</v>
      </c>
      <c r="P35" s="53">
        <v>0.55000000000000004</v>
      </c>
      <c r="Q35" s="75">
        <f t="shared" si="2"/>
        <v>0.57499999999999996</v>
      </c>
      <c r="R35" s="168">
        <v>15.5</v>
      </c>
      <c r="S35" s="168">
        <v>104</v>
      </c>
      <c r="T35" s="16">
        <f t="shared" si="0"/>
        <v>33</v>
      </c>
      <c r="U35" s="164">
        <v>388</v>
      </c>
      <c r="V35" s="38">
        <f t="shared" si="1"/>
        <v>3201</v>
      </c>
      <c r="W35" s="165">
        <v>4</v>
      </c>
      <c r="X35" s="166" t="s">
        <v>46</v>
      </c>
      <c r="Y35" s="172" t="s">
        <v>88</v>
      </c>
      <c r="Z35" s="172" t="s">
        <v>102</v>
      </c>
      <c r="AA35" s="172" t="s">
        <v>78</v>
      </c>
      <c r="AB35" s="53" t="s">
        <v>158</v>
      </c>
    </row>
    <row r="36" spans="1:28" x14ac:dyDescent="0.15">
      <c r="A36" s="158" t="s">
        <v>34</v>
      </c>
      <c r="B36" s="158" t="s">
        <v>157</v>
      </c>
      <c r="C36" s="159">
        <v>2019</v>
      </c>
      <c r="D36" s="160" t="s">
        <v>357</v>
      </c>
      <c r="E36" s="159" t="s">
        <v>243</v>
      </c>
      <c r="F36" s="158" t="s">
        <v>361</v>
      </c>
      <c r="G36" s="161" t="s">
        <v>42</v>
      </c>
      <c r="H36" s="120" t="s">
        <v>160</v>
      </c>
      <c r="I36" s="120" t="s">
        <v>159</v>
      </c>
      <c r="J36" s="120" t="s">
        <v>38</v>
      </c>
      <c r="K36" s="120" t="s">
        <v>161</v>
      </c>
      <c r="L36" s="53">
        <v>2</v>
      </c>
      <c r="N36" s="53">
        <v>4</v>
      </c>
      <c r="O36" s="53">
        <v>0.55000000000000004</v>
      </c>
      <c r="P36" s="53">
        <v>0.5</v>
      </c>
      <c r="Q36" s="75">
        <f t="shared" si="2"/>
        <v>0.52500000000000002</v>
      </c>
      <c r="R36" s="168">
        <v>15.7</v>
      </c>
      <c r="S36" s="168">
        <v>97</v>
      </c>
      <c r="T36" s="16">
        <f t="shared" si="0"/>
        <v>36</v>
      </c>
      <c r="U36" s="164">
        <v>388</v>
      </c>
      <c r="V36" s="38">
        <f t="shared" si="1"/>
        <v>3492</v>
      </c>
      <c r="W36" s="165">
        <v>4</v>
      </c>
      <c r="X36" s="166" t="s">
        <v>46</v>
      </c>
      <c r="Y36" s="172" t="s">
        <v>88</v>
      </c>
      <c r="Z36" s="172" t="s">
        <v>102</v>
      </c>
      <c r="AA36" s="172" t="s">
        <v>78</v>
      </c>
      <c r="AB36" s="53" t="s">
        <v>158</v>
      </c>
    </row>
    <row r="37" spans="1:28" x14ac:dyDescent="0.15">
      <c r="A37" s="158" t="s">
        <v>34</v>
      </c>
      <c r="B37" s="158" t="s">
        <v>157</v>
      </c>
      <c r="C37" s="158">
        <v>2019</v>
      </c>
      <c r="D37" s="160" t="s">
        <v>357</v>
      </c>
      <c r="E37" s="159" t="s">
        <v>243</v>
      </c>
      <c r="F37" s="158" t="s">
        <v>361</v>
      </c>
      <c r="G37" s="161" t="s">
        <v>42</v>
      </c>
      <c r="H37" s="120" t="s">
        <v>160</v>
      </c>
      <c r="I37" s="120" t="s">
        <v>159</v>
      </c>
      <c r="J37" s="120" t="s">
        <v>38</v>
      </c>
      <c r="K37" s="120" t="s">
        <v>161</v>
      </c>
      <c r="L37" s="53">
        <v>3</v>
      </c>
      <c r="N37" s="53">
        <v>4</v>
      </c>
      <c r="O37" s="53">
        <v>0.55000000000000004</v>
      </c>
      <c r="P37" s="53">
        <v>0.45</v>
      </c>
      <c r="Q37" s="75">
        <f t="shared" si="2"/>
        <v>0.5</v>
      </c>
      <c r="R37" s="168">
        <v>15.5</v>
      </c>
      <c r="S37" s="168">
        <v>94</v>
      </c>
      <c r="T37" s="16">
        <f t="shared" si="0"/>
        <v>36</v>
      </c>
      <c r="U37" s="164">
        <v>388</v>
      </c>
      <c r="V37" s="38">
        <f t="shared" si="1"/>
        <v>3492</v>
      </c>
      <c r="W37" s="165">
        <v>4</v>
      </c>
      <c r="X37" s="166" t="s">
        <v>46</v>
      </c>
      <c r="Y37" s="172" t="s">
        <v>88</v>
      </c>
      <c r="Z37" s="172" t="s">
        <v>102</v>
      </c>
      <c r="AA37" s="172" t="s">
        <v>78</v>
      </c>
      <c r="AB37" s="53" t="s">
        <v>158</v>
      </c>
    </row>
    <row r="38" spans="1:28" x14ac:dyDescent="0.15">
      <c r="A38" s="158" t="s">
        <v>34</v>
      </c>
      <c r="B38" s="158" t="s">
        <v>157</v>
      </c>
      <c r="C38" s="159">
        <v>2019</v>
      </c>
      <c r="D38" s="160" t="s">
        <v>357</v>
      </c>
      <c r="E38" s="159" t="s">
        <v>211</v>
      </c>
      <c r="F38" s="158" t="s">
        <v>363</v>
      </c>
      <c r="G38" s="161" t="s">
        <v>42</v>
      </c>
      <c r="H38" s="120" t="s">
        <v>164</v>
      </c>
      <c r="I38" s="120" t="s">
        <v>159</v>
      </c>
      <c r="J38" s="120" t="s">
        <v>38</v>
      </c>
      <c r="K38" s="120" t="s">
        <v>161</v>
      </c>
      <c r="L38" s="53">
        <v>1</v>
      </c>
      <c r="N38" s="53">
        <v>4</v>
      </c>
      <c r="O38" s="53">
        <v>0.4</v>
      </c>
      <c r="P38" s="53">
        <v>0.5</v>
      </c>
      <c r="Q38" s="75">
        <f t="shared" si="2"/>
        <v>0.45</v>
      </c>
      <c r="R38" s="168">
        <v>13.4</v>
      </c>
      <c r="S38" s="168">
        <v>82</v>
      </c>
      <c r="T38" s="16">
        <f t="shared" si="0"/>
        <v>39</v>
      </c>
      <c r="U38" s="164">
        <v>97</v>
      </c>
      <c r="V38" s="38">
        <f t="shared" si="1"/>
        <v>945.75</v>
      </c>
      <c r="W38" s="165">
        <v>8</v>
      </c>
      <c r="X38" s="166" t="s">
        <v>39</v>
      </c>
      <c r="Y38" s="172" t="s">
        <v>102</v>
      </c>
      <c r="Z38" s="172" t="s">
        <v>78</v>
      </c>
      <c r="AA38" s="172" t="s">
        <v>97</v>
      </c>
      <c r="AB38" s="53" t="s">
        <v>158</v>
      </c>
    </row>
    <row r="39" spans="1:28" x14ac:dyDescent="0.15">
      <c r="A39" s="158" t="s">
        <v>34</v>
      </c>
      <c r="B39" s="158" t="s">
        <v>157</v>
      </c>
      <c r="C39" s="158">
        <v>2019</v>
      </c>
      <c r="D39" s="160" t="s">
        <v>357</v>
      </c>
      <c r="E39" s="159" t="s">
        <v>211</v>
      </c>
      <c r="F39" s="158" t="s">
        <v>363</v>
      </c>
      <c r="G39" s="161" t="s">
        <v>42</v>
      </c>
      <c r="H39" s="120" t="s">
        <v>164</v>
      </c>
      <c r="I39" s="120" t="s">
        <v>159</v>
      </c>
      <c r="J39" s="120" t="s">
        <v>38</v>
      </c>
      <c r="K39" s="120" t="s">
        <v>161</v>
      </c>
      <c r="L39" s="53">
        <v>2</v>
      </c>
      <c r="N39" s="53">
        <v>4</v>
      </c>
      <c r="O39" s="53">
        <v>0.4</v>
      </c>
      <c r="P39" s="53">
        <v>0.4</v>
      </c>
      <c r="Q39" s="75">
        <f t="shared" si="2"/>
        <v>0.4</v>
      </c>
      <c r="R39" s="168">
        <v>14.1</v>
      </c>
      <c r="S39" s="168">
        <v>75</v>
      </c>
      <c r="T39" s="16">
        <f t="shared" si="0"/>
        <v>42</v>
      </c>
      <c r="U39" s="164">
        <v>97</v>
      </c>
      <c r="V39" s="38">
        <f t="shared" si="1"/>
        <v>1018.5</v>
      </c>
      <c r="W39" s="165">
        <v>8</v>
      </c>
      <c r="X39" s="166" t="s">
        <v>39</v>
      </c>
      <c r="Y39" s="172" t="s">
        <v>102</v>
      </c>
      <c r="Z39" s="172" t="s">
        <v>78</v>
      </c>
      <c r="AA39" s="172" t="s">
        <v>97</v>
      </c>
      <c r="AB39" s="53" t="s">
        <v>158</v>
      </c>
    </row>
    <row r="40" spans="1:28" ht="12.75" customHeight="1" x14ac:dyDescent="0.15">
      <c r="A40" s="158" t="s">
        <v>34</v>
      </c>
      <c r="B40" s="158" t="s">
        <v>157</v>
      </c>
      <c r="C40" s="159">
        <v>2019</v>
      </c>
      <c r="D40" s="160" t="s">
        <v>357</v>
      </c>
      <c r="E40" s="159" t="s">
        <v>211</v>
      </c>
      <c r="F40" s="158" t="s">
        <v>363</v>
      </c>
      <c r="G40" s="161" t="s">
        <v>42</v>
      </c>
      <c r="H40" s="120" t="s">
        <v>164</v>
      </c>
      <c r="I40" s="120" t="s">
        <v>159</v>
      </c>
      <c r="J40" s="120" t="s">
        <v>38</v>
      </c>
      <c r="K40" s="120" t="s">
        <v>161</v>
      </c>
      <c r="L40" s="53">
        <v>3</v>
      </c>
      <c r="N40" s="53">
        <v>4</v>
      </c>
      <c r="O40" s="53">
        <v>0.45</v>
      </c>
      <c r="P40" s="53">
        <v>0.4</v>
      </c>
      <c r="Q40" s="75">
        <f t="shared" si="2"/>
        <v>0.42500000000000004</v>
      </c>
      <c r="R40" s="168">
        <v>13.7</v>
      </c>
      <c r="S40" s="168">
        <v>73</v>
      </c>
      <c r="T40" s="16">
        <f t="shared" si="0"/>
        <v>42</v>
      </c>
      <c r="U40" s="164">
        <v>97</v>
      </c>
      <c r="V40" s="38">
        <f t="shared" si="1"/>
        <v>1018.5</v>
      </c>
      <c r="W40" s="165">
        <v>8</v>
      </c>
      <c r="X40" s="166" t="s">
        <v>39</v>
      </c>
      <c r="Y40" s="172" t="s">
        <v>102</v>
      </c>
      <c r="Z40" s="172" t="s">
        <v>78</v>
      </c>
      <c r="AA40" s="172" t="s">
        <v>97</v>
      </c>
      <c r="AB40" s="53" t="s">
        <v>158</v>
      </c>
    </row>
    <row r="41" spans="1:28" ht="12.75" customHeight="1" x14ac:dyDescent="0.15">
      <c r="A41" s="120" t="s">
        <v>34</v>
      </c>
      <c r="B41" s="158" t="s">
        <v>157</v>
      </c>
      <c r="C41" s="159">
        <v>2019</v>
      </c>
      <c r="D41" s="160" t="s">
        <v>357</v>
      </c>
      <c r="E41" s="159" t="s">
        <v>211</v>
      </c>
      <c r="F41" s="158" t="s">
        <v>363</v>
      </c>
      <c r="G41" s="161" t="s">
        <v>42</v>
      </c>
      <c r="H41" s="120" t="s">
        <v>160</v>
      </c>
      <c r="I41" s="120" t="s">
        <v>159</v>
      </c>
      <c r="J41" s="120" t="s">
        <v>38</v>
      </c>
      <c r="K41" s="120" t="s">
        <v>161</v>
      </c>
      <c r="L41" s="53">
        <v>1</v>
      </c>
      <c r="N41" s="53">
        <v>1</v>
      </c>
      <c r="O41" s="53">
        <v>0.6</v>
      </c>
      <c r="P41" s="53">
        <v>0.65</v>
      </c>
      <c r="Q41" s="75">
        <f t="shared" si="2"/>
        <v>0.625</v>
      </c>
      <c r="R41" s="168">
        <v>15.9</v>
      </c>
      <c r="S41" s="168">
        <v>142</v>
      </c>
      <c r="T41" s="16">
        <f t="shared" si="0"/>
        <v>30</v>
      </c>
      <c r="U41" s="164">
        <v>377</v>
      </c>
      <c r="V41" s="38">
        <f t="shared" si="1"/>
        <v>11310</v>
      </c>
      <c r="W41" s="53">
        <v>8</v>
      </c>
      <c r="X41" s="166" t="s">
        <v>39</v>
      </c>
      <c r="Y41" s="173" t="s">
        <v>102</v>
      </c>
      <c r="Z41" s="173" t="s">
        <v>78</v>
      </c>
      <c r="AA41" s="173" t="s">
        <v>97</v>
      </c>
      <c r="AB41" s="53" t="s">
        <v>158</v>
      </c>
    </row>
    <row r="42" spans="1:28" ht="12.75" customHeight="1" x14ac:dyDescent="0.15">
      <c r="A42" s="120" t="s">
        <v>34</v>
      </c>
      <c r="B42" s="158" t="s">
        <v>157</v>
      </c>
      <c r="C42" s="159">
        <v>2019</v>
      </c>
      <c r="D42" s="160" t="s">
        <v>357</v>
      </c>
      <c r="E42" s="159" t="s">
        <v>211</v>
      </c>
      <c r="F42" s="158" t="s">
        <v>363</v>
      </c>
      <c r="G42" s="161" t="s">
        <v>42</v>
      </c>
      <c r="H42" s="120" t="s">
        <v>160</v>
      </c>
      <c r="I42" s="120" t="s">
        <v>159</v>
      </c>
      <c r="J42" s="120" t="s">
        <v>38</v>
      </c>
      <c r="K42" s="120" t="s">
        <v>161</v>
      </c>
      <c r="L42" s="53">
        <v>2</v>
      </c>
      <c r="N42" s="53">
        <v>1</v>
      </c>
      <c r="O42" s="53">
        <v>0.55000000000000004</v>
      </c>
      <c r="P42" s="53">
        <v>0.5</v>
      </c>
      <c r="Q42" s="75">
        <f t="shared" si="2"/>
        <v>0.52500000000000002</v>
      </c>
      <c r="R42" s="168">
        <v>16.5</v>
      </c>
      <c r="S42" s="168">
        <v>146</v>
      </c>
      <c r="T42" s="16">
        <f t="shared" si="0"/>
        <v>30</v>
      </c>
      <c r="U42" s="164">
        <v>377</v>
      </c>
      <c r="V42" s="38">
        <f t="shared" si="1"/>
        <v>11310</v>
      </c>
      <c r="W42" s="53">
        <v>8</v>
      </c>
      <c r="X42" s="166" t="s">
        <v>39</v>
      </c>
      <c r="Y42" s="173" t="s">
        <v>102</v>
      </c>
      <c r="Z42" s="173" t="s">
        <v>78</v>
      </c>
      <c r="AA42" s="173" t="s">
        <v>97</v>
      </c>
      <c r="AB42" s="53" t="s">
        <v>158</v>
      </c>
    </row>
    <row r="43" spans="1:28" ht="12.75" customHeight="1" x14ac:dyDescent="0.15">
      <c r="A43" s="120" t="s">
        <v>34</v>
      </c>
      <c r="B43" s="158" t="s">
        <v>157</v>
      </c>
      <c r="C43" s="159">
        <v>2019</v>
      </c>
      <c r="D43" s="160" t="s">
        <v>357</v>
      </c>
      <c r="E43" s="159" t="s">
        <v>211</v>
      </c>
      <c r="F43" s="158" t="s">
        <v>363</v>
      </c>
      <c r="G43" s="161" t="s">
        <v>42</v>
      </c>
      <c r="H43" s="120" t="s">
        <v>160</v>
      </c>
      <c r="I43" s="120" t="s">
        <v>159</v>
      </c>
      <c r="J43" s="120" t="s">
        <v>38</v>
      </c>
      <c r="K43" s="120" t="s">
        <v>161</v>
      </c>
      <c r="L43" s="53">
        <v>3</v>
      </c>
      <c r="N43" s="53">
        <v>1</v>
      </c>
      <c r="O43" s="53">
        <v>0.5</v>
      </c>
      <c r="P43" s="53">
        <v>0.55000000000000004</v>
      </c>
      <c r="Q43" s="75">
        <f t="shared" si="2"/>
        <v>0.52500000000000002</v>
      </c>
      <c r="R43" s="168">
        <v>16.2</v>
      </c>
      <c r="S43" s="168">
        <v>139</v>
      </c>
      <c r="T43" s="16">
        <f t="shared" si="0"/>
        <v>30</v>
      </c>
      <c r="U43" s="164">
        <v>377</v>
      </c>
      <c r="V43" s="38">
        <f t="shared" si="1"/>
        <v>11310</v>
      </c>
      <c r="W43" s="53">
        <v>8</v>
      </c>
      <c r="X43" s="166" t="s">
        <v>39</v>
      </c>
      <c r="Y43" s="173" t="s">
        <v>102</v>
      </c>
      <c r="Z43" s="173" t="s">
        <v>78</v>
      </c>
      <c r="AA43" s="173" t="s">
        <v>97</v>
      </c>
      <c r="AB43" s="53" t="s">
        <v>158</v>
      </c>
    </row>
    <row r="44" spans="1:28" x14ac:dyDescent="0.15">
      <c r="A44" s="53" t="s">
        <v>34</v>
      </c>
      <c r="B44" s="158" t="s">
        <v>157</v>
      </c>
      <c r="C44" s="159">
        <v>2019</v>
      </c>
      <c r="D44" s="160" t="s">
        <v>357</v>
      </c>
      <c r="E44" s="159" t="s">
        <v>139</v>
      </c>
      <c r="F44" s="158" t="s">
        <v>363</v>
      </c>
      <c r="G44" s="161" t="s">
        <v>36</v>
      </c>
      <c r="H44" s="120" t="s">
        <v>164</v>
      </c>
      <c r="I44" s="120" t="s">
        <v>159</v>
      </c>
      <c r="J44" s="53" t="s">
        <v>38</v>
      </c>
      <c r="K44" s="120" t="s">
        <v>161</v>
      </c>
      <c r="L44" s="53">
        <v>1</v>
      </c>
      <c r="N44" s="53">
        <v>1</v>
      </c>
      <c r="O44" s="53">
        <v>0.6</v>
      </c>
      <c r="P44" s="53">
        <v>0.65</v>
      </c>
      <c r="Q44" s="75">
        <f t="shared" si="2"/>
        <v>0.625</v>
      </c>
      <c r="R44" s="168">
        <v>13.6</v>
      </c>
      <c r="S44" s="168">
        <v>112</v>
      </c>
      <c r="T44" s="16">
        <f t="shared" si="0"/>
        <v>33</v>
      </c>
      <c r="U44" s="164">
        <v>100</v>
      </c>
      <c r="V44" s="16">
        <f t="shared" si="1"/>
        <v>3300</v>
      </c>
      <c r="W44" s="53">
        <v>12</v>
      </c>
      <c r="X44" s="166" t="s">
        <v>46</v>
      </c>
      <c r="Y44" s="173" t="s">
        <v>88</v>
      </c>
      <c r="Z44" s="173" t="s">
        <v>97</v>
      </c>
      <c r="AA44" s="173" t="s">
        <v>102</v>
      </c>
      <c r="AB44" s="53" t="s">
        <v>158</v>
      </c>
    </row>
    <row r="45" spans="1:28" x14ac:dyDescent="0.15">
      <c r="A45" s="53" t="s">
        <v>34</v>
      </c>
      <c r="B45" s="158" t="s">
        <v>157</v>
      </c>
      <c r="C45" s="158">
        <v>2019</v>
      </c>
      <c r="D45" s="160" t="s">
        <v>357</v>
      </c>
      <c r="E45" s="159" t="s">
        <v>139</v>
      </c>
      <c r="F45" s="158" t="s">
        <v>363</v>
      </c>
      <c r="G45" s="161" t="s">
        <v>36</v>
      </c>
      <c r="H45" s="120" t="s">
        <v>164</v>
      </c>
      <c r="I45" s="120" t="s">
        <v>159</v>
      </c>
      <c r="J45" s="53" t="s">
        <v>38</v>
      </c>
      <c r="K45" s="120" t="s">
        <v>161</v>
      </c>
      <c r="L45" s="53">
        <v>2</v>
      </c>
      <c r="N45" s="53">
        <v>1</v>
      </c>
      <c r="O45" s="53">
        <v>0.65</v>
      </c>
      <c r="P45" s="53">
        <v>0.55000000000000004</v>
      </c>
      <c r="Q45" s="75">
        <f t="shared" si="2"/>
        <v>0.60000000000000009</v>
      </c>
      <c r="R45" s="168">
        <v>14.4</v>
      </c>
      <c r="S45" s="168">
        <v>113</v>
      </c>
      <c r="T45" s="16">
        <f t="shared" si="0"/>
        <v>30</v>
      </c>
      <c r="U45" s="164">
        <v>100</v>
      </c>
      <c r="V45" s="16">
        <f t="shared" si="1"/>
        <v>3000</v>
      </c>
      <c r="W45" s="53">
        <v>12</v>
      </c>
      <c r="X45" s="166" t="s">
        <v>46</v>
      </c>
      <c r="Y45" s="173" t="s">
        <v>88</v>
      </c>
      <c r="Z45" s="173" t="s">
        <v>97</v>
      </c>
      <c r="AA45" s="173" t="s">
        <v>102</v>
      </c>
      <c r="AB45" s="53" t="s">
        <v>158</v>
      </c>
    </row>
    <row r="46" spans="1:28" x14ac:dyDescent="0.15">
      <c r="A46" s="53" t="s">
        <v>34</v>
      </c>
      <c r="B46" s="158" t="s">
        <v>157</v>
      </c>
      <c r="C46" s="159">
        <v>2019</v>
      </c>
      <c r="D46" s="160" t="s">
        <v>357</v>
      </c>
      <c r="E46" s="159" t="s">
        <v>139</v>
      </c>
      <c r="F46" s="158" t="s">
        <v>363</v>
      </c>
      <c r="G46" s="161" t="s">
        <v>36</v>
      </c>
      <c r="H46" s="120" t="s">
        <v>164</v>
      </c>
      <c r="I46" s="120" t="s">
        <v>159</v>
      </c>
      <c r="J46" s="53" t="s">
        <v>38</v>
      </c>
      <c r="K46" s="120" t="s">
        <v>161</v>
      </c>
      <c r="L46" s="53">
        <v>3</v>
      </c>
      <c r="N46" s="53">
        <v>1</v>
      </c>
      <c r="O46" s="53">
        <v>0.6</v>
      </c>
      <c r="P46" s="53">
        <v>0.55000000000000004</v>
      </c>
      <c r="Q46" s="75">
        <f t="shared" si="2"/>
        <v>0.57499999999999996</v>
      </c>
      <c r="R46" s="168">
        <v>14.6</v>
      </c>
      <c r="S46" s="168">
        <v>117</v>
      </c>
      <c r="T46" s="16">
        <f t="shared" si="0"/>
        <v>30</v>
      </c>
      <c r="U46" s="164">
        <v>100</v>
      </c>
      <c r="V46" s="16">
        <f t="shared" si="1"/>
        <v>3000</v>
      </c>
      <c r="W46" s="53">
        <v>12</v>
      </c>
      <c r="X46" s="166" t="s">
        <v>46</v>
      </c>
      <c r="Y46" s="173" t="s">
        <v>88</v>
      </c>
      <c r="Z46" s="173" t="s">
        <v>97</v>
      </c>
      <c r="AA46" s="173" t="s">
        <v>102</v>
      </c>
      <c r="AB46" s="53" t="s">
        <v>158</v>
      </c>
    </row>
    <row r="47" spans="1:28" x14ac:dyDescent="0.15">
      <c r="A47" s="53" t="s">
        <v>34</v>
      </c>
      <c r="B47" s="34" t="s">
        <v>157</v>
      </c>
      <c r="C47" s="53">
        <v>2019</v>
      </c>
      <c r="D47" s="174" t="s">
        <v>357</v>
      </c>
      <c r="E47" s="53" t="s">
        <v>139</v>
      </c>
      <c r="F47" s="158" t="s">
        <v>363</v>
      </c>
      <c r="G47" s="161" t="s">
        <v>36</v>
      </c>
      <c r="H47" s="120" t="s">
        <v>160</v>
      </c>
      <c r="I47" s="120" t="s">
        <v>159</v>
      </c>
      <c r="J47" s="53" t="s">
        <v>38</v>
      </c>
      <c r="K47" s="120" t="s">
        <v>161</v>
      </c>
      <c r="L47" s="53">
        <v>1</v>
      </c>
      <c r="N47" s="53">
        <v>1</v>
      </c>
      <c r="O47" s="53">
        <v>0.45</v>
      </c>
      <c r="P47" s="53">
        <v>0.45</v>
      </c>
      <c r="Q47" s="75">
        <f t="shared" si="2"/>
        <v>0.45</v>
      </c>
      <c r="R47" s="168">
        <v>16.600000000000001</v>
      </c>
      <c r="S47" s="168">
        <v>115</v>
      </c>
      <c r="T47" s="16">
        <f t="shared" si="0"/>
        <v>30</v>
      </c>
      <c r="U47" s="53">
        <v>100</v>
      </c>
      <c r="V47" s="16">
        <f t="shared" si="1"/>
        <v>3000</v>
      </c>
      <c r="W47" s="53">
        <v>12</v>
      </c>
      <c r="X47" s="166" t="s">
        <v>46</v>
      </c>
      <c r="Y47" s="53" t="s">
        <v>88</v>
      </c>
      <c r="Z47" s="53" t="s">
        <v>97</v>
      </c>
      <c r="AA47" s="53" t="s">
        <v>102</v>
      </c>
      <c r="AB47" s="53" t="s">
        <v>158</v>
      </c>
    </row>
    <row r="48" spans="1:28" x14ac:dyDescent="0.15">
      <c r="A48" s="53" t="s">
        <v>34</v>
      </c>
      <c r="B48" s="34" t="s">
        <v>157</v>
      </c>
      <c r="C48" s="53">
        <v>2019</v>
      </c>
      <c r="D48" s="174" t="s">
        <v>357</v>
      </c>
      <c r="E48" s="53" t="s">
        <v>139</v>
      </c>
      <c r="F48" s="158" t="s">
        <v>363</v>
      </c>
      <c r="G48" s="161" t="s">
        <v>36</v>
      </c>
      <c r="H48" s="120" t="s">
        <v>160</v>
      </c>
      <c r="I48" s="120" t="s">
        <v>159</v>
      </c>
      <c r="J48" s="53" t="s">
        <v>38</v>
      </c>
      <c r="K48" s="120" t="s">
        <v>161</v>
      </c>
      <c r="L48" s="53">
        <v>2</v>
      </c>
      <c r="N48" s="53">
        <v>1</v>
      </c>
      <c r="O48" s="53">
        <v>0.5</v>
      </c>
      <c r="P48" s="53">
        <v>0.6</v>
      </c>
      <c r="Q48" s="75">
        <f t="shared" si="2"/>
        <v>0.55000000000000004</v>
      </c>
      <c r="R48" s="168">
        <v>15.7</v>
      </c>
      <c r="S48" s="168">
        <v>105</v>
      </c>
      <c r="T48" s="16">
        <f t="shared" si="0"/>
        <v>33</v>
      </c>
      <c r="U48" s="53">
        <v>100</v>
      </c>
      <c r="V48" s="16">
        <f t="shared" si="1"/>
        <v>3300</v>
      </c>
      <c r="W48" s="53">
        <v>12</v>
      </c>
      <c r="X48" s="166" t="s">
        <v>46</v>
      </c>
      <c r="Y48" s="53" t="s">
        <v>88</v>
      </c>
      <c r="Z48" s="53" t="s">
        <v>97</v>
      </c>
      <c r="AA48" s="53" t="s">
        <v>102</v>
      </c>
      <c r="AB48" s="53" t="s">
        <v>158</v>
      </c>
    </row>
    <row r="49" spans="1:28" x14ac:dyDescent="0.15">
      <c r="A49" s="53" t="s">
        <v>34</v>
      </c>
      <c r="B49" s="34" t="s">
        <v>157</v>
      </c>
      <c r="C49" s="53">
        <v>2019</v>
      </c>
      <c r="D49" s="174" t="s">
        <v>357</v>
      </c>
      <c r="E49" s="53" t="s">
        <v>139</v>
      </c>
      <c r="F49" s="158" t="s">
        <v>363</v>
      </c>
      <c r="G49" s="161" t="s">
        <v>36</v>
      </c>
      <c r="H49" s="120" t="s">
        <v>160</v>
      </c>
      <c r="I49" s="120" t="s">
        <v>159</v>
      </c>
      <c r="J49" s="53" t="s">
        <v>38</v>
      </c>
      <c r="K49" s="120" t="s">
        <v>161</v>
      </c>
      <c r="L49" s="53">
        <v>3</v>
      </c>
      <c r="N49" s="53">
        <v>1</v>
      </c>
      <c r="O49" s="53">
        <v>0.5</v>
      </c>
      <c r="P49" s="53">
        <v>0.45</v>
      </c>
      <c r="Q49" s="75">
        <f t="shared" si="2"/>
        <v>0.47499999999999998</v>
      </c>
      <c r="R49" s="168">
        <v>16.399999999999999</v>
      </c>
      <c r="S49" s="168">
        <v>106</v>
      </c>
      <c r="T49" s="16">
        <f t="shared" si="0"/>
        <v>33</v>
      </c>
      <c r="U49" s="53">
        <v>100</v>
      </c>
      <c r="V49" s="16">
        <f t="shared" si="1"/>
        <v>3300</v>
      </c>
      <c r="W49" s="53">
        <v>12</v>
      </c>
      <c r="X49" s="166" t="s">
        <v>46</v>
      </c>
      <c r="Y49" s="53" t="s">
        <v>88</v>
      </c>
      <c r="Z49" s="53" t="s">
        <v>97</v>
      </c>
      <c r="AA49" s="53" t="s">
        <v>102</v>
      </c>
      <c r="AB49" s="53" t="s">
        <v>158</v>
      </c>
    </row>
    <row r="50" spans="1:28" x14ac:dyDescent="0.15">
      <c r="A50" s="53" t="s">
        <v>34</v>
      </c>
      <c r="B50" s="53" t="s">
        <v>157</v>
      </c>
      <c r="C50" s="53">
        <v>2019</v>
      </c>
      <c r="D50" s="174" t="s">
        <v>357</v>
      </c>
      <c r="E50" s="53" t="s">
        <v>133</v>
      </c>
      <c r="F50" s="158" t="s">
        <v>365</v>
      </c>
      <c r="G50" s="161" t="s">
        <v>36</v>
      </c>
      <c r="H50" s="53" t="s">
        <v>164</v>
      </c>
      <c r="I50" s="53" t="s">
        <v>159</v>
      </c>
      <c r="J50" s="53" t="s">
        <v>38</v>
      </c>
      <c r="K50" s="120" t="s">
        <v>161</v>
      </c>
      <c r="L50" s="53">
        <v>1</v>
      </c>
      <c r="N50" s="53">
        <v>1</v>
      </c>
      <c r="O50" s="53">
        <v>1.55</v>
      </c>
      <c r="P50" s="53">
        <v>1.45</v>
      </c>
      <c r="Q50" s="75">
        <f t="shared" si="2"/>
        <v>1.5</v>
      </c>
      <c r="R50" s="53">
        <v>15.3</v>
      </c>
      <c r="S50" s="53">
        <v>113</v>
      </c>
      <c r="T50" s="16">
        <f t="shared" si="0"/>
        <v>30</v>
      </c>
      <c r="U50" s="53">
        <v>98</v>
      </c>
      <c r="V50" s="16">
        <f t="shared" si="1"/>
        <v>2940</v>
      </c>
      <c r="W50" s="53">
        <v>12</v>
      </c>
      <c r="X50" s="166" t="s">
        <v>46</v>
      </c>
      <c r="Y50" s="53" t="s">
        <v>78</v>
      </c>
      <c r="Z50" s="53" t="s">
        <v>102</v>
      </c>
      <c r="AA50" s="53" t="s">
        <v>226</v>
      </c>
      <c r="AB50" s="53" t="s">
        <v>158</v>
      </c>
    </row>
    <row r="51" spans="1:28" x14ac:dyDescent="0.15">
      <c r="A51" s="53" t="s">
        <v>34</v>
      </c>
      <c r="B51" s="53" t="s">
        <v>157</v>
      </c>
      <c r="C51" s="53">
        <v>2019</v>
      </c>
      <c r="D51" s="174" t="s">
        <v>357</v>
      </c>
      <c r="E51" s="53" t="s">
        <v>133</v>
      </c>
      <c r="F51" s="158" t="s">
        <v>365</v>
      </c>
      <c r="G51" s="161" t="s">
        <v>36</v>
      </c>
      <c r="H51" s="53" t="s">
        <v>164</v>
      </c>
      <c r="I51" s="53" t="s">
        <v>159</v>
      </c>
      <c r="J51" s="53" t="s">
        <v>38</v>
      </c>
      <c r="K51" s="120" t="s">
        <v>161</v>
      </c>
      <c r="L51" s="53">
        <v>2</v>
      </c>
      <c r="N51" s="53">
        <v>1</v>
      </c>
      <c r="O51" s="53">
        <v>1.1000000000000001</v>
      </c>
      <c r="P51" s="53">
        <v>0.95</v>
      </c>
      <c r="Q51" s="75">
        <f t="shared" si="2"/>
        <v>1.0249999999999999</v>
      </c>
      <c r="R51" s="53">
        <v>14.4</v>
      </c>
      <c r="S51" s="53">
        <v>117</v>
      </c>
      <c r="T51" s="16">
        <f t="shared" si="0"/>
        <v>30</v>
      </c>
      <c r="U51" s="53">
        <v>98</v>
      </c>
      <c r="V51" s="16">
        <f t="shared" si="1"/>
        <v>2940</v>
      </c>
      <c r="W51" s="53">
        <v>16</v>
      </c>
      <c r="X51" s="166" t="s">
        <v>46</v>
      </c>
      <c r="Y51" s="53" t="s">
        <v>78</v>
      </c>
      <c r="Z51" s="53" t="s">
        <v>102</v>
      </c>
      <c r="AA51" s="53" t="s">
        <v>226</v>
      </c>
      <c r="AB51" s="53" t="s">
        <v>158</v>
      </c>
    </row>
    <row r="52" spans="1:28" x14ac:dyDescent="0.15">
      <c r="A52" s="53" t="s">
        <v>34</v>
      </c>
      <c r="B52" s="53" t="s">
        <v>157</v>
      </c>
      <c r="C52" s="53">
        <v>2019</v>
      </c>
      <c r="D52" s="174" t="s">
        <v>357</v>
      </c>
      <c r="E52" s="53" t="s">
        <v>133</v>
      </c>
      <c r="F52" s="158" t="s">
        <v>365</v>
      </c>
      <c r="G52" s="161" t="s">
        <v>36</v>
      </c>
      <c r="H52" s="53" t="s">
        <v>164</v>
      </c>
      <c r="I52" s="53" t="s">
        <v>159</v>
      </c>
      <c r="J52" s="53" t="s">
        <v>38</v>
      </c>
      <c r="K52" s="120" t="s">
        <v>161</v>
      </c>
      <c r="L52" s="53">
        <v>3</v>
      </c>
      <c r="N52" s="53">
        <v>1</v>
      </c>
      <c r="O52" s="53">
        <v>0.95</v>
      </c>
      <c r="P52" s="53">
        <v>1</v>
      </c>
      <c r="Q52" s="75">
        <f t="shared" si="2"/>
        <v>0.97499999999999998</v>
      </c>
      <c r="R52" s="53">
        <v>15.5</v>
      </c>
      <c r="S52" s="53">
        <v>122</v>
      </c>
      <c r="T52" s="16">
        <f t="shared" si="0"/>
        <v>30</v>
      </c>
      <c r="U52" s="53">
        <v>98</v>
      </c>
      <c r="V52" s="16">
        <f t="shared" si="1"/>
        <v>2940</v>
      </c>
      <c r="W52" s="53">
        <v>16</v>
      </c>
      <c r="X52" s="166" t="s">
        <v>46</v>
      </c>
      <c r="Y52" s="53" t="s">
        <v>78</v>
      </c>
      <c r="Z52" s="53" t="s">
        <v>102</v>
      </c>
      <c r="AA52" s="53" t="s">
        <v>226</v>
      </c>
      <c r="AB52" s="53" t="s">
        <v>158</v>
      </c>
    </row>
    <row r="53" spans="1:28" x14ac:dyDescent="0.15">
      <c r="A53" s="53" t="s">
        <v>34</v>
      </c>
      <c r="B53" s="53" t="s">
        <v>157</v>
      </c>
      <c r="C53" s="53">
        <v>2019</v>
      </c>
      <c r="D53" s="174" t="s">
        <v>357</v>
      </c>
      <c r="E53" s="53" t="s">
        <v>133</v>
      </c>
      <c r="F53" s="158" t="s">
        <v>365</v>
      </c>
      <c r="G53" s="161" t="s">
        <v>36</v>
      </c>
      <c r="H53" s="53" t="s">
        <v>160</v>
      </c>
      <c r="I53" s="53" t="s">
        <v>159</v>
      </c>
      <c r="J53" s="53" t="s">
        <v>38</v>
      </c>
      <c r="K53" s="120" t="s">
        <v>161</v>
      </c>
      <c r="L53" s="53">
        <v>1</v>
      </c>
      <c r="N53" s="53">
        <v>1</v>
      </c>
      <c r="O53" s="53">
        <v>0.9</v>
      </c>
      <c r="P53" s="53">
        <v>0.85</v>
      </c>
      <c r="Q53" s="75">
        <f t="shared" si="2"/>
        <v>0.875</v>
      </c>
      <c r="R53" s="53">
        <v>16.8</v>
      </c>
      <c r="S53" s="53">
        <v>94</v>
      </c>
      <c r="T53" s="16">
        <f t="shared" si="0"/>
        <v>36</v>
      </c>
      <c r="U53" s="53">
        <v>98</v>
      </c>
      <c r="V53" s="16">
        <f t="shared" si="1"/>
        <v>3528</v>
      </c>
      <c r="W53" s="53">
        <v>16</v>
      </c>
      <c r="X53" s="166" t="s">
        <v>46</v>
      </c>
      <c r="Y53" s="53" t="s">
        <v>78</v>
      </c>
      <c r="Z53" s="53" t="s">
        <v>102</v>
      </c>
      <c r="AA53" s="53" t="s">
        <v>226</v>
      </c>
      <c r="AB53" s="53" t="s">
        <v>158</v>
      </c>
    </row>
    <row r="54" spans="1:28" x14ac:dyDescent="0.15">
      <c r="A54" s="53" t="s">
        <v>34</v>
      </c>
      <c r="B54" s="53" t="s">
        <v>157</v>
      </c>
      <c r="C54" s="53">
        <v>2019</v>
      </c>
      <c r="D54" s="174" t="s">
        <v>357</v>
      </c>
      <c r="E54" s="53" t="s">
        <v>133</v>
      </c>
      <c r="F54" s="158" t="s">
        <v>365</v>
      </c>
      <c r="G54" s="161" t="s">
        <v>36</v>
      </c>
      <c r="H54" s="53" t="s">
        <v>160</v>
      </c>
      <c r="I54" s="53" t="s">
        <v>159</v>
      </c>
      <c r="J54" s="53" t="s">
        <v>38</v>
      </c>
      <c r="K54" s="120" t="s">
        <v>161</v>
      </c>
      <c r="L54" s="53">
        <v>2</v>
      </c>
      <c r="N54" s="53">
        <v>1</v>
      </c>
      <c r="O54" s="53">
        <v>1</v>
      </c>
      <c r="P54" s="53">
        <v>1.1000000000000001</v>
      </c>
      <c r="Q54" s="75">
        <f t="shared" si="2"/>
        <v>1.05</v>
      </c>
      <c r="R54" s="53">
        <v>15.6</v>
      </c>
      <c r="S54" s="53">
        <v>99</v>
      </c>
      <c r="T54" s="16">
        <f t="shared" si="0"/>
        <v>33</v>
      </c>
      <c r="U54" s="53">
        <v>98</v>
      </c>
      <c r="V54" s="16">
        <f t="shared" si="1"/>
        <v>3234</v>
      </c>
      <c r="W54" s="53">
        <v>16</v>
      </c>
      <c r="X54" s="166" t="s">
        <v>46</v>
      </c>
      <c r="Y54" s="53" t="s">
        <v>78</v>
      </c>
      <c r="Z54" s="53" t="s">
        <v>102</v>
      </c>
      <c r="AA54" s="53" t="s">
        <v>226</v>
      </c>
      <c r="AB54" s="53" t="s">
        <v>158</v>
      </c>
    </row>
    <row r="55" spans="1:28" x14ac:dyDescent="0.15">
      <c r="A55" s="53" t="s">
        <v>34</v>
      </c>
      <c r="B55" s="53" t="s">
        <v>157</v>
      </c>
      <c r="C55" s="53">
        <v>2019</v>
      </c>
      <c r="D55" s="174" t="s">
        <v>357</v>
      </c>
      <c r="E55" s="53" t="s">
        <v>133</v>
      </c>
      <c r="F55" s="158" t="s">
        <v>365</v>
      </c>
      <c r="G55" s="161" t="s">
        <v>36</v>
      </c>
      <c r="H55" s="53" t="s">
        <v>160</v>
      </c>
      <c r="I55" s="53" t="s">
        <v>159</v>
      </c>
      <c r="J55" s="53" t="s">
        <v>38</v>
      </c>
      <c r="K55" s="120" t="s">
        <v>161</v>
      </c>
      <c r="L55" s="53">
        <v>3</v>
      </c>
      <c r="N55" s="53">
        <v>1</v>
      </c>
      <c r="O55" s="53">
        <v>0.85</v>
      </c>
      <c r="P55" s="53">
        <v>0.8</v>
      </c>
      <c r="Q55" s="75">
        <f t="shared" si="2"/>
        <v>0.82499999999999996</v>
      </c>
      <c r="R55" s="53">
        <v>16.3</v>
      </c>
      <c r="S55" s="53">
        <v>101</v>
      </c>
      <c r="T55" s="16">
        <f t="shared" si="0"/>
        <v>33</v>
      </c>
      <c r="U55" s="53">
        <v>98</v>
      </c>
      <c r="V55" s="16">
        <f t="shared" si="1"/>
        <v>3234</v>
      </c>
      <c r="W55" s="53">
        <v>16</v>
      </c>
      <c r="X55" s="166" t="s">
        <v>46</v>
      </c>
      <c r="Y55" s="53" t="s">
        <v>78</v>
      </c>
      <c r="Z55" s="53" t="s">
        <v>102</v>
      </c>
      <c r="AA55" s="53" t="s">
        <v>226</v>
      </c>
      <c r="AB55" s="53" t="s">
        <v>158</v>
      </c>
    </row>
    <row r="56" spans="1:28" x14ac:dyDescent="0.15">
      <c r="A56" s="53" t="s">
        <v>34</v>
      </c>
      <c r="B56" s="53" t="s">
        <v>157</v>
      </c>
      <c r="C56" s="53">
        <v>2019</v>
      </c>
      <c r="D56" s="174" t="s">
        <v>357</v>
      </c>
      <c r="E56" s="53" t="s">
        <v>243</v>
      </c>
      <c r="F56" s="158" t="s">
        <v>366</v>
      </c>
      <c r="G56" s="161" t="s">
        <v>36</v>
      </c>
      <c r="H56" s="53" t="s">
        <v>164</v>
      </c>
      <c r="I56" s="53" t="s">
        <v>159</v>
      </c>
      <c r="J56" s="53" t="s">
        <v>38</v>
      </c>
      <c r="K56" s="120" t="s">
        <v>161</v>
      </c>
      <c r="L56" s="53">
        <v>1</v>
      </c>
      <c r="N56" s="53">
        <v>1</v>
      </c>
      <c r="O56" s="53">
        <v>0.7</v>
      </c>
      <c r="P56" s="53">
        <v>0.65</v>
      </c>
      <c r="Q56" s="75">
        <f t="shared" si="2"/>
        <v>0.67500000000000004</v>
      </c>
      <c r="R56" s="53">
        <v>15</v>
      </c>
      <c r="S56" s="53">
        <v>127</v>
      </c>
      <c r="T56" s="16">
        <f t="shared" si="0"/>
        <v>30</v>
      </c>
      <c r="U56" s="53">
        <v>98</v>
      </c>
      <c r="V56" s="16">
        <f t="shared" si="1"/>
        <v>2940</v>
      </c>
      <c r="W56" s="53">
        <v>8</v>
      </c>
      <c r="X56" s="166" t="s">
        <v>46</v>
      </c>
      <c r="Y56" s="53" t="s">
        <v>102</v>
      </c>
      <c r="Z56" s="53" t="s">
        <v>97</v>
      </c>
      <c r="AA56" s="53" t="s">
        <v>88</v>
      </c>
      <c r="AB56" s="53" t="s">
        <v>158</v>
      </c>
    </row>
    <row r="57" spans="1:28" x14ac:dyDescent="0.15">
      <c r="A57" s="53" t="s">
        <v>34</v>
      </c>
      <c r="B57" s="53" t="s">
        <v>157</v>
      </c>
      <c r="C57" s="53">
        <v>2019</v>
      </c>
      <c r="D57" s="174" t="s">
        <v>357</v>
      </c>
      <c r="E57" s="53" t="s">
        <v>243</v>
      </c>
      <c r="F57" s="158" t="s">
        <v>366</v>
      </c>
      <c r="G57" s="161" t="s">
        <v>36</v>
      </c>
      <c r="H57" s="53" t="s">
        <v>164</v>
      </c>
      <c r="I57" s="53" t="s">
        <v>159</v>
      </c>
      <c r="J57" s="53" t="s">
        <v>38</v>
      </c>
      <c r="K57" s="120" t="s">
        <v>161</v>
      </c>
      <c r="L57" s="53">
        <v>2</v>
      </c>
      <c r="N57" s="53">
        <v>1</v>
      </c>
      <c r="O57" s="53">
        <v>0.6</v>
      </c>
      <c r="P57" s="53">
        <v>0.7</v>
      </c>
      <c r="Q57" s="75">
        <f t="shared" si="2"/>
        <v>0.64999999999999991</v>
      </c>
      <c r="R57" s="53">
        <v>14.8</v>
      </c>
      <c r="S57" s="53">
        <v>129</v>
      </c>
      <c r="T57" s="16">
        <f t="shared" si="0"/>
        <v>30</v>
      </c>
      <c r="U57" s="53">
        <v>98</v>
      </c>
      <c r="V57" s="16">
        <f t="shared" si="1"/>
        <v>2940</v>
      </c>
      <c r="W57" s="53">
        <v>8</v>
      </c>
      <c r="X57" s="166" t="s">
        <v>46</v>
      </c>
      <c r="Y57" s="53" t="s">
        <v>102</v>
      </c>
      <c r="Z57" s="53" t="s">
        <v>97</v>
      </c>
      <c r="AA57" s="53" t="s">
        <v>88</v>
      </c>
      <c r="AB57" s="53" t="s">
        <v>158</v>
      </c>
    </row>
    <row r="58" spans="1:28" x14ac:dyDescent="0.15">
      <c r="A58" s="53" t="s">
        <v>34</v>
      </c>
      <c r="B58" s="53" t="s">
        <v>157</v>
      </c>
      <c r="C58" s="53">
        <v>2019</v>
      </c>
      <c r="D58" s="174" t="s">
        <v>357</v>
      </c>
      <c r="E58" s="53" t="s">
        <v>243</v>
      </c>
      <c r="F58" s="158" t="s">
        <v>366</v>
      </c>
      <c r="G58" s="161" t="s">
        <v>36</v>
      </c>
      <c r="H58" s="53" t="s">
        <v>164</v>
      </c>
      <c r="I58" s="53" t="s">
        <v>159</v>
      </c>
      <c r="J58" s="53" t="s">
        <v>38</v>
      </c>
      <c r="K58" s="120" t="s">
        <v>161</v>
      </c>
      <c r="L58" s="53">
        <v>3</v>
      </c>
      <c r="N58" s="53">
        <v>1</v>
      </c>
      <c r="O58" s="53">
        <v>0.6</v>
      </c>
      <c r="P58" s="53">
        <v>0.75</v>
      </c>
      <c r="Q58" s="75">
        <f t="shared" si="2"/>
        <v>0.67500000000000004</v>
      </c>
      <c r="R58" s="53">
        <v>15.1</v>
      </c>
      <c r="S58" s="53">
        <v>127</v>
      </c>
      <c r="T58" s="16">
        <f t="shared" si="0"/>
        <v>30</v>
      </c>
      <c r="U58" s="53">
        <v>98</v>
      </c>
      <c r="V58" s="16">
        <f t="shared" si="1"/>
        <v>2940</v>
      </c>
      <c r="W58" s="53">
        <v>8</v>
      </c>
      <c r="X58" s="166" t="s">
        <v>46</v>
      </c>
      <c r="Y58" s="53" t="s">
        <v>102</v>
      </c>
      <c r="Z58" s="53" t="s">
        <v>97</v>
      </c>
      <c r="AA58" s="53" t="s">
        <v>88</v>
      </c>
      <c r="AB58" s="53" t="s">
        <v>158</v>
      </c>
    </row>
    <row r="59" spans="1:28" x14ac:dyDescent="0.15">
      <c r="A59" s="53" t="s">
        <v>34</v>
      </c>
      <c r="B59" s="53" t="s">
        <v>157</v>
      </c>
      <c r="C59" s="53">
        <v>2019</v>
      </c>
      <c r="D59" s="174" t="s">
        <v>357</v>
      </c>
      <c r="E59" s="53" t="s">
        <v>243</v>
      </c>
      <c r="F59" s="158" t="s">
        <v>366</v>
      </c>
      <c r="G59" s="161" t="s">
        <v>36</v>
      </c>
      <c r="H59" s="53" t="s">
        <v>160</v>
      </c>
      <c r="I59" s="53" t="s">
        <v>159</v>
      </c>
      <c r="J59" s="53" t="s">
        <v>38</v>
      </c>
      <c r="K59" s="120" t="s">
        <v>161</v>
      </c>
      <c r="L59" s="53">
        <v>1</v>
      </c>
      <c r="N59" s="53">
        <v>4</v>
      </c>
      <c r="O59" s="53">
        <v>0.5</v>
      </c>
      <c r="P59" s="53">
        <v>0.45</v>
      </c>
      <c r="Q59" s="75">
        <f t="shared" si="2"/>
        <v>0.47499999999999998</v>
      </c>
      <c r="R59" s="53">
        <v>15.8</v>
      </c>
      <c r="S59" s="53">
        <v>98</v>
      </c>
      <c r="T59" s="16">
        <f t="shared" si="0"/>
        <v>36</v>
      </c>
      <c r="U59" s="53">
        <v>498</v>
      </c>
      <c r="V59" s="16">
        <f t="shared" si="1"/>
        <v>4482</v>
      </c>
      <c r="W59" s="53">
        <v>8</v>
      </c>
      <c r="X59" s="166" t="s">
        <v>46</v>
      </c>
      <c r="Y59" s="53" t="s">
        <v>102</v>
      </c>
      <c r="Z59" s="53" t="s">
        <v>97</v>
      </c>
      <c r="AA59" s="53" t="s">
        <v>88</v>
      </c>
      <c r="AB59" s="53" t="s">
        <v>158</v>
      </c>
    </row>
    <row r="60" spans="1:28" x14ac:dyDescent="0.15">
      <c r="A60" s="53" t="s">
        <v>34</v>
      </c>
      <c r="B60" s="53" t="s">
        <v>157</v>
      </c>
      <c r="C60" s="53">
        <v>2019</v>
      </c>
      <c r="D60" s="174" t="s">
        <v>357</v>
      </c>
      <c r="E60" s="53" t="s">
        <v>243</v>
      </c>
      <c r="F60" s="158" t="s">
        <v>366</v>
      </c>
      <c r="G60" s="161" t="s">
        <v>36</v>
      </c>
      <c r="H60" s="53" t="s">
        <v>160</v>
      </c>
      <c r="I60" s="53" t="s">
        <v>159</v>
      </c>
      <c r="J60" s="53" t="s">
        <v>38</v>
      </c>
      <c r="K60" s="120" t="s">
        <v>161</v>
      </c>
      <c r="L60" s="53">
        <v>2</v>
      </c>
      <c r="N60" s="53">
        <v>4</v>
      </c>
      <c r="O60" s="53">
        <v>0.45</v>
      </c>
      <c r="P60" s="53">
        <v>0.4</v>
      </c>
      <c r="Q60" s="75">
        <f t="shared" si="2"/>
        <v>0.42500000000000004</v>
      </c>
      <c r="R60" s="53">
        <v>14.4</v>
      </c>
      <c r="S60" s="53">
        <v>97</v>
      </c>
      <c r="T60" s="16">
        <f t="shared" si="0"/>
        <v>36</v>
      </c>
      <c r="U60" s="53">
        <v>498</v>
      </c>
      <c r="V60" s="16">
        <f t="shared" si="1"/>
        <v>4482</v>
      </c>
      <c r="W60" s="53">
        <v>8</v>
      </c>
      <c r="X60" s="166" t="s">
        <v>46</v>
      </c>
      <c r="Y60" s="53" t="s">
        <v>102</v>
      </c>
      <c r="Z60" s="53" t="s">
        <v>97</v>
      </c>
      <c r="AA60" s="53" t="s">
        <v>88</v>
      </c>
      <c r="AB60" s="53" t="s">
        <v>158</v>
      </c>
    </row>
    <row r="61" spans="1:28" x14ac:dyDescent="0.15">
      <c r="A61" s="53" t="s">
        <v>34</v>
      </c>
      <c r="B61" s="53" t="s">
        <v>157</v>
      </c>
      <c r="C61" s="53">
        <v>2019</v>
      </c>
      <c r="D61" s="174" t="s">
        <v>357</v>
      </c>
      <c r="E61" s="53" t="s">
        <v>243</v>
      </c>
      <c r="F61" s="158" t="s">
        <v>366</v>
      </c>
      <c r="G61" s="161" t="s">
        <v>36</v>
      </c>
      <c r="H61" s="53" t="s">
        <v>160</v>
      </c>
      <c r="I61" s="53" t="s">
        <v>159</v>
      </c>
      <c r="J61" s="53" t="s">
        <v>38</v>
      </c>
      <c r="K61" s="120" t="s">
        <v>161</v>
      </c>
      <c r="L61" s="53">
        <v>3</v>
      </c>
      <c r="N61" s="53">
        <v>4</v>
      </c>
      <c r="O61" s="53">
        <v>0.5</v>
      </c>
      <c r="P61" s="53">
        <v>0.4</v>
      </c>
      <c r="Q61" s="75">
        <f t="shared" si="2"/>
        <v>0.45</v>
      </c>
      <c r="R61" s="53">
        <v>14.6</v>
      </c>
      <c r="S61" s="53">
        <v>101</v>
      </c>
      <c r="T61" s="16">
        <f t="shared" si="0"/>
        <v>33</v>
      </c>
      <c r="U61" s="53">
        <v>498</v>
      </c>
      <c r="V61" s="16">
        <f t="shared" si="1"/>
        <v>4108.5</v>
      </c>
      <c r="W61" s="53">
        <v>8</v>
      </c>
      <c r="X61" s="166" t="s">
        <v>46</v>
      </c>
      <c r="Y61" s="53" t="s">
        <v>102</v>
      </c>
      <c r="Z61" s="53" t="s">
        <v>97</v>
      </c>
      <c r="AA61" s="53" t="s">
        <v>88</v>
      </c>
      <c r="AB61" s="53" t="s">
        <v>158</v>
      </c>
    </row>
    <row r="62" spans="1:28" x14ac:dyDescent="0.15">
      <c r="D62" s="174"/>
      <c r="F62" s="158"/>
      <c r="G62" s="161"/>
      <c r="K62" s="120"/>
      <c r="Q62" s="75" t="str">
        <f t="shared" si="2"/>
        <v/>
      </c>
      <c r="T62" s="16" t="str">
        <f t="shared" si="0"/>
        <v/>
      </c>
      <c r="V62" s="16" t="str">
        <f t="shared" si="1"/>
        <v/>
      </c>
      <c r="X62" s="166"/>
    </row>
    <row r="63" spans="1:28" x14ac:dyDescent="0.15">
      <c r="D63" s="174"/>
      <c r="F63" s="158"/>
      <c r="G63" s="161"/>
      <c r="K63" s="120"/>
      <c r="Q63" s="75" t="str">
        <f t="shared" si="2"/>
        <v/>
      </c>
      <c r="T63" s="16" t="str">
        <f t="shared" si="0"/>
        <v/>
      </c>
      <c r="V63" s="16" t="str">
        <f t="shared" si="1"/>
        <v/>
      </c>
      <c r="X63" s="166"/>
    </row>
    <row r="64" spans="1:28" x14ac:dyDescent="0.15">
      <c r="D64" s="174"/>
      <c r="F64" s="158"/>
      <c r="G64" s="161"/>
      <c r="K64" s="120"/>
      <c r="Q64" s="75" t="str">
        <f t="shared" si="2"/>
        <v/>
      </c>
      <c r="T64" s="16" t="str">
        <f t="shared" si="0"/>
        <v/>
      </c>
      <c r="V64" s="16" t="str">
        <f t="shared" si="1"/>
        <v/>
      </c>
      <c r="X64" s="166"/>
    </row>
    <row r="65" spans="4:24" x14ac:dyDescent="0.15">
      <c r="D65" s="174"/>
      <c r="F65" s="158"/>
      <c r="G65" s="161"/>
      <c r="K65" s="120"/>
      <c r="Q65" s="75" t="str">
        <f t="shared" si="2"/>
        <v/>
      </c>
      <c r="T65" s="16" t="str">
        <f t="shared" si="0"/>
        <v/>
      </c>
      <c r="V65" s="16" t="str">
        <f t="shared" si="1"/>
        <v/>
      </c>
      <c r="X65" s="166"/>
    </row>
    <row r="66" spans="4:24" x14ac:dyDescent="0.15">
      <c r="D66" s="174"/>
      <c r="F66" s="158"/>
      <c r="G66" s="161"/>
      <c r="K66" s="120"/>
      <c r="Q66" s="75" t="str">
        <f t="shared" si="2"/>
        <v/>
      </c>
      <c r="T66" s="16" t="str">
        <f t="shared" ref="T66:T91" si="3">IF(H66="","",IF(OR(H66="GREEN",H66="GK"),IF(S66&gt;=$AX$2,VLOOKUP(S66,$AX$2:$AY$7,2,1),""),IF(S66&gt;=$AZ$2,VLOOKUP(S66,$AZ$2:$BA$7,2,1),"")))</f>
        <v/>
      </c>
      <c r="V66" s="16" t="str">
        <f t="shared" ref="V66:V91" si="4">IF(OR(N66="",U66="",T66=""),"",U66/N66*T66)</f>
        <v/>
      </c>
      <c r="X66" s="166"/>
    </row>
    <row r="67" spans="4:24" x14ac:dyDescent="0.15">
      <c r="D67" s="174"/>
      <c r="F67" s="158"/>
      <c r="G67" s="161"/>
      <c r="K67" s="120"/>
      <c r="Q67" s="75" t="str">
        <f t="shared" ref="Q67:Q91" si="5">IF(OR(O67="",P67=""),"",AVERAGE(O67,P67))</f>
        <v/>
      </c>
      <c r="T67" s="16" t="str">
        <f t="shared" si="3"/>
        <v/>
      </c>
      <c r="V67" s="16" t="str">
        <f t="shared" si="4"/>
        <v/>
      </c>
      <c r="X67" s="166"/>
    </row>
    <row r="68" spans="4:24" x14ac:dyDescent="0.15">
      <c r="D68" s="174"/>
      <c r="F68" s="158"/>
      <c r="G68" s="161"/>
      <c r="K68" s="120"/>
      <c r="Q68" s="75" t="str">
        <f t="shared" si="5"/>
        <v/>
      </c>
      <c r="T68" s="16" t="str">
        <f t="shared" si="3"/>
        <v/>
      </c>
      <c r="V68" s="16" t="str">
        <f t="shared" si="4"/>
        <v/>
      </c>
      <c r="X68" s="166"/>
    </row>
    <row r="69" spans="4:24" x14ac:dyDescent="0.15">
      <c r="D69" s="174"/>
      <c r="F69" s="158"/>
      <c r="G69" s="161"/>
      <c r="K69" s="120"/>
      <c r="Q69" s="75" t="str">
        <f t="shared" si="5"/>
        <v/>
      </c>
      <c r="T69" s="16" t="str">
        <f t="shared" si="3"/>
        <v/>
      </c>
      <c r="V69" s="16" t="str">
        <f t="shared" si="4"/>
        <v/>
      </c>
      <c r="X69" s="166"/>
    </row>
    <row r="70" spans="4:24" x14ac:dyDescent="0.15">
      <c r="D70" s="174"/>
      <c r="F70" s="158"/>
      <c r="G70" s="161"/>
      <c r="K70" s="120"/>
      <c r="Q70" s="75" t="str">
        <f t="shared" si="5"/>
        <v/>
      </c>
      <c r="T70" s="16" t="str">
        <f t="shared" si="3"/>
        <v/>
      </c>
      <c r="V70" s="16" t="str">
        <f t="shared" si="4"/>
        <v/>
      </c>
      <c r="X70" s="166"/>
    </row>
    <row r="71" spans="4:24" x14ac:dyDescent="0.15">
      <c r="D71" s="174"/>
      <c r="F71" s="158"/>
      <c r="G71" s="161"/>
      <c r="K71" s="120"/>
      <c r="Q71" s="75" t="str">
        <f t="shared" si="5"/>
        <v/>
      </c>
      <c r="T71" s="16" t="str">
        <f t="shared" si="3"/>
        <v/>
      </c>
      <c r="V71" s="16" t="str">
        <f t="shared" si="4"/>
        <v/>
      </c>
      <c r="X71" s="166"/>
    </row>
    <row r="72" spans="4:24" x14ac:dyDescent="0.15">
      <c r="D72" s="174"/>
      <c r="F72" s="158"/>
      <c r="G72" s="161"/>
      <c r="K72" s="120"/>
      <c r="Q72" s="75" t="str">
        <f t="shared" si="5"/>
        <v/>
      </c>
      <c r="T72" s="16" t="str">
        <f t="shared" si="3"/>
        <v/>
      </c>
      <c r="V72" s="16" t="str">
        <f t="shared" si="4"/>
        <v/>
      </c>
      <c r="X72" s="166"/>
    </row>
    <row r="73" spans="4:24" x14ac:dyDescent="0.15">
      <c r="D73" s="174"/>
      <c r="F73" s="158"/>
      <c r="G73" s="161"/>
      <c r="K73" s="120"/>
      <c r="Q73" s="75" t="str">
        <f t="shared" si="5"/>
        <v/>
      </c>
      <c r="T73" s="16" t="str">
        <f t="shared" si="3"/>
        <v/>
      </c>
      <c r="V73" s="16" t="str">
        <f t="shared" si="4"/>
        <v/>
      </c>
      <c r="X73" s="166"/>
    </row>
    <row r="74" spans="4:24" x14ac:dyDescent="0.15">
      <c r="D74" s="174"/>
      <c r="F74" s="158"/>
      <c r="G74" s="161"/>
      <c r="K74" s="120"/>
      <c r="Q74" s="75" t="str">
        <f t="shared" si="5"/>
        <v/>
      </c>
      <c r="T74" s="16" t="str">
        <f t="shared" si="3"/>
        <v/>
      </c>
      <c r="V74" s="16" t="str">
        <f t="shared" si="4"/>
        <v/>
      </c>
      <c r="X74" s="166"/>
    </row>
    <row r="75" spans="4:24" x14ac:dyDescent="0.15">
      <c r="D75" s="174"/>
      <c r="F75" s="158"/>
      <c r="G75" s="161"/>
      <c r="K75" s="120"/>
      <c r="Q75" s="75" t="str">
        <f t="shared" si="5"/>
        <v/>
      </c>
      <c r="T75" s="16" t="str">
        <f t="shared" si="3"/>
        <v/>
      </c>
      <c r="V75" s="16" t="str">
        <f t="shared" si="4"/>
        <v/>
      </c>
      <c r="X75" s="166"/>
    </row>
    <row r="76" spans="4:24" x14ac:dyDescent="0.15">
      <c r="D76" s="174"/>
      <c r="F76" s="158"/>
      <c r="G76" s="161"/>
      <c r="K76" s="120"/>
      <c r="Q76" s="75" t="str">
        <f t="shared" si="5"/>
        <v/>
      </c>
      <c r="T76" s="16" t="str">
        <f t="shared" si="3"/>
        <v/>
      </c>
      <c r="V76" s="16" t="str">
        <f t="shared" si="4"/>
        <v/>
      </c>
      <c r="X76" s="166"/>
    </row>
    <row r="77" spans="4:24" x14ac:dyDescent="0.15">
      <c r="D77" s="174"/>
      <c r="F77" s="158"/>
      <c r="G77" s="161"/>
      <c r="K77" s="120"/>
      <c r="Q77" s="75" t="str">
        <f t="shared" si="5"/>
        <v/>
      </c>
      <c r="T77" s="16" t="str">
        <f t="shared" si="3"/>
        <v/>
      </c>
      <c r="V77" s="16" t="str">
        <f t="shared" si="4"/>
        <v/>
      </c>
      <c r="X77" s="166"/>
    </row>
    <row r="78" spans="4:24" x14ac:dyDescent="0.15">
      <c r="D78" s="174"/>
      <c r="F78" s="158"/>
      <c r="G78" s="161"/>
      <c r="K78" s="120"/>
      <c r="Q78" s="75" t="str">
        <f t="shared" si="5"/>
        <v/>
      </c>
      <c r="T78" s="16" t="str">
        <f t="shared" si="3"/>
        <v/>
      </c>
      <c r="V78" s="16" t="str">
        <f t="shared" si="4"/>
        <v/>
      </c>
      <c r="X78" s="166"/>
    </row>
    <row r="79" spans="4:24" x14ac:dyDescent="0.15">
      <c r="D79" s="174"/>
      <c r="F79" s="158"/>
      <c r="G79" s="161"/>
      <c r="K79" s="120"/>
      <c r="Q79" s="75" t="str">
        <f t="shared" si="5"/>
        <v/>
      </c>
      <c r="T79" s="16" t="str">
        <f t="shared" si="3"/>
        <v/>
      </c>
      <c r="V79" s="16" t="str">
        <f t="shared" si="4"/>
        <v/>
      </c>
      <c r="X79" s="166"/>
    </row>
    <row r="80" spans="4:24" x14ac:dyDescent="0.15">
      <c r="K80" s="120"/>
      <c r="Q80" s="75" t="str">
        <f t="shared" si="5"/>
        <v/>
      </c>
      <c r="T80" s="16" t="str">
        <f t="shared" si="3"/>
        <v/>
      </c>
      <c r="V80" s="16" t="str">
        <f t="shared" si="4"/>
        <v/>
      </c>
    </row>
    <row r="81" spans="11:22" x14ac:dyDescent="0.15">
      <c r="K81" s="120"/>
      <c r="Q81" s="75" t="str">
        <f t="shared" si="5"/>
        <v/>
      </c>
      <c r="T81" s="16" t="str">
        <f t="shared" si="3"/>
        <v/>
      </c>
      <c r="V81" s="16" t="str">
        <f t="shared" si="4"/>
        <v/>
      </c>
    </row>
    <row r="82" spans="11:22" x14ac:dyDescent="0.15">
      <c r="K82" s="120"/>
      <c r="Q82" s="75" t="str">
        <f t="shared" si="5"/>
        <v/>
      </c>
      <c r="T82" s="16" t="str">
        <f t="shared" si="3"/>
        <v/>
      </c>
      <c r="V82" s="16" t="str">
        <f t="shared" si="4"/>
        <v/>
      </c>
    </row>
    <row r="83" spans="11:22" x14ac:dyDescent="0.15">
      <c r="K83" s="120"/>
      <c r="Q83" s="75" t="str">
        <f t="shared" si="5"/>
        <v/>
      </c>
      <c r="T83" s="16" t="str">
        <f t="shared" si="3"/>
        <v/>
      </c>
      <c r="V83" s="16" t="str">
        <f t="shared" si="4"/>
        <v/>
      </c>
    </row>
    <row r="84" spans="11:22" x14ac:dyDescent="0.15">
      <c r="K84" s="120"/>
      <c r="Q84" s="75" t="str">
        <f t="shared" si="5"/>
        <v/>
      </c>
      <c r="T84" s="16" t="str">
        <f t="shared" si="3"/>
        <v/>
      </c>
      <c r="V84" s="16" t="str">
        <f t="shared" si="4"/>
        <v/>
      </c>
    </row>
    <row r="85" spans="11:22" x14ac:dyDescent="0.15">
      <c r="K85" s="120"/>
      <c r="Q85" s="75" t="str">
        <f t="shared" si="5"/>
        <v/>
      </c>
      <c r="T85" s="16" t="str">
        <f t="shared" si="3"/>
        <v/>
      </c>
      <c r="V85" s="16" t="str">
        <f t="shared" si="4"/>
        <v/>
      </c>
    </row>
    <row r="86" spans="11:22" x14ac:dyDescent="0.15">
      <c r="K86" s="120"/>
      <c r="Q86" s="75" t="str">
        <f t="shared" si="5"/>
        <v/>
      </c>
      <c r="T86" s="16" t="str">
        <f t="shared" si="3"/>
        <v/>
      </c>
      <c r="V86" s="16" t="str">
        <f t="shared" si="4"/>
        <v/>
      </c>
    </row>
    <row r="87" spans="11:22" x14ac:dyDescent="0.15">
      <c r="K87" s="120"/>
      <c r="Q87" s="75" t="str">
        <f t="shared" si="5"/>
        <v/>
      </c>
      <c r="T87" s="16" t="str">
        <f t="shared" si="3"/>
        <v/>
      </c>
      <c r="V87" s="16" t="str">
        <f t="shared" si="4"/>
        <v/>
      </c>
    </row>
    <row r="88" spans="11:22" x14ac:dyDescent="0.15">
      <c r="K88" s="120"/>
      <c r="Q88" s="75" t="str">
        <f t="shared" si="5"/>
        <v/>
      </c>
      <c r="T88" s="16" t="str">
        <f t="shared" si="3"/>
        <v/>
      </c>
      <c r="V88" s="16" t="str">
        <f t="shared" si="4"/>
        <v/>
      </c>
    </row>
    <row r="89" spans="11:22" x14ac:dyDescent="0.15">
      <c r="K89" s="120"/>
      <c r="Q89" s="75" t="str">
        <f t="shared" si="5"/>
        <v/>
      </c>
      <c r="T89" s="16" t="str">
        <f t="shared" si="3"/>
        <v/>
      </c>
      <c r="V89" s="16" t="str">
        <f t="shared" si="4"/>
        <v/>
      </c>
    </row>
    <row r="90" spans="11:22" x14ac:dyDescent="0.15">
      <c r="K90" s="120"/>
      <c r="Q90" s="75" t="str">
        <f t="shared" si="5"/>
        <v/>
      </c>
      <c r="T90" s="16" t="str">
        <f t="shared" si="3"/>
        <v/>
      </c>
      <c r="V90" s="16" t="str">
        <f t="shared" si="4"/>
        <v/>
      </c>
    </row>
    <row r="91" spans="11:22" x14ac:dyDescent="0.15">
      <c r="K91" s="120"/>
      <c r="Q91" s="75" t="str">
        <f t="shared" si="5"/>
        <v/>
      </c>
      <c r="T91" s="16" t="str">
        <f t="shared" si="3"/>
        <v/>
      </c>
      <c r="V91" s="16" t="str">
        <f t="shared" si="4"/>
        <v/>
      </c>
    </row>
    <row r="92" spans="11:22" x14ac:dyDescent="0.15">
      <c r="K92" s="120"/>
      <c r="Q92" s="75"/>
    </row>
    <row r="93" spans="11:22" x14ac:dyDescent="0.15">
      <c r="K93" s="120"/>
      <c r="Q93" s="75"/>
    </row>
    <row r="94" spans="11:22" x14ac:dyDescent="0.15">
      <c r="K94" s="120"/>
      <c r="Q94" s="75"/>
    </row>
    <row r="95" spans="11:22" x14ac:dyDescent="0.15">
      <c r="K95" s="120"/>
      <c r="Q95" s="75"/>
    </row>
    <row r="96" spans="11:22" x14ac:dyDescent="0.15">
      <c r="K96" s="120"/>
      <c r="Q96" s="75"/>
    </row>
    <row r="97" spans="11:17" x14ac:dyDescent="0.15">
      <c r="K97" s="120"/>
      <c r="Q97" s="75"/>
    </row>
    <row r="98" spans="11:17" x14ac:dyDescent="0.15">
      <c r="K98" s="120"/>
      <c r="Q98" s="75"/>
    </row>
    <row r="99" spans="11:17" x14ac:dyDescent="0.15">
      <c r="K99" s="120"/>
      <c r="Q99" s="75"/>
    </row>
    <row r="100" spans="11:17" x14ac:dyDescent="0.15">
      <c r="K100" s="120"/>
      <c r="Q100" s="75"/>
    </row>
    <row r="101" spans="11:17" x14ac:dyDescent="0.15">
      <c r="K101" s="120"/>
      <c r="Q101" s="75"/>
    </row>
    <row r="102" spans="11:17" x14ac:dyDescent="0.15">
      <c r="K102" s="120"/>
      <c r="Q102" s="75"/>
    </row>
    <row r="103" spans="11:17" x14ac:dyDescent="0.15">
      <c r="K103" s="120"/>
      <c r="Q103" s="75"/>
    </row>
    <row r="104" spans="11:17" x14ac:dyDescent="0.15">
      <c r="K104" s="120"/>
      <c r="Q104" s="75"/>
    </row>
    <row r="105" spans="11:17" x14ac:dyDescent="0.15">
      <c r="K105" s="120"/>
      <c r="Q105" s="75"/>
    </row>
    <row r="106" spans="11:17" x14ac:dyDescent="0.15">
      <c r="K106" s="120"/>
      <c r="Q106" s="75"/>
    </row>
    <row r="107" spans="11:17" x14ac:dyDescent="0.15">
      <c r="K107" s="120"/>
      <c r="Q107" s="75"/>
    </row>
    <row r="108" spans="11:17" x14ac:dyDescent="0.15">
      <c r="K108" s="120"/>
      <c r="Q108" s="75"/>
    </row>
    <row r="109" spans="11:17" x14ac:dyDescent="0.15">
      <c r="K109" s="120"/>
      <c r="Q109" s="75"/>
    </row>
    <row r="110" spans="11:17" x14ac:dyDescent="0.15">
      <c r="K110" s="120"/>
      <c r="Q110" s="75"/>
    </row>
    <row r="111" spans="11:17" x14ac:dyDescent="0.15">
      <c r="K111" s="120"/>
      <c r="Q111" s="75"/>
    </row>
    <row r="112" spans="11:17" x14ac:dyDescent="0.15">
      <c r="K112" s="120"/>
      <c r="Q112" s="75"/>
    </row>
    <row r="113" spans="11:17" x14ac:dyDescent="0.15">
      <c r="K113" s="120"/>
      <c r="Q113" s="75"/>
    </row>
    <row r="114" spans="11:17" x14ac:dyDescent="0.15">
      <c r="K114" s="120"/>
      <c r="Q114" s="75"/>
    </row>
    <row r="115" spans="11:17" x14ac:dyDescent="0.15">
      <c r="K115" s="120"/>
      <c r="Q115" s="75"/>
    </row>
    <row r="116" spans="11:17" x14ac:dyDescent="0.15">
      <c r="K116" s="120"/>
      <c r="Q116" s="75"/>
    </row>
    <row r="117" spans="11:17" x14ac:dyDescent="0.15">
      <c r="K117" s="120"/>
      <c r="Q117" s="75"/>
    </row>
    <row r="118" spans="11:17" x14ac:dyDescent="0.15">
      <c r="K118" s="120"/>
      <c r="Q118" s="75"/>
    </row>
    <row r="119" spans="11:17" x14ac:dyDescent="0.15">
      <c r="K119" s="120"/>
      <c r="Q119" s="75"/>
    </row>
    <row r="120" spans="11:17" x14ac:dyDescent="0.15">
      <c r="K120" s="120"/>
      <c r="Q120" s="75"/>
    </row>
    <row r="121" spans="11:17" x14ac:dyDescent="0.15">
      <c r="K121" s="120"/>
      <c r="Q121" s="75"/>
    </row>
    <row r="122" spans="11:17" x14ac:dyDescent="0.15">
      <c r="K122" s="120"/>
      <c r="Q122" s="75"/>
    </row>
    <row r="123" spans="11:17" x14ac:dyDescent="0.15">
      <c r="K123" s="120"/>
      <c r="Q123" s="75"/>
    </row>
    <row r="124" spans="11:17" x14ac:dyDescent="0.15">
      <c r="K124" s="120"/>
      <c r="Q124" s="75"/>
    </row>
    <row r="125" spans="11:17" x14ac:dyDescent="0.15">
      <c r="K125" s="120"/>
      <c r="Q125" s="75"/>
    </row>
    <row r="126" spans="11:17" x14ac:dyDescent="0.15">
      <c r="K126" s="120"/>
      <c r="Q126" s="75"/>
    </row>
    <row r="127" spans="11:17" x14ac:dyDescent="0.15">
      <c r="K127" s="120"/>
      <c r="Q127" s="75"/>
    </row>
    <row r="128" spans="11:17" x14ac:dyDescent="0.15">
      <c r="K128" s="120"/>
      <c r="Q128" s="75"/>
    </row>
    <row r="129" spans="11:17" x14ac:dyDescent="0.15">
      <c r="K129" s="120"/>
      <c r="Q129" s="75"/>
    </row>
    <row r="130" spans="11:17" x14ac:dyDescent="0.15">
      <c r="K130" s="120"/>
      <c r="Q130" s="75"/>
    </row>
    <row r="131" spans="11:17" x14ac:dyDescent="0.15">
      <c r="K131" s="120"/>
      <c r="Q131" s="75"/>
    </row>
    <row r="132" spans="11:17" x14ac:dyDescent="0.15">
      <c r="K132" s="120"/>
      <c r="Q132" s="75"/>
    </row>
    <row r="133" spans="11:17" x14ac:dyDescent="0.15">
      <c r="K133" s="120"/>
      <c r="Q133" s="75"/>
    </row>
    <row r="134" spans="11:17" x14ac:dyDescent="0.15">
      <c r="K134" s="120"/>
      <c r="Q134" s="75"/>
    </row>
    <row r="135" spans="11:17" x14ac:dyDescent="0.15">
      <c r="K135" s="120"/>
      <c r="Q135" s="75"/>
    </row>
    <row r="136" spans="11:17" x14ac:dyDescent="0.15">
      <c r="K136" s="120"/>
      <c r="Q136" s="75"/>
    </row>
    <row r="137" spans="11:17" x14ac:dyDescent="0.15">
      <c r="K137" s="120"/>
      <c r="Q137" s="75"/>
    </row>
    <row r="138" spans="11:17" x14ac:dyDescent="0.15">
      <c r="K138" s="120"/>
      <c r="Q138" s="75"/>
    </row>
    <row r="139" spans="11:17" x14ac:dyDescent="0.15">
      <c r="K139" s="120"/>
      <c r="Q139" s="75"/>
    </row>
    <row r="140" spans="11:17" x14ac:dyDescent="0.15">
      <c r="K140" s="120"/>
      <c r="Q140" s="75"/>
    </row>
    <row r="141" spans="11:17" x14ac:dyDescent="0.15">
      <c r="K141" s="120"/>
      <c r="Q141" s="75"/>
    </row>
    <row r="142" spans="11:17" x14ac:dyDescent="0.15">
      <c r="K142" s="120"/>
      <c r="Q142" s="75"/>
    </row>
    <row r="143" spans="11:17" x14ac:dyDescent="0.15">
      <c r="K143" s="120"/>
      <c r="Q143" s="75"/>
    </row>
    <row r="144" spans="11:17" x14ac:dyDescent="0.15">
      <c r="K144" s="120"/>
      <c r="Q144" s="75"/>
    </row>
    <row r="145" spans="11:17" x14ac:dyDescent="0.15">
      <c r="K145" s="120"/>
      <c r="Q145" s="75"/>
    </row>
    <row r="146" spans="11:17" x14ac:dyDescent="0.15">
      <c r="K146" s="120"/>
      <c r="Q146" s="75"/>
    </row>
    <row r="147" spans="11:17" x14ac:dyDescent="0.15">
      <c r="K147" s="120"/>
      <c r="Q147" s="75"/>
    </row>
    <row r="148" spans="11:17" x14ac:dyDescent="0.15">
      <c r="K148" s="120"/>
      <c r="Q148" s="75"/>
    </row>
    <row r="149" spans="11:17" x14ac:dyDescent="0.15">
      <c r="K149" s="120"/>
      <c r="Q149" s="75"/>
    </row>
    <row r="150" spans="11:17" x14ac:dyDescent="0.15">
      <c r="K150" s="120"/>
      <c r="Q150" s="75"/>
    </row>
    <row r="151" spans="11:17" x14ac:dyDescent="0.15">
      <c r="K151" s="120"/>
      <c r="Q151" s="75"/>
    </row>
    <row r="152" spans="11:17" x14ac:dyDescent="0.15">
      <c r="K152" s="120"/>
      <c r="Q152" s="75"/>
    </row>
    <row r="153" spans="11:17" x14ac:dyDescent="0.15">
      <c r="K153" s="120"/>
      <c r="Q153" s="75"/>
    </row>
    <row r="154" spans="11:17" x14ac:dyDescent="0.15">
      <c r="K154" s="120"/>
      <c r="Q154" s="75"/>
    </row>
    <row r="155" spans="11:17" x14ac:dyDescent="0.15">
      <c r="K155" s="120"/>
      <c r="Q155" s="75"/>
    </row>
    <row r="156" spans="11:17" x14ac:dyDescent="0.15">
      <c r="K156" s="120"/>
      <c r="Q156" s="75"/>
    </row>
    <row r="157" spans="11:17" x14ac:dyDescent="0.15">
      <c r="K157" s="120"/>
      <c r="Q157" s="75"/>
    </row>
    <row r="158" spans="11:17" x14ac:dyDescent="0.15">
      <c r="K158" s="120"/>
      <c r="Q158" s="75"/>
    </row>
    <row r="159" spans="11:17" x14ac:dyDescent="0.15">
      <c r="K159" s="120"/>
      <c r="Q159" s="75"/>
    </row>
    <row r="160" spans="11:17" x14ac:dyDescent="0.15">
      <c r="K160" s="120"/>
      <c r="Q160" s="75"/>
    </row>
    <row r="161" spans="11:17" x14ac:dyDescent="0.15">
      <c r="K161" s="120"/>
      <c r="Q161" s="75"/>
    </row>
    <row r="162" spans="11:17" x14ac:dyDescent="0.15">
      <c r="K162" s="120"/>
      <c r="Q162" s="75"/>
    </row>
    <row r="163" spans="11:17" x14ac:dyDescent="0.15">
      <c r="K163" s="120"/>
      <c r="Q163" s="75"/>
    </row>
    <row r="164" spans="11:17" x14ac:dyDescent="0.15">
      <c r="K164" s="120"/>
      <c r="Q164" s="75"/>
    </row>
    <row r="165" spans="11:17" x14ac:dyDescent="0.15">
      <c r="K165" s="120"/>
      <c r="Q165" s="75"/>
    </row>
    <row r="166" spans="11:17" x14ac:dyDescent="0.15">
      <c r="K166" s="120"/>
      <c r="Q166" s="75"/>
    </row>
    <row r="167" spans="11:17" x14ac:dyDescent="0.15">
      <c r="K167" s="120"/>
      <c r="Q167" s="75"/>
    </row>
    <row r="168" spans="11:17" x14ac:dyDescent="0.15">
      <c r="K168" s="120"/>
      <c r="Q168" s="75"/>
    </row>
    <row r="169" spans="11:17" x14ac:dyDescent="0.15">
      <c r="K169" s="120"/>
      <c r="Q169" s="75"/>
    </row>
    <row r="170" spans="11:17" x14ac:dyDescent="0.15">
      <c r="K170" s="120"/>
      <c r="Q170" s="75"/>
    </row>
    <row r="171" spans="11:17" x14ac:dyDescent="0.15">
      <c r="K171" s="120"/>
      <c r="Q171" s="75"/>
    </row>
    <row r="172" spans="11:17" x14ac:dyDescent="0.15">
      <c r="K172" s="120"/>
      <c r="Q172" s="75"/>
    </row>
    <row r="173" spans="11:17" x14ac:dyDescent="0.15">
      <c r="K173" s="120"/>
      <c r="Q173" s="75"/>
    </row>
    <row r="174" spans="11:17" x14ac:dyDescent="0.15">
      <c r="K174" s="120"/>
      <c r="Q174" s="75"/>
    </row>
    <row r="175" spans="11:17" x14ac:dyDescent="0.15">
      <c r="K175" s="120"/>
      <c r="Q175" s="75"/>
    </row>
    <row r="176" spans="11:17" x14ac:dyDescent="0.15">
      <c r="K176" s="120"/>
      <c r="Q176" s="75"/>
    </row>
    <row r="177" spans="11:17" x14ac:dyDescent="0.15">
      <c r="K177" s="120"/>
      <c r="Q177" s="75"/>
    </row>
    <row r="178" spans="11:17" x14ac:dyDescent="0.15">
      <c r="K178" s="120"/>
      <c r="Q178" s="75"/>
    </row>
    <row r="179" spans="11:17" x14ac:dyDescent="0.15">
      <c r="K179" s="120"/>
      <c r="Q179" s="75"/>
    </row>
    <row r="180" spans="11:17" x14ac:dyDescent="0.15">
      <c r="K180" s="120"/>
      <c r="Q180" s="75"/>
    </row>
    <row r="181" spans="11:17" x14ac:dyDescent="0.15">
      <c r="K181" s="120"/>
      <c r="Q181" s="75"/>
    </row>
    <row r="182" spans="11:17" x14ac:dyDescent="0.15">
      <c r="K182" s="120"/>
      <c r="Q182" s="75"/>
    </row>
    <row r="183" spans="11:17" x14ac:dyDescent="0.15">
      <c r="K183" s="120"/>
      <c r="Q183" s="75"/>
    </row>
    <row r="184" spans="11:17" x14ac:dyDescent="0.15">
      <c r="K184" s="120"/>
      <c r="Q184" s="75"/>
    </row>
    <row r="185" spans="11:17" x14ac:dyDescent="0.15">
      <c r="K185" s="120"/>
      <c r="Q185" s="75"/>
    </row>
    <row r="186" spans="11:17" x14ac:dyDescent="0.15">
      <c r="K186" s="120"/>
      <c r="Q186" s="75"/>
    </row>
    <row r="187" spans="11:17" x14ac:dyDescent="0.15">
      <c r="K187" s="120"/>
      <c r="Q187" s="75"/>
    </row>
    <row r="188" spans="11:17" x14ac:dyDescent="0.15">
      <c r="K188" s="120"/>
      <c r="Q188" s="75"/>
    </row>
    <row r="189" spans="11:17" x14ac:dyDescent="0.15">
      <c r="K189" s="120"/>
      <c r="Q189" s="75"/>
    </row>
    <row r="190" spans="11:17" x14ac:dyDescent="0.15">
      <c r="K190" s="120"/>
      <c r="Q190" s="75"/>
    </row>
    <row r="191" spans="11:17" x14ac:dyDescent="0.15">
      <c r="K191" s="120"/>
      <c r="Q191" s="75"/>
    </row>
    <row r="192" spans="11:17" x14ac:dyDescent="0.15">
      <c r="K192" s="120"/>
      <c r="Q192" s="75"/>
    </row>
    <row r="193" spans="11:17" x14ac:dyDescent="0.15">
      <c r="K193" s="120"/>
      <c r="Q193" s="75"/>
    </row>
    <row r="194" spans="11:17" x14ac:dyDescent="0.15">
      <c r="K194" s="120"/>
      <c r="Q194" s="75"/>
    </row>
    <row r="195" spans="11:17" x14ac:dyDescent="0.15">
      <c r="K195" s="120"/>
      <c r="Q195" s="75"/>
    </row>
    <row r="196" spans="11:17" x14ac:dyDescent="0.15">
      <c r="K196" s="120"/>
      <c r="Q196" s="75"/>
    </row>
    <row r="197" spans="11:17" x14ac:dyDescent="0.15">
      <c r="K197" s="120"/>
      <c r="Q197" s="75"/>
    </row>
    <row r="198" spans="11:17" x14ac:dyDescent="0.15">
      <c r="K198" s="120"/>
      <c r="Q198" s="75"/>
    </row>
    <row r="199" spans="11:17" x14ac:dyDescent="0.15">
      <c r="K199" s="120"/>
      <c r="Q199" s="75"/>
    </row>
    <row r="200" spans="11:17" x14ac:dyDescent="0.15">
      <c r="K200" s="120"/>
      <c r="Q200" s="75"/>
    </row>
    <row r="201" spans="11:17" x14ac:dyDescent="0.15">
      <c r="K201" s="120"/>
      <c r="Q201" s="75"/>
    </row>
    <row r="202" spans="11:17" x14ac:dyDescent="0.15">
      <c r="K202" s="120"/>
      <c r="Q202" s="75"/>
    </row>
    <row r="203" spans="11:17" x14ac:dyDescent="0.15">
      <c r="K203" s="120"/>
      <c r="Q203" s="75"/>
    </row>
    <row r="204" spans="11:17" x14ac:dyDescent="0.15">
      <c r="K204" s="120"/>
      <c r="Q204" s="75"/>
    </row>
    <row r="205" spans="11:17" x14ac:dyDescent="0.15">
      <c r="K205" s="120"/>
      <c r="Q205" s="75"/>
    </row>
    <row r="206" spans="11:17" x14ac:dyDescent="0.15">
      <c r="K206" s="120"/>
      <c r="Q206" s="75"/>
    </row>
    <row r="207" spans="11:17" x14ac:dyDescent="0.15">
      <c r="K207" s="120"/>
      <c r="Q207" s="75"/>
    </row>
    <row r="208" spans="11:17" x14ac:dyDescent="0.15">
      <c r="K208" s="120"/>
      <c r="Q208" s="75"/>
    </row>
    <row r="209" spans="11:17" x14ac:dyDescent="0.15">
      <c r="K209" s="120"/>
      <c r="Q209" s="75"/>
    </row>
    <row r="210" spans="11:17" x14ac:dyDescent="0.15">
      <c r="K210" s="120"/>
      <c r="Q210" s="75"/>
    </row>
    <row r="211" spans="11:17" x14ac:dyDescent="0.15">
      <c r="K211" s="120"/>
      <c r="Q211" s="75"/>
    </row>
    <row r="212" spans="11:17" x14ac:dyDescent="0.15">
      <c r="K212" s="120"/>
      <c r="Q212" s="75"/>
    </row>
    <row r="213" spans="11:17" x14ac:dyDescent="0.15">
      <c r="K213" s="120"/>
      <c r="Q213" s="75"/>
    </row>
    <row r="214" spans="11:17" x14ac:dyDescent="0.15">
      <c r="K214" s="120"/>
      <c r="Q214" s="75"/>
    </row>
    <row r="215" spans="11:17" x14ac:dyDescent="0.15">
      <c r="K215" s="120"/>
      <c r="Q215" s="75"/>
    </row>
    <row r="216" spans="11:17" x14ac:dyDescent="0.15">
      <c r="K216" s="120"/>
      <c r="Q216" s="75"/>
    </row>
    <row r="217" spans="11:17" x14ac:dyDescent="0.15">
      <c r="K217" s="120"/>
      <c r="Q217" s="75"/>
    </row>
    <row r="218" spans="11:17" x14ac:dyDescent="0.15">
      <c r="K218" s="120"/>
      <c r="Q218" s="75"/>
    </row>
    <row r="219" spans="11:17" x14ac:dyDescent="0.15">
      <c r="K219" s="120"/>
      <c r="Q219" s="75"/>
    </row>
    <row r="220" spans="11:17" x14ac:dyDescent="0.15">
      <c r="K220" s="120"/>
      <c r="Q220" s="75"/>
    </row>
    <row r="221" spans="11:17" x14ac:dyDescent="0.15">
      <c r="K221" s="120"/>
      <c r="Q221" s="75"/>
    </row>
    <row r="222" spans="11:17" x14ac:dyDescent="0.15">
      <c r="K222" s="120"/>
      <c r="Q222" s="75"/>
    </row>
    <row r="223" spans="11:17" x14ac:dyDescent="0.15">
      <c r="K223" s="120"/>
      <c r="Q223" s="75"/>
    </row>
    <row r="224" spans="11:17" x14ac:dyDescent="0.15">
      <c r="K224" s="120"/>
      <c r="Q224" s="75"/>
    </row>
    <row r="225" spans="11:17" x14ac:dyDescent="0.15">
      <c r="K225" s="120"/>
      <c r="Q225" s="75"/>
    </row>
    <row r="226" spans="11:17" x14ac:dyDescent="0.15">
      <c r="K226" s="120"/>
      <c r="Q226" s="75"/>
    </row>
    <row r="227" spans="11:17" x14ac:dyDescent="0.15">
      <c r="K227" s="120"/>
      <c r="Q227" s="75"/>
    </row>
    <row r="228" spans="11:17" x14ac:dyDescent="0.15">
      <c r="K228" s="120"/>
      <c r="Q228" s="75"/>
    </row>
    <row r="229" spans="11:17" x14ac:dyDescent="0.15">
      <c r="K229" s="120"/>
      <c r="Q229" s="75"/>
    </row>
    <row r="230" spans="11:17" x14ac:dyDescent="0.15">
      <c r="K230" s="120"/>
      <c r="Q230" s="75"/>
    </row>
    <row r="231" spans="11:17" x14ac:dyDescent="0.15">
      <c r="K231" s="120"/>
      <c r="Q231" s="75"/>
    </row>
    <row r="232" spans="11:17" x14ac:dyDescent="0.15">
      <c r="K232" s="120"/>
      <c r="Q232" s="75"/>
    </row>
    <row r="233" spans="11:17" x14ac:dyDescent="0.15">
      <c r="K233" s="120"/>
      <c r="Q233" s="75"/>
    </row>
    <row r="234" spans="11:17" x14ac:dyDescent="0.15">
      <c r="K234" s="120"/>
      <c r="Q234" s="75"/>
    </row>
    <row r="235" spans="11:17" x14ac:dyDescent="0.15">
      <c r="K235" s="120"/>
      <c r="Q235" s="75"/>
    </row>
    <row r="236" spans="11:17" x14ac:dyDescent="0.15">
      <c r="K236" s="120"/>
      <c r="Q236" s="75"/>
    </row>
    <row r="237" spans="11:17" x14ac:dyDescent="0.15">
      <c r="K237" s="120"/>
      <c r="Q237" s="75"/>
    </row>
    <row r="238" spans="11:17" x14ac:dyDescent="0.15">
      <c r="K238" s="120"/>
      <c r="Q238" s="75"/>
    </row>
    <row r="239" spans="11:17" x14ac:dyDescent="0.15">
      <c r="K239" s="120"/>
      <c r="Q239" s="75"/>
    </row>
    <row r="240" spans="11:17" x14ac:dyDescent="0.15">
      <c r="K240" s="120"/>
      <c r="Q240" s="75"/>
    </row>
    <row r="241" spans="11:17" x14ac:dyDescent="0.15">
      <c r="K241" s="120"/>
      <c r="Q241" s="75"/>
    </row>
    <row r="242" spans="11:17" x14ac:dyDescent="0.15">
      <c r="K242" s="120"/>
      <c r="Q242" s="75"/>
    </row>
    <row r="243" spans="11:17" x14ac:dyDescent="0.15">
      <c r="K243" s="120"/>
      <c r="Q243" s="75"/>
    </row>
    <row r="244" spans="11:17" x14ac:dyDescent="0.15">
      <c r="K244" s="120"/>
      <c r="Q244" s="75"/>
    </row>
    <row r="245" spans="11:17" x14ac:dyDescent="0.15">
      <c r="K245" s="120"/>
      <c r="Q245" s="75"/>
    </row>
    <row r="246" spans="11:17" x14ac:dyDescent="0.15">
      <c r="K246" s="120"/>
      <c r="Q246" s="75"/>
    </row>
    <row r="247" spans="11:17" x14ac:dyDescent="0.15">
      <c r="K247" s="120"/>
      <c r="Q247" s="75"/>
    </row>
    <row r="248" spans="11:17" x14ac:dyDescent="0.15">
      <c r="K248" s="120"/>
      <c r="Q248" s="75"/>
    </row>
    <row r="249" spans="11:17" x14ac:dyDescent="0.15">
      <c r="K249" s="120"/>
      <c r="Q249" s="75"/>
    </row>
    <row r="250" spans="11:17" x14ac:dyDescent="0.15">
      <c r="K250" s="120"/>
      <c r="Q250" s="75"/>
    </row>
    <row r="251" spans="11:17" x14ac:dyDescent="0.15">
      <c r="K251" s="120"/>
      <c r="Q251" s="75"/>
    </row>
    <row r="252" spans="11:17" x14ac:dyDescent="0.15">
      <c r="K252" s="120"/>
      <c r="Q252" s="75"/>
    </row>
    <row r="253" spans="11:17" x14ac:dyDescent="0.15">
      <c r="K253" s="120"/>
      <c r="Q253" s="75"/>
    </row>
    <row r="254" spans="11:17" x14ac:dyDescent="0.15">
      <c r="K254" s="120"/>
      <c r="Q254" s="75"/>
    </row>
    <row r="255" spans="11:17" x14ac:dyDescent="0.15">
      <c r="K255" s="120"/>
      <c r="Q255" s="75"/>
    </row>
    <row r="256" spans="11:17" x14ac:dyDescent="0.15">
      <c r="K256" s="120"/>
      <c r="Q256" s="75"/>
    </row>
    <row r="257" spans="11:17" x14ac:dyDescent="0.15">
      <c r="K257" s="120"/>
      <c r="Q257" s="75"/>
    </row>
    <row r="258" spans="11:17" x14ac:dyDescent="0.15">
      <c r="K258" s="120"/>
      <c r="Q258" s="75"/>
    </row>
    <row r="259" spans="11:17" x14ac:dyDescent="0.15">
      <c r="K259" s="120"/>
      <c r="Q259" s="75"/>
    </row>
    <row r="260" spans="11:17" x14ac:dyDescent="0.15">
      <c r="K260" s="120"/>
      <c r="Q260" s="75"/>
    </row>
    <row r="261" spans="11:17" x14ac:dyDescent="0.15">
      <c r="K261" s="120"/>
      <c r="Q261" s="75"/>
    </row>
    <row r="262" spans="11:17" x14ac:dyDescent="0.15">
      <c r="K262" s="120"/>
      <c r="Q262" s="75"/>
    </row>
    <row r="263" spans="11:17" x14ac:dyDescent="0.15">
      <c r="K263" s="120"/>
      <c r="Q263" s="75"/>
    </row>
    <row r="264" spans="11:17" x14ac:dyDescent="0.15">
      <c r="K264" s="120"/>
      <c r="Q264" s="75"/>
    </row>
    <row r="265" spans="11:17" x14ac:dyDescent="0.15">
      <c r="K265" s="120"/>
      <c r="Q265" s="75"/>
    </row>
    <row r="266" spans="11:17" x14ac:dyDescent="0.15">
      <c r="K266" s="120"/>
      <c r="Q266" s="75"/>
    </row>
    <row r="267" spans="11:17" x14ac:dyDescent="0.15">
      <c r="K267" s="120"/>
      <c r="Q267" s="75"/>
    </row>
    <row r="268" spans="11:17" x14ac:dyDescent="0.15">
      <c r="K268" s="120"/>
      <c r="Q268" s="75"/>
    </row>
    <row r="269" spans="11:17" x14ac:dyDescent="0.15">
      <c r="K269" s="120"/>
      <c r="Q269" s="75"/>
    </row>
    <row r="270" spans="11:17" x14ac:dyDescent="0.15">
      <c r="K270" s="120"/>
      <c r="Q270" s="75"/>
    </row>
    <row r="271" spans="11:17" x14ac:dyDescent="0.15">
      <c r="K271" s="120"/>
      <c r="Q271" s="75"/>
    </row>
    <row r="272" spans="11:17" x14ac:dyDescent="0.15">
      <c r="K272" s="120"/>
      <c r="Q272" s="75"/>
    </row>
    <row r="273" spans="11:17" x14ac:dyDescent="0.15">
      <c r="K273" s="120"/>
      <c r="Q273" s="75"/>
    </row>
    <row r="274" spans="11:17" x14ac:dyDescent="0.15">
      <c r="K274" s="120"/>
      <c r="Q274" s="75"/>
    </row>
    <row r="275" spans="11:17" x14ac:dyDescent="0.15">
      <c r="K275" s="120"/>
      <c r="Q275" s="75"/>
    </row>
    <row r="276" spans="11:17" x14ac:dyDescent="0.15">
      <c r="K276" s="120"/>
      <c r="Q276" s="75"/>
    </row>
    <row r="277" spans="11:17" x14ac:dyDescent="0.15">
      <c r="K277" s="120"/>
      <c r="Q277" s="75"/>
    </row>
    <row r="278" spans="11:17" x14ac:dyDescent="0.15">
      <c r="K278" s="120"/>
      <c r="Q278" s="75"/>
    </row>
    <row r="279" spans="11:17" x14ac:dyDescent="0.15">
      <c r="K279" s="120"/>
      <c r="Q279" s="75"/>
    </row>
    <row r="280" spans="11:17" x14ac:dyDescent="0.15">
      <c r="K280" s="120"/>
      <c r="Q280" s="75"/>
    </row>
    <row r="281" spans="11:17" x14ac:dyDescent="0.15">
      <c r="K281" s="120"/>
      <c r="Q281" s="75"/>
    </row>
    <row r="282" spans="11:17" x14ac:dyDescent="0.15">
      <c r="K282" s="120"/>
      <c r="Q282" s="75"/>
    </row>
    <row r="283" spans="11:17" x14ac:dyDescent="0.15">
      <c r="K283" s="120"/>
      <c r="Q283" s="75"/>
    </row>
    <row r="284" spans="11:17" x14ac:dyDescent="0.15">
      <c r="K284" s="120"/>
      <c r="Q284" s="75"/>
    </row>
    <row r="285" spans="11:17" x14ac:dyDescent="0.15">
      <c r="K285" s="120"/>
      <c r="Q285" s="75"/>
    </row>
    <row r="286" spans="11:17" x14ac:dyDescent="0.15">
      <c r="K286" s="120"/>
      <c r="Q286" s="75"/>
    </row>
    <row r="287" spans="11:17" x14ac:dyDescent="0.15">
      <c r="K287" s="120"/>
      <c r="Q287" s="75"/>
    </row>
    <row r="288" spans="11:17" x14ac:dyDescent="0.15">
      <c r="K288" s="120"/>
      <c r="Q288" s="75"/>
    </row>
    <row r="289" spans="11:17" x14ac:dyDescent="0.15">
      <c r="K289" s="120"/>
      <c r="Q289" s="75"/>
    </row>
    <row r="290" spans="11:17" x14ac:dyDescent="0.15">
      <c r="K290" s="120"/>
      <c r="Q290" s="75"/>
    </row>
    <row r="291" spans="11:17" x14ac:dyDescent="0.15">
      <c r="K291" s="120"/>
      <c r="Q291" s="75"/>
    </row>
    <row r="292" spans="11:17" x14ac:dyDescent="0.15">
      <c r="K292" s="120"/>
    </row>
    <row r="293" spans="11:17" x14ac:dyDescent="0.15">
      <c r="K293" s="120"/>
    </row>
    <row r="294" spans="11:17" x14ac:dyDescent="0.15">
      <c r="K294" s="120"/>
    </row>
    <row r="295" spans="11:17" x14ac:dyDescent="0.15">
      <c r="K295" s="120"/>
    </row>
    <row r="296" spans="11:17" x14ac:dyDescent="0.15">
      <c r="K296" s="120"/>
    </row>
    <row r="297" spans="11:17" x14ac:dyDescent="0.15">
      <c r="K297" s="120"/>
    </row>
    <row r="298" spans="11:17" x14ac:dyDescent="0.15">
      <c r="K298" s="120"/>
    </row>
    <row r="299" spans="11:17" x14ac:dyDescent="0.15">
      <c r="K299" s="120"/>
    </row>
    <row r="300" spans="11:17" x14ac:dyDescent="0.15">
      <c r="K300" s="120"/>
    </row>
    <row r="301" spans="11:17" x14ac:dyDescent="0.15">
      <c r="K301" s="120"/>
    </row>
    <row r="302" spans="11:17" x14ac:dyDescent="0.15">
      <c r="K302" s="120"/>
    </row>
    <row r="303" spans="11:17" x14ac:dyDescent="0.15">
      <c r="K303" s="120"/>
    </row>
    <row r="304" spans="11:17" x14ac:dyDescent="0.15">
      <c r="K304" s="120"/>
    </row>
    <row r="305" spans="11:11" x14ac:dyDescent="0.15">
      <c r="K305" s="120"/>
    </row>
    <row r="306" spans="11:11" x14ac:dyDescent="0.15">
      <c r="K306" s="120"/>
    </row>
    <row r="307" spans="11:11" x14ac:dyDescent="0.15">
      <c r="K307" s="120"/>
    </row>
    <row r="308" spans="11:11" x14ac:dyDescent="0.15">
      <c r="K308" s="120"/>
    </row>
    <row r="309" spans="11:11" x14ac:dyDescent="0.15">
      <c r="K309" s="120"/>
    </row>
    <row r="310" spans="11:11" x14ac:dyDescent="0.15">
      <c r="K310" s="120"/>
    </row>
    <row r="311" spans="11:11" x14ac:dyDescent="0.15">
      <c r="K311" s="120"/>
    </row>
    <row r="312" spans="11:11" x14ac:dyDescent="0.15">
      <c r="K312" s="120"/>
    </row>
    <row r="313" spans="11:11" x14ac:dyDescent="0.15">
      <c r="K313" s="120"/>
    </row>
    <row r="314" spans="11:11" x14ac:dyDescent="0.15">
      <c r="K314" s="120"/>
    </row>
    <row r="315" spans="11:11" x14ac:dyDescent="0.15">
      <c r="K315" s="120"/>
    </row>
    <row r="316" spans="11:11" x14ac:dyDescent="0.15">
      <c r="K316" s="120"/>
    </row>
    <row r="317" spans="11:11" x14ac:dyDescent="0.15">
      <c r="K317" s="120"/>
    </row>
    <row r="318" spans="11:11" x14ac:dyDescent="0.15">
      <c r="K318" s="120"/>
    </row>
    <row r="319" spans="11:11" x14ac:dyDescent="0.15">
      <c r="K319" s="120"/>
    </row>
    <row r="320" spans="11:11" x14ac:dyDescent="0.15">
      <c r="K320" s="120"/>
    </row>
    <row r="321" spans="11:11" x14ac:dyDescent="0.15">
      <c r="K321" s="120"/>
    </row>
    <row r="322" spans="11:11" x14ac:dyDescent="0.15">
      <c r="K322" s="120"/>
    </row>
    <row r="323" spans="11:11" x14ac:dyDescent="0.15">
      <c r="K323" s="120"/>
    </row>
    <row r="324" spans="11:11" x14ac:dyDescent="0.15">
      <c r="K324" s="120"/>
    </row>
    <row r="325" spans="11:11" x14ac:dyDescent="0.15">
      <c r="K325" s="120"/>
    </row>
    <row r="326" spans="11:11" x14ac:dyDescent="0.15">
      <c r="K326" s="120"/>
    </row>
    <row r="327" spans="11:11" x14ac:dyDescent="0.15">
      <c r="K327" s="120"/>
    </row>
    <row r="328" spans="11:11" x14ac:dyDescent="0.15">
      <c r="K328" s="120"/>
    </row>
    <row r="329" spans="11:11" x14ac:dyDescent="0.15">
      <c r="K329" s="120"/>
    </row>
    <row r="330" spans="11:11" x14ac:dyDescent="0.15">
      <c r="K330" s="120"/>
    </row>
    <row r="331" spans="11:11" x14ac:dyDescent="0.15">
      <c r="K331" s="120"/>
    </row>
    <row r="332" spans="11:11" x14ac:dyDescent="0.15">
      <c r="K332" s="120"/>
    </row>
    <row r="333" spans="11:11" x14ac:dyDescent="0.15">
      <c r="K333" s="120"/>
    </row>
    <row r="334" spans="11:11" x14ac:dyDescent="0.15">
      <c r="K334" s="120"/>
    </row>
    <row r="335" spans="11:11" x14ac:dyDescent="0.15">
      <c r="K335" s="120"/>
    </row>
    <row r="336" spans="11:11" x14ac:dyDescent="0.15">
      <c r="K336" s="120"/>
    </row>
    <row r="337" spans="11:11" x14ac:dyDescent="0.15">
      <c r="K337" s="120"/>
    </row>
    <row r="338" spans="11:11" x14ac:dyDescent="0.15">
      <c r="K338" s="120"/>
    </row>
    <row r="339" spans="11:11" x14ac:dyDescent="0.15">
      <c r="K339" s="120"/>
    </row>
    <row r="340" spans="11:11" x14ac:dyDescent="0.15">
      <c r="K340" s="120"/>
    </row>
    <row r="341" spans="11:11" x14ac:dyDescent="0.15">
      <c r="K341" s="120"/>
    </row>
    <row r="342" spans="11:11" x14ac:dyDescent="0.15">
      <c r="K342" s="120"/>
    </row>
    <row r="343" spans="11:11" x14ac:dyDescent="0.15">
      <c r="K343" s="120"/>
    </row>
    <row r="344" spans="11:11" x14ac:dyDescent="0.15">
      <c r="K344" s="120"/>
    </row>
    <row r="345" spans="11:11" x14ac:dyDescent="0.15">
      <c r="K345" s="120"/>
    </row>
    <row r="346" spans="11:11" x14ac:dyDescent="0.15">
      <c r="K346" s="120"/>
    </row>
    <row r="347" spans="11:11" x14ac:dyDescent="0.15">
      <c r="K347" s="120"/>
    </row>
    <row r="348" spans="11:11" x14ac:dyDescent="0.15">
      <c r="K348" s="120"/>
    </row>
    <row r="349" spans="11:11" x14ac:dyDescent="0.15">
      <c r="K349" s="120"/>
    </row>
    <row r="350" spans="11:11" x14ac:dyDescent="0.15">
      <c r="K350" s="120"/>
    </row>
    <row r="351" spans="11:11" x14ac:dyDescent="0.15">
      <c r="K351" s="120"/>
    </row>
    <row r="352" spans="11:11" x14ac:dyDescent="0.15">
      <c r="K352" s="120"/>
    </row>
    <row r="353" spans="11:11" x14ac:dyDescent="0.15">
      <c r="K353" s="120"/>
    </row>
    <row r="354" spans="11:11" x14ac:dyDescent="0.15">
      <c r="K354" s="120"/>
    </row>
    <row r="355" spans="11:11" x14ac:dyDescent="0.15">
      <c r="K355" s="120"/>
    </row>
    <row r="356" spans="11:11" x14ac:dyDescent="0.15">
      <c r="K356" s="120"/>
    </row>
    <row r="357" spans="11:11" x14ac:dyDescent="0.15">
      <c r="K357" s="120"/>
    </row>
    <row r="358" spans="11:11" x14ac:dyDescent="0.15">
      <c r="K358" s="120"/>
    </row>
    <row r="359" spans="11:11" x14ac:dyDescent="0.15">
      <c r="K359" s="120"/>
    </row>
    <row r="360" spans="11:11" x14ac:dyDescent="0.15">
      <c r="K360" s="120"/>
    </row>
    <row r="361" spans="11:11" x14ac:dyDescent="0.15">
      <c r="K361" s="120"/>
    </row>
    <row r="362" spans="11:11" x14ac:dyDescent="0.15">
      <c r="K362" s="120"/>
    </row>
    <row r="363" spans="11:11" x14ac:dyDescent="0.15">
      <c r="K363" s="120"/>
    </row>
    <row r="364" spans="11:11" x14ac:dyDescent="0.15">
      <c r="K364" s="120"/>
    </row>
    <row r="365" spans="11:11" x14ac:dyDescent="0.15">
      <c r="K365" s="120"/>
    </row>
    <row r="366" spans="11:11" x14ac:dyDescent="0.15">
      <c r="K366" s="120"/>
    </row>
    <row r="367" spans="11:11" x14ac:dyDescent="0.15">
      <c r="K367" s="120"/>
    </row>
    <row r="368" spans="11:11" x14ac:dyDescent="0.15">
      <c r="K368" s="120"/>
    </row>
    <row r="369" spans="11:11" x14ac:dyDescent="0.15">
      <c r="K369" s="120"/>
    </row>
    <row r="370" spans="11:11" x14ac:dyDescent="0.15">
      <c r="K370" s="120"/>
    </row>
    <row r="371" spans="11:11" x14ac:dyDescent="0.15">
      <c r="K371" s="120"/>
    </row>
    <row r="372" spans="11:11" x14ac:dyDescent="0.15">
      <c r="K372" s="120"/>
    </row>
    <row r="373" spans="11:11" x14ac:dyDescent="0.15">
      <c r="K373" s="120"/>
    </row>
    <row r="374" spans="11:11" x14ac:dyDescent="0.15">
      <c r="K374" s="120"/>
    </row>
    <row r="375" spans="11:11" x14ac:dyDescent="0.15">
      <c r="K375" s="120"/>
    </row>
    <row r="376" spans="11:11" x14ac:dyDescent="0.15">
      <c r="K376" s="120"/>
    </row>
    <row r="377" spans="11:11" x14ac:dyDescent="0.15">
      <c r="K377" s="120"/>
    </row>
    <row r="378" spans="11:11" x14ac:dyDescent="0.15">
      <c r="K378" s="120"/>
    </row>
    <row r="379" spans="11:11" x14ac:dyDescent="0.15">
      <c r="K379" s="120"/>
    </row>
    <row r="380" spans="11:11" x14ac:dyDescent="0.15">
      <c r="K380" s="120"/>
    </row>
    <row r="381" spans="11:11" x14ac:dyDescent="0.15">
      <c r="K381" s="120"/>
    </row>
    <row r="382" spans="11:11" x14ac:dyDescent="0.15">
      <c r="K382" s="120"/>
    </row>
    <row r="383" spans="11:11" x14ac:dyDescent="0.15">
      <c r="K383" s="120"/>
    </row>
    <row r="384" spans="11:11" x14ac:dyDescent="0.15">
      <c r="K384" s="120"/>
    </row>
    <row r="385" spans="11:11" x14ac:dyDescent="0.15">
      <c r="K385" s="120"/>
    </row>
    <row r="386" spans="11:11" x14ac:dyDescent="0.15">
      <c r="K386" s="120"/>
    </row>
    <row r="387" spans="11:11" x14ac:dyDescent="0.15">
      <c r="K387" s="120"/>
    </row>
    <row r="388" spans="11:11" x14ac:dyDescent="0.15">
      <c r="K388" s="120"/>
    </row>
    <row r="389" spans="11:11" x14ac:dyDescent="0.15">
      <c r="K389" s="120"/>
    </row>
    <row r="390" spans="11:11" x14ac:dyDescent="0.15">
      <c r="K390" s="120"/>
    </row>
    <row r="391" spans="11:11" x14ac:dyDescent="0.15">
      <c r="K391" s="120"/>
    </row>
    <row r="392" spans="11:11" x14ac:dyDescent="0.15">
      <c r="K392" s="120"/>
    </row>
    <row r="393" spans="11:11" x14ac:dyDescent="0.15">
      <c r="K393" s="120"/>
    </row>
    <row r="394" spans="11:11" x14ac:dyDescent="0.15">
      <c r="K394" s="120"/>
    </row>
    <row r="395" spans="11:11" x14ac:dyDescent="0.15">
      <c r="K395" s="120"/>
    </row>
    <row r="396" spans="11:11" x14ac:dyDescent="0.15">
      <c r="K396" s="120"/>
    </row>
    <row r="397" spans="11:11" x14ac:dyDescent="0.15">
      <c r="K397" s="120"/>
    </row>
    <row r="398" spans="11:11" x14ac:dyDescent="0.15">
      <c r="K398" s="120"/>
    </row>
    <row r="399" spans="11:11" x14ac:dyDescent="0.15">
      <c r="K399" s="120"/>
    </row>
    <row r="400" spans="11:11" x14ac:dyDescent="0.15">
      <c r="K400" s="120"/>
    </row>
    <row r="401" spans="11:11" x14ac:dyDescent="0.15">
      <c r="K401" s="120"/>
    </row>
    <row r="402" spans="11:11" x14ac:dyDescent="0.15">
      <c r="K402" s="120"/>
    </row>
    <row r="403" spans="11:11" x14ac:dyDescent="0.15">
      <c r="K403" s="120"/>
    </row>
    <row r="404" spans="11:11" x14ac:dyDescent="0.15">
      <c r="K404" s="120"/>
    </row>
    <row r="405" spans="11:11" x14ac:dyDescent="0.15">
      <c r="K405" s="120"/>
    </row>
    <row r="406" spans="11:11" x14ac:dyDescent="0.15">
      <c r="K406" s="120"/>
    </row>
    <row r="407" spans="11:11" x14ac:dyDescent="0.15">
      <c r="K407" s="120"/>
    </row>
    <row r="408" spans="11:11" x14ac:dyDescent="0.15">
      <c r="K408" s="120"/>
    </row>
    <row r="409" spans="11:11" x14ac:dyDescent="0.15">
      <c r="K409" s="120"/>
    </row>
    <row r="410" spans="11:11" x14ac:dyDescent="0.15">
      <c r="K410" s="120"/>
    </row>
    <row r="411" spans="11:11" x14ac:dyDescent="0.15">
      <c r="K411" s="120"/>
    </row>
    <row r="412" spans="11:11" x14ac:dyDescent="0.15">
      <c r="K412" s="120"/>
    </row>
    <row r="413" spans="11:11" x14ac:dyDescent="0.15">
      <c r="K413" s="120"/>
    </row>
    <row r="414" spans="11:11" x14ac:dyDescent="0.15">
      <c r="K414" s="120"/>
    </row>
    <row r="415" spans="11:11" x14ac:dyDescent="0.15">
      <c r="K415" s="120"/>
    </row>
    <row r="416" spans="11:11" x14ac:dyDescent="0.15">
      <c r="K416" s="120"/>
    </row>
    <row r="417" spans="11:11" x14ac:dyDescent="0.15">
      <c r="K417" s="120"/>
    </row>
    <row r="418" spans="11:11" x14ac:dyDescent="0.15">
      <c r="K418" s="120"/>
    </row>
    <row r="419" spans="11:11" x14ac:dyDescent="0.15">
      <c r="K419" s="120"/>
    </row>
    <row r="420" spans="11:11" x14ac:dyDescent="0.15">
      <c r="K420" s="120"/>
    </row>
    <row r="421" spans="11:11" x14ac:dyDescent="0.15">
      <c r="K421" s="120"/>
    </row>
    <row r="422" spans="11:11" x14ac:dyDescent="0.15">
      <c r="K422" s="120"/>
    </row>
    <row r="423" spans="11:11" x14ac:dyDescent="0.15">
      <c r="K423" s="120"/>
    </row>
    <row r="424" spans="11:11" x14ac:dyDescent="0.15">
      <c r="K424" s="120"/>
    </row>
    <row r="425" spans="11:11" x14ac:dyDescent="0.15">
      <c r="K425" s="120"/>
    </row>
    <row r="426" spans="11:11" x14ac:dyDescent="0.15">
      <c r="K426" s="120"/>
    </row>
    <row r="427" spans="11:11" x14ac:dyDescent="0.15">
      <c r="K427" s="120"/>
    </row>
    <row r="428" spans="11:11" x14ac:dyDescent="0.15">
      <c r="K428" s="120"/>
    </row>
    <row r="429" spans="11:11" x14ac:dyDescent="0.15">
      <c r="K429" s="120"/>
    </row>
    <row r="430" spans="11:11" x14ac:dyDescent="0.15">
      <c r="K430" s="120"/>
    </row>
    <row r="431" spans="11:11" x14ac:dyDescent="0.15">
      <c r="K431" s="120"/>
    </row>
    <row r="432" spans="11:11" x14ac:dyDescent="0.15">
      <c r="K432" s="120"/>
    </row>
    <row r="433" spans="11:11" x14ac:dyDescent="0.15">
      <c r="K433" s="120"/>
    </row>
    <row r="434" spans="11:11" x14ac:dyDescent="0.15">
      <c r="K434" s="120"/>
    </row>
    <row r="435" spans="11:11" x14ac:dyDescent="0.15">
      <c r="K435" s="120"/>
    </row>
    <row r="436" spans="11:11" x14ac:dyDescent="0.15">
      <c r="K436" s="120"/>
    </row>
    <row r="437" spans="11:11" x14ac:dyDescent="0.15">
      <c r="K437" s="120"/>
    </row>
    <row r="438" spans="11:11" x14ac:dyDescent="0.15">
      <c r="K438" s="120"/>
    </row>
    <row r="439" spans="11:11" x14ac:dyDescent="0.15">
      <c r="K439" s="120"/>
    </row>
    <row r="440" spans="11:11" x14ac:dyDescent="0.15">
      <c r="K440" s="120"/>
    </row>
    <row r="441" spans="11:11" x14ac:dyDescent="0.15">
      <c r="K441" s="120"/>
    </row>
    <row r="442" spans="11:11" x14ac:dyDescent="0.15">
      <c r="K442" s="120"/>
    </row>
    <row r="443" spans="11:11" x14ac:dyDescent="0.15">
      <c r="K443" s="120"/>
    </row>
  </sheetData>
  <autoFilter ref="A1:BA1" xr:uid="{00000000-0009-0000-0000-000000000000}"/>
  <phoneticPr fontId="3"/>
  <dataValidations count="20">
    <dataValidation type="list" allowBlank="1" showInputMessage="1" showErrorMessage="1" sqref="F2:F491" xr:uid="{BD240DB7-6819-431E-80A7-6626D5BB7EC3}">
      <formula1>$AH$2:$AH$11</formula1>
    </dataValidation>
    <dataValidation type="list" allowBlank="1" showInputMessage="1" showErrorMessage="1" sqref="E2:E491" xr:uid="{1D174A25-10B0-4EEF-9896-2ACB465B3241}">
      <formula1>$AG$2:$AG$11</formula1>
    </dataValidation>
    <dataValidation type="decimal" allowBlank="1" showInputMessage="1" showErrorMessage="1" error="硬度を正しく入力して下さい。" sqref="O2:P491" xr:uid="{F4C53E7E-E9F5-486D-84A7-1540C81A5A2D}">
      <formula1>0</formula1>
      <formula2>7</formula2>
    </dataValidation>
    <dataValidation type="list" allowBlank="1" showInputMessage="1" showErrorMessage="1" sqref="Y2:AA491" xr:uid="{1088AE26-DABF-423C-A047-B562AA292712}">
      <formula1>$AV$2:$AV$21</formula1>
    </dataValidation>
    <dataValidation type="list" allowBlank="1" showInputMessage="1" showErrorMessage="1" sqref="K444:K491" xr:uid="{6BBE46DE-8E3E-43FF-AC52-97B9474A5CDD}">
      <formula1>$AR$2:$AR$25</formula1>
    </dataValidation>
    <dataValidation type="list" allowBlank="1" showInputMessage="1" showErrorMessage="1" sqref="I2:I491" xr:uid="{22B5AFA1-F7EB-46AA-87F7-4C2C0C7E2374}">
      <formula1>$AN$5:$AN$6</formula1>
    </dataValidation>
    <dataValidation type="list" allowBlank="1" showInputMessage="1" showErrorMessage="1" sqref="H2:H491" xr:uid="{4BA1BEA1-AC20-4026-802C-270213CDA822}">
      <formula1>$AL$2:$AL$8</formula1>
    </dataValidation>
    <dataValidation type="list" allowBlank="1" showInputMessage="1" showErrorMessage="1" sqref="A2:A491" xr:uid="{D32CF75D-93D8-480F-A703-8166B7F0CCA1}">
      <formula1>$AE$2:$AE$19</formula1>
    </dataValidation>
    <dataValidation type="list" allowBlank="1" showInputMessage="1" showErrorMessage="1" sqref="X2:X491" xr:uid="{17C37B75-DF30-46C9-8F58-779C4626DE38}">
      <formula1>$AT$2:$AT$3</formula1>
    </dataValidation>
    <dataValidation type="list" allowBlank="1" showInputMessage="1" showErrorMessage="1" sqref="G2:G491" xr:uid="{56E50CF4-FB42-4085-A91E-4DAA634ECFBF}">
      <formula1>$AJ$2:$AJ$4</formula1>
    </dataValidation>
    <dataValidation type="list" allowBlank="1" showInputMessage="1" showErrorMessage="1" sqref="J2:J491" xr:uid="{A4F4A6B6-C04E-4AAF-B986-CF7F01BD6908}">
      <formula1>$AP$2:$AP$27</formula1>
    </dataValidation>
    <dataValidation operator="equal" allowBlank="1" showInputMessage="1" showErrorMessage="1" sqref="B2:B46" xr:uid="{6DE45672-2A7A-4F5E-BA6E-2AA07E4F5F54}"/>
    <dataValidation type="list" allowBlank="1" showInputMessage="1" showErrorMessage="1" sqref="F492:F64242" xr:uid="{C1A7A9D0-8F9D-42AC-9D9A-1C9A300E2195}">
      <formula1>$AH$2:$AH$8</formula1>
    </dataValidation>
    <dataValidation type="list" allowBlank="1" showInputMessage="1" showErrorMessage="1" sqref="E492:E64242" xr:uid="{62D6B1B8-F4BA-4514-BA86-1093AB81E7FF}">
      <formula1>$AG$2:$AG$9</formula1>
    </dataValidation>
    <dataValidation type="list" allowBlank="1" showInputMessage="1" showErrorMessage="1" sqref="H492:H64242" xr:uid="{8A34E07E-D873-446C-92E8-23F22508F458}">
      <formula1>$AL$2:$AL$10</formula1>
    </dataValidation>
    <dataValidation type="list" allowBlank="1" showInputMessage="1" showErrorMessage="1" sqref="K492:K64242" xr:uid="{D2CCFD82-1AD5-4637-B29B-BA086A2B7665}">
      <formula1>$AR$2:$AR$28</formula1>
    </dataValidation>
    <dataValidation type="list" allowBlank="1" showInputMessage="1" showErrorMessage="1" sqref="Y492:AA64242" xr:uid="{3F17E693-1B07-46DB-9B55-70D6A9DC1B81}">
      <formula1>$AV$2:$AV$26</formula1>
    </dataValidation>
    <dataValidation type="list" allowBlank="1" showInputMessage="1" showErrorMessage="1" sqref="I492:I64242" xr:uid="{E2104606-89BB-404B-BCB7-2BE3AF259456}">
      <formula1>$AN$2:$AN$6</formula1>
    </dataValidation>
    <dataValidation type="list" allowBlank="1" showInputMessage="1" showErrorMessage="1" sqref="J492:J64242" xr:uid="{C4879FE0-E8AC-421C-9FDB-7DB1BE631922}">
      <formula1>$AP$2:$AP$16</formula1>
    </dataValidation>
    <dataValidation type="list" allowBlank="1" showInputMessage="1" showErrorMessage="1" sqref="K2:K443" xr:uid="{A8192AC9-2F73-446D-8753-ACDCAACF2D24}">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E0BC-4177-4CB5-BEA1-7930809BBFD3}">
  <dimension ref="A1:BA106"/>
  <sheetViews>
    <sheetView zoomScale="85" zoomScaleNormal="85" workbookViewId="0">
      <pane ySplit="1" topLeftCell="A86" activePane="bottomLeft" state="frozen"/>
      <selection pane="bottomLeft" activeCell="L114" sqref="L114"/>
    </sheetView>
  </sheetViews>
  <sheetFormatPr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2" width="9" style="53"/>
    <col min="13" max="13" width="9" style="53"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289</v>
      </c>
      <c r="V1" s="5" t="s">
        <v>20</v>
      </c>
      <c r="W1" s="56" t="s">
        <v>21</v>
      </c>
      <c r="X1" s="45" t="s">
        <v>22</v>
      </c>
      <c r="Y1" s="45" t="s">
        <v>23</v>
      </c>
      <c r="Z1" s="45" t="s">
        <v>333</v>
      </c>
      <c r="AA1" s="46" t="s">
        <v>25</v>
      </c>
      <c r="AB1" s="130" t="s">
        <v>26</v>
      </c>
      <c r="AE1" s="60" t="s">
        <v>0</v>
      </c>
      <c r="AF1" s="61"/>
      <c r="AG1" s="137"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257</v>
      </c>
      <c r="C2" s="53">
        <v>2019</v>
      </c>
      <c r="D2" s="138" t="s">
        <v>334</v>
      </c>
      <c r="E2" s="53" t="s">
        <v>335</v>
      </c>
      <c r="F2" s="53" t="s">
        <v>336</v>
      </c>
      <c r="G2" s="53" t="s">
        <v>36</v>
      </c>
      <c r="H2" s="53" t="s">
        <v>164</v>
      </c>
      <c r="I2" s="53" t="s">
        <v>159</v>
      </c>
      <c r="J2" s="53" t="s">
        <v>38</v>
      </c>
      <c r="K2" s="53" t="s">
        <v>161</v>
      </c>
      <c r="L2" s="53">
        <v>1</v>
      </c>
      <c r="N2" s="53">
        <v>1</v>
      </c>
      <c r="O2" s="53">
        <v>0.75</v>
      </c>
      <c r="P2" s="53">
        <v>0.8</v>
      </c>
      <c r="Q2" s="75">
        <f t="shared" ref="Q2:Q76" si="0">IF(OR(O2="",P2=""),"",AVERAGE(O2,P2))</f>
        <v>0.77500000000000002</v>
      </c>
      <c r="R2" s="53">
        <v>15.8</v>
      </c>
      <c r="S2" s="53">
        <v>102</v>
      </c>
      <c r="T2" s="16">
        <f t="shared" ref="T2:T76" si="1">IF(H2="","",IF(OR(H2="GREEN",H2="GK"),IF(S2&gt;=$AX$2,VLOOKUP(S2,$AX$2:$AY$9,2,1),""),IF(S2&gt;=$AZ$2,VLOOKUP(S2,$AZ$2:$BA$9,2,1),"")))</f>
        <v>33</v>
      </c>
      <c r="U2" s="53">
        <v>105</v>
      </c>
      <c r="V2" s="16">
        <f t="shared" ref="V2:V76" si="2">IF(OR(N2="",U2="",T2=""),"",U2/N2*T2)</f>
        <v>3465</v>
      </c>
      <c r="W2" s="53">
        <v>4</v>
      </c>
      <c r="X2" s="53" t="s">
        <v>46</v>
      </c>
      <c r="Y2" s="53" t="s">
        <v>102</v>
      </c>
      <c r="Z2" s="53" t="s">
        <v>88</v>
      </c>
      <c r="AA2" s="53" t="s">
        <v>69</v>
      </c>
      <c r="AB2" s="53" t="s">
        <v>261</v>
      </c>
      <c r="AE2" s="64" t="s">
        <v>35</v>
      </c>
      <c r="AG2" s="139" t="s">
        <v>337</v>
      </c>
      <c r="AH2" s="67" t="s">
        <v>338</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257</v>
      </c>
      <c r="C3" s="53">
        <v>2019</v>
      </c>
      <c r="D3" s="138" t="s">
        <v>334</v>
      </c>
      <c r="E3" s="53" t="s">
        <v>335</v>
      </c>
      <c r="F3" s="53" t="s">
        <v>336</v>
      </c>
      <c r="G3" s="53" t="s">
        <v>36</v>
      </c>
      <c r="H3" s="53" t="s">
        <v>164</v>
      </c>
      <c r="I3" s="53" t="s">
        <v>159</v>
      </c>
      <c r="J3" s="53" t="s">
        <v>38</v>
      </c>
      <c r="K3" s="53" t="s">
        <v>161</v>
      </c>
      <c r="L3" s="53">
        <v>2</v>
      </c>
      <c r="N3" s="53">
        <v>1</v>
      </c>
      <c r="O3" s="53">
        <v>0.5</v>
      </c>
      <c r="P3" s="53">
        <v>0.55000000000000004</v>
      </c>
      <c r="Q3" s="75">
        <f t="shared" si="0"/>
        <v>0.52500000000000002</v>
      </c>
      <c r="R3" s="53">
        <v>14.2</v>
      </c>
      <c r="S3" s="53">
        <v>100</v>
      </c>
      <c r="T3" s="16">
        <f t="shared" si="1"/>
        <v>33</v>
      </c>
      <c r="U3" s="53">
        <v>105</v>
      </c>
      <c r="V3" s="16">
        <f t="shared" si="2"/>
        <v>3465</v>
      </c>
      <c r="W3" s="53">
        <v>4</v>
      </c>
      <c r="X3" s="53" t="s">
        <v>46</v>
      </c>
      <c r="Y3" s="53" t="s">
        <v>102</v>
      </c>
      <c r="Z3" s="53" t="s">
        <v>88</v>
      </c>
      <c r="AA3" s="53" t="s">
        <v>69</v>
      </c>
      <c r="AB3" s="53" t="s">
        <v>261</v>
      </c>
      <c r="AE3" s="22" t="s">
        <v>41</v>
      </c>
      <c r="AG3" s="140" t="s">
        <v>339</v>
      </c>
      <c r="AH3" s="67" t="s">
        <v>340</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257</v>
      </c>
      <c r="C4" s="53">
        <v>2019</v>
      </c>
      <c r="D4" s="138" t="s">
        <v>334</v>
      </c>
      <c r="E4" s="53" t="s">
        <v>335</v>
      </c>
      <c r="F4" s="53" t="s">
        <v>336</v>
      </c>
      <c r="G4" s="53" t="s">
        <v>36</v>
      </c>
      <c r="H4" s="53" t="s">
        <v>164</v>
      </c>
      <c r="I4" s="53" t="s">
        <v>159</v>
      </c>
      <c r="J4" s="53" t="s">
        <v>38</v>
      </c>
      <c r="K4" s="53" t="s">
        <v>161</v>
      </c>
      <c r="L4" s="53">
        <v>3</v>
      </c>
      <c r="N4" s="53">
        <v>1</v>
      </c>
      <c r="O4" s="53">
        <v>0.7</v>
      </c>
      <c r="P4" s="53">
        <v>0.75</v>
      </c>
      <c r="Q4" s="75">
        <f t="shared" si="0"/>
        <v>0.72499999999999998</v>
      </c>
      <c r="R4" s="53">
        <v>15.2</v>
      </c>
      <c r="S4" s="53">
        <v>108</v>
      </c>
      <c r="T4" s="16">
        <f t="shared" si="1"/>
        <v>33</v>
      </c>
      <c r="U4" s="53">
        <v>105</v>
      </c>
      <c r="V4" s="16">
        <f t="shared" si="2"/>
        <v>3465</v>
      </c>
      <c r="W4" s="53">
        <v>4</v>
      </c>
      <c r="X4" s="53" t="s">
        <v>46</v>
      </c>
      <c r="Y4" s="53" t="s">
        <v>102</v>
      </c>
      <c r="Z4" s="53" t="s">
        <v>88</v>
      </c>
      <c r="AA4" s="53" t="s">
        <v>69</v>
      </c>
      <c r="AB4" s="53" t="s">
        <v>261</v>
      </c>
      <c r="AE4" s="22" t="s">
        <v>34</v>
      </c>
      <c r="AG4" s="140" t="s">
        <v>341</v>
      </c>
      <c r="AH4" s="67" t="s">
        <v>342</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257</v>
      </c>
      <c r="C5" s="53">
        <v>2019</v>
      </c>
      <c r="D5" s="138" t="s">
        <v>334</v>
      </c>
      <c r="E5" s="53" t="s">
        <v>335</v>
      </c>
      <c r="F5" s="53" t="s">
        <v>336</v>
      </c>
      <c r="G5" s="53" t="s">
        <v>36</v>
      </c>
      <c r="H5" s="53" t="s">
        <v>164</v>
      </c>
      <c r="I5" s="53" t="s">
        <v>159</v>
      </c>
      <c r="J5" s="53" t="s">
        <v>38</v>
      </c>
      <c r="K5" s="53" t="s">
        <v>161</v>
      </c>
      <c r="L5" s="53">
        <v>1</v>
      </c>
      <c r="N5" s="53">
        <v>9</v>
      </c>
      <c r="O5" s="53">
        <v>0.5</v>
      </c>
      <c r="P5" s="53">
        <v>0.65</v>
      </c>
      <c r="Q5" s="75">
        <f t="shared" si="0"/>
        <v>0.57499999999999996</v>
      </c>
      <c r="R5" s="53">
        <v>13.9</v>
      </c>
      <c r="S5" s="53">
        <v>94</v>
      </c>
      <c r="T5" s="16">
        <f t="shared" si="1"/>
        <v>36</v>
      </c>
      <c r="U5" s="53">
        <v>862</v>
      </c>
      <c r="V5" s="16">
        <f t="shared" si="2"/>
        <v>3448</v>
      </c>
      <c r="W5" s="53">
        <v>4</v>
      </c>
      <c r="X5" s="53" t="s">
        <v>46</v>
      </c>
      <c r="Y5" s="53" t="s">
        <v>102</v>
      </c>
      <c r="Z5" s="53" t="s">
        <v>88</v>
      </c>
      <c r="AA5" s="53" t="s">
        <v>69</v>
      </c>
      <c r="AB5" s="53" t="s">
        <v>261</v>
      </c>
      <c r="AE5" s="22" t="s">
        <v>51</v>
      </c>
      <c r="AG5" s="140" t="s">
        <v>343</v>
      </c>
      <c r="AH5" s="67" t="s">
        <v>344</v>
      </c>
      <c r="AJ5" s="28"/>
      <c r="AL5" s="73" t="s">
        <v>66</v>
      </c>
      <c r="AN5" s="73" t="s">
        <v>52</v>
      </c>
      <c r="AP5" s="23" t="s">
        <v>119</v>
      </c>
      <c r="AR5" s="23" t="s">
        <v>54</v>
      </c>
      <c r="AV5" s="23" t="s">
        <v>55</v>
      </c>
      <c r="AX5" s="24">
        <v>84</v>
      </c>
      <c r="AY5" s="25">
        <v>39</v>
      </c>
      <c r="AZ5" s="25">
        <v>84</v>
      </c>
      <c r="BA5" s="26">
        <v>36</v>
      </c>
    </row>
    <row r="6" spans="1:53" x14ac:dyDescent="0.15">
      <c r="A6" s="53" t="s">
        <v>34</v>
      </c>
      <c r="B6" s="53" t="s">
        <v>257</v>
      </c>
      <c r="C6" s="53">
        <v>2019</v>
      </c>
      <c r="D6" s="138" t="s">
        <v>334</v>
      </c>
      <c r="E6" s="53" t="s">
        <v>335</v>
      </c>
      <c r="F6" s="53" t="s">
        <v>336</v>
      </c>
      <c r="G6" s="53" t="s">
        <v>36</v>
      </c>
      <c r="H6" s="53" t="s">
        <v>164</v>
      </c>
      <c r="I6" s="53" t="s">
        <v>159</v>
      </c>
      <c r="J6" s="53" t="s">
        <v>38</v>
      </c>
      <c r="K6" s="53" t="s">
        <v>161</v>
      </c>
      <c r="L6" s="53">
        <v>2</v>
      </c>
      <c r="N6" s="53">
        <v>9</v>
      </c>
      <c r="O6" s="53">
        <v>0.75</v>
      </c>
      <c r="P6" s="53">
        <v>0.75</v>
      </c>
      <c r="Q6" s="75">
        <f t="shared" si="0"/>
        <v>0.75</v>
      </c>
      <c r="R6" s="53">
        <v>14.7</v>
      </c>
      <c r="S6" s="53">
        <v>104</v>
      </c>
      <c r="T6" s="16">
        <f t="shared" si="1"/>
        <v>33</v>
      </c>
      <c r="U6" s="53">
        <v>862</v>
      </c>
      <c r="V6" s="16">
        <f t="shared" si="2"/>
        <v>3160.6666666666665</v>
      </c>
      <c r="W6" s="53">
        <v>4</v>
      </c>
      <c r="X6" s="53" t="s">
        <v>46</v>
      </c>
      <c r="Y6" s="53" t="s">
        <v>102</v>
      </c>
      <c r="Z6" s="53" t="s">
        <v>88</v>
      </c>
      <c r="AA6" s="53" t="s">
        <v>69</v>
      </c>
      <c r="AB6" s="53" t="s">
        <v>261</v>
      </c>
      <c r="AE6" s="22" t="s">
        <v>56</v>
      </c>
      <c r="AG6" s="140" t="s">
        <v>335</v>
      </c>
      <c r="AH6" s="67" t="s">
        <v>336</v>
      </c>
      <c r="AL6" s="73" t="s">
        <v>99</v>
      </c>
      <c r="AN6" s="73" t="s">
        <v>57</v>
      </c>
      <c r="AP6" s="23" t="s">
        <v>53</v>
      </c>
      <c r="AR6" s="23" t="s">
        <v>59</v>
      </c>
      <c r="AV6" s="23" t="s">
        <v>60</v>
      </c>
      <c r="AX6" s="24">
        <v>97</v>
      </c>
      <c r="AY6" s="25">
        <v>36</v>
      </c>
      <c r="AZ6" s="25">
        <v>99</v>
      </c>
      <c r="BA6" s="26">
        <v>33</v>
      </c>
    </row>
    <row r="7" spans="1:53" x14ac:dyDescent="0.15">
      <c r="A7" s="53" t="s">
        <v>34</v>
      </c>
      <c r="B7" s="53" t="s">
        <v>257</v>
      </c>
      <c r="C7" s="53">
        <v>2019</v>
      </c>
      <c r="D7" s="138" t="s">
        <v>334</v>
      </c>
      <c r="E7" s="53" t="s">
        <v>335</v>
      </c>
      <c r="F7" s="53" t="s">
        <v>336</v>
      </c>
      <c r="G7" s="53" t="s">
        <v>36</v>
      </c>
      <c r="H7" s="53" t="s">
        <v>164</v>
      </c>
      <c r="I7" s="53" t="s">
        <v>159</v>
      </c>
      <c r="J7" s="53" t="s">
        <v>38</v>
      </c>
      <c r="K7" s="53" t="s">
        <v>161</v>
      </c>
      <c r="L7" s="53">
        <v>3</v>
      </c>
      <c r="N7" s="53">
        <v>9</v>
      </c>
      <c r="O7" s="53">
        <v>0.7</v>
      </c>
      <c r="P7" s="53">
        <v>0.7</v>
      </c>
      <c r="Q7" s="75">
        <f t="shared" si="0"/>
        <v>0.7</v>
      </c>
      <c r="R7" s="53">
        <v>15.2</v>
      </c>
      <c r="S7" s="53">
        <v>104</v>
      </c>
      <c r="T7" s="16">
        <f t="shared" si="1"/>
        <v>33</v>
      </c>
      <c r="U7" s="53">
        <v>862</v>
      </c>
      <c r="V7" s="16">
        <f t="shared" si="2"/>
        <v>3160.6666666666665</v>
      </c>
      <c r="W7" s="53">
        <v>4</v>
      </c>
      <c r="X7" s="53" t="s">
        <v>46</v>
      </c>
      <c r="Y7" s="53" t="s">
        <v>102</v>
      </c>
      <c r="Z7" s="53" t="s">
        <v>88</v>
      </c>
      <c r="AA7" s="53" t="s">
        <v>69</v>
      </c>
      <c r="AB7" s="53" t="s">
        <v>261</v>
      </c>
      <c r="AE7" s="22" t="s">
        <v>61</v>
      </c>
      <c r="AG7" s="140" t="s">
        <v>243</v>
      </c>
      <c r="AH7" s="67" t="s">
        <v>345</v>
      </c>
      <c r="AL7" s="34" t="s">
        <v>109</v>
      </c>
      <c r="AP7" s="23" t="s">
        <v>58</v>
      </c>
      <c r="AR7" s="23" t="s">
        <v>122</v>
      </c>
      <c r="AV7" s="23" t="s">
        <v>64</v>
      </c>
      <c r="AX7" s="24">
        <v>109</v>
      </c>
      <c r="AY7" s="25">
        <v>33</v>
      </c>
      <c r="AZ7" s="25">
        <v>113</v>
      </c>
      <c r="BA7" s="26">
        <v>30</v>
      </c>
    </row>
    <row r="8" spans="1:53" x14ac:dyDescent="0.15">
      <c r="A8" s="53" t="s">
        <v>34</v>
      </c>
      <c r="B8" s="53" t="s">
        <v>257</v>
      </c>
      <c r="C8" s="53">
        <v>2019</v>
      </c>
      <c r="D8" s="138" t="s">
        <v>334</v>
      </c>
      <c r="E8" s="53" t="s">
        <v>335</v>
      </c>
      <c r="F8" s="53" t="s">
        <v>336</v>
      </c>
      <c r="G8" s="53" t="s">
        <v>36</v>
      </c>
      <c r="H8" s="53" t="s">
        <v>164</v>
      </c>
      <c r="I8" s="53" t="s">
        <v>198</v>
      </c>
      <c r="J8" s="53" t="s">
        <v>38</v>
      </c>
      <c r="K8" s="53" t="s">
        <v>161</v>
      </c>
      <c r="L8" s="53">
        <v>1</v>
      </c>
      <c r="N8" s="53">
        <v>4</v>
      </c>
      <c r="O8" s="53">
        <v>0.2</v>
      </c>
      <c r="P8" s="53">
        <v>0.2</v>
      </c>
      <c r="Q8" s="75">
        <f t="shared" si="0"/>
        <v>0.2</v>
      </c>
      <c r="R8" s="53">
        <v>16.5</v>
      </c>
      <c r="S8" s="53">
        <v>88</v>
      </c>
      <c r="T8" s="16">
        <f t="shared" si="1"/>
        <v>36</v>
      </c>
      <c r="U8" s="53">
        <v>429</v>
      </c>
      <c r="V8" s="16">
        <f t="shared" si="2"/>
        <v>3861</v>
      </c>
      <c r="W8" s="53">
        <v>4</v>
      </c>
      <c r="X8" s="53" t="s">
        <v>46</v>
      </c>
      <c r="Y8" s="53" t="s">
        <v>102</v>
      </c>
      <c r="Z8" s="53" t="s">
        <v>88</v>
      </c>
      <c r="AA8" s="53" t="s">
        <v>69</v>
      </c>
      <c r="AB8" s="53" t="s">
        <v>261</v>
      </c>
      <c r="AE8" s="22" t="s">
        <v>59</v>
      </c>
      <c r="AG8" s="140" t="s">
        <v>346</v>
      </c>
      <c r="AH8" s="67" t="s">
        <v>347</v>
      </c>
      <c r="AL8" s="34" t="s">
        <v>134</v>
      </c>
      <c r="AP8" s="23" t="s">
        <v>62</v>
      </c>
      <c r="AR8" s="23" t="s">
        <v>81</v>
      </c>
      <c r="AV8" s="23" t="s">
        <v>97</v>
      </c>
      <c r="AX8" s="24">
        <v>151</v>
      </c>
      <c r="AY8" s="25">
        <v>22</v>
      </c>
      <c r="AZ8" s="25">
        <v>152</v>
      </c>
      <c r="BA8" s="26">
        <v>18</v>
      </c>
    </row>
    <row r="9" spans="1:53" x14ac:dyDescent="0.15">
      <c r="A9" s="53" t="s">
        <v>34</v>
      </c>
      <c r="B9" s="53" t="s">
        <v>257</v>
      </c>
      <c r="C9" s="53">
        <v>2019</v>
      </c>
      <c r="D9" s="138" t="s">
        <v>334</v>
      </c>
      <c r="E9" s="53" t="s">
        <v>335</v>
      </c>
      <c r="F9" s="53" t="s">
        <v>336</v>
      </c>
      <c r="G9" s="53" t="s">
        <v>36</v>
      </c>
      <c r="H9" s="53" t="s">
        <v>164</v>
      </c>
      <c r="I9" s="53" t="s">
        <v>198</v>
      </c>
      <c r="J9" s="53" t="s">
        <v>38</v>
      </c>
      <c r="K9" s="53" t="s">
        <v>161</v>
      </c>
      <c r="L9" s="53">
        <v>2</v>
      </c>
      <c r="N9" s="53">
        <v>4</v>
      </c>
      <c r="O9" s="53">
        <v>0.5</v>
      </c>
      <c r="P9" s="53">
        <v>0.75</v>
      </c>
      <c r="Q9" s="75">
        <f t="shared" si="0"/>
        <v>0.625</v>
      </c>
      <c r="R9" s="53">
        <v>15.7</v>
      </c>
      <c r="S9" s="53">
        <v>99</v>
      </c>
      <c r="T9" s="16">
        <f t="shared" si="1"/>
        <v>33</v>
      </c>
      <c r="U9" s="53">
        <v>429</v>
      </c>
      <c r="V9" s="16">
        <f t="shared" si="2"/>
        <v>3539.25</v>
      </c>
      <c r="W9" s="53">
        <v>4</v>
      </c>
      <c r="X9" s="53" t="s">
        <v>46</v>
      </c>
      <c r="Y9" s="53" t="s">
        <v>102</v>
      </c>
      <c r="Z9" s="53" t="s">
        <v>88</v>
      </c>
      <c r="AA9" s="53" t="s">
        <v>69</v>
      </c>
      <c r="AB9" s="53" t="s">
        <v>261</v>
      </c>
      <c r="AE9" s="22" t="s">
        <v>98</v>
      </c>
      <c r="AG9" s="140" t="s">
        <v>348</v>
      </c>
      <c r="AH9" s="67" t="s">
        <v>349</v>
      </c>
      <c r="AL9" s="73"/>
      <c r="AP9" s="23" t="s">
        <v>95</v>
      </c>
      <c r="AR9" s="23" t="s">
        <v>89</v>
      </c>
      <c r="AV9" s="23" t="s">
        <v>102</v>
      </c>
      <c r="AX9" s="31">
        <v>180</v>
      </c>
      <c r="AY9" s="32">
        <v>18</v>
      </c>
      <c r="AZ9" s="32">
        <v>181</v>
      </c>
      <c r="BA9" s="33">
        <v>16</v>
      </c>
    </row>
    <row r="10" spans="1:53" x14ac:dyDescent="0.15">
      <c r="A10" s="53" t="s">
        <v>34</v>
      </c>
      <c r="B10" s="53" t="s">
        <v>257</v>
      </c>
      <c r="C10" s="53">
        <v>2019</v>
      </c>
      <c r="D10" s="138" t="s">
        <v>334</v>
      </c>
      <c r="E10" s="53" t="s">
        <v>335</v>
      </c>
      <c r="F10" s="53" t="s">
        <v>336</v>
      </c>
      <c r="G10" s="53" t="s">
        <v>36</v>
      </c>
      <c r="H10" s="53" t="s">
        <v>164</v>
      </c>
      <c r="I10" s="53" t="s">
        <v>198</v>
      </c>
      <c r="J10" s="53" t="s">
        <v>38</v>
      </c>
      <c r="K10" s="53" t="s">
        <v>161</v>
      </c>
      <c r="L10" s="53">
        <v>3</v>
      </c>
      <c r="N10" s="53">
        <v>4</v>
      </c>
      <c r="O10" s="53">
        <v>0.5</v>
      </c>
      <c r="P10" s="53">
        <v>0.55000000000000004</v>
      </c>
      <c r="Q10" s="75">
        <f t="shared" si="0"/>
        <v>0.52500000000000002</v>
      </c>
      <c r="R10" s="53">
        <v>14.8</v>
      </c>
      <c r="S10" s="53">
        <v>102</v>
      </c>
      <c r="T10" s="16">
        <f t="shared" si="1"/>
        <v>33</v>
      </c>
      <c r="U10" s="53">
        <v>429</v>
      </c>
      <c r="V10" s="16">
        <f t="shared" si="2"/>
        <v>3539.25</v>
      </c>
      <c r="W10" s="53">
        <v>4</v>
      </c>
      <c r="X10" s="53" t="s">
        <v>46</v>
      </c>
      <c r="Y10" s="53" t="s">
        <v>102</v>
      </c>
      <c r="Z10" s="53" t="s">
        <v>88</v>
      </c>
      <c r="AA10" s="53" t="s">
        <v>69</v>
      </c>
      <c r="AB10" s="53" t="s">
        <v>261</v>
      </c>
      <c r="AE10" s="22" t="s">
        <v>103</v>
      </c>
      <c r="AG10" s="140" t="s">
        <v>350</v>
      </c>
      <c r="AH10" s="67" t="s">
        <v>351</v>
      </c>
      <c r="AL10" s="34"/>
      <c r="AP10" s="23" t="s">
        <v>100</v>
      </c>
      <c r="AR10" s="23" t="s">
        <v>123</v>
      </c>
      <c r="AV10" s="23" t="s">
        <v>106</v>
      </c>
    </row>
    <row r="11" spans="1:53" x14ac:dyDescent="0.15">
      <c r="A11" s="53" t="s">
        <v>34</v>
      </c>
      <c r="B11" s="53" t="s">
        <v>257</v>
      </c>
      <c r="C11" s="53">
        <v>2019</v>
      </c>
      <c r="D11" s="138" t="s">
        <v>334</v>
      </c>
      <c r="E11" s="53" t="s">
        <v>335</v>
      </c>
      <c r="F11" s="53" t="s">
        <v>336</v>
      </c>
      <c r="G11" s="53" t="s">
        <v>36</v>
      </c>
      <c r="H11" s="53" t="s">
        <v>164</v>
      </c>
      <c r="I11" s="53" t="s">
        <v>159</v>
      </c>
      <c r="J11" s="53" t="s">
        <v>38</v>
      </c>
      <c r="K11" s="53" t="s">
        <v>161</v>
      </c>
      <c r="L11" s="53">
        <v>1</v>
      </c>
      <c r="N11" s="53">
        <v>4</v>
      </c>
      <c r="O11" s="53">
        <v>0.75</v>
      </c>
      <c r="P11" s="53">
        <v>0.8</v>
      </c>
      <c r="Q11" s="75">
        <f t="shared" si="0"/>
        <v>0.77500000000000002</v>
      </c>
      <c r="R11" s="53">
        <v>14.9</v>
      </c>
      <c r="S11" s="53">
        <v>99</v>
      </c>
      <c r="T11" s="16">
        <f t="shared" si="1"/>
        <v>33</v>
      </c>
      <c r="U11" s="53">
        <v>410</v>
      </c>
      <c r="V11" s="16">
        <f t="shared" si="2"/>
        <v>3382.5</v>
      </c>
      <c r="W11" s="53">
        <v>4</v>
      </c>
      <c r="X11" s="53" t="s">
        <v>46</v>
      </c>
      <c r="Y11" s="53" t="s">
        <v>102</v>
      </c>
      <c r="Z11" s="53" t="s">
        <v>88</v>
      </c>
      <c r="AA11" s="53" t="s">
        <v>69</v>
      </c>
      <c r="AB11" s="53" t="s">
        <v>261</v>
      </c>
      <c r="AE11" s="22" t="s">
        <v>65</v>
      </c>
      <c r="AG11" s="140" t="s">
        <v>211</v>
      </c>
      <c r="AH11" s="67" t="s">
        <v>352</v>
      </c>
      <c r="AL11" s="34"/>
      <c r="AP11" s="23" t="s">
        <v>104</v>
      </c>
      <c r="AR11" s="23" t="s">
        <v>87</v>
      </c>
      <c r="AV11" s="23" t="s">
        <v>69</v>
      </c>
    </row>
    <row r="12" spans="1:53" x14ac:dyDescent="0.15">
      <c r="A12" s="53" t="s">
        <v>34</v>
      </c>
      <c r="B12" s="53" t="s">
        <v>257</v>
      </c>
      <c r="C12" s="53">
        <v>2019</v>
      </c>
      <c r="D12" s="138" t="s">
        <v>334</v>
      </c>
      <c r="E12" s="53" t="s">
        <v>335</v>
      </c>
      <c r="F12" s="53" t="s">
        <v>336</v>
      </c>
      <c r="G12" s="53" t="s">
        <v>36</v>
      </c>
      <c r="H12" s="53" t="s">
        <v>164</v>
      </c>
      <c r="I12" s="53" t="s">
        <v>159</v>
      </c>
      <c r="J12" s="53" t="s">
        <v>38</v>
      </c>
      <c r="K12" s="53" t="s">
        <v>161</v>
      </c>
      <c r="L12" s="53">
        <v>2</v>
      </c>
      <c r="N12" s="53">
        <v>4</v>
      </c>
      <c r="O12" s="53">
        <v>0.8</v>
      </c>
      <c r="P12" s="53">
        <v>0.85</v>
      </c>
      <c r="Q12" s="75">
        <f t="shared" si="0"/>
        <v>0.82499999999999996</v>
      </c>
      <c r="R12" s="53">
        <v>15.4</v>
      </c>
      <c r="S12" s="53">
        <v>94</v>
      </c>
      <c r="T12" s="16">
        <f t="shared" si="1"/>
        <v>36</v>
      </c>
      <c r="U12" s="53">
        <v>410</v>
      </c>
      <c r="V12" s="16">
        <f t="shared" si="2"/>
        <v>3690</v>
      </c>
      <c r="W12" s="53">
        <v>4</v>
      </c>
      <c r="X12" s="53" t="s">
        <v>46</v>
      </c>
      <c r="Y12" s="53" t="s">
        <v>102</v>
      </c>
      <c r="Z12" s="53" t="s">
        <v>88</v>
      </c>
      <c r="AA12" s="53" t="s">
        <v>69</v>
      </c>
      <c r="AB12" s="53" t="s">
        <v>261</v>
      </c>
      <c r="AE12" s="22" t="s">
        <v>70</v>
      </c>
      <c r="AG12" s="28"/>
      <c r="AH12" s="23"/>
      <c r="AL12" s="34"/>
      <c r="AP12" s="23" t="s">
        <v>67</v>
      </c>
      <c r="AR12" s="23" t="s">
        <v>124</v>
      </c>
      <c r="AV12" s="23" t="s">
        <v>72</v>
      </c>
    </row>
    <row r="13" spans="1:53" x14ac:dyDescent="0.15">
      <c r="A13" s="53" t="s">
        <v>34</v>
      </c>
      <c r="B13" s="53" t="s">
        <v>257</v>
      </c>
      <c r="C13" s="53">
        <v>2019</v>
      </c>
      <c r="D13" s="138" t="s">
        <v>334</v>
      </c>
      <c r="E13" s="53" t="s">
        <v>335</v>
      </c>
      <c r="F13" s="53" t="s">
        <v>336</v>
      </c>
      <c r="G13" s="53" t="s">
        <v>36</v>
      </c>
      <c r="H13" s="53" t="s">
        <v>164</v>
      </c>
      <c r="I13" s="53" t="s">
        <v>159</v>
      </c>
      <c r="J13" s="53" t="s">
        <v>38</v>
      </c>
      <c r="K13" s="53" t="s">
        <v>161</v>
      </c>
      <c r="L13" s="53">
        <v>3</v>
      </c>
      <c r="N13" s="53">
        <v>4</v>
      </c>
      <c r="O13" s="53">
        <v>1.05</v>
      </c>
      <c r="P13" s="53">
        <v>1.05</v>
      </c>
      <c r="Q13" s="75">
        <f t="shared" si="0"/>
        <v>1.05</v>
      </c>
      <c r="R13" s="53">
        <v>16.899999999999999</v>
      </c>
      <c r="S13" s="53">
        <v>95</v>
      </c>
      <c r="T13" s="16">
        <f t="shared" si="1"/>
        <v>36</v>
      </c>
      <c r="U13" s="53">
        <v>410</v>
      </c>
      <c r="V13" s="16">
        <f t="shared" si="2"/>
        <v>3690</v>
      </c>
      <c r="W13" s="53">
        <v>4</v>
      </c>
      <c r="X13" s="53" t="s">
        <v>46</v>
      </c>
      <c r="Y13" s="53" t="s">
        <v>102</v>
      </c>
      <c r="Z13" s="53" t="s">
        <v>88</v>
      </c>
      <c r="AA13" s="53" t="s">
        <v>69</v>
      </c>
      <c r="AB13" s="53" t="s">
        <v>261</v>
      </c>
      <c r="AE13" s="22" t="s">
        <v>73</v>
      </c>
      <c r="AH13" s="28"/>
      <c r="AP13" s="23" t="s">
        <v>71</v>
      </c>
      <c r="AR13" s="23" t="s">
        <v>103</v>
      </c>
      <c r="AV13" s="23" t="s">
        <v>75</v>
      </c>
    </row>
    <row r="14" spans="1:53" x14ac:dyDescent="0.15">
      <c r="A14" s="53" t="s">
        <v>34</v>
      </c>
      <c r="B14" s="53" t="s">
        <v>257</v>
      </c>
      <c r="C14" s="53">
        <v>2019</v>
      </c>
      <c r="D14" s="138" t="s">
        <v>334</v>
      </c>
      <c r="E14" s="53" t="s">
        <v>335</v>
      </c>
      <c r="F14" s="53" t="s">
        <v>336</v>
      </c>
      <c r="G14" s="53" t="s">
        <v>36</v>
      </c>
      <c r="H14" s="53" t="s">
        <v>160</v>
      </c>
      <c r="I14" s="53" t="s">
        <v>159</v>
      </c>
      <c r="J14" s="53" t="s">
        <v>38</v>
      </c>
      <c r="K14" s="53" t="s">
        <v>161</v>
      </c>
      <c r="L14" s="53">
        <v>1</v>
      </c>
      <c r="N14" s="53">
        <v>1</v>
      </c>
      <c r="O14" s="53">
        <v>1.2</v>
      </c>
      <c r="P14" s="53">
        <v>0.6</v>
      </c>
      <c r="Q14" s="75">
        <f t="shared" si="0"/>
        <v>0.89999999999999991</v>
      </c>
      <c r="R14" s="53">
        <v>16.3</v>
      </c>
      <c r="S14" s="53">
        <v>97</v>
      </c>
      <c r="T14" s="16">
        <f t="shared" si="1"/>
        <v>36</v>
      </c>
      <c r="U14" s="53">
        <v>105</v>
      </c>
      <c r="V14" s="16">
        <f t="shared" si="2"/>
        <v>3780</v>
      </c>
      <c r="W14" s="53">
        <v>4</v>
      </c>
      <c r="X14" s="53" t="s">
        <v>46</v>
      </c>
      <c r="Y14" s="53" t="s">
        <v>102</v>
      </c>
      <c r="Z14" s="53" t="s">
        <v>88</v>
      </c>
      <c r="AA14" s="53" t="s">
        <v>69</v>
      </c>
      <c r="AB14" s="53" t="s">
        <v>261</v>
      </c>
      <c r="AE14" s="22" t="s">
        <v>76</v>
      </c>
      <c r="AG14" s="141"/>
      <c r="AP14" s="23" t="s">
        <v>74</v>
      </c>
      <c r="AR14" s="23" t="s">
        <v>125</v>
      </c>
      <c r="AV14" s="23" t="s">
        <v>78</v>
      </c>
    </row>
    <row r="15" spans="1:53" x14ac:dyDescent="0.15">
      <c r="A15" s="53" t="s">
        <v>34</v>
      </c>
      <c r="B15" s="53" t="s">
        <v>257</v>
      </c>
      <c r="C15" s="53">
        <v>2019</v>
      </c>
      <c r="D15" s="138" t="s">
        <v>334</v>
      </c>
      <c r="E15" s="53" t="s">
        <v>335</v>
      </c>
      <c r="F15" s="53" t="s">
        <v>336</v>
      </c>
      <c r="G15" s="53" t="s">
        <v>36</v>
      </c>
      <c r="H15" s="53" t="s">
        <v>160</v>
      </c>
      <c r="I15" s="53" t="s">
        <v>159</v>
      </c>
      <c r="J15" s="53" t="s">
        <v>38</v>
      </c>
      <c r="K15" s="53" t="s">
        <v>161</v>
      </c>
      <c r="L15" s="53">
        <v>2</v>
      </c>
      <c r="N15" s="53">
        <v>1</v>
      </c>
      <c r="O15" s="53">
        <v>0.2</v>
      </c>
      <c r="P15" s="53">
        <v>0.45</v>
      </c>
      <c r="Q15" s="75">
        <f t="shared" si="0"/>
        <v>0.32500000000000001</v>
      </c>
      <c r="R15" s="53">
        <v>16.2</v>
      </c>
      <c r="S15" s="53">
        <v>92</v>
      </c>
      <c r="T15" s="16">
        <f t="shared" si="1"/>
        <v>36</v>
      </c>
      <c r="U15" s="53">
        <v>105</v>
      </c>
      <c r="V15" s="16">
        <f t="shared" si="2"/>
        <v>3780</v>
      </c>
      <c r="W15" s="53">
        <v>4</v>
      </c>
      <c r="X15" s="53" t="s">
        <v>46</v>
      </c>
      <c r="Y15" s="53" t="s">
        <v>102</v>
      </c>
      <c r="Z15" s="53" t="s">
        <v>88</v>
      </c>
      <c r="AA15" s="53" t="s">
        <v>69</v>
      </c>
      <c r="AB15" s="53" t="s">
        <v>261</v>
      </c>
      <c r="AE15" s="22" t="s">
        <v>79</v>
      </c>
      <c r="AP15" s="23" t="s">
        <v>77</v>
      </c>
      <c r="AR15" s="23" t="s">
        <v>94</v>
      </c>
      <c r="AV15" s="23" t="s">
        <v>107</v>
      </c>
    </row>
    <row r="16" spans="1:53" x14ac:dyDescent="0.15">
      <c r="A16" s="53" t="s">
        <v>34</v>
      </c>
      <c r="B16" s="53" t="s">
        <v>257</v>
      </c>
      <c r="C16" s="53">
        <v>2019</v>
      </c>
      <c r="D16" s="138" t="s">
        <v>334</v>
      </c>
      <c r="E16" s="53" t="s">
        <v>335</v>
      </c>
      <c r="F16" s="53" t="s">
        <v>336</v>
      </c>
      <c r="G16" s="53" t="s">
        <v>36</v>
      </c>
      <c r="H16" s="53" t="s">
        <v>160</v>
      </c>
      <c r="I16" s="53" t="s">
        <v>159</v>
      </c>
      <c r="J16" s="53" t="s">
        <v>38</v>
      </c>
      <c r="K16" s="53" t="s">
        <v>161</v>
      </c>
      <c r="L16" s="53">
        <v>3</v>
      </c>
      <c r="N16" s="53">
        <v>1</v>
      </c>
      <c r="O16" s="53">
        <v>0.45</v>
      </c>
      <c r="P16" s="53">
        <v>0.45</v>
      </c>
      <c r="Q16" s="75">
        <f t="shared" si="0"/>
        <v>0.45</v>
      </c>
      <c r="R16" s="53">
        <v>16.600000000000001</v>
      </c>
      <c r="S16" s="53">
        <v>94</v>
      </c>
      <c r="T16" s="16">
        <f t="shared" si="1"/>
        <v>36</v>
      </c>
      <c r="U16" s="53">
        <v>105</v>
      </c>
      <c r="V16" s="16">
        <f t="shared" si="2"/>
        <v>3780</v>
      </c>
      <c r="W16" s="53">
        <v>4</v>
      </c>
      <c r="X16" s="53" t="s">
        <v>46</v>
      </c>
      <c r="Y16" s="53" t="s">
        <v>102</v>
      </c>
      <c r="Z16" s="53" t="s">
        <v>88</v>
      </c>
      <c r="AA16" s="53" t="s">
        <v>69</v>
      </c>
      <c r="AB16" s="53" t="s">
        <v>261</v>
      </c>
      <c r="AE16" s="22" t="s">
        <v>82</v>
      </c>
      <c r="AP16" s="23" t="s">
        <v>80</v>
      </c>
      <c r="AR16" s="23" t="s">
        <v>63</v>
      </c>
      <c r="AV16" s="23" t="s">
        <v>84</v>
      </c>
    </row>
    <row r="17" spans="1:48" x14ac:dyDescent="0.15">
      <c r="A17" s="53" t="s">
        <v>34</v>
      </c>
      <c r="B17" s="53" t="s">
        <v>257</v>
      </c>
      <c r="C17" s="53">
        <v>2019</v>
      </c>
      <c r="D17" s="138" t="s">
        <v>334</v>
      </c>
      <c r="E17" s="53" t="s">
        <v>335</v>
      </c>
      <c r="F17" s="53" t="s">
        <v>336</v>
      </c>
      <c r="G17" s="53" t="s">
        <v>36</v>
      </c>
      <c r="H17" s="53" t="s">
        <v>160</v>
      </c>
      <c r="I17" s="53" t="s">
        <v>159</v>
      </c>
      <c r="J17" s="53" t="s">
        <v>38</v>
      </c>
      <c r="K17" s="53" t="s">
        <v>161</v>
      </c>
      <c r="L17" s="53">
        <v>1</v>
      </c>
      <c r="N17" s="53">
        <v>4</v>
      </c>
      <c r="O17" s="53">
        <v>0.8</v>
      </c>
      <c r="P17" s="53">
        <v>0.7</v>
      </c>
      <c r="Q17" s="75">
        <f t="shared" si="0"/>
        <v>0.75</v>
      </c>
      <c r="R17" s="53">
        <v>16.2</v>
      </c>
      <c r="S17" s="53">
        <v>108</v>
      </c>
      <c r="T17" s="16">
        <f t="shared" si="1"/>
        <v>33</v>
      </c>
      <c r="U17" s="53">
        <v>410</v>
      </c>
      <c r="V17" s="16">
        <f t="shared" si="2"/>
        <v>3382.5</v>
      </c>
      <c r="W17" s="53">
        <v>4</v>
      </c>
      <c r="X17" s="53" t="s">
        <v>46</v>
      </c>
      <c r="Y17" s="53" t="s">
        <v>102</v>
      </c>
      <c r="Z17" s="53" t="s">
        <v>88</v>
      </c>
      <c r="AA17" s="53" t="s">
        <v>69</v>
      </c>
      <c r="AB17" s="53" t="s">
        <v>261</v>
      </c>
      <c r="AE17" s="22" t="s">
        <v>85</v>
      </c>
      <c r="AP17" s="27" t="s">
        <v>110</v>
      </c>
      <c r="AR17" s="23" t="s">
        <v>96</v>
      </c>
      <c r="AV17" s="23" t="s">
        <v>86</v>
      </c>
    </row>
    <row r="18" spans="1:48" x14ac:dyDescent="0.15">
      <c r="A18" s="53" t="s">
        <v>34</v>
      </c>
      <c r="B18" s="53" t="s">
        <v>257</v>
      </c>
      <c r="C18" s="53">
        <v>2019</v>
      </c>
      <c r="D18" s="138" t="s">
        <v>334</v>
      </c>
      <c r="E18" s="53" t="s">
        <v>335</v>
      </c>
      <c r="F18" s="53" t="s">
        <v>336</v>
      </c>
      <c r="G18" s="53" t="s">
        <v>36</v>
      </c>
      <c r="H18" s="53" t="s">
        <v>160</v>
      </c>
      <c r="I18" s="53" t="s">
        <v>159</v>
      </c>
      <c r="J18" s="53" t="s">
        <v>38</v>
      </c>
      <c r="K18" s="53" t="s">
        <v>161</v>
      </c>
      <c r="L18" s="53">
        <v>2</v>
      </c>
      <c r="N18" s="53">
        <v>4</v>
      </c>
      <c r="O18" s="53">
        <v>0.5</v>
      </c>
      <c r="P18" s="53">
        <v>0.5</v>
      </c>
      <c r="Q18" s="75">
        <f t="shared" si="0"/>
        <v>0.5</v>
      </c>
      <c r="R18" s="53">
        <v>16.2</v>
      </c>
      <c r="S18" s="53">
        <v>112</v>
      </c>
      <c r="T18" s="16">
        <f t="shared" si="1"/>
        <v>33</v>
      </c>
      <c r="U18" s="53">
        <v>410</v>
      </c>
      <c r="V18" s="16">
        <f t="shared" si="2"/>
        <v>3382.5</v>
      </c>
      <c r="W18" s="53">
        <v>4</v>
      </c>
      <c r="X18" s="53" t="s">
        <v>46</v>
      </c>
      <c r="Y18" s="53" t="s">
        <v>102</v>
      </c>
      <c r="Z18" s="53" t="s">
        <v>88</v>
      </c>
      <c r="AA18" s="53" t="s">
        <v>69</v>
      </c>
      <c r="AB18" s="53" t="s">
        <v>261</v>
      </c>
      <c r="AE18" s="22" t="s">
        <v>87</v>
      </c>
      <c r="AP18" s="27" t="s">
        <v>111</v>
      </c>
      <c r="AR18" s="23" t="s">
        <v>101</v>
      </c>
      <c r="AV18" s="23" t="s">
        <v>88</v>
      </c>
    </row>
    <row r="19" spans="1:48" x14ac:dyDescent="0.15">
      <c r="A19" s="53" t="s">
        <v>34</v>
      </c>
      <c r="B19" s="53" t="s">
        <v>257</v>
      </c>
      <c r="C19" s="53">
        <v>2019</v>
      </c>
      <c r="D19" s="138" t="s">
        <v>334</v>
      </c>
      <c r="E19" s="53" t="s">
        <v>335</v>
      </c>
      <c r="F19" s="53" t="s">
        <v>336</v>
      </c>
      <c r="G19" s="53" t="s">
        <v>36</v>
      </c>
      <c r="H19" s="53" t="s">
        <v>160</v>
      </c>
      <c r="I19" s="53" t="s">
        <v>159</v>
      </c>
      <c r="J19" s="53" t="s">
        <v>38</v>
      </c>
      <c r="K19" s="53" t="s">
        <v>161</v>
      </c>
      <c r="L19" s="53">
        <v>3</v>
      </c>
      <c r="N19" s="53">
        <v>4</v>
      </c>
      <c r="O19" s="53">
        <v>0.55000000000000004</v>
      </c>
      <c r="P19" s="53">
        <v>0.55000000000000004</v>
      </c>
      <c r="Q19" s="75">
        <f t="shared" si="0"/>
        <v>0.55000000000000004</v>
      </c>
      <c r="R19" s="53">
        <v>15.7</v>
      </c>
      <c r="S19" s="53">
        <v>108</v>
      </c>
      <c r="T19" s="16">
        <f t="shared" si="1"/>
        <v>33</v>
      </c>
      <c r="U19" s="53">
        <v>410</v>
      </c>
      <c r="V19" s="16">
        <f t="shared" si="2"/>
        <v>3382.5</v>
      </c>
      <c r="W19" s="53">
        <v>4</v>
      </c>
      <c r="X19" s="53" t="s">
        <v>46</v>
      </c>
      <c r="Y19" s="53" t="s">
        <v>102</v>
      </c>
      <c r="Z19" s="53" t="s">
        <v>88</v>
      </c>
      <c r="AA19" s="53" t="s">
        <v>69</v>
      </c>
      <c r="AB19" s="53" t="s">
        <v>261</v>
      </c>
      <c r="AE19" s="35" t="s">
        <v>89</v>
      </c>
      <c r="AP19" s="27" t="s">
        <v>112</v>
      </c>
      <c r="AR19" s="23" t="s">
        <v>126</v>
      </c>
      <c r="AV19" s="23" t="s">
        <v>90</v>
      </c>
    </row>
    <row r="20" spans="1:48" x14ac:dyDescent="0.15">
      <c r="A20" s="53" t="s">
        <v>34</v>
      </c>
      <c r="B20" s="53" t="s">
        <v>257</v>
      </c>
      <c r="C20" s="53">
        <v>2019</v>
      </c>
      <c r="D20" s="138" t="s">
        <v>334</v>
      </c>
      <c r="E20" s="53" t="s">
        <v>335</v>
      </c>
      <c r="F20" s="53" t="s">
        <v>336</v>
      </c>
      <c r="G20" s="53" t="s">
        <v>36</v>
      </c>
      <c r="H20" s="53" t="s">
        <v>160</v>
      </c>
      <c r="I20" s="53" t="s">
        <v>159</v>
      </c>
      <c r="J20" s="53" t="s">
        <v>38</v>
      </c>
      <c r="K20" s="53" t="s">
        <v>161</v>
      </c>
      <c r="L20" s="53">
        <v>1</v>
      </c>
      <c r="N20" s="53">
        <v>1</v>
      </c>
      <c r="O20" s="53">
        <v>0.45</v>
      </c>
      <c r="P20" s="53">
        <v>0.6</v>
      </c>
      <c r="Q20" s="75">
        <f t="shared" si="0"/>
        <v>0.52500000000000002</v>
      </c>
      <c r="R20" s="53">
        <v>16.899999999999999</v>
      </c>
      <c r="S20" s="53">
        <v>158</v>
      </c>
      <c r="T20" s="16">
        <f t="shared" si="1"/>
        <v>18</v>
      </c>
      <c r="U20" s="53">
        <v>192</v>
      </c>
      <c r="V20" s="16">
        <f t="shared" si="2"/>
        <v>3456</v>
      </c>
      <c r="W20" s="53">
        <v>4</v>
      </c>
      <c r="X20" s="53" t="s">
        <v>46</v>
      </c>
      <c r="Y20" s="53" t="s">
        <v>102</v>
      </c>
      <c r="Z20" s="53" t="s">
        <v>88</v>
      </c>
      <c r="AA20" s="53" t="s">
        <v>69</v>
      </c>
      <c r="AB20" s="53" t="s">
        <v>261</v>
      </c>
      <c r="AP20" s="27" t="s">
        <v>113</v>
      </c>
      <c r="AR20" s="23" t="s">
        <v>105</v>
      </c>
      <c r="AV20" s="27" t="s">
        <v>135</v>
      </c>
    </row>
    <row r="21" spans="1:48" x14ac:dyDescent="0.15">
      <c r="A21" s="53" t="s">
        <v>34</v>
      </c>
      <c r="B21" s="53" t="s">
        <v>257</v>
      </c>
      <c r="C21" s="53">
        <v>2019</v>
      </c>
      <c r="D21" s="138" t="s">
        <v>334</v>
      </c>
      <c r="E21" s="53" t="s">
        <v>335</v>
      </c>
      <c r="F21" s="53" t="s">
        <v>336</v>
      </c>
      <c r="G21" s="53" t="s">
        <v>36</v>
      </c>
      <c r="H21" s="53" t="s">
        <v>160</v>
      </c>
      <c r="I21" s="53" t="s">
        <v>159</v>
      </c>
      <c r="J21" s="53" t="s">
        <v>38</v>
      </c>
      <c r="K21" s="53" t="s">
        <v>161</v>
      </c>
      <c r="L21" s="53">
        <v>2</v>
      </c>
      <c r="N21" s="53">
        <v>1</v>
      </c>
      <c r="O21" s="53">
        <v>0.2</v>
      </c>
      <c r="P21" s="53">
        <v>0.2</v>
      </c>
      <c r="Q21" s="75">
        <f t="shared" si="0"/>
        <v>0.2</v>
      </c>
      <c r="R21" s="53">
        <v>16.600000000000001</v>
      </c>
      <c r="S21" s="53">
        <v>166</v>
      </c>
      <c r="T21" s="16">
        <f t="shared" si="1"/>
        <v>18</v>
      </c>
      <c r="U21" s="53">
        <v>192</v>
      </c>
      <c r="V21" s="16">
        <f t="shared" si="2"/>
        <v>3456</v>
      </c>
      <c r="W21" s="53">
        <v>4</v>
      </c>
      <c r="X21" s="53" t="s">
        <v>46</v>
      </c>
      <c r="Y21" s="53" t="s">
        <v>102</v>
      </c>
      <c r="Z21" s="53" t="s">
        <v>88</v>
      </c>
      <c r="AA21" s="53" t="s">
        <v>69</v>
      </c>
      <c r="AB21" s="53" t="s">
        <v>261</v>
      </c>
      <c r="AP21" s="27" t="s">
        <v>114</v>
      </c>
      <c r="AR21" s="23" t="s">
        <v>68</v>
      </c>
      <c r="AV21" s="27" t="s">
        <v>136</v>
      </c>
    </row>
    <row r="22" spans="1:48" x14ac:dyDescent="0.15">
      <c r="A22" s="53" t="s">
        <v>34</v>
      </c>
      <c r="B22" s="53" t="s">
        <v>257</v>
      </c>
      <c r="C22" s="53">
        <v>2019</v>
      </c>
      <c r="D22" s="138" t="s">
        <v>334</v>
      </c>
      <c r="E22" s="53" t="s">
        <v>335</v>
      </c>
      <c r="F22" s="53" t="s">
        <v>336</v>
      </c>
      <c r="G22" s="53" t="s">
        <v>36</v>
      </c>
      <c r="H22" s="53" t="s">
        <v>160</v>
      </c>
      <c r="I22" s="53" t="s">
        <v>159</v>
      </c>
      <c r="J22" s="53" t="s">
        <v>38</v>
      </c>
      <c r="K22" s="53" t="s">
        <v>161</v>
      </c>
      <c r="L22" s="53">
        <v>3</v>
      </c>
      <c r="N22" s="53">
        <v>1</v>
      </c>
      <c r="O22" s="53">
        <v>0.2</v>
      </c>
      <c r="P22" s="53">
        <v>0.2</v>
      </c>
      <c r="Q22" s="75">
        <f t="shared" si="0"/>
        <v>0.2</v>
      </c>
      <c r="R22" s="53">
        <v>18.5</v>
      </c>
      <c r="S22" s="53">
        <v>164</v>
      </c>
      <c r="T22" s="16">
        <f t="shared" si="1"/>
        <v>18</v>
      </c>
      <c r="U22" s="53">
        <v>192</v>
      </c>
      <c r="V22" s="16">
        <f t="shared" si="2"/>
        <v>3456</v>
      </c>
      <c r="W22" s="53">
        <v>4</v>
      </c>
      <c r="X22" s="53" t="s">
        <v>46</v>
      </c>
      <c r="Y22" s="53" t="s">
        <v>102</v>
      </c>
      <c r="Z22" s="53" t="s">
        <v>88</v>
      </c>
      <c r="AA22" s="53" t="s">
        <v>69</v>
      </c>
      <c r="AB22" s="53" t="s">
        <v>261</v>
      </c>
      <c r="AP22" s="27" t="s">
        <v>115</v>
      </c>
      <c r="AR22" s="23" t="s">
        <v>83</v>
      </c>
      <c r="AV22" s="27"/>
    </row>
    <row r="23" spans="1:48" x14ac:dyDescent="0.15">
      <c r="A23" s="53" t="s">
        <v>34</v>
      </c>
      <c r="B23" s="53" t="s">
        <v>257</v>
      </c>
      <c r="C23" s="53">
        <v>2019</v>
      </c>
      <c r="D23" s="138" t="s">
        <v>334</v>
      </c>
      <c r="E23" s="53" t="s">
        <v>343</v>
      </c>
      <c r="F23" s="53" t="s">
        <v>344</v>
      </c>
      <c r="G23" s="53" t="s">
        <v>36</v>
      </c>
      <c r="H23" s="53" t="s">
        <v>164</v>
      </c>
      <c r="I23" s="53" t="s">
        <v>159</v>
      </c>
      <c r="J23" s="53" t="s">
        <v>38</v>
      </c>
      <c r="K23" s="53" t="s">
        <v>161</v>
      </c>
      <c r="L23" s="53">
        <v>1</v>
      </c>
      <c r="N23" s="53">
        <v>1</v>
      </c>
      <c r="O23" s="53">
        <v>0.9</v>
      </c>
      <c r="P23" s="53">
        <v>0.8</v>
      </c>
      <c r="Q23" s="75">
        <f t="shared" si="0"/>
        <v>0.85000000000000009</v>
      </c>
      <c r="R23" s="53">
        <v>15.2</v>
      </c>
      <c r="S23" s="53">
        <v>134</v>
      </c>
      <c r="T23" s="16">
        <f t="shared" si="1"/>
        <v>30</v>
      </c>
      <c r="U23" s="53">
        <v>105</v>
      </c>
      <c r="V23" s="16">
        <f t="shared" si="2"/>
        <v>3150</v>
      </c>
      <c r="W23" s="53">
        <v>3</v>
      </c>
      <c r="X23" s="53" t="s">
        <v>46</v>
      </c>
      <c r="Y23" s="53" t="s">
        <v>78</v>
      </c>
      <c r="Z23" s="53" t="s">
        <v>69</v>
      </c>
      <c r="AA23" s="53" t="s">
        <v>97</v>
      </c>
      <c r="AB23" s="53" t="s">
        <v>261</v>
      </c>
      <c r="AP23" s="27" t="s">
        <v>117</v>
      </c>
      <c r="AR23" s="23" t="s">
        <v>153</v>
      </c>
    </row>
    <row r="24" spans="1:48" x14ac:dyDescent="0.15">
      <c r="A24" s="53" t="s">
        <v>34</v>
      </c>
      <c r="B24" s="53" t="s">
        <v>257</v>
      </c>
      <c r="C24" s="53">
        <v>2019</v>
      </c>
      <c r="D24" s="138" t="s">
        <v>334</v>
      </c>
      <c r="E24" s="53" t="s">
        <v>343</v>
      </c>
      <c r="F24" s="53" t="s">
        <v>344</v>
      </c>
      <c r="G24" s="53" t="s">
        <v>36</v>
      </c>
      <c r="H24" s="53" t="s">
        <v>164</v>
      </c>
      <c r="I24" s="53" t="s">
        <v>159</v>
      </c>
      <c r="J24" s="53" t="s">
        <v>38</v>
      </c>
      <c r="K24" s="53" t="s">
        <v>161</v>
      </c>
      <c r="L24" s="53">
        <v>2</v>
      </c>
      <c r="N24" s="53">
        <v>1</v>
      </c>
      <c r="O24" s="53">
        <v>0.55000000000000004</v>
      </c>
      <c r="P24" s="53">
        <v>0.6</v>
      </c>
      <c r="Q24" s="75">
        <f t="shared" si="0"/>
        <v>0.57499999999999996</v>
      </c>
      <c r="R24" s="53">
        <v>15.3</v>
      </c>
      <c r="S24" s="53">
        <v>130</v>
      </c>
      <c r="T24" s="16">
        <f t="shared" si="1"/>
        <v>30</v>
      </c>
      <c r="U24" s="53">
        <v>105</v>
      </c>
      <c r="V24" s="16">
        <f t="shared" si="2"/>
        <v>3150</v>
      </c>
      <c r="W24" s="53">
        <v>3</v>
      </c>
      <c r="X24" s="53" t="s">
        <v>46</v>
      </c>
      <c r="Y24" s="53" t="s">
        <v>78</v>
      </c>
      <c r="Z24" s="53" t="s">
        <v>69</v>
      </c>
      <c r="AA24" s="53" t="s">
        <v>97</v>
      </c>
      <c r="AB24" s="53" t="s">
        <v>261</v>
      </c>
      <c r="AP24" s="27" t="s">
        <v>118</v>
      </c>
    </row>
    <row r="25" spans="1:48" x14ac:dyDescent="0.15">
      <c r="A25" s="53" t="s">
        <v>34</v>
      </c>
      <c r="B25" s="53" t="s">
        <v>257</v>
      </c>
      <c r="C25" s="53">
        <v>2019</v>
      </c>
      <c r="D25" s="138" t="s">
        <v>334</v>
      </c>
      <c r="E25" s="53" t="s">
        <v>343</v>
      </c>
      <c r="F25" s="53" t="s">
        <v>344</v>
      </c>
      <c r="G25" s="53" t="s">
        <v>36</v>
      </c>
      <c r="H25" s="53" t="s">
        <v>164</v>
      </c>
      <c r="I25" s="53" t="s">
        <v>159</v>
      </c>
      <c r="J25" s="53" t="s">
        <v>38</v>
      </c>
      <c r="K25" s="53" t="s">
        <v>161</v>
      </c>
      <c r="L25" s="53">
        <v>3</v>
      </c>
      <c r="N25" s="53">
        <v>1</v>
      </c>
      <c r="O25" s="53">
        <v>0.6</v>
      </c>
      <c r="P25" s="53">
        <v>0.8</v>
      </c>
      <c r="Q25" s="75">
        <f t="shared" si="0"/>
        <v>0.7</v>
      </c>
      <c r="R25" s="53">
        <v>17</v>
      </c>
      <c r="S25" s="53">
        <v>126</v>
      </c>
      <c r="T25" s="16">
        <f t="shared" si="1"/>
        <v>30</v>
      </c>
      <c r="U25" s="53">
        <v>105</v>
      </c>
      <c r="V25" s="16">
        <f t="shared" si="2"/>
        <v>3150</v>
      </c>
      <c r="W25" s="53">
        <v>3</v>
      </c>
      <c r="X25" s="53" t="s">
        <v>46</v>
      </c>
      <c r="Y25" s="53" t="s">
        <v>78</v>
      </c>
      <c r="Z25" s="53" t="s">
        <v>69</v>
      </c>
      <c r="AA25" s="53" t="s">
        <v>97</v>
      </c>
      <c r="AB25" s="53" t="s">
        <v>261</v>
      </c>
    </row>
    <row r="26" spans="1:48" x14ac:dyDescent="0.15">
      <c r="A26" s="53" t="s">
        <v>34</v>
      </c>
      <c r="B26" s="53" t="s">
        <v>257</v>
      </c>
      <c r="C26" s="53">
        <v>2019</v>
      </c>
      <c r="D26" s="138" t="s">
        <v>334</v>
      </c>
      <c r="E26" s="53" t="s">
        <v>343</v>
      </c>
      <c r="F26" s="53" t="s">
        <v>344</v>
      </c>
      <c r="G26" s="53" t="s">
        <v>36</v>
      </c>
      <c r="H26" s="53" t="s">
        <v>160</v>
      </c>
      <c r="I26" s="53" t="s">
        <v>159</v>
      </c>
      <c r="J26" s="53" t="s">
        <v>38</v>
      </c>
      <c r="K26" s="53" t="s">
        <v>161</v>
      </c>
      <c r="L26" s="53">
        <v>1</v>
      </c>
      <c r="N26" s="53">
        <v>1</v>
      </c>
      <c r="O26" s="53">
        <v>0.65</v>
      </c>
      <c r="P26" s="53">
        <v>0.6</v>
      </c>
      <c r="Q26" s="75">
        <f t="shared" si="0"/>
        <v>0.625</v>
      </c>
      <c r="R26" s="53">
        <v>17</v>
      </c>
      <c r="S26" s="53">
        <v>148</v>
      </c>
      <c r="T26" s="16">
        <f t="shared" si="1"/>
        <v>30</v>
      </c>
      <c r="U26" s="53">
        <v>105</v>
      </c>
      <c r="V26" s="16">
        <f t="shared" si="2"/>
        <v>3150</v>
      </c>
      <c r="W26" s="53">
        <v>3</v>
      </c>
      <c r="X26" s="53" t="s">
        <v>46</v>
      </c>
      <c r="Y26" s="53" t="s">
        <v>78</v>
      </c>
      <c r="Z26" s="53" t="s">
        <v>69</v>
      </c>
      <c r="AA26" s="53" t="s">
        <v>97</v>
      </c>
      <c r="AB26" s="53" t="s">
        <v>261</v>
      </c>
    </row>
    <row r="27" spans="1:48" x14ac:dyDescent="0.15">
      <c r="A27" s="53" t="s">
        <v>34</v>
      </c>
      <c r="B27" s="53" t="s">
        <v>257</v>
      </c>
      <c r="C27" s="53">
        <v>2019</v>
      </c>
      <c r="D27" s="138" t="s">
        <v>334</v>
      </c>
      <c r="E27" s="53" t="s">
        <v>343</v>
      </c>
      <c r="F27" s="53" t="s">
        <v>344</v>
      </c>
      <c r="G27" s="53" t="s">
        <v>36</v>
      </c>
      <c r="H27" s="53" t="s">
        <v>160</v>
      </c>
      <c r="I27" s="53" t="s">
        <v>159</v>
      </c>
      <c r="J27" s="53" t="s">
        <v>38</v>
      </c>
      <c r="K27" s="53" t="s">
        <v>161</v>
      </c>
      <c r="L27" s="53">
        <v>2</v>
      </c>
      <c r="N27" s="53">
        <v>1</v>
      </c>
      <c r="O27" s="53">
        <v>0.6</v>
      </c>
      <c r="P27" s="53">
        <v>0.55000000000000004</v>
      </c>
      <c r="Q27" s="75">
        <f t="shared" si="0"/>
        <v>0.57499999999999996</v>
      </c>
      <c r="R27" s="53">
        <v>17.899999999999999</v>
      </c>
      <c r="S27" s="53">
        <v>146</v>
      </c>
      <c r="T27" s="16">
        <f t="shared" si="1"/>
        <v>30</v>
      </c>
      <c r="U27" s="53">
        <v>105</v>
      </c>
      <c r="V27" s="16">
        <f t="shared" si="2"/>
        <v>3150</v>
      </c>
      <c r="W27" s="53">
        <v>3</v>
      </c>
      <c r="X27" s="53" t="s">
        <v>46</v>
      </c>
      <c r="Y27" s="53" t="s">
        <v>78</v>
      </c>
      <c r="Z27" s="53" t="s">
        <v>69</v>
      </c>
      <c r="AA27" s="53" t="s">
        <v>97</v>
      </c>
      <c r="AB27" s="53" t="s">
        <v>261</v>
      </c>
    </row>
    <row r="28" spans="1:48" x14ac:dyDescent="0.15">
      <c r="A28" s="53" t="s">
        <v>34</v>
      </c>
      <c r="B28" s="53" t="s">
        <v>257</v>
      </c>
      <c r="C28" s="53">
        <v>2019</v>
      </c>
      <c r="D28" s="138" t="s">
        <v>334</v>
      </c>
      <c r="E28" s="53" t="s">
        <v>343</v>
      </c>
      <c r="F28" s="53" t="s">
        <v>344</v>
      </c>
      <c r="G28" s="53" t="s">
        <v>36</v>
      </c>
      <c r="H28" s="53" t="s">
        <v>160</v>
      </c>
      <c r="I28" s="53" t="s">
        <v>159</v>
      </c>
      <c r="J28" s="53" t="s">
        <v>38</v>
      </c>
      <c r="K28" s="53" t="s">
        <v>161</v>
      </c>
      <c r="L28" s="53">
        <v>3</v>
      </c>
      <c r="N28" s="53">
        <v>1</v>
      </c>
      <c r="O28" s="53">
        <v>0.5</v>
      </c>
      <c r="P28" s="53">
        <v>0.5</v>
      </c>
      <c r="Q28" s="75">
        <f>IF(OR(O28="",P28=""),"",AVERAGE(O28,P28))</f>
        <v>0.5</v>
      </c>
      <c r="R28" s="53">
        <v>16.5</v>
      </c>
      <c r="S28" s="53">
        <v>146</v>
      </c>
      <c r="T28" s="16">
        <f t="shared" si="1"/>
        <v>30</v>
      </c>
      <c r="U28" s="53">
        <v>105</v>
      </c>
      <c r="V28" s="16">
        <f t="shared" si="2"/>
        <v>3150</v>
      </c>
      <c r="W28" s="53">
        <v>3</v>
      </c>
      <c r="X28" s="53" t="s">
        <v>46</v>
      </c>
      <c r="Y28" s="53" t="s">
        <v>78</v>
      </c>
      <c r="Z28" s="53" t="s">
        <v>69</v>
      </c>
      <c r="AA28" s="53" t="s">
        <v>97</v>
      </c>
      <c r="AB28" s="53" t="s">
        <v>261</v>
      </c>
    </row>
    <row r="29" spans="1:48" x14ac:dyDescent="0.15">
      <c r="A29" s="53" t="s">
        <v>34</v>
      </c>
      <c r="B29" s="53" t="s">
        <v>257</v>
      </c>
      <c r="C29" s="53">
        <v>2019</v>
      </c>
      <c r="D29" s="138" t="s">
        <v>334</v>
      </c>
      <c r="E29" s="53" t="s">
        <v>337</v>
      </c>
      <c r="F29" s="53" t="s">
        <v>338</v>
      </c>
      <c r="G29" s="53" t="s">
        <v>36</v>
      </c>
      <c r="H29" s="53" t="s">
        <v>164</v>
      </c>
      <c r="I29" s="53" t="s">
        <v>159</v>
      </c>
      <c r="J29" s="53" t="s">
        <v>38</v>
      </c>
      <c r="K29" s="53" t="s">
        <v>161</v>
      </c>
      <c r="L29" s="53">
        <v>1</v>
      </c>
      <c r="N29" s="53">
        <v>1</v>
      </c>
      <c r="O29" s="53">
        <v>0.55000000000000004</v>
      </c>
      <c r="P29" s="53">
        <v>0.5</v>
      </c>
      <c r="Q29" s="75">
        <f t="shared" si="0"/>
        <v>0.52500000000000002</v>
      </c>
      <c r="R29" s="53">
        <v>16</v>
      </c>
      <c r="S29" s="53">
        <v>82</v>
      </c>
      <c r="T29" s="16">
        <f t="shared" si="1"/>
        <v>39</v>
      </c>
      <c r="U29" s="53">
        <v>74</v>
      </c>
      <c r="V29" s="16">
        <f t="shared" si="2"/>
        <v>2886</v>
      </c>
      <c r="W29" s="53">
        <v>2</v>
      </c>
      <c r="X29" s="53" t="s">
        <v>46</v>
      </c>
      <c r="Y29" s="53" t="s">
        <v>88</v>
      </c>
      <c r="Z29" s="53" t="s">
        <v>102</v>
      </c>
      <c r="AA29" s="53" t="s">
        <v>69</v>
      </c>
      <c r="AB29" s="53" t="s">
        <v>261</v>
      </c>
    </row>
    <row r="30" spans="1:48" x14ac:dyDescent="0.15">
      <c r="A30" s="53" t="s">
        <v>34</v>
      </c>
      <c r="B30" s="53" t="s">
        <v>257</v>
      </c>
      <c r="C30" s="53">
        <v>2019</v>
      </c>
      <c r="D30" s="138" t="s">
        <v>334</v>
      </c>
      <c r="E30" s="53" t="s">
        <v>337</v>
      </c>
      <c r="F30" s="53" t="s">
        <v>338</v>
      </c>
      <c r="G30" s="53" t="s">
        <v>36</v>
      </c>
      <c r="H30" s="53" t="s">
        <v>164</v>
      </c>
      <c r="I30" s="53" t="s">
        <v>159</v>
      </c>
      <c r="J30" s="53" t="s">
        <v>38</v>
      </c>
      <c r="K30" s="53" t="s">
        <v>161</v>
      </c>
      <c r="L30" s="53">
        <v>2</v>
      </c>
      <c r="N30" s="53">
        <v>1</v>
      </c>
      <c r="O30" s="53">
        <v>0.2</v>
      </c>
      <c r="P30" s="53">
        <v>0.6</v>
      </c>
      <c r="Q30" s="75">
        <f t="shared" si="0"/>
        <v>0.4</v>
      </c>
      <c r="R30" s="53">
        <v>10.1</v>
      </c>
      <c r="S30" s="53">
        <v>83</v>
      </c>
      <c r="T30" s="16">
        <f t="shared" si="1"/>
        <v>39</v>
      </c>
      <c r="U30" s="53">
        <v>74</v>
      </c>
      <c r="V30" s="16">
        <f t="shared" si="2"/>
        <v>2886</v>
      </c>
      <c r="W30" s="53">
        <v>2</v>
      </c>
      <c r="X30" s="53" t="s">
        <v>46</v>
      </c>
      <c r="Y30" s="53" t="s">
        <v>88</v>
      </c>
      <c r="Z30" s="53" t="s">
        <v>102</v>
      </c>
      <c r="AA30" s="53" t="s">
        <v>69</v>
      </c>
      <c r="AB30" s="53" t="s">
        <v>261</v>
      </c>
    </row>
    <row r="31" spans="1:48" x14ac:dyDescent="0.15">
      <c r="A31" s="53" t="s">
        <v>34</v>
      </c>
      <c r="B31" s="53" t="s">
        <v>257</v>
      </c>
      <c r="C31" s="53">
        <v>2019</v>
      </c>
      <c r="D31" s="138" t="s">
        <v>334</v>
      </c>
      <c r="E31" s="53" t="s">
        <v>337</v>
      </c>
      <c r="F31" s="53" t="s">
        <v>338</v>
      </c>
      <c r="G31" s="53" t="s">
        <v>36</v>
      </c>
      <c r="H31" s="53" t="s">
        <v>164</v>
      </c>
      <c r="I31" s="53" t="s">
        <v>159</v>
      </c>
      <c r="J31" s="53" t="s">
        <v>38</v>
      </c>
      <c r="K31" s="53" t="s">
        <v>161</v>
      </c>
      <c r="L31" s="53">
        <v>3</v>
      </c>
      <c r="N31" s="53">
        <v>1</v>
      </c>
      <c r="O31" s="53">
        <v>0.2</v>
      </c>
      <c r="P31" s="53">
        <v>0.45</v>
      </c>
      <c r="Q31" s="75">
        <f t="shared" si="0"/>
        <v>0.32500000000000001</v>
      </c>
      <c r="R31" s="53">
        <v>15.1</v>
      </c>
      <c r="S31" s="53">
        <v>84</v>
      </c>
      <c r="T31" s="16">
        <f t="shared" si="1"/>
        <v>36</v>
      </c>
      <c r="U31" s="53">
        <v>74</v>
      </c>
      <c r="V31" s="16">
        <f t="shared" si="2"/>
        <v>2664</v>
      </c>
      <c r="W31" s="53">
        <v>2</v>
      </c>
      <c r="X31" s="53" t="s">
        <v>46</v>
      </c>
      <c r="Y31" s="53" t="s">
        <v>88</v>
      </c>
      <c r="Z31" s="53" t="s">
        <v>102</v>
      </c>
      <c r="AA31" s="53" t="s">
        <v>69</v>
      </c>
      <c r="AB31" s="53" t="s">
        <v>261</v>
      </c>
    </row>
    <row r="32" spans="1:48" x14ac:dyDescent="0.15">
      <c r="A32" s="53" t="s">
        <v>34</v>
      </c>
      <c r="B32" s="53" t="s">
        <v>257</v>
      </c>
      <c r="C32" s="53">
        <v>2019</v>
      </c>
      <c r="D32" s="138" t="s">
        <v>334</v>
      </c>
      <c r="E32" s="53" t="s">
        <v>339</v>
      </c>
      <c r="F32" s="53" t="s">
        <v>340</v>
      </c>
      <c r="G32" s="53" t="s">
        <v>36</v>
      </c>
      <c r="H32" s="53" t="s">
        <v>164</v>
      </c>
      <c r="I32" s="53" t="s">
        <v>159</v>
      </c>
      <c r="J32" s="53" t="s">
        <v>38</v>
      </c>
      <c r="K32" s="53" t="s">
        <v>161</v>
      </c>
      <c r="L32" s="53">
        <v>1</v>
      </c>
      <c r="N32" s="53">
        <v>1</v>
      </c>
      <c r="O32" s="53">
        <v>0.95</v>
      </c>
      <c r="P32" s="53">
        <v>1.1000000000000001</v>
      </c>
      <c r="Q32" s="75">
        <f t="shared" si="0"/>
        <v>1.0249999999999999</v>
      </c>
      <c r="R32" s="53">
        <v>14.1</v>
      </c>
      <c r="S32" s="53">
        <v>126</v>
      </c>
      <c r="T32" s="16">
        <f t="shared" si="1"/>
        <v>30</v>
      </c>
      <c r="U32" s="53">
        <v>108</v>
      </c>
      <c r="V32" s="16">
        <f t="shared" si="2"/>
        <v>3240</v>
      </c>
      <c r="W32" s="53">
        <v>2</v>
      </c>
      <c r="X32" s="53" t="s">
        <v>46</v>
      </c>
      <c r="Y32" s="53" t="s">
        <v>78</v>
      </c>
      <c r="Z32" s="53" t="s">
        <v>88</v>
      </c>
      <c r="AA32" s="53" t="s">
        <v>102</v>
      </c>
      <c r="AB32" s="53" t="s">
        <v>261</v>
      </c>
    </row>
    <row r="33" spans="1:28" x14ac:dyDescent="0.15">
      <c r="A33" s="53" t="s">
        <v>34</v>
      </c>
      <c r="B33" s="53" t="s">
        <v>257</v>
      </c>
      <c r="C33" s="53">
        <v>2019</v>
      </c>
      <c r="D33" s="138" t="s">
        <v>334</v>
      </c>
      <c r="E33" s="53" t="s">
        <v>339</v>
      </c>
      <c r="F33" s="53" t="s">
        <v>340</v>
      </c>
      <c r="G33" s="53" t="s">
        <v>36</v>
      </c>
      <c r="H33" s="53" t="s">
        <v>164</v>
      </c>
      <c r="I33" s="53" t="s">
        <v>159</v>
      </c>
      <c r="J33" s="53" t="s">
        <v>38</v>
      </c>
      <c r="K33" s="53" t="s">
        <v>161</v>
      </c>
      <c r="L33" s="53">
        <v>2</v>
      </c>
      <c r="N33" s="53">
        <v>1</v>
      </c>
      <c r="O33" s="53">
        <v>0.7</v>
      </c>
      <c r="P33" s="53">
        <v>0.75</v>
      </c>
      <c r="Q33" s="75">
        <f t="shared" si="0"/>
        <v>0.72499999999999998</v>
      </c>
      <c r="R33" s="53">
        <v>14.6</v>
      </c>
      <c r="S33" s="53">
        <v>134</v>
      </c>
      <c r="T33" s="16">
        <f t="shared" si="1"/>
        <v>30</v>
      </c>
      <c r="U33" s="53">
        <v>108</v>
      </c>
      <c r="V33" s="16">
        <f t="shared" si="2"/>
        <v>3240</v>
      </c>
      <c r="W33" s="53">
        <v>2</v>
      </c>
      <c r="X33" s="53" t="s">
        <v>46</v>
      </c>
      <c r="Y33" s="53" t="s">
        <v>78</v>
      </c>
      <c r="Z33" s="53" t="s">
        <v>88</v>
      </c>
      <c r="AA33" s="53" t="s">
        <v>102</v>
      </c>
      <c r="AB33" s="53" t="s">
        <v>261</v>
      </c>
    </row>
    <row r="34" spans="1:28" x14ac:dyDescent="0.15">
      <c r="A34" s="53" t="s">
        <v>34</v>
      </c>
      <c r="B34" s="53" t="s">
        <v>257</v>
      </c>
      <c r="C34" s="53">
        <v>2019</v>
      </c>
      <c r="D34" s="138" t="s">
        <v>334</v>
      </c>
      <c r="E34" s="53" t="s">
        <v>339</v>
      </c>
      <c r="F34" s="53" t="s">
        <v>340</v>
      </c>
      <c r="G34" s="53" t="s">
        <v>36</v>
      </c>
      <c r="H34" s="53" t="s">
        <v>164</v>
      </c>
      <c r="I34" s="53" t="s">
        <v>159</v>
      </c>
      <c r="J34" s="53" t="s">
        <v>38</v>
      </c>
      <c r="K34" s="53" t="s">
        <v>161</v>
      </c>
      <c r="L34" s="53">
        <v>3</v>
      </c>
      <c r="N34" s="53">
        <v>1</v>
      </c>
      <c r="O34" s="53">
        <v>0.75</v>
      </c>
      <c r="P34" s="53">
        <v>0.85</v>
      </c>
      <c r="Q34" s="75">
        <f>IF(OR(O34="",P34=""),"",AVERAGE(O34,P34))</f>
        <v>0.8</v>
      </c>
      <c r="R34" s="53">
        <v>14.5</v>
      </c>
      <c r="S34" s="53">
        <v>130</v>
      </c>
      <c r="T34" s="16">
        <f t="shared" si="1"/>
        <v>30</v>
      </c>
      <c r="U34" s="53">
        <v>108</v>
      </c>
      <c r="V34" s="16">
        <f t="shared" si="2"/>
        <v>3240</v>
      </c>
      <c r="W34" s="53">
        <v>2</v>
      </c>
      <c r="X34" s="53" t="s">
        <v>46</v>
      </c>
      <c r="Y34" s="53" t="s">
        <v>78</v>
      </c>
      <c r="Z34" s="53" t="s">
        <v>88</v>
      </c>
      <c r="AA34" s="53" t="s">
        <v>102</v>
      </c>
      <c r="AB34" s="53" t="s">
        <v>261</v>
      </c>
    </row>
    <row r="35" spans="1:28" x14ac:dyDescent="0.15">
      <c r="A35" s="53" t="s">
        <v>34</v>
      </c>
      <c r="B35" s="53" t="s">
        <v>257</v>
      </c>
      <c r="C35" s="53">
        <v>2019</v>
      </c>
      <c r="D35" s="138" t="s">
        <v>334</v>
      </c>
      <c r="E35" s="53" t="s">
        <v>339</v>
      </c>
      <c r="F35" s="53" t="s">
        <v>340</v>
      </c>
      <c r="G35" s="53" t="s">
        <v>36</v>
      </c>
      <c r="H35" s="53" t="s">
        <v>164</v>
      </c>
      <c r="I35" s="53" t="s">
        <v>159</v>
      </c>
      <c r="J35" s="53" t="s">
        <v>38</v>
      </c>
      <c r="K35" s="53" t="s">
        <v>161</v>
      </c>
      <c r="L35" s="53">
        <v>1</v>
      </c>
      <c r="N35" s="53">
        <v>4</v>
      </c>
      <c r="O35" s="53">
        <v>0.55000000000000004</v>
      </c>
      <c r="P35" s="53">
        <v>0.45</v>
      </c>
      <c r="Q35" s="75">
        <f t="shared" ref="Q35:Q36" si="3">IF(OR(O35="",P35=""),"",AVERAGE(O35,P35))</f>
        <v>0.5</v>
      </c>
      <c r="R35" s="53">
        <v>12.1</v>
      </c>
      <c r="S35" s="53">
        <v>100</v>
      </c>
      <c r="T35" s="16">
        <f t="shared" si="1"/>
        <v>33</v>
      </c>
      <c r="U35" s="53">
        <v>321</v>
      </c>
      <c r="V35" s="16">
        <f t="shared" si="2"/>
        <v>2648.25</v>
      </c>
      <c r="W35" s="53">
        <v>2</v>
      </c>
      <c r="X35" s="53" t="s">
        <v>46</v>
      </c>
      <c r="Y35" s="53" t="s">
        <v>78</v>
      </c>
      <c r="Z35" s="53" t="s">
        <v>88</v>
      </c>
      <c r="AA35" s="53" t="s">
        <v>102</v>
      </c>
      <c r="AB35" s="53" t="s">
        <v>261</v>
      </c>
    </row>
    <row r="36" spans="1:28" x14ac:dyDescent="0.15">
      <c r="A36" s="53" t="s">
        <v>34</v>
      </c>
      <c r="B36" s="53" t="s">
        <v>257</v>
      </c>
      <c r="C36" s="53">
        <v>2019</v>
      </c>
      <c r="D36" s="138" t="s">
        <v>334</v>
      </c>
      <c r="E36" s="53" t="s">
        <v>339</v>
      </c>
      <c r="F36" s="53" t="s">
        <v>340</v>
      </c>
      <c r="G36" s="53" t="s">
        <v>36</v>
      </c>
      <c r="H36" s="53" t="s">
        <v>164</v>
      </c>
      <c r="I36" s="53" t="s">
        <v>159</v>
      </c>
      <c r="J36" s="53" t="s">
        <v>38</v>
      </c>
      <c r="K36" s="53" t="s">
        <v>161</v>
      </c>
      <c r="L36" s="53">
        <v>2</v>
      </c>
      <c r="N36" s="53">
        <v>4</v>
      </c>
      <c r="O36" s="53">
        <v>0.65</v>
      </c>
      <c r="P36" s="53">
        <v>0.65</v>
      </c>
      <c r="Q36" s="75">
        <f t="shared" si="3"/>
        <v>0.65</v>
      </c>
      <c r="R36" s="53">
        <v>14</v>
      </c>
      <c r="S36" s="53">
        <v>95</v>
      </c>
      <c r="T36" s="16">
        <f t="shared" si="1"/>
        <v>36</v>
      </c>
      <c r="U36" s="53">
        <v>321</v>
      </c>
      <c r="V36" s="16">
        <f t="shared" si="2"/>
        <v>2889</v>
      </c>
      <c r="W36" s="53">
        <v>2</v>
      </c>
      <c r="X36" s="53" t="s">
        <v>46</v>
      </c>
      <c r="Y36" s="53" t="s">
        <v>78</v>
      </c>
      <c r="Z36" s="53" t="s">
        <v>88</v>
      </c>
      <c r="AA36" s="53" t="s">
        <v>102</v>
      </c>
      <c r="AB36" s="53" t="s">
        <v>261</v>
      </c>
    </row>
    <row r="37" spans="1:28" x14ac:dyDescent="0.15">
      <c r="A37" s="53" t="s">
        <v>34</v>
      </c>
      <c r="B37" s="53" t="s">
        <v>257</v>
      </c>
      <c r="C37" s="53">
        <v>2019</v>
      </c>
      <c r="D37" s="138" t="s">
        <v>334</v>
      </c>
      <c r="E37" s="53" t="s">
        <v>339</v>
      </c>
      <c r="F37" s="53" t="s">
        <v>340</v>
      </c>
      <c r="G37" s="53" t="s">
        <v>36</v>
      </c>
      <c r="H37" s="53" t="s">
        <v>164</v>
      </c>
      <c r="I37" s="53" t="s">
        <v>159</v>
      </c>
      <c r="J37" s="53" t="s">
        <v>38</v>
      </c>
      <c r="K37" s="53" t="s">
        <v>161</v>
      </c>
      <c r="L37" s="53">
        <v>3</v>
      </c>
      <c r="N37" s="53">
        <v>4</v>
      </c>
      <c r="O37" s="53">
        <v>0.65</v>
      </c>
      <c r="P37" s="53">
        <v>0.65</v>
      </c>
      <c r="Q37" s="75">
        <f>IF(OR(O37="",P37=""),"",AVERAGE(O37,P37))</f>
        <v>0.65</v>
      </c>
      <c r="R37" s="53">
        <v>13</v>
      </c>
      <c r="S37" s="53">
        <v>102</v>
      </c>
      <c r="T37" s="16">
        <f t="shared" si="1"/>
        <v>33</v>
      </c>
      <c r="U37" s="53">
        <v>321</v>
      </c>
      <c r="V37" s="16">
        <f t="shared" si="2"/>
        <v>2648.25</v>
      </c>
      <c r="W37" s="53">
        <v>2</v>
      </c>
      <c r="X37" s="53" t="s">
        <v>46</v>
      </c>
      <c r="Y37" s="53" t="s">
        <v>78</v>
      </c>
      <c r="Z37" s="53" t="s">
        <v>88</v>
      </c>
      <c r="AA37" s="53" t="s">
        <v>102</v>
      </c>
      <c r="AB37" s="53" t="s">
        <v>261</v>
      </c>
    </row>
    <row r="38" spans="1:28" x14ac:dyDescent="0.15">
      <c r="A38" s="53" t="s">
        <v>34</v>
      </c>
      <c r="B38" s="53" t="s">
        <v>257</v>
      </c>
      <c r="C38" s="53">
        <v>2019</v>
      </c>
      <c r="D38" s="138" t="s">
        <v>334</v>
      </c>
      <c r="E38" s="53" t="s">
        <v>339</v>
      </c>
      <c r="F38" s="53" t="s">
        <v>340</v>
      </c>
      <c r="G38" s="53" t="s">
        <v>36</v>
      </c>
      <c r="H38" s="53" t="s">
        <v>160</v>
      </c>
      <c r="I38" s="53" t="s">
        <v>159</v>
      </c>
      <c r="J38" s="53" t="s">
        <v>38</v>
      </c>
      <c r="K38" s="53" t="s">
        <v>161</v>
      </c>
      <c r="L38" s="53">
        <v>1</v>
      </c>
      <c r="N38" s="53">
        <v>1</v>
      </c>
      <c r="O38" s="53">
        <v>0.65</v>
      </c>
      <c r="P38" s="53">
        <v>0.55000000000000004</v>
      </c>
      <c r="Q38" s="75">
        <f t="shared" ref="Q38:Q39" si="4">IF(OR(O38="",P38=""),"",AVERAGE(O38,P38))</f>
        <v>0.60000000000000009</v>
      </c>
      <c r="R38" s="53">
        <v>17</v>
      </c>
      <c r="S38" s="53">
        <v>130</v>
      </c>
      <c r="T38" s="16">
        <f t="shared" si="1"/>
        <v>30</v>
      </c>
      <c r="U38" s="53">
        <v>108</v>
      </c>
      <c r="V38" s="16">
        <f t="shared" si="2"/>
        <v>3240</v>
      </c>
      <c r="W38" s="53">
        <v>3</v>
      </c>
      <c r="X38" s="53" t="s">
        <v>46</v>
      </c>
      <c r="Y38" s="53" t="s">
        <v>78</v>
      </c>
      <c r="Z38" s="53" t="s">
        <v>88</v>
      </c>
      <c r="AA38" s="53" t="s">
        <v>102</v>
      </c>
      <c r="AB38" s="53" t="s">
        <v>261</v>
      </c>
    </row>
    <row r="39" spans="1:28" x14ac:dyDescent="0.15">
      <c r="A39" s="53" t="s">
        <v>34</v>
      </c>
      <c r="B39" s="53" t="s">
        <v>257</v>
      </c>
      <c r="C39" s="53">
        <v>2019</v>
      </c>
      <c r="D39" s="138" t="s">
        <v>334</v>
      </c>
      <c r="E39" s="53" t="s">
        <v>339</v>
      </c>
      <c r="F39" s="53" t="s">
        <v>340</v>
      </c>
      <c r="G39" s="53" t="s">
        <v>36</v>
      </c>
      <c r="H39" s="53" t="s">
        <v>160</v>
      </c>
      <c r="I39" s="53" t="s">
        <v>159</v>
      </c>
      <c r="J39" s="53" t="s">
        <v>38</v>
      </c>
      <c r="K39" s="53" t="s">
        <v>161</v>
      </c>
      <c r="L39" s="53">
        <v>2</v>
      </c>
      <c r="N39" s="53">
        <v>1</v>
      </c>
      <c r="O39" s="53">
        <v>0.95</v>
      </c>
      <c r="P39" s="53">
        <v>0.95</v>
      </c>
      <c r="Q39" s="75">
        <f t="shared" si="4"/>
        <v>0.95</v>
      </c>
      <c r="R39" s="53">
        <v>12.8</v>
      </c>
      <c r="S39" s="53">
        <v>118</v>
      </c>
      <c r="T39" s="16">
        <f t="shared" si="1"/>
        <v>30</v>
      </c>
      <c r="U39" s="53">
        <v>108</v>
      </c>
      <c r="V39" s="16">
        <f t="shared" si="2"/>
        <v>3240</v>
      </c>
      <c r="W39" s="53">
        <v>3</v>
      </c>
      <c r="X39" s="53" t="s">
        <v>46</v>
      </c>
      <c r="Y39" s="53" t="s">
        <v>78</v>
      </c>
      <c r="Z39" s="53" t="s">
        <v>88</v>
      </c>
      <c r="AA39" s="53" t="s">
        <v>102</v>
      </c>
      <c r="AB39" s="53" t="s">
        <v>261</v>
      </c>
    </row>
    <row r="40" spans="1:28" x14ac:dyDescent="0.15">
      <c r="A40" s="53" t="s">
        <v>34</v>
      </c>
      <c r="B40" s="53" t="s">
        <v>257</v>
      </c>
      <c r="C40" s="53">
        <v>2019</v>
      </c>
      <c r="D40" s="138" t="s">
        <v>334</v>
      </c>
      <c r="E40" s="53" t="s">
        <v>339</v>
      </c>
      <c r="F40" s="53" t="s">
        <v>340</v>
      </c>
      <c r="G40" s="53" t="s">
        <v>36</v>
      </c>
      <c r="H40" s="53" t="s">
        <v>160</v>
      </c>
      <c r="I40" s="53" t="s">
        <v>159</v>
      </c>
      <c r="J40" s="53" t="s">
        <v>38</v>
      </c>
      <c r="K40" s="53" t="s">
        <v>161</v>
      </c>
      <c r="L40" s="53">
        <v>3</v>
      </c>
      <c r="N40" s="53">
        <v>1</v>
      </c>
      <c r="O40" s="53">
        <v>0.7</v>
      </c>
      <c r="P40" s="53">
        <v>0.75</v>
      </c>
      <c r="Q40" s="75">
        <f>IF(OR(O40="",P40=""),"",AVERAGE(O40,P40))</f>
        <v>0.72499999999999998</v>
      </c>
      <c r="R40" s="53">
        <v>13.2</v>
      </c>
      <c r="S40" s="53">
        <v>122</v>
      </c>
      <c r="T40" s="16">
        <f t="shared" si="1"/>
        <v>30</v>
      </c>
      <c r="U40" s="53">
        <v>108</v>
      </c>
      <c r="V40" s="16">
        <f t="shared" si="2"/>
        <v>3240</v>
      </c>
      <c r="W40" s="53">
        <v>3</v>
      </c>
      <c r="X40" s="53" t="s">
        <v>46</v>
      </c>
      <c r="Y40" s="53" t="s">
        <v>78</v>
      </c>
      <c r="Z40" s="53" t="s">
        <v>88</v>
      </c>
      <c r="AA40" s="53" t="s">
        <v>102</v>
      </c>
      <c r="AB40" s="53" t="s">
        <v>261</v>
      </c>
    </row>
    <row r="41" spans="1:28" x14ac:dyDescent="0.15">
      <c r="A41" s="53" t="s">
        <v>34</v>
      </c>
      <c r="B41" s="53" t="s">
        <v>257</v>
      </c>
      <c r="C41" s="53">
        <v>2019</v>
      </c>
      <c r="D41" s="138" t="s">
        <v>334</v>
      </c>
      <c r="E41" s="53" t="s">
        <v>339</v>
      </c>
      <c r="F41" s="53" t="s">
        <v>340</v>
      </c>
      <c r="G41" s="53" t="s">
        <v>36</v>
      </c>
      <c r="H41" s="53" t="s">
        <v>160</v>
      </c>
      <c r="I41" s="53" t="s">
        <v>159</v>
      </c>
      <c r="J41" s="53" t="s">
        <v>38</v>
      </c>
      <c r="K41" s="53" t="s">
        <v>161</v>
      </c>
      <c r="L41" s="53">
        <v>1</v>
      </c>
      <c r="N41" s="53">
        <v>4</v>
      </c>
      <c r="O41" s="53">
        <v>0.45</v>
      </c>
      <c r="P41" s="53">
        <v>0.45</v>
      </c>
      <c r="Q41" s="75">
        <f t="shared" si="0"/>
        <v>0.45</v>
      </c>
      <c r="R41" s="53">
        <v>16.8</v>
      </c>
      <c r="S41" s="53">
        <v>106</v>
      </c>
      <c r="T41" s="16">
        <f t="shared" si="1"/>
        <v>33</v>
      </c>
      <c r="U41" s="53">
        <v>429</v>
      </c>
      <c r="V41" s="16">
        <f t="shared" si="2"/>
        <v>3539.25</v>
      </c>
      <c r="W41" s="53">
        <v>3</v>
      </c>
      <c r="X41" s="53" t="s">
        <v>46</v>
      </c>
      <c r="Y41" s="53" t="s">
        <v>78</v>
      </c>
      <c r="Z41" s="53" t="s">
        <v>88</v>
      </c>
      <c r="AA41" s="53" t="s">
        <v>102</v>
      </c>
      <c r="AB41" s="53" t="s">
        <v>261</v>
      </c>
    </row>
    <row r="42" spans="1:28" x14ac:dyDescent="0.15">
      <c r="A42" s="53" t="s">
        <v>34</v>
      </c>
      <c r="B42" s="53" t="s">
        <v>257</v>
      </c>
      <c r="C42" s="53">
        <v>2019</v>
      </c>
      <c r="D42" s="138" t="s">
        <v>334</v>
      </c>
      <c r="E42" s="53" t="s">
        <v>339</v>
      </c>
      <c r="F42" s="53" t="s">
        <v>340</v>
      </c>
      <c r="G42" s="53" t="s">
        <v>36</v>
      </c>
      <c r="H42" s="53" t="s">
        <v>160</v>
      </c>
      <c r="I42" s="53" t="s">
        <v>159</v>
      </c>
      <c r="J42" s="53" t="s">
        <v>38</v>
      </c>
      <c r="K42" s="53" t="s">
        <v>161</v>
      </c>
      <c r="L42" s="53">
        <v>2</v>
      </c>
      <c r="N42" s="53">
        <v>4</v>
      </c>
      <c r="O42" s="53">
        <v>0.45</v>
      </c>
      <c r="P42" s="53">
        <v>0.2</v>
      </c>
      <c r="Q42" s="75">
        <f t="shared" si="0"/>
        <v>0.32500000000000001</v>
      </c>
      <c r="R42" s="53">
        <v>15.9</v>
      </c>
      <c r="S42" s="53">
        <v>112</v>
      </c>
      <c r="T42" s="16">
        <f t="shared" si="1"/>
        <v>33</v>
      </c>
      <c r="U42" s="53">
        <v>429</v>
      </c>
      <c r="V42" s="16">
        <f t="shared" si="2"/>
        <v>3539.25</v>
      </c>
      <c r="W42" s="53">
        <v>3</v>
      </c>
      <c r="X42" s="53" t="s">
        <v>46</v>
      </c>
      <c r="Y42" s="53" t="s">
        <v>78</v>
      </c>
      <c r="Z42" s="53" t="s">
        <v>88</v>
      </c>
      <c r="AA42" s="53" t="s">
        <v>102</v>
      </c>
      <c r="AB42" s="53" t="s">
        <v>261</v>
      </c>
    </row>
    <row r="43" spans="1:28" x14ac:dyDescent="0.15">
      <c r="A43" s="53" t="s">
        <v>34</v>
      </c>
      <c r="B43" s="53" t="s">
        <v>257</v>
      </c>
      <c r="C43" s="53">
        <v>2019</v>
      </c>
      <c r="D43" s="138" t="s">
        <v>334</v>
      </c>
      <c r="E43" s="53" t="s">
        <v>339</v>
      </c>
      <c r="F43" s="53" t="s">
        <v>340</v>
      </c>
      <c r="G43" s="53" t="s">
        <v>36</v>
      </c>
      <c r="H43" s="53" t="s">
        <v>160</v>
      </c>
      <c r="I43" s="53" t="s">
        <v>159</v>
      </c>
      <c r="J43" s="53" t="s">
        <v>38</v>
      </c>
      <c r="K43" s="53" t="s">
        <v>161</v>
      </c>
      <c r="L43" s="53">
        <v>3</v>
      </c>
      <c r="N43" s="53">
        <v>4</v>
      </c>
      <c r="O43" s="53">
        <v>0.5</v>
      </c>
      <c r="P43" s="53">
        <v>0.5</v>
      </c>
      <c r="Q43" s="75">
        <f t="shared" si="0"/>
        <v>0.5</v>
      </c>
      <c r="R43" s="53">
        <v>14.3</v>
      </c>
      <c r="S43" s="53">
        <v>112</v>
      </c>
      <c r="T43" s="16">
        <f t="shared" si="1"/>
        <v>33</v>
      </c>
      <c r="U43" s="53">
        <v>429</v>
      </c>
      <c r="V43" s="16">
        <f t="shared" si="2"/>
        <v>3539.25</v>
      </c>
      <c r="W43" s="53">
        <v>3</v>
      </c>
      <c r="X43" s="53" t="s">
        <v>46</v>
      </c>
      <c r="Y43" s="53" t="s">
        <v>78</v>
      </c>
      <c r="Z43" s="53" t="s">
        <v>88</v>
      </c>
      <c r="AA43" s="53" t="s">
        <v>102</v>
      </c>
      <c r="AB43" s="53" t="s">
        <v>261</v>
      </c>
    </row>
    <row r="44" spans="1:28" x14ac:dyDescent="0.15">
      <c r="A44" s="53" t="s">
        <v>34</v>
      </c>
      <c r="B44" s="53" t="s">
        <v>257</v>
      </c>
      <c r="C44" s="53">
        <v>2019</v>
      </c>
      <c r="D44" s="138" t="s">
        <v>334</v>
      </c>
      <c r="E44" s="53" t="s">
        <v>348</v>
      </c>
      <c r="F44" s="53" t="s">
        <v>349</v>
      </c>
      <c r="G44" s="53" t="s">
        <v>36</v>
      </c>
      <c r="H44" s="53" t="s">
        <v>164</v>
      </c>
      <c r="I44" s="53" t="s">
        <v>159</v>
      </c>
      <c r="J44" s="53" t="s">
        <v>38</v>
      </c>
      <c r="K44" s="53" t="s">
        <v>161</v>
      </c>
      <c r="L44" s="53">
        <v>1</v>
      </c>
      <c r="N44" s="53">
        <v>1</v>
      </c>
      <c r="O44" s="53">
        <v>0.8</v>
      </c>
      <c r="P44" s="53">
        <v>0.8</v>
      </c>
      <c r="Q44" s="75">
        <f t="shared" si="0"/>
        <v>0.8</v>
      </c>
      <c r="R44" s="53">
        <v>16.7</v>
      </c>
      <c r="S44" s="53">
        <v>114</v>
      </c>
      <c r="T44" s="16">
        <f t="shared" si="1"/>
        <v>30</v>
      </c>
      <c r="U44" s="53">
        <v>95</v>
      </c>
      <c r="V44" s="16">
        <f t="shared" si="2"/>
        <v>2850</v>
      </c>
      <c r="W44" s="53">
        <v>6</v>
      </c>
      <c r="X44" s="53" t="s">
        <v>46</v>
      </c>
      <c r="Y44" s="53" t="s">
        <v>88</v>
      </c>
      <c r="Z44" s="53" t="s">
        <v>102</v>
      </c>
      <c r="AA44" s="53" t="s">
        <v>78</v>
      </c>
      <c r="AB44" s="53" t="s">
        <v>261</v>
      </c>
    </row>
    <row r="45" spans="1:28" x14ac:dyDescent="0.15">
      <c r="A45" s="53" t="s">
        <v>34</v>
      </c>
      <c r="B45" s="53" t="s">
        <v>257</v>
      </c>
      <c r="C45" s="53">
        <v>2019</v>
      </c>
      <c r="D45" s="138" t="s">
        <v>334</v>
      </c>
      <c r="E45" s="53" t="s">
        <v>348</v>
      </c>
      <c r="F45" s="53" t="s">
        <v>349</v>
      </c>
      <c r="G45" s="53" t="s">
        <v>36</v>
      </c>
      <c r="H45" s="53" t="s">
        <v>164</v>
      </c>
      <c r="I45" s="53" t="s">
        <v>159</v>
      </c>
      <c r="J45" s="53" t="s">
        <v>38</v>
      </c>
      <c r="K45" s="53" t="s">
        <v>161</v>
      </c>
      <c r="L45" s="53">
        <v>2</v>
      </c>
      <c r="N45" s="53">
        <v>1</v>
      </c>
      <c r="O45" s="53">
        <v>0.6</v>
      </c>
      <c r="P45" s="53">
        <v>0.65</v>
      </c>
      <c r="Q45" s="75">
        <f t="shared" si="0"/>
        <v>0.625</v>
      </c>
      <c r="R45" s="53">
        <v>12.1</v>
      </c>
      <c r="S45" s="53">
        <v>118</v>
      </c>
      <c r="T45" s="16">
        <f t="shared" si="1"/>
        <v>30</v>
      </c>
      <c r="U45" s="53">
        <v>95</v>
      </c>
      <c r="V45" s="16">
        <f t="shared" si="2"/>
        <v>2850</v>
      </c>
      <c r="W45" s="53">
        <v>6</v>
      </c>
      <c r="X45" s="53" t="s">
        <v>46</v>
      </c>
      <c r="Y45" s="53" t="s">
        <v>88</v>
      </c>
      <c r="Z45" s="53" t="s">
        <v>102</v>
      </c>
      <c r="AA45" s="53" t="s">
        <v>78</v>
      </c>
      <c r="AB45" s="53" t="s">
        <v>261</v>
      </c>
    </row>
    <row r="46" spans="1:28" x14ac:dyDescent="0.15">
      <c r="A46" s="53" t="s">
        <v>34</v>
      </c>
      <c r="B46" s="53" t="s">
        <v>257</v>
      </c>
      <c r="C46" s="53">
        <v>2019</v>
      </c>
      <c r="D46" s="138" t="s">
        <v>334</v>
      </c>
      <c r="E46" s="53" t="s">
        <v>348</v>
      </c>
      <c r="F46" s="53" t="s">
        <v>349</v>
      </c>
      <c r="G46" s="53" t="s">
        <v>36</v>
      </c>
      <c r="H46" s="53" t="s">
        <v>164</v>
      </c>
      <c r="I46" s="53" t="s">
        <v>159</v>
      </c>
      <c r="J46" s="53" t="s">
        <v>38</v>
      </c>
      <c r="K46" s="53" t="s">
        <v>161</v>
      </c>
      <c r="L46" s="53">
        <v>3</v>
      </c>
      <c r="N46" s="53">
        <v>1</v>
      </c>
      <c r="O46" s="53">
        <v>0.5</v>
      </c>
      <c r="P46" s="53">
        <v>0.2</v>
      </c>
      <c r="Q46" s="75">
        <f t="shared" si="0"/>
        <v>0.35</v>
      </c>
      <c r="R46" s="53">
        <v>13.1</v>
      </c>
      <c r="S46" s="53">
        <v>122</v>
      </c>
      <c r="T46" s="16">
        <f t="shared" si="1"/>
        <v>30</v>
      </c>
      <c r="U46" s="53">
        <v>95</v>
      </c>
      <c r="V46" s="16">
        <f t="shared" si="2"/>
        <v>2850</v>
      </c>
      <c r="W46" s="53">
        <v>6</v>
      </c>
      <c r="X46" s="53" t="s">
        <v>46</v>
      </c>
      <c r="Y46" s="53" t="s">
        <v>88</v>
      </c>
      <c r="Z46" s="53" t="s">
        <v>102</v>
      </c>
      <c r="AA46" s="53" t="s">
        <v>78</v>
      </c>
      <c r="AB46" s="53" t="s">
        <v>261</v>
      </c>
    </row>
    <row r="47" spans="1:28" x14ac:dyDescent="0.15">
      <c r="A47" s="53" t="s">
        <v>34</v>
      </c>
      <c r="B47" s="53" t="s">
        <v>257</v>
      </c>
      <c r="C47" s="53">
        <v>2019</v>
      </c>
      <c r="D47" s="138" t="s">
        <v>334</v>
      </c>
      <c r="E47" s="53" t="s">
        <v>348</v>
      </c>
      <c r="F47" s="53" t="s">
        <v>349</v>
      </c>
      <c r="G47" s="53" t="s">
        <v>36</v>
      </c>
      <c r="H47" s="53" t="s">
        <v>164</v>
      </c>
      <c r="I47" s="53" t="s">
        <v>159</v>
      </c>
      <c r="J47" s="53" t="s">
        <v>38</v>
      </c>
      <c r="K47" s="53" t="s">
        <v>161</v>
      </c>
      <c r="L47" s="53">
        <v>1</v>
      </c>
      <c r="N47" s="53">
        <v>9</v>
      </c>
      <c r="O47" s="53">
        <v>0.6</v>
      </c>
      <c r="P47" s="53">
        <v>0.65</v>
      </c>
      <c r="Q47" s="75">
        <f t="shared" si="0"/>
        <v>0.625</v>
      </c>
      <c r="R47" s="53">
        <v>16.2</v>
      </c>
      <c r="S47" s="53">
        <v>98</v>
      </c>
      <c r="T47" s="16">
        <f t="shared" si="1"/>
        <v>36</v>
      </c>
      <c r="U47" s="53">
        <v>950</v>
      </c>
      <c r="V47" s="16">
        <f t="shared" si="2"/>
        <v>3800</v>
      </c>
      <c r="W47" s="53">
        <v>6</v>
      </c>
      <c r="X47" s="53" t="s">
        <v>46</v>
      </c>
      <c r="Y47" s="53" t="s">
        <v>88</v>
      </c>
      <c r="Z47" s="53" t="s">
        <v>102</v>
      </c>
      <c r="AA47" s="53" t="s">
        <v>78</v>
      </c>
      <c r="AB47" s="53" t="s">
        <v>261</v>
      </c>
    </row>
    <row r="48" spans="1:28" x14ac:dyDescent="0.15">
      <c r="A48" s="53" t="s">
        <v>34</v>
      </c>
      <c r="B48" s="53" t="s">
        <v>257</v>
      </c>
      <c r="C48" s="53">
        <v>2019</v>
      </c>
      <c r="D48" s="138" t="s">
        <v>334</v>
      </c>
      <c r="E48" s="53" t="s">
        <v>348</v>
      </c>
      <c r="F48" s="53" t="s">
        <v>349</v>
      </c>
      <c r="G48" s="53" t="s">
        <v>36</v>
      </c>
      <c r="H48" s="53" t="s">
        <v>164</v>
      </c>
      <c r="I48" s="53" t="s">
        <v>159</v>
      </c>
      <c r="J48" s="53" t="s">
        <v>38</v>
      </c>
      <c r="K48" s="53" t="s">
        <v>161</v>
      </c>
      <c r="L48" s="53">
        <v>2</v>
      </c>
      <c r="N48" s="53">
        <v>9</v>
      </c>
      <c r="O48" s="53">
        <v>0.45</v>
      </c>
      <c r="P48" s="53">
        <v>0.45</v>
      </c>
      <c r="Q48" s="75">
        <f t="shared" si="0"/>
        <v>0.45</v>
      </c>
      <c r="R48" s="53">
        <v>16.899999999999999</v>
      </c>
      <c r="S48" s="53">
        <v>104</v>
      </c>
      <c r="T48" s="16">
        <f t="shared" si="1"/>
        <v>33</v>
      </c>
      <c r="U48" s="53">
        <v>950</v>
      </c>
      <c r="V48" s="16">
        <f t="shared" si="2"/>
        <v>3483.3333333333335</v>
      </c>
      <c r="W48" s="53">
        <v>6</v>
      </c>
      <c r="X48" s="53" t="s">
        <v>46</v>
      </c>
      <c r="Y48" s="53" t="s">
        <v>88</v>
      </c>
      <c r="Z48" s="53" t="s">
        <v>102</v>
      </c>
      <c r="AA48" s="53" t="s">
        <v>78</v>
      </c>
      <c r="AB48" s="53" t="s">
        <v>261</v>
      </c>
    </row>
    <row r="49" spans="1:28" x14ac:dyDescent="0.15">
      <c r="A49" s="53" t="s">
        <v>34</v>
      </c>
      <c r="B49" s="53" t="s">
        <v>257</v>
      </c>
      <c r="C49" s="53">
        <v>2019</v>
      </c>
      <c r="D49" s="138" t="s">
        <v>334</v>
      </c>
      <c r="E49" s="53" t="s">
        <v>348</v>
      </c>
      <c r="F49" s="53" t="s">
        <v>349</v>
      </c>
      <c r="G49" s="53" t="s">
        <v>36</v>
      </c>
      <c r="H49" s="53" t="s">
        <v>164</v>
      </c>
      <c r="I49" s="53" t="s">
        <v>159</v>
      </c>
      <c r="J49" s="53" t="s">
        <v>38</v>
      </c>
      <c r="K49" s="53" t="s">
        <v>161</v>
      </c>
      <c r="L49" s="53">
        <v>3</v>
      </c>
      <c r="N49" s="53">
        <v>9</v>
      </c>
      <c r="O49" s="53">
        <v>0.55000000000000004</v>
      </c>
      <c r="P49" s="53">
        <v>0.55000000000000004</v>
      </c>
      <c r="Q49" s="75">
        <f t="shared" si="0"/>
        <v>0.55000000000000004</v>
      </c>
      <c r="R49" s="53">
        <v>16.8</v>
      </c>
      <c r="S49" s="53">
        <v>104</v>
      </c>
      <c r="T49" s="16">
        <f t="shared" si="1"/>
        <v>33</v>
      </c>
      <c r="U49" s="53">
        <v>950</v>
      </c>
      <c r="V49" s="16">
        <f t="shared" si="2"/>
        <v>3483.3333333333335</v>
      </c>
      <c r="W49" s="53">
        <v>6</v>
      </c>
      <c r="X49" s="53" t="s">
        <v>46</v>
      </c>
      <c r="Y49" s="53" t="s">
        <v>88</v>
      </c>
      <c r="Z49" s="53" t="s">
        <v>102</v>
      </c>
      <c r="AA49" s="53" t="s">
        <v>78</v>
      </c>
      <c r="AB49" s="53" t="s">
        <v>261</v>
      </c>
    </row>
    <row r="50" spans="1:28" x14ac:dyDescent="0.15">
      <c r="A50" s="53" t="s">
        <v>34</v>
      </c>
      <c r="B50" s="53" t="s">
        <v>257</v>
      </c>
      <c r="C50" s="53">
        <v>2019</v>
      </c>
      <c r="D50" s="138" t="s">
        <v>334</v>
      </c>
      <c r="E50" s="53" t="s">
        <v>348</v>
      </c>
      <c r="F50" s="53" t="s">
        <v>349</v>
      </c>
      <c r="G50" s="53" t="s">
        <v>36</v>
      </c>
      <c r="H50" s="53" t="s">
        <v>164</v>
      </c>
      <c r="I50" s="53" t="s">
        <v>159</v>
      </c>
      <c r="J50" s="53" t="s">
        <v>38</v>
      </c>
      <c r="K50" s="53" t="s">
        <v>161</v>
      </c>
      <c r="L50" s="53">
        <v>1</v>
      </c>
      <c r="N50" s="53">
        <v>8</v>
      </c>
      <c r="O50" s="53">
        <v>0.45</v>
      </c>
      <c r="P50" s="53">
        <v>0.5</v>
      </c>
      <c r="Q50" s="75">
        <f t="shared" si="0"/>
        <v>0.47499999999999998</v>
      </c>
      <c r="R50" s="53">
        <v>17.2</v>
      </c>
      <c r="S50" s="53">
        <v>91</v>
      </c>
      <c r="T50" s="16">
        <f t="shared" si="1"/>
        <v>36</v>
      </c>
      <c r="U50" s="53">
        <v>646</v>
      </c>
      <c r="V50" s="16">
        <f t="shared" si="2"/>
        <v>2907</v>
      </c>
      <c r="W50" s="53">
        <v>6</v>
      </c>
      <c r="X50" s="53" t="s">
        <v>46</v>
      </c>
      <c r="Y50" s="53" t="s">
        <v>88</v>
      </c>
      <c r="Z50" s="53" t="s">
        <v>102</v>
      </c>
      <c r="AA50" s="53" t="s">
        <v>78</v>
      </c>
      <c r="AB50" s="53" t="s">
        <v>261</v>
      </c>
    </row>
    <row r="51" spans="1:28" x14ac:dyDescent="0.15">
      <c r="A51" s="53" t="s">
        <v>34</v>
      </c>
      <c r="B51" s="53" t="s">
        <v>257</v>
      </c>
      <c r="C51" s="53">
        <v>2019</v>
      </c>
      <c r="D51" s="138" t="s">
        <v>334</v>
      </c>
      <c r="E51" s="53" t="s">
        <v>348</v>
      </c>
      <c r="F51" s="53" t="s">
        <v>349</v>
      </c>
      <c r="G51" s="53" t="s">
        <v>36</v>
      </c>
      <c r="H51" s="53" t="s">
        <v>164</v>
      </c>
      <c r="I51" s="53" t="s">
        <v>159</v>
      </c>
      <c r="J51" s="53" t="s">
        <v>38</v>
      </c>
      <c r="K51" s="53" t="s">
        <v>161</v>
      </c>
      <c r="L51" s="53">
        <v>2</v>
      </c>
      <c r="N51" s="53">
        <v>8</v>
      </c>
      <c r="O51" s="53">
        <v>0.65</v>
      </c>
      <c r="P51" s="53">
        <v>0.55000000000000004</v>
      </c>
      <c r="Q51" s="75">
        <f t="shared" si="0"/>
        <v>0.60000000000000009</v>
      </c>
      <c r="R51" s="53">
        <v>17.100000000000001</v>
      </c>
      <c r="S51" s="53">
        <v>93</v>
      </c>
      <c r="T51" s="16">
        <f t="shared" si="1"/>
        <v>36</v>
      </c>
      <c r="U51" s="53">
        <v>646</v>
      </c>
      <c r="V51" s="16">
        <f t="shared" si="2"/>
        <v>2907</v>
      </c>
      <c r="W51" s="53">
        <v>6</v>
      </c>
      <c r="X51" s="53" t="s">
        <v>46</v>
      </c>
      <c r="Y51" s="53" t="s">
        <v>88</v>
      </c>
      <c r="Z51" s="53" t="s">
        <v>102</v>
      </c>
      <c r="AA51" s="53" t="s">
        <v>78</v>
      </c>
      <c r="AB51" s="53" t="s">
        <v>261</v>
      </c>
    </row>
    <row r="52" spans="1:28" x14ac:dyDescent="0.15">
      <c r="A52" s="53" t="s">
        <v>34</v>
      </c>
      <c r="B52" s="53" t="s">
        <v>257</v>
      </c>
      <c r="C52" s="53">
        <v>2019</v>
      </c>
      <c r="D52" s="138" t="s">
        <v>334</v>
      </c>
      <c r="E52" s="53" t="s">
        <v>348</v>
      </c>
      <c r="F52" s="53" t="s">
        <v>349</v>
      </c>
      <c r="G52" s="53" t="s">
        <v>36</v>
      </c>
      <c r="H52" s="53" t="s">
        <v>164</v>
      </c>
      <c r="I52" s="53" t="s">
        <v>159</v>
      </c>
      <c r="J52" s="53" t="s">
        <v>38</v>
      </c>
      <c r="K52" s="53" t="s">
        <v>161</v>
      </c>
      <c r="L52" s="53">
        <v>3</v>
      </c>
      <c r="N52" s="53">
        <v>8</v>
      </c>
      <c r="O52" s="53">
        <v>0.75</v>
      </c>
      <c r="P52" s="53">
        <v>0.65</v>
      </c>
      <c r="Q52" s="75">
        <f t="shared" si="0"/>
        <v>0.7</v>
      </c>
      <c r="R52" s="53">
        <v>15.8</v>
      </c>
      <c r="S52" s="53">
        <v>94</v>
      </c>
      <c r="T52" s="16">
        <f t="shared" si="1"/>
        <v>36</v>
      </c>
      <c r="U52" s="53">
        <v>646</v>
      </c>
      <c r="V52" s="16">
        <f t="shared" si="2"/>
        <v>2907</v>
      </c>
      <c r="W52" s="53">
        <v>6</v>
      </c>
      <c r="X52" s="53" t="s">
        <v>46</v>
      </c>
      <c r="Y52" s="53" t="s">
        <v>88</v>
      </c>
      <c r="Z52" s="53" t="s">
        <v>102</v>
      </c>
      <c r="AA52" s="53" t="s">
        <v>78</v>
      </c>
      <c r="AB52" s="53" t="s">
        <v>261</v>
      </c>
    </row>
    <row r="53" spans="1:28" x14ac:dyDescent="0.15">
      <c r="A53" s="53" t="s">
        <v>34</v>
      </c>
      <c r="B53" s="53" t="s">
        <v>257</v>
      </c>
      <c r="C53" s="53">
        <v>2019</v>
      </c>
      <c r="D53" s="138" t="s">
        <v>334</v>
      </c>
      <c r="E53" s="53" t="s">
        <v>348</v>
      </c>
      <c r="F53" s="53" t="s">
        <v>349</v>
      </c>
      <c r="G53" s="53" t="s">
        <v>36</v>
      </c>
      <c r="H53" s="53" t="s">
        <v>164</v>
      </c>
      <c r="I53" s="53" t="s">
        <v>198</v>
      </c>
      <c r="J53" s="53" t="s">
        <v>38</v>
      </c>
      <c r="K53" s="53" t="s">
        <v>161</v>
      </c>
      <c r="L53" s="53">
        <v>1</v>
      </c>
      <c r="N53" s="53">
        <v>4</v>
      </c>
      <c r="O53" s="53">
        <v>0.2</v>
      </c>
      <c r="P53" s="53">
        <v>0.2</v>
      </c>
      <c r="Q53" s="75">
        <f t="shared" si="0"/>
        <v>0.2</v>
      </c>
      <c r="R53" s="53">
        <v>15.4</v>
      </c>
      <c r="S53" s="53">
        <v>104</v>
      </c>
      <c r="T53" s="16">
        <f t="shared" si="1"/>
        <v>33</v>
      </c>
      <c r="U53" s="53">
        <v>429</v>
      </c>
      <c r="V53" s="16">
        <f t="shared" si="2"/>
        <v>3539.25</v>
      </c>
      <c r="W53" s="53">
        <v>6</v>
      </c>
      <c r="X53" s="53" t="s">
        <v>46</v>
      </c>
      <c r="Y53" s="53" t="s">
        <v>88</v>
      </c>
      <c r="Z53" s="53" t="s">
        <v>102</v>
      </c>
      <c r="AA53" s="53" t="s">
        <v>78</v>
      </c>
      <c r="AB53" s="53" t="s">
        <v>261</v>
      </c>
    </row>
    <row r="54" spans="1:28" x14ac:dyDescent="0.15">
      <c r="A54" s="53" t="s">
        <v>34</v>
      </c>
      <c r="B54" s="53" t="s">
        <v>257</v>
      </c>
      <c r="C54" s="53">
        <v>2019</v>
      </c>
      <c r="D54" s="138" t="s">
        <v>334</v>
      </c>
      <c r="E54" s="53" t="s">
        <v>348</v>
      </c>
      <c r="F54" s="53" t="s">
        <v>349</v>
      </c>
      <c r="G54" s="53" t="s">
        <v>36</v>
      </c>
      <c r="H54" s="53" t="s">
        <v>164</v>
      </c>
      <c r="I54" s="53" t="s">
        <v>198</v>
      </c>
      <c r="J54" s="53" t="s">
        <v>38</v>
      </c>
      <c r="K54" s="53" t="s">
        <v>161</v>
      </c>
      <c r="L54" s="53">
        <v>2</v>
      </c>
      <c r="N54" s="53">
        <v>4</v>
      </c>
      <c r="O54" s="53">
        <v>0.5</v>
      </c>
      <c r="P54" s="53">
        <v>0.55000000000000004</v>
      </c>
      <c r="Q54" s="75">
        <f t="shared" si="0"/>
        <v>0.52500000000000002</v>
      </c>
      <c r="R54" s="53">
        <v>12.5</v>
      </c>
      <c r="S54" s="53">
        <v>104</v>
      </c>
      <c r="T54" s="16">
        <f t="shared" si="1"/>
        <v>33</v>
      </c>
      <c r="U54" s="53">
        <v>429</v>
      </c>
      <c r="V54" s="16">
        <f t="shared" si="2"/>
        <v>3539.25</v>
      </c>
      <c r="W54" s="53">
        <v>6</v>
      </c>
      <c r="X54" s="53" t="s">
        <v>46</v>
      </c>
      <c r="Y54" s="53" t="s">
        <v>88</v>
      </c>
      <c r="Z54" s="53" t="s">
        <v>102</v>
      </c>
      <c r="AA54" s="53" t="s">
        <v>78</v>
      </c>
      <c r="AB54" s="53" t="s">
        <v>261</v>
      </c>
    </row>
    <row r="55" spans="1:28" x14ac:dyDescent="0.15">
      <c r="A55" s="53" t="s">
        <v>34</v>
      </c>
      <c r="B55" s="53" t="s">
        <v>257</v>
      </c>
      <c r="C55" s="53">
        <v>2019</v>
      </c>
      <c r="D55" s="138" t="s">
        <v>334</v>
      </c>
      <c r="E55" s="53" t="s">
        <v>348</v>
      </c>
      <c r="F55" s="53" t="s">
        <v>349</v>
      </c>
      <c r="G55" s="53" t="s">
        <v>36</v>
      </c>
      <c r="H55" s="53" t="s">
        <v>164</v>
      </c>
      <c r="I55" s="53" t="s">
        <v>198</v>
      </c>
      <c r="J55" s="53" t="s">
        <v>38</v>
      </c>
      <c r="K55" s="53" t="s">
        <v>161</v>
      </c>
      <c r="L55" s="53">
        <v>3</v>
      </c>
      <c r="N55" s="53">
        <v>4</v>
      </c>
      <c r="O55" s="53">
        <v>0.2</v>
      </c>
      <c r="P55" s="53">
        <v>0.45</v>
      </c>
      <c r="Q55" s="75">
        <f t="shared" si="0"/>
        <v>0.32500000000000001</v>
      </c>
      <c r="R55" s="53">
        <v>14.9</v>
      </c>
      <c r="S55" s="53">
        <v>102</v>
      </c>
      <c r="T55" s="16">
        <f t="shared" si="1"/>
        <v>33</v>
      </c>
      <c r="U55" s="53">
        <v>429</v>
      </c>
      <c r="V55" s="16">
        <f t="shared" si="2"/>
        <v>3539.25</v>
      </c>
      <c r="W55" s="53">
        <v>6</v>
      </c>
      <c r="X55" s="53" t="s">
        <v>46</v>
      </c>
      <c r="Y55" s="53" t="s">
        <v>88</v>
      </c>
      <c r="Z55" s="53" t="s">
        <v>102</v>
      </c>
      <c r="AA55" s="53" t="s">
        <v>78</v>
      </c>
      <c r="AB55" s="53" t="s">
        <v>261</v>
      </c>
    </row>
    <row r="56" spans="1:28" x14ac:dyDescent="0.15">
      <c r="A56" s="53" t="s">
        <v>34</v>
      </c>
      <c r="B56" s="53" t="s">
        <v>257</v>
      </c>
      <c r="C56" s="53">
        <v>2019</v>
      </c>
      <c r="D56" s="138" t="s">
        <v>334</v>
      </c>
      <c r="E56" s="53" t="s">
        <v>348</v>
      </c>
      <c r="F56" s="53" t="s">
        <v>349</v>
      </c>
      <c r="G56" s="53" t="s">
        <v>36</v>
      </c>
      <c r="H56" s="53" t="s">
        <v>160</v>
      </c>
      <c r="I56" s="53" t="s">
        <v>159</v>
      </c>
      <c r="J56" s="53" t="s">
        <v>38</v>
      </c>
      <c r="K56" s="53" t="s">
        <v>161</v>
      </c>
      <c r="L56" s="53">
        <v>1</v>
      </c>
      <c r="N56" s="53">
        <v>1</v>
      </c>
      <c r="O56" s="53">
        <v>0.55000000000000004</v>
      </c>
      <c r="P56" s="53">
        <v>0.55000000000000004</v>
      </c>
      <c r="Q56" s="75">
        <f t="shared" si="0"/>
        <v>0.55000000000000004</v>
      </c>
      <c r="R56" s="53">
        <v>15.5</v>
      </c>
      <c r="S56" s="53">
        <v>128</v>
      </c>
      <c r="T56" s="16">
        <f t="shared" si="1"/>
        <v>30</v>
      </c>
      <c r="U56" s="53">
        <v>106</v>
      </c>
      <c r="V56" s="16">
        <f t="shared" si="2"/>
        <v>3180</v>
      </c>
      <c r="W56" s="53">
        <v>5</v>
      </c>
      <c r="X56" s="53" t="s">
        <v>46</v>
      </c>
      <c r="Y56" s="53" t="s">
        <v>88</v>
      </c>
      <c r="Z56" s="53" t="s">
        <v>102</v>
      </c>
      <c r="AA56" s="53" t="s">
        <v>78</v>
      </c>
      <c r="AB56" s="53" t="s">
        <v>261</v>
      </c>
    </row>
    <row r="57" spans="1:28" x14ac:dyDescent="0.15">
      <c r="A57" s="53" t="s">
        <v>34</v>
      </c>
      <c r="B57" s="53" t="s">
        <v>257</v>
      </c>
      <c r="C57" s="53">
        <v>2019</v>
      </c>
      <c r="D57" s="138" t="s">
        <v>334</v>
      </c>
      <c r="E57" s="53" t="s">
        <v>348</v>
      </c>
      <c r="F57" s="53" t="s">
        <v>349</v>
      </c>
      <c r="G57" s="53" t="s">
        <v>36</v>
      </c>
      <c r="H57" s="53" t="s">
        <v>160</v>
      </c>
      <c r="I57" s="53" t="s">
        <v>159</v>
      </c>
      <c r="J57" s="53" t="s">
        <v>38</v>
      </c>
      <c r="K57" s="53" t="s">
        <v>161</v>
      </c>
      <c r="L57" s="53">
        <v>2</v>
      </c>
      <c r="N57" s="53">
        <v>1</v>
      </c>
      <c r="O57" s="53">
        <v>0.5</v>
      </c>
      <c r="P57" s="53">
        <v>0.6</v>
      </c>
      <c r="Q57" s="75">
        <f t="shared" si="0"/>
        <v>0.55000000000000004</v>
      </c>
      <c r="R57" s="53">
        <v>15.4</v>
      </c>
      <c r="S57" s="53">
        <v>126</v>
      </c>
      <c r="T57" s="16">
        <f t="shared" si="1"/>
        <v>30</v>
      </c>
      <c r="U57" s="53">
        <v>106</v>
      </c>
      <c r="V57" s="16">
        <f t="shared" si="2"/>
        <v>3180</v>
      </c>
      <c r="W57" s="53">
        <v>5</v>
      </c>
      <c r="X57" s="53" t="s">
        <v>46</v>
      </c>
      <c r="Y57" s="53" t="s">
        <v>88</v>
      </c>
      <c r="Z57" s="53" t="s">
        <v>102</v>
      </c>
      <c r="AA57" s="53" t="s">
        <v>78</v>
      </c>
      <c r="AB57" s="53" t="s">
        <v>261</v>
      </c>
    </row>
    <row r="58" spans="1:28" x14ac:dyDescent="0.15">
      <c r="A58" s="53" t="s">
        <v>34</v>
      </c>
      <c r="B58" s="53" t="s">
        <v>257</v>
      </c>
      <c r="C58" s="53">
        <v>2019</v>
      </c>
      <c r="D58" s="138" t="s">
        <v>334</v>
      </c>
      <c r="E58" s="53" t="s">
        <v>348</v>
      </c>
      <c r="F58" s="53" t="s">
        <v>349</v>
      </c>
      <c r="G58" s="53" t="s">
        <v>36</v>
      </c>
      <c r="H58" s="53" t="s">
        <v>160</v>
      </c>
      <c r="I58" s="53" t="s">
        <v>159</v>
      </c>
      <c r="J58" s="53" t="s">
        <v>38</v>
      </c>
      <c r="K58" s="53" t="s">
        <v>161</v>
      </c>
      <c r="L58" s="53">
        <v>3</v>
      </c>
      <c r="N58" s="53">
        <v>1</v>
      </c>
      <c r="O58" s="53">
        <v>0.7</v>
      </c>
      <c r="P58" s="53">
        <v>0.75</v>
      </c>
      <c r="Q58" s="75">
        <f t="shared" si="0"/>
        <v>0.72499999999999998</v>
      </c>
      <c r="R58" s="53">
        <v>14.2</v>
      </c>
      <c r="S58" s="53">
        <v>120</v>
      </c>
      <c r="T58" s="16">
        <f t="shared" si="1"/>
        <v>30</v>
      </c>
      <c r="U58" s="53">
        <v>106</v>
      </c>
      <c r="V58" s="16">
        <f t="shared" si="2"/>
        <v>3180</v>
      </c>
      <c r="W58" s="53">
        <v>5</v>
      </c>
      <c r="X58" s="53" t="s">
        <v>46</v>
      </c>
      <c r="Y58" s="53" t="s">
        <v>88</v>
      </c>
      <c r="Z58" s="53" t="s">
        <v>102</v>
      </c>
      <c r="AA58" s="53" t="s">
        <v>78</v>
      </c>
      <c r="AB58" s="53" t="s">
        <v>261</v>
      </c>
    </row>
    <row r="59" spans="1:28" x14ac:dyDescent="0.15">
      <c r="A59" s="53" t="s">
        <v>34</v>
      </c>
      <c r="B59" s="53" t="s">
        <v>257</v>
      </c>
      <c r="C59" s="53">
        <v>2019</v>
      </c>
      <c r="D59" s="138" t="s">
        <v>334</v>
      </c>
      <c r="E59" s="53" t="s">
        <v>348</v>
      </c>
      <c r="F59" s="53" t="s">
        <v>349</v>
      </c>
      <c r="G59" s="53" t="s">
        <v>36</v>
      </c>
      <c r="H59" s="53" t="s">
        <v>160</v>
      </c>
      <c r="I59" s="53" t="s">
        <v>159</v>
      </c>
      <c r="J59" s="53" t="s">
        <v>38</v>
      </c>
      <c r="K59" s="53" t="s">
        <v>161</v>
      </c>
      <c r="L59" s="53">
        <v>1</v>
      </c>
      <c r="N59" s="53">
        <v>8</v>
      </c>
      <c r="O59" s="53">
        <v>0.6</v>
      </c>
      <c r="P59" s="53">
        <v>0.45</v>
      </c>
      <c r="Q59" s="75">
        <f t="shared" si="0"/>
        <v>0.52500000000000002</v>
      </c>
      <c r="R59" s="53">
        <v>18.5</v>
      </c>
      <c r="S59" s="53">
        <v>106</v>
      </c>
      <c r="T59" s="16">
        <f t="shared" si="1"/>
        <v>33</v>
      </c>
      <c r="U59" s="53">
        <v>810</v>
      </c>
      <c r="V59" s="16">
        <f t="shared" si="2"/>
        <v>3341.25</v>
      </c>
      <c r="W59" s="53">
        <v>5</v>
      </c>
      <c r="X59" s="53" t="s">
        <v>46</v>
      </c>
      <c r="Y59" s="53" t="s">
        <v>88</v>
      </c>
      <c r="Z59" s="53" t="s">
        <v>102</v>
      </c>
      <c r="AA59" s="53" t="s">
        <v>78</v>
      </c>
      <c r="AB59" s="53" t="s">
        <v>261</v>
      </c>
    </row>
    <row r="60" spans="1:28" x14ac:dyDescent="0.15">
      <c r="A60" s="53" t="s">
        <v>34</v>
      </c>
      <c r="B60" s="53" t="s">
        <v>257</v>
      </c>
      <c r="C60" s="53">
        <v>2019</v>
      </c>
      <c r="D60" s="138" t="s">
        <v>334</v>
      </c>
      <c r="E60" s="53" t="s">
        <v>348</v>
      </c>
      <c r="F60" s="53" t="s">
        <v>349</v>
      </c>
      <c r="G60" s="53" t="s">
        <v>36</v>
      </c>
      <c r="H60" s="53" t="s">
        <v>160</v>
      </c>
      <c r="I60" s="53" t="s">
        <v>159</v>
      </c>
      <c r="J60" s="53" t="s">
        <v>38</v>
      </c>
      <c r="K60" s="53" t="s">
        <v>161</v>
      </c>
      <c r="L60" s="53">
        <v>2</v>
      </c>
      <c r="N60" s="53">
        <v>8</v>
      </c>
      <c r="O60" s="53">
        <v>0.5</v>
      </c>
      <c r="P60" s="53">
        <v>0.5</v>
      </c>
      <c r="Q60" s="75">
        <f t="shared" si="0"/>
        <v>0.5</v>
      </c>
      <c r="R60" s="53">
        <v>17.3</v>
      </c>
      <c r="S60" s="53">
        <v>116</v>
      </c>
      <c r="T60" s="16">
        <f t="shared" si="1"/>
        <v>30</v>
      </c>
      <c r="U60" s="53">
        <v>810</v>
      </c>
      <c r="V60" s="16">
        <f t="shared" si="2"/>
        <v>3037.5</v>
      </c>
      <c r="W60" s="53">
        <v>5</v>
      </c>
      <c r="X60" s="53" t="s">
        <v>46</v>
      </c>
      <c r="Y60" s="53" t="s">
        <v>88</v>
      </c>
      <c r="Z60" s="53" t="s">
        <v>102</v>
      </c>
      <c r="AA60" s="53" t="s">
        <v>78</v>
      </c>
      <c r="AB60" s="53" t="s">
        <v>261</v>
      </c>
    </row>
    <row r="61" spans="1:28" x14ac:dyDescent="0.15">
      <c r="A61" s="53" t="s">
        <v>34</v>
      </c>
      <c r="B61" s="53" t="s">
        <v>257</v>
      </c>
      <c r="C61" s="53">
        <v>2019</v>
      </c>
      <c r="D61" s="138" t="s">
        <v>334</v>
      </c>
      <c r="E61" s="53" t="s">
        <v>348</v>
      </c>
      <c r="F61" s="53" t="s">
        <v>349</v>
      </c>
      <c r="G61" s="53" t="s">
        <v>36</v>
      </c>
      <c r="H61" s="53" t="s">
        <v>160</v>
      </c>
      <c r="I61" s="53" t="s">
        <v>159</v>
      </c>
      <c r="J61" s="53" t="s">
        <v>38</v>
      </c>
      <c r="K61" s="53" t="s">
        <v>161</v>
      </c>
      <c r="L61" s="53">
        <v>3</v>
      </c>
      <c r="N61" s="53">
        <v>8</v>
      </c>
      <c r="O61" s="53">
        <v>0.6</v>
      </c>
      <c r="P61" s="53">
        <v>0.45</v>
      </c>
      <c r="Q61" s="75">
        <f t="shared" si="0"/>
        <v>0.52500000000000002</v>
      </c>
      <c r="R61" s="53">
        <v>17.2</v>
      </c>
      <c r="S61" s="53">
        <v>112</v>
      </c>
      <c r="T61" s="16">
        <f t="shared" si="1"/>
        <v>33</v>
      </c>
      <c r="U61" s="53">
        <v>810</v>
      </c>
      <c r="V61" s="16">
        <f t="shared" si="2"/>
        <v>3341.25</v>
      </c>
      <c r="W61" s="53">
        <v>5</v>
      </c>
      <c r="X61" s="53" t="s">
        <v>46</v>
      </c>
      <c r="Y61" s="53" t="s">
        <v>88</v>
      </c>
      <c r="Z61" s="53" t="s">
        <v>102</v>
      </c>
      <c r="AA61" s="53" t="s">
        <v>78</v>
      </c>
      <c r="AB61" s="53" t="s">
        <v>261</v>
      </c>
    </row>
    <row r="62" spans="1:28" x14ac:dyDescent="0.15">
      <c r="A62" s="53" t="s">
        <v>34</v>
      </c>
      <c r="B62" s="53" t="s">
        <v>257</v>
      </c>
      <c r="C62" s="53">
        <v>2019</v>
      </c>
      <c r="D62" s="138" t="s">
        <v>334</v>
      </c>
      <c r="E62" s="53" t="s">
        <v>348</v>
      </c>
      <c r="F62" s="53" t="s">
        <v>349</v>
      </c>
      <c r="G62" s="53" t="s">
        <v>36</v>
      </c>
      <c r="H62" s="53" t="s">
        <v>160</v>
      </c>
      <c r="I62" s="53" t="s">
        <v>198</v>
      </c>
      <c r="J62" s="53" t="s">
        <v>38</v>
      </c>
      <c r="K62" s="53" t="s">
        <v>161</v>
      </c>
      <c r="L62" s="53">
        <v>1</v>
      </c>
      <c r="N62" s="53">
        <v>4</v>
      </c>
      <c r="O62" s="53">
        <v>0.2</v>
      </c>
      <c r="P62" s="53">
        <v>0.2</v>
      </c>
      <c r="Q62" s="75">
        <f t="shared" si="0"/>
        <v>0.2</v>
      </c>
      <c r="R62" s="53">
        <v>17.8</v>
      </c>
      <c r="S62" s="53">
        <v>110</v>
      </c>
      <c r="T62" s="16">
        <f t="shared" si="1"/>
        <v>33</v>
      </c>
      <c r="U62" s="53">
        <v>538</v>
      </c>
      <c r="V62" s="16">
        <f t="shared" si="2"/>
        <v>4438.5</v>
      </c>
      <c r="W62" s="53">
        <v>5</v>
      </c>
      <c r="X62" s="53" t="s">
        <v>46</v>
      </c>
      <c r="Y62" s="53" t="s">
        <v>88</v>
      </c>
      <c r="Z62" s="53" t="s">
        <v>102</v>
      </c>
      <c r="AA62" s="53" t="s">
        <v>78</v>
      </c>
      <c r="AB62" s="53" t="s">
        <v>261</v>
      </c>
    </row>
    <row r="63" spans="1:28" x14ac:dyDescent="0.15">
      <c r="A63" s="53" t="s">
        <v>34</v>
      </c>
      <c r="B63" s="53" t="s">
        <v>257</v>
      </c>
      <c r="C63" s="53">
        <v>2019</v>
      </c>
      <c r="D63" s="138" t="s">
        <v>334</v>
      </c>
      <c r="E63" s="53" t="s">
        <v>348</v>
      </c>
      <c r="F63" s="53" t="s">
        <v>349</v>
      </c>
      <c r="G63" s="53" t="s">
        <v>36</v>
      </c>
      <c r="H63" s="53" t="s">
        <v>160</v>
      </c>
      <c r="I63" s="53" t="s">
        <v>198</v>
      </c>
      <c r="J63" s="53" t="s">
        <v>38</v>
      </c>
      <c r="K63" s="53" t="s">
        <v>161</v>
      </c>
      <c r="L63" s="53">
        <v>2</v>
      </c>
      <c r="N63" s="53">
        <v>4</v>
      </c>
      <c r="O63" s="53">
        <v>0.2</v>
      </c>
      <c r="P63" s="53">
        <v>0.2</v>
      </c>
      <c r="Q63" s="75">
        <f t="shared" si="0"/>
        <v>0.2</v>
      </c>
      <c r="R63" s="53">
        <v>17.3</v>
      </c>
      <c r="S63" s="53">
        <v>114</v>
      </c>
      <c r="T63" s="16">
        <f t="shared" si="1"/>
        <v>30</v>
      </c>
      <c r="U63" s="53">
        <v>538</v>
      </c>
      <c r="V63" s="16">
        <f t="shared" si="2"/>
        <v>4035</v>
      </c>
      <c r="W63" s="53">
        <v>5</v>
      </c>
      <c r="X63" s="53" t="s">
        <v>46</v>
      </c>
      <c r="Y63" s="53" t="s">
        <v>88</v>
      </c>
      <c r="Z63" s="53" t="s">
        <v>102</v>
      </c>
      <c r="AA63" s="53" t="s">
        <v>78</v>
      </c>
      <c r="AB63" s="53" t="s">
        <v>261</v>
      </c>
    </row>
    <row r="64" spans="1:28" x14ac:dyDescent="0.15">
      <c r="A64" s="53" t="s">
        <v>34</v>
      </c>
      <c r="B64" s="53" t="s">
        <v>257</v>
      </c>
      <c r="C64" s="53">
        <v>2019</v>
      </c>
      <c r="D64" s="138" t="s">
        <v>334</v>
      </c>
      <c r="E64" s="53" t="s">
        <v>348</v>
      </c>
      <c r="F64" s="53" t="s">
        <v>349</v>
      </c>
      <c r="G64" s="53" t="s">
        <v>36</v>
      </c>
      <c r="H64" s="53" t="s">
        <v>160</v>
      </c>
      <c r="I64" s="53" t="s">
        <v>198</v>
      </c>
      <c r="J64" s="53" t="s">
        <v>38</v>
      </c>
      <c r="K64" s="53" t="s">
        <v>161</v>
      </c>
      <c r="L64" s="53">
        <v>3</v>
      </c>
      <c r="N64" s="53">
        <v>4</v>
      </c>
      <c r="O64" s="53">
        <v>0.2</v>
      </c>
      <c r="P64" s="53">
        <v>0.2</v>
      </c>
      <c r="Q64" s="75">
        <f t="shared" si="0"/>
        <v>0.2</v>
      </c>
      <c r="R64" s="53">
        <v>18.3</v>
      </c>
      <c r="S64" s="53">
        <v>108</v>
      </c>
      <c r="T64" s="16">
        <f t="shared" si="1"/>
        <v>33</v>
      </c>
      <c r="U64" s="53">
        <v>538</v>
      </c>
      <c r="V64" s="16">
        <f t="shared" si="2"/>
        <v>4438.5</v>
      </c>
      <c r="W64" s="53">
        <v>5</v>
      </c>
      <c r="X64" s="53" t="s">
        <v>46</v>
      </c>
      <c r="Y64" s="53" t="s">
        <v>88</v>
      </c>
      <c r="Z64" s="53" t="s">
        <v>102</v>
      </c>
      <c r="AA64" s="53" t="s">
        <v>78</v>
      </c>
      <c r="AB64" s="53" t="s">
        <v>261</v>
      </c>
    </row>
    <row r="65" spans="1:28" x14ac:dyDescent="0.15">
      <c r="A65" s="53" t="s">
        <v>34</v>
      </c>
      <c r="B65" s="53" t="s">
        <v>257</v>
      </c>
      <c r="C65" s="53">
        <v>2019</v>
      </c>
      <c r="D65" s="138" t="s">
        <v>334</v>
      </c>
      <c r="E65" s="53" t="s">
        <v>341</v>
      </c>
      <c r="F65" s="53" t="s">
        <v>342</v>
      </c>
      <c r="G65" s="53" t="s">
        <v>36</v>
      </c>
      <c r="H65" s="53" t="s">
        <v>164</v>
      </c>
      <c r="I65" s="53" t="s">
        <v>159</v>
      </c>
      <c r="J65" s="53" t="s">
        <v>38</v>
      </c>
      <c r="K65" s="53" t="s">
        <v>161</v>
      </c>
      <c r="L65" s="53">
        <v>1</v>
      </c>
      <c r="N65" s="53">
        <v>1</v>
      </c>
      <c r="O65" s="53">
        <v>0.2</v>
      </c>
      <c r="P65" s="53">
        <v>0.2</v>
      </c>
      <c r="Q65" s="75">
        <f t="shared" si="0"/>
        <v>0.2</v>
      </c>
      <c r="R65" s="53">
        <v>16.2</v>
      </c>
      <c r="S65" s="53">
        <v>140</v>
      </c>
      <c r="T65" s="16">
        <f t="shared" si="1"/>
        <v>30</v>
      </c>
      <c r="U65" s="53">
        <v>105</v>
      </c>
      <c r="V65" s="16">
        <f t="shared" si="2"/>
        <v>3150</v>
      </c>
      <c r="W65" s="53">
        <v>2</v>
      </c>
      <c r="X65" s="53" t="s">
        <v>39</v>
      </c>
      <c r="Y65" s="53" t="s">
        <v>102</v>
      </c>
      <c r="Z65" s="53" t="s">
        <v>78</v>
      </c>
      <c r="AA65" s="53" t="s">
        <v>88</v>
      </c>
      <c r="AB65" s="53" t="s">
        <v>261</v>
      </c>
    </row>
    <row r="66" spans="1:28" x14ac:dyDescent="0.15">
      <c r="A66" s="53" t="s">
        <v>34</v>
      </c>
      <c r="B66" s="53" t="s">
        <v>257</v>
      </c>
      <c r="C66" s="53">
        <v>2019</v>
      </c>
      <c r="D66" s="138" t="s">
        <v>334</v>
      </c>
      <c r="E66" s="53" t="s">
        <v>341</v>
      </c>
      <c r="F66" s="53" t="s">
        <v>342</v>
      </c>
      <c r="G66" s="53" t="s">
        <v>36</v>
      </c>
      <c r="H66" s="53" t="s">
        <v>164</v>
      </c>
      <c r="I66" s="53" t="s">
        <v>159</v>
      </c>
      <c r="J66" s="53" t="s">
        <v>38</v>
      </c>
      <c r="K66" s="53" t="s">
        <v>161</v>
      </c>
      <c r="L66" s="53">
        <v>2</v>
      </c>
      <c r="N66" s="53">
        <v>1</v>
      </c>
      <c r="O66" s="53">
        <v>0.2</v>
      </c>
      <c r="P66" s="53">
        <v>0.2</v>
      </c>
      <c r="Q66" s="75">
        <f t="shared" si="0"/>
        <v>0.2</v>
      </c>
      <c r="R66" s="53">
        <v>16.399999999999999</v>
      </c>
      <c r="S66" s="53">
        <v>142</v>
      </c>
      <c r="T66" s="16">
        <f t="shared" si="1"/>
        <v>30</v>
      </c>
      <c r="U66" s="53">
        <v>105</v>
      </c>
      <c r="V66" s="16">
        <f t="shared" si="2"/>
        <v>3150</v>
      </c>
      <c r="W66" s="53">
        <v>2</v>
      </c>
      <c r="X66" s="53" t="s">
        <v>39</v>
      </c>
      <c r="Y66" s="53" t="s">
        <v>102</v>
      </c>
      <c r="Z66" s="53" t="s">
        <v>78</v>
      </c>
      <c r="AA66" s="53" t="s">
        <v>88</v>
      </c>
      <c r="AB66" s="53" t="s">
        <v>261</v>
      </c>
    </row>
    <row r="67" spans="1:28" x14ac:dyDescent="0.15">
      <c r="A67" s="53" t="s">
        <v>34</v>
      </c>
      <c r="B67" s="53" t="s">
        <v>257</v>
      </c>
      <c r="C67" s="53">
        <v>2019</v>
      </c>
      <c r="D67" s="138" t="s">
        <v>334</v>
      </c>
      <c r="E67" s="53" t="s">
        <v>341</v>
      </c>
      <c r="F67" s="53" t="s">
        <v>342</v>
      </c>
      <c r="G67" s="53" t="s">
        <v>36</v>
      </c>
      <c r="H67" s="53" t="s">
        <v>164</v>
      </c>
      <c r="I67" s="53" t="s">
        <v>159</v>
      </c>
      <c r="J67" s="53" t="s">
        <v>38</v>
      </c>
      <c r="K67" s="53" t="s">
        <v>161</v>
      </c>
      <c r="L67" s="53">
        <v>3</v>
      </c>
      <c r="N67" s="53">
        <v>1</v>
      </c>
      <c r="O67" s="53">
        <v>0.5</v>
      </c>
      <c r="P67" s="53">
        <v>0.45</v>
      </c>
      <c r="Q67" s="75">
        <f t="shared" si="0"/>
        <v>0.47499999999999998</v>
      </c>
      <c r="R67" s="53">
        <v>16.8</v>
      </c>
      <c r="S67" s="53">
        <v>144</v>
      </c>
      <c r="T67" s="16">
        <f t="shared" si="1"/>
        <v>30</v>
      </c>
      <c r="U67" s="53">
        <v>105</v>
      </c>
      <c r="V67" s="16">
        <f t="shared" si="2"/>
        <v>3150</v>
      </c>
      <c r="W67" s="53">
        <v>2</v>
      </c>
      <c r="X67" s="53" t="s">
        <v>39</v>
      </c>
      <c r="Y67" s="53" t="s">
        <v>102</v>
      </c>
      <c r="Z67" s="53" t="s">
        <v>78</v>
      </c>
      <c r="AA67" s="53" t="s">
        <v>88</v>
      </c>
      <c r="AB67" s="53" t="s">
        <v>261</v>
      </c>
    </row>
    <row r="68" spans="1:28" x14ac:dyDescent="0.15">
      <c r="A68" s="53" t="s">
        <v>34</v>
      </c>
      <c r="B68" s="53" t="s">
        <v>257</v>
      </c>
      <c r="C68" s="53">
        <v>2019</v>
      </c>
      <c r="D68" s="138" t="s">
        <v>334</v>
      </c>
      <c r="E68" s="53" t="s">
        <v>341</v>
      </c>
      <c r="F68" s="53" t="s">
        <v>342</v>
      </c>
      <c r="G68" s="53" t="s">
        <v>36</v>
      </c>
      <c r="H68" s="53" t="s">
        <v>160</v>
      </c>
      <c r="I68" s="53" t="s">
        <v>159</v>
      </c>
      <c r="J68" s="53" t="s">
        <v>38</v>
      </c>
      <c r="K68" s="53" t="s">
        <v>161</v>
      </c>
      <c r="L68" s="53">
        <v>1</v>
      </c>
      <c r="N68" s="53">
        <v>1</v>
      </c>
      <c r="O68" s="53">
        <v>0.2</v>
      </c>
      <c r="P68" s="53">
        <v>0.2</v>
      </c>
      <c r="Q68" s="75">
        <f t="shared" si="0"/>
        <v>0.2</v>
      </c>
      <c r="R68" s="53">
        <v>17.7</v>
      </c>
      <c r="S68" s="53">
        <v>140</v>
      </c>
      <c r="T68" s="16">
        <f t="shared" si="1"/>
        <v>30</v>
      </c>
      <c r="U68" s="53">
        <v>105</v>
      </c>
      <c r="V68" s="16">
        <f t="shared" si="2"/>
        <v>3150</v>
      </c>
      <c r="W68" s="53">
        <v>2</v>
      </c>
      <c r="X68" s="53" t="s">
        <v>39</v>
      </c>
      <c r="Y68" s="53" t="s">
        <v>102</v>
      </c>
      <c r="Z68" s="53" t="s">
        <v>78</v>
      </c>
      <c r="AA68" s="53" t="s">
        <v>88</v>
      </c>
      <c r="AB68" s="53" t="s">
        <v>261</v>
      </c>
    </row>
    <row r="69" spans="1:28" x14ac:dyDescent="0.15">
      <c r="A69" s="53" t="s">
        <v>34</v>
      </c>
      <c r="B69" s="53" t="s">
        <v>257</v>
      </c>
      <c r="C69" s="53">
        <v>2019</v>
      </c>
      <c r="D69" s="138" t="s">
        <v>334</v>
      </c>
      <c r="E69" s="53" t="s">
        <v>341</v>
      </c>
      <c r="F69" s="53" t="s">
        <v>342</v>
      </c>
      <c r="G69" s="53" t="s">
        <v>36</v>
      </c>
      <c r="H69" s="53" t="s">
        <v>160</v>
      </c>
      <c r="I69" s="53" t="s">
        <v>159</v>
      </c>
      <c r="J69" s="53" t="s">
        <v>38</v>
      </c>
      <c r="K69" s="53" t="s">
        <v>161</v>
      </c>
      <c r="L69" s="53">
        <v>2</v>
      </c>
      <c r="N69" s="53">
        <v>1</v>
      </c>
      <c r="O69" s="53">
        <v>0.65</v>
      </c>
      <c r="P69" s="53">
        <v>0.75</v>
      </c>
      <c r="Q69" s="75">
        <f t="shared" si="0"/>
        <v>0.7</v>
      </c>
      <c r="R69" s="53">
        <v>16.600000000000001</v>
      </c>
      <c r="S69" s="53">
        <v>140</v>
      </c>
      <c r="T69" s="16">
        <f t="shared" si="1"/>
        <v>30</v>
      </c>
      <c r="U69" s="53">
        <v>105</v>
      </c>
      <c r="V69" s="16">
        <f t="shared" si="2"/>
        <v>3150</v>
      </c>
      <c r="W69" s="53">
        <v>2</v>
      </c>
      <c r="X69" s="53" t="s">
        <v>39</v>
      </c>
      <c r="Y69" s="53" t="s">
        <v>102</v>
      </c>
      <c r="Z69" s="53" t="s">
        <v>78</v>
      </c>
      <c r="AA69" s="53" t="s">
        <v>88</v>
      </c>
      <c r="AB69" s="53" t="s">
        <v>261</v>
      </c>
    </row>
    <row r="70" spans="1:28" x14ac:dyDescent="0.15">
      <c r="A70" s="53" t="s">
        <v>34</v>
      </c>
      <c r="B70" s="53" t="s">
        <v>257</v>
      </c>
      <c r="C70" s="53">
        <v>2019</v>
      </c>
      <c r="D70" s="138" t="s">
        <v>334</v>
      </c>
      <c r="E70" s="53" t="s">
        <v>341</v>
      </c>
      <c r="F70" s="53" t="s">
        <v>342</v>
      </c>
      <c r="G70" s="53" t="s">
        <v>36</v>
      </c>
      <c r="H70" s="53" t="s">
        <v>160</v>
      </c>
      <c r="I70" s="53" t="s">
        <v>159</v>
      </c>
      <c r="J70" s="53" t="s">
        <v>38</v>
      </c>
      <c r="K70" s="53" t="s">
        <v>161</v>
      </c>
      <c r="L70" s="53">
        <v>3</v>
      </c>
      <c r="N70" s="53">
        <v>1</v>
      </c>
      <c r="O70" s="53">
        <v>0.5</v>
      </c>
      <c r="P70" s="53">
        <v>0.6</v>
      </c>
      <c r="Q70" s="75">
        <f t="shared" si="0"/>
        <v>0.55000000000000004</v>
      </c>
      <c r="R70" s="53">
        <v>17.399999999999999</v>
      </c>
      <c r="S70" s="53">
        <v>138</v>
      </c>
      <c r="T70" s="16">
        <f t="shared" si="1"/>
        <v>30</v>
      </c>
      <c r="U70" s="53">
        <v>105</v>
      </c>
      <c r="V70" s="16">
        <f t="shared" si="2"/>
        <v>3150</v>
      </c>
      <c r="W70" s="53">
        <v>2</v>
      </c>
      <c r="X70" s="53" t="s">
        <v>39</v>
      </c>
      <c r="Y70" s="53" t="s">
        <v>102</v>
      </c>
      <c r="Z70" s="53" t="s">
        <v>78</v>
      </c>
      <c r="AA70" s="53" t="s">
        <v>88</v>
      </c>
      <c r="AB70" s="53" t="s">
        <v>261</v>
      </c>
    </row>
    <row r="71" spans="1:28" x14ac:dyDescent="0.15">
      <c r="A71" s="53" t="s">
        <v>34</v>
      </c>
      <c r="B71" s="53" t="s">
        <v>257</v>
      </c>
      <c r="C71" s="53">
        <v>2019</v>
      </c>
      <c r="D71" s="138" t="s">
        <v>334</v>
      </c>
      <c r="E71" s="53" t="s">
        <v>211</v>
      </c>
      <c r="F71" s="53" t="s">
        <v>352</v>
      </c>
      <c r="G71" s="53" t="s">
        <v>36</v>
      </c>
      <c r="H71" s="53" t="s">
        <v>164</v>
      </c>
      <c r="I71" s="53" t="s">
        <v>159</v>
      </c>
      <c r="J71" s="53" t="s">
        <v>38</v>
      </c>
      <c r="K71" s="53" t="s">
        <v>161</v>
      </c>
      <c r="L71" s="53">
        <v>1</v>
      </c>
      <c r="N71" s="53">
        <v>1</v>
      </c>
      <c r="O71" s="53">
        <v>0.2</v>
      </c>
      <c r="P71" s="53">
        <v>0.2</v>
      </c>
      <c r="Q71" s="75">
        <f t="shared" si="0"/>
        <v>0.2</v>
      </c>
      <c r="R71" s="53">
        <v>12</v>
      </c>
      <c r="S71" s="53">
        <v>108</v>
      </c>
      <c r="T71" s="16">
        <f t="shared" si="1"/>
        <v>33</v>
      </c>
      <c r="U71" s="53">
        <v>104</v>
      </c>
      <c r="V71" s="16">
        <f t="shared" si="2"/>
        <v>3432</v>
      </c>
      <c r="W71" s="53">
        <v>2</v>
      </c>
      <c r="X71" s="53" t="s">
        <v>46</v>
      </c>
      <c r="Y71" s="53" t="s">
        <v>102</v>
      </c>
      <c r="Z71" s="53" t="s">
        <v>88</v>
      </c>
      <c r="AA71" s="53" t="s">
        <v>69</v>
      </c>
      <c r="AB71" s="53" t="s">
        <v>261</v>
      </c>
    </row>
    <row r="72" spans="1:28" x14ac:dyDescent="0.15">
      <c r="A72" s="53" t="s">
        <v>34</v>
      </c>
      <c r="B72" s="53" t="s">
        <v>257</v>
      </c>
      <c r="C72" s="53">
        <v>2019</v>
      </c>
      <c r="D72" s="138" t="s">
        <v>334</v>
      </c>
      <c r="E72" s="53" t="s">
        <v>211</v>
      </c>
      <c r="F72" s="53" t="s">
        <v>352</v>
      </c>
      <c r="G72" s="53" t="s">
        <v>36</v>
      </c>
      <c r="H72" s="53" t="s">
        <v>164</v>
      </c>
      <c r="I72" s="53" t="s">
        <v>159</v>
      </c>
      <c r="J72" s="53" t="s">
        <v>38</v>
      </c>
      <c r="K72" s="53" t="s">
        <v>161</v>
      </c>
      <c r="L72" s="53">
        <v>2</v>
      </c>
      <c r="N72" s="53">
        <v>1</v>
      </c>
      <c r="O72" s="53">
        <v>0.2</v>
      </c>
      <c r="P72" s="53">
        <v>0.2</v>
      </c>
      <c r="Q72" s="75">
        <f t="shared" si="0"/>
        <v>0.2</v>
      </c>
      <c r="R72" s="53">
        <v>14.4</v>
      </c>
      <c r="S72" s="53">
        <v>116</v>
      </c>
      <c r="T72" s="16">
        <f t="shared" si="1"/>
        <v>30</v>
      </c>
      <c r="U72" s="53">
        <v>104</v>
      </c>
      <c r="V72" s="16">
        <f t="shared" si="2"/>
        <v>3120</v>
      </c>
      <c r="W72" s="53">
        <v>2</v>
      </c>
      <c r="X72" s="53" t="s">
        <v>46</v>
      </c>
      <c r="Y72" s="53" t="s">
        <v>102</v>
      </c>
      <c r="Z72" s="53" t="s">
        <v>88</v>
      </c>
      <c r="AA72" s="53" t="s">
        <v>69</v>
      </c>
      <c r="AB72" s="53" t="s">
        <v>261</v>
      </c>
    </row>
    <row r="73" spans="1:28" x14ac:dyDescent="0.15">
      <c r="A73" s="53" t="s">
        <v>34</v>
      </c>
      <c r="B73" s="53" t="s">
        <v>257</v>
      </c>
      <c r="C73" s="53">
        <v>2019</v>
      </c>
      <c r="D73" s="138" t="s">
        <v>334</v>
      </c>
      <c r="E73" s="53" t="s">
        <v>211</v>
      </c>
      <c r="F73" s="53" t="s">
        <v>352</v>
      </c>
      <c r="G73" s="53" t="s">
        <v>36</v>
      </c>
      <c r="H73" s="53" t="s">
        <v>164</v>
      </c>
      <c r="I73" s="53" t="s">
        <v>159</v>
      </c>
      <c r="J73" s="53" t="s">
        <v>38</v>
      </c>
      <c r="K73" s="53" t="s">
        <v>161</v>
      </c>
      <c r="L73" s="53">
        <v>3</v>
      </c>
      <c r="N73" s="53">
        <v>1</v>
      </c>
      <c r="O73" s="53">
        <v>0.2</v>
      </c>
      <c r="P73" s="53">
        <v>0.2</v>
      </c>
      <c r="Q73" s="75">
        <f t="shared" si="0"/>
        <v>0.2</v>
      </c>
      <c r="R73" s="53">
        <v>14.5</v>
      </c>
      <c r="S73" s="53">
        <v>110</v>
      </c>
      <c r="T73" s="16">
        <f t="shared" si="1"/>
        <v>33</v>
      </c>
      <c r="U73" s="53">
        <v>104</v>
      </c>
      <c r="V73" s="16">
        <f t="shared" si="2"/>
        <v>3432</v>
      </c>
      <c r="W73" s="53">
        <v>2</v>
      </c>
      <c r="X73" s="53" t="s">
        <v>46</v>
      </c>
      <c r="Y73" s="53" t="s">
        <v>102</v>
      </c>
      <c r="Z73" s="53" t="s">
        <v>88</v>
      </c>
      <c r="AA73" s="53" t="s">
        <v>69</v>
      </c>
      <c r="AB73" s="53" t="s">
        <v>261</v>
      </c>
    </row>
    <row r="74" spans="1:28" x14ac:dyDescent="0.15">
      <c r="A74" s="53" t="s">
        <v>34</v>
      </c>
      <c r="B74" s="53" t="s">
        <v>257</v>
      </c>
      <c r="C74" s="53">
        <v>2019</v>
      </c>
      <c r="D74" s="138" t="s">
        <v>334</v>
      </c>
      <c r="E74" s="53" t="s">
        <v>211</v>
      </c>
      <c r="F74" s="53" t="s">
        <v>352</v>
      </c>
      <c r="G74" s="53" t="s">
        <v>36</v>
      </c>
      <c r="H74" s="53" t="s">
        <v>160</v>
      </c>
      <c r="I74" s="53" t="s">
        <v>159</v>
      </c>
      <c r="J74" s="53" t="s">
        <v>38</v>
      </c>
      <c r="K74" s="53" t="s">
        <v>161</v>
      </c>
      <c r="L74" s="53">
        <v>1</v>
      </c>
      <c r="N74" s="53">
        <v>1</v>
      </c>
      <c r="O74" s="53">
        <v>0.2</v>
      </c>
      <c r="P74" s="53">
        <v>0.55000000000000004</v>
      </c>
      <c r="Q74" s="75">
        <f t="shared" si="0"/>
        <v>0.375</v>
      </c>
      <c r="R74" s="53">
        <v>16.399999999999999</v>
      </c>
      <c r="S74" s="53">
        <v>122</v>
      </c>
      <c r="T74" s="16">
        <f t="shared" si="1"/>
        <v>30</v>
      </c>
      <c r="U74" s="53">
        <v>104</v>
      </c>
      <c r="V74" s="16">
        <f t="shared" si="2"/>
        <v>3120</v>
      </c>
      <c r="W74" s="53">
        <v>4</v>
      </c>
      <c r="X74" s="53" t="s">
        <v>46</v>
      </c>
      <c r="Y74" s="53" t="s">
        <v>102</v>
      </c>
      <c r="Z74" s="53" t="s">
        <v>88</v>
      </c>
      <c r="AA74" s="53" t="s">
        <v>69</v>
      </c>
      <c r="AB74" s="53" t="s">
        <v>261</v>
      </c>
    </row>
    <row r="75" spans="1:28" x14ac:dyDescent="0.15">
      <c r="A75" s="53" t="s">
        <v>34</v>
      </c>
      <c r="B75" s="53" t="s">
        <v>257</v>
      </c>
      <c r="C75" s="53">
        <v>2019</v>
      </c>
      <c r="D75" s="138" t="s">
        <v>334</v>
      </c>
      <c r="E75" s="53" t="s">
        <v>211</v>
      </c>
      <c r="F75" s="53" t="s">
        <v>352</v>
      </c>
      <c r="G75" s="53" t="s">
        <v>36</v>
      </c>
      <c r="H75" s="53" t="s">
        <v>160</v>
      </c>
      <c r="I75" s="53" t="s">
        <v>159</v>
      </c>
      <c r="J75" s="53" t="s">
        <v>38</v>
      </c>
      <c r="K75" s="53" t="s">
        <v>161</v>
      </c>
      <c r="L75" s="53">
        <v>2</v>
      </c>
      <c r="N75" s="53">
        <v>1</v>
      </c>
      <c r="O75" s="53">
        <v>0.5</v>
      </c>
      <c r="P75" s="53">
        <v>0.55000000000000004</v>
      </c>
      <c r="Q75" s="75">
        <f t="shared" si="0"/>
        <v>0.52500000000000002</v>
      </c>
      <c r="R75" s="53">
        <v>16.399999999999999</v>
      </c>
      <c r="S75" s="53">
        <v>122</v>
      </c>
      <c r="T75" s="16">
        <f t="shared" si="1"/>
        <v>30</v>
      </c>
      <c r="U75" s="53">
        <v>104</v>
      </c>
      <c r="V75" s="16">
        <f t="shared" si="2"/>
        <v>3120</v>
      </c>
      <c r="W75" s="53">
        <v>4</v>
      </c>
      <c r="X75" s="53" t="s">
        <v>46</v>
      </c>
      <c r="Y75" s="53" t="s">
        <v>102</v>
      </c>
      <c r="Z75" s="53" t="s">
        <v>88</v>
      </c>
      <c r="AA75" s="53" t="s">
        <v>69</v>
      </c>
      <c r="AB75" s="53" t="s">
        <v>261</v>
      </c>
    </row>
    <row r="76" spans="1:28" x14ac:dyDescent="0.15">
      <c r="A76" s="53" t="s">
        <v>34</v>
      </c>
      <c r="B76" s="53" t="s">
        <v>257</v>
      </c>
      <c r="C76" s="53">
        <v>2019</v>
      </c>
      <c r="D76" s="138" t="s">
        <v>334</v>
      </c>
      <c r="E76" s="53" t="s">
        <v>211</v>
      </c>
      <c r="F76" s="53" t="s">
        <v>352</v>
      </c>
      <c r="G76" s="53" t="s">
        <v>36</v>
      </c>
      <c r="H76" s="53" t="s">
        <v>160</v>
      </c>
      <c r="I76" s="53" t="s">
        <v>159</v>
      </c>
      <c r="J76" s="53" t="s">
        <v>38</v>
      </c>
      <c r="K76" s="53" t="s">
        <v>161</v>
      </c>
      <c r="L76" s="53">
        <v>3</v>
      </c>
      <c r="N76" s="53">
        <v>1</v>
      </c>
      <c r="O76" s="53">
        <v>0.55000000000000004</v>
      </c>
      <c r="P76" s="53">
        <v>0.65</v>
      </c>
      <c r="Q76" s="75">
        <f t="shared" si="0"/>
        <v>0.60000000000000009</v>
      </c>
      <c r="R76" s="53">
        <v>15</v>
      </c>
      <c r="S76" s="53">
        <v>124</v>
      </c>
      <c r="T76" s="16">
        <f t="shared" si="1"/>
        <v>30</v>
      </c>
      <c r="U76" s="53">
        <v>104</v>
      </c>
      <c r="V76" s="16">
        <f t="shared" si="2"/>
        <v>3120</v>
      </c>
      <c r="W76" s="53">
        <v>4</v>
      </c>
      <c r="X76" s="53" t="s">
        <v>46</v>
      </c>
      <c r="Y76" s="53" t="s">
        <v>102</v>
      </c>
      <c r="Z76" s="53" t="s">
        <v>88</v>
      </c>
      <c r="AA76" s="53" t="s">
        <v>69</v>
      </c>
      <c r="AB76" s="53" t="s">
        <v>261</v>
      </c>
    </row>
    <row r="77" spans="1:28" x14ac:dyDescent="0.15">
      <c r="A77" s="53" t="s">
        <v>34</v>
      </c>
      <c r="B77" s="53" t="s">
        <v>257</v>
      </c>
      <c r="C77" s="53">
        <v>2019</v>
      </c>
      <c r="D77" s="138" t="s">
        <v>334</v>
      </c>
      <c r="E77" s="53" t="s">
        <v>211</v>
      </c>
      <c r="F77" s="53" t="s">
        <v>352</v>
      </c>
      <c r="G77" s="53" t="s">
        <v>36</v>
      </c>
      <c r="H77" s="53" t="s">
        <v>160</v>
      </c>
      <c r="I77" s="53" t="s">
        <v>159</v>
      </c>
      <c r="J77" s="53" t="s">
        <v>38</v>
      </c>
      <c r="K77" s="53" t="s">
        <v>161</v>
      </c>
      <c r="L77" s="53">
        <v>1</v>
      </c>
      <c r="N77" s="53">
        <v>4</v>
      </c>
      <c r="O77" s="53">
        <v>0.2</v>
      </c>
      <c r="P77" s="53">
        <v>0.2</v>
      </c>
      <c r="Q77" s="75">
        <f t="shared" ref="Q77:Q106" si="5">IF(OR(O77="",P77=""),"",AVERAGE(O77,P77))</f>
        <v>0.2</v>
      </c>
      <c r="R77" s="53">
        <v>17.899999999999999</v>
      </c>
      <c r="S77" s="53">
        <v>108</v>
      </c>
      <c r="T77" s="16">
        <f t="shared" ref="T77:T106" si="6">IF(H77="","",IF(OR(H77="GREEN",H77="GK"),IF(S77&gt;=$AX$2,VLOOKUP(S77,$AX$2:$AY$9,2,1),""),IF(S77&gt;=$AZ$2,VLOOKUP(S77,$AZ$2:$BA$9,2,1),"")))</f>
        <v>33</v>
      </c>
      <c r="U77" s="53">
        <v>407</v>
      </c>
      <c r="V77" s="16">
        <f t="shared" ref="V77:V106" si="7">IF(OR(N77="",U77="",T77=""),"",U77/N77*T77)</f>
        <v>3357.75</v>
      </c>
      <c r="W77" s="53">
        <v>4</v>
      </c>
      <c r="X77" s="53" t="s">
        <v>46</v>
      </c>
      <c r="Y77" s="53" t="s">
        <v>102</v>
      </c>
      <c r="Z77" s="53" t="s">
        <v>88</v>
      </c>
      <c r="AA77" s="53" t="s">
        <v>69</v>
      </c>
      <c r="AB77" s="53" t="s">
        <v>261</v>
      </c>
    </row>
    <row r="78" spans="1:28" x14ac:dyDescent="0.15">
      <c r="A78" s="53" t="s">
        <v>34</v>
      </c>
      <c r="B78" s="53" t="s">
        <v>257</v>
      </c>
      <c r="C78" s="53">
        <v>2019</v>
      </c>
      <c r="D78" s="138" t="s">
        <v>334</v>
      </c>
      <c r="E78" s="53" t="s">
        <v>211</v>
      </c>
      <c r="F78" s="53" t="s">
        <v>352</v>
      </c>
      <c r="G78" s="53" t="s">
        <v>36</v>
      </c>
      <c r="H78" s="53" t="s">
        <v>160</v>
      </c>
      <c r="I78" s="53" t="s">
        <v>159</v>
      </c>
      <c r="J78" s="53" t="s">
        <v>38</v>
      </c>
      <c r="K78" s="53" t="s">
        <v>161</v>
      </c>
      <c r="L78" s="53">
        <v>2</v>
      </c>
      <c r="N78" s="53">
        <v>4</v>
      </c>
      <c r="O78" s="53">
        <v>0.2</v>
      </c>
      <c r="P78" s="53">
        <v>0.2</v>
      </c>
      <c r="Q78" s="75">
        <f t="shared" si="5"/>
        <v>0.2</v>
      </c>
      <c r="R78" s="53">
        <v>16.600000000000001</v>
      </c>
      <c r="S78" s="53">
        <v>118</v>
      </c>
      <c r="T78" s="16">
        <f t="shared" si="6"/>
        <v>30</v>
      </c>
      <c r="U78" s="53">
        <v>407</v>
      </c>
      <c r="V78" s="16">
        <f t="shared" si="7"/>
        <v>3052.5</v>
      </c>
      <c r="W78" s="53">
        <v>4</v>
      </c>
      <c r="X78" s="53" t="s">
        <v>46</v>
      </c>
      <c r="Y78" s="53" t="s">
        <v>102</v>
      </c>
      <c r="Z78" s="53" t="s">
        <v>88</v>
      </c>
      <c r="AA78" s="53" t="s">
        <v>69</v>
      </c>
      <c r="AB78" s="53" t="s">
        <v>261</v>
      </c>
    </row>
    <row r="79" spans="1:28" x14ac:dyDescent="0.15">
      <c r="A79" s="53" t="s">
        <v>34</v>
      </c>
      <c r="B79" s="53" t="s">
        <v>257</v>
      </c>
      <c r="C79" s="53">
        <v>2019</v>
      </c>
      <c r="D79" s="138" t="s">
        <v>334</v>
      </c>
      <c r="E79" s="53" t="s">
        <v>211</v>
      </c>
      <c r="F79" s="53" t="s">
        <v>352</v>
      </c>
      <c r="G79" s="53" t="s">
        <v>36</v>
      </c>
      <c r="H79" s="53" t="s">
        <v>160</v>
      </c>
      <c r="I79" s="53" t="s">
        <v>159</v>
      </c>
      <c r="J79" s="53" t="s">
        <v>38</v>
      </c>
      <c r="K79" s="53" t="s">
        <v>161</v>
      </c>
      <c r="L79" s="53">
        <v>3</v>
      </c>
      <c r="N79" s="53">
        <v>4</v>
      </c>
      <c r="O79" s="53">
        <v>0.2</v>
      </c>
      <c r="P79" s="53">
        <v>0.2</v>
      </c>
      <c r="Q79" s="75">
        <f t="shared" si="5"/>
        <v>0.2</v>
      </c>
      <c r="R79" s="53">
        <v>14.4</v>
      </c>
      <c r="S79" s="53">
        <v>104</v>
      </c>
      <c r="T79" s="16">
        <f t="shared" si="6"/>
        <v>33</v>
      </c>
      <c r="U79" s="53">
        <v>407</v>
      </c>
      <c r="V79" s="16">
        <f t="shared" si="7"/>
        <v>3357.75</v>
      </c>
      <c r="W79" s="53">
        <v>4</v>
      </c>
      <c r="X79" s="53" t="s">
        <v>46</v>
      </c>
      <c r="Y79" s="53" t="s">
        <v>102</v>
      </c>
      <c r="Z79" s="53" t="s">
        <v>88</v>
      </c>
      <c r="AA79" s="53" t="s">
        <v>69</v>
      </c>
      <c r="AB79" s="53" t="s">
        <v>261</v>
      </c>
    </row>
    <row r="80" spans="1:28" x14ac:dyDescent="0.15">
      <c r="A80" s="53" t="s">
        <v>34</v>
      </c>
      <c r="B80" s="53" t="s">
        <v>257</v>
      </c>
      <c r="C80" s="53">
        <v>2019</v>
      </c>
      <c r="D80" s="138" t="s">
        <v>334</v>
      </c>
      <c r="E80" s="53" t="s">
        <v>243</v>
      </c>
      <c r="F80" s="53" t="s">
        <v>345</v>
      </c>
      <c r="G80" s="53" t="s">
        <v>36</v>
      </c>
      <c r="H80" s="53" t="s">
        <v>164</v>
      </c>
      <c r="I80" s="53" t="s">
        <v>159</v>
      </c>
      <c r="J80" s="53" t="s">
        <v>38</v>
      </c>
      <c r="K80" s="53" t="s">
        <v>161</v>
      </c>
      <c r="L80" s="53">
        <v>1</v>
      </c>
      <c r="N80" s="53">
        <v>1</v>
      </c>
      <c r="O80" s="53">
        <v>0.6</v>
      </c>
      <c r="P80" s="53">
        <v>0.65</v>
      </c>
      <c r="Q80" s="75">
        <f t="shared" si="5"/>
        <v>0.625</v>
      </c>
      <c r="R80" s="53">
        <v>16.3</v>
      </c>
      <c r="S80" s="53">
        <v>132</v>
      </c>
      <c r="T80" s="16">
        <f t="shared" si="6"/>
        <v>30</v>
      </c>
      <c r="U80" s="53">
        <v>96</v>
      </c>
      <c r="V80" s="16">
        <f t="shared" si="7"/>
        <v>2880</v>
      </c>
      <c r="W80" s="53">
        <v>5</v>
      </c>
      <c r="X80" s="53" t="s">
        <v>46</v>
      </c>
      <c r="Y80" s="53" t="s">
        <v>102</v>
      </c>
      <c r="Z80" s="53" t="s">
        <v>78</v>
      </c>
      <c r="AA80" s="53" t="s">
        <v>69</v>
      </c>
      <c r="AB80" s="53" t="s">
        <v>261</v>
      </c>
    </row>
    <row r="81" spans="1:28" x14ac:dyDescent="0.15">
      <c r="A81" s="53" t="s">
        <v>34</v>
      </c>
      <c r="B81" s="53" t="s">
        <v>257</v>
      </c>
      <c r="C81" s="53">
        <v>2019</v>
      </c>
      <c r="D81" s="138" t="s">
        <v>334</v>
      </c>
      <c r="E81" s="53" t="s">
        <v>243</v>
      </c>
      <c r="F81" s="53" t="s">
        <v>345</v>
      </c>
      <c r="G81" s="53" t="s">
        <v>36</v>
      </c>
      <c r="H81" s="53" t="s">
        <v>164</v>
      </c>
      <c r="I81" s="53" t="s">
        <v>159</v>
      </c>
      <c r="J81" s="53" t="s">
        <v>38</v>
      </c>
      <c r="K81" s="53" t="s">
        <v>161</v>
      </c>
      <c r="L81" s="53">
        <v>2</v>
      </c>
      <c r="N81" s="53">
        <v>1</v>
      </c>
      <c r="O81" s="53">
        <v>0.65</v>
      </c>
      <c r="P81" s="53">
        <v>0.55000000000000004</v>
      </c>
      <c r="Q81" s="75">
        <f t="shared" si="5"/>
        <v>0.60000000000000009</v>
      </c>
      <c r="R81" s="53">
        <v>14</v>
      </c>
      <c r="S81" s="53">
        <v>132</v>
      </c>
      <c r="T81" s="16">
        <f t="shared" si="6"/>
        <v>30</v>
      </c>
      <c r="U81" s="53">
        <v>96</v>
      </c>
      <c r="V81" s="16">
        <f t="shared" si="7"/>
        <v>2880</v>
      </c>
      <c r="W81" s="53">
        <v>5</v>
      </c>
      <c r="X81" s="53" t="s">
        <v>46</v>
      </c>
      <c r="Y81" s="53" t="s">
        <v>102</v>
      </c>
      <c r="Z81" s="53" t="s">
        <v>78</v>
      </c>
      <c r="AA81" s="53" t="s">
        <v>69</v>
      </c>
      <c r="AB81" s="53" t="s">
        <v>261</v>
      </c>
    </row>
    <row r="82" spans="1:28" x14ac:dyDescent="0.15">
      <c r="A82" s="53" t="s">
        <v>34</v>
      </c>
      <c r="B82" s="53" t="s">
        <v>257</v>
      </c>
      <c r="C82" s="53">
        <v>2019</v>
      </c>
      <c r="D82" s="138" t="s">
        <v>334</v>
      </c>
      <c r="E82" s="53" t="s">
        <v>243</v>
      </c>
      <c r="F82" s="53" t="s">
        <v>345</v>
      </c>
      <c r="G82" s="53" t="s">
        <v>36</v>
      </c>
      <c r="H82" s="53" t="s">
        <v>164</v>
      </c>
      <c r="I82" s="53" t="s">
        <v>159</v>
      </c>
      <c r="J82" s="53" t="s">
        <v>38</v>
      </c>
      <c r="K82" s="53" t="s">
        <v>161</v>
      </c>
      <c r="L82" s="53">
        <v>3</v>
      </c>
      <c r="N82" s="53">
        <v>1</v>
      </c>
      <c r="O82" s="53">
        <v>0.55000000000000004</v>
      </c>
      <c r="P82" s="53">
        <v>0.55000000000000004</v>
      </c>
      <c r="Q82" s="75">
        <f t="shared" si="5"/>
        <v>0.55000000000000004</v>
      </c>
      <c r="R82" s="53">
        <v>16.5</v>
      </c>
      <c r="S82" s="53">
        <v>130</v>
      </c>
      <c r="T82" s="16">
        <f t="shared" si="6"/>
        <v>30</v>
      </c>
      <c r="U82" s="53">
        <v>96</v>
      </c>
      <c r="V82" s="16">
        <f t="shared" si="7"/>
        <v>2880</v>
      </c>
      <c r="W82" s="53">
        <v>5</v>
      </c>
      <c r="X82" s="53" t="s">
        <v>46</v>
      </c>
      <c r="Y82" s="53" t="s">
        <v>102</v>
      </c>
      <c r="Z82" s="53" t="s">
        <v>78</v>
      </c>
      <c r="AA82" s="53" t="s">
        <v>69</v>
      </c>
      <c r="AB82" s="53" t="s">
        <v>261</v>
      </c>
    </row>
    <row r="83" spans="1:28" x14ac:dyDescent="0.15">
      <c r="A83" s="53" t="s">
        <v>34</v>
      </c>
      <c r="B83" s="53" t="s">
        <v>257</v>
      </c>
      <c r="C83" s="53">
        <v>2019</v>
      </c>
      <c r="D83" s="138" t="s">
        <v>334</v>
      </c>
      <c r="E83" s="53" t="s">
        <v>243</v>
      </c>
      <c r="F83" s="53" t="s">
        <v>345</v>
      </c>
      <c r="G83" s="53" t="s">
        <v>36</v>
      </c>
      <c r="H83" s="53" t="s">
        <v>164</v>
      </c>
      <c r="I83" s="53" t="s">
        <v>159</v>
      </c>
      <c r="J83" s="53" t="s">
        <v>38</v>
      </c>
      <c r="K83" s="53" t="s">
        <v>161</v>
      </c>
      <c r="L83" s="53">
        <v>1</v>
      </c>
      <c r="N83" s="53">
        <v>5</v>
      </c>
      <c r="O83" s="53">
        <v>0.75</v>
      </c>
      <c r="P83" s="53">
        <v>1.5</v>
      </c>
      <c r="Q83" s="75">
        <f t="shared" si="5"/>
        <v>1.125</v>
      </c>
      <c r="R83" s="53">
        <v>15.4</v>
      </c>
      <c r="S83" s="53">
        <v>84</v>
      </c>
      <c r="T83" s="16">
        <f t="shared" si="6"/>
        <v>36</v>
      </c>
      <c r="U83" s="53">
        <v>321</v>
      </c>
      <c r="V83" s="16">
        <f t="shared" si="7"/>
        <v>2311.2000000000003</v>
      </c>
      <c r="W83" s="53">
        <v>5</v>
      </c>
      <c r="X83" s="53" t="s">
        <v>46</v>
      </c>
      <c r="Y83" s="53" t="s">
        <v>102</v>
      </c>
      <c r="Z83" s="53" t="s">
        <v>78</v>
      </c>
      <c r="AA83" s="53" t="s">
        <v>69</v>
      </c>
      <c r="AB83" s="53" t="s">
        <v>261</v>
      </c>
    </row>
    <row r="84" spans="1:28" x14ac:dyDescent="0.15">
      <c r="A84" s="53" t="s">
        <v>34</v>
      </c>
      <c r="B84" s="53" t="s">
        <v>257</v>
      </c>
      <c r="C84" s="53">
        <v>2019</v>
      </c>
      <c r="D84" s="138" t="s">
        <v>334</v>
      </c>
      <c r="E84" s="53" t="s">
        <v>243</v>
      </c>
      <c r="F84" s="53" t="s">
        <v>345</v>
      </c>
      <c r="G84" s="53" t="s">
        <v>36</v>
      </c>
      <c r="H84" s="53" t="s">
        <v>164</v>
      </c>
      <c r="I84" s="53" t="s">
        <v>159</v>
      </c>
      <c r="J84" s="53" t="s">
        <v>38</v>
      </c>
      <c r="K84" s="53" t="s">
        <v>161</v>
      </c>
      <c r="L84" s="53">
        <v>2</v>
      </c>
      <c r="N84" s="53">
        <v>5</v>
      </c>
      <c r="O84" s="53">
        <v>0.85</v>
      </c>
      <c r="P84" s="53">
        <v>0.9</v>
      </c>
      <c r="Q84" s="75">
        <f t="shared" si="5"/>
        <v>0.875</v>
      </c>
      <c r="R84" s="53">
        <v>14.9</v>
      </c>
      <c r="S84" s="53">
        <v>83</v>
      </c>
      <c r="T84" s="16">
        <f t="shared" si="6"/>
        <v>39</v>
      </c>
      <c r="U84" s="53">
        <v>321</v>
      </c>
      <c r="V84" s="16">
        <f t="shared" si="7"/>
        <v>2503.8000000000002</v>
      </c>
      <c r="W84" s="53">
        <v>5</v>
      </c>
      <c r="X84" s="53" t="s">
        <v>46</v>
      </c>
      <c r="Y84" s="53" t="s">
        <v>102</v>
      </c>
      <c r="Z84" s="53" t="s">
        <v>78</v>
      </c>
      <c r="AA84" s="53" t="s">
        <v>69</v>
      </c>
      <c r="AB84" s="53" t="s">
        <v>261</v>
      </c>
    </row>
    <row r="85" spans="1:28" x14ac:dyDescent="0.15">
      <c r="A85" s="53" t="s">
        <v>34</v>
      </c>
      <c r="B85" s="53" t="s">
        <v>257</v>
      </c>
      <c r="C85" s="53">
        <v>2019</v>
      </c>
      <c r="D85" s="138" t="s">
        <v>334</v>
      </c>
      <c r="E85" s="53" t="s">
        <v>243</v>
      </c>
      <c r="F85" s="53" t="s">
        <v>345</v>
      </c>
      <c r="G85" s="53" t="s">
        <v>36</v>
      </c>
      <c r="H85" s="53" t="s">
        <v>164</v>
      </c>
      <c r="I85" s="53" t="s">
        <v>159</v>
      </c>
      <c r="J85" s="53" t="s">
        <v>38</v>
      </c>
      <c r="K85" s="53" t="s">
        <v>161</v>
      </c>
      <c r="L85" s="53">
        <v>3</v>
      </c>
      <c r="N85" s="53">
        <v>5</v>
      </c>
      <c r="O85" s="53">
        <v>0.7</v>
      </c>
      <c r="P85" s="53">
        <v>0.7</v>
      </c>
      <c r="Q85" s="75">
        <f t="shared" si="5"/>
        <v>0.7</v>
      </c>
      <c r="R85" s="53">
        <v>14.5</v>
      </c>
      <c r="S85" s="53">
        <v>86</v>
      </c>
      <c r="T85" s="16">
        <f t="shared" si="6"/>
        <v>36</v>
      </c>
      <c r="U85" s="53">
        <v>321</v>
      </c>
      <c r="V85" s="16">
        <f t="shared" si="7"/>
        <v>2311.2000000000003</v>
      </c>
      <c r="W85" s="53">
        <v>5</v>
      </c>
      <c r="X85" s="53" t="s">
        <v>46</v>
      </c>
      <c r="Y85" s="53" t="s">
        <v>102</v>
      </c>
      <c r="Z85" s="53" t="s">
        <v>78</v>
      </c>
      <c r="AA85" s="53" t="s">
        <v>69</v>
      </c>
      <c r="AB85" s="53" t="s">
        <v>261</v>
      </c>
    </row>
    <row r="86" spans="1:28" x14ac:dyDescent="0.15">
      <c r="A86" s="53" t="s">
        <v>34</v>
      </c>
      <c r="B86" s="53" t="s">
        <v>257</v>
      </c>
      <c r="C86" s="53">
        <v>2019</v>
      </c>
      <c r="D86" s="138" t="s">
        <v>334</v>
      </c>
      <c r="E86" s="53" t="s">
        <v>243</v>
      </c>
      <c r="F86" s="53" t="s">
        <v>345</v>
      </c>
      <c r="G86" s="53" t="s">
        <v>36</v>
      </c>
      <c r="H86" s="53" t="s">
        <v>160</v>
      </c>
      <c r="I86" s="53" t="s">
        <v>159</v>
      </c>
      <c r="J86" s="53" t="s">
        <v>38</v>
      </c>
      <c r="K86" s="53" t="s">
        <v>161</v>
      </c>
      <c r="L86" s="53">
        <v>1</v>
      </c>
      <c r="N86" s="53">
        <v>1</v>
      </c>
      <c r="O86" s="53">
        <v>0.2</v>
      </c>
      <c r="P86" s="53">
        <v>0.2</v>
      </c>
      <c r="Q86" s="75">
        <f t="shared" si="5"/>
        <v>0.2</v>
      </c>
      <c r="R86" s="53">
        <v>14.8</v>
      </c>
      <c r="S86" s="53">
        <v>128</v>
      </c>
      <c r="T86" s="16">
        <f t="shared" si="6"/>
        <v>30</v>
      </c>
      <c r="U86" s="53">
        <v>149</v>
      </c>
      <c r="V86" s="16">
        <f t="shared" si="7"/>
        <v>4470</v>
      </c>
      <c r="W86" s="53">
        <v>1</v>
      </c>
      <c r="X86" s="53" t="s">
        <v>46</v>
      </c>
      <c r="Y86" s="53" t="s">
        <v>102</v>
      </c>
      <c r="Z86" s="53" t="s">
        <v>78</v>
      </c>
      <c r="AA86" s="53" t="s">
        <v>69</v>
      </c>
      <c r="AB86" s="53" t="s">
        <v>261</v>
      </c>
    </row>
    <row r="87" spans="1:28" x14ac:dyDescent="0.15">
      <c r="A87" s="53" t="s">
        <v>34</v>
      </c>
      <c r="B87" s="53" t="s">
        <v>257</v>
      </c>
      <c r="C87" s="53">
        <v>2019</v>
      </c>
      <c r="D87" s="138" t="s">
        <v>334</v>
      </c>
      <c r="E87" s="53" t="s">
        <v>243</v>
      </c>
      <c r="F87" s="53" t="s">
        <v>345</v>
      </c>
      <c r="G87" s="53" t="s">
        <v>36</v>
      </c>
      <c r="H87" s="53" t="s">
        <v>160</v>
      </c>
      <c r="I87" s="53" t="s">
        <v>159</v>
      </c>
      <c r="J87" s="53" t="s">
        <v>38</v>
      </c>
      <c r="K87" s="53" t="s">
        <v>161</v>
      </c>
      <c r="L87" s="53">
        <v>2</v>
      </c>
      <c r="N87" s="53">
        <v>1</v>
      </c>
      <c r="O87" s="53">
        <v>0.2</v>
      </c>
      <c r="P87" s="53">
        <v>0.2</v>
      </c>
      <c r="Q87" s="75">
        <f t="shared" si="5"/>
        <v>0.2</v>
      </c>
      <c r="R87" s="53">
        <v>14.4</v>
      </c>
      <c r="S87" s="53">
        <v>128</v>
      </c>
      <c r="T87" s="16">
        <f t="shared" si="6"/>
        <v>30</v>
      </c>
      <c r="U87" s="53">
        <v>149</v>
      </c>
      <c r="V87" s="16">
        <f t="shared" si="7"/>
        <v>4470</v>
      </c>
      <c r="W87" s="53">
        <v>1</v>
      </c>
      <c r="X87" s="53" t="s">
        <v>46</v>
      </c>
      <c r="Y87" s="53" t="s">
        <v>102</v>
      </c>
      <c r="Z87" s="53" t="s">
        <v>78</v>
      </c>
      <c r="AA87" s="53" t="s">
        <v>69</v>
      </c>
      <c r="AB87" s="53" t="s">
        <v>261</v>
      </c>
    </row>
    <row r="88" spans="1:28" x14ac:dyDescent="0.15">
      <c r="A88" s="53" t="s">
        <v>34</v>
      </c>
      <c r="B88" s="53" t="s">
        <v>257</v>
      </c>
      <c r="C88" s="53">
        <v>2019</v>
      </c>
      <c r="D88" s="138" t="s">
        <v>334</v>
      </c>
      <c r="E88" s="53" t="s">
        <v>243</v>
      </c>
      <c r="F88" s="53" t="s">
        <v>345</v>
      </c>
      <c r="G88" s="53" t="s">
        <v>36</v>
      </c>
      <c r="H88" s="53" t="s">
        <v>160</v>
      </c>
      <c r="I88" s="53" t="s">
        <v>159</v>
      </c>
      <c r="J88" s="53" t="s">
        <v>38</v>
      </c>
      <c r="K88" s="53" t="s">
        <v>161</v>
      </c>
      <c r="L88" s="53">
        <v>3</v>
      </c>
      <c r="N88" s="53">
        <v>1</v>
      </c>
      <c r="O88" s="53">
        <v>0.45</v>
      </c>
      <c r="P88" s="53">
        <v>0.45</v>
      </c>
      <c r="Q88" s="75">
        <f t="shared" si="5"/>
        <v>0.45</v>
      </c>
      <c r="R88" s="53">
        <v>14.7</v>
      </c>
      <c r="S88" s="53">
        <v>130</v>
      </c>
      <c r="T88" s="16">
        <f t="shared" si="6"/>
        <v>30</v>
      </c>
      <c r="U88" s="53">
        <v>149</v>
      </c>
      <c r="V88" s="16">
        <f t="shared" si="7"/>
        <v>4470</v>
      </c>
      <c r="W88" s="53">
        <v>1</v>
      </c>
      <c r="X88" s="53" t="s">
        <v>46</v>
      </c>
      <c r="Y88" s="53" t="s">
        <v>102</v>
      </c>
      <c r="Z88" s="53" t="s">
        <v>78</v>
      </c>
      <c r="AA88" s="53" t="s">
        <v>69</v>
      </c>
      <c r="AB88" s="53" t="s">
        <v>261</v>
      </c>
    </row>
    <row r="89" spans="1:28" x14ac:dyDescent="0.15">
      <c r="A89" s="53" t="s">
        <v>34</v>
      </c>
      <c r="B89" s="53" t="s">
        <v>257</v>
      </c>
      <c r="C89" s="53">
        <v>2019</v>
      </c>
      <c r="D89" s="138" t="s">
        <v>334</v>
      </c>
      <c r="E89" s="53" t="s">
        <v>350</v>
      </c>
      <c r="F89" s="53" t="s">
        <v>351</v>
      </c>
      <c r="G89" s="53" t="s">
        <v>36</v>
      </c>
      <c r="H89" s="53" t="s">
        <v>164</v>
      </c>
      <c r="I89" s="53" t="s">
        <v>159</v>
      </c>
      <c r="J89" s="53" t="s">
        <v>38</v>
      </c>
      <c r="K89" s="53" t="s">
        <v>161</v>
      </c>
      <c r="L89" s="53">
        <v>1</v>
      </c>
      <c r="N89" s="53">
        <v>1</v>
      </c>
      <c r="O89" s="53">
        <v>0.6</v>
      </c>
      <c r="P89" s="53">
        <v>0.6</v>
      </c>
      <c r="Q89" s="75">
        <f t="shared" si="5"/>
        <v>0.6</v>
      </c>
      <c r="R89" s="53">
        <v>14.6</v>
      </c>
      <c r="S89" s="53">
        <v>118</v>
      </c>
      <c r="T89" s="16">
        <f t="shared" si="6"/>
        <v>30</v>
      </c>
      <c r="U89" s="53">
        <v>100</v>
      </c>
      <c r="V89" s="16">
        <f t="shared" si="7"/>
        <v>3000</v>
      </c>
      <c r="W89" s="53">
        <v>2</v>
      </c>
      <c r="X89" s="53" t="s">
        <v>46</v>
      </c>
      <c r="Y89" s="53" t="s">
        <v>55</v>
      </c>
      <c r="Z89" s="53" t="s">
        <v>88</v>
      </c>
      <c r="AA89" s="53" t="s">
        <v>97</v>
      </c>
      <c r="AB89" s="53" t="s">
        <v>261</v>
      </c>
    </row>
    <row r="90" spans="1:28" x14ac:dyDescent="0.15">
      <c r="A90" s="53" t="s">
        <v>34</v>
      </c>
      <c r="B90" s="53" t="s">
        <v>257</v>
      </c>
      <c r="C90" s="53">
        <v>2019</v>
      </c>
      <c r="D90" s="138" t="s">
        <v>334</v>
      </c>
      <c r="E90" s="53" t="s">
        <v>350</v>
      </c>
      <c r="F90" s="53" t="s">
        <v>351</v>
      </c>
      <c r="G90" s="53" t="s">
        <v>36</v>
      </c>
      <c r="H90" s="53" t="s">
        <v>164</v>
      </c>
      <c r="I90" s="53" t="s">
        <v>159</v>
      </c>
      <c r="J90" s="53" t="s">
        <v>38</v>
      </c>
      <c r="K90" s="53" t="s">
        <v>161</v>
      </c>
      <c r="L90" s="53">
        <v>2</v>
      </c>
      <c r="N90" s="53">
        <v>1</v>
      </c>
      <c r="O90" s="53">
        <v>0.65</v>
      </c>
      <c r="P90" s="53">
        <v>0.6</v>
      </c>
      <c r="Q90" s="75">
        <f t="shared" si="5"/>
        <v>0.625</v>
      </c>
      <c r="R90" s="53">
        <v>12.9</v>
      </c>
      <c r="S90" s="53">
        <v>112</v>
      </c>
      <c r="T90" s="16">
        <f t="shared" si="6"/>
        <v>33</v>
      </c>
      <c r="U90" s="53">
        <v>100</v>
      </c>
      <c r="V90" s="16">
        <f t="shared" si="7"/>
        <v>3300</v>
      </c>
      <c r="W90" s="53">
        <v>2</v>
      </c>
      <c r="X90" s="53" t="s">
        <v>46</v>
      </c>
      <c r="Y90" s="53" t="s">
        <v>55</v>
      </c>
      <c r="Z90" s="53" t="s">
        <v>88</v>
      </c>
      <c r="AA90" s="53" t="s">
        <v>97</v>
      </c>
      <c r="AB90" s="53" t="s">
        <v>261</v>
      </c>
    </row>
    <row r="91" spans="1:28" x14ac:dyDescent="0.15">
      <c r="A91" s="53" t="s">
        <v>34</v>
      </c>
      <c r="B91" s="53" t="s">
        <v>257</v>
      </c>
      <c r="C91" s="53">
        <v>2019</v>
      </c>
      <c r="D91" s="138" t="s">
        <v>334</v>
      </c>
      <c r="E91" s="53" t="s">
        <v>350</v>
      </c>
      <c r="F91" s="53" t="s">
        <v>351</v>
      </c>
      <c r="G91" s="53" t="s">
        <v>36</v>
      </c>
      <c r="H91" s="53" t="s">
        <v>164</v>
      </c>
      <c r="I91" s="53" t="s">
        <v>159</v>
      </c>
      <c r="J91" s="53" t="s">
        <v>38</v>
      </c>
      <c r="K91" s="53" t="s">
        <v>161</v>
      </c>
      <c r="L91" s="53">
        <v>3</v>
      </c>
      <c r="N91" s="53">
        <v>1</v>
      </c>
      <c r="O91" s="53">
        <v>0.6</v>
      </c>
      <c r="P91" s="53">
        <v>0.5</v>
      </c>
      <c r="Q91" s="75">
        <f t="shared" si="5"/>
        <v>0.55000000000000004</v>
      </c>
      <c r="R91" s="53">
        <v>16.5</v>
      </c>
      <c r="S91" s="53">
        <v>112</v>
      </c>
      <c r="T91" s="16">
        <f t="shared" si="6"/>
        <v>33</v>
      </c>
      <c r="U91" s="53">
        <v>100</v>
      </c>
      <c r="V91" s="16">
        <f t="shared" si="7"/>
        <v>3300</v>
      </c>
      <c r="W91" s="53">
        <v>2</v>
      </c>
      <c r="X91" s="53" t="s">
        <v>46</v>
      </c>
      <c r="Y91" s="53" t="s">
        <v>55</v>
      </c>
      <c r="Z91" s="53" t="s">
        <v>88</v>
      </c>
      <c r="AA91" s="53" t="s">
        <v>97</v>
      </c>
      <c r="AB91" s="53" t="s">
        <v>261</v>
      </c>
    </row>
    <row r="92" spans="1:28" x14ac:dyDescent="0.15">
      <c r="A92" s="53" t="s">
        <v>34</v>
      </c>
      <c r="B92" s="53" t="s">
        <v>257</v>
      </c>
      <c r="C92" s="53">
        <v>2019</v>
      </c>
      <c r="D92" s="138" t="s">
        <v>334</v>
      </c>
      <c r="E92" s="53" t="s">
        <v>350</v>
      </c>
      <c r="F92" s="53" t="s">
        <v>351</v>
      </c>
      <c r="G92" s="53" t="s">
        <v>36</v>
      </c>
      <c r="H92" s="53" t="s">
        <v>160</v>
      </c>
      <c r="I92" s="53" t="s">
        <v>159</v>
      </c>
      <c r="J92" s="53" t="s">
        <v>38</v>
      </c>
      <c r="K92" s="53" t="s">
        <v>161</v>
      </c>
      <c r="L92" s="53">
        <v>1</v>
      </c>
      <c r="N92" s="53">
        <v>1</v>
      </c>
      <c r="O92" s="53">
        <v>0.45</v>
      </c>
      <c r="P92" s="53">
        <v>0.45</v>
      </c>
      <c r="Q92" s="75">
        <f t="shared" si="5"/>
        <v>0.45</v>
      </c>
      <c r="R92" s="53">
        <v>16.3</v>
      </c>
      <c r="S92" s="53">
        <v>122</v>
      </c>
      <c r="T92" s="16">
        <f t="shared" si="6"/>
        <v>30</v>
      </c>
      <c r="U92" s="53">
        <v>100</v>
      </c>
      <c r="V92" s="16">
        <f t="shared" si="7"/>
        <v>3000</v>
      </c>
      <c r="W92" s="53">
        <v>2</v>
      </c>
      <c r="X92" s="53" t="s">
        <v>46</v>
      </c>
      <c r="Y92" s="53" t="s">
        <v>55</v>
      </c>
      <c r="Z92" s="53" t="s">
        <v>88</v>
      </c>
      <c r="AA92" s="53" t="s">
        <v>97</v>
      </c>
      <c r="AB92" s="53" t="s">
        <v>261</v>
      </c>
    </row>
    <row r="93" spans="1:28" x14ac:dyDescent="0.15">
      <c r="A93" s="53" t="s">
        <v>34</v>
      </c>
      <c r="B93" s="53" t="s">
        <v>257</v>
      </c>
      <c r="C93" s="53">
        <v>2019</v>
      </c>
      <c r="D93" s="138" t="s">
        <v>334</v>
      </c>
      <c r="E93" s="53" t="s">
        <v>350</v>
      </c>
      <c r="F93" s="53" t="s">
        <v>351</v>
      </c>
      <c r="G93" s="53" t="s">
        <v>36</v>
      </c>
      <c r="H93" s="53" t="s">
        <v>160</v>
      </c>
      <c r="I93" s="53" t="s">
        <v>159</v>
      </c>
      <c r="J93" s="53" t="s">
        <v>38</v>
      </c>
      <c r="K93" s="53" t="s">
        <v>161</v>
      </c>
      <c r="L93" s="53">
        <v>2</v>
      </c>
      <c r="N93" s="53">
        <v>1</v>
      </c>
      <c r="O93" s="53">
        <v>0.45</v>
      </c>
      <c r="P93" s="53">
        <v>0.2</v>
      </c>
      <c r="Q93" s="75">
        <f t="shared" si="5"/>
        <v>0.32500000000000001</v>
      </c>
      <c r="R93" s="53">
        <v>17.8</v>
      </c>
      <c r="S93" s="53">
        <v>128</v>
      </c>
      <c r="T93" s="16">
        <f t="shared" si="6"/>
        <v>30</v>
      </c>
      <c r="U93" s="53">
        <v>100</v>
      </c>
      <c r="V93" s="16">
        <f t="shared" si="7"/>
        <v>3000</v>
      </c>
      <c r="W93" s="53">
        <v>2</v>
      </c>
      <c r="X93" s="53" t="s">
        <v>46</v>
      </c>
      <c r="Y93" s="53" t="s">
        <v>55</v>
      </c>
      <c r="Z93" s="53" t="s">
        <v>88</v>
      </c>
      <c r="AA93" s="53" t="s">
        <v>97</v>
      </c>
      <c r="AB93" s="53" t="s">
        <v>261</v>
      </c>
    </row>
    <row r="94" spans="1:28" x14ac:dyDescent="0.15">
      <c r="A94" s="53" t="s">
        <v>34</v>
      </c>
      <c r="B94" s="53" t="s">
        <v>257</v>
      </c>
      <c r="C94" s="53">
        <v>2019</v>
      </c>
      <c r="D94" s="138" t="s">
        <v>334</v>
      </c>
      <c r="E94" s="53" t="s">
        <v>350</v>
      </c>
      <c r="F94" s="53" t="s">
        <v>351</v>
      </c>
      <c r="G94" s="53" t="s">
        <v>36</v>
      </c>
      <c r="H94" s="53" t="s">
        <v>160</v>
      </c>
      <c r="I94" s="53" t="s">
        <v>159</v>
      </c>
      <c r="J94" s="53" t="s">
        <v>38</v>
      </c>
      <c r="K94" s="53" t="s">
        <v>161</v>
      </c>
      <c r="L94" s="53">
        <v>3</v>
      </c>
      <c r="N94" s="53">
        <v>1</v>
      </c>
      <c r="O94" s="53">
        <v>0.55000000000000004</v>
      </c>
      <c r="P94" s="53">
        <v>0.5</v>
      </c>
      <c r="Q94" s="75">
        <f t="shared" si="5"/>
        <v>0.52500000000000002</v>
      </c>
      <c r="R94" s="53">
        <v>16</v>
      </c>
      <c r="S94" s="53">
        <v>128</v>
      </c>
      <c r="T94" s="16">
        <f t="shared" si="6"/>
        <v>30</v>
      </c>
      <c r="U94" s="53">
        <v>100</v>
      </c>
      <c r="V94" s="16">
        <f t="shared" si="7"/>
        <v>3000</v>
      </c>
      <c r="W94" s="53">
        <v>2</v>
      </c>
      <c r="X94" s="53" t="s">
        <v>46</v>
      </c>
      <c r="Y94" s="53" t="s">
        <v>55</v>
      </c>
      <c r="Z94" s="53" t="s">
        <v>88</v>
      </c>
      <c r="AA94" s="53" t="s">
        <v>97</v>
      </c>
      <c r="AB94" s="53" t="s">
        <v>261</v>
      </c>
    </row>
    <row r="95" spans="1:28" x14ac:dyDescent="0.15">
      <c r="A95" s="53" t="s">
        <v>34</v>
      </c>
      <c r="B95" s="53" t="s">
        <v>257</v>
      </c>
      <c r="C95" s="53">
        <v>2019</v>
      </c>
      <c r="D95" s="138" t="s">
        <v>334</v>
      </c>
      <c r="E95" s="53" t="s">
        <v>346</v>
      </c>
      <c r="F95" s="53" t="s">
        <v>347</v>
      </c>
      <c r="G95" s="53" t="s">
        <v>36</v>
      </c>
      <c r="H95" s="53" t="s">
        <v>164</v>
      </c>
      <c r="I95" s="53" t="s">
        <v>159</v>
      </c>
      <c r="J95" s="53" t="s">
        <v>38</v>
      </c>
      <c r="K95" s="53" t="s">
        <v>161</v>
      </c>
      <c r="L95" s="53">
        <v>1</v>
      </c>
      <c r="N95" s="53">
        <v>1</v>
      </c>
      <c r="O95" s="53">
        <v>0.45</v>
      </c>
      <c r="P95" s="53">
        <v>0.45</v>
      </c>
      <c r="Q95" s="75">
        <f t="shared" si="5"/>
        <v>0.45</v>
      </c>
      <c r="R95" s="53">
        <v>17.100000000000001</v>
      </c>
      <c r="S95" s="53">
        <v>124</v>
      </c>
      <c r="T95" s="16">
        <f t="shared" si="6"/>
        <v>30</v>
      </c>
      <c r="U95" s="53">
        <v>105</v>
      </c>
      <c r="V95" s="16">
        <f t="shared" si="7"/>
        <v>3150</v>
      </c>
      <c r="W95" s="53">
        <v>4</v>
      </c>
      <c r="X95" s="53" t="s">
        <v>46</v>
      </c>
      <c r="Y95" s="53" t="s">
        <v>102</v>
      </c>
      <c r="Z95" s="53" t="s">
        <v>90</v>
      </c>
      <c r="AA95" s="53" t="s">
        <v>55</v>
      </c>
      <c r="AB95" s="53" t="s">
        <v>261</v>
      </c>
    </row>
    <row r="96" spans="1:28" x14ac:dyDescent="0.15">
      <c r="A96" s="53" t="s">
        <v>34</v>
      </c>
      <c r="B96" s="53" t="s">
        <v>257</v>
      </c>
      <c r="C96" s="53">
        <v>2019</v>
      </c>
      <c r="D96" s="138" t="s">
        <v>334</v>
      </c>
      <c r="E96" s="53" t="s">
        <v>346</v>
      </c>
      <c r="F96" s="53" t="s">
        <v>347</v>
      </c>
      <c r="G96" s="53" t="s">
        <v>36</v>
      </c>
      <c r="H96" s="53" t="s">
        <v>164</v>
      </c>
      <c r="I96" s="53" t="s">
        <v>159</v>
      </c>
      <c r="J96" s="53" t="s">
        <v>38</v>
      </c>
      <c r="K96" s="53" t="s">
        <v>161</v>
      </c>
      <c r="L96" s="53">
        <v>2</v>
      </c>
      <c r="N96" s="53">
        <v>1</v>
      </c>
      <c r="O96" s="53">
        <v>0.2</v>
      </c>
      <c r="P96" s="53">
        <v>0.2</v>
      </c>
      <c r="Q96" s="75">
        <f t="shared" si="5"/>
        <v>0.2</v>
      </c>
      <c r="R96" s="53">
        <v>16.8</v>
      </c>
      <c r="S96" s="53">
        <v>122</v>
      </c>
      <c r="T96" s="16">
        <f t="shared" si="6"/>
        <v>30</v>
      </c>
      <c r="U96" s="53">
        <v>105</v>
      </c>
      <c r="V96" s="16">
        <f t="shared" si="7"/>
        <v>3150</v>
      </c>
      <c r="W96" s="53">
        <v>5</v>
      </c>
      <c r="X96" s="53" t="s">
        <v>46</v>
      </c>
      <c r="Y96" s="53" t="s">
        <v>102</v>
      </c>
      <c r="Z96" s="53" t="s">
        <v>90</v>
      </c>
      <c r="AA96" s="53" t="s">
        <v>55</v>
      </c>
      <c r="AB96" s="53" t="s">
        <v>261</v>
      </c>
    </row>
    <row r="97" spans="1:28" x14ac:dyDescent="0.15">
      <c r="A97" s="53" t="s">
        <v>34</v>
      </c>
      <c r="B97" s="53" t="s">
        <v>257</v>
      </c>
      <c r="C97" s="53">
        <v>2019</v>
      </c>
      <c r="D97" s="138" t="s">
        <v>334</v>
      </c>
      <c r="E97" s="53" t="s">
        <v>346</v>
      </c>
      <c r="F97" s="53" t="s">
        <v>347</v>
      </c>
      <c r="G97" s="53" t="s">
        <v>36</v>
      </c>
      <c r="H97" s="53" t="s">
        <v>164</v>
      </c>
      <c r="I97" s="53" t="s">
        <v>159</v>
      </c>
      <c r="J97" s="53" t="s">
        <v>38</v>
      </c>
      <c r="K97" s="53" t="s">
        <v>161</v>
      </c>
      <c r="L97" s="53">
        <v>3</v>
      </c>
      <c r="N97" s="53">
        <v>1</v>
      </c>
      <c r="O97" s="53">
        <v>0.55000000000000004</v>
      </c>
      <c r="P97" s="53">
        <v>0.6</v>
      </c>
      <c r="Q97" s="75">
        <f t="shared" si="5"/>
        <v>0.57499999999999996</v>
      </c>
      <c r="R97" s="53">
        <v>16.2</v>
      </c>
      <c r="S97" s="53">
        <v>128</v>
      </c>
      <c r="T97" s="16">
        <f t="shared" si="6"/>
        <v>30</v>
      </c>
      <c r="U97" s="53">
        <v>105</v>
      </c>
      <c r="V97" s="16">
        <f t="shared" si="7"/>
        <v>3150</v>
      </c>
      <c r="W97" s="53">
        <v>6</v>
      </c>
      <c r="X97" s="53" t="s">
        <v>46</v>
      </c>
      <c r="Y97" s="53" t="s">
        <v>102</v>
      </c>
      <c r="Z97" s="53" t="s">
        <v>90</v>
      </c>
      <c r="AA97" s="53" t="s">
        <v>55</v>
      </c>
      <c r="AB97" s="53" t="s">
        <v>261</v>
      </c>
    </row>
    <row r="98" spans="1:28" x14ac:dyDescent="0.15">
      <c r="A98" s="53" t="s">
        <v>34</v>
      </c>
      <c r="B98" s="53" t="s">
        <v>257</v>
      </c>
      <c r="C98" s="53">
        <v>2019</v>
      </c>
      <c r="D98" s="138" t="s">
        <v>334</v>
      </c>
      <c r="E98" s="53" t="s">
        <v>346</v>
      </c>
      <c r="F98" s="53" t="s">
        <v>347</v>
      </c>
      <c r="G98" s="53" t="s">
        <v>36</v>
      </c>
      <c r="H98" s="53" t="s">
        <v>164</v>
      </c>
      <c r="I98" s="53" t="s">
        <v>159</v>
      </c>
      <c r="J98" s="53" t="s">
        <v>38</v>
      </c>
      <c r="K98" s="53" t="s">
        <v>161</v>
      </c>
      <c r="L98" s="53">
        <v>1</v>
      </c>
      <c r="N98" s="53">
        <v>8</v>
      </c>
      <c r="O98" s="53">
        <v>0.2</v>
      </c>
      <c r="P98" s="53">
        <v>0.2</v>
      </c>
      <c r="Q98" s="75">
        <f t="shared" si="5"/>
        <v>0.2</v>
      </c>
      <c r="R98" s="53">
        <v>17.7</v>
      </c>
      <c r="S98" s="53">
        <v>95</v>
      </c>
      <c r="T98" s="16">
        <f t="shared" si="6"/>
        <v>36</v>
      </c>
      <c r="U98" s="53">
        <v>410</v>
      </c>
      <c r="V98" s="16">
        <f t="shared" si="7"/>
        <v>1845</v>
      </c>
      <c r="W98" s="53">
        <v>7</v>
      </c>
      <c r="X98" s="53" t="s">
        <v>46</v>
      </c>
      <c r="Y98" s="53" t="s">
        <v>102</v>
      </c>
      <c r="Z98" s="53" t="s">
        <v>90</v>
      </c>
      <c r="AA98" s="53" t="s">
        <v>55</v>
      </c>
      <c r="AB98" s="53" t="s">
        <v>261</v>
      </c>
    </row>
    <row r="99" spans="1:28" x14ac:dyDescent="0.15">
      <c r="A99" s="53" t="s">
        <v>34</v>
      </c>
      <c r="B99" s="53" t="s">
        <v>257</v>
      </c>
      <c r="C99" s="53">
        <v>2019</v>
      </c>
      <c r="D99" s="138" t="s">
        <v>334</v>
      </c>
      <c r="E99" s="53" t="s">
        <v>346</v>
      </c>
      <c r="F99" s="53" t="s">
        <v>347</v>
      </c>
      <c r="G99" s="53" t="s">
        <v>36</v>
      </c>
      <c r="H99" s="53" t="s">
        <v>164</v>
      </c>
      <c r="I99" s="53" t="s">
        <v>159</v>
      </c>
      <c r="J99" s="53" t="s">
        <v>38</v>
      </c>
      <c r="K99" s="53" t="s">
        <v>161</v>
      </c>
      <c r="L99" s="53">
        <v>2</v>
      </c>
      <c r="N99" s="53">
        <v>8</v>
      </c>
      <c r="O99" s="53">
        <v>0.2</v>
      </c>
      <c r="P99" s="53">
        <v>0.2</v>
      </c>
      <c r="Q99" s="75">
        <f t="shared" si="5"/>
        <v>0.2</v>
      </c>
      <c r="R99" s="53">
        <v>14.5</v>
      </c>
      <c r="S99" s="53">
        <v>91</v>
      </c>
      <c r="T99" s="16">
        <f t="shared" si="6"/>
        <v>36</v>
      </c>
      <c r="U99" s="53">
        <v>410</v>
      </c>
      <c r="V99" s="16">
        <f t="shared" si="7"/>
        <v>1845</v>
      </c>
      <c r="W99" s="53">
        <v>8</v>
      </c>
      <c r="X99" s="53" t="s">
        <v>46</v>
      </c>
      <c r="Y99" s="53" t="s">
        <v>102</v>
      </c>
      <c r="Z99" s="53" t="s">
        <v>90</v>
      </c>
      <c r="AA99" s="53" t="s">
        <v>55</v>
      </c>
      <c r="AB99" s="53" t="s">
        <v>261</v>
      </c>
    </row>
    <row r="100" spans="1:28" x14ac:dyDescent="0.15">
      <c r="A100" s="53" t="s">
        <v>34</v>
      </c>
      <c r="B100" s="53" t="s">
        <v>257</v>
      </c>
      <c r="C100" s="53">
        <v>2019</v>
      </c>
      <c r="D100" s="138" t="s">
        <v>334</v>
      </c>
      <c r="E100" s="53" t="s">
        <v>346</v>
      </c>
      <c r="F100" s="53" t="s">
        <v>347</v>
      </c>
      <c r="G100" s="53" t="s">
        <v>36</v>
      </c>
      <c r="H100" s="53" t="s">
        <v>164</v>
      </c>
      <c r="I100" s="53" t="s">
        <v>159</v>
      </c>
      <c r="J100" s="53" t="s">
        <v>38</v>
      </c>
      <c r="K100" s="53" t="s">
        <v>161</v>
      </c>
      <c r="L100" s="53">
        <v>3</v>
      </c>
      <c r="N100" s="53">
        <v>8</v>
      </c>
      <c r="O100" s="53">
        <v>0.2</v>
      </c>
      <c r="P100" s="53">
        <v>0.2</v>
      </c>
      <c r="Q100" s="75">
        <f t="shared" si="5"/>
        <v>0.2</v>
      </c>
      <c r="R100" s="53">
        <v>13.7</v>
      </c>
      <c r="S100" s="53">
        <v>86</v>
      </c>
      <c r="T100" s="16">
        <f t="shared" si="6"/>
        <v>36</v>
      </c>
      <c r="U100" s="53">
        <v>410</v>
      </c>
      <c r="V100" s="16">
        <f t="shared" si="7"/>
        <v>1845</v>
      </c>
      <c r="W100" s="53">
        <v>9</v>
      </c>
      <c r="X100" s="53" t="s">
        <v>46</v>
      </c>
      <c r="Y100" s="53" t="s">
        <v>102</v>
      </c>
      <c r="Z100" s="53" t="s">
        <v>90</v>
      </c>
      <c r="AA100" s="53" t="s">
        <v>55</v>
      </c>
      <c r="AB100" s="53" t="s">
        <v>261</v>
      </c>
    </row>
    <row r="101" spans="1:28" x14ac:dyDescent="0.15">
      <c r="A101" s="53" t="s">
        <v>34</v>
      </c>
      <c r="B101" s="53" t="s">
        <v>257</v>
      </c>
      <c r="C101" s="53">
        <v>2019</v>
      </c>
      <c r="D101" s="138" t="s">
        <v>334</v>
      </c>
      <c r="E101" s="53" t="s">
        <v>346</v>
      </c>
      <c r="F101" s="53" t="s">
        <v>347</v>
      </c>
      <c r="G101" s="53" t="s">
        <v>36</v>
      </c>
      <c r="H101" s="53" t="s">
        <v>160</v>
      </c>
      <c r="I101" s="53" t="s">
        <v>159</v>
      </c>
      <c r="J101" s="53" t="s">
        <v>38</v>
      </c>
      <c r="K101" s="53" t="s">
        <v>161</v>
      </c>
      <c r="L101" s="53">
        <v>1</v>
      </c>
      <c r="N101" s="53">
        <v>1</v>
      </c>
      <c r="O101" s="53">
        <v>0.2</v>
      </c>
      <c r="P101" s="53">
        <v>0.2</v>
      </c>
      <c r="Q101" s="75">
        <f t="shared" si="5"/>
        <v>0.2</v>
      </c>
      <c r="R101" s="53">
        <v>11.9</v>
      </c>
      <c r="S101" s="53">
        <v>142</v>
      </c>
      <c r="T101" s="16">
        <f t="shared" si="6"/>
        <v>30</v>
      </c>
      <c r="U101" s="53">
        <v>105</v>
      </c>
      <c r="V101" s="16">
        <f t="shared" si="7"/>
        <v>3150</v>
      </c>
      <c r="W101" s="53">
        <v>10</v>
      </c>
      <c r="X101" s="53" t="s">
        <v>46</v>
      </c>
      <c r="Y101" s="53" t="s">
        <v>102</v>
      </c>
      <c r="Z101" s="53" t="s">
        <v>90</v>
      </c>
      <c r="AA101" s="53" t="s">
        <v>55</v>
      </c>
      <c r="AB101" s="53" t="s">
        <v>261</v>
      </c>
    </row>
    <row r="102" spans="1:28" x14ac:dyDescent="0.15">
      <c r="A102" s="53" t="s">
        <v>34</v>
      </c>
      <c r="B102" s="53" t="s">
        <v>257</v>
      </c>
      <c r="C102" s="53">
        <v>2019</v>
      </c>
      <c r="D102" s="138" t="s">
        <v>334</v>
      </c>
      <c r="E102" s="53" t="s">
        <v>346</v>
      </c>
      <c r="F102" s="53" t="s">
        <v>347</v>
      </c>
      <c r="G102" s="53" t="s">
        <v>36</v>
      </c>
      <c r="H102" s="53" t="s">
        <v>160</v>
      </c>
      <c r="I102" s="53" t="s">
        <v>159</v>
      </c>
      <c r="J102" s="53" t="s">
        <v>38</v>
      </c>
      <c r="K102" s="53" t="s">
        <v>161</v>
      </c>
      <c r="L102" s="53">
        <v>2</v>
      </c>
      <c r="N102" s="53">
        <v>1</v>
      </c>
      <c r="O102" s="53">
        <v>0.2</v>
      </c>
      <c r="P102" s="53">
        <v>0.2</v>
      </c>
      <c r="Q102" s="75">
        <f t="shared" si="5"/>
        <v>0.2</v>
      </c>
      <c r="R102" s="53">
        <v>17.899999999999999</v>
      </c>
      <c r="S102" s="53">
        <v>138</v>
      </c>
      <c r="T102" s="16">
        <f t="shared" si="6"/>
        <v>30</v>
      </c>
      <c r="U102" s="53">
        <v>105</v>
      </c>
      <c r="V102" s="16">
        <f t="shared" si="7"/>
        <v>3150</v>
      </c>
      <c r="W102" s="53">
        <v>11</v>
      </c>
      <c r="X102" s="53" t="s">
        <v>46</v>
      </c>
      <c r="Y102" s="53" t="s">
        <v>102</v>
      </c>
      <c r="Z102" s="53" t="s">
        <v>90</v>
      </c>
      <c r="AA102" s="53" t="s">
        <v>55</v>
      </c>
      <c r="AB102" s="53" t="s">
        <v>261</v>
      </c>
    </row>
    <row r="103" spans="1:28" x14ac:dyDescent="0.15">
      <c r="A103" s="53" t="s">
        <v>34</v>
      </c>
      <c r="B103" s="53" t="s">
        <v>257</v>
      </c>
      <c r="C103" s="53">
        <v>2019</v>
      </c>
      <c r="D103" s="138" t="s">
        <v>334</v>
      </c>
      <c r="E103" s="53" t="s">
        <v>346</v>
      </c>
      <c r="F103" s="53" t="s">
        <v>347</v>
      </c>
      <c r="G103" s="53" t="s">
        <v>36</v>
      </c>
      <c r="H103" s="53" t="s">
        <v>160</v>
      </c>
      <c r="I103" s="53" t="s">
        <v>159</v>
      </c>
      <c r="J103" s="53" t="s">
        <v>38</v>
      </c>
      <c r="K103" s="53" t="s">
        <v>161</v>
      </c>
      <c r="L103" s="53">
        <v>3</v>
      </c>
      <c r="N103" s="53">
        <v>1</v>
      </c>
      <c r="O103" s="53">
        <v>0.2</v>
      </c>
      <c r="P103" s="53">
        <v>0.2</v>
      </c>
      <c r="Q103" s="75">
        <f t="shared" si="5"/>
        <v>0.2</v>
      </c>
      <c r="R103" s="53">
        <v>18</v>
      </c>
      <c r="S103" s="53">
        <v>140</v>
      </c>
      <c r="T103" s="16">
        <f t="shared" si="6"/>
        <v>30</v>
      </c>
      <c r="U103" s="53">
        <v>105</v>
      </c>
      <c r="V103" s="16">
        <f t="shared" si="7"/>
        <v>3150</v>
      </c>
      <c r="W103" s="53">
        <v>12</v>
      </c>
      <c r="X103" s="53" t="s">
        <v>46</v>
      </c>
      <c r="Y103" s="53" t="s">
        <v>102</v>
      </c>
      <c r="Z103" s="53" t="s">
        <v>90</v>
      </c>
      <c r="AA103" s="53" t="s">
        <v>55</v>
      </c>
      <c r="AB103" s="53" t="s">
        <v>261</v>
      </c>
    </row>
    <row r="104" spans="1:28" x14ac:dyDescent="0.15">
      <c r="A104" s="53" t="s">
        <v>34</v>
      </c>
      <c r="B104" s="53" t="s">
        <v>257</v>
      </c>
      <c r="C104" s="53">
        <v>2019</v>
      </c>
      <c r="D104" s="138" t="s">
        <v>334</v>
      </c>
      <c r="E104" s="53" t="s">
        <v>346</v>
      </c>
      <c r="F104" s="53" t="s">
        <v>347</v>
      </c>
      <c r="G104" s="53" t="s">
        <v>36</v>
      </c>
      <c r="H104" s="53" t="s">
        <v>160</v>
      </c>
      <c r="I104" s="53" t="s">
        <v>159</v>
      </c>
      <c r="J104" s="53" t="s">
        <v>38</v>
      </c>
      <c r="K104" s="53" t="s">
        <v>161</v>
      </c>
      <c r="L104" s="53">
        <v>1</v>
      </c>
      <c r="N104" s="53">
        <v>8</v>
      </c>
      <c r="O104" s="53">
        <v>0.5</v>
      </c>
      <c r="P104" s="53">
        <v>0.2</v>
      </c>
      <c r="Q104" s="75">
        <f t="shared" si="5"/>
        <v>0.35</v>
      </c>
      <c r="R104" s="53">
        <v>11.7</v>
      </c>
      <c r="S104" s="53">
        <v>99</v>
      </c>
      <c r="T104" s="16">
        <f t="shared" si="6"/>
        <v>33</v>
      </c>
      <c r="U104" s="53">
        <v>626</v>
      </c>
      <c r="V104" s="16">
        <f t="shared" si="7"/>
        <v>2582.25</v>
      </c>
      <c r="W104" s="53">
        <v>13</v>
      </c>
      <c r="X104" s="53" t="s">
        <v>46</v>
      </c>
      <c r="Y104" s="53" t="s">
        <v>102</v>
      </c>
      <c r="Z104" s="53" t="s">
        <v>90</v>
      </c>
      <c r="AA104" s="53" t="s">
        <v>55</v>
      </c>
      <c r="AB104" s="53" t="s">
        <v>261</v>
      </c>
    </row>
    <row r="105" spans="1:28" x14ac:dyDescent="0.15">
      <c r="A105" s="53" t="s">
        <v>34</v>
      </c>
      <c r="B105" s="53" t="s">
        <v>257</v>
      </c>
      <c r="C105" s="53">
        <v>2019</v>
      </c>
      <c r="D105" s="138" t="s">
        <v>334</v>
      </c>
      <c r="E105" s="53" t="s">
        <v>346</v>
      </c>
      <c r="F105" s="53" t="s">
        <v>347</v>
      </c>
      <c r="G105" s="53" t="s">
        <v>36</v>
      </c>
      <c r="H105" s="53" t="s">
        <v>160</v>
      </c>
      <c r="I105" s="53" t="s">
        <v>159</v>
      </c>
      <c r="J105" s="53" t="s">
        <v>38</v>
      </c>
      <c r="K105" s="53" t="s">
        <v>161</v>
      </c>
      <c r="L105" s="53">
        <v>2</v>
      </c>
      <c r="N105" s="53">
        <v>8</v>
      </c>
      <c r="O105" s="53">
        <v>0.6</v>
      </c>
      <c r="P105" s="53">
        <v>0.6</v>
      </c>
      <c r="Q105" s="75">
        <f t="shared" si="5"/>
        <v>0.6</v>
      </c>
      <c r="R105" s="53">
        <v>15.4</v>
      </c>
      <c r="S105" s="53">
        <v>108</v>
      </c>
      <c r="T105" s="16">
        <f t="shared" si="6"/>
        <v>33</v>
      </c>
      <c r="U105" s="53">
        <v>626</v>
      </c>
      <c r="V105" s="16">
        <f t="shared" si="7"/>
        <v>2582.25</v>
      </c>
      <c r="W105" s="53">
        <v>14</v>
      </c>
      <c r="X105" s="53" t="s">
        <v>46</v>
      </c>
      <c r="Y105" s="53" t="s">
        <v>102</v>
      </c>
      <c r="Z105" s="53" t="s">
        <v>90</v>
      </c>
      <c r="AA105" s="53" t="s">
        <v>55</v>
      </c>
      <c r="AB105" s="53" t="s">
        <v>261</v>
      </c>
    </row>
    <row r="106" spans="1:28" x14ac:dyDescent="0.15">
      <c r="A106" s="53" t="s">
        <v>34</v>
      </c>
      <c r="B106" s="53" t="s">
        <v>257</v>
      </c>
      <c r="C106" s="53">
        <v>2019</v>
      </c>
      <c r="D106" s="138" t="s">
        <v>334</v>
      </c>
      <c r="E106" s="53" t="s">
        <v>346</v>
      </c>
      <c r="F106" s="53" t="s">
        <v>347</v>
      </c>
      <c r="G106" s="53" t="s">
        <v>36</v>
      </c>
      <c r="H106" s="53" t="s">
        <v>160</v>
      </c>
      <c r="I106" s="53" t="s">
        <v>159</v>
      </c>
      <c r="J106" s="53" t="s">
        <v>38</v>
      </c>
      <c r="K106" s="53" t="s">
        <v>161</v>
      </c>
      <c r="L106" s="53">
        <v>3</v>
      </c>
      <c r="N106" s="53">
        <v>8</v>
      </c>
      <c r="O106" s="53">
        <v>0.5</v>
      </c>
      <c r="P106" s="53">
        <v>0.55000000000000004</v>
      </c>
      <c r="Q106" s="75">
        <f t="shared" si="5"/>
        <v>0.52500000000000002</v>
      </c>
      <c r="R106" s="53">
        <v>14.5</v>
      </c>
      <c r="S106" s="53">
        <v>108</v>
      </c>
      <c r="T106" s="16">
        <f t="shared" si="6"/>
        <v>33</v>
      </c>
      <c r="U106" s="53">
        <v>626</v>
      </c>
      <c r="V106" s="16">
        <f t="shared" si="7"/>
        <v>2582.25</v>
      </c>
      <c r="W106" s="53">
        <v>15</v>
      </c>
      <c r="X106" s="53" t="s">
        <v>46</v>
      </c>
      <c r="Y106" s="53" t="s">
        <v>102</v>
      </c>
      <c r="Z106" s="53" t="s">
        <v>90</v>
      </c>
      <c r="AA106" s="53" t="s">
        <v>55</v>
      </c>
      <c r="AB106" s="53" t="s">
        <v>261</v>
      </c>
    </row>
  </sheetData>
  <autoFilter ref="A1:BA84" xr:uid="{00000000-0009-0000-0000-000000000000}"/>
  <phoneticPr fontId="3"/>
  <dataValidations count="12">
    <dataValidation type="decimal" allowBlank="1" showInputMessage="1" showErrorMessage="1" error="硬度を正しく入力して下さい。" sqref="O2:P49 O59:P469" xr:uid="{C61AEBFD-860A-4538-A8EA-4F89A691B29B}">
      <formula1>0</formula1>
      <formula2>7</formula2>
    </dataValidation>
    <dataValidation operator="equal" allowBlank="1" showInputMessage="1" showErrorMessage="1" sqref="B2:B106" xr:uid="{59EA6B90-81E7-48DD-B258-FDF3867436BC}"/>
    <dataValidation type="list" allowBlank="1" showInputMessage="1" showErrorMessage="1" sqref="K2:K781" xr:uid="{3C191803-B29F-4D32-9BB3-422C414106E7}">
      <formula1>$AR$2:$AR$23</formula1>
    </dataValidation>
    <dataValidation type="list" allowBlank="1" showInputMessage="1" showErrorMessage="1" sqref="A2:A468" xr:uid="{A7A28298-8A14-4CBB-AB79-A86B8A136821}">
      <formula1>$AE$2:$AE$19</formula1>
    </dataValidation>
    <dataValidation type="list" allowBlank="1" showInputMessage="1" showErrorMessage="1" sqref="Y2:AA469" xr:uid="{20B58C1B-080E-4E90-A909-95CB9904E48B}">
      <formula1>$AV$2:$AV$21</formula1>
    </dataValidation>
    <dataValidation type="list" allowBlank="1" showInputMessage="1" showErrorMessage="1" sqref="H2:H469" xr:uid="{BAED9CB1-1133-4DF9-91FD-D56B6CFF53B9}">
      <formula1>$AL$2:$AL$8</formula1>
    </dataValidation>
    <dataValidation type="list" allowBlank="1" showInputMessage="1" showErrorMessage="1" sqref="X2:X469" xr:uid="{9D186BCD-DC09-4276-B8A5-E03CBB25B029}">
      <formula1>$AT$2:$AT$3</formula1>
    </dataValidation>
    <dataValidation type="list" allowBlank="1" showInputMessage="1" showErrorMessage="1" sqref="G2:G469" xr:uid="{D6C9D29C-EA6E-486F-A6A1-187D46848FD8}">
      <formula1>$AJ$2:$AJ$4</formula1>
    </dataValidation>
    <dataValidation type="list" allowBlank="1" showInputMessage="1" showErrorMessage="1" sqref="I2:I469" xr:uid="{CE17E288-0BB0-44EA-A7E6-FE5414538332}">
      <formula1>$AN$5:$AN$6</formula1>
    </dataValidation>
    <dataValidation type="list" allowBlank="1" showInputMessage="1" showErrorMessage="1" sqref="J2:J469" xr:uid="{8A94CAB3-83F8-4CCA-B01B-66803E4CCB16}">
      <formula1>$AP$2:$AP$24</formula1>
    </dataValidation>
    <dataValidation type="list" allowBlank="1" showInputMessage="1" showErrorMessage="1" sqref="F2:F469" xr:uid="{A89DECB5-3539-416E-BA90-99C6E1F4D253}">
      <formula1>$AH$2:$AH$11</formula1>
    </dataValidation>
    <dataValidation type="list" allowBlank="1" showInputMessage="1" showErrorMessage="1" sqref="E2:E469" xr:uid="{4EBD2D3B-6CC9-4C26-9755-AEDA1CEC482A}">
      <formula1>$AG$2:$AG$11</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92FF86B-C017-49D5-AC98-775514662B70}"/>
</file>

<file path=customXml/itemProps2.xml><?xml version="1.0" encoding="utf-8"?>
<ds:datastoreItem xmlns:ds="http://schemas.openxmlformats.org/officeDocument/2006/customXml" ds:itemID="{880AF4F3-D1EF-468C-8F75-FF7EF46FA3D2}"/>
</file>

<file path=customXml/itemProps3.xml><?xml version="1.0" encoding="utf-8"?>
<ds:datastoreItem xmlns:ds="http://schemas.openxmlformats.org/officeDocument/2006/customXml" ds:itemID="{D08CAF65-2793-4ED3-A921-0F02FAD7799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vt:i4>
      </vt:variant>
    </vt:vector>
  </HeadingPairs>
  <TitlesOfParts>
    <vt:vector size="9" baseType="lpstr">
      <vt:lpstr>sapporo</vt:lpstr>
      <vt:lpstr>miyagi</vt:lpstr>
      <vt:lpstr>nagoya</vt:lpstr>
      <vt:lpstr>osaka</vt:lpstr>
      <vt:lpstr>hiroshima</vt:lpstr>
      <vt:lpstr>fukuoka</vt:lpstr>
      <vt:lpstr>tokyo-east(ota)</vt:lpstr>
      <vt:lpstr>tokyo-west(kato)</vt:lpstr>
      <vt:lpstr>'tokyo-east(ota)'!Print_Area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2019-09-10T07:18:51Z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