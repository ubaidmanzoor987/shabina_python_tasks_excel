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192.168.11.200\000_全国共有\2-Zespri\品質調査\2019\38週\"/>
    </mc:Choice>
  </mc:AlternateContent>
  <xr:revisionPtr revIDLastSave="0" documentId="13_ncr:1_{8061EDCB-A6A1-4C38-8658-A84FB5EC6ECB}" xr6:coauthVersionLast="44" xr6:coauthVersionMax="44" xr10:uidLastSave="{00000000-0000-0000-0000-000000000000}"/>
  <bookViews>
    <workbookView xWindow="-120" yWindow="-120" windowWidth="29040" windowHeight="15840" xr2:uid="{00000000-000D-0000-FFFF-FFFF00000000}"/>
  </bookViews>
  <sheets>
    <sheet name="sapporo" sheetId="17" r:id="rId1"/>
    <sheet name="miyagi" sheetId="18" r:id="rId2"/>
    <sheet name="nagoya" sheetId="19" r:id="rId3"/>
    <sheet name="osaka" sheetId="20" r:id="rId4"/>
    <sheet name="hiroshima" sheetId="21" r:id="rId5"/>
    <sheet name="fukuoka" sheetId="22" r:id="rId6"/>
    <sheet name="tokyo-east(ota)" sheetId="23" r:id="rId7"/>
    <sheet name="tokyo-west(kato)" sheetId="24" r:id="rId8"/>
  </sheets>
  <definedNames>
    <definedName name="_xlnm._FilterDatabase" localSheetId="5" hidden="1">fukuoka!$A$1:$BA$145</definedName>
    <definedName name="_xlnm._FilterDatabase" localSheetId="4" hidden="1">hiroshima!$A$1:$BA$1</definedName>
    <definedName name="_xlnm._FilterDatabase" localSheetId="1" hidden="1">miyagi!$A$1:$BA$381</definedName>
    <definedName name="_xlnm._FilterDatabase" localSheetId="2" hidden="1">nagoya!$A$1:$BA$52</definedName>
    <definedName name="_xlnm._FilterDatabase" localSheetId="3" hidden="1">osaka!$A$1:$BA$85</definedName>
    <definedName name="_xlnm._FilterDatabase" localSheetId="0" hidden="1">sapporo!$A$1:$BA$120</definedName>
    <definedName name="_xlnm._FilterDatabase" localSheetId="6" hidden="1">'tokyo-east(ota)'!$A$1:$BA$1</definedName>
    <definedName name="_xlnm._FilterDatabase" localSheetId="7" hidden="1">'tokyo-west(kato)'!$A$1:$BA$149</definedName>
    <definedName name="aaa" localSheetId="0">#REF!</definedName>
    <definedName name="aaa">#REF!</definedName>
    <definedName name="Brand" localSheetId="0">#REF!</definedName>
    <definedName name="Brand">#REF!</definedName>
    <definedName name="District" localSheetId="0">#REF!</definedName>
    <definedName name="District">#REF!</definedName>
    <definedName name="Fruit" localSheetId="0">#REF!</definedName>
    <definedName name="Fruit">#REF!</definedName>
    <definedName name="GoldSIZE" localSheetId="0">#REF!</definedName>
    <definedName name="GoldSIZE">#REF!</definedName>
    <definedName name="GreenSIZE" localSheetId="0">#REF!</definedName>
    <definedName name="GreenSIZE">#REF!</definedName>
    <definedName name="GrowingMethod" localSheetId="0">#REF!</definedName>
    <definedName name="GrowingMethod">#REF!</definedName>
    <definedName name="hiroshima">#REF!</definedName>
    <definedName name="kk">#REF!</definedName>
    <definedName name="ｌｌｌｌｌ">#REF!</definedName>
    <definedName name="miyagi">#REF!</definedName>
    <definedName name="miyagi2">#REF!</definedName>
    <definedName name="Origin" localSheetId="0">#REF!</definedName>
    <definedName name="Origin">#REF!</definedName>
    <definedName name="Shelf" localSheetId="0">#REF!</definedName>
    <definedName name="Shelf">#REF!</definedName>
    <definedName name="Shop" localSheetId="0">#REF!</definedName>
    <definedName name="Shop">#REF!</definedName>
    <definedName name="ShopName1" localSheetId="0">#REF!</definedName>
    <definedName name="ShopName1">#REF!</definedName>
    <definedName name="ShopName2" localSheetId="0">#REF!</definedName>
    <definedName name="ShopName2">#REF!</definedName>
    <definedName name="Variety" localSheetId="0">#REF!</definedName>
    <definedName name="Variety">#REF!</definedName>
    <definedName name="yaginuma">#REF!</definedName>
    <definedName name="検索店舗名" localSheetId="0">#REF!</definedName>
    <definedName name="検索店舗名">#REF!</definedName>
    <definedName name="栽培方法">#REF!</definedName>
    <definedName name="販売ユニット個数" localSheetId="0">#REF!</definedName>
    <definedName name="販売ユニット個数">#REF!</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T106" i="24" l="1"/>
  <c r="V106" i="24" s="1"/>
  <c r="Q106" i="24"/>
  <c r="T105" i="24"/>
  <c r="V105" i="24" s="1"/>
  <c r="Q105" i="24"/>
  <c r="T104" i="24"/>
  <c r="V104" i="24" s="1"/>
  <c r="Q104" i="24"/>
  <c r="T103" i="24"/>
  <c r="V103" i="24" s="1"/>
  <c r="Q103" i="24"/>
  <c r="T102" i="24"/>
  <c r="V102" i="24" s="1"/>
  <c r="Q102" i="24"/>
  <c r="T101" i="24"/>
  <c r="V101" i="24" s="1"/>
  <c r="Q101" i="24"/>
  <c r="T100" i="24"/>
  <c r="V100" i="24" s="1"/>
  <c r="Q100" i="24"/>
  <c r="T99" i="24"/>
  <c r="V99" i="24" s="1"/>
  <c r="Q99" i="24"/>
  <c r="T98" i="24"/>
  <c r="V98" i="24" s="1"/>
  <c r="Q98" i="24"/>
  <c r="T97" i="24"/>
  <c r="V97" i="24" s="1"/>
  <c r="Q97" i="24"/>
  <c r="T96" i="24"/>
  <c r="V96" i="24" s="1"/>
  <c r="Q96" i="24"/>
  <c r="T95" i="24"/>
  <c r="V95" i="24" s="1"/>
  <c r="Q95" i="24"/>
  <c r="T94" i="24"/>
  <c r="V94" i="24" s="1"/>
  <c r="Q94" i="24"/>
  <c r="T93" i="24"/>
  <c r="V93" i="24" s="1"/>
  <c r="Q93" i="24"/>
  <c r="T92" i="24"/>
  <c r="V92" i="24" s="1"/>
  <c r="Q92" i="24"/>
  <c r="T91" i="24"/>
  <c r="V91" i="24" s="1"/>
  <c r="Q91" i="24"/>
  <c r="T90" i="24"/>
  <c r="V90" i="24" s="1"/>
  <c r="Q90" i="24"/>
  <c r="T89" i="24"/>
  <c r="V89" i="24" s="1"/>
  <c r="Q89" i="24"/>
  <c r="T88" i="24"/>
  <c r="V88" i="24" s="1"/>
  <c r="Q88" i="24"/>
  <c r="T87" i="24"/>
  <c r="V87" i="24" s="1"/>
  <c r="Q87" i="24"/>
  <c r="T86" i="24"/>
  <c r="V86" i="24" s="1"/>
  <c r="Q86" i="24"/>
  <c r="T85" i="24"/>
  <c r="V85" i="24" s="1"/>
  <c r="Q85" i="24"/>
  <c r="T84" i="24"/>
  <c r="V84" i="24" s="1"/>
  <c r="Q84" i="24"/>
  <c r="T83" i="24"/>
  <c r="V83" i="24" s="1"/>
  <c r="Q83" i="24"/>
  <c r="T82" i="24"/>
  <c r="V82" i="24" s="1"/>
  <c r="Q82" i="24"/>
  <c r="T81" i="24"/>
  <c r="V81" i="24" s="1"/>
  <c r="Q81" i="24"/>
  <c r="T80" i="24"/>
  <c r="V80" i="24" s="1"/>
  <c r="Q80" i="24"/>
  <c r="T79" i="24"/>
  <c r="V79" i="24" s="1"/>
  <c r="Q79" i="24"/>
  <c r="T78" i="24"/>
  <c r="V78" i="24" s="1"/>
  <c r="Q78" i="24"/>
  <c r="T77" i="24"/>
  <c r="V77" i="24" s="1"/>
  <c r="Q77" i="24"/>
  <c r="T76" i="24"/>
  <c r="V76" i="24" s="1"/>
  <c r="Q76" i="24"/>
  <c r="T75" i="24"/>
  <c r="V75" i="24" s="1"/>
  <c r="Q75" i="24"/>
  <c r="T74" i="24"/>
  <c r="V74" i="24" s="1"/>
  <c r="Q74" i="24"/>
  <c r="T73" i="24"/>
  <c r="V73" i="24" s="1"/>
  <c r="Q73" i="24"/>
  <c r="T72" i="24"/>
  <c r="V72" i="24" s="1"/>
  <c r="Q72" i="24"/>
  <c r="T71" i="24"/>
  <c r="V71" i="24" s="1"/>
  <c r="Q71" i="24"/>
  <c r="T70" i="24"/>
  <c r="V70" i="24" s="1"/>
  <c r="Q70" i="24"/>
  <c r="T69" i="24"/>
  <c r="V69" i="24" s="1"/>
  <c r="Q69" i="24"/>
  <c r="T68" i="24"/>
  <c r="V68" i="24" s="1"/>
  <c r="Q68" i="24"/>
  <c r="T67" i="24"/>
  <c r="V67" i="24" s="1"/>
  <c r="Q67" i="24"/>
  <c r="T66" i="24"/>
  <c r="V66" i="24" s="1"/>
  <c r="Q66" i="24"/>
  <c r="T65" i="24"/>
  <c r="V65" i="24" s="1"/>
  <c r="Q65" i="24"/>
  <c r="T64" i="24"/>
  <c r="V64" i="24" s="1"/>
  <c r="Q64" i="24"/>
  <c r="T63" i="24"/>
  <c r="V63" i="24" s="1"/>
  <c r="Q63" i="24"/>
  <c r="T62" i="24"/>
  <c r="V62" i="24" s="1"/>
  <c r="Q62" i="24"/>
  <c r="T61" i="24"/>
  <c r="V61" i="24" s="1"/>
  <c r="Q61" i="24"/>
  <c r="T60" i="24"/>
  <c r="V60" i="24" s="1"/>
  <c r="Q60" i="24"/>
  <c r="T59" i="24"/>
  <c r="V59" i="24" s="1"/>
  <c r="Q59" i="24"/>
  <c r="T58" i="24"/>
  <c r="V58" i="24" s="1"/>
  <c r="Q58" i="24"/>
  <c r="T57" i="24"/>
  <c r="V57" i="24" s="1"/>
  <c r="Q57" i="24"/>
  <c r="T56" i="24"/>
  <c r="V56" i="24" s="1"/>
  <c r="Q56" i="24"/>
  <c r="T55" i="24"/>
  <c r="V55" i="24" s="1"/>
  <c r="Q55" i="24"/>
  <c r="T54" i="24"/>
  <c r="V54" i="24" s="1"/>
  <c r="Q54" i="24"/>
  <c r="T53" i="24"/>
  <c r="V53" i="24" s="1"/>
  <c r="Q53" i="24"/>
  <c r="T52" i="24"/>
  <c r="V52" i="24" s="1"/>
  <c r="Q52" i="24"/>
  <c r="T51" i="24"/>
  <c r="V51" i="24" s="1"/>
  <c r="Q51" i="24"/>
  <c r="T50" i="24"/>
  <c r="V50" i="24" s="1"/>
  <c r="Q50" i="24"/>
  <c r="T49" i="24"/>
  <c r="V49" i="24" s="1"/>
  <c r="Q49" i="24"/>
  <c r="T48" i="24"/>
  <c r="V48" i="24" s="1"/>
  <c r="Q48" i="24"/>
  <c r="T47" i="24"/>
  <c r="V47" i="24" s="1"/>
  <c r="Q47" i="24"/>
  <c r="T46" i="24"/>
  <c r="V46" i="24" s="1"/>
  <c r="Q46" i="24"/>
  <c r="T45" i="24"/>
  <c r="V45" i="24" s="1"/>
  <c r="Q45" i="24"/>
  <c r="T44" i="24"/>
  <c r="V44" i="24" s="1"/>
  <c r="Q44" i="24"/>
  <c r="T43" i="24"/>
  <c r="V43" i="24" s="1"/>
  <c r="Q43" i="24"/>
  <c r="T42" i="24"/>
  <c r="V42" i="24" s="1"/>
  <c r="Q42" i="24"/>
  <c r="T41" i="24"/>
  <c r="V41" i="24" s="1"/>
  <c r="Q41" i="24"/>
  <c r="T40" i="24"/>
  <c r="V40" i="24" s="1"/>
  <c r="Q40" i="24"/>
  <c r="T39" i="24"/>
  <c r="V39" i="24" s="1"/>
  <c r="Q39" i="24"/>
  <c r="T38" i="24"/>
  <c r="V38" i="24" s="1"/>
  <c r="Q38" i="24"/>
  <c r="T37" i="24"/>
  <c r="V37" i="24" s="1"/>
  <c r="Q37" i="24"/>
  <c r="T36" i="24"/>
  <c r="V36" i="24" s="1"/>
  <c r="Q36" i="24"/>
  <c r="T35" i="24"/>
  <c r="V35" i="24" s="1"/>
  <c r="Q35" i="24"/>
  <c r="T34" i="24"/>
  <c r="V34" i="24" s="1"/>
  <c r="Q34" i="24"/>
  <c r="T33" i="24"/>
  <c r="V33" i="24" s="1"/>
  <c r="Q33" i="24"/>
  <c r="T32" i="24"/>
  <c r="V32" i="24" s="1"/>
  <c r="Q32" i="24"/>
  <c r="T31" i="24"/>
  <c r="V31" i="24" s="1"/>
  <c r="Q31" i="24"/>
  <c r="T30" i="24"/>
  <c r="V30" i="24" s="1"/>
  <c r="Q30" i="24"/>
  <c r="T29" i="24"/>
  <c r="V29" i="24" s="1"/>
  <c r="Q29" i="24"/>
  <c r="T28" i="24"/>
  <c r="V28" i="24" s="1"/>
  <c r="Q28" i="24"/>
  <c r="T27" i="24"/>
  <c r="V27" i="24" s="1"/>
  <c r="Q27" i="24"/>
  <c r="T26" i="24"/>
  <c r="V26" i="24" s="1"/>
  <c r="Q26" i="24"/>
  <c r="T25" i="24"/>
  <c r="V25" i="24" s="1"/>
  <c r="Q25" i="24"/>
  <c r="T24" i="24"/>
  <c r="V24" i="24" s="1"/>
  <c r="Q24" i="24"/>
  <c r="T23" i="24"/>
  <c r="V23" i="24" s="1"/>
  <c r="Q23" i="24"/>
  <c r="T22" i="24"/>
  <c r="V22" i="24" s="1"/>
  <c r="Q22" i="24"/>
  <c r="T21" i="24"/>
  <c r="V21" i="24" s="1"/>
  <c r="Q21" i="24"/>
  <c r="T20" i="24"/>
  <c r="V20" i="24" s="1"/>
  <c r="Q20" i="24"/>
  <c r="T19" i="24"/>
  <c r="V19" i="24" s="1"/>
  <c r="Q19" i="24"/>
  <c r="T18" i="24"/>
  <c r="V18" i="24" s="1"/>
  <c r="Q18" i="24"/>
  <c r="T17" i="24"/>
  <c r="V17" i="24" s="1"/>
  <c r="Q17" i="24"/>
  <c r="T16" i="24"/>
  <c r="V16" i="24" s="1"/>
  <c r="Q16" i="24"/>
  <c r="T15" i="24"/>
  <c r="V15" i="24" s="1"/>
  <c r="Q15" i="24"/>
  <c r="T14" i="24"/>
  <c r="V14" i="24" s="1"/>
  <c r="Q14" i="24"/>
  <c r="T13" i="24"/>
  <c r="V13" i="24" s="1"/>
  <c r="Q13" i="24"/>
  <c r="T12" i="24"/>
  <c r="V12" i="24" s="1"/>
  <c r="Q12" i="24"/>
  <c r="T11" i="24"/>
  <c r="V11" i="24" s="1"/>
  <c r="Q11" i="24"/>
  <c r="T10" i="24"/>
  <c r="V10" i="24" s="1"/>
  <c r="Q10" i="24"/>
  <c r="T9" i="24"/>
  <c r="V9" i="24" s="1"/>
  <c r="Q9" i="24"/>
  <c r="T8" i="24"/>
  <c r="V8" i="24" s="1"/>
  <c r="Q8" i="24"/>
  <c r="T7" i="24"/>
  <c r="V7" i="24" s="1"/>
  <c r="Q7" i="24"/>
  <c r="T6" i="24"/>
  <c r="V6" i="24" s="1"/>
  <c r="Q6" i="24"/>
  <c r="T5" i="24"/>
  <c r="V5" i="24" s="1"/>
  <c r="Q5" i="24"/>
  <c r="T4" i="24"/>
  <c r="V4" i="24" s="1"/>
  <c r="Q4" i="24"/>
  <c r="T3" i="24"/>
  <c r="V3" i="24" s="1"/>
  <c r="Q3" i="24"/>
  <c r="T2" i="24"/>
  <c r="V2" i="24" s="1"/>
  <c r="Q2" i="24"/>
  <c r="T91" i="23" l="1"/>
  <c r="V91" i="23" s="1"/>
  <c r="Q91" i="23"/>
  <c r="T90" i="23"/>
  <c r="V90" i="23" s="1"/>
  <c r="Q90" i="23"/>
  <c r="T89" i="23"/>
  <c r="V89" i="23" s="1"/>
  <c r="Q89" i="23"/>
  <c r="T88" i="23"/>
  <c r="V88" i="23" s="1"/>
  <c r="Q88" i="23"/>
  <c r="T87" i="23"/>
  <c r="V87" i="23" s="1"/>
  <c r="Q87" i="23"/>
  <c r="T86" i="23"/>
  <c r="V86" i="23" s="1"/>
  <c r="Q86" i="23"/>
  <c r="T85" i="23"/>
  <c r="V85" i="23" s="1"/>
  <c r="Q85" i="23"/>
  <c r="T84" i="23"/>
  <c r="V84" i="23" s="1"/>
  <c r="Q84" i="23"/>
  <c r="T83" i="23"/>
  <c r="V83" i="23" s="1"/>
  <c r="Q83" i="23"/>
  <c r="T82" i="23"/>
  <c r="V82" i="23" s="1"/>
  <c r="Q82" i="23"/>
  <c r="T81" i="23"/>
  <c r="V81" i="23" s="1"/>
  <c r="Q81" i="23"/>
  <c r="T80" i="23"/>
  <c r="V80" i="23" s="1"/>
  <c r="Q80" i="23"/>
  <c r="T79" i="23"/>
  <c r="V79" i="23" s="1"/>
  <c r="Q79" i="23"/>
  <c r="T78" i="23"/>
  <c r="V78" i="23" s="1"/>
  <c r="Q78" i="23"/>
  <c r="T77" i="23"/>
  <c r="V77" i="23" s="1"/>
  <c r="Q77" i="23"/>
  <c r="T76" i="23"/>
  <c r="V76" i="23" s="1"/>
  <c r="Q76" i="23"/>
  <c r="T75" i="23"/>
  <c r="V75" i="23" s="1"/>
  <c r="Q75" i="23"/>
  <c r="T74" i="23"/>
  <c r="V74" i="23" s="1"/>
  <c r="Q74" i="23"/>
  <c r="T73" i="23"/>
  <c r="V73" i="23" s="1"/>
  <c r="Q73" i="23"/>
  <c r="T72" i="23"/>
  <c r="V72" i="23" s="1"/>
  <c r="Q72" i="23"/>
  <c r="T71" i="23"/>
  <c r="V71" i="23" s="1"/>
  <c r="Q71" i="23"/>
  <c r="T70" i="23"/>
  <c r="V70" i="23" s="1"/>
  <c r="Q70" i="23"/>
  <c r="T69" i="23"/>
  <c r="V69" i="23" s="1"/>
  <c r="Q69" i="23"/>
  <c r="T68" i="23"/>
  <c r="V68" i="23" s="1"/>
  <c r="Q68" i="23"/>
  <c r="T67" i="23"/>
  <c r="V67" i="23" s="1"/>
  <c r="Q67" i="23"/>
  <c r="T66" i="23"/>
  <c r="V66" i="23" s="1"/>
  <c r="Q66" i="23"/>
  <c r="T65" i="23"/>
  <c r="V65" i="23" s="1"/>
  <c r="Q65" i="23"/>
  <c r="T64" i="23"/>
  <c r="V64" i="23" s="1"/>
  <c r="Q64" i="23"/>
  <c r="T63" i="23"/>
  <c r="V63" i="23" s="1"/>
  <c r="Q63" i="23"/>
  <c r="T62" i="23"/>
  <c r="V62" i="23" s="1"/>
  <c r="Q62" i="23"/>
  <c r="T61" i="23"/>
  <c r="V61" i="23" s="1"/>
  <c r="Q61" i="23"/>
  <c r="T60" i="23"/>
  <c r="V60" i="23" s="1"/>
  <c r="Q60" i="23"/>
  <c r="T59" i="23"/>
  <c r="V59" i="23" s="1"/>
  <c r="Q59" i="23"/>
  <c r="T58" i="23"/>
  <c r="V58" i="23" s="1"/>
  <c r="Q58" i="23"/>
  <c r="T57" i="23"/>
  <c r="V57" i="23" s="1"/>
  <c r="Q57" i="23"/>
  <c r="T56" i="23"/>
  <c r="V56" i="23" s="1"/>
  <c r="Q56" i="23"/>
  <c r="T55" i="23"/>
  <c r="V55" i="23" s="1"/>
  <c r="Q55" i="23"/>
  <c r="T54" i="23"/>
  <c r="V54" i="23" s="1"/>
  <c r="Q54" i="23"/>
  <c r="T53" i="23"/>
  <c r="V53" i="23" s="1"/>
  <c r="Q53" i="23"/>
  <c r="T52" i="23"/>
  <c r="V52" i="23" s="1"/>
  <c r="Q52" i="23"/>
  <c r="T51" i="23"/>
  <c r="V51" i="23" s="1"/>
  <c r="Q51" i="23"/>
  <c r="T50" i="23"/>
  <c r="V50" i="23" s="1"/>
  <c r="Q50" i="23"/>
  <c r="T49" i="23"/>
  <c r="V49" i="23" s="1"/>
  <c r="Q49" i="23"/>
  <c r="T48" i="23"/>
  <c r="V48" i="23" s="1"/>
  <c r="Q48" i="23"/>
  <c r="T47" i="23"/>
  <c r="V47" i="23" s="1"/>
  <c r="Q47" i="23"/>
  <c r="T46" i="23"/>
  <c r="V46" i="23" s="1"/>
  <c r="Q46" i="23"/>
  <c r="T45" i="23"/>
  <c r="V45" i="23" s="1"/>
  <c r="Q45" i="23"/>
  <c r="T44" i="23"/>
  <c r="V44" i="23" s="1"/>
  <c r="Q44" i="23"/>
  <c r="T43" i="23"/>
  <c r="V43" i="23" s="1"/>
  <c r="Q43" i="23"/>
  <c r="T42" i="23"/>
  <c r="V42" i="23" s="1"/>
  <c r="Q42" i="23"/>
  <c r="T41" i="23"/>
  <c r="V41" i="23" s="1"/>
  <c r="Q41" i="23"/>
  <c r="T40" i="23"/>
  <c r="V40" i="23" s="1"/>
  <c r="Q40" i="23"/>
  <c r="T39" i="23"/>
  <c r="V39" i="23" s="1"/>
  <c r="Q39" i="23"/>
  <c r="T38" i="23"/>
  <c r="V38" i="23" s="1"/>
  <c r="Q38" i="23"/>
  <c r="T37" i="23"/>
  <c r="V37" i="23" s="1"/>
  <c r="Q37" i="23"/>
  <c r="T36" i="23"/>
  <c r="V36" i="23" s="1"/>
  <c r="Q36" i="23"/>
  <c r="T35" i="23"/>
  <c r="V35" i="23" s="1"/>
  <c r="Q35" i="23"/>
  <c r="T34" i="23"/>
  <c r="V34" i="23" s="1"/>
  <c r="Q34" i="23"/>
  <c r="T33" i="23"/>
  <c r="V33" i="23" s="1"/>
  <c r="Q33" i="23"/>
  <c r="T32" i="23"/>
  <c r="V32" i="23" s="1"/>
  <c r="Q32" i="23"/>
  <c r="T31" i="23"/>
  <c r="V31" i="23" s="1"/>
  <c r="Q31" i="23"/>
  <c r="T30" i="23"/>
  <c r="V30" i="23" s="1"/>
  <c r="Q30" i="23"/>
  <c r="T29" i="23"/>
  <c r="V29" i="23" s="1"/>
  <c r="Q29" i="23"/>
  <c r="T28" i="23"/>
  <c r="V28" i="23" s="1"/>
  <c r="Q28" i="23"/>
  <c r="T27" i="23"/>
  <c r="V27" i="23" s="1"/>
  <c r="Q27" i="23"/>
  <c r="T26" i="23"/>
  <c r="V26" i="23" s="1"/>
  <c r="Q26" i="23"/>
  <c r="T25" i="23"/>
  <c r="V25" i="23" s="1"/>
  <c r="Q25" i="23"/>
  <c r="T24" i="23"/>
  <c r="V24" i="23" s="1"/>
  <c r="Q24" i="23"/>
  <c r="T23" i="23"/>
  <c r="V23" i="23" s="1"/>
  <c r="Q23" i="23"/>
  <c r="T22" i="23"/>
  <c r="V22" i="23" s="1"/>
  <c r="Q22" i="23"/>
  <c r="T21" i="23"/>
  <c r="V21" i="23" s="1"/>
  <c r="Q21" i="23"/>
  <c r="T20" i="23"/>
  <c r="V20" i="23" s="1"/>
  <c r="Q20" i="23"/>
  <c r="T19" i="23"/>
  <c r="V19" i="23" s="1"/>
  <c r="Q19" i="23"/>
  <c r="T18" i="23"/>
  <c r="V18" i="23" s="1"/>
  <c r="Q18" i="23"/>
  <c r="T17" i="23"/>
  <c r="V17" i="23" s="1"/>
  <c r="Q17" i="23"/>
  <c r="T16" i="23"/>
  <c r="V16" i="23" s="1"/>
  <c r="Q16" i="23"/>
  <c r="T15" i="23"/>
  <c r="V15" i="23" s="1"/>
  <c r="Q15" i="23"/>
  <c r="T14" i="23"/>
  <c r="V14" i="23" s="1"/>
  <c r="Q14" i="23"/>
  <c r="T13" i="23"/>
  <c r="V13" i="23" s="1"/>
  <c r="Q13" i="23"/>
  <c r="T12" i="23"/>
  <c r="V12" i="23" s="1"/>
  <c r="Q12" i="23"/>
  <c r="T11" i="23"/>
  <c r="V11" i="23" s="1"/>
  <c r="Q11" i="23"/>
  <c r="T10" i="23"/>
  <c r="V10" i="23" s="1"/>
  <c r="Q10" i="23"/>
  <c r="T9" i="23"/>
  <c r="V9" i="23" s="1"/>
  <c r="Q9" i="23"/>
  <c r="T8" i="23"/>
  <c r="V8" i="23" s="1"/>
  <c r="Q8" i="23"/>
  <c r="T7" i="23"/>
  <c r="V7" i="23" s="1"/>
  <c r="Q7" i="23"/>
  <c r="T6" i="23"/>
  <c r="V6" i="23" s="1"/>
  <c r="Q6" i="23"/>
  <c r="T5" i="23"/>
  <c r="V5" i="23" s="1"/>
  <c r="Q5" i="23"/>
  <c r="T4" i="23"/>
  <c r="V4" i="23" s="1"/>
  <c r="Q4" i="23"/>
  <c r="T3" i="23"/>
  <c r="V3" i="23" s="1"/>
  <c r="Q3" i="23"/>
  <c r="T2" i="23"/>
  <c r="V2" i="23" s="1"/>
  <c r="Q2" i="23"/>
  <c r="V145" i="22" l="1"/>
  <c r="T145" i="22"/>
  <c r="Q145" i="22"/>
  <c r="V144" i="22"/>
  <c r="T144" i="22"/>
  <c r="Q144" i="22"/>
  <c r="V143" i="22"/>
  <c r="T143" i="22"/>
  <c r="Q143" i="22"/>
  <c r="V142" i="22"/>
  <c r="T142" i="22"/>
  <c r="Q142" i="22"/>
  <c r="V141" i="22"/>
  <c r="T141" i="22"/>
  <c r="Q141" i="22"/>
  <c r="V140" i="22"/>
  <c r="T140" i="22"/>
  <c r="Q140" i="22"/>
  <c r="V139" i="22"/>
  <c r="T139" i="22"/>
  <c r="Q139" i="22"/>
  <c r="V138" i="22"/>
  <c r="T138" i="22"/>
  <c r="Q138" i="22"/>
  <c r="V137" i="22"/>
  <c r="T137" i="22"/>
  <c r="Q137" i="22"/>
  <c r="V136" i="22"/>
  <c r="T136" i="22"/>
  <c r="Q136" i="22"/>
  <c r="V135" i="22"/>
  <c r="T135" i="22"/>
  <c r="Q135" i="22"/>
  <c r="V134" i="22"/>
  <c r="T134" i="22"/>
  <c r="Q134" i="22"/>
  <c r="V133" i="22"/>
  <c r="T133" i="22"/>
  <c r="Q133" i="22"/>
  <c r="V132" i="22"/>
  <c r="T132" i="22"/>
  <c r="Q132" i="22"/>
  <c r="V131" i="22"/>
  <c r="T131" i="22"/>
  <c r="Q131" i="22"/>
  <c r="V130" i="22"/>
  <c r="T130" i="22"/>
  <c r="Q130" i="22"/>
  <c r="V129" i="22"/>
  <c r="T129" i="22"/>
  <c r="Q129" i="22"/>
  <c r="V128" i="22"/>
  <c r="T128" i="22"/>
  <c r="Q128" i="22"/>
  <c r="V127" i="22"/>
  <c r="T127" i="22"/>
  <c r="Q127" i="22"/>
  <c r="V126" i="22"/>
  <c r="T126" i="22"/>
  <c r="Q126" i="22"/>
  <c r="V125" i="22"/>
  <c r="T125" i="22"/>
  <c r="Q125" i="22"/>
  <c r="V124" i="22"/>
  <c r="T124" i="22"/>
  <c r="Q124" i="22"/>
  <c r="V123" i="22"/>
  <c r="T123" i="22"/>
  <c r="Q123" i="22"/>
  <c r="V122" i="22"/>
  <c r="T122" i="22"/>
  <c r="Q122" i="22"/>
  <c r="V121" i="22"/>
  <c r="T121" i="22"/>
  <c r="Q121" i="22"/>
  <c r="V120" i="22"/>
  <c r="T120" i="22"/>
  <c r="Q120" i="22"/>
  <c r="V119" i="22"/>
  <c r="T119" i="22"/>
  <c r="Q119" i="22"/>
  <c r="V118" i="22"/>
  <c r="T118" i="22"/>
  <c r="Q118" i="22"/>
  <c r="V117" i="22"/>
  <c r="T117" i="22"/>
  <c r="Q117" i="22"/>
  <c r="V116" i="22"/>
  <c r="T116" i="22"/>
  <c r="Q116" i="22"/>
  <c r="V115" i="22"/>
  <c r="T115" i="22"/>
  <c r="Q115" i="22"/>
  <c r="V114" i="22"/>
  <c r="T114" i="22"/>
  <c r="Q114" i="22"/>
  <c r="V113" i="22"/>
  <c r="T113" i="22"/>
  <c r="Q113" i="22"/>
  <c r="V112" i="22"/>
  <c r="T112" i="22"/>
  <c r="Q112" i="22"/>
  <c r="V111" i="22"/>
  <c r="T111" i="22"/>
  <c r="Q111" i="22"/>
  <c r="V110" i="22"/>
  <c r="T110" i="22"/>
  <c r="Q110" i="22"/>
  <c r="V109" i="22"/>
  <c r="T109" i="22"/>
  <c r="Q109" i="22"/>
  <c r="V108" i="22"/>
  <c r="T108" i="22"/>
  <c r="Q108" i="22"/>
  <c r="V107" i="22"/>
  <c r="T107" i="22"/>
  <c r="Q107" i="22"/>
  <c r="V106" i="22"/>
  <c r="T106" i="22"/>
  <c r="Q106" i="22"/>
  <c r="V105" i="22"/>
  <c r="T105" i="22"/>
  <c r="Q105" i="22"/>
  <c r="V104" i="22"/>
  <c r="T104" i="22"/>
  <c r="Q104" i="22"/>
  <c r="V103" i="22"/>
  <c r="T103" i="22"/>
  <c r="Q103" i="22"/>
  <c r="V102" i="22"/>
  <c r="T102" i="22"/>
  <c r="Q102" i="22"/>
  <c r="V101" i="22"/>
  <c r="T101" i="22"/>
  <c r="Q101" i="22"/>
  <c r="V100" i="22"/>
  <c r="T100" i="22"/>
  <c r="Q100" i="22"/>
  <c r="V99" i="22"/>
  <c r="T99" i="22"/>
  <c r="Q99" i="22"/>
  <c r="V98" i="22"/>
  <c r="T98" i="22"/>
  <c r="Q98" i="22"/>
  <c r="V97" i="22"/>
  <c r="T97" i="22"/>
  <c r="Q97" i="22"/>
  <c r="V96" i="22"/>
  <c r="T96" i="22"/>
  <c r="Q96" i="22"/>
  <c r="V95" i="22"/>
  <c r="T95" i="22"/>
  <c r="Q95" i="22"/>
  <c r="V94" i="22"/>
  <c r="T94" i="22"/>
  <c r="Q94" i="22"/>
  <c r="V61" i="22"/>
  <c r="T61" i="22"/>
  <c r="Q61" i="22"/>
  <c r="V60" i="22"/>
  <c r="T60" i="22"/>
  <c r="Q60" i="22"/>
  <c r="V59" i="22"/>
  <c r="T59" i="22"/>
  <c r="Q59" i="22"/>
  <c r="V58" i="22"/>
  <c r="T58" i="22"/>
  <c r="Q58" i="22"/>
  <c r="V57" i="22"/>
  <c r="T57" i="22"/>
  <c r="Q57" i="22"/>
  <c r="V56" i="22"/>
  <c r="T56" i="22"/>
  <c r="Q56" i="22"/>
  <c r="V55" i="22"/>
  <c r="T55" i="22"/>
  <c r="Q55" i="22"/>
  <c r="V54" i="22"/>
  <c r="T54" i="22"/>
  <c r="Q54" i="22"/>
  <c r="V53" i="22"/>
  <c r="T53" i="22"/>
  <c r="Q53" i="22"/>
  <c r="V52" i="22"/>
  <c r="T52" i="22"/>
  <c r="Q52" i="22"/>
  <c r="V51" i="22"/>
  <c r="T51" i="22"/>
  <c r="Q51" i="22"/>
  <c r="V50" i="22"/>
  <c r="T50" i="22"/>
  <c r="Q50" i="22"/>
  <c r="V49" i="22"/>
  <c r="T49" i="22"/>
  <c r="Q49" i="22"/>
  <c r="V48" i="22"/>
  <c r="T48" i="22"/>
  <c r="Q48" i="22"/>
  <c r="V47" i="22"/>
  <c r="T47" i="22"/>
  <c r="Q47" i="22"/>
  <c r="V46" i="22"/>
  <c r="T46" i="22"/>
  <c r="Q46" i="22"/>
  <c r="V45" i="22"/>
  <c r="T45" i="22"/>
  <c r="Q45" i="22"/>
  <c r="V44" i="22"/>
  <c r="T44" i="22"/>
  <c r="Q44" i="22"/>
  <c r="V43" i="22"/>
  <c r="T43" i="22"/>
  <c r="Q43" i="22"/>
  <c r="V42" i="22"/>
  <c r="T42" i="22"/>
  <c r="Q42" i="22"/>
  <c r="V41" i="22"/>
  <c r="T41" i="22"/>
  <c r="Q41" i="22"/>
  <c r="V40" i="22"/>
  <c r="T40" i="22"/>
  <c r="Q40" i="22"/>
  <c r="V39" i="22"/>
  <c r="T39" i="22"/>
  <c r="Q39" i="22"/>
  <c r="V38" i="22"/>
  <c r="T38" i="22"/>
  <c r="Q38" i="22"/>
  <c r="V37" i="22"/>
  <c r="T37" i="22"/>
  <c r="Q37" i="22"/>
  <c r="V36" i="22"/>
  <c r="T36" i="22"/>
  <c r="Q36" i="22"/>
  <c r="V35" i="22"/>
  <c r="T35" i="22"/>
  <c r="Q35" i="22"/>
  <c r="V34" i="22"/>
  <c r="T34" i="22"/>
  <c r="Q34" i="22"/>
  <c r="V33" i="22"/>
  <c r="T33" i="22"/>
  <c r="Q33" i="22"/>
  <c r="V32" i="22"/>
  <c r="T32" i="22"/>
  <c r="Q32" i="22"/>
  <c r="V31" i="22"/>
  <c r="T31" i="22"/>
  <c r="Q31" i="22"/>
  <c r="V30" i="22"/>
  <c r="T30" i="22"/>
  <c r="Q30" i="22"/>
  <c r="V29" i="22"/>
  <c r="T29" i="22"/>
  <c r="Q29" i="22"/>
  <c r="V28" i="22"/>
  <c r="T28" i="22"/>
  <c r="Q28" i="22"/>
  <c r="V27" i="22"/>
  <c r="T27" i="22"/>
  <c r="Q27" i="22"/>
  <c r="V26" i="22"/>
  <c r="T26" i="22"/>
  <c r="Q26" i="22"/>
  <c r="V25" i="22"/>
  <c r="T25" i="22"/>
  <c r="Q25" i="22"/>
  <c r="V24" i="22"/>
  <c r="T24" i="22"/>
  <c r="Q24" i="22"/>
  <c r="V23" i="22"/>
  <c r="T23" i="22"/>
  <c r="Q23" i="22"/>
  <c r="V22" i="22"/>
  <c r="T22" i="22"/>
  <c r="Q22" i="22"/>
  <c r="V21" i="22"/>
  <c r="T21" i="22"/>
  <c r="Q21" i="22"/>
  <c r="V20" i="22"/>
  <c r="T20" i="22"/>
  <c r="Q20" i="22"/>
  <c r="V19" i="22"/>
  <c r="T19" i="22"/>
  <c r="Q19" i="22"/>
  <c r="V18" i="22"/>
  <c r="T18" i="22"/>
  <c r="Q18" i="22"/>
  <c r="V17" i="22"/>
  <c r="T17" i="22"/>
  <c r="Q17" i="22"/>
  <c r="V16" i="22"/>
  <c r="T16" i="22"/>
  <c r="Q16" i="22"/>
  <c r="V15" i="22"/>
  <c r="T15" i="22"/>
  <c r="Q15" i="22"/>
  <c r="V14" i="22"/>
  <c r="T14" i="22"/>
  <c r="Q14" i="22"/>
  <c r="V13" i="22"/>
  <c r="T13" i="22"/>
  <c r="Q13" i="22"/>
  <c r="V12" i="22"/>
  <c r="T12" i="22"/>
  <c r="Q12" i="22"/>
  <c r="V11" i="22"/>
  <c r="T11" i="22"/>
  <c r="Q11" i="22"/>
  <c r="V10" i="22"/>
  <c r="T10" i="22"/>
  <c r="Q10" i="22"/>
  <c r="V9" i="22"/>
  <c r="T9" i="22"/>
  <c r="Q9" i="22"/>
  <c r="V8" i="22"/>
  <c r="T8" i="22"/>
  <c r="Q8" i="22"/>
  <c r="V7" i="22"/>
  <c r="T7" i="22"/>
  <c r="Q7" i="22"/>
  <c r="V6" i="22"/>
  <c r="T6" i="22"/>
  <c r="Q6" i="22"/>
  <c r="V5" i="22"/>
  <c r="T5" i="22"/>
  <c r="Q5" i="22"/>
  <c r="V4" i="22"/>
  <c r="T4" i="22"/>
  <c r="Q4" i="22"/>
  <c r="V3" i="22"/>
  <c r="T3" i="22"/>
  <c r="Q3" i="22"/>
  <c r="V2" i="22"/>
  <c r="T2" i="22"/>
  <c r="Q2" i="22"/>
  <c r="T73" i="21" l="1"/>
  <c r="V73" i="21" s="1"/>
  <c r="Q73" i="21"/>
  <c r="T72" i="21"/>
  <c r="V72" i="21" s="1"/>
  <c r="Q72" i="21"/>
  <c r="T71" i="21"/>
  <c r="V71" i="21" s="1"/>
  <c r="Q71" i="21"/>
  <c r="T67" i="21"/>
  <c r="V67" i="21" s="1"/>
  <c r="Q67" i="21"/>
  <c r="T66" i="21"/>
  <c r="V66" i="21" s="1"/>
  <c r="Q66" i="21"/>
  <c r="T65" i="21"/>
  <c r="V65" i="21" s="1"/>
  <c r="Q65" i="21"/>
  <c r="T64" i="21"/>
  <c r="V64" i="21" s="1"/>
  <c r="Q64" i="21"/>
  <c r="T63" i="21"/>
  <c r="V63" i="21" s="1"/>
  <c r="Q63" i="21"/>
  <c r="T62" i="21"/>
  <c r="V62" i="21" s="1"/>
  <c r="Q62" i="21"/>
  <c r="T61" i="21"/>
  <c r="V61" i="21" s="1"/>
  <c r="Q61" i="21"/>
  <c r="T60" i="21"/>
  <c r="V60" i="21" s="1"/>
  <c r="Q60" i="21"/>
  <c r="T59" i="21"/>
  <c r="V59" i="21" s="1"/>
  <c r="Q59" i="21"/>
  <c r="T58" i="21"/>
  <c r="V58" i="21" s="1"/>
  <c r="Q58" i="21"/>
  <c r="T57" i="21"/>
  <c r="V57" i="21" s="1"/>
  <c r="Q57" i="21"/>
  <c r="T56" i="21"/>
  <c r="V56" i="21" s="1"/>
  <c r="Q56" i="21"/>
  <c r="T55" i="21"/>
  <c r="V55" i="21" s="1"/>
  <c r="Q55" i="21"/>
  <c r="T54" i="21"/>
  <c r="V54" i="21" s="1"/>
  <c r="Q54" i="21"/>
  <c r="T53" i="21"/>
  <c r="V53" i="21" s="1"/>
  <c r="Q53" i="21"/>
  <c r="T52" i="21"/>
  <c r="V52" i="21" s="1"/>
  <c r="Q52" i="21"/>
  <c r="T51" i="21"/>
  <c r="V51" i="21" s="1"/>
  <c r="Q51" i="21"/>
  <c r="T50" i="21"/>
  <c r="V50" i="21" s="1"/>
  <c r="Q50" i="21"/>
  <c r="T49" i="21"/>
  <c r="V49" i="21" s="1"/>
  <c r="Q49" i="21"/>
  <c r="T48" i="21"/>
  <c r="V48" i="21" s="1"/>
  <c r="Q48" i="21"/>
  <c r="T47" i="21"/>
  <c r="V47" i="21" s="1"/>
  <c r="Q47" i="21"/>
  <c r="T46" i="21"/>
  <c r="V46" i="21" s="1"/>
  <c r="Q46" i="21"/>
  <c r="T45" i="21"/>
  <c r="V45" i="21" s="1"/>
  <c r="Q45" i="21"/>
  <c r="T44" i="21"/>
  <c r="V44" i="21" s="1"/>
  <c r="Q44" i="21"/>
  <c r="T43" i="21"/>
  <c r="V43" i="21" s="1"/>
  <c r="Q43" i="21"/>
  <c r="T42" i="21"/>
  <c r="V42" i="21" s="1"/>
  <c r="Q42" i="21"/>
  <c r="T41" i="21"/>
  <c r="V41" i="21" s="1"/>
  <c r="Q41" i="21"/>
  <c r="T40" i="21"/>
  <c r="V40" i="21" s="1"/>
  <c r="Q40" i="21"/>
  <c r="T39" i="21"/>
  <c r="V39" i="21" s="1"/>
  <c r="Q39" i="21"/>
  <c r="T38" i="21"/>
  <c r="V38" i="21" s="1"/>
  <c r="Q38" i="21"/>
  <c r="T37" i="21"/>
  <c r="V37" i="21" s="1"/>
  <c r="Q37" i="21"/>
  <c r="T36" i="21"/>
  <c r="V36" i="21" s="1"/>
  <c r="Q36" i="21"/>
  <c r="T35" i="21"/>
  <c r="V35" i="21" s="1"/>
  <c r="Q35" i="21"/>
  <c r="T34" i="21"/>
  <c r="V34" i="21" s="1"/>
  <c r="Q34" i="21"/>
  <c r="T33" i="21"/>
  <c r="V33" i="21" s="1"/>
  <c r="Q33" i="21"/>
  <c r="T32" i="21"/>
  <c r="V32" i="21" s="1"/>
  <c r="Q32" i="21"/>
  <c r="T31" i="21"/>
  <c r="V31" i="21" s="1"/>
  <c r="Q31" i="21"/>
  <c r="T30" i="21"/>
  <c r="V30" i="21" s="1"/>
  <c r="Q30" i="21"/>
  <c r="T29" i="21"/>
  <c r="V29" i="21" s="1"/>
  <c r="Q29" i="21"/>
  <c r="T28" i="21"/>
  <c r="V28" i="21" s="1"/>
  <c r="Q28" i="21"/>
  <c r="T27" i="21"/>
  <c r="V27" i="21" s="1"/>
  <c r="Q27" i="21"/>
  <c r="T26" i="21"/>
  <c r="V26" i="21" s="1"/>
  <c r="Q26" i="21"/>
  <c r="T25" i="21"/>
  <c r="V25" i="21" s="1"/>
  <c r="Q25" i="21"/>
  <c r="T24" i="21"/>
  <c r="V24" i="21" s="1"/>
  <c r="Q24" i="21"/>
  <c r="T23" i="21"/>
  <c r="V23" i="21" s="1"/>
  <c r="Q23" i="21"/>
  <c r="T22" i="21"/>
  <c r="V22" i="21" s="1"/>
  <c r="Q22" i="21"/>
  <c r="T21" i="21"/>
  <c r="V21" i="21" s="1"/>
  <c r="Q21" i="21"/>
  <c r="T20" i="21"/>
  <c r="V20" i="21" s="1"/>
  <c r="Q20" i="21"/>
  <c r="T19" i="21"/>
  <c r="V19" i="21" s="1"/>
  <c r="Q19" i="21"/>
  <c r="T18" i="21"/>
  <c r="V18" i="21" s="1"/>
  <c r="Q18" i="21"/>
  <c r="T17" i="21"/>
  <c r="V17" i="21" s="1"/>
  <c r="Q17" i="21"/>
  <c r="T16" i="21"/>
  <c r="V16" i="21" s="1"/>
  <c r="Q16" i="21"/>
  <c r="T15" i="21"/>
  <c r="V15" i="21" s="1"/>
  <c r="Q15" i="21"/>
  <c r="T14" i="21"/>
  <c r="V14" i="21" s="1"/>
  <c r="Q14" i="21"/>
  <c r="T13" i="21"/>
  <c r="V13" i="21" s="1"/>
  <c r="Q13" i="21"/>
  <c r="T12" i="21"/>
  <c r="V12" i="21" s="1"/>
  <c r="Q12" i="21"/>
  <c r="T11" i="21"/>
  <c r="V11" i="21" s="1"/>
  <c r="Q11" i="21"/>
  <c r="T10" i="21"/>
  <c r="V10" i="21" s="1"/>
  <c r="Q10" i="21"/>
  <c r="T9" i="21"/>
  <c r="V9" i="21" s="1"/>
  <c r="Q9" i="21"/>
  <c r="T8" i="21"/>
  <c r="V8" i="21" s="1"/>
  <c r="Q8" i="21"/>
  <c r="T7" i="21"/>
  <c r="V7" i="21" s="1"/>
  <c r="Q7" i="21"/>
  <c r="T6" i="21"/>
  <c r="V6" i="21" s="1"/>
  <c r="Q6" i="21"/>
  <c r="T5" i="21"/>
  <c r="V5" i="21" s="1"/>
  <c r="Q5" i="21"/>
  <c r="T4" i="21"/>
  <c r="V4" i="21" s="1"/>
  <c r="Q4" i="21"/>
  <c r="T3" i="21"/>
  <c r="V3" i="21" s="1"/>
  <c r="Q3" i="21"/>
  <c r="T2" i="21"/>
  <c r="V2" i="21" s="1"/>
  <c r="Q2" i="21"/>
  <c r="T85" i="20" l="1"/>
  <c r="V85" i="20" s="1"/>
  <c r="Q85" i="20"/>
  <c r="T84" i="20"/>
  <c r="V84" i="20" s="1"/>
  <c r="Q84" i="20"/>
  <c r="T83" i="20"/>
  <c r="V83" i="20" s="1"/>
  <c r="Q83" i="20"/>
  <c r="T82" i="20"/>
  <c r="V82" i="20" s="1"/>
  <c r="Q82" i="20"/>
  <c r="T81" i="20"/>
  <c r="V81" i="20" s="1"/>
  <c r="Q81" i="20"/>
  <c r="T80" i="20"/>
  <c r="V80" i="20" s="1"/>
  <c r="Q80" i="20"/>
  <c r="T79" i="20"/>
  <c r="V79" i="20" s="1"/>
  <c r="Q79" i="20"/>
  <c r="T78" i="20"/>
  <c r="V78" i="20" s="1"/>
  <c r="Q78" i="20"/>
  <c r="T77" i="20"/>
  <c r="V77" i="20" s="1"/>
  <c r="Q77" i="20"/>
  <c r="T76" i="20"/>
  <c r="V76" i="20" s="1"/>
  <c r="Q76" i="20"/>
  <c r="T75" i="20"/>
  <c r="V75" i="20" s="1"/>
  <c r="Q75" i="20"/>
  <c r="T74" i="20"/>
  <c r="V74" i="20" s="1"/>
  <c r="Q74" i="20"/>
  <c r="T73" i="20"/>
  <c r="V73" i="20" s="1"/>
  <c r="Q73" i="20"/>
  <c r="T72" i="20"/>
  <c r="V72" i="20" s="1"/>
  <c r="Q72" i="20"/>
  <c r="T71" i="20"/>
  <c r="V71" i="20" s="1"/>
  <c r="Q71" i="20"/>
  <c r="T70" i="20"/>
  <c r="V70" i="20" s="1"/>
  <c r="Q70" i="20"/>
  <c r="T69" i="20"/>
  <c r="V69" i="20" s="1"/>
  <c r="Q69" i="20"/>
  <c r="T68" i="20"/>
  <c r="V68" i="20" s="1"/>
  <c r="Q68" i="20"/>
  <c r="T67" i="20"/>
  <c r="V67" i="20" s="1"/>
  <c r="Q67" i="20"/>
  <c r="T66" i="20"/>
  <c r="V66" i="20" s="1"/>
  <c r="Q66" i="20"/>
  <c r="T65" i="20"/>
  <c r="V65" i="20" s="1"/>
  <c r="Q65" i="20"/>
  <c r="T64" i="20"/>
  <c r="V64" i="20" s="1"/>
  <c r="Q64" i="20"/>
  <c r="T63" i="20"/>
  <c r="V63" i="20" s="1"/>
  <c r="Q63" i="20"/>
  <c r="T62" i="20"/>
  <c r="V62" i="20" s="1"/>
  <c r="Q62" i="20"/>
  <c r="T61" i="20"/>
  <c r="V61" i="20" s="1"/>
  <c r="Q61" i="20"/>
  <c r="T60" i="20"/>
  <c r="V60" i="20" s="1"/>
  <c r="Q60" i="20"/>
  <c r="T59" i="20"/>
  <c r="V59" i="20" s="1"/>
  <c r="Q59" i="20"/>
  <c r="T58" i="20"/>
  <c r="V58" i="20" s="1"/>
  <c r="Q58" i="20"/>
  <c r="T57" i="20"/>
  <c r="V57" i="20" s="1"/>
  <c r="Q57" i="20"/>
  <c r="T56" i="20"/>
  <c r="V56" i="20" s="1"/>
  <c r="Q56" i="20"/>
  <c r="T55" i="20"/>
  <c r="V55" i="20" s="1"/>
  <c r="Q55" i="20"/>
  <c r="T54" i="20"/>
  <c r="V54" i="20" s="1"/>
  <c r="Q54" i="20"/>
  <c r="T53" i="20"/>
  <c r="V53" i="20" s="1"/>
  <c r="Q53" i="20"/>
  <c r="T52" i="20"/>
  <c r="V52" i="20" s="1"/>
  <c r="Q52" i="20"/>
  <c r="T51" i="20"/>
  <c r="V51" i="20" s="1"/>
  <c r="Q51" i="20"/>
  <c r="T50" i="20"/>
  <c r="V50" i="20" s="1"/>
  <c r="Q50" i="20"/>
  <c r="T49" i="20"/>
  <c r="V49" i="20" s="1"/>
  <c r="Q49" i="20"/>
  <c r="T48" i="20"/>
  <c r="V48" i="20" s="1"/>
  <c r="Q48" i="20"/>
  <c r="T47" i="20"/>
  <c r="V47" i="20" s="1"/>
  <c r="Q47" i="20"/>
  <c r="T46" i="20"/>
  <c r="V46" i="20" s="1"/>
  <c r="Q46" i="20"/>
  <c r="T45" i="20"/>
  <c r="V45" i="20" s="1"/>
  <c r="Q45" i="20"/>
  <c r="T44" i="20"/>
  <c r="V44" i="20" s="1"/>
  <c r="Q44" i="20"/>
  <c r="T43" i="20"/>
  <c r="V43" i="20" s="1"/>
  <c r="Q43" i="20"/>
  <c r="T42" i="20"/>
  <c r="V42" i="20" s="1"/>
  <c r="Q42" i="20"/>
  <c r="T41" i="20"/>
  <c r="V41" i="20" s="1"/>
  <c r="Q41" i="20"/>
  <c r="T40" i="20"/>
  <c r="V40" i="20" s="1"/>
  <c r="Q40" i="20"/>
  <c r="T39" i="20"/>
  <c r="V39" i="20" s="1"/>
  <c r="Q39" i="20"/>
  <c r="T38" i="20"/>
  <c r="V38" i="20" s="1"/>
  <c r="Q38" i="20"/>
  <c r="T37" i="20"/>
  <c r="V37" i="20" s="1"/>
  <c r="Q37" i="20"/>
  <c r="T36" i="20"/>
  <c r="V36" i="20" s="1"/>
  <c r="Q36" i="20"/>
  <c r="T35" i="20"/>
  <c r="V35" i="20" s="1"/>
  <c r="Q35" i="20"/>
  <c r="T34" i="20"/>
  <c r="V34" i="20" s="1"/>
  <c r="Q34" i="20"/>
  <c r="T33" i="20"/>
  <c r="V33" i="20" s="1"/>
  <c r="Q33" i="20"/>
  <c r="T32" i="20"/>
  <c r="V32" i="20" s="1"/>
  <c r="Q32" i="20"/>
  <c r="T31" i="20"/>
  <c r="V31" i="20" s="1"/>
  <c r="Q31" i="20"/>
  <c r="T30" i="20"/>
  <c r="V30" i="20" s="1"/>
  <c r="Q30" i="20"/>
  <c r="T29" i="20"/>
  <c r="V29" i="20" s="1"/>
  <c r="Q29" i="20"/>
  <c r="T28" i="20"/>
  <c r="V28" i="20" s="1"/>
  <c r="Q28" i="20"/>
  <c r="T27" i="20"/>
  <c r="V27" i="20" s="1"/>
  <c r="Q27" i="20"/>
  <c r="T26" i="20"/>
  <c r="V26" i="20" s="1"/>
  <c r="Q26" i="20"/>
  <c r="T25" i="20"/>
  <c r="V25" i="20" s="1"/>
  <c r="Q25" i="20"/>
  <c r="T24" i="20"/>
  <c r="V24" i="20" s="1"/>
  <c r="Q24" i="20"/>
  <c r="T23" i="20"/>
  <c r="V23" i="20" s="1"/>
  <c r="Q23" i="20"/>
  <c r="T22" i="20"/>
  <c r="V22" i="20" s="1"/>
  <c r="Q22" i="20"/>
  <c r="T21" i="20"/>
  <c r="V21" i="20" s="1"/>
  <c r="Q21" i="20"/>
  <c r="T20" i="20"/>
  <c r="V20" i="20" s="1"/>
  <c r="Q20" i="20"/>
  <c r="T19" i="20"/>
  <c r="V19" i="20" s="1"/>
  <c r="Q19" i="20"/>
  <c r="T18" i="20"/>
  <c r="V18" i="20" s="1"/>
  <c r="Q18" i="20"/>
  <c r="T17" i="20"/>
  <c r="V17" i="20" s="1"/>
  <c r="Q17" i="20"/>
  <c r="T16" i="20"/>
  <c r="V16" i="20" s="1"/>
  <c r="Q16" i="20"/>
  <c r="T15" i="20"/>
  <c r="V15" i="20" s="1"/>
  <c r="Q15" i="20"/>
  <c r="T14" i="20"/>
  <c r="V14" i="20" s="1"/>
  <c r="Q14" i="20"/>
  <c r="T13" i="20"/>
  <c r="V13" i="20" s="1"/>
  <c r="Q13" i="20"/>
  <c r="T12" i="20"/>
  <c r="V12" i="20" s="1"/>
  <c r="Q12" i="20"/>
  <c r="T11" i="20"/>
  <c r="V11" i="20" s="1"/>
  <c r="Q11" i="20"/>
  <c r="T10" i="20"/>
  <c r="V10" i="20" s="1"/>
  <c r="Q10" i="20"/>
  <c r="T9" i="20"/>
  <c r="V9" i="20" s="1"/>
  <c r="Q9" i="20"/>
  <c r="T8" i="20"/>
  <c r="V8" i="20" s="1"/>
  <c r="Q8" i="20"/>
  <c r="T7" i="20"/>
  <c r="V7" i="20" s="1"/>
  <c r="Q7" i="20"/>
  <c r="T6" i="20"/>
  <c r="V6" i="20" s="1"/>
  <c r="Q6" i="20"/>
  <c r="T5" i="20"/>
  <c r="V5" i="20" s="1"/>
  <c r="Q5" i="20"/>
  <c r="T4" i="20"/>
  <c r="V4" i="20" s="1"/>
  <c r="Q4" i="20"/>
  <c r="T3" i="20"/>
  <c r="V3" i="20" s="1"/>
  <c r="Q3" i="20"/>
  <c r="T2" i="20"/>
  <c r="V2" i="20" s="1"/>
  <c r="Q2" i="20"/>
  <c r="T58" i="19"/>
  <c r="V58" i="19" s="1"/>
  <c r="Q58" i="19"/>
  <c r="T57" i="19"/>
  <c r="V57" i="19" s="1"/>
  <c r="Q57" i="19"/>
  <c r="T56" i="19"/>
  <c r="V56" i="19" s="1"/>
  <c r="Q56" i="19"/>
  <c r="T55" i="19"/>
  <c r="V55" i="19" s="1"/>
  <c r="Q55" i="19"/>
  <c r="T54" i="19"/>
  <c r="V54" i="19" s="1"/>
  <c r="Q54" i="19"/>
  <c r="T53" i="19"/>
  <c r="V53" i="19" s="1"/>
  <c r="Q53" i="19"/>
  <c r="T52" i="19"/>
  <c r="V52" i="19" s="1"/>
  <c r="Q52" i="19"/>
  <c r="T51" i="19"/>
  <c r="V51" i="19" s="1"/>
  <c r="Q51" i="19"/>
  <c r="T50" i="19"/>
  <c r="V50" i="19" s="1"/>
  <c r="Q50" i="19"/>
  <c r="T49" i="19"/>
  <c r="V49" i="19" s="1"/>
  <c r="Q49" i="19"/>
  <c r="T48" i="19"/>
  <c r="V48" i="19" s="1"/>
  <c r="Q48" i="19"/>
  <c r="T47" i="19"/>
  <c r="V47" i="19" s="1"/>
  <c r="Q47" i="19"/>
  <c r="T46" i="19"/>
  <c r="V46" i="19" s="1"/>
  <c r="Q46" i="19"/>
  <c r="T45" i="19"/>
  <c r="V45" i="19" s="1"/>
  <c r="Q45" i="19"/>
  <c r="T44" i="19"/>
  <c r="V44" i="19" s="1"/>
  <c r="Q44" i="19"/>
  <c r="T43" i="19"/>
  <c r="V43" i="19" s="1"/>
  <c r="Q43" i="19"/>
  <c r="T42" i="19"/>
  <c r="V42" i="19" s="1"/>
  <c r="Q42" i="19"/>
  <c r="T41" i="19"/>
  <c r="V41" i="19" s="1"/>
  <c r="Q41" i="19"/>
  <c r="T40" i="19"/>
  <c r="V40" i="19" s="1"/>
  <c r="Q40" i="19"/>
  <c r="T39" i="19"/>
  <c r="V39" i="19" s="1"/>
  <c r="Q39" i="19"/>
  <c r="T38" i="19"/>
  <c r="V38" i="19" s="1"/>
  <c r="Q38" i="19"/>
  <c r="T37" i="19"/>
  <c r="V37" i="19" s="1"/>
  <c r="Q37" i="19"/>
  <c r="T36" i="19"/>
  <c r="V36" i="19" s="1"/>
  <c r="Q36" i="19"/>
  <c r="T35" i="19"/>
  <c r="V35" i="19" s="1"/>
  <c r="Q35" i="19"/>
  <c r="T34" i="19"/>
  <c r="V34" i="19" s="1"/>
  <c r="Q34" i="19"/>
  <c r="T33" i="19"/>
  <c r="V33" i="19" s="1"/>
  <c r="Q33" i="19"/>
  <c r="T32" i="19"/>
  <c r="V32" i="19" s="1"/>
  <c r="Q32" i="19"/>
  <c r="T31" i="19"/>
  <c r="V31" i="19" s="1"/>
  <c r="Q31" i="19"/>
  <c r="T30" i="19"/>
  <c r="V30" i="19" s="1"/>
  <c r="Q30" i="19"/>
  <c r="T29" i="19"/>
  <c r="V29" i="19" s="1"/>
  <c r="Q29" i="19"/>
  <c r="T28" i="19"/>
  <c r="V28" i="19" s="1"/>
  <c r="Q28" i="19"/>
  <c r="T27" i="19"/>
  <c r="V27" i="19" s="1"/>
  <c r="Q27" i="19"/>
  <c r="T26" i="19"/>
  <c r="V26" i="19" s="1"/>
  <c r="Q26" i="19"/>
  <c r="T25" i="19"/>
  <c r="V25" i="19" s="1"/>
  <c r="Q25" i="19"/>
  <c r="T24" i="19"/>
  <c r="V24" i="19" s="1"/>
  <c r="Q24" i="19"/>
  <c r="T23" i="19"/>
  <c r="V23" i="19" s="1"/>
  <c r="Q23" i="19"/>
  <c r="T22" i="19"/>
  <c r="V22" i="19" s="1"/>
  <c r="Q22" i="19"/>
  <c r="T21" i="19"/>
  <c r="V21" i="19" s="1"/>
  <c r="Q21" i="19"/>
  <c r="T20" i="19"/>
  <c r="V20" i="19" s="1"/>
  <c r="Q20" i="19"/>
  <c r="T19" i="19"/>
  <c r="V19" i="19" s="1"/>
  <c r="Q19" i="19"/>
  <c r="T18" i="19"/>
  <c r="V18" i="19" s="1"/>
  <c r="Q18" i="19"/>
  <c r="T17" i="19"/>
  <c r="V17" i="19" s="1"/>
  <c r="Q17" i="19"/>
  <c r="T16" i="19"/>
  <c r="V16" i="19" s="1"/>
  <c r="Q16" i="19"/>
  <c r="T15" i="19"/>
  <c r="V15" i="19" s="1"/>
  <c r="Q15" i="19"/>
  <c r="T14" i="19"/>
  <c r="V14" i="19" s="1"/>
  <c r="Q14" i="19"/>
  <c r="T13" i="19"/>
  <c r="V13" i="19" s="1"/>
  <c r="Q13" i="19"/>
  <c r="T12" i="19"/>
  <c r="V12" i="19" s="1"/>
  <c r="Q12" i="19"/>
  <c r="T11" i="19"/>
  <c r="V11" i="19" s="1"/>
  <c r="Q11" i="19"/>
  <c r="T10" i="19"/>
  <c r="V10" i="19" s="1"/>
  <c r="Q10" i="19"/>
  <c r="T9" i="19"/>
  <c r="V9" i="19" s="1"/>
  <c r="Q9" i="19"/>
  <c r="T8" i="19"/>
  <c r="V8" i="19" s="1"/>
  <c r="Q8" i="19"/>
  <c r="T7" i="19"/>
  <c r="V7" i="19" s="1"/>
  <c r="Q7" i="19"/>
  <c r="T6" i="19"/>
  <c r="V6" i="19" s="1"/>
  <c r="Q6" i="19"/>
  <c r="T5" i="19"/>
  <c r="V5" i="19" s="1"/>
  <c r="Q5" i="19"/>
  <c r="T4" i="19"/>
  <c r="V4" i="19" s="1"/>
  <c r="Q4" i="19"/>
  <c r="T3" i="19"/>
  <c r="V3" i="19" s="1"/>
  <c r="Q3" i="19"/>
  <c r="T2" i="19"/>
  <c r="V2" i="19" s="1"/>
  <c r="Q2" i="19"/>
  <c r="T381" i="18" l="1"/>
  <c r="T380" i="18"/>
  <c r="T379" i="18"/>
  <c r="T378" i="18"/>
  <c r="T377" i="18"/>
  <c r="T376" i="18"/>
  <c r="T375" i="18"/>
  <c r="T374" i="18"/>
  <c r="T373" i="18"/>
  <c r="T372" i="18"/>
  <c r="T371" i="18"/>
  <c r="T370" i="18"/>
  <c r="T369" i="18"/>
  <c r="T368" i="18"/>
  <c r="T367" i="18"/>
  <c r="T366" i="18"/>
  <c r="T365" i="18"/>
  <c r="T364" i="18"/>
  <c r="T363" i="18"/>
  <c r="T362" i="18"/>
  <c r="T361" i="18"/>
  <c r="V361" i="18" s="1"/>
  <c r="T360" i="18"/>
  <c r="V360" i="18" s="1"/>
  <c r="T359" i="18"/>
  <c r="V359" i="18" s="1"/>
  <c r="T358" i="18"/>
  <c r="V358" i="18" s="1"/>
  <c r="V357" i="18"/>
  <c r="T357" i="18"/>
  <c r="T356" i="18"/>
  <c r="V356" i="18" s="1"/>
  <c r="T355" i="18"/>
  <c r="V355" i="18" s="1"/>
  <c r="T354" i="18"/>
  <c r="V354" i="18" s="1"/>
  <c r="V353" i="18"/>
  <c r="T353" i="18"/>
  <c r="Q353" i="18"/>
  <c r="T352" i="18"/>
  <c r="V352" i="18" s="1"/>
  <c r="Q352" i="18"/>
  <c r="T351" i="18"/>
  <c r="V351" i="18" s="1"/>
  <c r="Q351" i="18"/>
  <c r="V350" i="18"/>
  <c r="T350" i="18"/>
  <c r="Q350" i="18"/>
  <c r="V349" i="18"/>
  <c r="T349" i="18"/>
  <c r="Q349" i="18"/>
  <c r="T348" i="18"/>
  <c r="V348" i="18" s="1"/>
  <c r="Q348" i="18"/>
  <c r="T347" i="18"/>
  <c r="V347" i="18" s="1"/>
  <c r="Q347" i="18"/>
  <c r="V346" i="18"/>
  <c r="T346" i="18"/>
  <c r="Q346" i="18"/>
  <c r="V345" i="18"/>
  <c r="T345" i="18"/>
  <c r="Q345" i="18"/>
  <c r="T344" i="18"/>
  <c r="V344" i="18" s="1"/>
  <c r="Q344" i="18"/>
  <c r="T343" i="18"/>
  <c r="V343" i="18" s="1"/>
  <c r="Q343" i="18"/>
  <c r="V342" i="18"/>
  <c r="T342" i="18"/>
  <c r="Q342" i="18"/>
  <c r="V341" i="18"/>
  <c r="T341" i="18"/>
  <c r="Q341" i="18"/>
  <c r="T340" i="18"/>
  <c r="V340" i="18" s="1"/>
  <c r="Q340" i="18"/>
  <c r="T339" i="18"/>
  <c r="V339" i="18" s="1"/>
  <c r="Q339" i="18"/>
  <c r="V338" i="18"/>
  <c r="T338" i="18"/>
  <c r="Q338" i="18"/>
  <c r="V337" i="18"/>
  <c r="T337" i="18"/>
  <c r="Q337" i="18"/>
  <c r="T336" i="18"/>
  <c r="V336" i="18" s="1"/>
  <c r="Q336" i="18"/>
  <c r="T335" i="18"/>
  <c r="V335" i="18" s="1"/>
  <c r="Q335" i="18"/>
  <c r="V334" i="18"/>
  <c r="T334" i="18"/>
  <c r="Q334" i="18"/>
  <c r="V333" i="18"/>
  <c r="T333" i="18"/>
  <c r="Q333" i="18"/>
  <c r="T332" i="18"/>
  <c r="V332" i="18" s="1"/>
  <c r="Q332" i="18"/>
  <c r="T331" i="18"/>
  <c r="V331" i="18" s="1"/>
  <c r="Q331" i="18"/>
  <c r="V330" i="18"/>
  <c r="T330" i="18"/>
  <c r="Q330" i="18"/>
  <c r="V329" i="18"/>
  <c r="T329" i="18"/>
  <c r="Q329" i="18"/>
  <c r="T328" i="18"/>
  <c r="V328" i="18" s="1"/>
  <c r="Q328" i="18"/>
  <c r="T327" i="18"/>
  <c r="V327" i="18" s="1"/>
  <c r="Q327" i="18"/>
  <c r="V326" i="18"/>
  <c r="T326" i="18"/>
  <c r="Q326" i="18"/>
  <c r="V325" i="18"/>
  <c r="T325" i="18"/>
  <c r="Q325" i="18"/>
  <c r="T324" i="18"/>
  <c r="V324" i="18" s="1"/>
  <c r="Q324" i="18"/>
  <c r="T323" i="18"/>
  <c r="V323" i="18" s="1"/>
  <c r="Q323" i="18"/>
  <c r="V322" i="18"/>
  <c r="T322" i="18"/>
  <c r="Q322" i="18"/>
  <c r="V321" i="18"/>
  <c r="T321" i="18"/>
  <c r="Q321" i="18"/>
  <c r="T320" i="18"/>
  <c r="V320" i="18" s="1"/>
  <c r="Q320" i="18"/>
  <c r="T319" i="18"/>
  <c r="V319" i="18" s="1"/>
  <c r="Q319" i="18"/>
  <c r="V318" i="18"/>
  <c r="T318" i="18"/>
  <c r="Q318" i="18"/>
  <c r="V317" i="18"/>
  <c r="T317" i="18"/>
  <c r="Q317" i="18"/>
  <c r="T316" i="18"/>
  <c r="V316" i="18" s="1"/>
  <c r="Q316" i="18"/>
  <c r="T315" i="18"/>
  <c r="V315" i="18" s="1"/>
  <c r="Q315" i="18"/>
  <c r="V314" i="18"/>
  <c r="T314" i="18"/>
  <c r="Q314" i="18"/>
  <c r="V313" i="18"/>
  <c r="T313" i="18"/>
  <c r="Q313" i="18"/>
  <c r="T312" i="18"/>
  <c r="V312" i="18" s="1"/>
  <c r="Q312" i="18"/>
  <c r="T311" i="18"/>
  <c r="V311" i="18" s="1"/>
  <c r="Q311" i="18"/>
  <c r="V310" i="18"/>
  <c r="T310" i="18"/>
  <c r="Q310" i="18"/>
  <c r="V309" i="18"/>
  <c r="T309" i="18"/>
  <c r="Q309" i="18"/>
  <c r="T308" i="18"/>
  <c r="V308" i="18" s="1"/>
  <c r="Q308" i="18"/>
  <c r="T307" i="18"/>
  <c r="V307" i="18" s="1"/>
  <c r="Q307" i="18"/>
  <c r="V306" i="18"/>
  <c r="T306" i="18"/>
  <c r="Q306" i="18"/>
  <c r="V305" i="18"/>
  <c r="T305" i="18"/>
  <c r="Q305" i="18"/>
  <c r="T304" i="18"/>
  <c r="V304" i="18" s="1"/>
  <c r="Q304" i="18"/>
  <c r="T303" i="18"/>
  <c r="V303" i="18" s="1"/>
  <c r="Q303" i="18"/>
  <c r="V302" i="18"/>
  <c r="T302" i="18"/>
  <c r="Q302" i="18"/>
  <c r="V301" i="18"/>
  <c r="T301" i="18"/>
  <c r="Q301" i="18"/>
  <c r="T300" i="18"/>
  <c r="V300" i="18" s="1"/>
  <c r="Q300" i="18"/>
  <c r="T299" i="18"/>
  <c r="V299" i="18" s="1"/>
  <c r="Q299" i="18"/>
  <c r="V298" i="18"/>
  <c r="T298" i="18"/>
  <c r="Q298" i="18"/>
  <c r="V297" i="18"/>
  <c r="T297" i="18"/>
  <c r="Q297" i="18"/>
  <c r="T296" i="18"/>
  <c r="V296" i="18" s="1"/>
  <c r="Q296" i="18"/>
  <c r="T295" i="18"/>
  <c r="V295" i="18" s="1"/>
  <c r="Q295" i="18"/>
  <c r="V294" i="18"/>
  <c r="T294" i="18"/>
  <c r="Q294" i="18"/>
  <c r="V293" i="18"/>
  <c r="T293" i="18"/>
  <c r="Q293" i="18"/>
  <c r="T292" i="18"/>
  <c r="V292" i="18" s="1"/>
  <c r="Q292" i="18"/>
  <c r="T291" i="18"/>
  <c r="V291" i="18" s="1"/>
  <c r="Q291" i="18"/>
  <c r="V290" i="18"/>
  <c r="T290" i="18"/>
  <c r="Q290" i="18"/>
  <c r="V289" i="18"/>
  <c r="T289" i="18"/>
  <c r="Q289" i="18"/>
  <c r="T288" i="18"/>
  <c r="V288" i="18" s="1"/>
  <c r="Q288" i="18"/>
  <c r="T287" i="18"/>
  <c r="V287" i="18" s="1"/>
  <c r="Q287" i="18"/>
  <c r="V286" i="18"/>
  <c r="T286" i="18"/>
  <c r="Q286" i="18"/>
  <c r="V285" i="18"/>
  <c r="T285" i="18"/>
  <c r="Q285" i="18"/>
  <c r="T284" i="18"/>
  <c r="V284" i="18" s="1"/>
  <c r="Q284" i="18"/>
  <c r="T283" i="18"/>
  <c r="V283" i="18" s="1"/>
  <c r="Q283" i="18"/>
  <c r="V282" i="18"/>
  <c r="T282" i="18"/>
  <c r="Q282" i="18"/>
  <c r="V281" i="18"/>
  <c r="T281" i="18"/>
  <c r="Q281" i="18"/>
  <c r="T280" i="18"/>
  <c r="V280" i="18" s="1"/>
  <c r="Q280" i="18"/>
  <c r="T279" i="18"/>
  <c r="V279" i="18" s="1"/>
  <c r="Q279" i="18"/>
  <c r="V278" i="18"/>
  <c r="T278" i="18"/>
  <c r="Q278" i="18"/>
  <c r="V277" i="18"/>
  <c r="T277" i="18"/>
  <c r="Q277" i="18"/>
  <c r="T276" i="18"/>
  <c r="V276" i="18" s="1"/>
  <c r="Q276" i="18"/>
  <c r="T275" i="18"/>
  <c r="V275" i="18" s="1"/>
  <c r="Q275" i="18"/>
  <c r="V274" i="18"/>
  <c r="T274" i="18"/>
  <c r="Q274" i="18"/>
  <c r="V273" i="18"/>
  <c r="T273" i="18"/>
  <c r="Q273" i="18"/>
  <c r="T272" i="18"/>
  <c r="V272" i="18" s="1"/>
  <c r="Q272" i="18"/>
  <c r="T271" i="18"/>
  <c r="V271" i="18" s="1"/>
  <c r="Q271" i="18"/>
  <c r="V270" i="18"/>
  <c r="T270" i="18"/>
  <c r="Q270" i="18"/>
  <c r="V269" i="18"/>
  <c r="T269" i="18"/>
  <c r="Q269" i="18"/>
  <c r="T268" i="18"/>
  <c r="V268" i="18" s="1"/>
  <c r="Q268" i="18"/>
  <c r="T267" i="18"/>
  <c r="V267" i="18" s="1"/>
  <c r="Q267" i="18"/>
  <c r="V266" i="18"/>
  <c r="T266" i="18"/>
  <c r="Q266" i="18"/>
  <c r="V265" i="18"/>
  <c r="T265" i="18"/>
  <c r="Q265" i="18"/>
  <c r="T264" i="18"/>
  <c r="V264" i="18" s="1"/>
  <c r="Q264" i="18"/>
  <c r="T263" i="18"/>
  <c r="V263" i="18" s="1"/>
  <c r="Q263" i="18"/>
  <c r="V262" i="18"/>
  <c r="T262" i="18"/>
  <c r="Q262" i="18"/>
  <c r="V261" i="18"/>
  <c r="T261" i="18"/>
  <c r="Q261" i="18"/>
  <c r="T260" i="18"/>
  <c r="V260" i="18" s="1"/>
  <c r="Q260" i="18"/>
  <c r="T259" i="18"/>
  <c r="V259" i="18" s="1"/>
  <c r="Q259" i="18"/>
  <c r="V258" i="18"/>
  <c r="T258" i="18"/>
  <c r="Q258" i="18"/>
  <c r="V257" i="18"/>
  <c r="T257" i="18"/>
  <c r="Q257" i="18"/>
  <c r="T256" i="18"/>
  <c r="V256" i="18" s="1"/>
  <c r="Q256" i="18"/>
  <c r="T255" i="18"/>
  <c r="V255" i="18" s="1"/>
  <c r="Q255" i="18"/>
  <c r="V254" i="18"/>
  <c r="T254" i="18"/>
  <c r="Q254" i="18"/>
  <c r="V253" i="18"/>
  <c r="T253" i="18"/>
  <c r="Q253" i="18"/>
  <c r="T252" i="18"/>
  <c r="V252" i="18" s="1"/>
  <c r="Q252" i="18"/>
  <c r="T251" i="18"/>
  <c r="V251" i="18" s="1"/>
  <c r="Q251" i="18"/>
  <c r="V250" i="18"/>
  <c r="T250" i="18"/>
  <c r="Q250" i="18"/>
  <c r="V249" i="18"/>
  <c r="T249" i="18"/>
  <c r="Q249" i="18"/>
  <c r="T248" i="18"/>
  <c r="V248" i="18" s="1"/>
  <c r="Q248" i="18"/>
  <c r="T247" i="18"/>
  <c r="V247" i="18" s="1"/>
  <c r="Q247" i="18"/>
  <c r="V246" i="18"/>
  <c r="T246" i="18"/>
  <c r="Q246" i="18"/>
  <c r="V245" i="18"/>
  <c r="T245" i="18"/>
  <c r="Q245" i="18"/>
  <c r="T244" i="18"/>
  <c r="V244" i="18" s="1"/>
  <c r="Q244" i="18"/>
  <c r="T243" i="18"/>
  <c r="V243" i="18" s="1"/>
  <c r="Q243" i="18"/>
  <c r="V242" i="18"/>
  <c r="T242" i="18"/>
  <c r="Q242" i="18"/>
  <c r="T241" i="18"/>
  <c r="V241" i="18" s="1"/>
  <c r="Q241" i="18"/>
  <c r="T240" i="18"/>
  <c r="V240" i="18" s="1"/>
  <c r="Q240" i="18"/>
  <c r="T239" i="18"/>
  <c r="V239" i="18" s="1"/>
  <c r="Q239" i="18"/>
  <c r="V238" i="18"/>
  <c r="T238" i="18"/>
  <c r="Q238" i="18"/>
  <c r="T237" i="18"/>
  <c r="V237" i="18" s="1"/>
  <c r="Q237" i="18"/>
  <c r="T236" i="18"/>
  <c r="V236" i="18" s="1"/>
  <c r="Q236" i="18"/>
  <c r="T235" i="18"/>
  <c r="V235" i="18" s="1"/>
  <c r="Q235" i="18"/>
  <c r="V234" i="18"/>
  <c r="T234" i="18"/>
  <c r="Q234" i="18"/>
  <c r="T233" i="18"/>
  <c r="V233" i="18" s="1"/>
  <c r="Q233" i="18"/>
  <c r="T232" i="18"/>
  <c r="V232" i="18" s="1"/>
  <c r="Q232" i="18"/>
  <c r="T231" i="18"/>
  <c r="V231" i="18" s="1"/>
  <c r="Q231" i="18"/>
  <c r="V230" i="18"/>
  <c r="T230" i="18"/>
  <c r="Q230" i="18"/>
  <c r="T229" i="18"/>
  <c r="V229" i="18" s="1"/>
  <c r="Q229" i="18"/>
  <c r="T228" i="18"/>
  <c r="V228" i="18" s="1"/>
  <c r="Q228" i="18"/>
  <c r="T227" i="18"/>
  <c r="V227" i="18" s="1"/>
  <c r="Q227" i="18"/>
  <c r="V226" i="18"/>
  <c r="T226" i="18"/>
  <c r="Q226" i="18"/>
  <c r="T225" i="18"/>
  <c r="V225" i="18" s="1"/>
  <c r="Q225" i="18"/>
  <c r="T224" i="18"/>
  <c r="V224" i="18" s="1"/>
  <c r="Q224" i="18"/>
  <c r="T223" i="18"/>
  <c r="V223" i="18" s="1"/>
  <c r="Q223" i="18"/>
  <c r="V222" i="18"/>
  <c r="T222" i="18"/>
  <c r="Q222" i="18"/>
  <c r="T221" i="18"/>
  <c r="V221" i="18" s="1"/>
  <c r="Q221" i="18"/>
  <c r="T220" i="18"/>
  <c r="V220" i="18" s="1"/>
  <c r="Q220" i="18"/>
  <c r="T219" i="18"/>
  <c r="V219" i="18" s="1"/>
  <c r="Q219" i="18"/>
  <c r="V218" i="18"/>
  <c r="T218" i="18"/>
  <c r="Q218" i="18"/>
  <c r="T217" i="18"/>
  <c r="V217" i="18" s="1"/>
  <c r="Q217" i="18"/>
  <c r="T216" i="18"/>
  <c r="V216" i="18" s="1"/>
  <c r="Q216" i="18"/>
  <c r="T215" i="18"/>
  <c r="V215" i="18" s="1"/>
  <c r="Q215" i="18"/>
  <c r="V214" i="18"/>
  <c r="T214" i="18"/>
  <c r="Q214" i="18"/>
  <c r="T213" i="18"/>
  <c r="V213" i="18" s="1"/>
  <c r="Q213" i="18"/>
  <c r="T212" i="18"/>
  <c r="V212" i="18" s="1"/>
  <c r="Q212" i="18"/>
  <c r="T211" i="18"/>
  <c r="V211" i="18" s="1"/>
  <c r="Q211" i="18"/>
  <c r="V210" i="18"/>
  <c r="T210" i="18"/>
  <c r="Q210" i="18"/>
  <c r="T209" i="18"/>
  <c r="V209" i="18" s="1"/>
  <c r="Q209" i="18"/>
  <c r="T208" i="18"/>
  <c r="V208" i="18" s="1"/>
  <c r="Q208" i="18"/>
  <c r="T207" i="18"/>
  <c r="V207" i="18" s="1"/>
  <c r="Q207" i="18"/>
  <c r="V206" i="18"/>
  <c r="T206" i="18"/>
  <c r="Q206" i="18"/>
  <c r="T205" i="18"/>
  <c r="V205" i="18" s="1"/>
  <c r="Q205" i="18"/>
  <c r="T204" i="18"/>
  <c r="V204" i="18" s="1"/>
  <c r="Q204" i="18"/>
  <c r="T203" i="18"/>
  <c r="V203" i="18" s="1"/>
  <c r="Q203" i="18"/>
  <c r="V202" i="18"/>
  <c r="T202" i="18"/>
  <c r="Q202" i="18"/>
  <c r="T201" i="18"/>
  <c r="V201" i="18" s="1"/>
  <c r="Q201" i="18"/>
  <c r="T200" i="18"/>
  <c r="V200" i="18" s="1"/>
  <c r="Q200" i="18"/>
  <c r="T199" i="18"/>
  <c r="V199" i="18" s="1"/>
  <c r="Q199" i="18"/>
  <c r="V198" i="18"/>
  <c r="T198" i="18"/>
  <c r="Q198" i="18"/>
  <c r="T197" i="18"/>
  <c r="V197" i="18" s="1"/>
  <c r="Q197" i="18"/>
  <c r="T196" i="18"/>
  <c r="V196" i="18" s="1"/>
  <c r="Q196" i="18"/>
  <c r="T195" i="18"/>
  <c r="V195" i="18" s="1"/>
  <c r="Q195" i="18"/>
  <c r="V194" i="18"/>
  <c r="T194" i="18"/>
  <c r="Q194" i="18"/>
  <c r="T193" i="18"/>
  <c r="V193" i="18" s="1"/>
  <c r="Q193" i="18"/>
  <c r="T192" i="18"/>
  <c r="V192" i="18" s="1"/>
  <c r="Q192" i="18"/>
  <c r="T191" i="18"/>
  <c r="V191" i="18" s="1"/>
  <c r="Q191" i="18"/>
  <c r="V190" i="18"/>
  <c r="T190" i="18"/>
  <c r="Q190" i="18"/>
  <c r="T189" i="18"/>
  <c r="V189" i="18" s="1"/>
  <c r="Q189" i="18"/>
  <c r="T188" i="18"/>
  <c r="V188" i="18" s="1"/>
  <c r="Q188" i="18"/>
  <c r="T187" i="18"/>
  <c r="V187" i="18" s="1"/>
  <c r="Q187" i="18"/>
  <c r="V186" i="18"/>
  <c r="T186" i="18"/>
  <c r="Q186" i="18"/>
  <c r="T185" i="18"/>
  <c r="V185" i="18" s="1"/>
  <c r="Q185" i="18"/>
  <c r="T184" i="18"/>
  <c r="V184" i="18" s="1"/>
  <c r="Q184" i="18"/>
  <c r="T183" i="18"/>
  <c r="V183" i="18" s="1"/>
  <c r="Q183" i="18"/>
  <c r="V182" i="18"/>
  <c r="T182" i="18"/>
  <c r="Q182" i="18"/>
  <c r="T181" i="18"/>
  <c r="V181" i="18" s="1"/>
  <c r="Q181" i="18"/>
  <c r="T180" i="18"/>
  <c r="V180" i="18" s="1"/>
  <c r="Q180" i="18"/>
  <c r="T179" i="18"/>
  <c r="V179" i="18" s="1"/>
  <c r="Q179" i="18"/>
  <c r="V178" i="18"/>
  <c r="T178" i="18"/>
  <c r="Q178" i="18"/>
  <c r="T177" i="18"/>
  <c r="V177" i="18" s="1"/>
  <c r="Q177" i="18"/>
  <c r="T176" i="18"/>
  <c r="V176" i="18" s="1"/>
  <c r="Q176" i="18"/>
  <c r="T175" i="18"/>
  <c r="V175" i="18" s="1"/>
  <c r="Q175" i="18"/>
  <c r="V174" i="18"/>
  <c r="T174" i="18"/>
  <c r="Q174" i="18"/>
  <c r="T173" i="18"/>
  <c r="V173" i="18" s="1"/>
  <c r="Q173" i="18"/>
  <c r="T172" i="18"/>
  <c r="V172" i="18" s="1"/>
  <c r="Q172" i="18"/>
  <c r="T171" i="18"/>
  <c r="V171" i="18" s="1"/>
  <c r="Q171" i="18"/>
  <c r="V170" i="18"/>
  <c r="T170" i="18"/>
  <c r="Q170" i="18"/>
  <c r="T169" i="18"/>
  <c r="V169" i="18" s="1"/>
  <c r="Q169" i="18"/>
  <c r="T168" i="18"/>
  <c r="V168" i="18" s="1"/>
  <c r="Q168" i="18"/>
  <c r="T167" i="18"/>
  <c r="V167" i="18" s="1"/>
  <c r="Q167" i="18"/>
  <c r="V166" i="18"/>
  <c r="T166" i="18"/>
  <c r="Q166" i="18"/>
  <c r="T165" i="18"/>
  <c r="V165" i="18" s="1"/>
  <c r="Q165" i="18"/>
  <c r="T164" i="18"/>
  <c r="V164" i="18" s="1"/>
  <c r="Q164" i="18"/>
  <c r="T163" i="18"/>
  <c r="V163" i="18" s="1"/>
  <c r="Q163" i="18"/>
  <c r="V162" i="18"/>
  <c r="T162" i="18"/>
  <c r="Q162" i="18"/>
  <c r="T161" i="18"/>
  <c r="V161" i="18" s="1"/>
  <c r="Q161" i="18"/>
  <c r="T160" i="18"/>
  <c r="V160" i="18" s="1"/>
  <c r="Q160" i="18"/>
  <c r="T159" i="18"/>
  <c r="V159" i="18" s="1"/>
  <c r="Q159" i="18"/>
  <c r="V158" i="18"/>
  <c r="T158" i="18"/>
  <c r="Q158" i="18"/>
  <c r="T157" i="18"/>
  <c r="V157" i="18" s="1"/>
  <c r="Q157" i="18"/>
  <c r="T156" i="18"/>
  <c r="V156" i="18" s="1"/>
  <c r="Q156" i="18"/>
  <c r="T155" i="18"/>
  <c r="V155" i="18" s="1"/>
  <c r="Q155" i="18"/>
  <c r="V154" i="18"/>
  <c r="T154" i="18"/>
  <c r="Q154" i="18"/>
  <c r="T153" i="18"/>
  <c r="V153" i="18" s="1"/>
  <c r="Q153" i="18"/>
  <c r="T152" i="18"/>
  <c r="V152" i="18" s="1"/>
  <c r="Q152" i="18"/>
  <c r="T142" i="18"/>
  <c r="V142" i="18" s="1"/>
  <c r="Q142" i="18"/>
  <c r="V141" i="18"/>
  <c r="T141" i="18"/>
  <c r="Q141" i="18"/>
  <c r="T140" i="18"/>
  <c r="V140" i="18" s="1"/>
  <c r="Q140" i="18"/>
  <c r="T139" i="18"/>
  <c r="V139" i="18" s="1"/>
  <c r="Q139" i="18"/>
  <c r="T138" i="18"/>
  <c r="V138" i="18" s="1"/>
  <c r="Q138" i="18"/>
  <c r="V137" i="18"/>
  <c r="T137" i="18"/>
  <c r="Q137" i="18"/>
  <c r="T136" i="18"/>
  <c r="V136" i="18" s="1"/>
  <c r="Q136" i="18"/>
  <c r="T135" i="18"/>
  <c r="V135" i="18" s="1"/>
  <c r="Q135" i="18"/>
  <c r="T134" i="18"/>
  <c r="V134" i="18" s="1"/>
  <c r="Q134" i="18"/>
  <c r="V133" i="18"/>
  <c r="T133" i="18"/>
  <c r="Q133" i="18"/>
  <c r="T132" i="18"/>
  <c r="V132" i="18" s="1"/>
  <c r="Q132" i="18"/>
  <c r="T131" i="18"/>
  <c r="V131" i="18" s="1"/>
  <c r="Q131" i="18"/>
  <c r="T130" i="18"/>
  <c r="V130" i="18" s="1"/>
  <c r="Q130" i="18"/>
  <c r="V129" i="18"/>
  <c r="T129" i="18"/>
  <c r="Q129" i="18"/>
  <c r="T128" i="18"/>
  <c r="V128" i="18" s="1"/>
  <c r="Q128" i="18"/>
  <c r="T127" i="18"/>
  <c r="V127" i="18" s="1"/>
  <c r="Q127" i="18"/>
  <c r="T126" i="18"/>
  <c r="V126" i="18" s="1"/>
  <c r="Q126" i="18"/>
  <c r="V125" i="18"/>
  <c r="T125" i="18"/>
  <c r="Q125" i="18"/>
  <c r="T124" i="18"/>
  <c r="V124" i="18" s="1"/>
  <c r="Q124" i="18"/>
  <c r="T123" i="18"/>
  <c r="V123" i="18" s="1"/>
  <c r="Q123" i="18"/>
  <c r="T122" i="18"/>
  <c r="V122" i="18" s="1"/>
  <c r="Q122" i="18"/>
  <c r="V121" i="18"/>
  <c r="T121" i="18"/>
  <c r="Q121" i="18"/>
  <c r="T120" i="18"/>
  <c r="V120" i="18" s="1"/>
  <c r="Q120" i="18"/>
  <c r="T119" i="18"/>
  <c r="V119" i="18" s="1"/>
  <c r="Q119" i="18"/>
  <c r="T118" i="18"/>
  <c r="V118" i="18" s="1"/>
  <c r="Q118" i="18"/>
  <c r="V117" i="18"/>
  <c r="T117" i="18"/>
  <c r="Q117" i="18"/>
  <c r="T116" i="18"/>
  <c r="V116" i="18" s="1"/>
  <c r="Q116" i="18"/>
  <c r="T115" i="18"/>
  <c r="V115" i="18" s="1"/>
  <c r="Q115" i="18"/>
  <c r="T114" i="18"/>
  <c r="V114" i="18" s="1"/>
  <c r="Q114" i="18"/>
  <c r="V113" i="18"/>
  <c r="T113" i="18"/>
  <c r="Q113" i="18"/>
  <c r="T112" i="18"/>
  <c r="V112" i="18" s="1"/>
  <c r="Q112" i="18"/>
  <c r="T111" i="18"/>
  <c r="V111" i="18" s="1"/>
  <c r="Q111" i="18"/>
  <c r="T110" i="18"/>
  <c r="V110" i="18" s="1"/>
  <c r="Q110" i="18"/>
  <c r="V109" i="18"/>
  <c r="T109" i="18"/>
  <c r="Q109" i="18"/>
  <c r="T108" i="18"/>
  <c r="V108" i="18" s="1"/>
  <c r="Q108" i="18"/>
  <c r="T107" i="18"/>
  <c r="V107" i="18" s="1"/>
  <c r="Q107" i="18"/>
  <c r="T106" i="18"/>
  <c r="V106" i="18" s="1"/>
  <c r="Q106" i="18"/>
  <c r="V105" i="18"/>
  <c r="T105" i="18"/>
  <c r="Q105" i="18"/>
  <c r="T104" i="18"/>
  <c r="V104" i="18" s="1"/>
  <c r="Q104" i="18"/>
  <c r="T103" i="18"/>
  <c r="Q103" i="18"/>
  <c r="T102" i="18"/>
  <c r="Q102" i="18"/>
  <c r="T101" i="18"/>
  <c r="Q101" i="18"/>
  <c r="T100" i="18"/>
  <c r="Q100" i="18"/>
  <c r="T99" i="18"/>
  <c r="Q99" i="18"/>
  <c r="T98" i="18"/>
  <c r="Q98" i="18"/>
  <c r="T97" i="18"/>
  <c r="Q97" i="18"/>
  <c r="T96" i="18"/>
  <c r="Q96" i="18"/>
  <c r="T95" i="18"/>
  <c r="Q95" i="18"/>
  <c r="T94" i="18"/>
  <c r="Q94" i="18"/>
  <c r="T93" i="18"/>
  <c r="Q93" i="18"/>
  <c r="T92" i="18"/>
  <c r="Q92" i="18"/>
  <c r="T91" i="18"/>
  <c r="V91" i="18" s="1"/>
  <c r="Q91" i="18"/>
  <c r="T90" i="18"/>
  <c r="V90" i="18" s="1"/>
  <c r="Q90" i="18"/>
  <c r="V89" i="18"/>
  <c r="T89" i="18"/>
  <c r="Q89" i="18"/>
  <c r="T88" i="18"/>
  <c r="V88" i="18" s="1"/>
  <c r="Q88" i="18"/>
  <c r="T87" i="18"/>
  <c r="V87" i="18" s="1"/>
  <c r="Q87" i="18"/>
  <c r="T86" i="18"/>
  <c r="V86" i="18" s="1"/>
  <c r="Q86" i="18"/>
  <c r="V85" i="18"/>
  <c r="T85" i="18"/>
  <c r="Q85" i="18"/>
  <c r="T84" i="18"/>
  <c r="V84" i="18" s="1"/>
  <c r="Q84" i="18"/>
  <c r="T83" i="18"/>
  <c r="V83" i="18" s="1"/>
  <c r="Q83" i="18"/>
  <c r="T82" i="18"/>
  <c r="V82" i="18" s="1"/>
  <c r="Q82" i="18"/>
  <c r="V81" i="18"/>
  <c r="T81" i="18"/>
  <c r="Q81" i="18"/>
  <c r="T80" i="18"/>
  <c r="V80" i="18" s="1"/>
  <c r="Q80" i="18"/>
  <c r="T79" i="18"/>
  <c r="V79" i="18" s="1"/>
  <c r="Q79" i="18"/>
  <c r="T78" i="18"/>
  <c r="V78" i="18" s="1"/>
  <c r="Q78" i="18"/>
  <c r="V77" i="18"/>
  <c r="T77" i="18"/>
  <c r="Q77" i="18"/>
  <c r="T76" i="18"/>
  <c r="V76" i="18" s="1"/>
  <c r="Q76" i="18"/>
  <c r="T75" i="18"/>
  <c r="V75" i="18" s="1"/>
  <c r="Q75" i="18"/>
  <c r="T74" i="18"/>
  <c r="V74" i="18" s="1"/>
  <c r="Q74" i="18"/>
  <c r="V73" i="18"/>
  <c r="T73" i="18"/>
  <c r="Q73" i="18"/>
  <c r="T72" i="18"/>
  <c r="V72" i="18" s="1"/>
  <c r="Q72" i="18"/>
  <c r="T71" i="18"/>
  <c r="V71" i="18" s="1"/>
  <c r="Q71" i="18"/>
  <c r="T70" i="18"/>
  <c r="V70" i="18" s="1"/>
  <c r="Q70" i="18"/>
  <c r="V69" i="18"/>
  <c r="T69" i="18"/>
  <c r="Q69" i="18"/>
  <c r="T68" i="18"/>
  <c r="V68" i="18" s="1"/>
  <c r="Q68" i="18"/>
  <c r="T67" i="18"/>
  <c r="V67" i="18" s="1"/>
  <c r="Q67" i="18"/>
  <c r="T66" i="18"/>
  <c r="V66" i="18" s="1"/>
  <c r="Q66" i="18"/>
  <c r="V65" i="18"/>
  <c r="T65" i="18"/>
  <c r="Q65" i="18"/>
  <c r="T64" i="18"/>
  <c r="V64" i="18" s="1"/>
  <c r="Q64" i="18"/>
  <c r="T63" i="18"/>
  <c r="V63" i="18" s="1"/>
  <c r="Q63" i="18"/>
  <c r="T62" i="18"/>
  <c r="V62" i="18" s="1"/>
  <c r="Q62" i="18"/>
  <c r="V61" i="18"/>
  <c r="T61" i="18"/>
  <c r="Q61" i="18"/>
  <c r="T60" i="18"/>
  <c r="V60" i="18" s="1"/>
  <c r="Q60" i="18"/>
  <c r="T59" i="18"/>
  <c r="V59" i="18" s="1"/>
  <c r="Q59" i="18"/>
  <c r="T58" i="18"/>
  <c r="V58" i="18" s="1"/>
  <c r="Q58" i="18"/>
  <c r="V57" i="18"/>
  <c r="T57" i="18"/>
  <c r="Q57" i="18"/>
  <c r="T56" i="18"/>
  <c r="V56" i="18" s="1"/>
  <c r="Q56" i="18"/>
  <c r="T55" i="18"/>
  <c r="V55" i="18" s="1"/>
  <c r="Q55" i="18"/>
  <c r="T54" i="18"/>
  <c r="V54" i="18" s="1"/>
  <c r="Q54" i="18"/>
  <c r="V53" i="18"/>
  <c r="T53" i="18"/>
  <c r="Q53" i="18"/>
  <c r="T52" i="18"/>
  <c r="V52" i="18" s="1"/>
  <c r="Q52" i="18"/>
  <c r="T51" i="18"/>
  <c r="V51" i="18" s="1"/>
  <c r="Q51" i="18"/>
  <c r="T50" i="18"/>
  <c r="V50" i="18" s="1"/>
  <c r="Q50" i="18"/>
  <c r="V49" i="18"/>
  <c r="T49" i="18"/>
  <c r="Q49" i="18"/>
  <c r="T48" i="18"/>
  <c r="V48" i="18" s="1"/>
  <c r="Q48" i="18"/>
  <c r="T47" i="18"/>
  <c r="V47" i="18" s="1"/>
  <c r="Q47" i="18"/>
  <c r="T46" i="18"/>
  <c r="V46" i="18" s="1"/>
  <c r="Q46" i="18"/>
  <c r="V45" i="18"/>
  <c r="T45" i="18"/>
  <c r="Q45" i="18"/>
  <c r="T44" i="18"/>
  <c r="V44" i="18" s="1"/>
  <c r="Q44" i="18"/>
  <c r="T43" i="18"/>
  <c r="V43" i="18" s="1"/>
  <c r="Q43" i="18"/>
  <c r="T42" i="18"/>
  <c r="V42" i="18" s="1"/>
  <c r="Q42" i="18"/>
  <c r="V41" i="18"/>
  <c r="T41" i="18"/>
  <c r="Q41" i="18"/>
  <c r="T40" i="18"/>
  <c r="V40" i="18" s="1"/>
  <c r="Q40" i="18"/>
  <c r="T39" i="18"/>
  <c r="V39" i="18" s="1"/>
  <c r="Q39" i="18"/>
  <c r="T38" i="18"/>
  <c r="V38" i="18" s="1"/>
  <c r="Q38" i="18"/>
  <c r="V37" i="18"/>
  <c r="T37" i="18"/>
  <c r="Q37" i="18"/>
  <c r="T36" i="18"/>
  <c r="V36" i="18" s="1"/>
  <c r="Q36" i="18"/>
  <c r="T35" i="18"/>
  <c r="V35" i="18" s="1"/>
  <c r="Q35" i="18"/>
  <c r="T34" i="18"/>
  <c r="V34" i="18" s="1"/>
  <c r="Q34" i="18"/>
  <c r="V33" i="18"/>
  <c r="T33" i="18"/>
  <c r="Q33" i="18"/>
  <c r="T32" i="18"/>
  <c r="V32" i="18" s="1"/>
  <c r="Q32" i="18"/>
  <c r="T31" i="18"/>
  <c r="V31" i="18" s="1"/>
  <c r="Q31" i="18"/>
  <c r="T30" i="18"/>
  <c r="V30" i="18" s="1"/>
  <c r="Q30" i="18"/>
  <c r="V29" i="18"/>
  <c r="T29" i="18"/>
  <c r="Q29" i="18"/>
  <c r="T28" i="18"/>
  <c r="V28" i="18" s="1"/>
  <c r="Q28" i="18"/>
  <c r="T27" i="18"/>
  <c r="V27" i="18" s="1"/>
  <c r="Q27" i="18"/>
  <c r="T26" i="18"/>
  <c r="V26" i="18" s="1"/>
  <c r="Q26" i="18"/>
  <c r="V25" i="18"/>
  <c r="T25" i="18"/>
  <c r="Q25" i="18"/>
  <c r="T24" i="18"/>
  <c r="V24" i="18" s="1"/>
  <c r="Q24" i="18"/>
  <c r="T23" i="18"/>
  <c r="V23" i="18" s="1"/>
  <c r="Q23" i="18"/>
  <c r="T22" i="18"/>
  <c r="V22" i="18" s="1"/>
  <c r="Q22" i="18"/>
  <c r="V21" i="18"/>
  <c r="T21" i="18"/>
  <c r="Q21" i="18"/>
  <c r="T20" i="18"/>
  <c r="V20" i="18" s="1"/>
  <c r="Q20" i="18"/>
  <c r="T19" i="18"/>
  <c r="V19" i="18" s="1"/>
  <c r="Q19" i="18"/>
  <c r="T18" i="18"/>
  <c r="V18" i="18" s="1"/>
  <c r="Q18" i="18"/>
  <c r="T17" i="18"/>
  <c r="V17" i="18" s="1"/>
  <c r="Q17" i="18"/>
  <c r="T16" i="18"/>
  <c r="V16" i="18" s="1"/>
  <c r="Q16" i="18"/>
  <c r="T15" i="18"/>
  <c r="V15" i="18" s="1"/>
  <c r="Q15" i="18"/>
  <c r="T14" i="18"/>
  <c r="V14" i="18" s="1"/>
  <c r="Q14" i="18"/>
  <c r="T13" i="18"/>
  <c r="V13" i="18" s="1"/>
  <c r="Q13" i="18"/>
  <c r="T12" i="18"/>
  <c r="V12" i="18" s="1"/>
  <c r="Q12" i="18"/>
  <c r="T11" i="18"/>
  <c r="V11" i="18" s="1"/>
  <c r="Q11" i="18"/>
  <c r="T10" i="18"/>
  <c r="V10" i="18" s="1"/>
  <c r="Q10" i="18"/>
  <c r="T9" i="18"/>
  <c r="V9" i="18" s="1"/>
  <c r="Q9" i="18"/>
  <c r="T8" i="18"/>
  <c r="V8" i="18" s="1"/>
  <c r="Q8" i="18"/>
  <c r="T7" i="18"/>
  <c r="V7" i="18" s="1"/>
  <c r="Q7" i="18"/>
  <c r="T6" i="18"/>
  <c r="V6" i="18" s="1"/>
  <c r="Q6" i="18"/>
  <c r="T5" i="18"/>
  <c r="V5" i="18" s="1"/>
  <c r="Q5" i="18"/>
  <c r="T4" i="18"/>
  <c r="V4" i="18" s="1"/>
  <c r="Q4" i="18"/>
  <c r="T3" i="18"/>
  <c r="V3" i="18" s="1"/>
  <c r="Q3" i="18"/>
  <c r="T2" i="18"/>
  <c r="V2" i="18" s="1"/>
  <c r="Q2" i="18"/>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<sst xmlns="http://schemas.openxmlformats.org/spreadsheetml/2006/main" count="10428" uniqueCount="389">
  <si>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</si>
  <si>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</si>
  <si>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</si>
  <si>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</si>
  <si>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</si>
  <si>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</si>
  <si>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</si>
  <si>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</si>
  <si>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</si>
  <si>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</si>
  <si>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</si>
  <si>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</si>
  <si>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</si>
  <si>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</si>
  <si>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</si>
  <si>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</si>
  <si>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</si>
  <si>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</si>
  <si>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</si>
  <si>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</si>
  <si>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</si>
  <si>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</si>
  <si>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</si>
  <si>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</si>
  <si>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</si>
  <si>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</si>
  <si>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</si>
  <si>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</si>
  <si>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</si>
  <si>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</si>
  <si>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</si>
  <si>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</si>
  <si>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</si>
  <si>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</si>
  <si>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</si>
  <si>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</si>
  <si>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</si>
  <si>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</si>
  <si>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</si>
  <si>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</si>
  <si>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</si>
  <si>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</si>
  <si>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</si>
  <si>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</si>
  <si>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</si>
  <si>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</si>
  <si>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</si>
  <si>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</si>
  <si>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</si>
  <si>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</si>
  <si>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</si>
  <si>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</si>
  <si>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</si>
  <si>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</si>
  <si>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</si>
  <si>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</si>
  <si>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</si>
  <si>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</si>
  <si>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</si>
  <si>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</si>
  <si>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</si>
  <si>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</si>
  <si>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</si>
  <si>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</si>
  <si>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</si>
  <si>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</si>
  <si>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</si>
  <si>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</si>
  <si>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</si>
  <si>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</si>
  <si>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</si>
  <si>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</si>
  <si>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</si>
  <si>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</si>
  <si>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</si>
  <si>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</si>
  <si>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</si>
  <si>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</si>
  <si>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</si>
  <si>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</si>
  <si>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</si>
  <si>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</si>
  <si>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</si>
  <si>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</si>
  <si>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</si>
  <si>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</si>
  <si>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</si>
  <si>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</si>
  <si>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</si>
  <si>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</si>
  <si>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</si>
  <si>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</si>
  <si>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</si>
  <si>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</si>
  <si>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</si>
  <si>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</si>
  <si>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</si>
  <si>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</si>
  <si>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</si>
  <si>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</si>
  <si>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</si>
  <si>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</si>
  <si>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</si>
  <si>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</si>
  <si>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</si>
  <si>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</si>
  <si>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</si>
  <si>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</si>
  <si>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</si>
  <si>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</si>
  <si>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</si>
  <si>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</si>
  <si>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</si>
  <si>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</si>
  <si>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</si>
  <si>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</si>
  <si>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</si>
  <si>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</si>
  <si>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</si>
  <si>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</si>
  <si>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</si>
  <si>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</si>
  <si>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</si>
  <si>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</si>
  <si>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</si>
  <si>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</si>
  <si>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</si>
  <si>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</si>
  <si>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</si>
  <si>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</si>
  <si>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</si>
  <si>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</si>
  <si>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</si>
  <si>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</si>
  <si>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</si>
  <si>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</si>
  <si>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</si>
  <si>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</si>
  <si>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</si>
  <si>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</si>
  <si>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</si>
  <si>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</si>
  <si>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</si>
  <si>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</si>
  <si>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</si>
  <si>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</si>
  <si>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</si>
  <si>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</si>
  <si>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</si>
  <si>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</si>
  <si>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</si>
  <si>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</si>
  <si>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</si>
  <si>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宮崎</t>
    <rPh sb="0" eb="2">
      <t>ミヤザキ</t>
    </rPh>
    <phoneticPr fontId="3"/>
  </si>
  <si>
    <t>マックスバリュ</t>
    <phoneticPr fontId="3"/>
  </si>
  <si>
    <t>北40条</t>
    <phoneticPr fontId="3"/>
  </si>
  <si>
    <t>北海道</t>
    <rPh sb="0" eb="3">
      <t>ホッカイドウ</t>
    </rPh>
    <phoneticPr fontId="3"/>
  </si>
  <si>
    <t>JP</t>
  </si>
  <si>
    <t>JPY</t>
  </si>
  <si>
    <t>CK</t>
  </si>
  <si>
    <t>GA</t>
  </si>
  <si>
    <t>ﾆｭｰｼﾞｰﾗﾝﾄﾞ</t>
  </si>
  <si>
    <t>マックスバリュ</t>
  </si>
  <si>
    <t>北40条</t>
  </si>
  <si>
    <t>HW</t>
  </si>
  <si>
    <t>17.09.2019</t>
  </si>
  <si>
    <t>17.09.2019</t>
    <phoneticPr fontId="3"/>
  </si>
  <si>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</si>
  <si>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</si>
  <si>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</si>
  <si>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</si>
  <si>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</si>
  <si>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</si>
  <si>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</si>
  <si>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</si>
  <si>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</si>
  <si>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</si>
  <si>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</si>
  <si>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</si>
  <si>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t xml:space="preserve">Green
Other
</t>
    </r>
    <r>
      <rPr>
        <b/>
        <sz val="8"/>
        <rFont val="ＭＳ Ｐゴシック"/>
        <family val="3"/>
        <charset val="128"/>
      </rPr>
      <t>最低重量</t>
    </r>
  </si>
  <si>
    <t>Green
Other
SIZE</t>
  </si>
  <si>
    <r>
      <t xml:space="preserve">Gold
</t>
    </r>
    <r>
      <rPr>
        <b/>
        <sz val="8"/>
        <rFont val="ＭＳ Ｐゴシック"/>
        <family val="3"/>
        <charset val="128"/>
      </rPr>
      <t>最低重量</t>
    </r>
  </si>
  <si>
    <t>Gold
SIZE</t>
  </si>
  <si>
    <t>利府店</t>
  </si>
  <si>
    <t>その他グリーン</t>
  </si>
  <si>
    <t>みやぎ生協</t>
  </si>
  <si>
    <t>その他ゴールド</t>
  </si>
  <si>
    <t>杉の入店</t>
  </si>
  <si>
    <t>その他レッド</t>
  </si>
  <si>
    <t>減農薬栽培</t>
  </si>
  <si>
    <t>D'lish</t>
  </si>
  <si>
    <t>中国</t>
  </si>
  <si>
    <t>ウジエ</t>
  </si>
  <si>
    <t>Del Monte</t>
  </si>
  <si>
    <t>塩釜店</t>
  </si>
  <si>
    <t>GK</t>
  </si>
  <si>
    <t>OB</t>
  </si>
  <si>
    <t>ザ・ビッグ</t>
  </si>
  <si>
    <t>HE</t>
  </si>
  <si>
    <t>長野</t>
  </si>
  <si>
    <t>ヤマザワ</t>
  </si>
  <si>
    <t>多賀城店</t>
  </si>
  <si>
    <t>岩手</t>
  </si>
  <si>
    <t>ヨークベニマル</t>
  </si>
  <si>
    <t>塩釜北浜店</t>
  </si>
  <si>
    <t>長崎</t>
  </si>
  <si>
    <t>福島</t>
  </si>
  <si>
    <t>塩釜中の島店</t>
  </si>
  <si>
    <t>和歌山</t>
  </si>
  <si>
    <t>西友</t>
  </si>
  <si>
    <t>高砂駅前店</t>
  </si>
  <si>
    <t>佐賀</t>
  </si>
  <si>
    <t>埼玉</t>
  </si>
  <si>
    <t>群馬</t>
  </si>
  <si>
    <t>千葉</t>
  </si>
  <si>
    <t>熊本</t>
  </si>
  <si>
    <t>岐阜</t>
  </si>
  <si>
    <t>兵庫</t>
  </si>
  <si>
    <t>京都</t>
  </si>
  <si>
    <t>ＪＡ大分</t>
  </si>
  <si>
    <t>ＪＡ山梨</t>
  </si>
  <si>
    <t>ＪＡ香川</t>
  </si>
  <si>
    <t>山梨</t>
  </si>
  <si>
    <t>ＪＡ徳島</t>
  </si>
  <si>
    <t>いちじく</t>
  </si>
  <si>
    <t>ＪＡ広島</t>
  </si>
  <si>
    <t>ラフランス</t>
  </si>
  <si>
    <t>ＪＡ山形</t>
  </si>
  <si>
    <t>ＪＡ神奈川</t>
  </si>
  <si>
    <t>宮崎</t>
  </si>
  <si>
    <t>ＪＡ石川</t>
  </si>
  <si>
    <t>JP</t>
    <phoneticPr fontId="3"/>
  </si>
  <si>
    <t>21.09.2019</t>
    <phoneticPr fontId="3"/>
  </si>
  <si>
    <t>旬楽膳</t>
    <rPh sb="0" eb="1">
      <t>シュン</t>
    </rPh>
    <rPh sb="1" eb="2">
      <t>ラク</t>
    </rPh>
    <rPh sb="2" eb="3">
      <t>ゼン</t>
    </rPh>
    <phoneticPr fontId="4"/>
  </si>
  <si>
    <t>日進店</t>
    <rPh sb="0" eb="2">
      <t>ニッシン</t>
    </rPh>
    <rPh sb="2" eb="3">
      <t>ミセ</t>
    </rPh>
    <phoneticPr fontId="4"/>
  </si>
  <si>
    <t>JPY</t>
    <phoneticPr fontId="3"/>
  </si>
  <si>
    <t>フェルナ</t>
    <phoneticPr fontId="3"/>
  </si>
  <si>
    <t>段の上店</t>
    <rPh sb="0" eb="1">
      <t>ダン</t>
    </rPh>
    <rPh sb="2" eb="3">
      <t>ウエ</t>
    </rPh>
    <rPh sb="3" eb="4">
      <t>テン</t>
    </rPh>
    <phoneticPr fontId="3"/>
  </si>
  <si>
    <t>アオキスーパー</t>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</si>
  <si>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</si>
  <si>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</si>
  <si>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</si>
  <si>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</si>
  <si>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</si>
  <si>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</si>
  <si>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</si>
  <si>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</si>
  <si>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</si>
  <si>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アオキスーパー</t>
  </si>
  <si>
    <t>カネトク</t>
    <phoneticPr fontId="4"/>
  </si>
  <si>
    <t>長久手店</t>
  </si>
  <si>
    <t>ピアゴ</t>
  </si>
  <si>
    <t>長久手南店</t>
  </si>
  <si>
    <t>ラフランス</t>
    <phoneticPr fontId="4"/>
  </si>
  <si>
    <t>カネスエ</t>
  </si>
  <si>
    <t>カネトク</t>
  </si>
  <si>
    <t>フェルナ</t>
  </si>
  <si>
    <t>アピタ</t>
  </si>
  <si>
    <r>
      <rPr>
        <b/>
        <sz val="8"/>
        <rFont val="Arial"/>
        <family val="2"/>
      </rPr>
      <t xml:space="preserve">Green
Other
</t>
    </r>
    <r>
      <rPr>
        <b/>
        <sz val="8"/>
        <rFont val="ＭＳ Ｐゴシック"/>
        <family val="3"/>
        <charset val="128"/>
      </rPr>
      <t>最低重量</t>
    </r>
  </si>
  <si>
    <r>
      <rPr>
        <b/>
        <sz val="8"/>
        <rFont val="Arial"/>
        <family val="2"/>
      </rPr>
      <t xml:space="preserve">Gold
</t>
    </r>
    <r>
      <rPr>
        <b/>
        <sz val="8"/>
        <rFont val="ＭＳ Ｐゴシック"/>
        <family val="3"/>
        <charset val="128"/>
      </rPr>
      <t>最低重量</t>
    </r>
  </si>
  <si>
    <t>20.09.2019</t>
  </si>
  <si>
    <t>コノミヤ</t>
  </si>
  <si>
    <t>深井店</t>
  </si>
  <si>
    <t>上野芝店</t>
  </si>
  <si>
    <t>デイリーカナート</t>
  </si>
  <si>
    <t>向ヶ丘店</t>
  </si>
  <si>
    <t>松源</t>
  </si>
  <si>
    <t>北条店</t>
  </si>
  <si>
    <t>ライフ</t>
  </si>
  <si>
    <t>キンショー</t>
  </si>
  <si>
    <t>東湊店</t>
  </si>
  <si>
    <t>万代</t>
  </si>
  <si>
    <t>イズミヤ</t>
  </si>
  <si>
    <t>泉北店</t>
  </si>
  <si>
    <t>ダイエーグルメシティ</t>
  </si>
  <si>
    <t>津久野店</t>
  </si>
  <si>
    <t>キラキラ</t>
  </si>
  <si>
    <t>グリーンアイ</t>
  </si>
  <si>
    <t>ＪＡ大阪</t>
  </si>
  <si>
    <t>県名</t>
    <phoneticPr fontId="3"/>
  </si>
  <si>
    <t>チェーン名</t>
    <phoneticPr fontId="3"/>
  </si>
  <si>
    <t>品種</t>
    <phoneticPr fontId="3"/>
  </si>
  <si>
    <t>18.09.2019</t>
    <phoneticPr fontId="3"/>
  </si>
  <si>
    <t>福や</t>
  </si>
  <si>
    <t>鉄砲町店</t>
    <rPh sb="3" eb="4">
      <t>テン</t>
    </rPh>
    <phoneticPr fontId="3"/>
  </si>
  <si>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</si>
  <si>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</si>
  <si>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</si>
  <si>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</si>
  <si>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</si>
  <si>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</si>
  <si>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</si>
  <si>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</si>
  <si>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</si>
  <si>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</si>
  <si>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</si>
  <si>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</si>
  <si>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</si>
  <si>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</si>
  <si>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</si>
  <si>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</si>
  <si>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バナナ</t>
    <phoneticPr fontId="4"/>
  </si>
  <si>
    <t>パパイヤ</t>
    <phoneticPr fontId="4"/>
  </si>
  <si>
    <t>びわ</t>
    <phoneticPr fontId="4"/>
  </si>
  <si>
    <t>メロン</t>
    <phoneticPr fontId="4"/>
  </si>
  <si>
    <t>桃</t>
    <phoneticPr fontId="4"/>
  </si>
  <si>
    <t>ブドウ</t>
    <phoneticPr fontId="4"/>
  </si>
  <si>
    <t>りんご</t>
    <phoneticPr fontId="4"/>
  </si>
  <si>
    <t>りんご</t>
    <phoneticPr fontId="3"/>
  </si>
  <si>
    <t>みかん</t>
    <phoneticPr fontId="4"/>
  </si>
  <si>
    <t>マンゴー</t>
    <phoneticPr fontId="3"/>
  </si>
  <si>
    <t>梨</t>
    <phoneticPr fontId="3"/>
  </si>
  <si>
    <t>販売
ユニット
個数</t>
    <phoneticPr fontId="4"/>
  </si>
  <si>
    <t>U/P JPY</t>
    <phoneticPr fontId="4"/>
  </si>
  <si>
    <t>マルショク</t>
    <phoneticPr fontId="3"/>
  </si>
  <si>
    <t>野間大池</t>
    <rPh sb="0" eb="2">
      <t>ノマ</t>
    </rPh>
    <rPh sb="2" eb="4">
      <t>オオイケ</t>
    </rPh>
    <phoneticPr fontId="3"/>
  </si>
  <si>
    <t>JPY</t>
    <phoneticPr fontId="4"/>
  </si>
  <si>
    <t>サニー</t>
  </si>
  <si>
    <t>野間</t>
    <rPh sb="0" eb="2">
      <t>ノマ</t>
    </rPh>
    <phoneticPr fontId="3"/>
  </si>
  <si>
    <t>一般栽培</t>
    <phoneticPr fontId="4"/>
  </si>
  <si>
    <t>マルショク</t>
  </si>
  <si>
    <t>バナナ</t>
    <phoneticPr fontId="3"/>
  </si>
  <si>
    <t>CK</t>
    <phoneticPr fontId="3"/>
  </si>
  <si>
    <t>マミーズ</t>
  </si>
  <si>
    <t>美野島</t>
    <rPh sb="0" eb="1">
      <t>ミ</t>
    </rPh>
    <rPh sb="1" eb="2">
      <t>ノ</t>
    </rPh>
    <rPh sb="2" eb="3">
      <t>シマ</t>
    </rPh>
    <phoneticPr fontId="3"/>
  </si>
  <si>
    <t>福岡</t>
    <rPh sb="0" eb="2">
      <t>フクオカ</t>
    </rPh>
    <phoneticPr fontId="4"/>
  </si>
  <si>
    <t>西鉄ストア</t>
    <rPh sb="0" eb="2">
      <t>ニシテツ</t>
    </rPh>
    <phoneticPr fontId="3"/>
  </si>
  <si>
    <t>高宮</t>
    <rPh sb="0" eb="2">
      <t>タカミヤ</t>
    </rPh>
    <phoneticPr fontId="3"/>
  </si>
  <si>
    <t>いちご</t>
    <phoneticPr fontId="3"/>
  </si>
  <si>
    <t>レッドキャベツ</t>
  </si>
  <si>
    <t>博多駅南</t>
    <rPh sb="0" eb="3">
      <t>ハカタエキ</t>
    </rPh>
    <rPh sb="3" eb="4">
      <t>ミナミ</t>
    </rPh>
    <phoneticPr fontId="3"/>
  </si>
  <si>
    <t>佐賀</t>
    <rPh sb="0" eb="2">
      <t>サガ</t>
    </rPh>
    <phoneticPr fontId="3"/>
  </si>
  <si>
    <t>マルキョウ</t>
  </si>
  <si>
    <t>清水</t>
    <rPh sb="0" eb="2">
      <t>シミズ</t>
    </rPh>
    <phoneticPr fontId="3"/>
  </si>
  <si>
    <t>韓国</t>
    <rPh sb="0" eb="2">
      <t>カンコク</t>
    </rPh>
    <phoneticPr fontId="4"/>
  </si>
  <si>
    <t>大橋</t>
    <rPh sb="0" eb="2">
      <t>オオハシ</t>
    </rPh>
    <phoneticPr fontId="3"/>
  </si>
  <si>
    <t>ダイキョーバリュー</t>
  </si>
  <si>
    <t>JA伊万里</t>
    <rPh sb="2" eb="5">
      <t>イマリ</t>
    </rPh>
    <phoneticPr fontId="3"/>
  </si>
  <si>
    <t>ボンラパス</t>
  </si>
  <si>
    <t>ニューヨークストア</t>
  </si>
  <si>
    <t>住吉</t>
    <rPh sb="0" eb="2">
      <t>スミヨシ</t>
    </rPh>
    <phoneticPr fontId="3"/>
  </si>
  <si>
    <t>JA全農ふくれん</t>
    <rPh sb="2" eb="4">
      <t>ゼンノウ</t>
    </rPh>
    <phoneticPr fontId="3"/>
  </si>
  <si>
    <t>栃木</t>
    <rPh sb="0" eb="2">
      <t>トチギ</t>
    </rPh>
    <phoneticPr fontId="4"/>
  </si>
  <si>
    <t>オレンジ</t>
    <phoneticPr fontId="3"/>
  </si>
  <si>
    <t>山神農園</t>
    <rPh sb="0" eb="4">
      <t>ヤマガミノウエン</t>
    </rPh>
    <phoneticPr fontId="3"/>
  </si>
  <si>
    <t>喜芳園</t>
    <rPh sb="0" eb="1">
      <t>ヨロコ</t>
    </rPh>
    <rPh sb="1" eb="2">
      <t>ヨシモト</t>
    </rPh>
    <rPh sb="2" eb="3">
      <t>¥</t>
    </rPh>
    <phoneticPr fontId="3"/>
  </si>
  <si>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</si>
  <si>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</si>
  <si>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</si>
  <si>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ＪＡ八女</t>
    <rPh sb="2" eb="4">
      <t>ヤメ</t>
    </rPh>
    <phoneticPr fontId="4"/>
  </si>
  <si>
    <t>甘夏</t>
    <rPh sb="0" eb="2">
      <t>アマナツ</t>
    </rPh>
    <phoneticPr fontId="3"/>
  </si>
  <si>
    <t>プラム</t>
    <phoneticPr fontId="3"/>
  </si>
  <si>
    <t>ぽんかん</t>
    <phoneticPr fontId="3"/>
  </si>
  <si>
    <t>アメリカンチェリー</t>
    <phoneticPr fontId="3"/>
  </si>
  <si>
    <t>山口</t>
    <rPh sb="0" eb="2">
      <t>ヤマグチ</t>
    </rPh>
    <phoneticPr fontId="3"/>
  </si>
  <si>
    <t>店舗名</t>
    <phoneticPr fontId="3"/>
  </si>
  <si>
    <t>19.09.2019</t>
    <phoneticPr fontId="3"/>
  </si>
  <si>
    <t>サミット</t>
  </si>
  <si>
    <t>久が原食品館</t>
  </si>
  <si>
    <t>19.09.2019</t>
  </si>
  <si>
    <t>東急ストア</t>
  </si>
  <si>
    <t>蒲田</t>
  </si>
  <si>
    <t>マルエツ</t>
  </si>
  <si>
    <t>大森西</t>
  </si>
  <si>
    <t>大森</t>
  </si>
  <si>
    <t>カドヤ</t>
  </si>
  <si>
    <t>大井町</t>
  </si>
  <si>
    <t>HW</t>
    <phoneticPr fontId="3"/>
  </si>
  <si>
    <t>品川シーサイド</t>
  </si>
  <si>
    <t>大崎ニューシティ</t>
  </si>
  <si>
    <t>２番人気
果実</t>
    <phoneticPr fontId="3"/>
  </si>
  <si>
    <t>15.09.2019</t>
    <phoneticPr fontId="3"/>
  </si>
  <si>
    <t>鹿骨店</t>
  </si>
  <si>
    <t>松江店</t>
  </si>
  <si>
    <t>マックスバリュエクスプレス</t>
  </si>
  <si>
    <t>松島店</t>
    <rPh sb="1" eb="2">
      <t>シマ</t>
    </rPh>
    <phoneticPr fontId="3"/>
  </si>
  <si>
    <t>ヤマイチ</t>
  </si>
  <si>
    <t>中央店</t>
    <rPh sb="0" eb="2">
      <t>チュウオウ</t>
    </rPh>
    <phoneticPr fontId="3"/>
  </si>
  <si>
    <t>コモディイイダ</t>
  </si>
  <si>
    <t>西瑞江店</t>
  </si>
  <si>
    <t>いなげや</t>
  </si>
  <si>
    <t>江戸川春江店</t>
  </si>
  <si>
    <t>東武ストア</t>
  </si>
  <si>
    <t>新小岩店</t>
  </si>
  <si>
    <t>サミットストア</t>
  </si>
  <si>
    <t>江戸川区役所前店</t>
    <rPh sb="0" eb="6">
      <t>エドガワクヤクショ</t>
    </rPh>
    <rPh sb="6" eb="7">
      <t>マエ</t>
    </rPh>
    <rPh sb="7" eb="8">
      <t>ミセ</t>
    </rPh>
    <phoneticPr fontId="3"/>
  </si>
  <si>
    <t>ビッグ・エー</t>
  </si>
  <si>
    <t>江戸川本一色店</t>
  </si>
  <si>
    <t>江戸川中央店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</si>
</sst>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9"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color theme="1"/>
      <name val="ＭＳ Ｐゴシック"/>
      <family val="2"/>
      <scheme val="minor"/>
    </font>
    <font>
      <sz val="11"/>
      <name val="ＭＳ Ｐゴシック"/>
      <family val="3"/>
      <charset val="128"/>
      <scheme val="minor"/>
    </font>
    <font>
      <sz val="10"/>
      <name val="ＭＳ ゴシック"/>
      <family val="3"/>
      <charset val="128"/>
    </font>
    <font>
      <sz val="11"/>
      <color indexed="8"/>
      <name val="ＭＳ Ｐゴシック"/>
      <family val="3"/>
      <charset val="128"/>
    </font>
    <font>
      <sz val="11"/>
      <name val="ＭＳ Ｐゴシック"/>
      <family val="2"/>
      <charset val="128"/>
      <scheme val="minor"/>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5">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auto="1"/>
      </left>
      <right/>
      <top/>
      <bottom/>
      <diagonal/>
    </border>
    <border>
      <left style="hair">
        <color auto="1"/>
      </left>
      <right style="thin">
        <color auto="1"/>
      </right>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s>
  <cellStyleXfs count="9">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xf numFmtId="0" fontId="14" fillId="0" borderId="0"/>
  </cellStyleXfs>
  <cellXfs count="180">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0" fontId="1" fillId="0" borderId="0" xfId="1"/>
    <xf numFmtId="0" fontId="1" fillId="0" borderId="0" xfId="1" applyFill="1"/>
    <xf numFmtId="49" fontId="2" fillId="0" borderId="2" xfId="1" applyNumberFormat="1" applyFont="1" applyBorder="1" applyAlignment="1">
      <alignment horizontal="center" vertical="center" wrapText="1"/>
    </xf>
    <xf numFmtId="49" fontId="2" fillId="0" borderId="3" xfId="1" applyNumberFormat="1" applyFont="1" applyBorder="1" applyAlignment="1">
      <alignment horizontal="center" vertical="center" wrapText="1"/>
    </xf>
    <xf numFmtId="49" fontId="2" fillId="3" borderId="3" xfId="1" applyNumberFormat="1" applyFont="1" applyFill="1" applyBorder="1" applyAlignment="1">
      <alignment horizontal="center" vertical="center" wrapText="1"/>
    </xf>
    <xf numFmtId="49" fontId="5" fillId="0" borderId="3" xfId="1" applyNumberFormat="1" applyFont="1" applyBorder="1" applyAlignment="1">
      <alignment horizontal="center" vertical="center" wrapText="1"/>
    </xf>
    <xf numFmtId="0" fontId="2" fillId="3" borderId="3" xfId="1" applyFont="1" applyFill="1" applyBorder="1" applyAlignment="1">
      <alignment horizontal="center" vertical="center" wrapText="1"/>
    </xf>
    <xf numFmtId="49" fontId="8" fillId="0" borderId="6" xfId="1" applyNumberFormat="1" applyFont="1" applyBorder="1" applyAlignment="1">
      <alignment horizontal="center" vertical="center" wrapText="1"/>
    </xf>
    <xf numFmtId="49" fontId="7" fillId="0" borderId="0" xfId="1" applyNumberFormat="1" applyFont="1" applyAlignment="1">
      <alignment horizontal="center" vertical="center" wrapText="1"/>
    </xf>
    <xf numFmtId="0" fontId="1" fillId="0" borderId="0" xfId="1" applyAlignment="1">
      <alignment horizontal="center"/>
    </xf>
    <xf numFmtId="14" fontId="15" fillId="0" borderId="0" xfId="1" applyNumberFormat="1" applyFont="1" applyAlignment="1">
      <alignment horizontal="right"/>
    </xf>
    <xf numFmtId="0" fontId="10" fillId="0" borderId="7" xfId="1" applyFont="1" applyBorder="1"/>
    <xf numFmtId="0" fontId="16" fillId="0" borderId="22" xfId="2" applyFont="1" applyBorder="1" applyAlignment="1">
      <alignment horizontal="center" vertical="center"/>
    </xf>
    <xf numFmtId="0" fontId="16" fillId="0" borderId="23" xfId="2" applyFont="1" applyBorder="1" applyAlignment="1">
      <alignment horizontal="center" vertical="center"/>
    </xf>
    <xf numFmtId="0" fontId="1" fillId="0" borderId="8" xfId="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6" fillId="0" borderId="12" xfId="2" applyFont="1" applyBorder="1" applyAlignment="1">
      <alignment horizontal="center" vertical="center"/>
    </xf>
    <xf numFmtId="178" fontId="1" fillId="3" borderId="0" xfId="1" applyNumberFormat="1" applyFill="1"/>
    <xf numFmtId="0" fontId="1" fillId="0" borderId="18" xfId="1" applyBorder="1"/>
    <xf numFmtId="0" fontId="15" fillId="0" borderId="0" xfId="1" applyFont="1"/>
    <xf numFmtId="178" fontId="1" fillId="2" borderId="0" xfId="1" applyNumberFormat="1" applyFill="1"/>
    <xf numFmtId="0" fontId="15" fillId="0" borderId="0" xfId="2" applyFont="1">
      <alignment vertical="center"/>
    </xf>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49" fontId="7" fillId="0" borderId="5" xfId="1" applyNumberFormat="1" applyFont="1" applyBorder="1" applyAlignment="1">
      <alignment horizontal="center" vertical="center" wrapText="1"/>
    </xf>
    <xf numFmtId="14" fontId="17" fillId="0" borderId="0" xfId="1" applyNumberFormat="1" applyFont="1"/>
    <xf numFmtId="0" fontId="1" fillId="0" borderId="12" xfId="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Border="1" applyAlignment="1">
      <alignment horizontal="center" vertical="center" wrapText="1"/>
    </xf>
    <xf numFmtId="49" fontId="2" fillId="0" borderId="3" xfId="5" applyNumberFormat="1" applyFont="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Border="1" applyAlignment="1">
      <alignment horizontal="center" vertical="center" wrapText="1"/>
    </xf>
    <xf numFmtId="0" fontId="1" fillId="0" borderId="0" xfId="5" applyAlignment="1"/>
    <xf numFmtId="49" fontId="8" fillId="0" borderId="6" xfId="5" applyNumberFormat="1" applyFont="1" applyBorder="1" applyAlignment="1">
      <alignment horizontal="center" vertical="center" wrapText="1"/>
    </xf>
    <xf numFmtId="49" fontId="7" fillId="0" borderId="0" xfId="5" applyNumberFormat="1" applyFont="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Alignment="1"/>
    <xf numFmtId="177" fontId="1" fillId="2" borderId="0" xfId="5" applyNumberFormat="1" applyFill="1" applyAlignment="1"/>
    <xf numFmtId="0" fontId="1" fillId="2" borderId="0" xfId="5" applyFill="1" applyAlignment="1"/>
    <xf numFmtId="179" fontId="1" fillId="2" borderId="0" xfId="5" applyNumberFormat="1" applyFill="1" applyAlignment="1"/>
    <xf numFmtId="0" fontId="10" fillId="0" borderId="7" xfId="5" applyFont="1" applyBorder="1" applyAlignment="1"/>
    <xf numFmtId="0" fontId="1" fillId="0" borderId="8" xfId="5" applyBorder="1" applyAlignment="1"/>
    <xf numFmtId="0" fontId="1" fillId="0" borderId="9" xfId="5" applyBorder="1" applyAlignment="1">
      <alignment wrapText="1"/>
    </xf>
    <xf numFmtId="0" fontId="1" fillId="0" borderId="10" xfId="5" applyBorder="1" applyAlignment="1">
      <alignment wrapText="1"/>
    </xf>
    <xf numFmtId="0" fontId="1" fillId="0" borderId="11" xfId="5" applyBorder="1" applyAlignment="1">
      <alignment wrapText="1"/>
    </xf>
    <xf numFmtId="0" fontId="10" fillId="0" borderId="12" xfId="5" applyFont="1" applyBorder="1" applyAlignment="1"/>
    <xf numFmtId="0" fontId="1" fillId="0" borderId="12" xfId="5" applyBorder="1" applyAlignment="1"/>
    <xf numFmtId="0" fontId="1" fillId="0" borderId="13" xfId="5" applyBorder="1" applyAlignment="1">
      <alignment wrapText="1"/>
    </xf>
    <xf numFmtId="0" fontId="1" fillId="0" borderId="14" xfId="5" applyBorder="1" applyAlignment="1">
      <alignment wrapText="1"/>
    </xf>
    <xf numFmtId="0" fontId="1" fillId="0" borderId="15" xfId="5" applyBorder="1" applyAlignment="1">
      <alignment wrapText="1"/>
    </xf>
    <xf numFmtId="0" fontId="1" fillId="0" borderId="16" xfId="5" applyBorder="1" applyAlignment="1"/>
    <xf numFmtId="0" fontId="1" fillId="0" borderId="17" xfId="5" applyBorder="1" applyAlignment="1"/>
    <xf numFmtId="0" fontId="1" fillId="0" borderId="18" xfId="5" applyBorder="1" applyAlignment="1"/>
    <xf numFmtId="0" fontId="1" fillId="0" borderId="19" xfId="5" applyBorder="1" applyAlignment="1">
      <alignment wrapText="1"/>
    </xf>
    <xf numFmtId="0" fontId="1" fillId="0" borderId="20" xfId="5" applyBorder="1" applyAlignment="1">
      <alignment wrapText="1"/>
    </xf>
    <xf numFmtId="0" fontId="1" fillId="0" borderId="21" xfId="5" applyBorder="1" applyAlignment="1">
      <alignment wrapText="1"/>
    </xf>
    <xf numFmtId="0" fontId="10" fillId="0" borderId="16" xfId="5" applyFont="1" applyBorder="1" applyAlignment="1"/>
    <xf numFmtId="14" fontId="0" fillId="0" borderId="0" xfId="5" applyNumberFormat="1" applyFont="1" applyAlignment="1"/>
    <xf numFmtId="49" fontId="2" fillId="0" borderId="1" xfId="1" applyNumberFormat="1" applyFont="1" applyBorder="1" applyAlignment="1">
      <alignment horizontal="center" vertical="center" wrapText="1"/>
    </xf>
    <xf numFmtId="49" fontId="2" fillId="0" borderId="4" xfId="1" applyNumberFormat="1" applyFont="1" applyBorder="1" applyAlignment="1">
      <alignment horizontal="center" vertical="center" wrapText="1"/>
    </xf>
    <xf numFmtId="49" fontId="7" fillId="0" borderId="6" xfId="1" applyNumberFormat="1" applyFont="1" applyBorder="1" applyAlignment="1">
      <alignment horizontal="center" vertical="center" wrapText="1"/>
    </xf>
    <xf numFmtId="0" fontId="10" fillId="0" borderId="24" xfId="1" applyFont="1" applyBorder="1" applyAlignment="1">
      <alignment horizontal="left" wrapText="1"/>
    </xf>
    <xf numFmtId="0" fontId="1" fillId="4" borderId="0" xfId="1" applyFill="1"/>
    <xf numFmtId="14" fontId="1" fillId="4" borderId="0" xfId="1" applyNumberFormat="1" applyFill="1"/>
    <xf numFmtId="1" fontId="1" fillId="2" borderId="0" xfId="1" applyNumberFormat="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0" fillId="0" borderId="16" xfId="1" applyFont="1" applyBorder="1"/>
    <xf numFmtId="0" fontId="0" fillId="0" borderId="12" xfId="1" applyFont="1" applyBorder="1"/>
    <xf numFmtId="0" fontId="0" fillId="0" borderId="17" xfId="1" applyFont="1" applyBorder="1"/>
    <xf numFmtId="14" fontId="17" fillId="0" borderId="0" xfId="1" applyNumberFormat="1" applyFont="1" applyAlignment="1">
      <alignment horizontal="center"/>
    </xf>
    <xf numFmtId="0" fontId="18" fillId="0" borderId="1" xfId="0" applyFont="1" applyBorder="1">
      <alignment vertical="center"/>
    </xf>
    <xf numFmtId="0" fontId="15" fillId="0" borderId="4" xfId="0" applyFont="1" applyBorder="1">
      <alignment vertical="center"/>
    </xf>
    <xf numFmtId="0" fontId="15" fillId="0" borderId="1" xfId="0" applyFont="1" applyBorder="1">
      <alignment vertical="center"/>
    </xf>
    <xf numFmtId="0" fontId="15" fillId="0" borderId="6" xfId="0" applyFont="1" applyBorder="1">
      <alignment vertical="center"/>
    </xf>
    <xf numFmtId="49" fontId="2" fillId="5" borderId="25" xfId="1" applyNumberFormat="1" applyFont="1" applyFill="1" applyBorder="1" applyAlignment="1">
      <alignment horizontal="center" vertical="center" wrapText="1"/>
    </xf>
    <xf numFmtId="49" fontId="7" fillId="4" borderId="0" xfId="1" applyNumberFormat="1" applyFont="1" applyFill="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6" xfId="1" applyFill="1" applyBorder="1"/>
    <xf numFmtId="14" fontId="0" fillId="4" borderId="27" xfId="1" applyNumberFormat="1" applyFont="1" applyFill="1" applyBorder="1"/>
    <xf numFmtId="0" fontId="1" fillId="4" borderId="28" xfId="1" applyFill="1" applyBorder="1"/>
    <xf numFmtId="0" fontId="1" fillId="4" borderId="29" xfId="1" applyFill="1" applyBorder="1"/>
    <xf numFmtId="0" fontId="1" fillId="4" borderId="30" xfId="1" applyFill="1" applyBorder="1"/>
    <xf numFmtId="0" fontId="1" fillId="4" borderId="31" xfId="1" applyFill="1" applyBorder="1"/>
    <xf numFmtId="0" fontId="1" fillId="4" borderId="32" xfId="1" applyFill="1" applyBorder="1"/>
    <xf numFmtId="178" fontId="1" fillId="3" borderId="29" xfId="1" applyNumberFormat="1" applyFill="1" applyBorder="1"/>
    <xf numFmtId="0" fontId="1" fillId="4" borderId="33" xfId="1" applyFill="1" applyBorder="1"/>
    <xf numFmtId="0" fontId="1" fillId="3" borderId="30" xfId="1" applyFill="1" applyBorder="1"/>
    <xf numFmtId="0" fontId="1" fillId="4" borderId="34" xfId="1" applyFill="1" applyBorder="1"/>
    <xf numFmtId="0" fontId="1" fillId="4" borderId="35" xfId="1" applyFill="1" applyBorder="1"/>
    <xf numFmtId="0" fontId="1" fillId="4" borderId="36" xfId="1" applyFill="1" applyBorder="1"/>
    <xf numFmtId="0" fontId="1" fillId="0" borderId="36" xfId="1" applyBorder="1"/>
    <xf numFmtId="14" fontId="0" fillId="4" borderId="37" xfId="1" applyNumberFormat="1" applyFont="1" applyFill="1" applyBorder="1"/>
    <xf numFmtId="0" fontId="1" fillId="4" borderId="38" xfId="1" applyFill="1" applyBorder="1"/>
    <xf numFmtId="178" fontId="1" fillId="3" borderId="39" xfId="1" applyNumberFormat="1" applyFill="1" applyBorder="1"/>
    <xf numFmtId="0" fontId="1" fillId="0" borderId="40" xfId="1" applyBorder="1"/>
    <xf numFmtId="0" fontId="1" fillId="0" borderId="41" xfId="1" applyBorder="1"/>
    <xf numFmtId="0" fontId="1" fillId="0" borderId="42" xfId="1" applyBorder="1"/>
    <xf numFmtId="0" fontId="1" fillId="4" borderId="43" xfId="1" applyFill="1" applyBorder="1"/>
    <xf numFmtId="0" fontId="1" fillId="4" borderId="12" xfId="1" applyFill="1" applyBorder="1"/>
    <xf numFmtId="0" fontId="1" fillId="0" borderId="44" xfId="1" applyBorder="1"/>
    <xf numFmtId="0" fontId="1" fillId="4" borderId="41" xfId="1" applyFill="1" applyBorder="1"/>
    <xf numFmtId="0" fontId="1" fillId="4" borderId="16" xfId="1" applyFill="1" applyBorder="1"/>
    <xf numFmtId="0" fontId="1" fillId="4" borderId="17" xfId="1" applyFill="1" applyBorder="1"/>
    <xf numFmtId="0" fontId="1" fillId="0" borderId="43" xfId="1" applyBorder="1"/>
    <xf numFmtId="0" fontId="1" fillId="0" borderId="35" xfId="1" applyBorder="1"/>
    <xf numFmtId="14" fontId="0" fillId="0" borderId="0" xfId="1" applyNumberFormat="1" applyFont="1"/>
    <xf numFmtId="49" fontId="8" fillId="0" borderId="24" xfId="1" applyNumberFormat="1" applyFont="1" applyBorder="1" applyAlignment="1">
      <alignment horizontal="center" vertical="center" wrapText="1"/>
    </xf>
    <xf numFmtId="49" fontId="1" fillId="0" borderId="0" xfId="1" applyNumberFormat="1" applyAlignment="1">
      <alignment horizontal="right"/>
    </xf>
    <xf numFmtId="0" fontId="1" fillId="0" borderId="7" xfId="1" applyBorder="1" applyProtection="1">
      <protection locked="0"/>
    </xf>
    <xf numFmtId="0" fontId="1" fillId="0" borderId="8" xfId="1" applyBorder="1" applyProtection="1">
      <protection locked="0"/>
    </xf>
    <xf numFmtId="0" fontId="11" fillId="0" borderId="0" xfId="7">
      <alignment vertical="center"/>
    </xf>
  </cellXfs>
  <cellStyles count="9">
    <cellStyle name="桁区切り[0]" xfId="3" xr:uid="{00000000-0005-0000-0000-000000000000}"/>
    <cellStyle name="通貨[0]" xfId="4" xr:uid="{00000000-0005-0000-0000-000001000000}"/>
    <cellStyle name="標準" xfId="0" builtinId="0"/>
    <cellStyle name="標準 2" xfId="1" xr:uid="{00000000-0005-0000-0000-000003000000}"/>
    <cellStyle name="標準 2 2" xfId="5" xr:uid="{00000000-0005-0000-0000-000004000000}"/>
    <cellStyle name="標準 3" xfId="2" xr:uid="{00000000-0005-0000-0000-000005000000}"/>
    <cellStyle name="標準 3 2" xfId="7" xr:uid="{00000000-0005-0000-0000-000006000000}"/>
    <cellStyle name="標準 4" xfId="6" xr:uid="{00000000-0005-0000-0000-000007000000}"/>
    <cellStyle name="標準 5" xfId="8" xr:uid="{00000000-0005-0000-0000-000008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20"/>
  <sheetViews>
    <sheetView tabSelected="1" zoomScale="70" zoomScaleNormal="70" workbookViewId="0">
      <selection activeCell="A2" sqref="A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156</v>
      </c>
      <c r="B2" s="15" t="s">
        <v>157</v>
      </c>
      <c r="C2" s="15">
        <v>2019</v>
      </c>
      <c r="D2" s="50" t="s">
        <v>166</v>
      </c>
      <c r="E2" s="15" t="s">
        <v>141</v>
      </c>
      <c r="F2" s="15" t="s">
        <v>149</v>
      </c>
      <c r="G2" s="15" t="s">
        <v>36</v>
      </c>
      <c r="H2" s="15" t="s">
        <v>164</v>
      </c>
      <c r="I2" s="15" t="s">
        <v>159</v>
      </c>
      <c r="J2" s="15" t="s">
        <v>38</v>
      </c>
      <c r="K2" s="7" t="s">
        <v>161</v>
      </c>
      <c r="L2" s="7">
        <v>1</v>
      </c>
      <c r="N2" s="47">
        <v>1</v>
      </c>
      <c r="O2" s="15">
        <v>0.6</v>
      </c>
      <c r="P2" s="15">
        <v>0.6</v>
      </c>
      <c r="Q2" s="51">
        <f t="shared" ref="Q2:Q65" si="0">IF(OR(O2="",P2=""),"",AVERAGE(O2,P2))</f>
        <v>0.6</v>
      </c>
      <c r="R2" s="15">
        <v>13.4</v>
      </c>
      <c r="S2" s="15">
        <v>84</v>
      </c>
      <c r="T2" s="38">
        <f t="shared" ref="T2:T59" si="1">IF(H2="","",IF(OR(H2="GREEN",H2="GK"),IF(S2&gt;=$AX$2,VLOOKUP(S2,$AX$2:$AY$12,2,1),""),IF(S2&gt;=$AZ$2,VLOOKUP(S2,$AZ$2:$BA$12,2,1),"")))</f>
        <v>36</v>
      </c>
      <c r="U2" s="15">
        <v>51</v>
      </c>
      <c r="V2" s="38">
        <f t="shared" ref="V2:V65" si="2">IF(OR(N2="",U2="",T2=""),"",U2/N2*T2)</f>
        <v>1836</v>
      </c>
      <c r="W2" s="15">
        <v>10</v>
      </c>
      <c r="X2" s="15" t="s">
        <v>46</v>
      </c>
      <c r="Y2" s="15" t="s">
        <v>102</v>
      </c>
      <c r="Z2" s="15" t="s">
        <v>78</v>
      </c>
      <c r="AA2" s="15" t="s">
        <v>90</v>
      </c>
      <c r="AB2" s="39" t="s">
        <v>158</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156</v>
      </c>
      <c r="B3" s="15" t="s">
        <v>157</v>
      </c>
      <c r="C3" s="15">
        <v>2019</v>
      </c>
      <c r="D3" s="37" t="s">
        <v>165</v>
      </c>
      <c r="E3" s="15" t="s">
        <v>141</v>
      </c>
      <c r="F3" s="7" t="s">
        <v>149</v>
      </c>
      <c r="G3" s="7" t="s">
        <v>36</v>
      </c>
      <c r="H3" s="15" t="s">
        <v>164</v>
      </c>
      <c r="I3" s="7" t="s">
        <v>159</v>
      </c>
      <c r="J3" s="15" t="s">
        <v>38</v>
      </c>
      <c r="K3" s="7" t="s">
        <v>161</v>
      </c>
      <c r="L3" s="7">
        <v>2</v>
      </c>
      <c r="N3" s="7">
        <v>1</v>
      </c>
      <c r="O3" s="34">
        <v>0.5</v>
      </c>
      <c r="P3" s="7">
        <v>0.5</v>
      </c>
      <c r="Q3" s="52">
        <f t="shared" si="0"/>
        <v>0.5</v>
      </c>
      <c r="R3" s="7">
        <v>13.2</v>
      </c>
      <c r="S3" s="7">
        <v>84</v>
      </c>
      <c r="T3" s="16">
        <f t="shared" si="1"/>
        <v>36</v>
      </c>
      <c r="U3" s="15">
        <v>51</v>
      </c>
      <c r="V3" s="16">
        <f t="shared" si="2"/>
        <v>1836</v>
      </c>
      <c r="W3" s="15">
        <v>10</v>
      </c>
      <c r="X3" s="15" t="s">
        <v>46</v>
      </c>
      <c r="Y3" s="15" t="s">
        <v>102</v>
      </c>
      <c r="Z3" s="15" t="s">
        <v>78</v>
      </c>
      <c r="AA3" s="15" t="s">
        <v>90</v>
      </c>
      <c r="AB3" s="39" t="s">
        <v>158</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156</v>
      </c>
      <c r="B4" s="15" t="s">
        <v>157</v>
      </c>
      <c r="C4" s="15">
        <v>2019</v>
      </c>
      <c r="D4" s="37" t="s">
        <v>165</v>
      </c>
      <c r="E4" s="15" t="s">
        <v>141</v>
      </c>
      <c r="F4" s="7" t="s">
        <v>149</v>
      </c>
      <c r="G4" s="7" t="s">
        <v>36</v>
      </c>
      <c r="H4" s="15" t="s">
        <v>164</v>
      </c>
      <c r="I4" s="7" t="s">
        <v>159</v>
      </c>
      <c r="J4" s="15" t="s">
        <v>38</v>
      </c>
      <c r="K4" s="7" t="s">
        <v>161</v>
      </c>
      <c r="L4" s="7">
        <v>3</v>
      </c>
      <c r="N4" s="7">
        <v>1</v>
      </c>
      <c r="O4" s="7">
        <v>0.65</v>
      </c>
      <c r="P4" s="7">
        <v>0.65</v>
      </c>
      <c r="Q4" s="52">
        <f t="shared" si="0"/>
        <v>0.65</v>
      </c>
      <c r="R4" s="7">
        <v>12.7</v>
      </c>
      <c r="S4" s="7">
        <v>91</v>
      </c>
      <c r="T4" s="16">
        <f t="shared" si="1"/>
        <v>36</v>
      </c>
      <c r="U4" s="15">
        <v>51</v>
      </c>
      <c r="V4" s="16">
        <f t="shared" si="2"/>
        <v>1836</v>
      </c>
      <c r="W4" s="15">
        <v>10</v>
      </c>
      <c r="X4" s="15" t="s">
        <v>46</v>
      </c>
      <c r="Y4" s="54" t="s">
        <v>102</v>
      </c>
      <c r="Z4" s="54" t="s">
        <v>78</v>
      </c>
      <c r="AA4" s="54" t="s">
        <v>90</v>
      </c>
      <c r="AB4" s="39" t="s">
        <v>158</v>
      </c>
      <c r="AE4" s="22" t="s">
        <v>34</v>
      </c>
      <c r="AG4" s="49" t="s">
        <v>154</v>
      </c>
      <c r="AH4" s="49" t="s">
        <v>155</v>
      </c>
      <c r="AJ4" s="27" t="s">
        <v>48</v>
      </c>
      <c r="AL4" s="27" t="s">
        <v>129</v>
      </c>
      <c r="AN4" s="28" t="s">
        <v>49</v>
      </c>
      <c r="AP4" s="23" t="s">
        <v>93</v>
      </c>
      <c r="AR4" s="41" t="s">
        <v>121</v>
      </c>
      <c r="AT4" s="28"/>
      <c r="AV4" s="23" t="s">
        <v>50</v>
      </c>
      <c r="AX4" s="24">
        <v>75</v>
      </c>
      <c r="AY4" s="25">
        <v>42</v>
      </c>
      <c r="AZ4" s="25">
        <v>76</v>
      </c>
      <c r="BA4" s="26">
        <v>39</v>
      </c>
    </row>
    <row r="5" spans="1:53" x14ac:dyDescent="0.15">
      <c r="A5" s="15" t="s">
        <v>156</v>
      </c>
      <c r="B5" s="15" t="s">
        <v>157</v>
      </c>
      <c r="C5" s="15">
        <v>2019</v>
      </c>
      <c r="D5" s="37" t="s">
        <v>165</v>
      </c>
      <c r="E5" s="15" t="s">
        <v>141</v>
      </c>
      <c r="F5" s="15" t="s">
        <v>149</v>
      </c>
      <c r="G5" s="7" t="s">
        <v>36</v>
      </c>
      <c r="H5" s="54" t="s">
        <v>160</v>
      </c>
      <c r="I5" s="7" t="s">
        <v>159</v>
      </c>
      <c r="J5" s="15" t="s">
        <v>38</v>
      </c>
      <c r="K5" s="7" t="s">
        <v>161</v>
      </c>
      <c r="L5" s="7">
        <v>1</v>
      </c>
      <c r="N5" s="53">
        <v>1</v>
      </c>
      <c r="O5" s="7">
        <v>0.5</v>
      </c>
      <c r="P5" s="7">
        <v>0.5</v>
      </c>
      <c r="Q5" s="52">
        <f t="shared" si="0"/>
        <v>0.5</v>
      </c>
      <c r="R5" s="7">
        <v>14.7</v>
      </c>
      <c r="S5" s="7">
        <v>118</v>
      </c>
      <c r="T5" s="16">
        <f t="shared" si="1"/>
        <v>30</v>
      </c>
      <c r="U5" s="15">
        <v>135</v>
      </c>
      <c r="V5" s="16">
        <f t="shared" si="2"/>
        <v>4050</v>
      </c>
      <c r="W5" s="15">
        <v>14</v>
      </c>
      <c r="X5" s="15" t="s">
        <v>46</v>
      </c>
      <c r="Y5" s="54" t="s">
        <v>102</v>
      </c>
      <c r="Z5" s="54" t="s">
        <v>78</v>
      </c>
      <c r="AA5" s="54" t="s">
        <v>90</v>
      </c>
      <c r="AB5" s="39" t="s">
        <v>158</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156</v>
      </c>
      <c r="B6" s="15" t="s">
        <v>157</v>
      </c>
      <c r="C6" s="15">
        <v>2019</v>
      </c>
      <c r="D6" s="37" t="s">
        <v>165</v>
      </c>
      <c r="E6" s="15" t="s">
        <v>141</v>
      </c>
      <c r="F6" s="7" t="s">
        <v>149</v>
      </c>
      <c r="G6" s="7" t="s">
        <v>36</v>
      </c>
      <c r="H6" s="54" t="s">
        <v>160</v>
      </c>
      <c r="I6" s="53" t="s">
        <v>159</v>
      </c>
      <c r="J6" s="15" t="s">
        <v>38</v>
      </c>
      <c r="K6" s="7" t="s">
        <v>161</v>
      </c>
      <c r="L6" s="7">
        <v>2</v>
      </c>
      <c r="N6" s="53">
        <v>1</v>
      </c>
      <c r="O6" s="7">
        <v>0.5</v>
      </c>
      <c r="P6" s="7">
        <v>0.5</v>
      </c>
      <c r="Q6" s="52">
        <f t="shared" si="0"/>
        <v>0.5</v>
      </c>
      <c r="R6" s="7">
        <v>15.4</v>
      </c>
      <c r="S6" s="7">
        <v>124</v>
      </c>
      <c r="T6" s="16">
        <f t="shared" si="1"/>
        <v>27</v>
      </c>
      <c r="U6" s="15">
        <v>135</v>
      </c>
      <c r="V6" s="16">
        <f t="shared" si="2"/>
        <v>3645</v>
      </c>
      <c r="W6" s="15">
        <v>14</v>
      </c>
      <c r="X6" s="15" t="s">
        <v>46</v>
      </c>
      <c r="Y6" s="54" t="s">
        <v>102</v>
      </c>
      <c r="Z6" s="54" t="s">
        <v>78</v>
      </c>
      <c r="AA6" s="54" t="s">
        <v>90</v>
      </c>
      <c r="AB6" s="39" t="s">
        <v>158</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156</v>
      </c>
      <c r="B7" s="15" t="s">
        <v>157</v>
      </c>
      <c r="C7" s="15">
        <v>2019</v>
      </c>
      <c r="D7" s="37" t="s">
        <v>165</v>
      </c>
      <c r="E7" s="15" t="s">
        <v>141</v>
      </c>
      <c r="F7" s="7" t="s">
        <v>149</v>
      </c>
      <c r="G7" s="7" t="s">
        <v>36</v>
      </c>
      <c r="H7" s="54" t="s">
        <v>160</v>
      </c>
      <c r="I7" s="53" t="s">
        <v>159</v>
      </c>
      <c r="J7" s="15" t="s">
        <v>38</v>
      </c>
      <c r="K7" s="7" t="s">
        <v>161</v>
      </c>
      <c r="L7" s="7">
        <v>3</v>
      </c>
      <c r="N7" s="53">
        <v>1</v>
      </c>
      <c r="O7" s="7">
        <v>0.5</v>
      </c>
      <c r="P7" s="7">
        <v>0.5</v>
      </c>
      <c r="Q7" s="52">
        <f t="shared" si="0"/>
        <v>0.5</v>
      </c>
      <c r="R7" s="34">
        <v>13.7</v>
      </c>
      <c r="S7" s="7">
        <v>121</v>
      </c>
      <c r="T7" s="16">
        <f t="shared" si="1"/>
        <v>27</v>
      </c>
      <c r="U7" s="15">
        <v>135</v>
      </c>
      <c r="V7" s="16">
        <f t="shared" si="2"/>
        <v>3645</v>
      </c>
      <c r="W7" s="15">
        <v>14</v>
      </c>
      <c r="X7" s="15" t="s">
        <v>46</v>
      </c>
      <c r="Y7" s="54" t="s">
        <v>102</v>
      </c>
      <c r="Z7" s="54" t="s">
        <v>78</v>
      </c>
      <c r="AA7" s="54" t="s">
        <v>90</v>
      </c>
      <c r="AB7" s="39" t="s">
        <v>158</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156</v>
      </c>
      <c r="B8" s="15" t="s">
        <v>157</v>
      </c>
      <c r="C8" s="15">
        <v>2019</v>
      </c>
      <c r="D8" s="37" t="s">
        <v>165</v>
      </c>
      <c r="E8" s="15" t="s">
        <v>133</v>
      </c>
      <c r="F8" s="7" t="s">
        <v>150</v>
      </c>
      <c r="G8" s="7" t="s">
        <v>36</v>
      </c>
      <c r="H8" s="15" t="s">
        <v>164</v>
      </c>
      <c r="I8" s="7" t="s">
        <v>159</v>
      </c>
      <c r="J8" s="15" t="s">
        <v>38</v>
      </c>
      <c r="K8" s="7" t="s">
        <v>161</v>
      </c>
      <c r="L8" s="7">
        <v>1</v>
      </c>
      <c r="N8" s="53">
        <v>1</v>
      </c>
      <c r="O8" s="7">
        <v>0.55000000000000004</v>
      </c>
      <c r="P8" s="7">
        <v>0.5</v>
      </c>
      <c r="Q8" s="52">
        <f t="shared" si="0"/>
        <v>0.52500000000000002</v>
      </c>
      <c r="R8" s="34">
        <v>12.9</v>
      </c>
      <c r="S8" s="7">
        <v>123</v>
      </c>
      <c r="T8" s="16">
        <f t="shared" si="1"/>
        <v>27</v>
      </c>
      <c r="U8" s="15">
        <v>95</v>
      </c>
      <c r="V8" s="16">
        <f t="shared" si="2"/>
        <v>2565</v>
      </c>
      <c r="W8" s="15">
        <v>8</v>
      </c>
      <c r="X8" s="15" t="s">
        <v>46</v>
      </c>
      <c r="Y8" s="54" t="s">
        <v>90</v>
      </c>
      <c r="Z8" s="54" t="s">
        <v>102</v>
      </c>
      <c r="AA8" s="54" t="s">
        <v>78</v>
      </c>
      <c r="AB8" s="39" t="s">
        <v>158</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156</v>
      </c>
      <c r="B9" s="15" t="s">
        <v>157</v>
      </c>
      <c r="C9" s="15">
        <v>2019</v>
      </c>
      <c r="D9" s="37" t="s">
        <v>165</v>
      </c>
      <c r="E9" s="15" t="s">
        <v>133</v>
      </c>
      <c r="F9" s="7" t="s">
        <v>150</v>
      </c>
      <c r="G9" s="7" t="s">
        <v>36</v>
      </c>
      <c r="H9" s="54" t="s">
        <v>164</v>
      </c>
      <c r="I9" s="7" t="s">
        <v>159</v>
      </c>
      <c r="J9" s="15" t="s">
        <v>38</v>
      </c>
      <c r="K9" s="7" t="s">
        <v>161</v>
      </c>
      <c r="L9" s="7">
        <v>2</v>
      </c>
      <c r="N9" s="7">
        <v>1</v>
      </c>
      <c r="O9" s="7">
        <v>0.5</v>
      </c>
      <c r="P9" s="7">
        <v>0.5</v>
      </c>
      <c r="Q9" s="52">
        <f t="shared" si="0"/>
        <v>0.5</v>
      </c>
      <c r="R9" s="7">
        <v>12.7</v>
      </c>
      <c r="S9" s="7">
        <v>116</v>
      </c>
      <c r="T9" s="16">
        <f t="shared" si="1"/>
        <v>30</v>
      </c>
      <c r="U9" s="15">
        <v>95</v>
      </c>
      <c r="V9" s="16">
        <f t="shared" si="2"/>
        <v>2850</v>
      </c>
      <c r="W9" s="15">
        <v>8</v>
      </c>
      <c r="X9" s="15" t="s">
        <v>46</v>
      </c>
      <c r="Y9" s="54" t="s">
        <v>90</v>
      </c>
      <c r="Z9" s="54" t="s">
        <v>102</v>
      </c>
      <c r="AA9" s="54" t="s">
        <v>78</v>
      </c>
      <c r="AB9" s="39" t="s">
        <v>158</v>
      </c>
      <c r="AE9" s="22" t="s">
        <v>98</v>
      </c>
      <c r="AG9" s="49" t="s">
        <v>133</v>
      </c>
      <c r="AH9" s="49" t="s">
        <v>150</v>
      </c>
      <c r="AL9" s="34"/>
      <c r="AP9" s="23" t="s">
        <v>95</v>
      </c>
      <c r="AR9" s="30" t="s">
        <v>89</v>
      </c>
      <c r="AV9" s="23" t="s">
        <v>102</v>
      </c>
      <c r="AX9" s="24">
        <v>128</v>
      </c>
      <c r="AY9" s="25">
        <v>27</v>
      </c>
      <c r="AZ9" s="25">
        <v>129</v>
      </c>
      <c r="BA9" s="26">
        <v>25</v>
      </c>
    </row>
    <row r="10" spans="1:53" x14ac:dyDescent="0.15">
      <c r="A10" s="15" t="s">
        <v>156</v>
      </c>
      <c r="B10" s="15" t="s">
        <v>157</v>
      </c>
      <c r="C10" s="15">
        <v>2019</v>
      </c>
      <c r="D10" s="37" t="s">
        <v>165</v>
      </c>
      <c r="E10" s="15" t="s">
        <v>133</v>
      </c>
      <c r="F10" s="7" t="s">
        <v>150</v>
      </c>
      <c r="G10" s="7" t="s">
        <v>36</v>
      </c>
      <c r="H10" s="54" t="s">
        <v>164</v>
      </c>
      <c r="I10" s="7" t="s">
        <v>159</v>
      </c>
      <c r="J10" s="15" t="s">
        <v>38</v>
      </c>
      <c r="K10" s="7" t="s">
        <v>161</v>
      </c>
      <c r="L10" s="7">
        <v>3</v>
      </c>
      <c r="N10" s="7">
        <v>1</v>
      </c>
      <c r="O10" s="7">
        <v>0.5</v>
      </c>
      <c r="P10" s="7">
        <v>0.5</v>
      </c>
      <c r="Q10" s="52">
        <f t="shared" si="0"/>
        <v>0.5</v>
      </c>
      <c r="R10" s="7">
        <v>12.8</v>
      </c>
      <c r="S10" s="7">
        <v>120</v>
      </c>
      <c r="T10" s="16">
        <f t="shared" si="1"/>
        <v>30</v>
      </c>
      <c r="U10" s="15">
        <v>95</v>
      </c>
      <c r="V10" s="16">
        <f t="shared" si="2"/>
        <v>2850</v>
      </c>
      <c r="W10" s="15">
        <v>8</v>
      </c>
      <c r="X10" s="15" t="s">
        <v>46</v>
      </c>
      <c r="Y10" s="54" t="s">
        <v>90</v>
      </c>
      <c r="Z10" s="54" t="s">
        <v>102</v>
      </c>
      <c r="AA10" s="54" t="s">
        <v>78</v>
      </c>
      <c r="AB10" s="39" t="s">
        <v>158</v>
      </c>
      <c r="AE10" s="22" t="s">
        <v>103</v>
      </c>
      <c r="AG10" s="49" t="s">
        <v>142</v>
      </c>
      <c r="AH10" s="49" t="s">
        <v>151</v>
      </c>
      <c r="AP10" s="23" t="s">
        <v>100</v>
      </c>
      <c r="AR10" s="30" t="s">
        <v>123</v>
      </c>
      <c r="AV10" s="23" t="s">
        <v>106</v>
      </c>
      <c r="AX10" s="24">
        <v>138</v>
      </c>
      <c r="AY10" s="25">
        <v>25</v>
      </c>
      <c r="AZ10" s="25">
        <v>138</v>
      </c>
      <c r="BA10" s="26">
        <v>22</v>
      </c>
    </row>
    <row r="11" spans="1:53" x14ac:dyDescent="0.15">
      <c r="A11" s="15" t="s">
        <v>156</v>
      </c>
      <c r="B11" s="15" t="s">
        <v>157</v>
      </c>
      <c r="C11" s="15">
        <v>2019</v>
      </c>
      <c r="D11" s="37" t="s">
        <v>165</v>
      </c>
      <c r="E11" s="15" t="s">
        <v>133</v>
      </c>
      <c r="F11" s="7" t="s">
        <v>150</v>
      </c>
      <c r="G11" s="7" t="s">
        <v>36</v>
      </c>
      <c r="H11" s="15" t="s">
        <v>160</v>
      </c>
      <c r="I11" s="7" t="s">
        <v>159</v>
      </c>
      <c r="J11" s="15" t="s">
        <v>38</v>
      </c>
      <c r="K11" s="7" t="s">
        <v>161</v>
      </c>
      <c r="L11" s="7">
        <v>1</v>
      </c>
      <c r="N11" s="7">
        <v>1</v>
      </c>
      <c r="O11" s="7">
        <v>0.55000000000000004</v>
      </c>
      <c r="P11" s="7">
        <v>0.5</v>
      </c>
      <c r="Q11" s="52">
        <f t="shared" si="0"/>
        <v>0.52500000000000002</v>
      </c>
      <c r="R11" s="7">
        <v>20.100000000000001</v>
      </c>
      <c r="S11" s="7">
        <v>124</v>
      </c>
      <c r="T11" s="16">
        <f t="shared" si="1"/>
        <v>27</v>
      </c>
      <c r="U11" s="7">
        <v>95</v>
      </c>
      <c r="V11" s="16">
        <f t="shared" si="2"/>
        <v>2565</v>
      </c>
      <c r="W11" s="7">
        <v>3</v>
      </c>
      <c r="X11" s="15" t="s">
        <v>46</v>
      </c>
      <c r="Y11" s="54" t="s">
        <v>90</v>
      </c>
      <c r="Z11" s="54" t="s">
        <v>102</v>
      </c>
      <c r="AA11" s="54" t="s">
        <v>78</v>
      </c>
      <c r="AB11" s="39" t="s">
        <v>158</v>
      </c>
      <c r="AE11" s="22" t="s">
        <v>65</v>
      </c>
      <c r="AG11" s="49" t="s">
        <v>143</v>
      </c>
      <c r="AH11" s="49" t="s">
        <v>152</v>
      </c>
      <c r="AP11" s="23" t="s">
        <v>104</v>
      </c>
      <c r="AR11" s="30" t="s">
        <v>87</v>
      </c>
      <c r="AV11" s="23" t="s">
        <v>69</v>
      </c>
      <c r="AX11" s="24">
        <v>151</v>
      </c>
      <c r="AY11" s="25">
        <v>22</v>
      </c>
      <c r="AZ11" s="25">
        <v>152</v>
      </c>
      <c r="BA11" s="26">
        <v>18</v>
      </c>
    </row>
    <row r="12" spans="1:53" x14ac:dyDescent="0.15">
      <c r="A12" s="15" t="s">
        <v>156</v>
      </c>
      <c r="B12" s="15" t="s">
        <v>157</v>
      </c>
      <c r="C12" s="15">
        <v>2019</v>
      </c>
      <c r="D12" s="37" t="s">
        <v>165</v>
      </c>
      <c r="E12" s="15" t="s">
        <v>133</v>
      </c>
      <c r="F12" s="7" t="s">
        <v>150</v>
      </c>
      <c r="G12" s="7" t="s">
        <v>36</v>
      </c>
      <c r="H12" s="54" t="s">
        <v>160</v>
      </c>
      <c r="I12" s="53" t="s">
        <v>159</v>
      </c>
      <c r="J12" s="15" t="s">
        <v>38</v>
      </c>
      <c r="K12" s="7" t="s">
        <v>161</v>
      </c>
      <c r="L12" s="7">
        <v>2</v>
      </c>
      <c r="N12" s="7">
        <v>1</v>
      </c>
      <c r="O12" s="7">
        <v>0.6</v>
      </c>
      <c r="P12" s="7">
        <v>0.65</v>
      </c>
      <c r="Q12" s="52">
        <f t="shared" si="0"/>
        <v>0.625</v>
      </c>
      <c r="R12" s="34">
        <v>19.3</v>
      </c>
      <c r="S12" s="7">
        <v>124</v>
      </c>
      <c r="T12" s="16">
        <f t="shared" si="1"/>
        <v>27</v>
      </c>
      <c r="U12" s="7">
        <v>95</v>
      </c>
      <c r="V12" s="16">
        <f t="shared" si="2"/>
        <v>2565</v>
      </c>
      <c r="W12" s="7">
        <v>3</v>
      </c>
      <c r="X12" s="15" t="s">
        <v>46</v>
      </c>
      <c r="Y12" s="54" t="s">
        <v>90</v>
      </c>
      <c r="Z12" s="54" t="s">
        <v>102</v>
      </c>
      <c r="AA12" s="54" t="s">
        <v>78</v>
      </c>
      <c r="AB12" s="39" t="s">
        <v>158</v>
      </c>
      <c r="AE12" s="22" t="s">
        <v>70</v>
      </c>
      <c r="AG12" s="40"/>
      <c r="AH12" s="40"/>
      <c r="AP12" s="23" t="s">
        <v>67</v>
      </c>
      <c r="AR12" s="30" t="s">
        <v>124</v>
      </c>
      <c r="AV12" s="23" t="s">
        <v>72</v>
      </c>
      <c r="AX12" s="31">
        <v>180</v>
      </c>
      <c r="AY12" s="32">
        <v>18</v>
      </c>
      <c r="AZ12" s="32">
        <v>181</v>
      </c>
      <c r="BA12" s="33">
        <v>16</v>
      </c>
    </row>
    <row r="13" spans="1:53" x14ac:dyDescent="0.15">
      <c r="A13" s="15" t="s">
        <v>156</v>
      </c>
      <c r="B13" s="15" t="s">
        <v>157</v>
      </c>
      <c r="C13" s="15">
        <v>2019</v>
      </c>
      <c r="D13" s="37" t="s">
        <v>165</v>
      </c>
      <c r="E13" s="15" t="s">
        <v>133</v>
      </c>
      <c r="F13" s="7" t="s">
        <v>150</v>
      </c>
      <c r="G13" s="7" t="s">
        <v>36</v>
      </c>
      <c r="H13" s="54" t="s">
        <v>160</v>
      </c>
      <c r="I13" s="53" t="s">
        <v>159</v>
      </c>
      <c r="J13" s="15" t="s">
        <v>38</v>
      </c>
      <c r="K13" s="7" t="s">
        <v>161</v>
      </c>
      <c r="L13" s="7">
        <v>3</v>
      </c>
      <c r="N13" s="7">
        <v>1</v>
      </c>
      <c r="O13" s="7">
        <v>0.55000000000000004</v>
      </c>
      <c r="P13" s="7">
        <v>0.55000000000000004</v>
      </c>
      <c r="Q13" s="52">
        <f t="shared" si="0"/>
        <v>0.55000000000000004</v>
      </c>
      <c r="R13" s="7">
        <v>18.7</v>
      </c>
      <c r="S13" s="7">
        <v>122</v>
      </c>
      <c r="T13" s="16">
        <f t="shared" si="1"/>
        <v>27</v>
      </c>
      <c r="U13" s="7">
        <v>95</v>
      </c>
      <c r="V13" s="16">
        <f t="shared" si="2"/>
        <v>2565</v>
      </c>
      <c r="W13" s="7">
        <v>3</v>
      </c>
      <c r="X13" s="15" t="s">
        <v>46</v>
      </c>
      <c r="Y13" s="54" t="s">
        <v>90</v>
      </c>
      <c r="Z13" s="54" t="s">
        <v>102</v>
      </c>
      <c r="AA13" s="54" t="s">
        <v>78</v>
      </c>
      <c r="AB13" s="39" t="s">
        <v>158</v>
      </c>
      <c r="AE13" s="22" t="s">
        <v>73</v>
      </c>
      <c r="AG13" s="23"/>
      <c r="AH13" s="23"/>
      <c r="AP13" s="23" t="s">
        <v>71</v>
      </c>
      <c r="AR13" s="30" t="s">
        <v>103</v>
      </c>
      <c r="AV13" s="23" t="s">
        <v>75</v>
      </c>
    </row>
    <row r="14" spans="1:53" x14ac:dyDescent="0.15">
      <c r="A14" s="15" t="s">
        <v>156</v>
      </c>
      <c r="B14" s="15" t="s">
        <v>157</v>
      </c>
      <c r="C14" s="15">
        <v>2019</v>
      </c>
      <c r="D14" s="37" t="s">
        <v>165</v>
      </c>
      <c r="E14" s="15" t="s">
        <v>142</v>
      </c>
      <c r="F14" s="7" t="s">
        <v>151</v>
      </c>
      <c r="G14" s="7" t="s">
        <v>36</v>
      </c>
      <c r="H14" s="15" t="s">
        <v>164</v>
      </c>
      <c r="I14" s="7" t="s">
        <v>159</v>
      </c>
      <c r="J14" s="15" t="s">
        <v>38</v>
      </c>
      <c r="K14" s="7" t="s">
        <v>161</v>
      </c>
      <c r="L14" s="7">
        <v>1</v>
      </c>
      <c r="N14" s="53">
        <v>1</v>
      </c>
      <c r="O14" s="7">
        <v>0.65</v>
      </c>
      <c r="P14" s="7">
        <v>0.55000000000000004</v>
      </c>
      <c r="Q14" s="52">
        <f t="shared" si="0"/>
        <v>0.60000000000000009</v>
      </c>
      <c r="R14" s="7">
        <v>13.5</v>
      </c>
      <c r="S14" s="7">
        <v>135</v>
      </c>
      <c r="T14" s="16">
        <f t="shared" si="1"/>
        <v>25</v>
      </c>
      <c r="U14" s="7">
        <v>138</v>
      </c>
      <c r="V14" s="16">
        <f t="shared" si="2"/>
        <v>3450</v>
      </c>
      <c r="W14" s="7">
        <v>2</v>
      </c>
      <c r="X14" s="15" t="s">
        <v>46</v>
      </c>
      <c r="Y14" s="54" t="s">
        <v>102</v>
      </c>
      <c r="Z14" s="54" t="s">
        <v>69</v>
      </c>
      <c r="AA14" s="54" t="s">
        <v>50</v>
      </c>
      <c r="AB14" s="39" t="s">
        <v>158</v>
      </c>
      <c r="AE14" s="22" t="s">
        <v>76</v>
      </c>
      <c r="AG14" s="23"/>
      <c r="AH14" s="23"/>
      <c r="AP14" s="23" t="s">
        <v>74</v>
      </c>
      <c r="AR14" s="30" t="s">
        <v>125</v>
      </c>
      <c r="AV14" s="23" t="s">
        <v>78</v>
      </c>
    </row>
    <row r="15" spans="1:53" x14ac:dyDescent="0.15">
      <c r="A15" s="15" t="s">
        <v>156</v>
      </c>
      <c r="B15" s="15" t="s">
        <v>157</v>
      </c>
      <c r="C15" s="15">
        <v>2019</v>
      </c>
      <c r="D15" s="37" t="s">
        <v>165</v>
      </c>
      <c r="E15" s="15" t="s">
        <v>142</v>
      </c>
      <c r="F15" s="7" t="s">
        <v>151</v>
      </c>
      <c r="G15" s="7" t="s">
        <v>36</v>
      </c>
      <c r="H15" s="15" t="s">
        <v>164</v>
      </c>
      <c r="I15" s="7" t="s">
        <v>159</v>
      </c>
      <c r="J15" s="15" t="s">
        <v>38</v>
      </c>
      <c r="K15" s="7" t="s">
        <v>161</v>
      </c>
      <c r="L15" s="7">
        <v>2</v>
      </c>
      <c r="N15" s="53">
        <v>1</v>
      </c>
      <c r="O15" s="7">
        <v>0.65</v>
      </c>
      <c r="P15" s="7">
        <v>0.65</v>
      </c>
      <c r="Q15" s="52">
        <f t="shared" si="0"/>
        <v>0.65</v>
      </c>
      <c r="R15" s="7">
        <v>12.9</v>
      </c>
      <c r="S15" s="7">
        <v>132</v>
      </c>
      <c r="T15" s="16">
        <f t="shared" si="1"/>
        <v>25</v>
      </c>
      <c r="U15" s="7">
        <v>138</v>
      </c>
      <c r="V15" s="16">
        <f t="shared" si="2"/>
        <v>3450</v>
      </c>
      <c r="W15" s="7">
        <v>2</v>
      </c>
      <c r="X15" s="15" t="s">
        <v>46</v>
      </c>
      <c r="Y15" s="54" t="s">
        <v>102</v>
      </c>
      <c r="Z15" s="54" t="s">
        <v>69</v>
      </c>
      <c r="AA15" s="54" t="s">
        <v>50</v>
      </c>
      <c r="AB15" s="39" t="s">
        <v>158</v>
      </c>
      <c r="AE15" s="22" t="s">
        <v>79</v>
      </c>
      <c r="AG15" s="23"/>
      <c r="AH15" s="23"/>
      <c r="AP15" s="23" t="s">
        <v>77</v>
      </c>
      <c r="AR15" s="30" t="s">
        <v>94</v>
      </c>
      <c r="AV15" s="23" t="s">
        <v>107</v>
      </c>
    </row>
    <row r="16" spans="1:53" x14ac:dyDescent="0.15">
      <c r="A16" s="15" t="s">
        <v>156</v>
      </c>
      <c r="B16" s="15" t="s">
        <v>157</v>
      </c>
      <c r="C16" s="15">
        <v>2019</v>
      </c>
      <c r="D16" s="37" t="s">
        <v>165</v>
      </c>
      <c r="E16" s="15" t="s">
        <v>142</v>
      </c>
      <c r="F16" s="7" t="s">
        <v>151</v>
      </c>
      <c r="G16" s="7" t="s">
        <v>36</v>
      </c>
      <c r="H16" s="15" t="s">
        <v>164</v>
      </c>
      <c r="I16" s="7" t="s">
        <v>159</v>
      </c>
      <c r="J16" s="15" t="s">
        <v>38</v>
      </c>
      <c r="K16" s="7" t="s">
        <v>161</v>
      </c>
      <c r="L16" s="7">
        <v>3</v>
      </c>
      <c r="N16" s="53">
        <v>1</v>
      </c>
      <c r="O16" s="7">
        <v>0.5</v>
      </c>
      <c r="P16" s="7">
        <v>0.5</v>
      </c>
      <c r="Q16" s="52">
        <f t="shared" si="0"/>
        <v>0.5</v>
      </c>
      <c r="R16" s="7">
        <v>10.9</v>
      </c>
      <c r="S16" s="7">
        <v>134</v>
      </c>
      <c r="T16" s="16">
        <f t="shared" si="1"/>
        <v>25</v>
      </c>
      <c r="U16" s="7">
        <v>138</v>
      </c>
      <c r="V16" s="16">
        <f t="shared" si="2"/>
        <v>3450</v>
      </c>
      <c r="W16" s="7">
        <v>2</v>
      </c>
      <c r="X16" s="15" t="s">
        <v>46</v>
      </c>
      <c r="Y16" s="54" t="s">
        <v>102</v>
      </c>
      <c r="Z16" s="54" t="s">
        <v>69</v>
      </c>
      <c r="AA16" s="54" t="s">
        <v>50</v>
      </c>
      <c r="AB16" s="39" t="s">
        <v>158</v>
      </c>
      <c r="AE16" s="22" t="s">
        <v>82</v>
      </c>
      <c r="AG16" s="28"/>
      <c r="AH16" s="28"/>
      <c r="AP16" s="23" t="s">
        <v>80</v>
      </c>
      <c r="AR16" s="41" t="s">
        <v>63</v>
      </c>
      <c r="AV16" s="23" t="s">
        <v>84</v>
      </c>
    </row>
    <row r="17" spans="1:48" x14ac:dyDescent="0.15">
      <c r="A17" s="15" t="s">
        <v>156</v>
      </c>
      <c r="B17" s="15" t="s">
        <v>157</v>
      </c>
      <c r="C17" s="15">
        <v>2019</v>
      </c>
      <c r="D17" s="37" t="s">
        <v>165</v>
      </c>
      <c r="E17" s="15" t="s">
        <v>142</v>
      </c>
      <c r="F17" s="7" t="s">
        <v>151</v>
      </c>
      <c r="G17" s="7" t="s">
        <v>36</v>
      </c>
      <c r="H17" s="15" t="s">
        <v>160</v>
      </c>
      <c r="I17" s="7" t="s">
        <v>159</v>
      </c>
      <c r="J17" s="15" t="s">
        <v>38</v>
      </c>
      <c r="K17" s="7" t="s">
        <v>161</v>
      </c>
      <c r="L17" s="7">
        <v>1</v>
      </c>
      <c r="N17" s="7">
        <v>1</v>
      </c>
      <c r="O17" s="7">
        <v>0.5</v>
      </c>
      <c r="P17" s="7">
        <v>0.5</v>
      </c>
      <c r="Q17" s="52">
        <f t="shared" si="0"/>
        <v>0.5</v>
      </c>
      <c r="R17" s="7">
        <v>19</v>
      </c>
      <c r="S17" s="7">
        <v>133</v>
      </c>
      <c r="T17" s="16">
        <f t="shared" si="1"/>
        <v>25</v>
      </c>
      <c r="U17" s="7">
        <v>149</v>
      </c>
      <c r="V17" s="16">
        <f t="shared" si="2"/>
        <v>3725</v>
      </c>
      <c r="W17" s="7">
        <v>4</v>
      </c>
      <c r="X17" s="15" t="s">
        <v>46</v>
      </c>
      <c r="Y17" s="54" t="s">
        <v>102</v>
      </c>
      <c r="Z17" s="54" t="s">
        <v>69</v>
      </c>
      <c r="AA17" s="54" t="s">
        <v>50</v>
      </c>
      <c r="AB17" s="39" t="s">
        <v>158</v>
      </c>
      <c r="AE17" s="22" t="s">
        <v>85</v>
      </c>
      <c r="AP17" s="43" t="s">
        <v>110</v>
      </c>
      <c r="AR17" s="41" t="s">
        <v>96</v>
      </c>
      <c r="AV17" s="23" t="s">
        <v>86</v>
      </c>
    </row>
    <row r="18" spans="1:48" x14ac:dyDescent="0.15">
      <c r="A18" s="15" t="s">
        <v>156</v>
      </c>
      <c r="B18" s="15" t="s">
        <v>157</v>
      </c>
      <c r="C18" s="15">
        <v>2019</v>
      </c>
      <c r="D18" s="37" t="s">
        <v>165</v>
      </c>
      <c r="E18" s="15" t="s">
        <v>142</v>
      </c>
      <c r="F18" s="7" t="s">
        <v>151</v>
      </c>
      <c r="G18" s="7" t="s">
        <v>36</v>
      </c>
      <c r="H18" s="15" t="s">
        <v>160</v>
      </c>
      <c r="I18" s="7" t="s">
        <v>159</v>
      </c>
      <c r="J18" s="15" t="s">
        <v>38</v>
      </c>
      <c r="K18" s="7" t="s">
        <v>161</v>
      </c>
      <c r="L18" s="7">
        <v>2</v>
      </c>
      <c r="N18" s="7">
        <v>1</v>
      </c>
      <c r="O18" s="7">
        <v>0.5</v>
      </c>
      <c r="P18" s="7">
        <v>0.5</v>
      </c>
      <c r="Q18" s="52">
        <f t="shared" si="0"/>
        <v>0.5</v>
      </c>
      <c r="R18" s="7">
        <v>19.100000000000001</v>
      </c>
      <c r="S18" s="7">
        <v>133</v>
      </c>
      <c r="T18" s="16">
        <f t="shared" si="1"/>
        <v>25</v>
      </c>
      <c r="U18" s="7">
        <v>149</v>
      </c>
      <c r="V18" s="16">
        <f t="shared" si="2"/>
        <v>3725</v>
      </c>
      <c r="W18" s="7">
        <v>4</v>
      </c>
      <c r="X18" s="15" t="s">
        <v>46</v>
      </c>
      <c r="Y18" s="54" t="s">
        <v>102</v>
      </c>
      <c r="Z18" s="54" t="s">
        <v>69</v>
      </c>
      <c r="AA18" s="54" t="s">
        <v>50</v>
      </c>
      <c r="AB18" s="39" t="s">
        <v>158</v>
      </c>
      <c r="AE18" s="22" t="s">
        <v>87</v>
      </c>
      <c r="AP18" s="43" t="s">
        <v>111</v>
      </c>
      <c r="AR18" s="41" t="s">
        <v>101</v>
      </c>
      <c r="AV18" s="23" t="s">
        <v>88</v>
      </c>
    </row>
    <row r="19" spans="1:48" x14ac:dyDescent="0.15">
      <c r="A19" s="15" t="s">
        <v>156</v>
      </c>
      <c r="B19" s="15" t="s">
        <v>157</v>
      </c>
      <c r="C19" s="15">
        <v>2019</v>
      </c>
      <c r="D19" s="37" t="s">
        <v>165</v>
      </c>
      <c r="E19" s="15" t="s">
        <v>142</v>
      </c>
      <c r="F19" s="7" t="s">
        <v>151</v>
      </c>
      <c r="G19" s="7" t="s">
        <v>36</v>
      </c>
      <c r="H19" s="15" t="s">
        <v>160</v>
      </c>
      <c r="I19" s="7" t="s">
        <v>159</v>
      </c>
      <c r="J19" s="15" t="s">
        <v>38</v>
      </c>
      <c r="K19" s="7" t="s">
        <v>161</v>
      </c>
      <c r="L19" s="7">
        <v>3</v>
      </c>
      <c r="N19" s="7">
        <v>1</v>
      </c>
      <c r="O19" s="7">
        <v>0.5</v>
      </c>
      <c r="P19" s="7">
        <v>0.5</v>
      </c>
      <c r="Q19" s="52">
        <f t="shared" si="0"/>
        <v>0.5</v>
      </c>
      <c r="R19" s="7">
        <v>13.9</v>
      </c>
      <c r="S19" s="7">
        <v>130</v>
      </c>
      <c r="T19" s="16">
        <f t="shared" si="1"/>
        <v>25</v>
      </c>
      <c r="U19" s="7">
        <v>149</v>
      </c>
      <c r="V19" s="16">
        <f t="shared" si="2"/>
        <v>3725</v>
      </c>
      <c r="W19" s="7">
        <v>4</v>
      </c>
      <c r="X19" s="15" t="s">
        <v>46</v>
      </c>
      <c r="Y19" s="54" t="s">
        <v>102</v>
      </c>
      <c r="Z19" s="54" t="s">
        <v>69</v>
      </c>
      <c r="AA19" s="54" t="s">
        <v>50</v>
      </c>
      <c r="AB19" s="39" t="s">
        <v>158</v>
      </c>
      <c r="AE19" s="35" t="s">
        <v>89</v>
      </c>
      <c r="AP19" s="43" t="s">
        <v>112</v>
      </c>
      <c r="AR19" s="30" t="s">
        <v>126</v>
      </c>
      <c r="AV19" s="23" t="s">
        <v>90</v>
      </c>
    </row>
    <row r="20" spans="1:48" x14ac:dyDescent="0.15">
      <c r="A20" s="15" t="s">
        <v>156</v>
      </c>
      <c r="B20" s="15" t="s">
        <v>157</v>
      </c>
      <c r="C20" s="15">
        <v>2019</v>
      </c>
      <c r="D20" s="37" t="s">
        <v>165</v>
      </c>
      <c r="E20" s="15" t="s">
        <v>143</v>
      </c>
      <c r="F20" s="7" t="s">
        <v>152</v>
      </c>
      <c r="G20" s="7" t="s">
        <v>36</v>
      </c>
      <c r="H20" s="15" t="s">
        <v>164</v>
      </c>
      <c r="I20" s="7" t="s">
        <v>159</v>
      </c>
      <c r="J20" s="15" t="s">
        <v>38</v>
      </c>
      <c r="K20" s="7" t="s">
        <v>161</v>
      </c>
      <c r="L20" s="7">
        <v>1</v>
      </c>
      <c r="N20" s="7">
        <v>1</v>
      </c>
      <c r="O20" s="7">
        <v>0.6</v>
      </c>
      <c r="P20" s="34">
        <v>0.6</v>
      </c>
      <c r="Q20" s="52">
        <f t="shared" si="0"/>
        <v>0.6</v>
      </c>
      <c r="R20" s="7">
        <v>11.6</v>
      </c>
      <c r="S20" s="7">
        <v>92</v>
      </c>
      <c r="T20" s="16">
        <f t="shared" si="1"/>
        <v>36</v>
      </c>
      <c r="U20" s="7">
        <v>51</v>
      </c>
      <c r="V20" s="16">
        <f t="shared" si="2"/>
        <v>1836</v>
      </c>
      <c r="W20" s="7">
        <v>2</v>
      </c>
      <c r="X20" s="15" t="s">
        <v>39</v>
      </c>
      <c r="Y20" s="54" t="s">
        <v>102</v>
      </c>
      <c r="Z20" s="54" t="s">
        <v>90</v>
      </c>
      <c r="AA20" s="54" t="s">
        <v>78</v>
      </c>
      <c r="AB20" s="39" t="s">
        <v>158</v>
      </c>
      <c r="AE20" s="22"/>
      <c r="AP20" s="43" t="s">
        <v>113</v>
      </c>
      <c r="AR20" s="41" t="s">
        <v>105</v>
      </c>
      <c r="AV20" s="27" t="s">
        <v>135</v>
      </c>
    </row>
    <row r="21" spans="1:48" x14ac:dyDescent="0.15">
      <c r="A21" s="15" t="s">
        <v>156</v>
      </c>
      <c r="B21" s="15" t="s">
        <v>157</v>
      </c>
      <c r="C21" s="15">
        <v>2019</v>
      </c>
      <c r="D21" s="37" t="s">
        <v>165</v>
      </c>
      <c r="E21" s="15" t="s">
        <v>143</v>
      </c>
      <c r="F21" s="7" t="s">
        <v>152</v>
      </c>
      <c r="G21" s="7" t="s">
        <v>36</v>
      </c>
      <c r="H21" s="15" t="s">
        <v>164</v>
      </c>
      <c r="I21" s="7" t="s">
        <v>159</v>
      </c>
      <c r="J21" s="15" t="s">
        <v>38</v>
      </c>
      <c r="K21" s="7" t="s">
        <v>161</v>
      </c>
      <c r="L21" s="7">
        <v>2</v>
      </c>
      <c r="N21" s="7">
        <v>1</v>
      </c>
      <c r="O21" s="7">
        <v>0.8</v>
      </c>
      <c r="P21" s="7">
        <v>0.85</v>
      </c>
      <c r="Q21" s="52">
        <f t="shared" si="0"/>
        <v>0.82499999999999996</v>
      </c>
      <c r="R21" s="7">
        <v>13</v>
      </c>
      <c r="S21" s="7">
        <v>91</v>
      </c>
      <c r="T21" s="16">
        <f t="shared" si="1"/>
        <v>36</v>
      </c>
      <c r="U21" s="7">
        <v>51</v>
      </c>
      <c r="V21" s="16">
        <f t="shared" si="2"/>
        <v>1836</v>
      </c>
      <c r="W21" s="7">
        <v>2</v>
      </c>
      <c r="X21" s="54" t="s">
        <v>39</v>
      </c>
      <c r="Y21" s="54" t="s">
        <v>102</v>
      </c>
      <c r="Z21" s="54" t="s">
        <v>90</v>
      </c>
      <c r="AA21" s="54" t="s">
        <v>78</v>
      </c>
      <c r="AB21" s="39" t="s">
        <v>158</v>
      </c>
      <c r="AE21" s="22"/>
      <c r="AP21" s="43" t="s">
        <v>114</v>
      </c>
      <c r="AR21" s="41" t="s">
        <v>68</v>
      </c>
      <c r="AV21" s="27" t="s">
        <v>136</v>
      </c>
    </row>
    <row r="22" spans="1:48" x14ac:dyDescent="0.15">
      <c r="A22" s="15" t="s">
        <v>156</v>
      </c>
      <c r="B22" s="15" t="s">
        <v>157</v>
      </c>
      <c r="C22" s="15">
        <v>2019</v>
      </c>
      <c r="D22" s="37" t="s">
        <v>165</v>
      </c>
      <c r="E22" s="15" t="s">
        <v>143</v>
      </c>
      <c r="F22" s="7" t="s">
        <v>152</v>
      </c>
      <c r="G22" s="7" t="s">
        <v>36</v>
      </c>
      <c r="H22" s="15" t="s">
        <v>164</v>
      </c>
      <c r="I22" s="7" t="s">
        <v>159</v>
      </c>
      <c r="J22" s="15" t="s">
        <v>38</v>
      </c>
      <c r="K22" s="7" t="s">
        <v>161</v>
      </c>
      <c r="L22" s="7">
        <v>3</v>
      </c>
      <c r="N22" s="7">
        <v>1</v>
      </c>
      <c r="O22" s="34">
        <v>0.6</v>
      </c>
      <c r="P22" s="7">
        <v>0.55000000000000004</v>
      </c>
      <c r="Q22" s="52">
        <f t="shared" si="0"/>
        <v>0.57499999999999996</v>
      </c>
      <c r="R22" s="7">
        <v>11.9</v>
      </c>
      <c r="S22" s="7">
        <v>91</v>
      </c>
      <c r="T22" s="16">
        <f t="shared" si="1"/>
        <v>36</v>
      </c>
      <c r="U22" s="7">
        <v>51</v>
      </c>
      <c r="V22" s="16">
        <f t="shared" si="2"/>
        <v>1836</v>
      </c>
      <c r="W22" s="7">
        <v>2</v>
      </c>
      <c r="X22" s="54" t="s">
        <v>39</v>
      </c>
      <c r="Y22" s="54" t="s">
        <v>102</v>
      </c>
      <c r="Z22" s="54" t="s">
        <v>90</v>
      </c>
      <c r="AA22" s="54" t="s">
        <v>78</v>
      </c>
      <c r="AB22" s="39" t="s">
        <v>158</v>
      </c>
      <c r="AE22" s="35"/>
      <c r="AP22" s="43" t="s">
        <v>115</v>
      </c>
      <c r="AR22" s="41" t="s">
        <v>83</v>
      </c>
      <c r="AV22" s="27"/>
    </row>
    <row r="23" spans="1:48" x14ac:dyDescent="0.15">
      <c r="A23" s="15" t="s">
        <v>156</v>
      </c>
      <c r="B23" s="15" t="s">
        <v>157</v>
      </c>
      <c r="C23" s="15">
        <v>2019</v>
      </c>
      <c r="D23" s="37" t="s">
        <v>165</v>
      </c>
      <c r="E23" s="7" t="s">
        <v>143</v>
      </c>
      <c r="F23" s="7" t="s">
        <v>152</v>
      </c>
      <c r="G23" s="7" t="s">
        <v>36</v>
      </c>
      <c r="H23" s="15" t="s">
        <v>160</v>
      </c>
      <c r="I23" s="7" t="s">
        <v>159</v>
      </c>
      <c r="J23" s="15" t="s">
        <v>38</v>
      </c>
      <c r="K23" s="7" t="s">
        <v>161</v>
      </c>
      <c r="L23" s="7">
        <v>1</v>
      </c>
      <c r="N23" s="7">
        <v>1</v>
      </c>
      <c r="O23" s="34">
        <v>0.5</v>
      </c>
      <c r="P23" s="7">
        <v>0.5</v>
      </c>
      <c r="Q23" s="52">
        <f t="shared" si="0"/>
        <v>0.5</v>
      </c>
      <c r="R23" s="7">
        <v>20.100000000000001</v>
      </c>
      <c r="S23" s="7">
        <v>118</v>
      </c>
      <c r="T23" s="16">
        <f t="shared" si="1"/>
        <v>30</v>
      </c>
      <c r="U23" s="7">
        <v>138</v>
      </c>
      <c r="V23" s="16">
        <f t="shared" si="2"/>
        <v>4140</v>
      </c>
      <c r="W23" s="7">
        <v>2</v>
      </c>
      <c r="X23" s="54" t="s">
        <v>39</v>
      </c>
      <c r="Y23" s="54" t="s">
        <v>102</v>
      </c>
      <c r="Z23" s="54" t="s">
        <v>90</v>
      </c>
      <c r="AA23" s="54" t="s">
        <v>78</v>
      </c>
      <c r="AB23" s="39" t="s">
        <v>158</v>
      </c>
      <c r="AE23" s="22"/>
      <c r="AP23" s="43" t="s">
        <v>137</v>
      </c>
      <c r="AR23" s="41" t="s">
        <v>61</v>
      </c>
      <c r="AV23" s="27"/>
    </row>
    <row r="24" spans="1:48" x14ac:dyDescent="0.15">
      <c r="A24" s="15" t="s">
        <v>156</v>
      </c>
      <c r="B24" s="15" t="s">
        <v>157</v>
      </c>
      <c r="C24" s="15">
        <v>2019</v>
      </c>
      <c r="D24" s="37" t="s">
        <v>165</v>
      </c>
      <c r="E24" s="7" t="s">
        <v>143</v>
      </c>
      <c r="F24" s="7" t="s">
        <v>152</v>
      </c>
      <c r="G24" s="7" t="s">
        <v>36</v>
      </c>
      <c r="H24" s="15" t="s">
        <v>160</v>
      </c>
      <c r="I24" s="7" t="s">
        <v>159</v>
      </c>
      <c r="J24" s="15" t="s">
        <v>38</v>
      </c>
      <c r="K24" s="7" t="s">
        <v>161</v>
      </c>
      <c r="L24" s="7">
        <v>2</v>
      </c>
      <c r="N24" s="7">
        <v>1</v>
      </c>
      <c r="O24" s="7">
        <v>0.5</v>
      </c>
      <c r="P24" s="7">
        <v>0.5</v>
      </c>
      <c r="Q24" s="52">
        <f t="shared" si="0"/>
        <v>0.5</v>
      </c>
      <c r="R24" s="7">
        <v>13.8</v>
      </c>
      <c r="S24" s="7">
        <v>115</v>
      </c>
      <c r="T24" s="16">
        <f t="shared" si="1"/>
        <v>30</v>
      </c>
      <c r="U24" s="7">
        <v>138</v>
      </c>
      <c r="V24" s="16">
        <f t="shared" si="2"/>
        <v>4140</v>
      </c>
      <c r="W24" s="7">
        <v>2</v>
      </c>
      <c r="X24" s="54" t="s">
        <v>39</v>
      </c>
      <c r="Y24" s="54" t="s">
        <v>102</v>
      </c>
      <c r="Z24" s="54" t="s">
        <v>90</v>
      </c>
      <c r="AA24" s="54" t="s">
        <v>78</v>
      </c>
      <c r="AB24" s="39" t="s">
        <v>158</v>
      </c>
      <c r="AE24" s="22"/>
      <c r="AP24" s="43" t="s">
        <v>138</v>
      </c>
      <c r="AR24" s="41" t="s">
        <v>91</v>
      </c>
      <c r="AV24" s="27"/>
    </row>
    <row r="25" spans="1:48" x14ac:dyDescent="0.15">
      <c r="A25" s="15" t="s">
        <v>156</v>
      </c>
      <c r="B25" s="15" t="s">
        <v>157</v>
      </c>
      <c r="C25" s="15">
        <v>2019</v>
      </c>
      <c r="D25" s="37" t="s">
        <v>165</v>
      </c>
      <c r="E25" s="7" t="s">
        <v>143</v>
      </c>
      <c r="F25" s="7" t="s">
        <v>152</v>
      </c>
      <c r="G25" s="7" t="s">
        <v>36</v>
      </c>
      <c r="H25" s="15" t="s">
        <v>160</v>
      </c>
      <c r="I25" s="7" t="s">
        <v>159</v>
      </c>
      <c r="J25" s="15" t="s">
        <v>38</v>
      </c>
      <c r="K25" s="7" t="s">
        <v>161</v>
      </c>
      <c r="L25" s="7">
        <v>3</v>
      </c>
      <c r="N25" s="7">
        <v>1</v>
      </c>
      <c r="O25" s="7">
        <v>0.5</v>
      </c>
      <c r="P25" s="7">
        <v>0.5</v>
      </c>
      <c r="Q25" s="52">
        <f t="shared" si="0"/>
        <v>0.5</v>
      </c>
      <c r="R25" s="7">
        <v>19.100000000000001</v>
      </c>
      <c r="S25" s="7">
        <v>123</v>
      </c>
      <c r="T25" s="16">
        <f t="shared" si="1"/>
        <v>27</v>
      </c>
      <c r="U25" s="7">
        <v>138</v>
      </c>
      <c r="V25" s="16">
        <f t="shared" si="2"/>
        <v>3726</v>
      </c>
      <c r="W25" s="7">
        <v>2</v>
      </c>
      <c r="X25" s="54" t="s">
        <v>39</v>
      </c>
      <c r="Y25" s="54" t="s">
        <v>102</v>
      </c>
      <c r="Z25" s="54" t="s">
        <v>90</v>
      </c>
      <c r="AA25" s="54" t="s">
        <v>78</v>
      </c>
      <c r="AB25" s="39" t="s">
        <v>158</v>
      </c>
      <c r="AE25" s="35"/>
      <c r="AP25" s="43" t="s">
        <v>116</v>
      </c>
      <c r="AR25" s="42" t="s">
        <v>92</v>
      </c>
      <c r="AV25" s="27"/>
    </row>
    <row r="26" spans="1:48" x14ac:dyDescent="0.15">
      <c r="A26" s="15" t="s">
        <v>156</v>
      </c>
      <c r="B26" s="15" t="s">
        <v>157</v>
      </c>
      <c r="C26" s="15">
        <v>2019</v>
      </c>
      <c r="D26" s="37" t="s">
        <v>165</v>
      </c>
      <c r="E26" s="7" t="s">
        <v>131</v>
      </c>
      <c r="F26" s="7" t="s">
        <v>144</v>
      </c>
      <c r="G26" s="7" t="s">
        <v>36</v>
      </c>
      <c r="H26" s="15" t="s">
        <v>164</v>
      </c>
      <c r="I26" s="7" t="s">
        <v>159</v>
      </c>
      <c r="J26" s="15" t="s">
        <v>38</v>
      </c>
      <c r="K26" s="7" t="s">
        <v>161</v>
      </c>
      <c r="L26" s="7">
        <v>1</v>
      </c>
      <c r="N26" s="53">
        <v>1</v>
      </c>
      <c r="O26" s="7">
        <v>0.75</v>
      </c>
      <c r="P26" s="7">
        <v>0.8</v>
      </c>
      <c r="Q26" s="52">
        <f t="shared" si="0"/>
        <v>0.77500000000000002</v>
      </c>
      <c r="R26" s="7">
        <v>12.7</v>
      </c>
      <c r="S26" s="7">
        <v>124</v>
      </c>
      <c r="T26" s="16">
        <f t="shared" si="1"/>
        <v>27</v>
      </c>
      <c r="U26" s="7">
        <v>107</v>
      </c>
      <c r="V26" s="16">
        <f t="shared" si="2"/>
        <v>2889</v>
      </c>
      <c r="W26" s="7">
        <v>5</v>
      </c>
      <c r="X26" s="15" t="s">
        <v>46</v>
      </c>
      <c r="Y26" s="54" t="s">
        <v>78</v>
      </c>
      <c r="Z26" s="54" t="s">
        <v>102</v>
      </c>
      <c r="AA26" s="54" t="s">
        <v>88</v>
      </c>
      <c r="AB26" s="39" t="s">
        <v>158</v>
      </c>
      <c r="AE26" s="35"/>
      <c r="AP26" s="43" t="s">
        <v>117</v>
      </c>
      <c r="AR26" s="23" t="s">
        <v>153</v>
      </c>
      <c r="AV26" s="28"/>
    </row>
    <row r="27" spans="1:48" x14ac:dyDescent="0.15">
      <c r="A27" s="15" t="s">
        <v>156</v>
      </c>
      <c r="B27" s="15" t="s">
        <v>157</v>
      </c>
      <c r="C27" s="15">
        <v>2019</v>
      </c>
      <c r="D27" s="37" t="s">
        <v>165</v>
      </c>
      <c r="E27" s="7" t="s">
        <v>131</v>
      </c>
      <c r="F27" s="7" t="s">
        <v>144</v>
      </c>
      <c r="G27" s="7" t="s">
        <v>36</v>
      </c>
      <c r="H27" s="54" t="s">
        <v>164</v>
      </c>
      <c r="I27" s="7" t="s">
        <v>159</v>
      </c>
      <c r="J27" s="15" t="s">
        <v>38</v>
      </c>
      <c r="K27" s="7" t="s">
        <v>161</v>
      </c>
      <c r="L27" s="7">
        <v>2</v>
      </c>
      <c r="N27" s="53">
        <v>1</v>
      </c>
      <c r="O27" s="7">
        <v>0.5</v>
      </c>
      <c r="P27" s="7">
        <v>0.5</v>
      </c>
      <c r="Q27" s="52">
        <f t="shared" si="0"/>
        <v>0.5</v>
      </c>
      <c r="R27" s="7">
        <v>15.7</v>
      </c>
      <c r="S27" s="7">
        <v>128</v>
      </c>
      <c r="T27" s="16">
        <f t="shared" si="1"/>
        <v>27</v>
      </c>
      <c r="U27" s="7">
        <v>107</v>
      </c>
      <c r="V27" s="16">
        <f t="shared" si="2"/>
        <v>2889</v>
      </c>
      <c r="W27" s="7">
        <v>5</v>
      </c>
      <c r="X27" s="54" t="s">
        <v>46</v>
      </c>
      <c r="Y27" s="54" t="s">
        <v>78</v>
      </c>
      <c r="Z27" s="54" t="s">
        <v>102</v>
      </c>
      <c r="AA27" s="54" t="s">
        <v>88</v>
      </c>
      <c r="AB27" s="39" t="s">
        <v>158</v>
      </c>
      <c r="AE27" s="28"/>
      <c r="AP27" s="43" t="s">
        <v>118</v>
      </c>
      <c r="AR27" s="23"/>
    </row>
    <row r="28" spans="1:48" x14ac:dyDescent="0.15">
      <c r="A28" s="15" t="s">
        <v>156</v>
      </c>
      <c r="B28" s="15" t="s">
        <v>157</v>
      </c>
      <c r="C28" s="15">
        <v>2019</v>
      </c>
      <c r="D28" s="37" t="s">
        <v>165</v>
      </c>
      <c r="E28" s="7" t="s">
        <v>131</v>
      </c>
      <c r="F28" s="7" t="s">
        <v>144</v>
      </c>
      <c r="G28" s="7" t="s">
        <v>36</v>
      </c>
      <c r="H28" s="54" t="s">
        <v>164</v>
      </c>
      <c r="I28" s="7" t="s">
        <v>159</v>
      </c>
      <c r="J28" s="15" t="s">
        <v>38</v>
      </c>
      <c r="K28" s="7" t="s">
        <v>161</v>
      </c>
      <c r="L28" s="7">
        <v>3</v>
      </c>
      <c r="N28" s="53">
        <v>1</v>
      </c>
      <c r="O28" s="7">
        <v>0.5</v>
      </c>
      <c r="P28" s="7">
        <v>0.5</v>
      </c>
      <c r="Q28" s="52">
        <f t="shared" si="0"/>
        <v>0.5</v>
      </c>
      <c r="R28" s="7">
        <v>13</v>
      </c>
      <c r="S28" s="7">
        <v>128</v>
      </c>
      <c r="T28" s="16">
        <f t="shared" si="1"/>
        <v>27</v>
      </c>
      <c r="U28" s="7">
        <v>107</v>
      </c>
      <c r="V28" s="16">
        <f t="shared" si="2"/>
        <v>2889</v>
      </c>
      <c r="W28" s="7">
        <v>5</v>
      </c>
      <c r="X28" s="54" t="s">
        <v>46</v>
      </c>
      <c r="Y28" s="54" t="s">
        <v>78</v>
      </c>
      <c r="Z28" s="54" t="s">
        <v>102</v>
      </c>
      <c r="AA28" s="54" t="s">
        <v>88</v>
      </c>
      <c r="AB28" s="39" t="s">
        <v>158</v>
      </c>
      <c r="AP28" s="27"/>
      <c r="AR28" s="23"/>
    </row>
    <row r="29" spans="1:48" x14ac:dyDescent="0.15">
      <c r="A29" s="15" t="s">
        <v>156</v>
      </c>
      <c r="B29" s="15" t="s">
        <v>157</v>
      </c>
      <c r="C29" s="15">
        <v>2019</v>
      </c>
      <c r="D29" s="37" t="s">
        <v>165</v>
      </c>
      <c r="E29" s="7" t="s">
        <v>131</v>
      </c>
      <c r="F29" s="7" t="s">
        <v>144</v>
      </c>
      <c r="G29" s="7" t="s">
        <v>36</v>
      </c>
      <c r="H29" s="54" t="s">
        <v>160</v>
      </c>
      <c r="I29" s="7" t="s">
        <v>159</v>
      </c>
      <c r="J29" s="15" t="s">
        <v>38</v>
      </c>
      <c r="K29" s="7" t="s">
        <v>161</v>
      </c>
      <c r="L29" s="7">
        <v>1</v>
      </c>
      <c r="N29" s="53">
        <v>1</v>
      </c>
      <c r="O29" s="7">
        <v>0.5</v>
      </c>
      <c r="P29" s="7">
        <v>0.5</v>
      </c>
      <c r="Q29" s="52">
        <f t="shared" si="0"/>
        <v>0.5</v>
      </c>
      <c r="R29" s="7">
        <v>13</v>
      </c>
      <c r="S29" s="7">
        <v>124</v>
      </c>
      <c r="T29" s="16">
        <f t="shared" si="1"/>
        <v>27</v>
      </c>
      <c r="U29" s="7">
        <v>107</v>
      </c>
      <c r="V29" s="16">
        <f t="shared" si="2"/>
        <v>2889</v>
      </c>
      <c r="W29" s="7">
        <v>4</v>
      </c>
      <c r="X29" s="54" t="s">
        <v>46</v>
      </c>
      <c r="Y29" s="54" t="s">
        <v>78</v>
      </c>
      <c r="Z29" s="54" t="s">
        <v>102</v>
      </c>
      <c r="AA29" s="54" t="s">
        <v>88</v>
      </c>
      <c r="AB29" s="39" t="s">
        <v>158</v>
      </c>
      <c r="AP29" s="27"/>
      <c r="AR29" s="27"/>
      <c r="AV29" s="28"/>
    </row>
    <row r="30" spans="1:48" x14ac:dyDescent="0.15">
      <c r="A30" s="15" t="s">
        <v>156</v>
      </c>
      <c r="B30" s="15" t="s">
        <v>157</v>
      </c>
      <c r="C30" s="15">
        <v>2019</v>
      </c>
      <c r="D30" s="37" t="s">
        <v>165</v>
      </c>
      <c r="E30" s="7" t="s">
        <v>131</v>
      </c>
      <c r="F30" s="7" t="s">
        <v>144</v>
      </c>
      <c r="G30" s="7" t="s">
        <v>36</v>
      </c>
      <c r="H30" s="54" t="s">
        <v>160</v>
      </c>
      <c r="I30" s="53" t="s">
        <v>159</v>
      </c>
      <c r="J30" s="15" t="s">
        <v>38</v>
      </c>
      <c r="K30" s="7" t="s">
        <v>161</v>
      </c>
      <c r="L30" s="7">
        <v>2</v>
      </c>
      <c r="N30" s="7">
        <v>1</v>
      </c>
      <c r="O30" s="7">
        <v>0.5</v>
      </c>
      <c r="P30" s="7">
        <v>0.5</v>
      </c>
      <c r="Q30" s="52">
        <f t="shared" si="0"/>
        <v>0.5</v>
      </c>
      <c r="R30" s="7">
        <v>17.899999999999999</v>
      </c>
      <c r="S30" s="7">
        <v>124</v>
      </c>
      <c r="T30" s="16">
        <f t="shared" si="1"/>
        <v>27</v>
      </c>
      <c r="U30" s="7">
        <v>107</v>
      </c>
      <c r="V30" s="16">
        <f t="shared" si="2"/>
        <v>2889</v>
      </c>
      <c r="W30" s="7">
        <v>4</v>
      </c>
      <c r="X30" s="54" t="s">
        <v>46</v>
      </c>
      <c r="Y30" s="54" t="s">
        <v>78</v>
      </c>
      <c r="Z30" s="54" t="s">
        <v>102</v>
      </c>
      <c r="AA30" s="54" t="s">
        <v>88</v>
      </c>
      <c r="AB30" s="39" t="s">
        <v>158</v>
      </c>
      <c r="AP30" s="27"/>
      <c r="AR30" s="27"/>
    </row>
    <row r="31" spans="1:48" x14ac:dyDescent="0.15">
      <c r="A31" s="15" t="s">
        <v>156</v>
      </c>
      <c r="B31" s="15" t="s">
        <v>157</v>
      </c>
      <c r="C31" s="15">
        <v>2019</v>
      </c>
      <c r="D31" s="37" t="s">
        <v>165</v>
      </c>
      <c r="E31" s="7" t="s">
        <v>131</v>
      </c>
      <c r="F31" s="7" t="s">
        <v>144</v>
      </c>
      <c r="G31" s="7" t="s">
        <v>36</v>
      </c>
      <c r="H31" s="54" t="s">
        <v>160</v>
      </c>
      <c r="I31" s="53" t="s">
        <v>159</v>
      </c>
      <c r="J31" s="15" t="s">
        <v>38</v>
      </c>
      <c r="K31" s="7" t="s">
        <v>161</v>
      </c>
      <c r="L31" s="7">
        <v>3</v>
      </c>
      <c r="N31" s="7">
        <v>1</v>
      </c>
      <c r="O31" s="7">
        <v>0.5</v>
      </c>
      <c r="P31" s="7">
        <v>0.5</v>
      </c>
      <c r="Q31" s="52">
        <f t="shared" si="0"/>
        <v>0.5</v>
      </c>
      <c r="R31" s="7">
        <v>19.100000000000001</v>
      </c>
      <c r="S31" s="7">
        <v>125</v>
      </c>
      <c r="T31" s="16">
        <f t="shared" si="1"/>
        <v>27</v>
      </c>
      <c r="U31" s="7">
        <v>107</v>
      </c>
      <c r="V31" s="16">
        <f t="shared" si="2"/>
        <v>2889</v>
      </c>
      <c r="W31" s="7">
        <v>4</v>
      </c>
      <c r="X31" s="54" t="s">
        <v>46</v>
      </c>
      <c r="Y31" s="54" t="s">
        <v>78</v>
      </c>
      <c r="Z31" s="54" t="s">
        <v>102</v>
      </c>
      <c r="AA31" s="54" t="s">
        <v>88</v>
      </c>
      <c r="AB31" s="39" t="s">
        <v>158</v>
      </c>
      <c r="AP31" s="27"/>
      <c r="AR31" s="27"/>
    </row>
    <row r="32" spans="1:48" x14ac:dyDescent="0.15">
      <c r="A32" s="15" t="s">
        <v>156</v>
      </c>
      <c r="B32" s="15" t="s">
        <v>157</v>
      </c>
      <c r="C32" s="15">
        <v>2019</v>
      </c>
      <c r="D32" s="37" t="s">
        <v>165</v>
      </c>
      <c r="E32" s="7" t="s">
        <v>139</v>
      </c>
      <c r="F32" s="7" t="s">
        <v>145</v>
      </c>
      <c r="G32" s="7" t="s">
        <v>36</v>
      </c>
      <c r="H32" s="15" t="s">
        <v>164</v>
      </c>
      <c r="I32" s="7" t="s">
        <v>159</v>
      </c>
      <c r="J32" s="15" t="s">
        <v>38</v>
      </c>
      <c r="K32" s="7" t="s">
        <v>161</v>
      </c>
      <c r="L32" s="7">
        <v>1</v>
      </c>
      <c r="N32" s="7">
        <v>1</v>
      </c>
      <c r="O32" s="7">
        <v>0.5</v>
      </c>
      <c r="P32" s="7">
        <v>0.5</v>
      </c>
      <c r="Q32" s="52">
        <f t="shared" si="0"/>
        <v>0.5</v>
      </c>
      <c r="R32" s="7">
        <v>15</v>
      </c>
      <c r="S32" s="7">
        <v>110</v>
      </c>
      <c r="T32" s="16">
        <f t="shared" si="1"/>
        <v>33</v>
      </c>
      <c r="U32" s="7">
        <v>100</v>
      </c>
      <c r="V32" s="16">
        <f t="shared" si="2"/>
        <v>3300</v>
      </c>
      <c r="W32" s="7">
        <v>7</v>
      </c>
      <c r="X32" s="54" t="s">
        <v>46</v>
      </c>
      <c r="Y32" s="54" t="s">
        <v>50</v>
      </c>
      <c r="Z32" s="54" t="s">
        <v>78</v>
      </c>
      <c r="AA32" s="54" t="s">
        <v>55</v>
      </c>
      <c r="AB32" s="39" t="s">
        <v>158</v>
      </c>
      <c r="AP32" s="28"/>
      <c r="AR32" s="28"/>
    </row>
    <row r="33" spans="1:44" x14ac:dyDescent="0.15">
      <c r="A33" s="15" t="s">
        <v>156</v>
      </c>
      <c r="B33" s="15" t="s">
        <v>157</v>
      </c>
      <c r="C33" s="15">
        <v>2019</v>
      </c>
      <c r="D33" s="37" t="s">
        <v>165</v>
      </c>
      <c r="E33" s="7" t="s">
        <v>139</v>
      </c>
      <c r="F33" s="7" t="s">
        <v>145</v>
      </c>
      <c r="G33" s="7" t="s">
        <v>36</v>
      </c>
      <c r="H33" s="15" t="s">
        <v>164</v>
      </c>
      <c r="I33" s="53" t="s">
        <v>159</v>
      </c>
      <c r="J33" s="15" t="s">
        <v>38</v>
      </c>
      <c r="K33" s="7" t="s">
        <v>161</v>
      </c>
      <c r="L33" s="7">
        <v>2</v>
      </c>
      <c r="N33" s="7">
        <v>1</v>
      </c>
      <c r="O33" s="7">
        <v>0.5</v>
      </c>
      <c r="P33" s="7">
        <v>0.5</v>
      </c>
      <c r="Q33" s="52">
        <f t="shared" si="0"/>
        <v>0.5</v>
      </c>
      <c r="R33" s="7">
        <v>13.7</v>
      </c>
      <c r="S33" s="7">
        <v>114</v>
      </c>
      <c r="T33" s="16">
        <f t="shared" si="1"/>
        <v>30</v>
      </c>
      <c r="U33" s="7">
        <v>100</v>
      </c>
      <c r="V33" s="16">
        <f t="shared" si="2"/>
        <v>3000</v>
      </c>
      <c r="W33" s="7">
        <v>7</v>
      </c>
      <c r="X33" s="15" t="s">
        <v>46</v>
      </c>
      <c r="Y33" s="54" t="s">
        <v>50</v>
      </c>
      <c r="Z33" s="54" t="s">
        <v>78</v>
      </c>
      <c r="AA33" s="54" t="s">
        <v>55</v>
      </c>
      <c r="AB33" s="39" t="s">
        <v>158</v>
      </c>
    </row>
    <row r="34" spans="1:44" x14ac:dyDescent="0.15">
      <c r="A34" s="15" t="s">
        <v>156</v>
      </c>
      <c r="B34" s="15" t="s">
        <v>157</v>
      </c>
      <c r="C34" s="15">
        <v>2019</v>
      </c>
      <c r="D34" s="37" t="s">
        <v>165</v>
      </c>
      <c r="E34" s="7" t="s">
        <v>139</v>
      </c>
      <c r="F34" s="7" t="s">
        <v>145</v>
      </c>
      <c r="G34" s="7" t="s">
        <v>36</v>
      </c>
      <c r="H34" s="15" t="s">
        <v>164</v>
      </c>
      <c r="I34" s="53" t="s">
        <v>159</v>
      </c>
      <c r="J34" s="15" t="s">
        <v>38</v>
      </c>
      <c r="K34" s="7" t="s">
        <v>161</v>
      </c>
      <c r="L34" s="7">
        <v>3</v>
      </c>
      <c r="N34" s="7">
        <v>1</v>
      </c>
      <c r="O34" s="7">
        <v>0.5</v>
      </c>
      <c r="P34" s="7">
        <v>0.5</v>
      </c>
      <c r="Q34" s="52">
        <f t="shared" si="0"/>
        <v>0.5</v>
      </c>
      <c r="R34" s="7">
        <v>13.2</v>
      </c>
      <c r="S34" s="7">
        <v>115</v>
      </c>
      <c r="T34" s="16">
        <f t="shared" si="1"/>
        <v>30</v>
      </c>
      <c r="U34" s="7">
        <v>100</v>
      </c>
      <c r="V34" s="16">
        <f t="shared" si="2"/>
        <v>3000</v>
      </c>
      <c r="W34" s="7">
        <v>7</v>
      </c>
      <c r="X34" s="15" t="s">
        <v>46</v>
      </c>
      <c r="Y34" s="54" t="s">
        <v>50</v>
      </c>
      <c r="Z34" s="54" t="s">
        <v>78</v>
      </c>
      <c r="AA34" s="54" t="s">
        <v>55</v>
      </c>
      <c r="AB34" s="39" t="s">
        <v>158</v>
      </c>
    </row>
    <row r="35" spans="1:44" x14ac:dyDescent="0.15">
      <c r="A35" s="15" t="s">
        <v>156</v>
      </c>
      <c r="B35" s="15" t="s">
        <v>157</v>
      </c>
      <c r="C35" s="15">
        <v>2019</v>
      </c>
      <c r="D35" s="37" t="s">
        <v>165</v>
      </c>
      <c r="E35" s="7" t="s">
        <v>139</v>
      </c>
      <c r="F35" s="7" t="s">
        <v>145</v>
      </c>
      <c r="G35" s="7" t="s">
        <v>36</v>
      </c>
      <c r="H35" s="15" t="s">
        <v>160</v>
      </c>
      <c r="I35" s="7" t="s">
        <v>159</v>
      </c>
      <c r="J35" s="15" t="s">
        <v>38</v>
      </c>
      <c r="K35" s="7" t="s">
        <v>161</v>
      </c>
      <c r="L35" s="7">
        <v>1</v>
      </c>
      <c r="N35" s="7">
        <v>1</v>
      </c>
      <c r="O35" s="7">
        <v>0.5</v>
      </c>
      <c r="P35" s="7">
        <v>0.5</v>
      </c>
      <c r="Q35" s="52">
        <f t="shared" si="0"/>
        <v>0.5</v>
      </c>
      <c r="R35" s="7">
        <v>20.399999999999999</v>
      </c>
      <c r="S35" s="7">
        <v>119</v>
      </c>
      <c r="T35" s="16">
        <f t="shared" si="1"/>
        <v>30</v>
      </c>
      <c r="U35" s="7">
        <v>100</v>
      </c>
      <c r="V35" s="16">
        <f t="shared" si="2"/>
        <v>3000</v>
      </c>
      <c r="W35" s="7">
        <v>8</v>
      </c>
      <c r="X35" s="15" t="s">
        <v>46</v>
      </c>
      <c r="Y35" s="54" t="s">
        <v>50</v>
      </c>
      <c r="Z35" s="54" t="s">
        <v>78</v>
      </c>
      <c r="AA35" s="54" t="s">
        <v>55</v>
      </c>
      <c r="AB35" s="39" t="s">
        <v>158</v>
      </c>
      <c r="AP35" s="28"/>
      <c r="AR35" s="28"/>
    </row>
    <row r="36" spans="1:44" x14ac:dyDescent="0.15">
      <c r="A36" s="15" t="s">
        <v>156</v>
      </c>
      <c r="B36" s="15" t="s">
        <v>157</v>
      </c>
      <c r="C36" s="15">
        <v>2019</v>
      </c>
      <c r="D36" s="37" t="s">
        <v>165</v>
      </c>
      <c r="E36" s="7" t="s">
        <v>139</v>
      </c>
      <c r="F36" s="7" t="s">
        <v>145</v>
      </c>
      <c r="G36" s="7" t="s">
        <v>36</v>
      </c>
      <c r="H36" s="54" t="s">
        <v>160</v>
      </c>
      <c r="I36" s="7" t="s">
        <v>159</v>
      </c>
      <c r="J36" s="15" t="s">
        <v>38</v>
      </c>
      <c r="K36" s="7" t="s">
        <v>161</v>
      </c>
      <c r="L36" s="7">
        <v>2</v>
      </c>
      <c r="N36" s="7">
        <v>1</v>
      </c>
      <c r="O36" s="7">
        <v>0.5</v>
      </c>
      <c r="P36" s="7">
        <v>0.55000000000000004</v>
      </c>
      <c r="Q36" s="52">
        <f t="shared" si="0"/>
        <v>0.52500000000000002</v>
      </c>
      <c r="R36" s="7">
        <v>19</v>
      </c>
      <c r="S36" s="7">
        <v>125</v>
      </c>
      <c r="T36" s="16">
        <f t="shared" si="1"/>
        <v>27</v>
      </c>
      <c r="U36" s="7">
        <v>100</v>
      </c>
      <c r="V36" s="16">
        <f t="shared" si="2"/>
        <v>2700</v>
      </c>
      <c r="W36" s="7">
        <v>8</v>
      </c>
      <c r="X36" s="15" t="s">
        <v>46</v>
      </c>
      <c r="Y36" s="54" t="s">
        <v>50</v>
      </c>
      <c r="Z36" s="54" t="s">
        <v>78</v>
      </c>
      <c r="AA36" s="54" t="s">
        <v>55</v>
      </c>
      <c r="AB36" s="39" t="s">
        <v>158</v>
      </c>
    </row>
    <row r="37" spans="1:44" x14ac:dyDescent="0.15">
      <c r="A37" s="15" t="s">
        <v>156</v>
      </c>
      <c r="B37" s="15" t="s">
        <v>157</v>
      </c>
      <c r="C37" s="15">
        <v>2019</v>
      </c>
      <c r="D37" s="37" t="s">
        <v>165</v>
      </c>
      <c r="E37" s="7" t="s">
        <v>139</v>
      </c>
      <c r="F37" s="7" t="s">
        <v>145</v>
      </c>
      <c r="G37" s="7" t="s">
        <v>36</v>
      </c>
      <c r="H37" s="54" t="s">
        <v>160</v>
      </c>
      <c r="I37" s="7" t="s">
        <v>159</v>
      </c>
      <c r="J37" s="15" t="s">
        <v>38</v>
      </c>
      <c r="K37" s="7" t="s">
        <v>161</v>
      </c>
      <c r="L37" s="7">
        <v>3</v>
      </c>
      <c r="N37" s="7">
        <v>1</v>
      </c>
      <c r="O37" s="34">
        <v>0.5</v>
      </c>
      <c r="P37" s="34">
        <v>0.5</v>
      </c>
      <c r="Q37" s="52">
        <f t="shared" si="0"/>
        <v>0.5</v>
      </c>
      <c r="R37" s="7">
        <v>19.399999999999999</v>
      </c>
      <c r="S37" s="7">
        <v>116</v>
      </c>
      <c r="T37" s="16">
        <f t="shared" si="1"/>
        <v>30</v>
      </c>
      <c r="U37" s="7">
        <v>100</v>
      </c>
      <c r="V37" s="16">
        <f t="shared" si="2"/>
        <v>3000</v>
      </c>
      <c r="W37" s="7">
        <v>8</v>
      </c>
      <c r="X37" s="15" t="s">
        <v>46</v>
      </c>
      <c r="Y37" s="54" t="s">
        <v>50</v>
      </c>
      <c r="Z37" s="54" t="s">
        <v>78</v>
      </c>
      <c r="AA37" s="54" t="s">
        <v>55</v>
      </c>
      <c r="AB37" s="39" t="s">
        <v>158</v>
      </c>
    </row>
    <row r="38" spans="1:44" x14ac:dyDescent="0.15">
      <c r="A38" s="15" t="s">
        <v>156</v>
      </c>
      <c r="B38" s="15" t="s">
        <v>157</v>
      </c>
      <c r="C38" s="15">
        <v>2019</v>
      </c>
      <c r="D38" s="37" t="s">
        <v>165</v>
      </c>
      <c r="E38" s="7" t="s">
        <v>162</v>
      </c>
      <c r="F38" s="7" t="s">
        <v>163</v>
      </c>
      <c r="G38" s="7" t="s">
        <v>36</v>
      </c>
      <c r="H38" s="15" t="s">
        <v>164</v>
      </c>
      <c r="I38" s="7" t="s">
        <v>159</v>
      </c>
      <c r="J38" s="15" t="s">
        <v>38</v>
      </c>
      <c r="K38" s="7" t="s">
        <v>161</v>
      </c>
      <c r="L38" s="7">
        <v>1</v>
      </c>
      <c r="N38" s="53">
        <v>1</v>
      </c>
      <c r="O38" s="34">
        <v>0.5</v>
      </c>
      <c r="P38" s="34">
        <v>0.55000000000000004</v>
      </c>
      <c r="Q38" s="52">
        <f t="shared" si="0"/>
        <v>0.52500000000000002</v>
      </c>
      <c r="R38" s="7">
        <v>16.3</v>
      </c>
      <c r="S38" s="7">
        <v>121</v>
      </c>
      <c r="T38" s="16">
        <f t="shared" si="1"/>
        <v>27</v>
      </c>
      <c r="U38" s="7">
        <v>88</v>
      </c>
      <c r="V38" s="16">
        <f t="shared" si="2"/>
        <v>2376</v>
      </c>
      <c r="W38" s="7">
        <v>4</v>
      </c>
      <c r="X38" s="15" t="s">
        <v>46</v>
      </c>
      <c r="Y38" s="54" t="s">
        <v>78</v>
      </c>
      <c r="Z38" s="54" t="s">
        <v>50</v>
      </c>
      <c r="AA38" s="54" t="s">
        <v>90</v>
      </c>
      <c r="AB38" s="39" t="s">
        <v>158</v>
      </c>
    </row>
    <row r="39" spans="1:44" x14ac:dyDescent="0.15">
      <c r="A39" s="15" t="s">
        <v>156</v>
      </c>
      <c r="B39" s="15" t="s">
        <v>157</v>
      </c>
      <c r="C39" s="15">
        <v>2019</v>
      </c>
      <c r="D39" s="37" t="s">
        <v>165</v>
      </c>
      <c r="E39" s="7" t="s">
        <v>162</v>
      </c>
      <c r="F39" s="7" t="s">
        <v>163</v>
      </c>
      <c r="G39" s="7" t="s">
        <v>36</v>
      </c>
      <c r="H39" s="54" t="s">
        <v>164</v>
      </c>
      <c r="I39" s="7" t="s">
        <v>159</v>
      </c>
      <c r="J39" s="15" t="s">
        <v>38</v>
      </c>
      <c r="K39" s="7" t="s">
        <v>161</v>
      </c>
      <c r="L39" s="7">
        <v>2</v>
      </c>
      <c r="N39" s="53">
        <v>1</v>
      </c>
      <c r="O39" s="7">
        <v>0.5</v>
      </c>
      <c r="P39" s="7">
        <v>0.5</v>
      </c>
      <c r="Q39" s="52">
        <f t="shared" si="0"/>
        <v>0.5</v>
      </c>
      <c r="R39" s="34">
        <v>17.899999999999999</v>
      </c>
      <c r="S39" s="7">
        <v>121</v>
      </c>
      <c r="T39" s="16">
        <f t="shared" si="1"/>
        <v>27</v>
      </c>
      <c r="U39" s="7">
        <v>88</v>
      </c>
      <c r="V39" s="16">
        <f t="shared" si="2"/>
        <v>2376</v>
      </c>
      <c r="W39" s="7">
        <v>4</v>
      </c>
      <c r="X39" s="15" t="s">
        <v>46</v>
      </c>
      <c r="Y39" s="54" t="s">
        <v>78</v>
      </c>
      <c r="Z39" s="54" t="s">
        <v>50</v>
      </c>
      <c r="AA39" s="54" t="s">
        <v>90</v>
      </c>
      <c r="AB39" s="39" t="s">
        <v>158</v>
      </c>
    </row>
    <row r="40" spans="1:44" x14ac:dyDescent="0.15">
      <c r="A40" s="15" t="s">
        <v>156</v>
      </c>
      <c r="B40" s="15" t="s">
        <v>157</v>
      </c>
      <c r="C40" s="15">
        <v>2019</v>
      </c>
      <c r="D40" s="37" t="s">
        <v>165</v>
      </c>
      <c r="E40" s="7" t="s">
        <v>162</v>
      </c>
      <c r="F40" s="7" t="s">
        <v>163</v>
      </c>
      <c r="G40" s="7" t="s">
        <v>36</v>
      </c>
      <c r="H40" s="54" t="s">
        <v>164</v>
      </c>
      <c r="I40" s="7" t="s">
        <v>159</v>
      </c>
      <c r="J40" s="15" t="s">
        <v>38</v>
      </c>
      <c r="K40" s="7" t="s">
        <v>161</v>
      </c>
      <c r="L40" s="7">
        <v>3</v>
      </c>
      <c r="N40" s="53">
        <v>1</v>
      </c>
      <c r="O40" s="7">
        <v>0.5</v>
      </c>
      <c r="P40" s="7">
        <v>0.5</v>
      </c>
      <c r="Q40" s="52">
        <f t="shared" si="0"/>
        <v>0.5</v>
      </c>
      <c r="R40" s="7">
        <v>13.9</v>
      </c>
      <c r="S40" s="7">
        <v>116</v>
      </c>
      <c r="T40" s="16">
        <f t="shared" si="1"/>
        <v>30</v>
      </c>
      <c r="U40" s="7">
        <v>88</v>
      </c>
      <c r="V40" s="16">
        <f t="shared" si="2"/>
        <v>2640</v>
      </c>
      <c r="W40" s="7">
        <v>4</v>
      </c>
      <c r="X40" s="15" t="s">
        <v>46</v>
      </c>
      <c r="Y40" s="54" t="s">
        <v>78</v>
      </c>
      <c r="Z40" s="54" t="s">
        <v>50</v>
      </c>
      <c r="AA40" s="54" t="s">
        <v>90</v>
      </c>
      <c r="AB40" s="39" t="s">
        <v>158</v>
      </c>
    </row>
    <row r="41" spans="1:44" ht="12.75" customHeight="1" x14ac:dyDescent="0.15">
      <c r="A41" s="15" t="s">
        <v>156</v>
      </c>
      <c r="B41" s="15" t="s">
        <v>157</v>
      </c>
      <c r="C41" s="15">
        <v>2019</v>
      </c>
      <c r="D41" s="37" t="s">
        <v>165</v>
      </c>
      <c r="E41" s="7" t="s">
        <v>162</v>
      </c>
      <c r="F41" s="7" t="s">
        <v>163</v>
      </c>
      <c r="G41" s="7" t="s">
        <v>36</v>
      </c>
      <c r="H41" s="15" t="s">
        <v>160</v>
      </c>
      <c r="I41" s="7" t="s">
        <v>159</v>
      </c>
      <c r="J41" s="15" t="s">
        <v>38</v>
      </c>
      <c r="K41" s="7" t="s">
        <v>161</v>
      </c>
      <c r="L41" s="7">
        <v>1</v>
      </c>
      <c r="N41" s="7">
        <v>1</v>
      </c>
      <c r="O41" s="7">
        <v>0.55000000000000004</v>
      </c>
      <c r="P41" s="7">
        <v>0.55000000000000004</v>
      </c>
      <c r="Q41" s="52">
        <f t="shared" si="0"/>
        <v>0.55000000000000004</v>
      </c>
      <c r="R41" s="7">
        <v>18.100000000000001</v>
      </c>
      <c r="S41" s="7">
        <v>120</v>
      </c>
      <c r="T41" s="16">
        <f t="shared" si="1"/>
        <v>30</v>
      </c>
      <c r="U41" s="7">
        <v>128</v>
      </c>
      <c r="V41" s="16">
        <f t="shared" si="2"/>
        <v>3840</v>
      </c>
      <c r="W41" s="7">
        <v>4</v>
      </c>
      <c r="X41" s="15" t="s">
        <v>46</v>
      </c>
      <c r="Y41" s="54" t="s">
        <v>78</v>
      </c>
      <c r="Z41" s="54" t="s">
        <v>50</v>
      </c>
      <c r="AA41" s="54" t="s">
        <v>90</v>
      </c>
      <c r="AB41" s="39" t="s">
        <v>158</v>
      </c>
    </row>
    <row r="42" spans="1:44" x14ac:dyDescent="0.15">
      <c r="A42" s="15" t="s">
        <v>156</v>
      </c>
      <c r="B42" s="15" t="s">
        <v>157</v>
      </c>
      <c r="C42" s="15">
        <v>2019</v>
      </c>
      <c r="D42" s="37" t="s">
        <v>165</v>
      </c>
      <c r="E42" s="7" t="s">
        <v>162</v>
      </c>
      <c r="F42" s="7" t="s">
        <v>163</v>
      </c>
      <c r="G42" s="7" t="s">
        <v>36</v>
      </c>
      <c r="H42" s="54" t="s">
        <v>160</v>
      </c>
      <c r="I42" s="7" t="s">
        <v>159</v>
      </c>
      <c r="J42" s="15" t="s">
        <v>38</v>
      </c>
      <c r="K42" s="7" t="s">
        <v>161</v>
      </c>
      <c r="L42" s="7">
        <v>2</v>
      </c>
      <c r="N42" s="7">
        <v>1</v>
      </c>
      <c r="O42" s="7">
        <v>0.65</v>
      </c>
      <c r="P42" s="7">
        <v>0.6</v>
      </c>
      <c r="Q42" s="52">
        <f t="shared" si="0"/>
        <v>0.625</v>
      </c>
      <c r="R42" s="7">
        <v>15.4</v>
      </c>
      <c r="S42" s="7">
        <v>125</v>
      </c>
      <c r="T42" s="16">
        <f t="shared" si="1"/>
        <v>27</v>
      </c>
      <c r="U42" s="7">
        <v>128</v>
      </c>
      <c r="V42" s="16">
        <f t="shared" si="2"/>
        <v>3456</v>
      </c>
      <c r="W42" s="7">
        <v>4</v>
      </c>
      <c r="X42" s="15" t="s">
        <v>46</v>
      </c>
      <c r="Y42" s="54" t="s">
        <v>78</v>
      </c>
      <c r="Z42" s="54" t="s">
        <v>50</v>
      </c>
      <c r="AA42" s="54" t="s">
        <v>90</v>
      </c>
      <c r="AB42" s="39" t="s">
        <v>158</v>
      </c>
    </row>
    <row r="43" spans="1:44" x14ac:dyDescent="0.15">
      <c r="A43" s="15" t="s">
        <v>156</v>
      </c>
      <c r="B43" s="15" t="s">
        <v>157</v>
      </c>
      <c r="C43" s="15">
        <v>2019</v>
      </c>
      <c r="D43" s="37" t="s">
        <v>165</v>
      </c>
      <c r="E43" s="7" t="s">
        <v>162</v>
      </c>
      <c r="F43" s="7" t="s">
        <v>163</v>
      </c>
      <c r="G43" s="7" t="s">
        <v>36</v>
      </c>
      <c r="H43" s="54" t="s">
        <v>160</v>
      </c>
      <c r="I43" s="7" t="s">
        <v>159</v>
      </c>
      <c r="J43" s="15" t="s">
        <v>38</v>
      </c>
      <c r="K43" s="7" t="s">
        <v>161</v>
      </c>
      <c r="L43" s="7">
        <v>3</v>
      </c>
      <c r="N43" s="7">
        <v>1</v>
      </c>
      <c r="O43" s="7">
        <v>0.55000000000000004</v>
      </c>
      <c r="P43" s="7">
        <v>0.5</v>
      </c>
      <c r="Q43" s="52">
        <f t="shared" si="0"/>
        <v>0.52500000000000002</v>
      </c>
      <c r="R43" s="7">
        <v>14.8</v>
      </c>
      <c r="S43" s="7">
        <v>114</v>
      </c>
      <c r="T43" s="16">
        <f t="shared" si="1"/>
        <v>30</v>
      </c>
      <c r="U43" s="7">
        <v>128</v>
      </c>
      <c r="V43" s="16">
        <f t="shared" si="2"/>
        <v>3840</v>
      </c>
      <c r="W43" s="7">
        <v>4</v>
      </c>
      <c r="X43" s="15" t="s">
        <v>46</v>
      </c>
      <c r="Y43" s="54" t="s">
        <v>78</v>
      </c>
      <c r="Z43" s="54" t="s">
        <v>50</v>
      </c>
      <c r="AA43" s="54" t="s">
        <v>90</v>
      </c>
      <c r="AB43" s="39" t="s">
        <v>158</v>
      </c>
    </row>
    <row r="44" spans="1:44" x14ac:dyDescent="0.15">
      <c r="A44" s="15" t="s">
        <v>156</v>
      </c>
      <c r="B44" s="15" t="s">
        <v>157</v>
      </c>
      <c r="C44" s="15">
        <v>2019</v>
      </c>
      <c r="D44" s="37" t="s">
        <v>165</v>
      </c>
      <c r="E44" s="7" t="s">
        <v>130</v>
      </c>
      <c r="F44" s="7" t="s">
        <v>146</v>
      </c>
      <c r="G44" s="7" t="s">
        <v>36</v>
      </c>
      <c r="H44" s="15" t="s">
        <v>164</v>
      </c>
      <c r="I44" s="7" t="s">
        <v>159</v>
      </c>
      <c r="J44" s="15" t="s">
        <v>38</v>
      </c>
      <c r="K44" s="7" t="s">
        <v>161</v>
      </c>
      <c r="L44" s="7">
        <v>1</v>
      </c>
      <c r="N44" s="7">
        <v>1</v>
      </c>
      <c r="O44" s="7">
        <v>0.65</v>
      </c>
      <c r="P44" s="7">
        <v>0.75</v>
      </c>
      <c r="Q44" s="52">
        <f t="shared" si="0"/>
        <v>0.7</v>
      </c>
      <c r="R44" s="7">
        <v>11.6</v>
      </c>
      <c r="S44" s="7">
        <v>87</v>
      </c>
      <c r="T44" s="16">
        <f t="shared" si="1"/>
        <v>36</v>
      </c>
      <c r="U44" s="7">
        <v>51</v>
      </c>
      <c r="V44" s="16">
        <f t="shared" si="2"/>
        <v>1836</v>
      </c>
      <c r="W44" s="7">
        <v>4</v>
      </c>
      <c r="X44" s="15" t="s">
        <v>46</v>
      </c>
      <c r="Y44" s="54" t="s">
        <v>102</v>
      </c>
      <c r="Z44" s="54" t="s">
        <v>78</v>
      </c>
      <c r="AA44" s="54" t="s">
        <v>90</v>
      </c>
      <c r="AB44" s="39" t="s">
        <v>158</v>
      </c>
    </row>
    <row r="45" spans="1:44" x14ac:dyDescent="0.15">
      <c r="A45" s="15" t="s">
        <v>156</v>
      </c>
      <c r="B45" s="15" t="s">
        <v>157</v>
      </c>
      <c r="C45" s="15">
        <v>2019</v>
      </c>
      <c r="D45" s="37" t="s">
        <v>165</v>
      </c>
      <c r="E45" s="7" t="s">
        <v>130</v>
      </c>
      <c r="F45" s="7" t="s">
        <v>146</v>
      </c>
      <c r="G45" s="7" t="s">
        <v>36</v>
      </c>
      <c r="H45" s="15" t="s">
        <v>164</v>
      </c>
      <c r="I45" s="7" t="s">
        <v>159</v>
      </c>
      <c r="J45" s="15" t="s">
        <v>38</v>
      </c>
      <c r="K45" s="7" t="s">
        <v>161</v>
      </c>
      <c r="L45" s="7">
        <v>2</v>
      </c>
      <c r="N45" s="7">
        <v>1</v>
      </c>
      <c r="O45" s="7">
        <v>0.55000000000000004</v>
      </c>
      <c r="P45" s="7">
        <v>0.6</v>
      </c>
      <c r="Q45" s="52">
        <f t="shared" si="0"/>
        <v>0.57499999999999996</v>
      </c>
      <c r="R45" s="7">
        <v>12</v>
      </c>
      <c r="S45" s="7">
        <v>91</v>
      </c>
      <c r="T45" s="16">
        <f t="shared" si="1"/>
        <v>36</v>
      </c>
      <c r="U45" s="7">
        <v>51</v>
      </c>
      <c r="V45" s="16">
        <f t="shared" si="2"/>
        <v>1836</v>
      </c>
      <c r="W45" s="7">
        <v>4</v>
      </c>
      <c r="X45" s="15" t="s">
        <v>46</v>
      </c>
      <c r="Y45" s="54" t="s">
        <v>102</v>
      </c>
      <c r="Z45" s="54" t="s">
        <v>78</v>
      </c>
      <c r="AA45" s="54" t="s">
        <v>90</v>
      </c>
      <c r="AB45" s="39" t="s">
        <v>158</v>
      </c>
    </row>
    <row r="46" spans="1:44" x14ac:dyDescent="0.15">
      <c r="A46" s="15" t="s">
        <v>156</v>
      </c>
      <c r="B46" s="15" t="s">
        <v>157</v>
      </c>
      <c r="C46" s="15">
        <v>2019</v>
      </c>
      <c r="D46" s="37" t="s">
        <v>165</v>
      </c>
      <c r="E46" s="7" t="s">
        <v>130</v>
      </c>
      <c r="F46" s="7" t="s">
        <v>146</v>
      </c>
      <c r="G46" s="7" t="s">
        <v>36</v>
      </c>
      <c r="H46" s="15" t="s">
        <v>164</v>
      </c>
      <c r="I46" s="7" t="s">
        <v>159</v>
      </c>
      <c r="J46" s="15" t="s">
        <v>38</v>
      </c>
      <c r="K46" s="7" t="s">
        <v>161</v>
      </c>
      <c r="L46" s="7">
        <v>3</v>
      </c>
      <c r="N46" s="7">
        <v>1</v>
      </c>
      <c r="O46" s="7">
        <v>0.6</v>
      </c>
      <c r="P46" s="34">
        <v>0.5</v>
      </c>
      <c r="Q46" s="52">
        <f t="shared" si="0"/>
        <v>0.55000000000000004</v>
      </c>
      <c r="R46" s="7">
        <v>11.1</v>
      </c>
      <c r="S46" s="7">
        <v>83</v>
      </c>
      <c r="T46" s="16">
        <f t="shared" si="1"/>
        <v>39</v>
      </c>
      <c r="U46" s="7">
        <v>51</v>
      </c>
      <c r="V46" s="16">
        <f t="shared" si="2"/>
        <v>1989</v>
      </c>
      <c r="W46" s="7">
        <v>4</v>
      </c>
      <c r="X46" s="15" t="s">
        <v>46</v>
      </c>
      <c r="Y46" s="54" t="s">
        <v>102</v>
      </c>
      <c r="Z46" s="54" t="s">
        <v>78</v>
      </c>
      <c r="AA46" s="54" t="s">
        <v>90</v>
      </c>
      <c r="AB46" s="39" t="s">
        <v>158</v>
      </c>
    </row>
    <row r="47" spans="1:44" x14ac:dyDescent="0.15">
      <c r="A47" s="15" t="s">
        <v>156</v>
      </c>
      <c r="B47" s="15" t="s">
        <v>157</v>
      </c>
      <c r="C47" s="15">
        <v>2019</v>
      </c>
      <c r="D47" s="37" t="s">
        <v>165</v>
      </c>
      <c r="E47" s="7" t="s">
        <v>130</v>
      </c>
      <c r="F47" s="7" t="s">
        <v>146</v>
      </c>
      <c r="G47" s="7" t="s">
        <v>36</v>
      </c>
      <c r="H47" s="15" t="s">
        <v>160</v>
      </c>
      <c r="I47" s="7" t="s">
        <v>159</v>
      </c>
      <c r="J47" s="15" t="s">
        <v>38</v>
      </c>
      <c r="K47" s="7" t="s">
        <v>161</v>
      </c>
      <c r="L47" s="7">
        <v>1</v>
      </c>
      <c r="N47" s="7">
        <v>1</v>
      </c>
      <c r="O47" s="7">
        <v>0.5</v>
      </c>
      <c r="P47" s="7">
        <v>0.5</v>
      </c>
      <c r="Q47" s="52">
        <f t="shared" si="0"/>
        <v>0.5</v>
      </c>
      <c r="R47" s="7">
        <v>18.3</v>
      </c>
      <c r="S47" s="7">
        <v>121</v>
      </c>
      <c r="T47" s="16">
        <f t="shared" si="1"/>
        <v>27</v>
      </c>
      <c r="U47" s="7">
        <v>135</v>
      </c>
      <c r="V47" s="16">
        <f t="shared" si="2"/>
        <v>3645</v>
      </c>
      <c r="W47" s="7">
        <v>9</v>
      </c>
      <c r="X47" s="15" t="s">
        <v>46</v>
      </c>
      <c r="Y47" s="54" t="s">
        <v>102</v>
      </c>
      <c r="Z47" s="54" t="s">
        <v>78</v>
      </c>
      <c r="AA47" s="54" t="s">
        <v>90</v>
      </c>
      <c r="AB47" s="39" t="s">
        <v>158</v>
      </c>
    </row>
    <row r="48" spans="1:44" x14ac:dyDescent="0.15">
      <c r="A48" s="15" t="s">
        <v>156</v>
      </c>
      <c r="B48" s="15" t="s">
        <v>157</v>
      </c>
      <c r="C48" s="15">
        <v>2019</v>
      </c>
      <c r="D48" s="37" t="s">
        <v>165</v>
      </c>
      <c r="E48" s="7" t="s">
        <v>130</v>
      </c>
      <c r="F48" s="7" t="s">
        <v>146</v>
      </c>
      <c r="G48" s="7" t="s">
        <v>36</v>
      </c>
      <c r="H48" s="15" t="s">
        <v>160</v>
      </c>
      <c r="I48" s="7" t="s">
        <v>159</v>
      </c>
      <c r="J48" s="15" t="s">
        <v>38</v>
      </c>
      <c r="K48" s="7" t="s">
        <v>161</v>
      </c>
      <c r="L48" s="7">
        <v>2</v>
      </c>
      <c r="N48" s="7">
        <v>1</v>
      </c>
      <c r="O48" s="7">
        <v>0.5</v>
      </c>
      <c r="P48" s="7">
        <v>0.5</v>
      </c>
      <c r="Q48" s="52">
        <f t="shared" si="0"/>
        <v>0.5</v>
      </c>
      <c r="R48" s="7">
        <v>17.899999999999999</v>
      </c>
      <c r="S48" s="7">
        <v>118</v>
      </c>
      <c r="T48" s="16">
        <f t="shared" si="1"/>
        <v>30</v>
      </c>
      <c r="U48" s="7">
        <v>135</v>
      </c>
      <c r="V48" s="16">
        <f t="shared" si="2"/>
        <v>4050</v>
      </c>
      <c r="W48" s="7">
        <v>9</v>
      </c>
      <c r="X48" s="15" t="s">
        <v>46</v>
      </c>
      <c r="Y48" s="54" t="s">
        <v>102</v>
      </c>
      <c r="Z48" s="54" t="s">
        <v>78</v>
      </c>
      <c r="AA48" s="54" t="s">
        <v>90</v>
      </c>
      <c r="AB48" s="39" t="s">
        <v>158</v>
      </c>
    </row>
    <row r="49" spans="1:29" x14ac:dyDescent="0.15">
      <c r="A49" s="15" t="s">
        <v>156</v>
      </c>
      <c r="B49" s="15" t="s">
        <v>157</v>
      </c>
      <c r="C49" s="15">
        <v>2019</v>
      </c>
      <c r="D49" s="37" t="s">
        <v>165</v>
      </c>
      <c r="E49" s="7" t="s">
        <v>130</v>
      </c>
      <c r="F49" s="7" t="s">
        <v>146</v>
      </c>
      <c r="G49" s="7" t="s">
        <v>36</v>
      </c>
      <c r="H49" s="15" t="s">
        <v>160</v>
      </c>
      <c r="I49" s="7" t="s">
        <v>159</v>
      </c>
      <c r="J49" s="15" t="s">
        <v>38</v>
      </c>
      <c r="K49" s="7" t="s">
        <v>161</v>
      </c>
      <c r="L49" s="7">
        <v>3</v>
      </c>
      <c r="N49" s="7">
        <v>1</v>
      </c>
      <c r="O49" s="7">
        <v>0.5</v>
      </c>
      <c r="P49" s="34">
        <v>0.5</v>
      </c>
      <c r="Q49" s="52">
        <f t="shared" si="0"/>
        <v>0.5</v>
      </c>
      <c r="R49" s="7">
        <v>19.3</v>
      </c>
      <c r="S49" s="7">
        <v>118</v>
      </c>
      <c r="T49" s="16">
        <f t="shared" si="1"/>
        <v>30</v>
      </c>
      <c r="U49" s="7">
        <v>135</v>
      </c>
      <c r="V49" s="16">
        <f t="shared" si="2"/>
        <v>4050</v>
      </c>
      <c r="W49" s="7">
        <v>9</v>
      </c>
      <c r="X49" s="15" t="s">
        <v>46</v>
      </c>
      <c r="Y49" s="54" t="s">
        <v>102</v>
      </c>
      <c r="Z49" s="54" t="s">
        <v>78</v>
      </c>
      <c r="AA49" s="54" t="s">
        <v>90</v>
      </c>
      <c r="AB49" s="39" t="s">
        <v>158</v>
      </c>
    </row>
    <row r="50" spans="1:29" x14ac:dyDescent="0.15">
      <c r="A50" s="15" t="s">
        <v>156</v>
      </c>
      <c r="B50" s="15" t="s">
        <v>157</v>
      </c>
      <c r="C50" s="15">
        <v>2019</v>
      </c>
      <c r="D50" s="37" t="s">
        <v>165</v>
      </c>
      <c r="E50" s="7" t="s">
        <v>132</v>
      </c>
      <c r="F50" s="7" t="s">
        <v>147</v>
      </c>
      <c r="G50" s="7" t="s">
        <v>36</v>
      </c>
      <c r="H50" s="15" t="s">
        <v>164</v>
      </c>
      <c r="I50" s="7" t="s">
        <v>159</v>
      </c>
      <c r="J50" s="15" t="s">
        <v>38</v>
      </c>
      <c r="K50" s="7" t="s">
        <v>161</v>
      </c>
      <c r="L50" s="7">
        <v>1</v>
      </c>
      <c r="N50" s="7">
        <v>1</v>
      </c>
      <c r="O50" s="7">
        <v>0.55000000000000004</v>
      </c>
      <c r="P50" s="7">
        <v>0.5</v>
      </c>
      <c r="Q50" s="52">
        <f t="shared" si="0"/>
        <v>0.52500000000000002</v>
      </c>
      <c r="R50" s="7">
        <v>15.9</v>
      </c>
      <c r="S50" s="7">
        <v>128</v>
      </c>
      <c r="T50" s="16">
        <f t="shared" si="1"/>
        <v>27</v>
      </c>
      <c r="U50" s="7">
        <v>97</v>
      </c>
      <c r="V50" s="16">
        <f t="shared" si="2"/>
        <v>2619</v>
      </c>
      <c r="W50" s="7">
        <v>4</v>
      </c>
      <c r="X50" s="15" t="s">
        <v>46</v>
      </c>
      <c r="Y50" s="54" t="s">
        <v>78</v>
      </c>
      <c r="Z50" s="54" t="s">
        <v>90</v>
      </c>
      <c r="AA50" s="54" t="s">
        <v>102</v>
      </c>
      <c r="AB50" s="39" t="s">
        <v>158</v>
      </c>
    </row>
    <row r="51" spans="1:29" x14ac:dyDescent="0.15">
      <c r="A51" s="15" t="s">
        <v>156</v>
      </c>
      <c r="B51" s="15" t="s">
        <v>157</v>
      </c>
      <c r="C51" s="15">
        <v>2019</v>
      </c>
      <c r="D51" s="37" t="s">
        <v>165</v>
      </c>
      <c r="E51" s="7" t="s">
        <v>132</v>
      </c>
      <c r="F51" s="7" t="s">
        <v>147</v>
      </c>
      <c r="G51" s="7" t="s">
        <v>36</v>
      </c>
      <c r="H51" s="15" t="s">
        <v>164</v>
      </c>
      <c r="I51" s="7" t="s">
        <v>159</v>
      </c>
      <c r="J51" s="15" t="s">
        <v>38</v>
      </c>
      <c r="K51" s="7" t="s">
        <v>161</v>
      </c>
      <c r="L51" s="7">
        <v>2</v>
      </c>
      <c r="N51" s="7">
        <v>1</v>
      </c>
      <c r="O51" s="7">
        <v>0.5</v>
      </c>
      <c r="P51" s="7">
        <v>0.5</v>
      </c>
      <c r="Q51" s="52">
        <f t="shared" si="0"/>
        <v>0.5</v>
      </c>
      <c r="R51" s="7">
        <v>14.2</v>
      </c>
      <c r="S51" s="7">
        <v>130</v>
      </c>
      <c r="T51" s="16">
        <f t="shared" si="1"/>
        <v>25</v>
      </c>
      <c r="U51" s="7">
        <v>97</v>
      </c>
      <c r="V51" s="16">
        <f t="shared" si="2"/>
        <v>2425</v>
      </c>
      <c r="W51" s="7">
        <v>4</v>
      </c>
      <c r="X51" s="15" t="s">
        <v>46</v>
      </c>
      <c r="Y51" s="54" t="s">
        <v>78</v>
      </c>
      <c r="Z51" s="54" t="s">
        <v>90</v>
      </c>
      <c r="AA51" s="54" t="s">
        <v>102</v>
      </c>
      <c r="AB51" s="39" t="s">
        <v>158</v>
      </c>
    </row>
    <row r="52" spans="1:29" x14ac:dyDescent="0.15">
      <c r="A52" s="15" t="s">
        <v>156</v>
      </c>
      <c r="B52" s="15" t="s">
        <v>157</v>
      </c>
      <c r="C52" s="15">
        <v>2019</v>
      </c>
      <c r="D52" s="37" t="s">
        <v>165</v>
      </c>
      <c r="E52" s="7" t="s">
        <v>132</v>
      </c>
      <c r="F52" s="7" t="s">
        <v>147</v>
      </c>
      <c r="G52" s="7" t="s">
        <v>36</v>
      </c>
      <c r="H52" s="15" t="s">
        <v>164</v>
      </c>
      <c r="I52" s="7" t="s">
        <v>159</v>
      </c>
      <c r="J52" s="15" t="s">
        <v>38</v>
      </c>
      <c r="K52" s="7" t="s">
        <v>161</v>
      </c>
      <c r="L52" s="7">
        <v>3</v>
      </c>
      <c r="N52" s="7">
        <v>1</v>
      </c>
      <c r="O52" s="7">
        <v>0.6</v>
      </c>
      <c r="P52" s="7">
        <v>0.6</v>
      </c>
      <c r="Q52" s="52">
        <f t="shared" si="0"/>
        <v>0.6</v>
      </c>
      <c r="R52" s="7">
        <v>13.1</v>
      </c>
      <c r="S52" s="7">
        <v>134</v>
      </c>
      <c r="T52" s="16">
        <f t="shared" si="1"/>
        <v>25</v>
      </c>
      <c r="U52" s="7">
        <v>97</v>
      </c>
      <c r="V52" s="16">
        <f t="shared" si="2"/>
        <v>2425</v>
      </c>
      <c r="W52" s="7">
        <v>4</v>
      </c>
      <c r="X52" s="15" t="s">
        <v>46</v>
      </c>
      <c r="Y52" s="54" t="s">
        <v>78</v>
      </c>
      <c r="Z52" s="54" t="s">
        <v>90</v>
      </c>
      <c r="AA52" s="54" t="s">
        <v>102</v>
      </c>
      <c r="AB52" s="39" t="s">
        <v>158</v>
      </c>
    </row>
    <row r="53" spans="1:29" x14ac:dyDescent="0.15">
      <c r="A53" s="15" t="s">
        <v>156</v>
      </c>
      <c r="B53" s="15" t="s">
        <v>157</v>
      </c>
      <c r="C53" s="15">
        <v>2019</v>
      </c>
      <c r="D53" s="37" t="s">
        <v>165</v>
      </c>
      <c r="E53" s="7" t="s">
        <v>132</v>
      </c>
      <c r="F53" s="7" t="s">
        <v>147</v>
      </c>
      <c r="G53" s="7" t="s">
        <v>36</v>
      </c>
      <c r="H53" s="15" t="s">
        <v>160</v>
      </c>
      <c r="I53" s="7" t="s">
        <v>159</v>
      </c>
      <c r="J53" s="15" t="s">
        <v>38</v>
      </c>
      <c r="K53" s="7" t="s">
        <v>161</v>
      </c>
      <c r="L53" s="7">
        <v>1</v>
      </c>
      <c r="N53" s="7">
        <v>1</v>
      </c>
      <c r="O53" s="7">
        <v>0.5</v>
      </c>
      <c r="P53" s="7">
        <v>0.5</v>
      </c>
      <c r="Q53" s="52">
        <f t="shared" si="0"/>
        <v>0.5</v>
      </c>
      <c r="R53" s="7">
        <v>19</v>
      </c>
      <c r="S53" s="7">
        <v>123</v>
      </c>
      <c r="T53" s="16">
        <f t="shared" si="1"/>
        <v>27</v>
      </c>
      <c r="U53" s="7">
        <v>97</v>
      </c>
      <c r="V53" s="16">
        <f t="shared" si="2"/>
        <v>2619</v>
      </c>
      <c r="W53" s="7">
        <v>4</v>
      </c>
      <c r="X53" s="15" t="s">
        <v>46</v>
      </c>
      <c r="Y53" s="54" t="s">
        <v>78</v>
      </c>
      <c r="Z53" s="54" t="s">
        <v>90</v>
      </c>
      <c r="AA53" s="54" t="s">
        <v>102</v>
      </c>
      <c r="AB53" s="39" t="s">
        <v>158</v>
      </c>
      <c r="AC53" s="36"/>
    </row>
    <row r="54" spans="1:29" x14ac:dyDescent="0.15">
      <c r="A54" s="15" t="s">
        <v>156</v>
      </c>
      <c r="B54" s="15" t="s">
        <v>157</v>
      </c>
      <c r="C54" s="15">
        <v>2019</v>
      </c>
      <c r="D54" s="37" t="s">
        <v>165</v>
      </c>
      <c r="E54" s="7" t="s">
        <v>132</v>
      </c>
      <c r="F54" s="7" t="s">
        <v>147</v>
      </c>
      <c r="G54" s="7" t="s">
        <v>36</v>
      </c>
      <c r="H54" s="15" t="s">
        <v>160</v>
      </c>
      <c r="I54" s="7" t="s">
        <v>159</v>
      </c>
      <c r="J54" s="15" t="s">
        <v>38</v>
      </c>
      <c r="K54" s="7" t="s">
        <v>161</v>
      </c>
      <c r="L54" s="7">
        <v>2</v>
      </c>
      <c r="N54" s="7">
        <v>1</v>
      </c>
      <c r="O54" s="7">
        <v>0.5</v>
      </c>
      <c r="P54" s="7">
        <v>0.5</v>
      </c>
      <c r="Q54" s="52">
        <f t="shared" si="0"/>
        <v>0.5</v>
      </c>
      <c r="R54" s="7">
        <v>13</v>
      </c>
      <c r="S54" s="7">
        <v>118</v>
      </c>
      <c r="T54" s="16">
        <f t="shared" si="1"/>
        <v>30</v>
      </c>
      <c r="U54" s="7">
        <v>97</v>
      </c>
      <c r="V54" s="16">
        <f t="shared" si="2"/>
        <v>2910</v>
      </c>
      <c r="W54" s="7">
        <v>4</v>
      </c>
      <c r="X54" s="15" t="s">
        <v>46</v>
      </c>
      <c r="Y54" s="54" t="s">
        <v>78</v>
      </c>
      <c r="Z54" s="54" t="s">
        <v>90</v>
      </c>
      <c r="AA54" s="54" t="s">
        <v>102</v>
      </c>
      <c r="AB54" s="39" t="s">
        <v>158</v>
      </c>
      <c r="AC54" s="36"/>
    </row>
    <row r="55" spans="1:29" x14ac:dyDescent="0.15">
      <c r="A55" s="15" t="s">
        <v>156</v>
      </c>
      <c r="B55" s="15" t="s">
        <v>157</v>
      </c>
      <c r="C55" s="15">
        <v>2019</v>
      </c>
      <c r="D55" s="37" t="s">
        <v>165</v>
      </c>
      <c r="E55" s="7" t="s">
        <v>132</v>
      </c>
      <c r="F55" s="7" t="s">
        <v>147</v>
      </c>
      <c r="G55" s="7" t="s">
        <v>36</v>
      </c>
      <c r="H55" s="15" t="s">
        <v>160</v>
      </c>
      <c r="I55" s="7" t="s">
        <v>159</v>
      </c>
      <c r="J55" s="15" t="s">
        <v>38</v>
      </c>
      <c r="K55" s="7" t="s">
        <v>161</v>
      </c>
      <c r="L55" s="7">
        <v>3</v>
      </c>
      <c r="N55" s="7">
        <v>1</v>
      </c>
      <c r="O55" s="7">
        <v>0.5</v>
      </c>
      <c r="P55" s="7">
        <v>0.5</v>
      </c>
      <c r="Q55" s="52">
        <f t="shared" si="0"/>
        <v>0.5</v>
      </c>
      <c r="R55" s="7">
        <v>14.6</v>
      </c>
      <c r="S55" s="7">
        <v>121</v>
      </c>
      <c r="T55" s="16">
        <f t="shared" si="1"/>
        <v>27</v>
      </c>
      <c r="U55" s="7">
        <v>97</v>
      </c>
      <c r="V55" s="16">
        <f t="shared" si="2"/>
        <v>2619</v>
      </c>
      <c r="W55" s="7">
        <v>4</v>
      </c>
      <c r="X55" s="15" t="s">
        <v>46</v>
      </c>
      <c r="Y55" s="54" t="s">
        <v>78</v>
      </c>
      <c r="Z55" s="54" t="s">
        <v>90</v>
      </c>
      <c r="AA55" s="54" t="s">
        <v>102</v>
      </c>
      <c r="AB55" s="39" t="s">
        <v>158</v>
      </c>
      <c r="AC55" s="36"/>
    </row>
    <row r="56" spans="1:29" x14ac:dyDescent="0.15">
      <c r="A56" s="15" t="s">
        <v>156</v>
      </c>
      <c r="B56" s="15" t="s">
        <v>157</v>
      </c>
      <c r="C56" s="15">
        <v>2019</v>
      </c>
      <c r="D56" s="37" t="s">
        <v>165</v>
      </c>
      <c r="E56" s="7" t="s">
        <v>140</v>
      </c>
      <c r="F56" s="7" t="s">
        <v>148</v>
      </c>
      <c r="G56" s="7" t="s">
        <v>36</v>
      </c>
      <c r="H56" s="15" t="s">
        <v>164</v>
      </c>
      <c r="I56" s="7" t="s">
        <v>159</v>
      </c>
      <c r="J56" s="15" t="s">
        <v>38</v>
      </c>
      <c r="K56" s="7" t="s">
        <v>161</v>
      </c>
      <c r="L56" s="7">
        <v>1</v>
      </c>
      <c r="N56" s="7">
        <v>1</v>
      </c>
      <c r="O56" s="7">
        <v>0.5</v>
      </c>
      <c r="P56" s="7">
        <v>0.5</v>
      </c>
      <c r="Q56" s="52">
        <f t="shared" si="0"/>
        <v>0.5</v>
      </c>
      <c r="R56" s="7">
        <v>14.7</v>
      </c>
      <c r="S56" s="7">
        <v>88</v>
      </c>
      <c r="T56" s="16">
        <f t="shared" si="1"/>
        <v>36</v>
      </c>
      <c r="U56" s="7">
        <v>84</v>
      </c>
      <c r="V56" s="16">
        <f t="shared" si="2"/>
        <v>3024</v>
      </c>
      <c r="W56" s="7">
        <v>3</v>
      </c>
      <c r="X56" s="15" t="s">
        <v>46</v>
      </c>
      <c r="Y56" s="54" t="s">
        <v>90</v>
      </c>
      <c r="Z56" s="54" t="s">
        <v>102</v>
      </c>
      <c r="AA56" s="54" t="s">
        <v>78</v>
      </c>
      <c r="AB56" s="39" t="s">
        <v>158</v>
      </c>
    </row>
    <row r="57" spans="1:29" x14ac:dyDescent="0.15">
      <c r="A57" s="15" t="s">
        <v>156</v>
      </c>
      <c r="B57" s="15" t="s">
        <v>157</v>
      </c>
      <c r="C57" s="15">
        <v>2019</v>
      </c>
      <c r="D57" s="37" t="s">
        <v>165</v>
      </c>
      <c r="E57" s="7" t="s">
        <v>140</v>
      </c>
      <c r="F57" s="7" t="s">
        <v>148</v>
      </c>
      <c r="G57" s="7" t="s">
        <v>36</v>
      </c>
      <c r="H57" s="54" t="s">
        <v>164</v>
      </c>
      <c r="I57" s="7" t="s">
        <v>159</v>
      </c>
      <c r="J57" s="15" t="s">
        <v>38</v>
      </c>
      <c r="K57" s="7" t="s">
        <v>161</v>
      </c>
      <c r="L57" s="7">
        <v>2</v>
      </c>
      <c r="N57" s="7">
        <v>1</v>
      </c>
      <c r="O57" s="7">
        <v>0.5</v>
      </c>
      <c r="P57" s="7">
        <v>0.6</v>
      </c>
      <c r="Q57" s="52">
        <f t="shared" si="0"/>
        <v>0.55000000000000004</v>
      </c>
      <c r="R57" s="7">
        <v>13.6</v>
      </c>
      <c r="S57" s="7">
        <v>86</v>
      </c>
      <c r="T57" s="16">
        <f t="shared" si="1"/>
        <v>36</v>
      </c>
      <c r="U57" s="7">
        <v>84</v>
      </c>
      <c r="V57" s="16">
        <f t="shared" si="2"/>
        <v>3024</v>
      </c>
      <c r="W57" s="7">
        <v>3</v>
      </c>
      <c r="X57" s="15" t="s">
        <v>46</v>
      </c>
      <c r="Y57" s="54" t="s">
        <v>90</v>
      </c>
      <c r="Z57" s="54" t="s">
        <v>102</v>
      </c>
      <c r="AA57" s="54" t="s">
        <v>78</v>
      </c>
      <c r="AB57" s="39" t="s">
        <v>158</v>
      </c>
    </row>
    <row r="58" spans="1:29" x14ac:dyDescent="0.15">
      <c r="A58" s="15" t="s">
        <v>156</v>
      </c>
      <c r="B58" s="15" t="s">
        <v>157</v>
      </c>
      <c r="C58" s="15">
        <v>2019</v>
      </c>
      <c r="D58" s="37" t="s">
        <v>165</v>
      </c>
      <c r="E58" s="7" t="s">
        <v>140</v>
      </c>
      <c r="F58" s="7" t="s">
        <v>148</v>
      </c>
      <c r="G58" s="7" t="s">
        <v>36</v>
      </c>
      <c r="H58" s="54" t="s">
        <v>164</v>
      </c>
      <c r="I58" s="7" t="s">
        <v>159</v>
      </c>
      <c r="J58" s="15" t="s">
        <v>38</v>
      </c>
      <c r="K58" s="7" t="s">
        <v>161</v>
      </c>
      <c r="L58" s="7">
        <v>3</v>
      </c>
      <c r="N58" s="7">
        <v>1</v>
      </c>
      <c r="O58" s="7">
        <v>0.55000000000000004</v>
      </c>
      <c r="P58" s="7">
        <v>0.5</v>
      </c>
      <c r="Q58" s="52">
        <f t="shared" si="0"/>
        <v>0.52500000000000002</v>
      </c>
      <c r="R58" s="7">
        <v>13.5</v>
      </c>
      <c r="S58" s="7">
        <v>85</v>
      </c>
      <c r="T58" s="16">
        <f t="shared" si="1"/>
        <v>36</v>
      </c>
      <c r="U58" s="7">
        <v>84</v>
      </c>
      <c r="V58" s="16">
        <f t="shared" si="2"/>
        <v>3024</v>
      </c>
      <c r="W58" s="7">
        <v>3</v>
      </c>
      <c r="X58" s="15" t="s">
        <v>46</v>
      </c>
      <c r="Y58" s="54" t="s">
        <v>90</v>
      </c>
      <c r="Z58" s="54" t="s">
        <v>102</v>
      </c>
      <c r="AA58" s="54" t="s">
        <v>78</v>
      </c>
      <c r="AB58" s="39" t="s">
        <v>158</v>
      </c>
    </row>
    <row r="59" spans="1:29" x14ac:dyDescent="0.15">
      <c r="A59" s="15" t="s">
        <v>156</v>
      </c>
      <c r="B59" s="15" t="s">
        <v>157</v>
      </c>
      <c r="C59" s="15">
        <v>2019</v>
      </c>
      <c r="D59" s="37" t="s">
        <v>165</v>
      </c>
      <c r="E59" s="7" t="s">
        <v>140</v>
      </c>
      <c r="F59" s="7" t="s">
        <v>148</v>
      </c>
      <c r="G59" s="7" t="s">
        <v>36</v>
      </c>
      <c r="H59" s="15" t="s">
        <v>160</v>
      </c>
      <c r="I59" s="7" t="s">
        <v>159</v>
      </c>
      <c r="J59" s="15" t="s">
        <v>38</v>
      </c>
      <c r="K59" s="7" t="s">
        <v>161</v>
      </c>
      <c r="L59" s="7">
        <v>1</v>
      </c>
      <c r="N59" s="7">
        <v>2</v>
      </c>
      <c r="O59" s="7">
        <v>0.5</v>
      </c>
      <c r="P59" s="7">
        <v>0.5</v>
      </c>
      <c r="Q59" s="52">
        <f t="shared" si="0"/>
        <v>0.5</v>
      </c>
      <c r="R59" s="7">
        <v>15.4</v>
      </c>
      <c r="S59" s="7">
        <v>133</v>
      </c>
      <c r="T59" s="16">
        <f t="shared" si="1"/>
        <v>25</v>
      </c>
      <c r="U59" s="7">
        <v>321</v>
      </c>
      <c r="V59" s="16">
        <f t="shared" si="2"/>
        <v>4012.5</v>
      </c>
      <c r="W59" s="7">
        <v>2</v>
      </c>
      <c r="X59" s="15" t="s">
        <v>46</v>
      </c>
      <c r="Y59" s="54" t="s">
        <v>90</v>
      </c>
      <c r="Z59" s="54" t="s">
        <v>102</v>
      </c>
      <c r="AA59" s="54" t="s">
        <v>78</v>
      </c>
      <c r="AB59" s="39" t="s">
        <v>158</v>
      </c>
    </row>
    <row r="60" spans="1:29" x14ac:dyDescent="0.15">
      <c r="A60" s="15" t="s">
        <v>156</v>
      </c>
      <c r="B60" s="15" t="s">
        <v>157</v>
      </c>
      <c r="C60" s="15">
        <v>2019</v>
      </c>
      <c r="D60" s="37" t="s">
        <v>165</v>
      </c>
      <c r="E60" s="7" t="s">
        <v>140</v>
      </c>
      <c r="F60" s="7" t="s">
        <v>148</v>
      </c>
      <c r="G60" s="7" t="s">
        <v>36</v>
      </c>
      <c r="H60" s="15" t="s">
        <v>160</v>
      </c>
      <c r="I60" s="7" t="s">
        <v>159</v>
      </c>
      <c r="J60" s="15" t="s">
        <v>38</v>
      </c>
      <c r="K60" s="7" t="s">
        <v>161</v>
      </c>
      <c r="L60" s="7">
        <v>2</v>
      </c>
      <c r="N60" s="7">
        <v>2</v>
      </c>
      <c r="O60" s="7">
        <v>0.5</v>
      </c>
      <c r="P60" s="7">
        <v>0.5</v>
      </c>
      <c r="Q60" s="52">
        <f t="shared" si="0"/>
        <v>0.5</v>
      </c>
      <c r="R60" s="7">
        <v>14.8</v>
      </c>
      <c r="S60" s="7">
        <v>133</v>
      </c>
      <c r="T60" s="16">
        <f>IF(H60="","",IF(OR(H60="GREEN",H60="GK"),IF(S60&gt;=$AX$2,VLOOKUP(S60,$AX$2:$AY$12,2,1),""),IF(S60&gt;=$AZ$2,VLOOKUP(S60,$AZ$2:$BA$12,2,1),"")))</f>
        <v>25</v>
      </c>
      <c r="U60" s="7">
        <v>321</v>
      </c>
      <c r="V60" s="16">
        <f t="shared" si="2"/>
        <v>4012.5</v>
      </c>
      <c r="W60" s="7">
        <v>2</v>
      </c>
      <c r="X60" s="15" t="s">
        <v>46</v>
      </c>
      <c r="Y60" s="54" t="s">
        <v>90</v>
      </c>
      <c r="Z60" s="54" t="s">
        <v>102</v>
      </c>
      <c r="AA60" s="54" t="s">
        <v>78</v>
      </c>
      <c r="AB60" s="39" t="s">
        <v>158</v>
      </c>
    </row>
    <row r="61" spans="1:29" x14ac:dyDescent="0.15">
      <c r="A61" s="15" t="s">
        <v>156</v>
      </c>
      <c r="B61" s="15" t="s">
        <v>157</v>
      </c>
      <c r="C61" s="15">
        <v>2019</v>
      </c>
      <c r="D61" s="37" t="s">
        <v>165</v>
      </c>
      <c r="E61" s="7" t="s">
        <v>140</v>
      </c>
      <c r="F61" s="7" t="s">
        <v>148</v>
      </c>
      <c r="G61" s="7" t="s">
        <v>36</v>
      </c>
      <c r="H61" s="15" t="s">
        <v>160</v>
      </c>
      <c r="I61" s="7" t="s">
        <v>159</v>
      </c>
      <c r="J61" s="15" t="s">
        <v>38</v>
      </c>
      <c r="K61" s="7" t="s">
        <v>161</v>
      </c>
      <c r="L61" s="7">
        <v>3</v>
      </c>
      <c r="N61" s="53">
        <v>2</v>
      </c>
      <c r="O61" s="7">
        <v>0.5</v>
      </c>
      <c r="P61" s="7">
        <v>0.5</v>
      </c>
      <c r="Q61" s="52">
        <f t="shared" si="0"/>
        <v>0.5</v>
      </c>
      <c r="R61" s="7">
        <v>15.5</v>
      </c>
      <c r="S61" s="7">
        <v>126</v>
      </c>
      <c r="T61" s="16">
        <f>IF(H61="","",IF(OR(H61="GREEN",H61="GK"),IF(S61&gt;=$AX$2,VLOOKUP(S61,$AX$2:$AY$12,2,1),""),IF(S61&gt;=$AZ$2,VLOOKUP(S61,$AZ$2:$BA$12,2,1),"")))</f>
        <v>27</v>
      </c>
      <c r="U61" s="7">
        <v>321</v>
      </c>
      <c r="V61" s="16">
        <f t="shared" si="2"/>
        <v>4333.5</v>
      </c>
      <c r="W61" s="7">
        <v>2</v>
      </c>
      <c r="X61" s="15" t="s">
        <v>46</v>
      </c>
      <c r="Y61" s="54" t="s">
        <v>90</v>
      </c>
      <c r="Z61" s="54" t="s">
        <v>102</v>
      </c>
      <c r="AA61" s="54" t="s">
        <v>78</v>
      </c>
      <c r="AB61" s="39" t="s">
        <v>158</v>
      </c>
    </row>
    <row r="62" spans="1:29" x14ac:dyDescent="0.15">
      <c r="A62" s="15"/>
      <c r="B62" s="15"/>
      <c r="C62" s="15"/>
      <c r="D62" s="37"/>
      <c r="H62" s="15"/>
      <c r="J62" s="15"/>
      <c r="N62" s="53"/>
      <c r="Q62" s="52" t="str">
        <f t="shared" si="0"/>
        <v/>
      </c>
      <c r="T62" s="16" t="str">
        <f t="shared" ref="T62:T120" si="3">IF(H62="","",IF(OR(H62="GREEN",H62="GK"),IF(S62&gt;=$AX$2,VLOOKUP(S62,$AX$2:$AY$12,2,1),""),IF(S62&gt;=$AZ$2,VLOOKUP(S62,$AZ$2:$BA$12,2,1),"")))</f>
        <v/>
      </c>
      <c r="V62" s="16" t="str">
        <f t="shared" si="2"/>
        <v/>
      </c>
      <c r="X62" s="54"/>
      <c r="Y62" s="54"/>
      <c r="Z62" s="54"/>
      <c r="AA62" s="54"/>
      <c r="AB62" s="39"/>
    </row>
    <row r="63" spans="1:29" x14ac:dyDescent="0.15">
      <c r="A63" s="15"/>
      <c r="B63" s="15"/>
      <c r="C63" s="15"/>
      <c r="D63" s="37"/>
      <c r="H63" s="15"/>
      <c r="J63" s="15"/>
      <c r="N63" s="53"/>
      <c r="Q63" s="52" t="str">
        <f t="shared" si="0"/>
        <v/>
      </c>
      <c r="T63" s="16" t="str">
        <f t="shared" si="3"/>
        <v/>
      </c>
      <c r="V63" s="16" t="str">
        <f t="shared" si="2"/>
        <v/>
      </c>
      <c r="X63" s="54"/>
      <c r="Y63" s="54"/>
      <c r="Z63" s="54"/>
      <c r="AA63" s="54"/>
      <c r="AB63" s="39"/>
    </row>
    <row r="64" spans="1:29" x14ac:dyDescent="0.15">
      <c r="A64" s="15"/>
      <c r="B64" s="15"/>
      <c r="C64" s="15"/>
      <c r="D64" s="37"/>
      <c r="H64" s="15"/>
      <c r="J64" s="15"/>
      <c r="N64" s="53"/>
      <c r="Q64" s="52" t="str">
        <f t="shared" si="0"/>
        <v/>
      </c>
      <c r="T64" s="16" t="str">
        <f t="shared" si="3"/>
        <v/>
      </c>
      <c r="V64" s="16" t="str">
        <f t="shared" si="2"/>
        <v/>
      </c>
      <c r="X64" s="54"/>
      <c r="Y64" s="54"/>
      <c r="Z64" s="54"/>
      <c r="AA64" s="54"/>
      <c r="AB64" s="39"/>
    </row>
    <row r="65" spans="1:28" x14ac:dyDescent="0.15">
      <c r="A65" s="15"/>
      <c r="B65" s="15"/>
      <c r="C65" s="15"/>
      <c r="D65" s="37"/>
      <c r="H65" s="15"/>
      <c r="J65" s="15"/>
      <c r="N65" s="53"/>
      <c r="Q65" s="52" t="str">
        <f t="shared" si="0"/>
        <v/>
      </c>
      <c r="T65" s="16" t="str">
        <f t="shared" si="3"/>
        <v/>
      </c>
      <c r="V65" s="16" t="str">
        <f t="shared" si="2"/>
        <v/>
      </c>
      <c r="X65" s="54"/>
      <c r="Y65" s="54"/>
      <c r="Z65" s="54"/>
      <c r="AA65" s="54"/>
      <c r="AB65" s="39"/>
    </row>
    <row r="66" spans="1:28" x14ac:dyDescent="0.15">
      <c r="A66" s="15"/>
      <c r="B66" s="15"/>
      <c r="C66" s="15"/>
      <c r="D66" s="37"/>
      <c r="H66" s="15"/>
      <c r="J66" s="15"/>
      <c r="Q66" s="52" t="str">
        <f t="shared" ref="Q66:Q77" si="4">IF(OR(O66="",P66=""),"",AVERAGE(O66,P66))</f>
        <v/>
      </c>
      <c r="T66" s="16" t="str">
        <f t="shared" si="3"/>
        <v/>
      </c>
      <c r="V66" s="16" t="str">
        <f t="shared" ref="V66:V70" si="5">IF(OR(N66="",U66="",T66=""),"",U66/N66*T66)</f>
        <v/>
      </c>
      <c r="X66" s="54"/>
      <c r="Y66" s="54"/>
      <c r="Z66" s="54"/>
      <c r="AA66" s="54"/>
      <c r="AB66" s="39"/>
    </row>
    <row r="67" spans="1:28" x14ac:dyDescent="0.15">
      <c r="A67" s="15"/>
      <c r="B67" s="15"/>
      <c r="C67" s="15"/>
      <c r="D67" s="37"/>
      <c r="H67" s="15"/>
      <c r="J67" s="15"/>
      <c r="Q67" s="52" t="str">
        <f t="shared" si="4"/>
        <v/>
      </c>
      <c r="T67" s="16" t="str">
        <f t="shared" si="3"/>
        <v/>
      </c>
      <c r="V67" s="16" t="str">
        <f t="shared" si="5"/>
        <v/>
      </c>
      <c r="X67" s="54"/>
      <c r="Y67" s="54"/>
      <c r="Z67" s="54"/>
      <c r="AA67" s="54"/>
      <c r="AB67" s="39"/>
    </row>
    <row r="68" spans="1:28" x14ac:dyDescent="0.15">
      <c r="A68" s="15"/>
      <c r="B68" s="15"/>
      <c r="C68" s="15"/>
      <c r="D68" s="37"/>
      <c r="H68" s="15"/>
      <c r="J68" s="15"/>
      <c r="Q68" s="52" t="str">
        <f t="shared" si="4"/>
        <v/>
      </c>
      <c r="T68" s="16" t="str">
        <f t="shared" si="3"/>
        <v/>
      </c>
      <c r="V68" s="16" t="str">
        <f t="shared" si="5"/>
        <v/>
      </c>
      <c r="X68" s="54"/>
      <c r="Y68" s="54"/>
      <c r="Z68" s="54"/>
      <c r="AA68" s="54"/>
      <c r="AB68" s="39"/>
    </row>
    <row r="69" spans="1:28" x14ac:dyDescent="0.15">
      <c r="A69" s="15"/>
      <c r="B69" s="15"/>
      <c r="C69" s="15"/>
      <c r="D69" s="37"/>
      <c r="H69" s="54"/>
      <c r="J69" s="15"/>
      <c r="Q69" s="52" t="str">
        <f t="shared" si="4"/>
        <v/>
      </c>
      <c r="T69" s="16" t="str">
        <f t="shared" si="3"/>
        <v/>
      </c>
      <c r="V69" s="16" t="str">
        <f t="shared" si="5"/>
        <v/>
      </c>
      <c r="X69" s="54"/>
      <c r="Y69" s="54"/>
      <c r="Z69" s="54"/>
      <c r="AA69" s="54"/>
      <c r="AB69" s="39"/>
    </row>
    <row r="70" spans="1:28" x14ac:dyDescent="0.15">
      <c r="A70" s="15"/>
      <c r="B70" s="15"/>
      <c r="C70" s="15"/>
      <c r="D70" s="37"/>
      <c r="H70" s="54"/>
      <c r="J70" s="15"/>
      <c r="Q70" s="52" t="str">
        <f t="shared" si="4"/>
        <v/>
      </c>
      <c r="T70" s="16" t="str">
        <f t="shared" si="3"/>
        <v/>
      </c>
      <c r="V70" s="16" t="str">
        <f t="shared" si="5"/>
        <v/>
      </c>
      <c r="X70" s="54"/>
      <c r="Y70" s="54"/>
      <c r="Z70" s="54"/>
      <c r="AA70" s="54"/>
      <c r="AB70" s="39"/>
    </row>
    <row r="71" spans="1:28" x14ac:dyDescent="0.15">
      <c r="A71" s="15"/>
      <c r="B71" s="15"/>
      <c r="C71" s="15"/>
      <c r="D71" s="37"/>
      <c r="H71" s="15"/>
      <c r="J71" s="15"/>
      <c r="Q71" s="52" t="str">
        <f t="shared" si="4"/>
        <v/>
      </c>
      <c r="T71" s="16" t="str">
        <f t="shared" si="3"/>
        <v/>
      </c>
      <c r="V71" s="16" t="str">
        <f>IF(OR(N71="",U71="",T71=""),"",U71/N71*T71)</f>
        <v/>
      </c>
      <c r="X71" s="15"/>
      <c r="Y71" s="15"/>
      <c r="Z71" s="15"/>
      <c r="AA71" s="15"/>
      <c r="AB71" s="39"/>
    </row>
    <row r="72" spans="1:28" x14ac:dyDescent="0.15">
      <c r="A72" s="15"/>
      <c r="B72" s="15"/>
      <c r="C72" s="15"/>
      <c r="D72" s="37"/>
      <c r="H72" s="15"/>
      <c r="J72" s="15"/>
      <c r="Q72" s="52" t="str">
        <f t="shared" si="4"/>
        <v/>
      </c>
      <c r="T72" s="16" t="str">
        <f t="shared" si="3"/>
        <v/>
      </c>
      <c r="V72" s="16" t="str">
        <f t="shared" ref="V72:V74" si="6">IF(OR(N72="",U72="",T72=""),"",U72/N72*T72)</f>
        <v/>
      </c>
      <c r="X72" s="15"/>
      <c r="Y72" s="15"/>
      <c r="Z72" s="15"/>
      <c r="AA72" s="15"/>
      <c r="AB72" s="39"/>
    </row>
    <row r="73" spans="1:28" x14ac:dyDescent="0.15">
      <c r="A73" s="15"/>
      <c r="B73" s="15"/>
      <c r="C73" s="15"/>
      <c r="D73" s="37"/>
      <c r="H73" s="15"/>
      <c r="J73" s="15"/>
      <c r="Q73" s="52" t="str">
        <f t="shared" si="4"/>
        <v/>
      </c>
      <c r="T73" s="16" t="str">
        <f t="shared" si="3"/>
        <v/>
      </c>
      <c r="V73" s="16" t="str">
        <f>IF(OR(N73="",U73="",T73=""),"",U73/N73*T73)</f>
        <v/>
      </c>
      <c r="X73" s="15"/>
      <c r="Y73" s="15"/>
      <c r="Z73" s="15"/>
      <c r="AA73" s="15"/>
      <c r="AB73" s="39"/>
    </row>
    <row r="74" spans="1:28" x14ac:dyDescent="0.15">
      <c r="A74" s="15"/>
      <c r="B74" s="15"/>
      <c r="C74" s="15"/>
      <c r="D74" s="37"/>
      <c r="H74" s="15"/>
      <c r="J74" s="15"/>
      <c r="Q74" s="52" t="str">
        <f t="shared" si="4"/>
        <v/>
      </c>
      <c r="T74" s="16" t="str">
        <f t="shared" si="3"/>
        <v/>
      </c>
      <c r="V74" s="16" t="str">
        <f t="shared" si="6"/>
        <v/>
      </c>
      <c r="X74" s="15"/>
      <c r="Y74" s="15"/>
      <c r="Z74" s="15"/>
      <c r="AA74" s="15"/>
      <c r="AB74" s="39"/>
    </row>
    <row r="75" spans="1:28" x14ac:dyDescent="0.15">
      <c r="A75" s="15"/>
      <c r="B75" s="15"/>
      <c r="C75" s="15"/>
      <c r="D75" s="37"/>
      <c r="H75" s="15"/>
      <c r="J75" s="15"/>
      <c r="Q75" s="52" t="str">
        <f t="shared" si="4"/>
        <v/>
      </c>
      <c r="T75" s="16" t="str">
        <f t="shared" si="3"/>
        <v/>
      </c>
      <c r="V75" s="16" t="str">
        <f>IF(OR(N75="",U75="",T75=""),"",U75/N75*T75)</f>
        <v/>
      </c>
      <c r="X75" s="15"/>
      <c r="Y75" s="15"/>
      <c r="Z75" s="15"/>
      <c r="AA75" s="15"/>
      <c r="AB75" s="39"/>
    </row>
    <row r="76" spans="1:28" x14ac:dyDescent="0.15">
      <c r="A76" s="15"/>
      <c r="B76" s="15"/>
      <c r="C76" s="15"/>
      <c r="D76" s="37"/>
      <c r="H76" s="15"/>
      <c r="J76" s="15"/>
      <c r="Q76" s="52" t="str">
        <f t="shared" si="4"/>
        <v/>
      </c>
      <c r="T76" s="16" t="str">
        <f t="shared" si="3"/>
        <v/>
      </c>
      <c r="V76" s="16" t="str">
        <f>IF(OR(N76="",U76="",T76=""),"",U76/N76*T76)</f>
        <v/>
      </c>
      <c r="X76" s="15"/>
      <c r="Y76" s="15"/>
      <c r="Z76" s="15"/>
      <c r="AA76" s="15"/>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xr:uid="{00000000-0009-0000-0000-00000000000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xr:uid="{00000000-0002-0000-0000-00000000000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xr:uid="{00000000-0002-0000-0000-000001000000}"/>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xr:uid="{00000000-0002-0000-0000-000002000000}">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xr:uid="{00000000-0002-0000-0000-000003000000}">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xr:uid="{00000000-0002-0000-0000-000004000000}">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xr:uid="{00000000-0002-0000-0000-000005000000}">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xr:uid="{00000000-0002-0000-0000-000006000000}">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xr:uid="{00000000-0002-0000-0000-000007000000}">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xr:uid="{00000000-0002-0000-0000-000008000000}">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xr:uid="{00000000-0002-0000-0000-000009000000}">
      <formula1>$AV$2:$AV$20</formula1>
    </dataValidation>
    <dataValidation type="list" allowBlank="1" showInputMessage="1" showErrorMessage="1" sqref="H2:H497" xr:uid="{00000000-0002-0000-0000-00000A000000}">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xr:uid="{00000000-0002-0000-0000-00000B000000}">
      <formula1>$AH$2:$AH$10</formula1>
    </dataValidation>
    <dataValidation type="list" allowBlank="1" showInputMessage="1" showErrorMessage="1" sqref="J2:J497" xr:uid="{00000000-0002-0000-0000-00000C000000}">
      <formula1>$AP$2:$AP$27</formula1>
    </dataValidation>
    <dataValidation type="list" allowBlank="1" showInputMessage="1" showErrorMessage="1" sqref="A3:A497" xr:uid="{00000000-0002-0000-0000-00000D000000}">
      <formula1>$AE$2:$AE$19</formula1>
    </dataValidation>
    <dataValidation type="list" allowBlank="1" showInputMessage="1" showErrorMessage="1" sqref="K127:K497" xr:uid="{00000000-0002-0000-0000-00000E000000}">
      <formula1>$AR$2:$AR$25</formula1>
    </dataValidation>
    <dataValidation type="list" allowBlank="1" showInputMessage="1" showErrorMessage="1" sqref="Y2:AA497" xr:uid="{00000000-0002-0000-0000-00000F000000}">
      <formula1>$AV$2:$AV$21</formula1>
    </dataValidation>
    <dataValidation type="decimal" allowBlank="1" showInputMessage="1" showErrorMessage="1" error="硬度を正しく入力して下さい。" sqref="O2:P497" xr:uid="{00000000-0002-0000-0000-000010000000}">
      <formula1>0</formula1>
      <formula2>7</formula2>
    </dataValidation>
    <dataValidation type="list" allowBlank="1" showInputMessage="1" showErrorMessage="1" sqref="F1:F1048576" xr:uid="{00000000-0002-0000-0000-000011000000}">
      <formula1>$AH$2:$AH$11</formula1>
    </dataValidation>
    <dataValidation type="list" allowBlank="1" showInputMessage="1" showErrorMessage="1" sqref="K2:K126" xr:uid="{00000000-0002-0000-0000-000012000000}">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B6320-5F7A-496E-A3C5-058A9C2BD2DB}">
  <dimension ref="A1:BA381"/>
  <sheetViews>
    <sheetView topLeftCell="A94" zoomScale="70" zoomScaleNormal="70" workbookViewId="0">
      <selection activeCell="AD46" sqref="AD46"/>
    </sheetView>
  </sheetViews>
  <sheetFormatPr defaultColWidth="9" defaultRowHeight="13.5" x14ac:dyDescent="0.15"/>
  <cols>
    <col min="1" max="3" width="9" style="53"/>
    <col min="4" max="4" width="11" style="53" customWidth="1"/>
    <col min="5" max="5" width="10.875" style="53" customWidth="1"/>
    <col min="6" max="16" width="9" style="53"/>
    <col min="17" max="17" width="9" style="16"/>
    <col min="18" max="18" width="9" style="53"/>
    <col min="19" max="19" width="11.625" style="53" customWidth="1"/>
    <col min="20" max="20" width="9" style="16"/>
    <col min="21" max="21" width="9" style="53"/>
    <col min="22" max="22" width="9" style="16"/>
    <col min="23" max="32" width="9" style="53"/>
    <col min="33" max="33" width="14.375" style="53" customWidth="1"/>
    <col min="34" max="34" width="11.375" style="53" customWidth="1"/>
    <col min="35" max="16384" width="9" style="53"/>
  </cols>
  <sheetData>
    <row r="1" spans="1:53" ht="45" x14ac:dyDescent="0.15">
      <c r="A1" s="44" t="s">
        <v>0</v>
      </c>
      <c r="B1" s="55" t="s">
        <v>167</v>
      </c>
      <c r="C1" s="55" t="s">
        <v>168</v>
      </c>
      <c r="D1" s="56" t="s">
        <v>3</v>
      </c>
      <c r="E1" s="45" t="s">
        <v>4</v>
      </c>
      <c r="F1" s="45" t="s">
        <v>5</v>
      </c>
      <c r="G1" s="45" t="s">
        <v>6</v>
      </c>
      <c r="H1" s="45" t="s">
        <v>7</v>
      </c>
      <c r="I1" s="45" t="s">
        <v>8</v>
      </c>
      <c r="J1" s="45" t="s">
        <v>9</v>
      </c>
      <c r="K1" s="45" t="s">
        <v>10</v>
      </c>
      <c r="L1" s="56" t="s">
        <v>169</v>
      </c>
      <c r="M1" s="56" t="s">
        <v>170</v>
      </c>
      <c r="N1" s="56" t="s">
        <v>13</v>
      </c>
      <c r="O1" s="56" t="s">
        <v>171</v>
      </c>
      <c r="P1" s="56" t="s">
        <v>172</v>
      </c>
      <c r="Q1" s="57" t="s">
        <v>173</v>
      </c>
      <c r="R1" s="56" t="s">
        <v>174</v>
      </c>
      <c r="S1" s="56" t="s">
        <v>175</v>
      </c>
      <c r="T1" s="57" t="s">
        <v>19</v>
      </c>
      <c r="U1" s="58" t="s">
        <v>108</v>
      </c>
      <c r="V1" s="59" t="s">
        <v>20</v>
      </c>
      <c r="W1" s="56" t="s">
        <v>176</v>
      </c>
      <c r="X1" s="45" t="s">
        <v>22</v>
      </c>
      <c r="Y1" s="45" t="s">
        <v>23</v>
      </c>
      <c r="Z1" s="45" t="s">
        <v>24</v>
      </c>
      <c r="AA1" s="45" t="s">
        <v>25</v>
      </c>
      <c r="AB1" s="46" t="s">
        <v>177</v>
      </c>
      <c r="AE1" s="60" t="s">
        <v>0</v>
      </c>
      <c r="AF1" s="61"/>
      <c r="AG1" s="60" t="s">
        <v>4</v>
      </c>
      <c r="AH1" s="60" t="s">
        <v>5</v>
      </c>
      <c r="AI1" s="61"/>
      <c r="AJ1" s="60" t="s">
        <v>6</v>
      </c>
      <c r="AK1" s="61"/>
      <c r="AL1" s="10" t="s">
        <v>7</v>
      </c>
      <c r="AM1" s="61"/>
      <c r="AN1" s="10" t="s">
        <v>8</v>
      </c>
      <c r="AO1" s="61"/>
      <c r="AP1" s="10" t="s">
        <v>27</v>
      </c>
      <c r="AQ1" s="61"/>
      <c r="AR1" s="10" t="s">
        <v>10</v>
      </c>
      <c r="AS1" s="61"/>
      <c r="AT1" s="11" t="s">
        <v>178</v>
      </c>
      <c r="AU1" s="61"/>
      <c r="AV1" s="10" t="s">
        <v>29</v>
      </c>
      <c r="AX1" s="12" t="s">
        <v>179</v>
      </c>
      <c r="AY1" s="13" t="s">
        <v>180</v>
      </c>
      <c r="AZ1" s="13" t="s">
        <v>181</v>
      </c>
      <c r="BA1" s="14" t="s">
        <v>182</v>
      </c>
    </row>
    <row r="2" spans="1:53" x14ac:dyDescent="0.15">
      <c r="A2" s="53" t="s">
        <v>41</v>
      </c>
      <c r="B2" s="53" t="s">
        <v>157</v>
      </c>
      <c r="C2" s="62">
        <v>2019</v>
      </c>
      <c r="D2" s="63" t="s">
        <v>165</v>
      </c>
      <c r="E2" s="53" t="s">
        <v>133</v>
      </c>
      <c r="F2" s="53" t="s">
        <v>183</v>
      </c>
      <c r="G2" s="53" t="s">
        <v>42</v>
      </c>
      <c r="H2" s="53" t="s">
        <v>164</v>
      </c>
      <c r="I2" s="53" t="s">
        <v>159</v>
      </c>
      <c r="J2" s="53" t="s">
        <v>38</v>
      </c>
      <c r="K2" s="53" t="s">
        <v>161</v>
      </c>
      <c r="L2" s="53">
        <v>1</v>
      </c>
      <c r="N2" s="53">
        <v>1</v>
      </c>
      <c r="O2" s="53">
        <v>1.05</v>
      </c>
      <c r="P2" s="53">
        <v>1</v>
      </c>
      <c r="Q2" s="16">
        <f t="shared" ref="Q2:Q65" si="0">IF(OR(O2="",P2=""),"",AVERAGE(O2,P2))</f>
        <v>1.0249999999999999</v>
      </c>
      <c r="R2" s="53">
        <v>12.6</v>
      </c>
      <c r="S2" s="53">
        <v>128</v>
      </c>
      <c r="T2" s="16">
        <f t="shared" ref="T2:T65" si="1">IF(H2="","",IF(OR(H2="GREEN",H2="GK"),IF(S2&gt;=$AX$2,VLOOKUP(S2,$AX$2:$AY$10,2,1),""),IF(S2&gt;=$AZ$2,VLOOKUP(S2,$AZ$2:$BA$10,2,1),"")))</f>
        <v>27</v>
      </c>
      <c r="U2" s="53">
        <v>105</v>
      </c>
      <c r="V2" s="16">
        <f t="shared" ref="V2:V65" si="2">IF(OR(N2="",U2="",T2=""),"",U2/N2*T2)</f>
        <v>2835</v>
      </c>
      <c r="W2" s="53">
        <v>3</v>
      </c>
      <c r="X2" s="53" t="s">
        <v>46</v>
      </c>
      <c r="Y2" s="53" t="s">
        <v>102</v>
      </c>
      <c r="Z2" s="53" t="s">
        <v>69</v>
      </c>
      <c r="AA2" s="53" t="s">
        <v>78</v>
      </c>
      <c r="AB2" s="53" t="s">
        <v>158</v>
      </c>
      <c r="AE2" s="64" t="s">
        <v>35</v>
      </c>
      <c r="AG2" s="65" t="s">
        <v>133</v>
      </c>
      <c r="AH2" s="66" t="s">
        <v>183</v>
      </c>
      <c r="AJ2" s="67" t="s">
        <v>36</v>
      </c>
      <c r="AL2" s="67" t="s">
        <v>184</v>
      </c>
      <c r="AN2" s="67" t="s">
        <v>37</v>
      </c>
      <c r="AP2" s="67" t="s">
        <v>38</v>
      </c>
      <c r="AR2" s="67" t="s">
        <v>161</v>
      </c>
      <c r="AT2" s="67" t="s">
        <v>39</v>
      </c>
      <c r="AV2" s="67" t="s">
        <v>40</v>
      </c>
      <c r="AX2" s="68">
        <v>1</v>
      </c>
      <c r="AY2" s="69">
        <v>50</v>
      </c>
      <c r="AZ2" s="69">
        <v>1</v>
      </c>
      <c r="BA2" s="70">
        <v>50</v>
      </c>
    </row>
    <row r="3" spans="1:53" x14ac:dyDescent="0.15">
      <c r="A3" s="53" t="s">
        <v>41</v>
      </c>
      <c r="B3" s="53" t="s">
        <v>157</v>
      </c>
      <c r="C3" s="62">
        <v>2019</v>
      </c>
      <c r="D3" s="63" t="s">
        <v>165</v>
      </c>
      <c r="E3" s="53" t="s">
        <v>133</v>
      </c>
      <c r="F3" s="53" t="s">
        <v>183</v>
      </c>
      <c r="G3" s="53" t="s">
        <v>42</v>
      </c>
      <c r="H3" s="53" t="s">
        <v>164</v>
      </c>
      <c r="I3" s="53" t="s">
        <v>159</v>
      </c>
      <c r="J3" s="53" t="s">
        <v>38</v>
      </c>
      <c r="K3" s="53" t="s">
        <v>161</v>
      </c>
      <c r="L3" s="53">
        <v>2</v>
      </c>
      <c r="N3" s="53">
        <v>1</v>
      </c>
      <c r="O3" s="53">
        <v>0.8</v>
      </c>
      <c r="P3" s="53">
        <v>0.8</v>
      </c>
      <c r="Q3" s="16">
        <f t="shared" si="0"/>
        <v>0.8</v>
      </c>
      <c r="R3" s="53">
        <v>13.4</v>
      </c>
      <c r="S3" s="53">
        <v>127</v>
      </c>
      <c r="T3" s="16">
        <f t="shared" si="1"/>
        <v>27</v>
      </c>
      <c r="U3" s="53">
        <v>105</v>
      </c>
      <c r="V3" s="16">
        <f t="shared" si="2"/>
        <v>2835</v>
      </c>
      <c r="W3" s="53">
        <v>3</v>
      </c>
      <c r="X3" s="53" t="s">
        <v>46</v>
      </c>
      <c r="Y3" s="53" t="s">
        <v>102</v>
      </c>
      <c r="Z3" s="53" t="s">
        <v>69</v>
      </c>
      <c r="AA3" s="53" t="s">
        <v>78</v>
      </c>
      <c r="AB3" s="53" t="s">
        <v>158</v>
      </c>
      <c r="AE3" s="22" t="s">
        <v>41</v>
      </c>
      <c r="AG3" s="71" t="s">
        <v>185</v>
      </c>
      <c r="AH3" s="71" t="s">
        <v>183</v>
      </c>
      <c r="AJ3" s="23" t="s">
        <v>42</v>
      </c>
      <c r="AL3" s="23" t="s">
        <v>186</v>
      </c>
      <c r="AN3" s="23" t="s">
        <v>43</v>
      </c>
      <c r="AP3" s="23" t="s">
        <v>44</v>
      </c>
      <c r="AR3" s="23" t="s">
        <v>45</v>
      </c>
      <c r="AT3" s="23" t="s">
        <v>46</v>
      </c>
      <c r="AV3" s="23" t="s">
        <v>47</v>
      </c>
      <c r="AX3" s="24">
        <v>72</v>
      </c>
      <c r="AY3" s="25">
        <v>46</v>
      </c>
      <c r="AZ3" s="25">
        <v>71</v>
      </c>
      <c r="BA3" s="26">
        <v>42</v>
      </c>
    </row>
    <row r="4" spans="1:53" x14ac:dyDescent="0.15">
      <c r="A4" s="53" t="s">
        <v>41</v>
      </c>
      <c r="B4" s="53" t="s">
        <v>157</v>
      </c>
      <c r="C4" s="62">
        <v>2019</v>
      </c>
      <c r="D4" s="63" t="s">
        <v>165</v>
      </c>
      <c r="E4" s="53" t="s">
        <v>133</v>
      </c>
      <c r="F4" s="53" t="s">
        <v>183</v>
      </c>
      <c r="G4" s="53" t="s">
        <v>42</v>
      </c>
      <c r="H4" s="53" t="s">
        <v>164</v>
      </c>
      <c r="I4" s="53" t="s">
        <v>159</v>
      </c>
      <c r="J4" s="53" t="s">
        <v>38</v>
      </c>
      <c r="K4" s="53" t="s">
        <v>161</v>
      </c>
      <c r="L4" s="53">
        <v>3</v>
      </c>
      <c r="N4" s="53">
        <v>1</v>
      </c>
      <c r="O4" s="53">
        <v>0.95</v>
      </c>
      <c r="P4" s="53">
        <v>1</v>
      </c>
      <c r="Q4" s="16">
        <f t="shared" si="0"/>
        <v>0.97499999999999998</v>
      </c>
      <c r="R4" s="53">
        <v>13.5</v>
      </c>
      <c r="S4" s="53">
        <v>125</v>
      </c>
      <c r="T4" s="16">
        <f t="shared" si="1"/>
        <v>27</v>
      </c>
      <c r="U4" s="53">
        <v>105</v>
      </c>
      <c r="V4" s="16">
        <f t="shared" si="2"/>
        <v>2835</v>
      </c>
      <c r="W4" s="53">
        <v>3</v>
      </c>
      <c r="X4" s="53" t="s">
        <v>46</v>
      </c>
      <c r="Y4" s="53" t="s">
        <v>102</v>
      </c>
      <c r="Z4" s="53" t="s">
        <v>69</v>
      </c>
      <c r="AA4" s="53" t="s">
        <v>78</v>
      </c>
      <c r="AB4" s="53" t="s">
        <v>158</v>
      </c>
      <c r="AE4" s="22" t="s">
        <v>34</v>
      </c>
      <c r="AG4" s="71" t="s">
        <v>185</v>
      </c>
      <c r="AH4" s="71" t="s">
        <v>187</v>
      </c>
      <c r="AJ4" s="27" t="s">
        <v>48</v>
      </c>
      <c r="AL4" s="27" t="s">
        <v>188</v>
      </c>
      <c r="AN4" s="28" t="s">
        <v>189</v>
      </c>
      <c r="AP4" s="23" t="s">
        <v>190</v>
      </c>
      <c r="AR4" s="23" t="s">
        <v>191</v>
      </c>
      <c r="AT4" s="28"/>
      <c r="AV4" s="23" t="s">
        <v>50</v>
      </c>
      <c r="AX4" s="24">
        <v>75</v>
      </c>
      <c r="AY4" s="25">
        <v>42</v>
      </c>
      <c r="AZ4" s="25">
        <v>76</v>
      </c>
      <c r="BA4" s="26">
        <v>39</v>
      </c>
    </row>
    <row r="5" spans="1:53" ht="13.5" customHeight="1" x14ac:dyDescent="0.15">
      <c r="A5" s="53" t="s">
        <v>41</v>
      </c>
      <c r="B5" s="53" t="s">
        <v>157</v>
      </c>
      <c r="C5" s="62">
        <v>2019</v>
      </c>
      <c r="D5" s="63" t="s">
        <v>165</v>
      </c>
      <c r="E5" s="53" t="s">
        <v>133</v>
      </c>
      <c r="F5" s="53" t="s">
        <v>183</v>
      </c>
      <c r="G5" s="53" t="s">
        <v>42</v>
      </c>
      <c r="H5" s="53" t="s">
        <v>164</v>
      </c>
      <c r="I5" s="53" t="s">
        <v>159</v>
      </c>
      <c r="J5" s="53" t="s">
        <v>38</v>
      </c>
      <c r="K5" s="53" t="s">
        <v>161</v>
      </c>
      <c r="L5" s="53">
        <v>1</v>
      </c>
      <c r="N5" s="53">
        <v>8</v>
      </c>
      <c r="O5" s="53">
        <v>0.45</v>
      </c>
      <c r="P5" s="53">
        <v>0.5</v>
      </c>
      <c r="Q5" s="72">
        <f t="shared" si="0"/>
        <v>0.47499999999999998</v>
      </c>
      <c r="R5" s="53">
        <v>12.5</v>
      </c>
      <c r="S5" s="53">
        <v>115</v>
      </c>
      <c r="T5" s="16">
        <f t="shared" si="1"/>
        <v>30</v>
      </c>
      <c r="U5" s="53">
        <v>645</v>
      </c>
      <c r="V5" s="16">
        <f t="shared" si="2"/>
        <v>2418.75</v>
      </c>
      <c r="W5" s="53">
        <v>3</v>
      </c>
      <c r="X5" s="53" t="s">
        <v>46</v>
      </c>
      <c r="Y5" s="53" t="s">
        <v>102</v>
      </c>
      <c r="Z5" s="53" t="s">
        <v>69</v>
      </c>
      <c r="AA5" s="53" t="s">
        <v>78</v>
      </c>
      <c r="AB5" s="53" t="s">
        <v>158</v>
      </c>
      <c r="AE5" s="22" t="s">
        <v>51</v>
      </c>
      <c r="AG5" s="71" t="s">
        <v>192</v>
      </c>
      <c r="AH5" s="71" t="s">
        <v>183</v>
      </c>
      <c r="AJ5" s="28"/>
      <c r="AL5" s="73" t="s">
        <v>164</v>
      </c>
      <c r="AN5" s="73" t="s">
        <v>159</v>
      </c>
      <c r="AP5" s="23" t="s">
        <v>193</v>
      </c>
      <c r="AR5" s="23" t="s">
        <v>54</v>
      </c>
      <c r="AV5" s="23" t="s">
        <v>55</v>
      </c>
      <c r="AX5" s="24">
        <v>84</v>
      </c>
      <c r="AY5" s="25">
        <v>39</v>
      </c>
      <c r="AZ5" s="25">
        <v>84</v>
      </c>
      <c r="BA5" s="26">
        <v>36</v>
      </c>
    </row>
    <row r="6" spans="1:53" x14ac:dyDescent="0.15">
      <c r="A6" s="53" t="s">
        <v>41</v>
      </c>
      <c r="B6" s="53" t="s">
        <v>157</v>
      </c>
      <c r="C6" s="62">
        <v>2019</v>
      </c>
      <c r="D6" s="63" t="s">
        <v>165</v>
      </c>
      <c r="E6" s="53" t="s">
        <v>133</v>
      </c>
      <c r="F6" s="53" t="s">
        <v>183</v>
      </c>
      <c r="G6" s="53" t="s">
        <v>42</v>
      </c>
      <c r="H6" s="53" t="s">
        <v>164</v>
      </c>
      <c r="I6" s="53" t="s">
        <v>159</v>
      </c>
      <c r="J6" s="53" t="s">
        <v>38</v>
      </c>
      <c r="K6" s="53" t="s">
        <v>161</v>
      </c>
      <c r="L6" s="53">
        <v>2</v>
      </c>
      <c r="N6" s="53">
        <v>8</v>
      </c>
      <c r="O6" s="53">
        <v>0.65</v>
      </c>
      <c r="P6" s="53">
        <v>0.65</v>
      </c>
      <c r="Q6" s="72">
        <f t="shared" si="0"/>
        <v>0.65</v>
      </c>
      <c r="R6" s="53">
        <v>12.4</v>
      </c>
      <c r="S6" s="53">
        <v>111</v>
      </c>
      <c r="T6" s="16">
        <f t="shared" si="1"/>
        <v>33</v>
      </c>
      <c r="U6" s="53">
        <v>645</v>
      </c>
      <c r="V6" s="16">
        <f t="shared" si="2"/>
        <v>2660.625</v>
      </c>
      <c r="W6" s="53">
        <v>3</v>
      </c>
      <c r="X6" s="53" t="s">
        <v>46</v>
      </c>
      <c r="Y6" s="53" t="s">
        <v>102</v>
      </c>
      <c r="Z6" s="53" t="s">
        <v>69</v>
      </c>
      <c r="AA6" s="53" t="s">
        <v>78</v>
      </c>
      <c r="AB6" s="53" t="s">
        <v>158</v>
      </c>
      <c r="AE6" s="22" t="s">
        <v>56</v>
      </c>
      <c r="AG6" s="71" t="s">
        <v>192</v>
      </c>
      <c r="AH6" s="71" t="s">
        <v>194</v>
      </c>
      <c r="AL6" s="73" t="s">
        <v>195</v>
      </c>
      <c r="AN6" s="73" t="s">
        <v>196</v>
      </c>
      <c r="AP6" s="23" t="s">
        <v>53</v>
      </c>
      <c r="AR6" s="23" t="s">
        <v>59</v>
      </c>
      <c r="AV6" s="23" t="s">
        <v>60</v>
      </c>
      <c r="AX6" s="24">
        <v>97</v>
      </c>
      <c r="AY6" s="25">
        <v>36</v>
      </c>
      <c r="AZ6" s="25">
        <v>99</v>
      </c>
      <c r="BA6" s="26">
        <v>33</v>
      </c>
    </row>
    <row r="7" spans="1:53" x14ac:dyDescent="0.15">
      <c r="A7" s="53" t="s">
        <v>41</v>
      </c>
      <c r="B7" s="53" t="s">
        <v>157</v>
      </c>
      <c r="C7" s="62">
        <v>2019</v>
      </c>
      <c r="D7" s="63" t="s">
        <v>165</v>
      </c>
      <c r="E7" s="53" t="s">
        <v>133</v>
      </c>
      <c r="F7" s="53" t="s">
        <v>183</v>
      </c>
      <c r="G7" s="53" t="s">
        <v>42</v>
      </c>
      <c r="H7" s="53" t="s">
        <v>164</v>
      </c>
      <c r="I7" s="53" t="s">
        <v>159</v>
      </c>
      <c r="J7" s="53" t="s">
        <v>38</v>
      </c>
      <c r="K7" s="53" t="s">
        <v>161</v>
      </c>
      <c r="L7" s="53">
        <v>3</v>
      </c>
      <c r="N7" s="53">
        <v>8</v>
      </c>
      <c r="O7" s="53">
        <v>0.6</v>
      </c>
      <c r="P7" s="53">
        <v>0.45</v>
      </c>
      <c r="Q7" s="72">
        <f t="shared" si="0"/>
        <v>0.52500000000000002</v>
      </c>
      <c r="R7" s="53">
        <v>15.2</v>
      </c>
      <c r="S7" s="53">
        <v>114</v>
      </c>
      <c r="T7" s="16">
        <f t="shared" si="1"/>
        <v>30</v>
      </c>
      <c r="U7" s="53">
        <v>645</v>
      </c>
      <c r="V7" s="16">
        <f t="shared" si="2"/>
        <v>2418.75</v>
      </c>
      <c r="W7" s="53">
        <v>3</v>
      </c>
      <c r="X7" s="53" t="s">
        <v>46</v>
      </c>
      <c r="Y7" s="53" t="s">
        <v>102</v>
      </c>
      <c r="Z7" s="53" t="s">
        <v>69</v>
      </c>
      <c r="AA7" s="53" t="s">
        <v>78</v>
      </c>
      <c r="AB7" s="53" t="s">
        <v>158</v>
      </c>
      <c r="AE7" s="22" t="s">
        <v>61</v>
      </c>
      <c r="AG7" s="71" t="s">
        <v>197</v>
      </c>
      <c r="AH7" s="71" t="s">
        <v>194</v>
      </c>
      <c r="AL7" s="74" t="s">
        <v>198</v>
      </c>
      <c r="AP7" s="23" t="s">
        <v>58</v>
      </c>
      <c r="AR7" s="23" t="s">
        <v>199</v>
      </c>
      <c r="AV7" s="23" t="s">
        <v>64</v>
      </c>
      <c r="AX7" s="24">
        <v>109</v>
      </c>
      <c r="AY7" s="25">
        <v>33</v>
      </c>
      <c r="AZ7" s="25">
        <v>113</v>
      </c>
      <c r="BA7" s="26">
        <v>30</v>
      </c>
    </row>
    <row r="8" spans="1:53" x14ac:dyDescent="0.15">
      <c r="A8" s="53" t="s">
        <v>41</v>
      </c>
      <c r="B8" s="53" t="s">
        <v>157</v>
      </c>
      <c r="C8" s="62">
        <v>2019</v>
      </c>
      <c r="D8" s="63" t="s">
        <v>165</v>
      </c>
      <c r="E8" s="53" t="s">
        <v>133</v>
      </c>
      <c r="F8" s="53" t="s">
        <v>183</v>
      </c>
      <c r="G8" s="53" t="s">
        <v>42</v>
      </c>
      <c r="H8" s="53" t="s">
        <v>160</v>
      </c>
      <c r="I8" s="53" t="s">
        <v>159</v>
      </c>
      <c r="J8" s="53" t="s">
        <v>38</v>
      </c>
      <c r="K8" s="53" t="s">
        <v>161</v>
      </c>
      <c r="L8" s="53">
        <v>1</v>
      </c>
      <c r="N8" s="53">
        <v>1</v>
      </c>
      <c r="O8" s="53">
        <v>0.4</v>
      </c>
      <c r="P8" s="53">
        <v>0.5</v>
      </c>
      <c r="Q8" s="75">
        <f t="shared" si="0"/>
        <v>0.45</v>
      </c>
      <c r="R8" s="53">
        <v>16.2</v>
      </c>
      <c r="S8" s="53">
        <v>126</v>
      </c>
      <c r="T8" s="16">
        <f t="shared" si="1"/>
        <v>27</v>
      </c>
      <c r="U8" s="53">
        <v>139</v>
      </c>
      <c r="V8" s="16">
        <f t="shared" si="2"/>
        <v>3753</v>
      </c>
      <c r="W8" s="53">
        <v>2</v>
      </c>
      <c r="X8" s="53" t="s">
        <v>46</v>
      </c>
      <c r="Y8" s="53" t="s">
        <v>102</v>
      </c>
      <c r="Z8" s="53" t="s">
        <v>69</v>
      </c>
      <c r="AA8" s="53" t="s">
        <v>78</v>
      </c>
      <c r="AB8" s="53" t="s">
        <v>158</v>
      </c>
      <c r="AE8" s="22" t="s">
        <v>59</v>
      </c>
      <c r="AG8" s="71" t="s">
        <v>200</v>
      </c>
      <c r="AH8" s="71" t="s">
        <v>201</v>
      </c>
      <c r="AL8" s="74" t="s">
        <v>160</v>
      </c>
      <c r="AP8" s="23" t="s">
        <v>62</v>
      </c>
      <c r="AR8" s="23" t="s">
        <v>81</v>
      </c>
      <c r="AV8" s="23" t="s">
        <v>97</v>
      </c>
      <c r="AX8" s="24">
        <v>119</v>
      </c>
      <c r="AY8" s="25">
        <v>30</v>
      </c>
      <c r="AZ8" s="25">
        <v>121</v>
      </c>
      <c r="BA8" s="26">
        <v>27</v>
      </c>
    </row>
    <row r="9" spans="1:53" x14ac:dyDescent="0.15">
      <c r="A9" s="53" t="s">
        <v>41</v>
      </c>
      <c r="B9" s="53" t="s">
        <v>157</v>
      </c>
      <c r="C9" s="62">
        <v>2019</v>
      </c>
      <c r="D9" s="63" t="s">
        <v>165</v>
      </c>
      <c r="E9" s="53" t="s">
        <v>133</v>
      </c>
      <c r="F9" s="53" t="s">
        <v>183</v>
      </c>
      <c r="G9" s="53" t="s">
        <v>42</v>
      </c>
      <c r="H9" s="53" t="s">
        <v>160</v>
      </c>
      <c r="I9" s="53" t="s">
        <v>159</v>
      </c>
      <c r="J9" s="53" t="s">
        <v>38</v>
      </c>
      <c r="K9" s="53" t="s">
        <v>161</v>
      </c>
      <c r="L9" s="53">
        <v>2</v>
      </c>
      <c r="M9" s="76"/>
      <c r="N9" s="53">
        <v>1</v>
      </c>
      <c r="O9" s="53">
        <v>0.3</v>
      </c>
      <c r="P9" s="53">
        <v>0.4</v>
      </c>
      <c r="Q9" s="75">
        <f t="shared" si="0"/>
        <v>0.35</v>
      </c>
      <c r="R9" s="53">
        <v>14.2</v>
      </c>
      <c r="S9" s="53">
        <v>128</v>
      </c>
      <c r="T9" s="16">
        <f t="shared" si="1"/>
        <v>27</v>
      </c>
      <c r="U9" s="53">
        <v>139</v>
      </c>
      <c r="V9" s="16">
        <f t="shared" si="2"/>
        <v>3753</v>
      </c>
      <c r="W9" s="53">
        <v>2</v>
      </c>
      <c r="X9" s="53" t="s">
        <v>46</v>
      </c>
      <c r="Y9" s="53" t="s">
        <v>102</v>
      </c>
      <c r="Z9" s="53" t="s">
        <v>69</v>
      </c>
      <c r="AA9" s="53" t="s">
        <v>78</v>
      </c>
      <c r="AB9" s="53" t="s">
        <v>158</v>
      </c>
      <c r="AE9" s="22" t="s">
        <v>202</v>
      </c>
      <c r="AG9" s="71" t="s">
        <v>203</v>
      </c>
      <c r="AH9" s="71" t="s">
        <v>204</v>
      </c>
      <c r="AL9" s="73"/>
      <c r="AP9" s="23" t="s">
        <v>95</v>
      </c>
      <c r="AR9" s="23" t="s">
        <v>205</v>
      </c>
      <c r="AV9" s="23" t="s">
        <v>102</v>
      </c>
      <c r="AX9" s="24">
        <v>128</v>
      </c>
      <c r="AY9" s="25">
        <v>27</v>
      </c>
      <c r="AZ9" s="25">
        <v>129</v>
      </c>
      <c r="BA9" s="26">
        <v>25</v>
      </c>
    </row>
    <row r="10" spans="1:53" x14ac:dyDescent="0.15">
      <c r="A10" s="53" t="s">
        <v>41</v>
      </c>
      <c r="B10" s="53" t="s">
        <v>157</v>
      </c>
      <c r="C10" s="62">
        <v>2019</v>
      </c>
      <c r="D10" s="63" t="s">
        <v>165</v>
      </c>
      <c r="E10" s="53" t="s">
        <v>133</v>
      </c>
      <c r="F10" s="53" t="s">
        <v>183</v>
      </c>
      <c r="G10" s="53" t="s">
        <v>42</v>
      </c>
      <c r="H10" s="53" t="s">
        <v>160</v>
      </c>
      <c r="I10" s="53" t="s">
        <v>159</v>
      </c>
      <c r="J10" s="53" t="s">
        <v>38</v>
      </c>
      <c r="K10" s="53" t="s">
        <v>161</v>
      </c>
      <c r="L10" s="53">
        <v>3</v>
      </c>
      <c r="M10" s="76"/>
      <c r="N10" s="53">
        <v>1</v>
      </c>
      <c r="O10" s="53">
        <v>0.25</v>
      </c>
      <c r="P10" s="53">
        <v>0.25</v>
      </c>
      <c r="Q10" s="75">
        <f t="shared" si="0"/>
        <v>0.25</v>
      </c>
      <c r="R10" s="53">
        <v>13.5</v>
      </c>
      <c r="S10" s="53">
        <v>125</v>
      </c>
      <c r="T10" s="16">
        <f t="shared" si="1"/>
        <v>27</v>
      </c>
      <c r="U10" s="53">
        <v>139</v>
      </c>
      <c r="V10" s="16">
        <f t="shared" si="2"/>
        <v>3753</v>
      </c>
      <c r="W10" s="53">
        <v>2</v>
      </c>
      <c r="X10" s="53" t="s">
        <v>46</v>
      </c>
      <c r="Y10" s="53" t="s">
        <v>102</v>
      </c>
      <c r="Z10" s="53" t="s">
        <v>69</v>
      </c>
      <c r="AA10" s="53" t="s">
        <v>78</v>
      </c>
      <c r="AB10" s="53" t="s">
        <v>158</v>
      </c>
      <c r="AE10" s="22" t="s">
        <v>206</v>
      </c>
      <c r="AG10" s="71" t="s">
        <v>200</v>
      </c>
      <c r="AH10" s="71" t="s">
        <v>207</v>
      </c>
      <c r="AL10" s="74"/>
      <c r="AP10" s="23" t="s">
        <v>100</v>
      </c>
      <c r="AR10" s="23" t="s">
        <v>208</v>
      </c>
      <c r="AV10" s="23" t="s">
        <v>106</v>
      </c>
      <c r="AX10" s="24">
        <v>138</v>
      </c>
      <c r="AY10" s="25">
        <v>25</v>
      </c>
      <c r="AZ10" s="25">
        <v>138</v>
      </c>
      <c r="BA10" s="26">
        <v>22</v>
      </c>
    </row>
    <row r="11" spans="1:53" x14ac:dyDescent="0.15">
      <c r="A11" s="53" t="s">
        <v>41</v>
      </c>
      <c r="B11" s="53" t="s">
        <v>157</v>
      </c>
      <c r="C11" s="62">
        <v>2019</v>
      </c>
      <c r="D11" s="63" t="s">
        <v>165</v>
      </c>
      <c r="E11" s="53" t="s">
        <v>133</v>
      </c>
      <c r="F11" s="53" t="s">
        <v>183</v>
      </c>
      <c r="G11" s="53" t="s">
        <v>42</v>
      </c>
      <c r="H11" s="53" t="s">
        <v>160</v>
      </c>
      <c r="I11" s="53" t="s">
        <v>159</v>
      </c>
      <c r="J11" s="53" t="s">
        <v>38</v>
      </c>
      <c r="K11" s="53" t="s">
        <v>161</v>
      </c>
      <c r="L11" s="53">
        <v>1</v>
      </c>
      <c r="N11" s="53">
        <v>8</v>
      </c>
      <c r="O11" s="53">
        <v>0.25</v>
      </c>
      <c r="P11" s="53">
        <v>0.35</v>
      </c>
      <c r="Q11" s="72">
        <f t="shared" si="0"/>
        <v>0.3</v>
      </c>
      <c r="R11" s="53">
        <v>15.2</v>
      </c>
      <c r="S11" s="53">
        <v>120</v>
      </c>
      <c r="T11" s="16">
        <f t="shared" si="1"/>
        <v>30</v>
      </c>
      <c r="U11" s="53">
        <v>861</v>
      </c>
      <c r="V11" s="16">
        <f t="shared" si="2"/>
        <v>3228.75</v>
      </c>
      <c r="W11" s="53">
        <v>2</v>
      </c>
      <c r="X11" s="53" t="s">
        <v>46</v>
      </c>
      <c r="Y11" s="53" t="s">
        <v>102</v>
      </c>
      <c r="Z11" s="53" t="s">
        <v>69</v>
      </c>
      <c r="AA11" s="53" t="s">
        <v>78</v>
      </c>
      <c r="AB11" s="53" t="s">
        <v>158</v>
      </c>
      <c r="AE11" s="22" t="s">
        <v>68</v>
      </c>
      <c r="AG11" s="71" t="s">
        <v>209</v>
      </c>
      <c r="AH11" s="71" t="s">
        <v>210</v>
      </c>
      <c r="AL11" s="74"/>
      <c r="AP11" s="23" t="s">
        <v>104</v>
      </c>
      <c r="AR11" s="23" t="s">
        <v>211</v>
      </c>
      <c r="AV11" s="23" t="s">
        <v>69</v>
      </c>
      <c r="AX11" s="24">
        <v>151</v>
      </c>
      <c r="AY11" s="25">
        <v>22</v>
      </c>
      <c r="AZ11" s="25">
        <v>152</v>
      </c>
      <c r="BA11" s="26">
        <v>18</v>
      </c>
    </row>
    <row r="12" spans="1:53" x14ac:dyDescent="0.15">
      <c r="A12" s="53" t="s">
        <v>41</v>
      </c>
      <c r="B12" s="53" t="s">
        <v>157</v>
      </c>
      <c r="C12" s="62">
        <v>2019</v>
      </c>
      <c r="D12" s="63" t="s">
        <v>165</v>
      </c>
      <c r="E12" s="53" t="s">
        <v>133</v>
      </c>
      <c r="F12" s="53" t="s">
        <v>183</v>
      </c>
      <c r="G12" s="53" t="s">
        <v>42</v>
      </c>
      <c r="H12" s="53" t="s">
        <v>160</v>
      </c>
      <c r="I12" s="53" t="s">
        <v>159</v>
      </c>
      <c r="J12" s="53" t="s">
        <v>38</v>
      </c>
      <c r="K12" s="53" t="s">
        <v>161</v>
      </c>
      <c r="L12" s="53">
        <v>2</v>
      </c>
      <c r="M12" s="76"/>
      <c r="N12" s="53">
        <v>8</v>
      </c>
      <c r="O12" s="53">
        <v>0.3</v>
      </c>
      <c r="P12" s="53">
        <v>0.25</v>
      </c>
      <c r="Q12" s="72">
        <f t="shared" si="0"/>
        <v>0.27500000000000002</v>
      </c>
      <c r="R12" s="53">
        <v>14.4</v>
      </c>
      <c r="S12" s="53">
        <v>120</v>
      </c>
      <c r="T12" s="16">
        <f t="shared" si="1"/>
        <v>30</v>
      </c>
      <c r="U12" s="53">
        <v>861</v>
      </c>
      <c r="V12" s="16">
        <f t="shared" si="2"/>
        <v>3228.75</v>
      </c>
      <c r="W12" s="53">
        <v>2</v>
      </c>
      <c r="X12" s="53" t="s">
        <v>46</v>
      </c>
      <c r="Y12" s="53" t="s">
        <v>102</v>
      </c>
      <c r="Z12" s="53" t="s">
        <v>69</v>
      </c>
      <c r="AA12" s="53" t="s">
        <v>78</v>
      </c>
      <c r="AB12" s="53" t="s">
        <v>158</v>
      </c>
      <c r="AE12" s="22" t="s">
        <v>212</v>
      </c>
      <c r="AG12" s="22"/>
      <c r="AH12" s="22"/>
      <c r="AL12" s="74"/>
      <c r="AP12" s="23" t="s">
        <v>67</v>
      </c>
      <c r="AR12" s="23" t="s">
        <v>213</v>
      </c>
      <c r="AV12" s="23" t="s">
        <v>72</v>
      </c>
      <c r="AX12" s="31">
        <v>180</v>
      </c>
      <c r="AY12" s="32">
        <v>18</v>
      </c>
      <c r="AZ12" s="32">
        <v>181</v>
      </c>
      <c r="BA12" s="33">
        <v>16</v>
      </c>
    </row>
    <row r="13" spans="1:53" x14ac:dyDescent="0.15">
      <c r="A13" s="53" t="s">
        <v>41</v>
      </c>
      <c r="B13" s="53" t="s">
        <v>157</v>
      </c>
      <c r="C13" s="62">
        <v>2019</v>
      </c>
      <c r="D13" s="63" t="s">
        <v>165</v>
      </c>
      <c r="E13" s="53" t="s">
        <v>133</v>
      </c>
      <c r="F13" s="53" t="s">
        <v>183</v>
      </c>
      <c r="G13" s="53" t="s">
        <v>42</v>
      </c>
      <c r="H13" s="53" t="s">
        <v>160</v>
      </c>
      <c r="I13" s="53" t="s">
        <v>159</v>
      </c>
      <c r="J13" s="53" t="s">
        <v>38</v>
      </c>
      <c r="K13" s="53" t="s">
        <v>161</v>
      </c>
      <c r="L13" s="53">
        <v>3</v>
      </c>
      <c r="M13" s="76"/>
      <c r="N13" s="53">
        <v>8</v>
      </c>
      <c r="O13" s="53">
        <v>0.35</v>
      </c>
      <c r="P13" s="53">
        <v>0.3</v>
      </c>
      <c r="Q13" s="72">
        <f t="shared" si="0"/>
        <v>0.32499999999999996</v>
      </c>
      <c r="R13" s="53">
        <v>16.5</v>
      </c>
      <c r="S13" s="53">
        <v>120</v>
      </c>
      <c r="T13" s="16">
        <f t="shared" si="1"/>
        <v>30</v>
      </c>
      <c r="U13" s="53">
        <v>861</v>
      </c>
      <c r="V13" s="16">
        <f t="shared" si="2"/>
        <v>3228.75</v>
      </c>
      <c r="W13" s="53">
        <v>2</v>
      </c>
      <c r="X13" s="53" t="s">
        <v>46</v>
      </c>
      <c r="Y13" s="53" t="s">
        <v>102</v>
      </c>
      <c r="Z13" s="53" t="s">
        <v>69</v>
      </c>
      <c r="AA13" s="53" t="s">
        <v>78</v>
      </c>
      <c r="AB13" s="53" t="s">
        <v>158</v>
      </c>
      <c r="AE13" s="22" t="s">
        <v>214</v>
      </c>
      <c r="AG13" s="23"/>
      <c r="AH13" s="23"/>
      <c r="AP13" s="23" t="s">
        <v>71</v>
      </c>
      <c r="AR13" s="23" t="s">
        <v>206</v>
      </c>
      <c r="AV13" s="23" t="s">
        <v>75</v>
      </c>
    </row>
    <row r="14" spans="1:53" x14ac:dyDescent="0.15">
      <c r="A14" s="53" t="s">
        <v>41</v>
      </c>
      <c r="B14" s="53" t="s">
        <v>157</v>
      </c>
      <c r="C14" s="62">
        <v>2019</v>
      </c>
      <c r="D14" s="63" t="s">
        <v>165</v>
      </c>
      <c r="E14" s="53" t="s">
        <v>133</v>
      </c>
      <c r="F14" s="53" t="s">
        <v>183</v>
      </c>
      <c r="G14" s="53" t="s">
        <v>42</v>
      </c>
      <c r="H14" s="53" t="s">
        <v>164</v>
      </c>
      <c r="I14" s="53" t="s">
        <v>159</v>
      </c>
      <c r="J14" s="53" t="s">
        <v>38</v>
      </c>
      <c r="K14" s="53" t="s">
        <v>161</v>
      </c>
      <c r="L14" s="53">
        <v>1</v>
      </c>
      <c r="M14" s="76"/>
      <c r="N14" s="53">
        <v>16</v>
      </c>
      <c r="O14" s="53">
        <v>0.25</v>
      </c>
      <c r="P14" s="53">
        <v>0.25</v>
      </c>
      <c r="Q14" s="72">
        <f t="shared" si="0"/>
        <v>0.25</v>
      </c>
      <c r="R14" s="53">
        <v>15.2</v>
      </c>
      <c r="S14" s="53">
        <v>89</v>
      </c>
      <c r="T14" s="16">
        <f t="shared" si="1"/>
        <v>36</v>
      </c>
      <c r="U14" s="53">
        <v>950</v>
      </c>
      <c r="V14" s="16">
        <f t="shared" si="2"/>
        <v>2137.5</v>
      </c>
      <c r="W14" s="53">
        <v>3</v>
      </c>
      <c r="X14" s="53" t="s">
        <v>46</v>
      </c>
      <c r="Y14" s="53" t="s">
        <v>102</v>
      </c>
      <c r="Z14" s="53" t="s">
        <v>69</v>
      </c>
      <c r="AA14" s="53" t="s">
        <v>78</v>
      </c>
      <c r="AB14" s="53" t="s">
        <v>158</v>
      </c>
      <c r="AE14" s="22" t="s">
        <v>96</v>
      </c>
      <c r="AG14" s="23"/>
      <c r="AH14" s="23"/>
      <c r="AP14" s="23" t="s">
        <v>74</v>
      </c>
      <c r="AR14" s="23" t="s">
        <v>215</v>
      </c>
      <c r="AV14" s="23" t="s">
        <v>78</v>
      </c>
    </row>
    <row r="15" spans="1:53" x14ac:dyDescent="0.15">
      <c r="A15" s="53" t="s">
        <v>41</v>
      </c>
      <c r="B15" s="53" t="s">
        <v>157</v>
      </c>
      <c r="C15" s="62">
        <v>2019</v>
      </c>
      <c r="D15" s="63" t="s">
        <v>165</v>
      </c>
      <c r="E15" s="53" t="s">
        <v>133</v>
      </c>
      <c r="F15" s="53" t="s">
        <v>183</v>
      </c>
      <c r="G15" s="53" t="s">
        <v>42</v>
      </c>
      <c r="H15" s="53" t="s">
        <v>164</v>
      </c>
      <c r="I15" s="53" t="s">
        <v>159</v>
      </c>
      <c r="J15" s="53" t="s">
        <v>38</v>
      </c>
      <c r="K15" s="53" t="s">
        <v>161</v>
      </c>
      <c r="L15" s="53">
        <v>2</v>
      </c>
      <c r="M15" s="76"/>
      <c r="N15" s="53">
        <v>16</v>
      </c>
      <c r="O15" s="53">
        <v>0.3</v>
      </c>
      <c r="P15" s="53">
        <v>0.25</v>
      </c>
      <c r="Q15" s="72">
        <f t="shared" si="0"/>
        <v>0.27500000000000002</v>
      </c>
      <c r="R15" s="53">
        <v>12.8</v>
      </c>
      <c r="S15" s="53">
        <v>95</v>
      </c>
      <c r="T15" s="16">
        <f t="shared" si="1"/>
        <v>36</v>
      </c>
      <c r="U15" s="53">
        <v>950</v>
      </c>
      <c r="V15" s="16">
        <f t="shared" si="2"/>
        <v>2137.5</v>
      </c>
      <c r="W15" s="53">
        <v>3</v>
      </c>
      <c r="X15" s="53" t="s">
        <v>46</v>
      </c>
      <c r="Y15" s="53" t="s">
        <v>102</v>
      </c>
      <c r="Z15" s="53" t="s">
        <v>69</v>
      </c>
      <c r="AA15" s="53" t="s">
        <v>78</v>
      </c>
      <c r="AB15" s="53" t="s">
        <v>158</v>
      </c>
      <c r="AE15" s="22" t="s">
        <v>216</v>
      </c>
      <c r="AG15" s="23"/>
      <c r="AH15" s="23"/>
      <c r="AP15" s="23" t="s">
        <v>77</v>
      </c>
      <c r="AR15" s="23" t="s">
        <v>80</v>
      </c>
      <c r="AV15" s="23" t="s">
        <v>107</v>
      </c>
    </row>
    <row r="16" spans="1:53" x14ac:dyDescent="0.15">
      <c r="A16" s="53" t="s">
        <v>41</v>
      </c>
      <c r="B16" s="53" t="s">
        <v>157</v>
      </c>
      <c r="C16" s="62">
        <v>2019</v>
      </c>
      <c r="D16" s="63" t="s">
        <v>165</v>
      </c>
      <c r="E16" s="53" t="s">
        <v>133</v>
      </c>
      <c r="F16" s="53" t="s">
        <v>183</v>
      </c>
      <c r="G16" s="53" t="s">
        <v>42</v>
      </c>
      <c r="H16" s="53" t="s">
        <v>164</v>
      </c>
      <c r="I16" s="53" t="s">
        <v>159</v>
      </c>
      <c r="J16" s="53" t="s">
        <v>38</v>
      </c>
      <c r="K16" s="53" t="s">
        <v>161</v>
      </c>
      <c r="L16" s="53">
        <v>3</v>
      </c>
      <c r="M16" s="76"/>
      <c r="N16" s="53">
        <v>16</v>
      </c>
      <c r="O16" s="53">
        <v>0.25</v>
      </c>
      <c r="P16" s="53">
        <v>0.25</v>
      </c>
      <c r="Q16" s="72">
        <f t="shared" si="0"/>
        <v>0.25</v>
      </c>
      <c r="R16" s="53">
        <v>16</v>
      </c>
      <c r="S16" s="53">
        <v>91</v>
      </c>
      <c r="T16" s="16">
        <f t="shared" si="1"/>
        <v>36</v>
      </c>
      <c r="U16" s="53">
        <v>950</v>
      </c>
      <c r="V16" s="16">
        <f t="shared" si="2"/>
        <v>2137.5</v>
      </c>
      <c r="W16" s="53">
        <v>3</v>
      </c>
      <c r="X16" s="53" t="s">
        <v>46</v>
      </c>
      <c r="Y16" s="53" t="s">
        <v>102</v>
      </c>
      <c r="Z16" s="53" t="s">
        <v>69</v>
      </c>
      <c r="AA16" s="53" t="s">
        <v>78</v>
      </c>
      <c r="AB16" s="53" t="s">
        <v>158</v>
      </c>
      <c r="AE16" s="22" t="s">
        <v>217</v>
      </c>
      <c r="AG16" s="28"/>
      <c r="AH16" s="28"/>
      <c r="AP16" s="23" t="s">
        <v>80</v>
      </c>
      <c r="AR16" s="23" t="s">
        <v>63</v>
      </c>
      <c r="AV16" s="23" t="s">
        <v>84</v>
      </c>
    </row>
    <row r="17" spans="1:48" x14ac:dyDescent="0.15">
      <c r="A17" s="53" t="s">
        <v>41</v>
      </c>
      <c r="B17" s="53" t="s">
        <v>157</v>
      </c>
      <c r="C17" s="62">
        <v>2019</v>
      </c>
      <c r="D17" s="63" t="s">
        <v>165</v>
      </c>
      <c r="E17" s="53" t="s">
        <v>185</v>
      </c>
      <c r="F17" s="53" t="s">
        <v>183</v>
      </c>
      <c r="G17" s="53" t="s">
        <v>42</v>
      </c>
      <c r="H17" s="53" t="s">
        <v>160</v>
      </c>
      <c r="I17" s="53" t="s">
        <v>159</v>
      </c>
      <c r="J17" s="53" t="s">
        <v>38</v>
      </c>
      <c r="K17" s="53" t="s">
        <v>161</v>
      </c>
      <c r="L17" s="53">
        <v>1</v>
      </c>
      <c r="M17" s="76"/>
      <c r="N17" s="53">
        <v>1</v>
      </c>
      <c r="O17" s="53">
        <v>0.45</v>
      </c>
      <c r="P17" s="53">
        <v>0.5</v>
      </c>
      <c r="Q17" s="75">
        <f t="shared" si="0"/>
        <v>0.47499999999999998</v>
      </c>
      <c r="R17" s="53">
        <v>15.6</v>
      </c>
      <c r="S17" s="53">
        <v>122</v>
      </c>
      <c r="T17" s="16">
        <f t="shared" si="1"/>
        <v>27</v>
      </c>
      <c r="U17" s="53">
        <v>116</v>
      </c>
      <c r="V17" s="16">
        <f t="shared" si="2"/>
        <v>3132</v>
      </c>
      <c r="W17" s="53">
        <v>2</v>
      </c>
      <c r="X17" s="53" t="s">
        <v>46</v>
      </c>
      <c r="Y17" s="53" t="s">
        <v>78</v>
      </c>
      <c r="Z17" s="53" t="s">
        <v>69</v>
      </c>
      <c r="AA17" s="53" t="s">
        <v>102</v>
      </c>
      <c r="AB17" s="53" t="s">
        <v>158</v>
      </c>
      <c r="AE17" s="22" t="s">
        <v>218</v>
      </c>
      <c r="AP17" s="27" t="s">
        <v>219</v>
      </c>
      <c r="AR17" s="23" t="s">
        <v>96</v>
      </c>
      <c r="AV17" s="23" t="s">
        <v>86</v>
      </c>
    </row>
    <row r="18" spans="1:48" x14ac:dyDescent="0.15">
      <c r="A18" s="53" t="s">
        <v>41</v>
      </c>
      <c r="B18" s="53" t="s">
        <v>157</v>
      </c>
      <c r="C18" s="62">
        <v>2019</v>
      </c>
      <c r="D18" s="63" t="s">
        <v>165</v>
      </c>
      <c r="E18" s="53" t="s">
        <v>185</v>
      </c>
      <c r="F18" s="53" t="s">
        <v>183</v>
      </c>
      <c r="G18" s="53" t="s">
        <v>42</v>
      </c>
      <c r="H18" s="53" t="s">
        <v>160</v>
      </c>
      <c r="I18" s="53" t="s">
        <v>159</v>
      </c>
      <c r="J18" s="53" t="s">
        <v>38</v>
      </c>
      <c r="K18" s="53" t="s">
        <v>161</v>
      </c>
      <c r="L18" s="53">
        <v>2</v>
      </c>
      <c r="M18" s="76"/>
      <c r="N18" s="53">
        <v>1</v>
      </c>
      <c r="O18" s="53">
        <v>0.6</v>
      </c>
      <c r="P18" s="53">
        <v>0.5</v>
      </c>
      <c r="Q18" s="75">
        <f t="shared" si="0"/>
        <v>0.55000000000000004</v>
      </c>
      <c r="R18" s="53">
        <v>16.8</v>
      </c>
      <c r="S18" s="53">
        <v>124</v>
      </c>
      <c r="T18" s="16">
        <f t="shared" si="1"/>
        <v>27</v>
      </c>
      <c r="U18" s="53">
        <v>116</v>
      </c>
      <c r="V18" s="16">
        <f t="shared" si="2"/>
        <v>3132</v>
      </c>
      <c r="W18" s="53">
        <v>2</v>
      </c>
      <c r="X18" s="53" t="s">
        <v>46</v>
      </c>
      <c r="Y18" s="53" t="s">
        <v>78</v>
      </c>
      <c r="Z18" s="53" t="s">
        <v>69</v>
      </c>
      <c r="AA18" s="53" t="s">
        <v>102</v>
      </c>
      <c r="AB18" s="53" t="s">
        <v>158</v>
      </c>
      <c r="AE18" s="22" t="s">
        <v>211</v>
      </c>
      <c r="AP18" s="27" t="s">
        <v>220</v>
      </c>
      <c r="AR18" s="23" t="s">
        <v>101</v>
      </c>
      <c r="AV18" s="23" t="s">
        <v>88</v>
      </c>
    </row>
    <row r="19" spans="1:48" x14ac:dyDescent="0.15">
      <c r="A19" s="53" t="s">
        <v>41</v>
      </c>
      <c r="B19" s="53" t="s">
        <v>157</v>
      </c>
      <c r="C19" s="62">
        <v>2019</v>
      </c>
      <c r="D19" s="63" t="s">
        <v>165</v>
      </c>
      <c r="E19" s="53" t="s">
        <v>185</v>
      </c>
      <c r="F19" s="53" t="s">
        <v>183</v>
      </c>
      <c r="G19" s="53" t="s">
        <v>42</v>
      </c>
      <c r="H19" s="53" t="s">
        <v>160</v>
      </c>
      <c r="I19" s="53" t="s">
        <v>159</v>
      </c>
      <c r="J19" s="53" t="s">
        <v>38</v>
      </c>
      <c r="K19" s="53" t="s">
        <v>161</v>
      </c>
      <c r="L19" s="53">
        <v>3</v>
      </c>
      <c r="M19" s="76"/>
      <c r="N19" s="53">
        <v>1</v>
      </c>
      <c r="O19" s="53">
        <v>0.5</v>
      </c>
      <c r="P19" s="53">
        <v>0.4</v>
      </c>
      <c r="Q19" s="75">
        <f t="shared" si="0"/>
        <v>0.45</v>
      </c>
      <c r="R19" s="53">
        <v>17.399999999999999</v>
      </c>
      <c r="S19" s="53">
        <v>122</v>
      </c>
      <c r="T19" s="16">
        <f t="shared" si="1"/>
        <v>27</v>
      </c>
      <c r="U19" s="53">
        <v>116</v>
      </c>
      <c r="V19" s="16">
        <f t="shared" si="2"/>
        <v>3132</v>
      </c>
      <c r="W19" s="53">
        <v>2</v>
      </c>
      <c r="X19" s="53" t="s">
        <v>46</v>
      </c>
      <c r="Y19" s="53" t="s">
        <v>78</v>
      </c>
      <c r="Z19" s="53" t="s">
        <v>69</v>
      </c>
      <c r="AA19" s="53" t="s">
        <v>102</v>
      </c>
      <c r="AB19" s="53" t="s">
        <v>158</v>
      </c>
      <c r="AE19" s="35" t="s">
        <v>205</v>
      </c>
      <c r="AP19" s="27" t="s">
        <v>221</v>
      </c>
      <c r="AR19" s="23" t="s">
        <v>222</v>
      </c>
      <c r="AV19" s="23" t="s">
        <v>90</v>
      </c>
    </row>
    <row r="20" spans="1:48" x14ac:dyDescent="0.15">
      <c r="A20" s="53" t="s">
        <v>41</v>
      </c>
      <c r="B20" s="53" t="s">
        <v>157</v>
      </c>
      <c r="C20" s="62">
        <v>2019</v>
      </c>
      <c r="D20" s="63" t="s">
        <v>165</v>
      </c>
      <c r="E20" s="53" t="s">
        <v>185</v>
      </c>
      <c r="F20" s="53" t="s">
        <v>183</v>
      </c>
      <c r="G20" s="53" t="s">
        <v>42</v>
      </c>
      <c r="H20" s="53" t="s">
        <v>160</v>
      </c>
      <c r="I20" s="53" t="s">
        <v>159</v>
      </c>
      <c r="J20" s="53" t="s">
        <v>38</v>
      </c>
      <c r="K20" s="53" t="s">
        <v>161</v>
      </c>
      <c r="L20" s="53">
        <v>1</v>
      </c>
      <c r="M20" s="76"/>
      <c r="N20" s="53">
        <v>4</v>
      </c>
      <c r="O20" s="53">
        <v>0.25</v>
      </c>
      <c r="P20" s="53">
        <v>0.25</v>
      </c>
      <c r="Q20" s="75">
        <f t="shared" si="0"/>
        <v>0.25</v>
      </c>
      <c r="R20" s="53">
        <v>14.1</v>
      </c>
      <c r="S20" s="53">
        <v>120</v>
      </c>
      <c r="T20" s="16">
        <f t="shared" si="1"/>
        <v>30</v>
      </c>
      <c r="U20" s="53">
        <v>429</v>
      </c>
      <c r="V20" s="16">
        <f t="shared" si="2"/>
        <v>3217.5</v>
      </c>
      <c r="W20" s="53">
        <v>1</v>
      </c>
      <c r="X20" s="53" t="s">
        <v>46</v>
      </c>
      <c r="Y20" s="53" t="s">
        <v>78</v>
      </c>
      <c r="Z20" s="53" t="s">
        <v>69</v>
      </c>
      <c r="AA20" s="53" t="s">
        <v>102</v>
      </c>
      <c r="AB20" s="53" t="s">
        <v>158</v>
      </c>
      <c r="AE20" s="35"/>
      <c r="AP20" s="27" t="s">
        <v>223</v>
      </c>
      <c r="AR20" s="23" t="s">
        <v>105</v>
      </c>
      <c r="AV20" s="27" t="s">
        <v>224</v>
      </c>
    </row>
    <row r="21" spans="1:48" x14ac:dyDescent="0.15">
      <c r="A21" s="53" t="s">
        <v>41</v>
      </c>
      <c r="B21" s="53" t="s">
        <v>157</v>
      </c>
      <c r="C21" s="62">
        <v>2019</v>
      </c>
      <c r="D21" s="63" t="s">
        <v>165</v>
      </c>
      <c r="E21" s="53" t="s">
        <v>185</v>
      </c>
      <c r="F21" s="53" t="s">
        <v>183</v>
      </c>
      <c r="G21" s="53" t="s">
        <v>42</v>
      </c>
      <c r="H21" s="53" t="s">
        <v>160</v>
      </c>
      <c r="I21" s="53" t="s">
        <v>159</v>
      </c>
      <c r="J21" s="53" t="s">
        <v>38</v>
      </c>
      <c r="K21" s="53" t="s">
        <v>161</v>
      </c>
      <c r="L21" s="53">
        <v>2</v>
      </c>
      <c r="M21" s="76"/>
      <c r="N21" s="53">
        <v>4</v>
      </c>
      <c r="O21" s="53">
        <v>0.25</v>
      </c>
      <c r="P21" s="53">
        <v>0.25</v>
      </c>
      <c r="Q21" s="75">
        <f t="shared" si="0"/>
        <v>0.25</v>
      </c>
      <c r="R21" s="53">
        <v>14.8</v>
      </c>
      <c r="S21" s="53">
        <v>120</v>
      </c>
      <c r="T21" s="16">
        <f t="shared" si="1"/>
        <v>30</v>
      </c>
      <c r="U21" s="53">
        <v>429</v>
      </c>
      <c r="V21" s="16">
        <f t="shared" si="2"/>
        <v>3217.5</v>
      </c>
      <c r="W21" s="53">
        <v>1</v>
      </c>
      <c r="X21" s="53" t="s">
        <v>46</v>
      </c>
      <c r="Y21" s="53" t="s">
        <v>78</v>
      </c>
      <c r="Z21" s="53" t="s">
        <v>69</v>
      </c>
      <c r="AA21" s="53" t="s">
        <v>102</v>
      </c>
      <c r="AB21" s="53" t="s">
        <v>158</v>
      </c>
      <c r="AE21" s="28"/>
      <c r="AP21" s="27" t="s">
        <v>225</v>
      </c>
      <c r="AR21" s="23" t="s">
        <v>68</v>
      </c>
      <c r="AV21" s="27" t="s">
        <v>226</v>
      </c>
    </row>
    <row r="22" spans="1:48" x14ac:dyDescent="0.15">
      <c r="A22" s="53" t="s">
        <v>41</v>
      </c>
      <c r="B22" s="53" t="s">
        <v>157</v>
      </c>
      <c r="C22" s="62">
        <v>2019</v>
      </c>
      <c r="D22" s="63" t="s">
        <v>165</v>
      </c>
      <c r="E22" s="53" t="s">
        <v>185</v>
      </c>
      <c r="F22" s="53" t="s">
        <v>183</v>
      </c>
      <c r="G22" s="53" t="s">
        <v>42</v>
      </c>
      <c r="H22" s="53" t="s">
        <v>160</v>
      </c>
      <c r="I22" s="53" t="s">
        <v>159</v>
      </c>
      <c r="J22" s="53" t="s">
        <v>38</v>
      </c>
      <c r="K22" s="53" t="s">
        <v>161</v>
      </c>
      <c r="L22" s="53">
        <v>3</v>
      </c>
      <c r="M22" s="76"/>
      <c r="N22" s="53">
        <v>4</v>
      </c>
      <c r="O22" s="53">
        <v>0.3</v>
      </c>
      <c r="P22" s="53">
        <v>0.25</v>
      </c>
      <c r="Q22" s="75">
        <f t="shared" si="0"/>
        <v>0.27500000000000002</v>
      </c>
      <c r="R22" s="53">
        <v>15</v>
      </c>
      <c r="S22" s="53">
        <v>118</v>
      </c>
      <c r="T22" s="16">
        <f t="shared" si="1"/>
        <v>30</v>
      </c>
      <c r="U22" s="53">
        <v>429</v>
      </c>
      <c r="V22" s="16">
        <f t="shared" si="2"/>
        <v>3217.5</v>
      </c>
      <c r="W22" s="53">
        <v>1</v>
      </c>
      <c r="X22" s="53" t="s">
        <v>46</v>
      </c>
      <c r="Y22" s="53" t="s">
        <v>78</v>
      </c>
      <c r="Z22" s="53" t="s">
        <v>69</v>
      </c>
      <c r="AA22" s="53" t="s">
        <v>102</v>
      </c>
      <c r="AB22" s="53" t="s">
        <v>158</v>
      </c>
      <c r="AP22" s="27" t="s">
        <v>227</v>
      </c>
      <c r="AR22" s="23" t="s">
        <v>83</v>
      </c>
      <c r="AV22" s="27"/>
    </row>
    <row r="23" spans="1:48" x14ac:dyDescent="0.15">
      <c r="A23" s="53" t="s">
        <v>41</v>
      </c>
      <c r="B23" s="53" t="s">
        <v>157</v>
      </c>
      <c r="C23" s="62">
        <v>2019</v>
      </c>
      <c r="D23" s="63" t="s">
        <v>165</v>
      </c>
      <c r="E23" s="53" t="s">
        <v>185</v>
      </c>
      <c r="F23" s="53" t="s">
        <v>183</v>
      </c>
      <c r="G23" s="53" t="s">
        <v>42</v>
      </c>
      <c r="H23" s="53" t="s">
        <v>160</v>
      </c>
      <c r="I23" s="53" t="s">
        <v>159</v>
      </c>
      <c r="J23" s="53" t="s">
        <v>38</v>
      </c>
      <c r="K23" s="53" t="s">
        <v>161</v>
      </c>
      <c r="L23" s="53">
        <v>1</v>
      </c>
      <c r="M23" s="76"/>
      <c r="N23" s="53">
        <v>6</v>
      </c>
      <c r="O23" s="53">
        <v>1</v>
      </c>
      <c r="P23" s="53">
        <v>1.2</v>
      </c>
      <c r="Q23" s="75">
        <f t="shared" si="0"/>
        <v>1.1000000000000001</v>
      </c>
      <c r="R23" s="53">
        <v>15.2</v>
      </c>
      <c r="S23" s="53">
        <v>114</v>
      </c>
      <c r="T23" s="16">
        <f t="shared" si="1"/>
        <v>30</v>
      </c>
      <c r="U23" s="53">
        <v>626</v>
      </c>
      <c r="V23" s="16">
        <f t="shared" si="2"/>
        <v>3130</v>
      </c>
      <c r="W23" s="53">
        <v>1</v>
      </c>
      <c r="X23" s="53" t="s">
        <v>46</v>
      </c>
      <c r="Y23" s="53" t="s">
        <v>78</v>
      </c>
      <c r="Z23" s="53" t="s">
        <v>69</v>
      </c>
      <c r="AA23" s="53" t="s">
        <v>102</v>
      </c>
      <c r="AB23" s="53" t="s">
        <v>158</v>
      </c>
      <c r="AP23" s="27" t="s">
        <v>228</v>
      </c>
      <c r="AR23" s="28" t="s">
        <v>229</v>
      </c>
      <c r="AV23" s="28"/>
    </row>
    <row r="24" spans="1:48" x14ac:dyDescent="0.15">
      <c r="A24" s="53" t="s">
        <v>41</v>
      </c>
      <c r="B24" s="53" t="s">
        <v>157</v>
      </c>
      <c r="C24" s="62">
        <v>2019</v>
      </c>
      <c r="D24" s="63" t="s">
        <v>165</v>
      </c>
      <c r="E24" s="53" t="s">
        <v>185</v>
      </c>
      <c r="F24" s="53" t="s">
        <v>183</v>
      </c>
      <c r="G24" s="53" t="s">
        <v>42</v>
      </c>
      <c r="H24" s="53" t="s">
        <v>160</v>
      </c>
      <c r="I24" s="53" t="s">
        <v>159</v>
      </c>
      <c r="J24" s="53" t="s">
        <v>38</v>
      </c>
      <c r="K24" s="53" t="s">
        <v>161</v>
      </c>
      <c r="L24" s="53">
        <v>2</v>
      </c>
      <c r="M24" s="76"/>
      <c r="N24" s="53">
        <v>6</v>
      </c>
      <c r="O24" s="53">
        <v>0.95</v>
      </c>
      <c r="P24" s="53">
        <v>0.8</v>
      </c>
      <c r="Q24" s="75">
        <f t="shared" si="0"/>
        <v>0.875</v>
      </c>
      <c r="R24" s="53">
        <v>12.7</v>
      </c>
      <c r="S24" s="53">
        <v>115</v>
      </c>
      <c r="T24" s="16">
        <f t="shared" si="1"/>
        <v>30</v>
      </c>
      <c r="U24" s="53">
        <v>626</v>
      </c>
      <c r="V24" s="16">
        <f t="shared" si="2"/>
        <v>3130</v>
      </c>
      <c r="W24" s="53">
        <v>1</v>
      </c>
      <c r="X24" s="53" t="s">
        <v>46</v>
      </c>
      <c r="Y24" s="53" t="s">
        <v>78</v>
      </c>
      <c r="Z24" s="53" t="s">
        <v>69</v>
      </c>
      <c r="AA24" s="53" t="s">
        <v>102</v>
      </c>
      <c r="AB24" s="53" t="s">
        <v>158</v>
      </c>
      <c r="AP24" s="27" t="s">
        <v>230</v>
      </c>
    </row>
    <row r="25" spans="1:48" x14ac:dyDescent="0.15">
      <c r="A25" s="53" t="s">
        <v>41</v>
      </c>
      <c r="B25" s="53" t="s">
        <v>157</v>
      </c>
      <c r="C25" s="62">
        <v>2019</v>
      </c>
      <c r="D25" s="63" t="s">
        <v>165</v>
      </c>
      <c r="E25" s="53" t="s">
        <v>185</v>
      </c>
      <c r="F25" s="53" t="s">
        <v>183</v>
      </c>
      <c r="G25" s="53" t="s">
        <v>42</v>
      </c>
      <c r="H25" s="53" t="s">
        <v>160</v>
      </c>
      <c r="I25" s="53" t="s">
        <v>159</v>
      </c>
      <c r="J25" s="53" t="s">
        <v>38</v>
      </c>
      <c r="K25" s="53" t="s">
        <v>161</v>
      </c>
      <c r="L25" s="53">
        <v>3</v>
      </c>
      <c r="M25" s="76"/>
      <c r="N25" s="53">
        <v>6</v>
      </c>
      <c r="O25" s="53">
        <v>0.8</v>
      </c>
      <c r="P25" s="53">
        <v>0.95</v>
      </c>
      <c r="Q25" s="75">
        <f t="shared" si="0"/>
        <v>0.875</v>
      </c>
      <c r="R25" s="53">
        <v>13.2</v>
      </c>
      <c r="S25" s="53">
        <v>115</v>
      </c>
      <c r="T25" s="16">
        <f t="shared" si="1"/>
        <v>30</v>
      </c>
      <c r="U25" s="53">
        <v>626</v>
      </c>
      <c r="V25" s="16">
        <f t="shared" si="2"/>
        <v>3130</v>
      </c>
      <c r="W25" s="53">
        <v>1</v>
      </c>
      <c r="X25" s="53" t="s">
        <v>46</v>
      </c>
      <c r="Y25" s="53" t="s">
        <v>78</v>
      </c>
      <c r="Z25" s="53" t="s">
        <v>69</v>
      </c>
      <c r="AA25" s="53" t="s">
        <v>102</v>
      </c>
      <c r="AB25" s="53" t="s">
        <v>158</v>
      </c>
    </row>
    <row r="26" spans="1:48" x14ac:dyDescent="0.15">
      <c r="A26" s="53" t="s">
        <v>41</v>
      </c>
      <c r="B26" s="53" t="s">
        <v>157</v>
      </c>
      <c r="C26" s="62">
        <v>2019</v>
      </c>
      <c r="D26" s="63" t="s">
        <v>165</v>
      </c>
      <c r="E26" s="53" t="s">
        <v>185</v>
      </c>
      <c r="F26" s="53" t="s">
        <v>183</v>
      </c>
      <c r="G26" s="53" t="s">
        <v>42</v>
      </c>
      <c r="H26" s="53" t="s">
        <v>164</v>
      </c>
      <c r="I26" s="53" t="s">
        <v>159</v>
      </c>
      <c r="J26" s="53" t="s">
        <v>38</v>
      </c>
      <c r="K26" s="53" t="s">
        <v>161</v>
      </c>
      <c r="L26" s="53">
        <v>1</v>
      </c>
      <c r="M26" s="76"/>
      <c r="N26" s="53">
        <v>1</v>
      </c>
      <c r="O26" s="53">
        <v>0.35</v>
      </c>
      <c r="P26" s="53">
        <v>0.4</v>
      </c>
      <c r="Q26" s="75">
        <f t="shared" si="0"/>
        <v>0.375</v>
      </c>
      <c r="R26" s="53">
        <v>16.2</v>
      </c>
      <c r="S26" s="53">
        <v>124</v>
      </c>
      <c r="T26" s="16">
        <f t="shared" si="1"/>
        <v>27</v>
      </c>
      <c r="U26" s="53">
        <v>116</v>
      </c>
      <c r="V26" s="16">
        <f t="shared" si="2"/>
        <v>3132</v>
      </c>
      <c r="W26" s="53">
        <v>2</v>
      </c>
      <c r="X26" s="53" t="s">
        <v>46</v>
      </c>
      <c r="Y26" s="53" t="s">
        <v>78</v>
      </c>
      <c r="Z26" s="53" t="s">
        <v>69</v>
      </c>
      <c r="AA26" s="53" t="s">
        <v>102</v>
      </c>
      <c r="AB26" s="53" t="s">
        <v>158</v>
      </c>
    </row>
    <row r="27" spans="1:48" x14ac:dyDescent="0.15">
      <c r="A27" s="53" t="s">
        <v>41</v>
      </c>
      <c r="B27" s="53" t="s">
        <v>157</v>
      </c>
      <c r="C27" s="62">
        <v>2019</v>
      </c>
      <c r="D27" s="63" t="s">
        <v>165</v>
      </c>
      <c r="E27" s="53" t="s">
        <v>185</v>
      </c>
      <c r="F27" s="53" t="s">
        <v>183</v>
      </c>
      <c r="G27" s="53" t="s">
        <v>42</v>
      </c>
      <c r="H27" s="53" t="s">
        <v>164</v>
      </c>
      <c r="I27" s="53" t="s">
        <v>159</v>
      </c>
      <c r="J27" s="53" t="s">
        <v>38</v>
      </c>
      <c r="K27" s="53" t="s">
        <v>161</v>
      </c>
      <c r="L27" s="53">
        <v>2</v>
      </c>
      <c r="M27" s="76"/>
      <c r="N27" s="53">
        <v>1</v>
      </c>
      <c r="O27" s="53">
        <v>0.4</v>
      </c>
      <c r="P27" s="53">
        <v>0.25</v>
      </c>
      <c r="Q27" s="75">
        <f t="shared" si="0"/>
        <v>0.32500000000000001</v>
      </c>
      <c r="R27" s="53">
        <v>12.4</v>
      </c>
      <c r="S27" s="53">
        <v>126</v>
      </c>
      <c r="T27" s="16">
        <f t="shared" si="1"/>
        <v>27</v>
      </c>
      <c r="U27" s="53">
        <v>116</v>
      </c>
      <c r="V27" s="16">
        <f t="shared" si="2"/>
        <v>3132</v>
      </c>
      <c r="W27" s="53">
        <v>2</v>
      </c>
      <c r="X27" s="53" t="s">
        <v>46</v>
      </c>
      <c r="Y27" s="53" t="s">
        <v>78</v>
      </c>
      <c r="Z27" s="53" t="s">
        <v>69</v>
      </c>
      <c r="AA27" s="53" t="s">
        <v>102</v>
      </c>
      <c r="AB27" s="53" t="s">
        <v>158</v>
      </c>
    </row>
    <row r="28" spans="1:48" x14ac:dyDescent="0.15">
      <c r="A28" s="53" t="s">
        <v>41</v>
      </c>
      <c r="B28" s="53" t="s">
        <v>157</v>
      </c>
      <c r="C28" s="62">
        <v>2019</v>
      </c>
      <c r="D28" s="63" t="s">
        <v>165</v>
      </c>
      <c r="E28" s="53" t="s">
        <v>185</v>
      </c>
      <c r="F28" s="53" t="s">
        <v>183</v>
      </c>
      <c r="G28" s="53" t="s">
        <v>42</v>
      </c>
      <c r="H28" s="53" t="s">
        <v>164</v>
      </c>
      <c r="I28" s="53" t="s">
        <v>159</v>
      </c>
      <c r="J28" s="53" t="s">
        <v>38</v>
      </c>
      <c r="K28" s="53" t="s">
        <v>161</v>
      </c>
      <c r="L28" s="53">
        <v>3</v>
      </c>
      <c r="M28" s="76"/>
      <c r="N28" s="53">
        <v>1</v>
      </c>
      <c r="O28" s="53">
        <v>0.5</v>
      </c>
      <c r="P28" s="53">
        <v>0.35</v>
      </c>
      <c r="Q28" s="75">
        <f t="shared" si="0"/>
        <v>0.42499999999999999</v>
      </c>
      <c r="R28" s="53">
        <v>11.7</v>
      </c>
      <c r="S28" s="53">
        <v>122</v>
      </c>
      <c r="T28" s="16">
        <f t="shared" si="1"/>
        <v>27</v>
      </c>
      <c r="U28" s="53">
        <v>116</v>
      </c>
      <c r="V28" s="16">
        <f t="shared" si="2"/>
        <v>3132</v>
      </c>
      <c r="W28" s="53">
        <v>2</v>
      </c>
      <c r="X28" s="53" t="s">
        <v>46</v>
      </c>
      <c r="Y28" s="53" t="s">
        <v>78</v>
      </c>
      <c r="Z28" s="53" t="s">
        <v>69</v>
      </c>
      <c r="AA28" s="53" t="s">
        <v>102</v>
      </c>
      <c r="AB28" s="53" t="s">
        <v>158</v>
      </c>
    </row>
    <row r="29" spans="1:48" x14ac:dyDescent="0.15">
      <c r="A29" s="53" t="s">
        <v>41</v>
      </c>
      <c r="B29" s="53" t="s">
        <v>157</v>
      </c>
      <c r="C29" s="62">
        <v>2019</v>
      </c>
      <c r="D29" s="63" t="s">
        <v>165</v>
      </c>
      <c r="E29" s="53" t="s">
        <v>185</v>
      </c>
      <c r="F29" s="53" t="s">
        <v>183</v>
      </c>
      <c r="G29" s="53" t="s">
        <v>42</v>
      </c>
      <c r="H29" s="53" t="s">
        <v>164</v>
      </c>
      <c r="I29" s="53" t="s">
        <v>159</v>
      </c>
      <c r="J29" s="53" t="s">
        <v>38</v>
      </c>
      <c r="K29" s="53" t="s">
        <v>161</v>
      </c>
      <c r="L29" s="53">
        <v>1</v>
      </c>
      <c r="M29" s="76"/>
      <c r="N29" s="53">
        <v>5</v>
      </c>
      <c r="O29" s="53">
        <v>0.45</v>
      </c>
      <c r="P29" s="53">
        <v>0.45</v>
      </c>
      <c r="Q29" s="75">
        <f t="shared" si="0"/>
        <v>0.45</v>
      </c>
      <c r="R29" s="53">
        <v>15.4</v>
      </c>
      <c r="S29" s="53">
        <v>117</v>
      </c>
      <c r="T29" s="16">
        <f t="shared" si="1"/>
        <v>30</v>
      </c>
      <c r="U29" s="53">
        <v>429</v>
      </c>
      <c r="V29" s="16">
        <f t="shared" si="2"/>
        <v>2574</v>
      </c>
      <c r="W29" s="53">
        <v>1</v>
      </c>
      <c r="X29" s="53" t="s">
        <v>46</v>
      </c>
      <c r="Y29" s="53" t="s">
        <v>78</v>
      </c>
      <c r="Z29" s="53" t="s">
        <v>69</v>
      </c>
      <c r="AA29" s="53" t="s">
        <v>102</v>
      </c>
      <c r="AB29" s="53" t="s">
        <v>158</v>
      </c>
    </row>
    <row r="30" spans="1:48" x14ac:dyDescent="0.15">
      <c r="A30" s="53" t="s">
        <v>41</v>
      </c>
      <c r="B30" s="53" t="s">
        <v>157</v>
      </c>
      <c r="C30" s="62">
        <v>2019</v>
      </c>
      <c r="D30" s="63" t="s">
        <v>165</v>
      </c>
      <c r="E30" s="53" t="s">
        <v>185</v>
      </c>
      <c r="F30" s="53" t="s">
        <v>183</v>
      </c>
      <c r="G30" s="53" t="s">
        <v>42</v>
      </c>
      <c r="H30" s="53" t="s">
        <v>164</v>
      </c>
      <c r="I30" s="53" t="s">
        <v>159</v>
      </c>
      <c r="J30" s="53" t="s">
        <v>38</v>
      </c>
      <c r="K30" s="53" t="s">
        <v>161</v>
      </c>
      <c r="L30" s="53">
        <v>2</v>
      </c>
      <c r="M30" s="76"/>
      <c r="N30" s="53">
        <v>5</v>
      </c>
      <c r="O30" s="53">
        <v>0.65</v>
      </c>
      <c r="P30" s="53">
        <v>0.5</v>
      </c>
      <c r="Q30" s="75">
        <f t="shared" si="0"/>
        <v>0.57499999999999996</v>
      </c>
      <c r="R30" s="53">
        <v>12.5</v>
      </c>
      <c r="S30" s="53">
        <v>115</v>
      </c>
      <c r="T30" s="16">
        <f t="shared" si="1"/>
        <v>30</v>
      </c>
      <c r="U30" s="53">
        <v>429</v>
      </c>
      <c r="V30" s="16">
        <f t="shared" si="2"/>
        <v>2574</v>
      </c>
      <c r="W30" s="53">
        <v>1</v>
      </c>
      <c r="X30" s="53" t="s">
        <v>46</v>
      </c>
      <c r="Y30" s="53" t="s">
        <v>78</v>
      </c>
      <c r="Z30" s="53" t="s">
        <v>69</v>
      </c>
      <c r="AA30" s="53" t="s">
        <v>102</v>
      </c>
      <c r="AB30" s="53" t="s">
        <v>158</v>
      </c>
    </row>
    <row r="31" spans="1:48" x14ac:dyDescent="0.15">
      <c r="A31" s="53" t="s">
        <v>41</v>
      </c>
      <c r="B31" s="53" t="s">
        <v>157</v>
      </c>
      <c r="C31" s="62">
        <v>2019</v>
      </c>
      <c r="D31" s="63" t="s">
        <v>165</v>
      </c>
      <c r="E31" s="53" t="s">
        <v>185</v>
      </c>
      <c r="F31" s="53" t="s">
        <v>183</v>
      </c>
      <c r="G31" s="53" t="s">
        <v>42</v>
      </c>
      <c r="H31" s="53" t="s">
        <v>164</v>
      </c>
      <c r="I31" s="53" t="s">
        <v>159</v>
      </c>
      <c r="J31" s="53" t="s">
        <v>38</v>
      </c>
      <c r="K31" s="53" t="s">
        <v>161</v>
      </c>
      <c r="L31" s="53">
        <v>3</v>
      </c>
      <c r="M31" s="76"/>
      <c r="N31" s="53">
        <v>5</v>
      </c>
      <c r="O31" s="53">
        <v>0.5</v>
      </c>
      <c r="P31" s="53">
        <v>0.5</v>
      </c>
      <c r="Q31" s="75">
        <f t="shared" si="0"/>
        <v>0.5</v>
      </c>
      <c r="R31" s="53">
        <v>13.6</v>
      </c>
      <c r="S31" s="53">
        <v>118</v>
      </c>
      <c r="T31" s="16">
        <f t="shared" si="1"/>
        <v>30</v>
      </c>
      <c r="U31" s="53">
        <v>429</v>
      </c>
      <c r="V31" s="16">
        <f t="shared" si="2"/>
        <v>2574</v>
      </c>
      <c r="W31" s="53">
        <v>1</v>
      </c>
      <c r="X31" s="53" t="s">
        <v>46</v>
      </c>
      <c r="Y31" s="53" t="s">
        <v>78</v>
      </c>
      <c r="Z31" s="53" t="s">
        <v>69</v>
      </c>
      <c r="AA31" s="53" t="s">
        <v>102</v>
      </c>
      <c r="AB31" s="53" t="s">
        <v>158</v>
      </c>
    </row>
    <row r="32" spans="1:48" x14ac:dyDescent="0.15">
      <c r="A32" s="53" t="s">
        <v>41</v>
      </c>
      <c r="B32" s="53" t="s">
        <v>157</v>
      </c>
      <c r="C32" s="62">
        <v>2019</v>
      </c>
      <c r="D32" s="63" t="s">
        <v>165</v>
      </c>
      <c r="E32" s="53" t="s">
        <v>185</v>
      </c>
      <c r="F32" s="53" t="s">
        <v>183</v>
      </c>
      <c r="G32" s="53" t="s">
        <v>42</v>
      </c>
      <c r="H32" s="53" t="s">
        <v>164</v>
      </c>
      <c r="I32" s="53" t="s">
        <v>159</v>
      </c>
      <c r="J32" s="53" t="s">
        <v>38</v>
      </c>
      <c r="K32" s="53" t="s">
        <v>161</v>
      </c>
      <c r="L32" s="53">
        <v>1</v>
      </c>
      <c r="M32" s="76"/>
      <c r="N32" s="53">
        <v>8</v>
      </c>
      <c r="O32" s="53">
        <v>1</v>
      </c>
      <c r="P32" s="53">
        <v>1.1000000000000001</v>
      </c>
      <c r="Q32" s="75">
        <f t="shared" si="0"/>
        <v>1.05</v>
      </c>
      <c r="R32" s="53">
        <v>13</v>
      </c>
      <c r="S32" s="53">
        <v>107</v>
      </c>
      <c r="T32" s="16">
        <f t="shared" si="1"/>
        <v>33</v>
      </c>
      <c r="U32" s="53">
        <v>626</v>
      </c>
      <c r="V32" s="16">
        <f t="shared" si="2"/>
        <v>2582.25</v>
      </c>
      <c r="W32" s="53">
        <v>1</v>
      </c>
      <c r="X32" s="53" t="s">
        <v>46</v>
      </c>
      <c r="Y32" s="53" t="s">
        <v>78</v>
      </c>
      <c r="Z32" s="53" t="s">
        <v>69</v>
      </c>
      <c r="AA32" s="53" t="s">
        <v>102</v>
      </c>
      <c r="AB32" s="53" t="s">
        <v>158</v>
      </c>
    </row>
    <row r="33" spans="1:28" x14ac:dyDescent="0.15">
      <c r="A33" s="53" t="s">
        <v>41</v>
      </c>
      <c r="B33" s="53" t="s">
        <v>157</v>
      </c>
      <c r="C33" s="62">
        <v>2019</v>
      </c>
      <c r="D33" s="63" t="s">
        <v>165</v>
      </c>
      <c r="E33" s="53" t="s">
        <v>185</v>
      </c>
      <c r="F33" s="53" t="s">
        <v>183</v>
      </c>
      <c r="G33" s="53" t="s">
        <v>42</v>
      </c>
      <c r="H33" s="53" t="s">
        <v>164</v>
      </c>
      <c r="I33" s="53" t="s">
        <v>159</v>
      </c>
      <c r="J33" s="53" t="s">
        <v>38</v>
      </c>
      <c r="K33" s="53" t="s">
        <v>161</v>
      </c>
      <c r="L33" s="53">
        <v>2</v>
      </c>
      <c r="M33" s="76"/>
      <c r="N33" s="53">
        <v>8</v>
      </c>
      <c r="O33" s="53">
        <v>1.2</v>
      </c>
      <c r="P33" s="53">
        <v>1.3</v>
      </c>
      <c r="Q33" s="75">
        <f t="shared" si="0"/>
        <v>1.25</v>
      </c>
      <c r="R33" s="53">
        <v>14</v>
      </c>
      <c r="S33" s="53">
        <v>108</v>
      </c>
      <c r="T33" s="16">
        <f t="shared" si="1"/>
        <v>33</v>
      </c>
      <c r="U33" s="53">
        <v>626</v>
      </c>
      <c r="V33" s="16">
        <f t="shared" si="2"/>
        <v>2582.25</v>
      </c>
      <c r="W33" s="53">
        <v>1</v>
      </c>
      <c r="X33" s="53" t="s">
        <v>46</v>
      </c>
      <c r="Y33" s="53" t="s">
        <v>78</v>
      </c>
      <c r="Z33" s="53" t="s">
        <v>69</v>
      </c>
      <c r="AA33" s="53" t="s">
        <v>102</v>
      </c>
      <c r="AB33" s="53" t="s">
        <v>158</v>
      </c>
    </row>
    <row r="34" spans="1:28" x14ac:dyDescent="0.15">
      <c r="A34" s="53" t="s">
        <v>41</v>
      </c>
      <c r="B34" s="53" t="s">
        <v>157</v>
      </c>
      <c r="C34" s="62">
        <v>2019</v>
      </c>
      <c r="D34" s="63" t="s">
        <v>165</v>
      </c>
      <c r="E34" s="53" t="s">
        <v>185</v>
      </c>
      <c r="F34" s="53" t="s">
        <v>183</v>
      </c>
      <c r="G34" s="53" t="s">
        <v>42</v>
      </c>
      <c r="H34" s="53" t="s">
        <v>164</v>
      </c>
      <c r="I34" s="53" t="s">
        <v>159</v>
      </c>
      <c r="J34" s="53" t="s">
        <v>38</v>
      </c>
      <c r="K34" s="53" t="s">
        <v>161</v>
      </c>
      <c r="L34" s="53">
        <v>3</v>
      </c>
      <c r="M34" s="76"/>
      <c r="N34" s="53">
        <v>8</v>
      </c>
      <c r="O34" s="53">
        <v>1.3</v>
      </c>
      <c r="P34" s="53">
        <v>1.1499999999999999</v>
      </c>
      <c r="Q34" s="75">
        <f t="shared" si="0"/>
        <v>1.2250000000000001</v>
      </c>
      <c r="R34" s="53">
        <v>12.6</v>
      </c>
      <c r="S34" s="53">
        <v>110</v>
      </c>
      <c r="T34" s="16">
        <f t="shared" si="1"/>
        <v>33</v>
      </c>
      <c r="U34" s="53">
        <v>626</v>
      </c>
      <c r="V34" s="16">
        <f t="shared" si="2"/>
        <v>2582.25</v>
      </c>
      <c r="W34" s="53">
        <v>1</v>
      </c>
      <c r="X34" s="53" t="s">
        <v>46</v>
      </c>
      <c r="Y34" s="53" t="s">
        <v>78</v>
      </c>
      <c r="Z34" s="53" t="s">
        <v>69</v>
      </c>
      <c r="AA34" s="53" t="s">
        <v>102</v>
      </c>
      <c r="AB34" s="53" t="s">
        <v>158</v>
      </c>
    </row>
    <row r="35" spans="1:28" x14ac:dyDescent="0.15">
      <c r="A35" s="53" t="s">
        <v>41</v>
      </c>
      <c r="B35" s="53" t="s">
        <v>157</v>
      </c>
      <c r="C35" s="62">
        <v>2019</v>
      </c>
      <c r="D35" s="63" t="s">
        <v>165</v>
      </c>
      <c r="E35" s="53" t="s">
        <v>185</v>
      </c>
      <c r="F35" s="53" t="s">
        <v>187</v>
      </c>
      <c r="G35" s="53" t="s">
        <v>42</v>
      </c>
      <c r="H35" s="53" t="s">
        <v>160</v>
      </c>
      <c r="I35" s="53" t="s">
        <v>159</v>
      </c>
      <c r="J35" s="53" t="s">
        <v>38</v>
      </c>
      <c r="K35" s="53" t="s">
        <v>161</v>
      </c>
      <c r="L35" s="53">
        <v>1</v>
      </c>
      <c r="M35" s="76"/>
      <c r="N35" s="53">
        <v>1</v>
      </c>
      <c r="O35" s="53">
        <v>0.5</v>
      </c>
      <c r="P35" s="53">
        <v>0.7</v>
      </c>
      <c r="Q35" s="16">
        <f t="shared" si="0"/>
        <v>0.6</v>
      </c>
      <c r="R35" s="53">
        <v>16.2</v>
      </c>
      <c r="S35" s="53">
        <v>126</v>
      </c>
      <c r="T35" s="16">
        <f t="shared" si="1"/>
        <v>27</v>
      </c>
      <c r="U35" s="53">
        <v>116</v>
      </c>
      <c r="V35" s="16">
        <f t="shared" si="2"/>
        <v>3132</v>
      </c>
      <c r="W35" s="53">
        <v>2</v>
      </c>
      <c r="X35" s="53" t="s">
        <v>46</v>
      </c>
      <c r="Y35" s="53" t="s">
        <v>69</v>
      </c>
      <c r="Z35" s="53" t="s">
        <v>102</v>
      </c>
      <c r="AA35" s="53" t="s">
        <v>78</v>
      </c>
      <c r="AB35" s="53" t="s">
        <v>158</v>
      </c>
    </row>
    <row r="36" spans="1:28" x14ac:dyDescent="0.15">
      <c r="A36" s="53" t="s">
        <v>41</v>
      </c>
      <c r="B36" s="53" t="s">
        <v>157</v>
      </c>
      <c r="C36" s="62">
        <v>2019</v>
      </c>
      <c r="D36" s="63" t="s">
        <v>165</v>
      </c>
      <c r="E36" s="53" t="s">
        <v>185</v>
      </c>
      <c r="F36" s="53" t="s">
        <v>187</v>
      </c>
      <c r="G36" s="53" t="s">
        <v>42</v>
      </c>
      <c r="H36" s="53" t="s">
        <v>160</v>
      </c>
      <c r="I36" s="53" t="s">
        <v>159</v>
      </c>
      <c r="J36" s="53" t="s">
        <v>38</v>
      </c>
      <c r="K36" s="53" t="s">
        <v>161</v>
      </c>
      <c r="L36" s="53">
        <v>2</v>
      </c>
      <c r="M36" s="76"/>
      <c r="N36" s="53">
        <v>1</v>
      </c>
      <c r="O36" s="53">
        <v>0.95</v>
      </c>
      <c r="P36" s="53">
        <v>0.8</v>
      </c>
      <c r="Q36" s="16">
        <f t="shared" si="0"/>
        <v>0.875</v>
      </c>
      <c r="R36" s="53">
        <v>15.2</v>
      </c>
      <c r="S36" s="53">
        <v>123</v>
      </c>
      <c r="T36" s="16">
        <f t="shared" si="1"/>
        <v>27</v>
      </c>
      <c r="U36" s="53">
        <v>116</v>
      </c>
      <c r="V36" s="16">
        <f t="shared" si="2"/>
        <v>3132</v>
      </c>
      <c r="W36" s="53">
        <v>2</v>
      </c>
      <c r="X36" s="53" t="s">
        <v>46</v>
      </c>
      <c r="Y36" s="53" t="s">
        <v>69</v>
      </c>
      <c r="Z36" s="53" t="s">
        <v>102</v>
      </c>
      <c r="AA36" s="53" t="s">
        <v>78</v>
      </c>
      <c r="AB36" s="53" t="s">
        <v>158</v>
      </c>
    </row>
    <row r="37" spans="1:28" x14ac:dyDescent="0.15">
      <c r="A37" s="53" t="s">
        <v>41</v>
      </c>
      <c r="B37" s="53" t="s">
        <v>157</v>
      </c>
      <c r="C37" s="62">
        <v>2019</v>
      </c>
      <c r="D37" s="63" t="s">
        <v>165</v>
      </c>
      <c r="E37" s="53" t="s">
        <v>185</v>
      </c>
      <c r="F37" s="53" t="s">
        <v>187</v>
      </c>
      <c r="G37" s="53" t="s">
        <v>42</v>
      </c>
      <c r="H37" s="53" t="s">
        <v>160</v>
      </c>
      <c r="I37" s="53" t="s">
        <v>159</v>
      </c>
      <c r="J37" s="53" t="s">
        <v>38</v>
      </c>
      <c r="K37" s="53" t="s">
        <v>161</v>
      </c>
      <c r="L37" s="53">
        <v>3</v>
      </c>
      <c r="M37" s="76"/>
      <c r="N37" s="53">
        <v>1</v>
      </c>
      <c r="O37" s="53">
        <v>0.8</v>
      </c>
      <c r="P37" s="53">
        <v>0.75</v>
      </c>
      <c r="Q37" s="16">
        <f t="shared" si="0"/>
        <v>0.77500000000000002</v>
      </c>
      <c r="R37" s="53">
        <v>15.2</v>
      </c>
      <c r="S37" s="53">
        <v>123</v>
      </c>
      <c r="T37" s="16">
        <f t="shared" si="1"/>
        <v>27</v>
      </c>
      <c r="U37" s="53">
        <v>116</v>
      </c>
      <c r="V37" s="16">
        <f t="shared" si="2"/>
        <v>3132</v>
      </c>
      <c r="W37" s="53">
        <v>2</v>
      </c>
      <c r="X37" s="53" t="s">
        <v>46</v>
      </c>
      <c r="Y37" s="53" t="s">
        <v>69</v>
      </c>
      <c r="Z37" s="53" t="s">
        <v>102</v>
      </c>
      <c r="AA37" s="53" t="s">
        <v>78</v>
      </c>
      <c r="AB37" s="53" t="s">
        <v>158</v>
      </c>
    </row>
    <row r="38" spans="1:28" x14ac:dyDescent="0.15">
      <c r="A38" s="53" t="s">
        <v>41</v>
      </c>
      <c r="B38" s="53" t="s">
        <v>157</v>
      </c>
      <c r="C38" s="62">
        <v>2019</v>
      </c>
      <c r="D38" s="63" t="s">
        <v>165</v>
      </c>
      <c r="E38" s="53" t="s">
        <v>185</v>
      </c>
      <c r="F38" s="53" t="s">
        <v>187</v>
      </c>
      <c r="G38" s="53" t="s">
        <v>42</v>
      </c>
      <c r="H38" s="53" t="s">
        <v>160</v>
      </c>
      <c r="I38" s="53" t="s">
        <v>159</v>
      </c>
      <c r="J38" s="53" t="s">
        <v>38</v>
      </c>
      <c r="K38" s="53" t="s">
        <v>161</v>
      </c>
      <c r="L38" s="53">
        <v>1</v>
      </c>
      <c r="M38" s="76"/>
      <c r="N38" s="53">
        <v>4</v>
      </c>
      <c r="O38" s="53">
        <v>1</v>
      </c>
      <c r="P38" s="53">
        <v>1.1499999999999999</v>
      </c>
      <c r="Q38" s="16">
        <f t="shared" si="0"/>
        <v>1.075</v>
      </c>
      <c r="R38" s="53">
        <v>14.1</v>
      </c>
      <c r="S38" s="53">
        <v>115</v>
      </c>
      <c r="T38" s="16">
        <f t="shared" si="1"/>
        <v>30</v>
      </c>
      <c r="U38" s="53">
        <v>429</v>
      </c>
      <c r="V38" s="16">
        <f t="shared" si="2"/>
        <v>3217.5</v>
      </c>
      <c r="W38" s="53">
        <v>2</v>
      </c>
      <c r="X38" s="53" t="s">
        <v>46</v>
      </c>
      <c r="Y38" s="53" t="s">
        <v>69</v>
      </c>
      <c r="Z38" s="53" t="s">
        <v>102</v>
      </c>
      <c r="AA38" s="53" t="s">
        <v>78</v>
      </c>
      <c r="AB38" s="53" t="s">
        <v>158</v>
      </c>
    </row>
    <row r="39" spans="1:28" x14ac:dyDescent="0.15">
      <c r="A39" s="53" t="s">
        <v>41</v>
      </c>
      <c r="B39" s="53" t="s">
        <v>157</v>
      </c>
      <c r="C39" s="62">
        <v>2019</v>
      </c>
      <c r="D39" s="63" t="s">
        <v>165</v>
      </c>
      <c r="E39" s="53" t="s">
        <v>185</v>
      </c>
      <c r="F39" s="53" t="s">
        <v>187</v>
      </c>
      <c r="G39" s="53" t="s">
        <v>42</v>
      </c>
      <c r="H39" s="53" t="s">
        <v>160</v>
      </c>
      <c r="I39" s="53" t="s">
        <v>159</v>
      </c>
      <c r="J39" s="53" t="s">
        <v>38</v>
      </c>
      <c r="K39" s="53" t="s">
        <v>161</v>
      </c>
      <c r="L39" s="53">
        <v>2</v>
      </c>
      <c r="M39" s="76"/>
      <c r="N39" s="53">
        <v>4</v>
      </c>
      <c r="O39" s="53">
        <v>0.9</v>
      </c>
      <c r="P39" s="53">
        <v>1.05</v>
      </c>
      <c r="Q39" s="16">
        <f t="shared" si="0"/>
        <v>0.97500000000000009</v>
      </c>
      <c r="R39" s="53">
        <v>14.6</v>
      </c>
      <c r="S39" s="53">
        <v>114</v>
      </c>
      <c r="T39" s="16">
        <f t="shared" si="1"/>
        <v>30</v>
      </c>
      <c r="U39" s="53">
        <v>429</v>
      </c>
      <c r="V39" s="16">
        <f t="shared" si="2"/>
        <v>3217.5</v>
      </c>
      <c r="W39" s="53">
        <v>2</v>
      </c>
      <c r="X39" s="53" t="s">
        <v>46</v>
      </c>
      <c r="Y39" s="53" t="s">
        <v>69</v>
      </c>
      <c r="Z39" s="53" t="s">
        <v>102</v>
      </c>
      <c r="AA39" s="53" t="s">
        <v>78</v>
      </c>
      <c r="AB39" s="53" t="s">
        <v>158</v>
      </c>
    </row>
    <row r="40" spans="1:28" x14ac:dyDescent="0.15">
      <c r="A40" s="53" t="s">
        <v>41</v>
      </c>
      <c r="B40" s="53" t="s">
        <v>157</v>
      </c>
      <c r="C40" s="62">
        <v>2019</v>
      </c>
      <c r="D40" s="63" t="s">
        <v>165</v>
      </c>
      <c r="E40" s="53" t="s">
        <v>185</v>
      </c>
      <c r="F40" s="53" t="s">
        <v>187</v>
      </c>
      <c r="G40" s="53" t="s">
        <v>42</v>
      </c>
      <c r="H40" s="53" t="s">
        <v>160</v>
      </c>
      <c r="I40" s="53" t="s">
        <v>159</v>
      </c>
      <c r="J40" s="53" t="s">
        <v>38</v>
      </c>
      <c r="K40" s="53" t="s">
        <v>161</v>
      </c>
      <c r="L40" s="53">
        <v>3</v>
      </c>
      <c r="M40" s="76"/>
      <c r="N40" s="53">
        <v>4</v>
      </c>
      <c r="O40" s="53">
        <v>0.85</v>
      </c>
      <c r="P40" s="53">
        <v>0.7</v>
      </c>
      <c r="Q40" s="16">
        <f t="shared" si="0"/>
        <v>0.77499999999999991</v>
      </c>
      <c r="R40" s="53">
        <v>12.6</v>
      </c>
      <c r="S40" s="53">
        <v>115</v>
      </c>
      <c r="T40" s="16">
        <f t="shared" si="1"/>
        <v>30</v>
      </c>
      <c r="U40" s="53">
        <v>429</v>
      </c>
      <c r="V40" s="16">
        <f t="shared" si="2"/>
        <v>3217.5</v>
      </c>
      <c r="W40" s="53">
        <v>2</v>
      </c>
      <c r="X40" s="53" t="s">
        <v>46</v>
      </c>
      <c r="Y40" s="53" t="s">
        <v>69</v>
      </c>
      <c r="Z40" s="53" t="s">
        <v>102</v>
      </c>
      <c r="AA40" s="53" t="s">
        <v>78</v>
      </c>
      <c r="AB40" s="53" t="s">
        <v>158</v>
      </c>
    </row>
    <row r="41" spans="1:28" x14ac:dyDescent="0.15">
      <c r="A41" s="53" t="s">
        <v>41</v>
      </c>
      <c r="B41" s="53" t="s">
        <v>157</v>
      </c>
      <c r="C41" s="62">
        <v>2019</v>
      </c>
      <c r="D41" s="63" t="s">
        <v>165</v>
      </c>
      <c r="E41" s="53" t="s">
        <v>185</v>
      </c>
      <c r="F41" s="53" t="s">
        <v>187</v>
      </c>
      <c r="G41" s="53" t="s">
        <v>42</v>
      </c>
      <c r="H41" s="53" t="s">
        <v>160</v>
      </c>
      <c r="I41" s="53" t="s">
        <v>159</v>
      </c>
      <c r="J41" s="53" t="s">
        <v>38</v>
      </c>
      <c r="K41" s="53" t="s">
        <v>161</v>
      </c>
      <c r="L41" s="53">
        <v>1</v>
      </c>
      <c r="M41" s="76"/>
      <c r="N41" s="53">
        <v>6</v>
      </c>
      <c r="O41" s="53">
        <v>0.3</v>
      </c>
      <c r="P41" s="53">
        <v>0.35</v>
      </c>
      <c r="Q41" s="16">
        <f t="shared" si="0"/>
        <v>0.32499999999999996</v>
      </c>
      <c r="R41" s="53">
        <v>13.5</v>
      </c>
      <c r="S41" s="53">
        <v>107</v>
      </c>
      <c r="T41" s="16">
        <f t="shared" si="1"/>
        <v>33</v>
      </c>
      <c r="U41" s="53">
        <v>626</v>
      </c>
      <c r="V41" s="16">
        <f t="shared" si="2"/>
        <v>3443</v>
      </c>
      <c r="W41" s="53">
        <v>2</v>
      </c>
      <c r="X41" s="53" t="s">
        <v>46</v>
      </c>
      <c r="Y41" s="53" t="s">
        <v>69</v>
      </c>
      <c r="Z41" s="53" t="s">
        <v>102</v>
      </c>
      <c r="AA41" s="53" t="s">
        <v>78</v>
      </c>
      <c r="AB41" s="53" t="s">
        <v>158</v>
      </c>
    </row>
    <row r="42" spans="1:28" x14ac:dyDescent="0.15">
      <c r="A42" s="53" t="s">
        <v>41</v>
      </c>
      <c r="B42" s="53" t="s">
        <v>157</v>
      </c>
      <c r="C42" s="62">
        <v>2019</v>
      </c>
      <c r="D42" s="63" t="s">
        <v>165</v>
      </c>
      <c r="E42" s="53" t="s">
        <v>185</v>
      </c>
      <c r="F42" s="53" t="s">
        <v>187</v>
      </c>
      <c r="G42" s="53" t="s">
        <v>42</v>
      </c>
      <c r="H42" s="53" t="s">
        <v>160</v>
      </c>
      <c r="I42" s="53" t="s">
        <v>159</v>
      </c>
      <c r="J42" s="53" t="s">
        <v>38</v>
      </c>
      <c r="K42" s="53" t="s">
        <v>161</v>
      </c>
      <c r="L42" s="53">
        <v>2</v>
      </c>
      <c r="M42" s="76"/>
      <c r="N42" s="53">
        <v>6</v>
      </c>
      <c r="O42" s="53">
        <v>0.4</v>
      </c>
      <c r="P42" s="53">
        <v>0.35</v>
      </c>
      <c r="Q42" s="16">
        <f t="shared" si="0"/>
        <v>0.375</v>
      </c>
      <c r="R42" s="53">
        <v>13.7</v>
      </c>
      <c r="S42" s="53">
        <v>105</v>
      </c>
      <c r="T42" s="16">
        <f t="shared" si="1"/>
        <v>33</v>
      </c>
      <c r="U42" s="53">
        <v>626</v>
      </c>
      <c r="V42" s="16">
        <f t="shared" si="2"/>
        <v>3443</v>
      </c>
      <c r="W42" s="53">
        <v>2</v>
      </c>
      <c r="X42" s="53" t="s">
        <v>46</v>
      </c>
      <c r="Y42" s="53" t="s">
        <v>69</v>
      </c>
      <c r="Z42" s="53" t="s">
        <v>102</v>
      </c>
      <c r="AA42" s="53" t="s">
        <v>78</v>
      </c>
      <c r="AB42" s="53" t="s">
        <v>158</v>
      </c>
    </row>
    <row r="43" spans="1:28" x14ac:dyDescent="0.15">
      <c r="A43" s="53" t="s">
        <v>41</v>
      </c>
      <c r="B43" s="53" t="s">
        <v>157</v>
      </c>
      <c r="C43" s="62">
        <v>2019</v>
      </c>
      <c r="D43" s="63" t="s">
        <v>165</v>
      </c>
      <c r="E43" s="53" t="s">
        <v>185</v>
      </c>
      <c r="F43" s="53" t="s">
        <v>187</v>
      </c>
      <c r="G43" s="53" t="s">
        <v>42</v>
      </c>
      <c r="H43" s="53" t="s">
        <v>160</v>
      </c>
      <c r="I43" s="53" t="s">
        <v>159</v>
      </c>
      <c r="J43" s="53" t="s">
        <v>38</v>
      </c>
      <c r="K43" s="53" t="s">
        <v>161</v>
      </c>
      <c r="L43" s="53">
        <v>3</v>
      </c>
      <c r="M43" s="76"/>
      <c r="N43" s="53">
        <v>6</v>
      </c>
      <c r="O43" s="53">
        <v>0.35</v>
      </c>
      <c r="P43" s="53">
        <v>0.3</v>
      </c>
      <c r="Q43" s="16">
        <f t="shared" si="0"/>
        <v>0.32499999999999996</v>
      </c>
      <c r="R43" s="53">
        <v>13.8</v>
      </c>
      <c r="S43" s="53">
        <v>105</v>
      </c>
      <c r="T43" s="16">
        <f t="shared" si="1"/>
        <v>33</v>
      </c>
      <c r="U43" s="53">
        <v>626</v>
      </c>
      <c r="V43" s="16">
        <f t="shared" si="2"/>
        <v>3443</v>
      </c>
      <c r="W43" s="53">
        <v>2</v>
      </c>
      <c r="X43" s="53" t="s">
        <v>46</v>
      </c>
      <c r="Y43" s="53" t="s">
        <v>69</v>
      </c>
      <c r="Z43" s="53" t="s">
        <v>102</v>
      </c>
      <c r="AA43" s="53" t="s">
        <v>78</v>
      </c>
      <c r="AB43" s="53" t="s">
        <v>158</v>
      </c>
    </row>
    <row r="44" spans="1:28" x14ac:dyDescent="0.15">
      <c r="A44" s="53" t="s">
        <v>41</v>
      </c>
      <c r="B44" s="53" t="s">
        <v>157</v>
      </c>
      <c r="C44" s="62">
        <v>2019</v>
      </c>
      <c r="D44" s="63" t="s">
        <v>165</v>
      </c>
      <c r="E44" s="53" t="s">
        <v>185</v>
      </c>
      <c r="F44" s="53" t="s">
        <v>187</v>
      </c>
      <c r="G44" s="53" t="s">
        <v>42</v>
      </c>
      <c r="H44" s="53" t="s">
        <v>164</v>
      </c>
      <c r="I44" s="53" t="s">
        <v>159</v>
      </c>
      <c r="J44" s="53" t="s">
        <v>38</v>
      </c>
      <c r="K44" s="53" t="s">
        <v>161</v>
      </c>
      <c r="L44" s="53">
        <v>1</v>
      </c>
      <c r="M44" s="76"/>
      <c r="N44" s="53">
        <v>1</v>
      </c>
      <c r="O44" s="53">
        <v>0.25</v>
      </c>
      <c r="P44" s="53">
        <v>0.25</v>
      </c>
      <c r="Q44" s="16">
        <f t="shared" si="0"/>
        <v>0.25</v>
      </c>
      <c r="R44" s="53">
        <v>12.1</v>
      </c>
      <c r="S44" s="53">
        <v>127</v>
      </c>
      <c r="T44" s="16">
        <f t="shared" si="1"/>
        <v>27</v>
      </c>
      <c r="U44" s="53">
        <v>116</v>
      </c>
      <c r="V44" s="16">
        <f t="shared" si="2"/>
        <v>3132</v>
      </c>
      <c r="W44" s="53">
        <v>2</v>
      </c>
      <c r="X44" s="53" t="s">
        <v>46</v>
      </c>
      <c r="Y44" s="53" t="s">
        <v>69</v>
      </c>
      <c r="Z44" s="53" t="s">
        <v>102</v>
      </c>
      <c r="AA44" s="53" t="s">
        <v>78</v>
      </c>
      <c r="AB44" s="53" t="s">
        <v>158</v>
      </c>
    </row>
    <row r="45" spans="1:28" x14ac:dyDescent="0.15">
      <c r="A45" s="53" t="s">
        <v>41</v>
      </c>
      <c r="B45" s="53" t="s">
        <v>157</v>
      </c>
      <c r="C45" s="62">
        <v>2019</v>
      </c>
      <c r="D45" s="63" t="s">
        <v>165</v>
      </c>
      <c r="E45" s="53" t="s">
        <v>185</v>
      </c>
      <c r="F45" s="53" t="s">
        <v>187</v>
      </c>
      <c r="G45" s="53" t="s">
        <v>42</v>
      </c>
      <c r="H45" s="53" t="s">
        <v>164</v>
      </c>
      <c r="I45" s="53" t="s">
        <v>159</v>
      </c>
      <c r="J45" s="53" t="s">
        <v>38</v>
      </c>
      <c r="K45" s="53" t="s">
        <v>161</v>
      </c>
      <c r="L45" s="53">
        <v>2</v>
      </c>
      <c r="M45" s="76"/>
      <c r="N45" s="53">
        <v>1</v>
      </c>
      <c r="O45" s="53">
        <v>0.3</v>
      </c>
      <c r="P45" s="53">
        <v>0.3</v>
      </c>
      <c r="Q45" s="16">
        <f t="shared" si="0"/>
        <v>0.3</v>
      </c>
      <c r="R45" s="53">
        <v>11.4</v>
      </c>
      <c r="S45" s="53">
        <v>125</v>
      </c>
      <c r="T45" s="16">
        <f t="shared" si="1"/>
        <v>27</v>
      </c>
      <c r="U45" s="53">
        <v>116</v>
      </c>
      <c r="V45" s="16">
        <f t="shared" si="2"/>
        <v>3132</v>
      </c>
      <c r="W45" s="53">
        <v>2</v>
      </c>
      <c r="X45" s="53" t="s">
        <v>46</v>
      </c>
      <c r="Y45" s="53" t="s">
        <v>69</v>
      </c>
      <c r="Z45" s="53" t="s">
        <v>102</v>
      </c>
      <c r="AA45" s="53" t="s">
        <v>78</v>
      </c>
      <c r="AB45" s="53" t="s">
        <v>158</v>
      </c>
    </row>
    <row r="46" spans="1:28" x14ac:dyDescent="0.15">
      <c r="A46" s="53" t="s">
        <v>41</v>
      </c>
      <c r="B46" s="53" t="s">
        <v>157</v>
      </c>
      <c r="C46" s="62">
        <v>2019</v>
      </c>
      <c r="D46" s="63" t="s">
        <v>165</v>
      </c>
      <c r="E46" s="53" t="s">
        <v>185</v>
      </c>
      <c r="F46" s="53" t="s">
        <v>187</v>
      </c>
      <c r="G46" s="53" t="s">
        <v>42</v>
      </c>
      <c r="H46" s="53" t="s">
        <v>164</v>
      </c>
      <c r="I46" s="53" t="s">
        <v>159</v>
      </c>
      <c r="J46" s="53" t="s">
        <v>38</v>
      </c>
      <c r="K46" s="53" t="s">
        <v>161</v>
      </c>
      <c r="L46" s="53">
        <v>3</v>
      </c>
      <c r="M46" s="76"/>
      <c r="N46" s="53">
        <v>1</v>
      </c>
      <c r="O46" s="53">
        <v>0.25</v>
      </c>
      <c r="P46" s="53">
        <v>0.3</v>
      </c>
      <c r="Q46" s="16">
        <f t="shared" si="0"/>
        <v>0.27500000000000002</v>
      </c>
      <c r="R46" s="53">
        <v>12</v>
      </c>
      <c r="S46" s="53">
        <v>125</v>
      </c>
      <c r="T46" s="16">
        <f t="shared" si="1"/>
        <v>27</v>
      </c>
      <c r="U46" s="53">
        <v>116</v>
      </c>
      <c r="V46" s="16">
        <f t="shared" si="2"/>
        <v>3132</v>
      </c>
      <c r="W46" s="53">
        <v>2</v>
      </c>
      <c r="X46" s="53" t="s">
        <v>46</v>
      </c>
      <c r="Y46" s="53" t="s">
        <v>69</v>
      </c>
      <c r="Z46" s="53" t="s">
        <v>102</v>
      </c>
      <c r="AA46" s="53" t="s">
        <v>78</v>
      </c>
      <c r="AB46" s="53" t="s">
        <v>158</v>
      </c>
    </row>
    <row r="47" spans="1:28" x14ac:dyDescent="0.15">
      <c r="A47" s="53" t="s">
        <v>41</v>
      </c>
      <c r="B47" s="53" t="s">
        <v>157</v>
      </c>
      <c r="C47" s="62">
        <v>2019</v>
      </c>
      <c r="D47" s="63" t="s">
        <v>165</v>
      </c>
      <c r="E47" s="53" t="s">
        <v>185</v>
      </c>
      <c r="F47" s="53" t="s">
        <v>187</v>
      </c>
      <c r="G47" s="53" t="s">
        <v>42</v>
      </c>
      <c r="H47" s="53" t="s">
        <v>164</v>
      </c>
      <c r="I47" s="53" t="s">
        <v>159</v>
      </c>
      <c r="J47" s="53" t="s">
        <v>38</v>
      </c>
      <c r="K47" s="53" t="s">
        <v>161</v>
      </c>
      <c r="L47" s="53">
        <v>1</v>
      </c>
      <c r="M47" s="76"/>
      <c r="N47" s="53">
        <v>5</v>
      </c>
      <c r="O47" s="53">
        <v>0.5</v>
      </c>
      <c r="P47" s="53">
        <v>0.65</v>
      </c>
      <c r="Q47" s="16">
        <f t="shared" si="0"/>
        <v>0.57499999999999996</v>
      </c>
      <c r="R47" s="53">
        <v>12.8</v>
      </c>
      <c r="S47" s="53">
        <v>122</v>
      </c>
      <c r="T47" s="16">
        <f t="shared" si="1"/>
        <v>27</v>
      </c>
      <c r="U47" s="53">
        <v>429</v>
      </c>
      <c r="V47" s="16">
        <f t="shared" si="2"/>
        <v>2316.6</v>
      </c>
      <c r="W47" s="53">
        <v>2</v>
      </c>
      <c r="X47" s="53" t="s">
        <v>46</v>
      </c>
      <c r="Y47" s="53" t="s">
        <v>69</v>
      </c>
      <c r="Z47" s="53" t="s">
        <v>102</v>
      </c>
      <c r="AA47" s="53" t="s">
        <v>78</v>
      </c>
      <c r="AB47" s="53" t="s">
        <v>158</v>
      </c>
    </row>
    <row r="48" spans="1:28" x14ac:dyDescent="0.15">
      <c r="A48" s="53" t="s">
        <v>41</v>
      </c>
      <c r="B48" s="53" t="s">
        <v>157</v>
      </c>
      <c r="C48" s="62">
        <v>2019</v>
      </c>
      <c r="D48" s="63" t="s">
        <v>165</v>
      </c>
      <c r="E48" s="53" t="s">
        <v>185</v>
      </c>
      <c r="F48" s="53" t="s">
        <v>187</v>
      </c>
      <c r="G48" s="53" t="s">
        <v>42</v>
      </c>
      <c r="H48" s="53" t="s">
        <v>164</v>
      </c>
      <c r="I48" s="53" t="s">
        <v>159</v>
      </c>
      <c r="J48" s="53" t="s">
        <v>38</v>
      </c>
      <c r="K48" s="53" t="s">
        <v>161</v>
      </c>
      <c r="L48" s="53">
        <v>2</v>
      </c>
      <c r="M48" s="76"/>
      <c r="N48" s="53">
        <v>5</v>
      </c>
      <c r="O48" s="53">
        <v>0.6</v>
      </c>
      <c r="P48" s="53">
        <v>0.55000000000000004</v>
      </c>
      <c r="Q48" s="16">
        <f t="shared" si="0"/>
        <v>0.57499999999999996</v>
      </c>
      <c r="R48" s="53">
        <v>12.6</v>
      </c>
      <c r="S48" s="53">
        <v>120</v>
      </c>
      <c r="T48" s="16">
        <f t="shared" si="1"/>
        <v>30</v>
      </c>
      <c r="U48" s="53">
        <v>429</v>
      </c>
      <c r="V48" s="16">
        <f t="shared" si="2"/>
        <v>2574</v>
      </c>
      <c r="W48" s="53">
        <v>2</v>
      </c>
      <c r="X48" s="53" t="s">
        <v>46</v>
      </c>
      <c r="Y48" s="53" t="s">
        <v>69</v>
      </c>
      <c r="Z48" s="53" t="s">
        <v>102</v>
      </c>
      <c r="AA48" s="53" t="s">
        <v>78</v>
      </c>
      <c r="AB48" s="53" t="s">
        <v>158</v>
      </c>
    </row>
    <row r="49" spans="1:28" x14ac:dyDescent="0.15">
      <c r="A49" s="53" t="s">
        <v>41</v>
      </c>
      <c r="B49" s="53" t="s">
        <v>157</v>
      </c>
      <c r="C49" s="62">
        <v>2019</v>
      </c>
      <c r="D49" s="63" t="s">
        <v>165</v>
      </c>
      <c r="E49" s="53" t="s">
        <v>185</v>
      </c>
      <c r="F49" s="53" t="s">
        <v>187</v>
      </c>
      <c r="G49" s="53" t="s">
        <v>42</v>
      </c>
      <c r="H49" s="53" t="s">
        <v>164</v>
      </c>
      <c r="I49" s="53" t="s">
        <v>159</v>
      </c>
      <c r="J49" s="53" t="s">
        <v>38</v>
      </c>
      <c r="K49" s="53" t="s">
        <v>161</v>
      </c>
      <c r="L49" s="53">
        <v>3</v>
      </c>
      <c r="M49" s="76"/>
      <c r="N49" s="53">
        <v>5</v>
      </c>
      <c r="O49" s="53">
        <v>0.55000000000000004</v>
      </c>
      <c r="P49" s="53">
        <v>0.45</v>
      </c>
      <c r="Q49" s="16">
        <f t="shared" si="0"/>
        <v>0.5</v>
      </c>
      <c r="R49" s="53">
        <v>12</v>
      </c>
      <c r="S49" s="53">
        <v>118</v>
      </c>
      <c r="T49" s="16">
        <f t="shared" si="1"/>
        <v>30</v>
      </c>
      <c r="U49" s="53">
        <v>429</v>
      </c>
      <c r="V49" s="16">
        <f t="shared" si="2"/>
        <v>2574</v>
      </c>
      <c r="W49" s="53">
        <v>2</v>
      </c>
      <c r="X49" s="53" t="s">
        <v>46</v>
      </c>
      <c r="Y49" s="53" t="s">
        <v>69</v>
      </c>
      <c r="Z49" s="53" t="s">
        <v>102</v>
      </c>
      <c r="AA49" s="53" t="s">
        <v>78</v>
      </c>
      <c r="AB49" s="53" t="s">
        <v>158</v>
      </c>
    </row>
    <row r="50" spans="1:28" x14ac:dyDescent="0.15">
      <c r="A50" s="53" t="s">
        <v>41</v>
      </c>
      <c r="B50" s="53" t="s">
        <v>157</v>
      </c>
      <c r="C50" s="62">
        <v>2019</v>
      </c>
      <c r="D50" s="63" t="s">
        <v>165</v>
      </c>
      <c r="E50" s="53" t="s">
        <v>185</v>
      </c>
      <c r="F50" s="53" t="s">
        <v>187</v>
      </c>
      <c r="G50" s="53" t="s">
        <v>42</v>
      </c>
      <c r="H50" s="53" t="s">
        <v>164</v>
      </c>
      <c r="I50" s="53" t="s">
        <v>159</v>
      </c>
      <c r="J50" s="53" t="s">
        <v>38</v>
      </c>
      <c r="K50" s="53" t="s">
        <v>161</v>
      </c>
      <c r="L50" s="53">
        <v>1</v>
      </c>
      <c r="M50" s="76"/>
      <c r="N50" s="53">
        <v>8</v>
      </c>
      <c r="O50" s="53">
        <v>0.25</v>
      </c>
      <c r="P50" s="53">
        <v>0.25</v>
      </c>
      <c r="Q50" s="16">
        <f t="shared" si="0"/>
        <v>0.25</v>
      </c>
      <c r="R50" s="53">
        <v>16.2</v>
      </c>
      <c r="S50" s="53">
        <v>120</v>
      </c>
      <c r="T50" s="16">
        <f t="shared" si="1"/>
        <v>30</v>
      </c>
      <c r="U50" s="53">
        <v>626</v>
      </c>
      <c r="V50" s="16">
        <f t="shared" si="2"/>
        <v>2347.5</v>
      </c>
      <c r="W50" s="53">
        <v>2</v>
      </c>
      <c r="X50" s="53" t="s">
        <v>46</v>
      </c>
      <c r="Y50" s="53" t="s">
        <v>69</v>
      </c>
      <c r="Z50" s="53" t="s">
        <v>102</v>
      </c>
      <c r="AA50" s="53" t="s">
        <v>78</v>
      </c>
      <c r="AB50" s="53" t="s">
        <v>158</v>
      </c>
    </row>
    <row r="51" spans="1:28" x14ac:dyDescent="0.15">
      <c r="A51" s="53" t="s">
        <v>41</v>
      </c>
      <c r="B51" s="53" t="s">
        <v>157</v>
      </c>
      <c r="C51" s="62">
        <v>2019</v>
      </c>
      <c r="D51" s="63" t="s">
        <v>165</v>
      </c>
      <c r="E51" s="53" t="s">
        <v>185</v>
      </c>
      <c r="F51" s="53" t="s">
        <v>187</v>
      </c>
      <c r="G51" s="53" t="s">
        <v>42</v>
      </c>
      <c r="H51" s="53" t="s">
        <v>164</v>
      </c>
      <c r="I51" s="53" t="s">
        <v>159</v>
      </c>
      <c r="J51" s="53" t="s">
        <v>38</v>
      </c>
      <c r="K51" s="53" t="s">
        <v>161</v>
      </c>
      <c r="L51" s="53">
        <v>2</v>
      </c>
      <c r="M51" s="76"/>
      <c r="N51" s="53">
        <v>8</v>
      </c>
      <c r="O51" s="53">
        <v>0.25</v>
      </c>
      <c r="P51" s="53">
        <v>0.25</v>
      </c>
      <c r="Q51" s="16">
        <f t="shared" si="0"/>
        <v>0.25</v>
      </c>
      <c r="R51" s="53">
        <v>12.5</v>
      </c>
      <c r="S51" s="53">
        <v>114</v>
      </c>
      <c r="T51" s="16">
        <f t="shared" si="1"/>
        <v>30</v>
      </c>
      <c r="U51" s="53">
        <v>626</v>
      </c>
      <c r="V51" s="16">
        <f t="shared" si="2"/>
        <v>2347.5</v>
      </c>
      <c r="W51" s="53">
        <v>2</v>
      </c>
      <c r="X51" s="53" t="s">
        <v>46</v>
      </c>
      <c r="Y51" s="53" t="s">
        <v>69</v>
      </c>
      <c r="Z51" s="53" t="s">
        <v>102</v>
      </c>
      <c r="AA51" s="53" t="s">
        <v>78</v>
      </c>
      <c r="AB51" s="53" t="s">
        <v>158</v>
      </c>
    </row>
    <row r="52" spans="1:28" x14ac:dyDescent="0.15">
      <c r="A52" s="53" t="s">
        <v>41</v>
      </c>
      <c r="B52" s="53" t="s">
        <v>157</v>
      </c>
      <c r="C52" s="62">
        <v>2019</v>
      </c>
      <c r="D52" s="63" t="s">
        <v>165</v>
      </c>
      <c r="E52" s="53" t="s">
        <v>185</v>
      </c>
      <c r="F52" s="53" t="s">
        <v>187</v>
      </c>
      <c r="G52" s="53" t="s">
        <v>42</v>
      </c>
      <c r="H52" s="53" t="s">
        <v>164</v>
      </c>
      <c r="I52" s="53" t="s">
        <v>159</v>
      </c>
      <c r="J52" s="53" t="s">
        <v>38</v>
      </c>
      <c r="K52" s="53" t="s">
        <v>161</v>
      </c>
      <c r="L52" s="53">
        <v>3</v>
      </c>
      <c r="M52" s="76"/>
      <c r="N52" s="53">
        <v>8</v>
      </c>
      <c r="O52" s="53">
        <v>0.25</v>
      </c>
      <c r="P52" s="53">
        <v>0.25</v>
      </c>
      <c r="Q52" s="16">
        <f t="shared" si="0"/>
        <v>0.25</v>
      </c>
      <c r="R52" s="53">
        <v>14.7</v>
      </c>
      <c r="S52" s="53">
        <v>115</v>
      </c>
      <c r="T52" s="16">
        <f t="shared" si="1"/>
        <v>30</v>
      </c>
      <c r="U52" s="53">
        <v>626</v>
      </c>
      <c r="V52" s="16">
        <f t="shared" si="2"/>
        <v>2347.5</v>
      </c>
      <c r="W52" s="53">
        <v>2</v>
      </c>
      <c r="X52" s="53" t="s">
        <v>46</v>
      </c>
      <c r="Y52" s="53" t="s">
        <v>69</v>
      </c>
      <c r="Z52" s="53" t="s">
        <v>102</v>
      </c>
      <c r="AA52" s="53" t="s">
        <v>78</v>
      </c>
      <c r="AB52" s="53" t="s">
        <v>158</v>
      </c>
    </row>
    <row r="53" spans="1:28" x14ac:dyDescent="0.15">
      <c r="A53" s="53" t="s">
        <v>41</v>
      </c>
      <c r="B53" s="53" t="s">
        <v>157</v>
      </c>
      <c r="C53" s="62">
        <v>2019</v>
      </c>
      <c r="D53" s="63" t="s">
        <v>165</v>
      </c>
      <c r="E53" s="53" t="s">
        <v>192</v>
      </c>
      <c r="F53" s="53" t="s">
        <v>183</v>
      </c>
      <c r="G53" s="53" t="s">
        <v>42</v>
      </c>
      <c r="H53" s="53" t="s">
        <v>164</v>
      </c>
      <c r="I53" s="53" t="s">
        <v>159</v>
      </c>
      <c r="J53" s="53" t="s">
        <v>38</v>
      </c>
      <c r="K53" s="53" t="s">
        <v>161</v>
      </c>
      <c r="L53" s="53">
        <v>1</v>
      </c>
      <c r="N53" s="53">
        <v>1</v>
      </c>
      <c r="O53" s="53">
        <v>0.95</v>
      </c>
      <c r="P53" s="53">
        <v>1</v>
      </c>
      <c r="Q53" s="75">
        <f t="shared" si="0"/>
        <v>0.97499999999999998</v>
      </c>
      <c r="R53" s="53">
        <v>12.3</v>
      </c>
      <c r="S53" s="53">
        <v>121</v>
      </c>
      <c r="T53" s="16">
        <f t="shared" si="1"/>
        <v>27</v>
      </c>
      <c r="U53" s="53">
        <v>84</v>
      </c>
      <c r="V53" s="16">
        <f t="shared" si="2"/>
        <v>2268</v>
      </c>
      <c r="W53" s="53">
        <v>1</v>
      </c>
      <c r="X53" s="53" t="s">
        <v>46</v>
      </c>
      <c r="Y53" s="53" t="s">
        <v>102</v>
      </c>
      <c r="Z53" s="53" t="s">
        <v>69</v>
      </c>
      <c r="AA53" s="53" t="s">
        <v>78</v>
      </c>
      <c r="AB53" s="53" t="s">
        <v>158</v>
      </c>
    </row>
    <row r="54" spans="1:28" x14ac:dyDescent="0.15">
      <c r="A54" s="53" t="s">
        <v>41</v>
      </c>
      <c r="B54" s="53" t="s">
        <v>157</v>
      </c>
      <c r="C54" s="62">
        <v>2019</v>
      </c>
      <c r="D54" s="63" t="s">
        <v>165</v>
      </c>
      <c r="E54" s="53" t="s">
        <v>192</v>
      </c>
      <c r="F54" s="53" t="s">
        <v>183</v>
      </c>
      <c r="G54" s="53" t="s">
        <v>42</v>
      </c>
      <c r="H54" s="53" t="s">
        <v>164</v>
      </c>
      <c r="I54" s="53" t="s">
        <v>159</v>
      </c>
      <c r="J54" s="53" t="s">
        <v>38</v>
      </c>
      <c r="K54" s="53" t="s">
        <v>161</v>
      </c>
      <c r="L54" s="53">
        <v>2</v>
      </c>
      <c r="M54" s="76"/>
      <c r="N54" s="53">
        <v>1</v>
      </c>
      <c r="O54" s="53">
        <v>0.75</v>
      </c>
      <c r="P54" s="53">
        <v>0.7</v>
      </c>
      <c r="Q54" s="75">
        <f t="shared" si="0"/>
        <v>0.72499999999999998</v>
      </c>
      <c r="R54" s="53">
        <v>13.2</v>
      </c>
      <c r="S54" s="53">
        <v>120</v>
      </c>
      <c r="T54" s="16">
        <f t="shared" si="1"/>
        <v>30</v>
      </c>
      <c r="U54" s="53">
        <v>84</v>
      </c>
      <c r="V54" s="16">
        <f t="shared" si="2"/>
        <v>2520</v>
      </c>
      <c r="W54" s="53">
        <v>1</v>
      </c>
      <c r="X54" s="53" t="s">
        <v>46</v>
      </c>
      <c r="Y54" s="53" t="s">
        <v>102</v>
      </c>
      <c r="Z54" s="53" t="s">
        <v>69</v>
      </c>
      <c r="AA54" s="53" t="s">
        <v>78</v>
      </c>
      <c r="AB54" s="53" t="s">
        <v>158</v>
      </c>
    </row>
    <row r="55" spans="1:28" x14ac:dyDescent="0.15">
      <c r="A55" s="53" t="s">
        <v>41</v>
      </c>
      <c r="B55" s="53" t="s">
        <v>157</v>
      </c>
      <c r="C55" s="62">
        <v>2019</v>
      </c>
      <c r="D55" s="63" t="s">
        <v>165</v>
      </c>
      <c r="E55" s="53" t="s">
        <v>192</v>
      </c>
      <c r="F55" s="53" t="s">
        <v>183</v>
      </c>
      <c r="G55" s="53" t="s">
        <v>42</v>
      </c>
      <c r="H55" s="53" t="s">
        <v>164</v>
      </c>
      <c r="I55" s="53" t="s">
        <v>159</v>
      </c>
      <c r="J55" s="53" t="s">
        <v>38</v>
      </c>
      <c r="K55" s="53" t="s">
        <v>161</v>
      </c>
      <c r="L55" s="53">
        <v>3</v>
      </c>
      <c r="M55" s="76"/>
      <c r="N55" s="53">
        <v>1</v>
      </c>
      <c r="O55" s="53">
        <v>0.75</v>
      </c>
      <c r="P55" s="53">
        <v>0.65</v>
      </c>
      <c r="Q55" s="75">
        <f t="shared" si="0"/>
        <v>0.7</v>
      </c>
      <c r="R55" s="53">
        <v>12.6</v>
      </c>
      <c r="S55" s="53">
        <v>121</v>
      </c>
      <c r="T55" s="16">
        <f t="shared" si="1"/>
        <v>27</v>
      </c>
      <c r="U55" s="53">
        <v>84</v>
      </c>
      <c r="V55" s="16">
        <f t="shared" si="2"/>
        <v>2268</v>
      </c>
      <c r="W55" s="53">
        <v>1</v>
      </c>
      <c r="X55" s="53" t="s">
        <v>46</v>
      </c>
      <c r="Y55" s="53" t="s">
        <v>102</v>
      </c>
      <c r="Z55" s="53" t="s">
        <v>69</v>
      </c>
      <c r="AA55" s="53" t="s">
        <v>78</v>
      </c>
      <c r="AB55" s="53" t="s">
        <v>158</v>
      </c>
    </row>
    <row r="56" spans="1:28" x14ac:dyDescent="0.15">
      <c r="A56" s="53" t="s">
        <v>41</v>
      </c>
      <c r="B56" s="53" t="s">
        <v>157</v>
      </c>
      <c r="C56" s="62">
        <v>2019</v>
      </c>
      <c r="D56" s="63" t="s">
        <v>165</v>
      </c>
      <c r="E56" s="53" t="s">
        <v>192</v>
      </c>
      <c r="F56" s="53" t="s">
        <v>183</v>
      </c>
      <c r="G56" s="53" t="s">
        <v>42</v>
      </c>
      <c r="H56" s="53" t="s">
        <v>164</v>
      </c>
      <c r="I56" s="53" t="s">
        <v>159</v>
      </c>
      <c r="J56" s="53" t="s">
        <v>38</v>
      </c>
      <c r="K56" s="53" t="s">
        <v>161</v>
      </c>
      <c r="L56" s="53">
        <v>1</v>
      </c>
      <c r="N56" s="53">
        <v>10</v>
      </c>
      <c r="O56" s="53">
        <v>0.8</v>
      </c>
      <c r="P56" s="53">
        <v>0.85</v>
      </c>
      <c r="Q56" s="75">
        <f t="shared" si="0"/>
        <v>0.82499999999999996</v>
      </c>
      <c r="R56" s="53">
        <v>12</v>
      </c>
      <c r="S56" s="53">
        <v>114</v>
      </c>
      <c r="T56" s="16">
        <f t="shared" si="1"/>
        <v>30</v>
      </c>
      <c r="U56" s="53">
        <v>831</v>
      </c>
      <c r="V56" s="16">
        <f t="shared" si="2"/>
        <v>2493</v>
      </c>
      <c r="W56" s="53">
        <v>2</v>
      </c>
      <c r="X56" s="53" t="s">
        <v>46</v>
      </c>
      <c r="Y56" s="53" t="s">
        <v>102</v>
      </c>
      <c r="Z56" s="53" t="s">
        <v>69</v>
      </c>
      <c r="AA56" s="53" t="s">
        <v>78</v>
      </c>
      <c r="AB56" s="53" t="s">
        <v>158</v>
      </c>
    </row>
    <row r="57" spans="1:28" x14ac:dyDescent="0.15">
      <c r="A57" s="53" t="s">
        <v>41</v>
      </c>
      <c r="B57" s="53" t="s">
        <v>157</v>
      </c>
      <c r="C57" s="62">
        <v>2019</v>
      </c>
      <c r="D57" s="63" t="s">
        <v>165</v>
      </c>
      <c r="E57" s="53" t="s">
        <v>192</v>
      </c>
      <c r="F57" s="53" t="s">
        <v>183</v>
      </c>
      <c r="G57" s="53" t="s">
        <v>42</v>
      </c>
      <c r="H57" s="53" t="s">
        <v>164</v>
      </c>
      <c r="I57" s="53" t="s">
        <v>159</v>
      </c>
      <c r="J57" s="53" t="s">
        <v>38</v>
      </c>
      <c r="K57" s="53" t="s">
        <v>161</v>
      </c>
      <c r="L57" s="53">
        <v>2</v>
      </c>
      <c r="M57" s="76"/>
      <c r="N57" s="53">
        <v>10</v>
      </c>
      <c r="O57" s="53">
        <v>0.5</v>
      </c>
      <c r="P57" s="53">
        <v>0.7</v>
      </c>
      <c r="Q57" s="75">
        <f t="shared" si="0"/>
        <v>0.6</v>
      </c>
      <c r="R57" s="53">
        <v>14</v>
      </c>
      <c r="S57" s="53">
        <v>112</v>
      </c>
      <c r="T57" s="16">
        <f t="shared" si="1"/>
        <v>33</v>
      </c>
      <c r="U57" s="53">
        <v>831</v>
      </c>
      <c r="V57" s="16">
        <f t="shared" si="2"/>
        <v>2742.2999999999997</v>
      </c>
      <c r="W57" s="53">
        <v>2</v>
      </c>
      <c r="X57" s="53" t="s">
        <v>46</v>
      </c>
      <c r="Y57" s="53" t="s">
        <v>102</v>
      </c>
      <c r="Z57" s="53" t="s">
        <v>69</v>
      </c>
      <c r="AA57" s="53" t="s">
        <v>78</v>
      </c>
      <c r="AB57" s="53" t="s">
        <v>158</v>
      </c>
    </row>
    <row r="58" spans="1:28" x14ac:dyDescent="0.15">
      <c r="A58" s="53" t="s">
        <v>41</v>
      </c>
      <c r="B58" s="53" t="s">
        <v>157</v>
      </c>
      <c r="C58" s="62">
        <v>2019</v>
      </c>
      <c r="D58" s="63" t="s">
        <v>165</v>
      </c>
      <c r="E58" s="53" t="s">
        <v>192</v>
      </c>
      <c r="F58" s="53" t="s">
        <v>183</v>
      </c>
      <c r="G58" s="53" t="s">
        <v>42</v>
      </c>
      <c r="H58" s="53" t="s">
        <v>164</v>
      </c>
      <c r="I58" s="53" t="s">
        <v>159</v>
      </c>
      <c r="J58" s="53" t="s">
        <v>38</v>
      </c>
      <c r="K58" s="53" t="s">
        <v>161</v>
      </c>
      <c r="L58" s="53">
        <v>3</v>
      </c>
      <c r="M58" s="76"/>
      <c r="N58" s="53">
        <v>10</v>
      </c>
      <c r="O58" s="53">
        <v>0.65</v>
      </c>
      <c r="P58" s="53">
        <v>0.6</v>
      </c>
      <c r="Q58" s="75">
        <f t="shared" si="0"/>
        <v>0.625</v>
      </c>
      <c r="R58" s="53">
        <v>15.8</v>
      </c>
      <c r="S58" s="53">
        <v>111</v>
      </c>
      <c r="T58" s="16">
        <f t="shared" si="1"/>
        <v>33</v>
      </c>
      <c r="U58" s="53">
        <v>831</v>
      </c>
      <c r="V58" s="16">
        <f t="shared" si="2"/>
        <v>2742.2999999999997</v>
      </c>
      <c r="W58" s="53">
        <v>2</v>
      </c>
      <c r="X58" s="53" t="s">
        <v>46</v>
      </c>
      <c r="Y58" s="53" t="s">
        <v>102</v>
      </c>
      <c r="Z58" s="53" t="s">
        <v>69</v>
      </c>
      <c r="AA58" s="53" t="s">
        <v>78</v>
      </c>
      <c r="AB58" s="53" t="s">
        <v>158</v>
      </c>
    </row>
    <row r="59" spans="1:28" x14ac:dyDescent="0.15">
      <c r="A59" s="53" t="s">
        <v>41</v>
      </c>
      <c r="B59" s="53" t="s">
        <v>157</v>
      </c>
      <c r="C59" s="62">
        <v>2019</v>
      </c>
      <c r="D59" s="63" t="s">
        <v>165</v>
      </c>
      <c r="E59" s="53" t="s">
        <v>192</v>
      </c>
      <c r="F59" s="53" t="s">
        <v>183</v>
      </c>
      <c r="G59" s="53" t="s">
        <v>42</v>
      </c>
      <c r="H59" s="53" t="s">
        <v>160</v>
      </c>
      <c r="I59" s="53" t="s">
        <v>159</v>
      </c>
      <c r="J59" s="53" t="s">
        <v>38</v>
      </c>
      <c r="K59" s="53" t="s">
        <v>161</v>
      </c>
      <c r="L59" s="53">
        <v>1</v>
      </c>
      <c r="N59" s="53">
        <v>1</v>
      </c>
      <c r="O59" s="53">
        <v>1</v>
      </c>
      <c r="P59" s="53">
        <v>1.05</v>
      </c>
      <c r="Q59" s="75">
        <f t="shared" si="0"/>
        <v>1.0249999999999999</v>
      </c>
      <c r="R59" s="53">
        <v>15</v>
      </c>
      <c r="S59" s="53">
        <v>121</v>
      </c>
      <c r="T59" s="16">
        <f t="shared" si="1"/>
        <v>27</v>
      </c>
      <c r="U59" s="53">
        <v>84</v>
      </c>
      <c r="V59" s="16">
        <f t="shared" si="2"/>
        <v>2268</v>
      </c>
      <c r="W59" s="53">
        <v>1</v>
      </c>
      <c r="X59" s="53" t="s">
        <v>46</v>
      </c>
      <c r="Y59" s="53" t="s">
        <v>102</v>
      </c>
      <c r="Z59" s="53" t="s">
        <v>69</v>
      </c>
      <c r="AA59" s="53" t="s">
        <v>78</v>
      </c>
      <c r="AB59" s="53" t="s">
        <v>158</v>
      </c>
    </row>
    <row r="60" spans="1:28" x14ac:dyDescent="0.15">
      <c r="A60" s="53" t="s">
        <v>41</v>
      </c>
      <c r="B60" s="53" t="s">
        <v>157</v>
      </c>
      <c r="C60" s="62">
        <v>2019</v>
      </c>
      <c r="D60" s="63" t="s">
        <v>165</v>
      </c>
      <c r="E60" s="53" t="s">
        <v>192</v>
      </c>
      <c r="F60" s="53" t="s">
        <v>183</v>
      </c>
      <c r="G60" s="53" t="s">
        <v>42</v>
      </c>
      <c r="H60" s="53" t="s">
        <v>160</v>
      </c>
      <c r="I60" s="53" t="s">
        <v>159</v>
      </c>
      <c r="J60" s="53" t="s">
        <v>38</v>
      </c>
      <c r="K60" s="53" t="s">
        <v>161</v>
      </c>
      <c r="L60" s="53">
        <v>2</v>
      </c>
      <c r="M60" s="76"/>
      <c r="N60" s="53">
        <v>1</v>
      </c>
      <c r="O60" s="53">
        <v>1.3</v>
      </c>
      <c r="P60" s="53">
        <v>1.05</v>
      </c>
      <c r="Q60" s="75">
        <f t="shared" si="0"/>
        <v>1.175</v>
      </c>
      <c r="R60" s="53">
        <v>12</v>
      </c>
      <c r="S60" s="53">
        <v>118</v>
      </c>
      <c r="T60" s="16">
        <f t="shared" si="1"/>
        <v>30</v>
      </c>
      <c r="U60" s="53">
        <v>84</v>
      </c>
      <c r="V60" s="16">
        <f t="shared" si="2"/>
        <v>2520</v>
      </c>
      <c r="W60" s="53">
        <v>1</v>
      </c>
      <c r="X60" s="53" t="s">
        <v>46</v>
      </c>
      <c r="Y60" s="53" t="s">
        <v>102</v>
      </c>
      <c r="Z60" s="53" t="s">
        <v>69</v>
      </c>
      <c r="AA60" s="53" t="s">
        <v>78</v>
      </c>
      <c r="AB60" s="53" t="s">
        <v>158</v>
      </c>
    </row>
    <row r="61" spans="1:28" x14ac:dyDescent="0.15">
      <c r="A61" s="53" t="s">
        <v>41</v>
      </c>
      <c r="B61" s="53" t="s">
        <v>157</v>
      </c>
      <c r="C61" s="62">
        <v>2019</v>
      </c>
      <c r="D61" s="63" t="s">
        <v>165</v>
      </c>
      <c r="E61" s="53" t="s">
        <v>192</v>
      </c>
      <c r="F61" s="53" t="s">
        <v>183</v>
      </c>
      <c r="G61" s="53" t="s">
        <v>42</v>
      </c>
      <c r="H61" s="53" t="s">
        <v>160</v>
      </c>
      <c r="I61" s="53" t="s">
        <v>159</v>
      </c>
      <c r="J61" s="53" t="s">
        <v>38</v>
      </c>
      <c r="K61" s="53" t="s">
        <v>161</v>
      </c>
      <c r="L61" s="53">
        <v>3</v>
      </c>
      <c r="M61" s="76"/>
      <c r="N61" s="53">
        <v>1</v>
      </c>
      <c r="O61" s="53">
        <v>1.35</v>
      </c>
      <c r="P61" s="53">
        <v>1.1499999999999999</v>
      </c>
      <c r="Q61" s="75">
        <f t="shared" si="0"/>
        <v>1.25</v>
      </c>
      <c r="R61" s="53">
        <v>13.5</v>
      </c>
      <c r="S61" s="53">
        <v>118</v>
      </c>
      <c r="T61" s="16">
        <f t="shared" si="1"/>
        <v>30</v>
      </c>
      <c r="U61" s="53">
        <v>84</v>
      </c>
      <c r="V61" s="16">
        <f t="shared" si="2"/>
        <v>2520</v>
      </c>
      <c r="W61" s="53">
        <v>1</v>
      </c>
      <c r="X61" s="53" t="s">
        <v>46</v>
      </c>
      <c r="Y61" s="53" t="s">
        <v>102</v>
      </c>
      <c r="Z61" s="53" t="s">
        <v>69</v>
      </c>
      <c r="AA61" s="53" t="s">
        <v>78</v>
      </c>
      <c r="AB61" s="53" t="s">
        <v>158</v>
      </c>
    </row>
    <row r="62" spans="1:28" x14ac:dyDescent="0.15">
      <c r="A62" s="53" t="s">
        <v>41</v>
      </c>
      <c r="B62" s="53" t="s">
        <v>157</v>
      </c>
      <c r="C62" s="62">
        <v>2019</v>
      </c>
      <c r="D62" s="63" t="s">
        <v>165</v>
      </c>
      <c r="E62" s="53" t="s">
        <v>192</v>
      </c>
      <c r="F62" s="53" t="s">
        <v>183</v>
      </c>
      <c r="G62" s="53" t="s">
        <v>42</v>
      </c>
      <c r="H62" s="53" t="s">
        <v>160</v>
      </c>
      <c r="I62" s="53" t="s">
        <v>159</v>
      </c>
      <c r="J62" s="53" t="s">
        <v>38</v>
      </c>
      <c r="K62" s="53" t="s">
        <v>161</v>
      </c>
      <c r="L62" s="53">
        <v>1</v>
      </c>
      <c r="N62" s="53">
        <v>10</v>
      </c>
      <c r="O62" s="53">
        <v>0.45</v>
      </c>
      <c r="P62" s="53">
        <v>0.65</v>
      </c>
      <c r="Q62" s="75">
        <f t="shared" si="0"/>
        <v>0.55000000000000004</v>
      </c>
      <c r="R62" s="53">
        <v>14.2</v>
      </c>
      <c r="S62" s="53">
        <v>115</v>
      </c>
      <c r="T62" s="16">
        <f t="shared" si="1"/>
        <v>30</v>
      </c>
      <c r="U62" s="53">
        <v>831</v>
      </c>
      <c r="V62" s="16">
        <f t="shared" si="2"/>
        <v>2493</v>
      </c>
      <c r="W62" s="53">
        <v>2</v>
      </c>
      <c r="X62" s="53" t="s">
        <v>46</v>
      </c>
      <c r="Y62" s="53" t="s">
        <v>102</v>
      </c>
      <c r="Z62" s="53" t="s">
        <v>69</v>
      </c>
      <c r="AA62" s="53" t="s">
        <v>78</v>
      </c>
      <c r="AB62" s="53" t="s">
        <v>158</v>
      </c>
    </row>
    <row r="63" spans="1:28" x14ac:dyDescent="0.15">
      <c r="A63" s="53" t="s">
        <v>41</v>
      </c>
      <c r="B63" s="53" t="s">
        <v>157</v>
      </c>
      <c r="C63" s="62">
        <v>2019</v>
      </c>
      <c r="D63" s="63" t="s">
        <v>165</v>
      </c>
      <c r="E63" s="53" t="s">
        <v>192</v>
      </c>
      <c r="F63" s="53" t="s">
        <v>183</v>
      </c>
      <c r="G63" s="53" t="s">
        <v>42</v>
      </c>
      <c r="H63" s="53" t="s">
        <v>160</v>
      </c>
      <c r="I63" s="53" t="s">
        <v>159</v>
      </c>
      <c r="J63" s="53" t="s">
        <v>38</v>
      </c>
      <c r="K63" s="53" t="s">
        <v>161</v>
      </c>
      <c r="L63" s="53">
        <v>2</v>
      </c>
      <c r="M63" s="76"/>
      <c r="N63" s="53">
        <v>10</v>
      </c>
      <c r="O63" s="53">
        <v>0.4</v>
      </c>
      <c r="P63" s="53">
        <v>0.5</v>
      </c>
      <c r="Q63" s="75">
        <f t="shared" si="0"/>
        <v>0.45</v>
      </c>
      <c r="R63" s="53">
        <v>14.9</v>
      </c>
      <c r="S63" s="53">
        <v>112</v>
      </c>
      <c r="T63" s="16">
        <f t="shared" si="1"/>
        <v>33</v>
      </c>
      <c r="U63" s="53">
        <v>831</v>
      </c>
      <c r="V63" s="16">
        <f t="shared" si="2"/>
        <v>2742.2999999999997</v>
      </c>
      <c r="W63" s="53">
        <v>2</v>
      </c>
      <c r="X63" s="53" t="s">
        <v>46</v>
      </c>
      <c r="Y63" s="53" t="s">
        <v>102</v>
      </c>
      <c r="Z63" s="53" t="s">
        <v>69</v>
      </c>
      <c r="AA63" s="53" t="s">
        <v>78</v>
      </c>
      <c r="AB63" s="53" t="s">
        <v>158</v>
      </c>
    </row>
    <row r="64" spans="1:28" x14ac:dyDescent="0.15">
      <c r="A64" s="53" t="s">
        <v>41</v>
      </c>
      <c r="B64" s="53" t="s">
        <v>157</v>
      </c>
      <c r="C64" s="62">
        <v>2019</v>
      </c>
      <c r="D64" s="63" t="s">
        <v>165</v>
      </c>
      <c r="E64" s="53" t="s">
        <v>192</v>
      </c>
      <c r="F64" s="53" t="s">
        <v>183</v>
      </c>
      <c r="G64" s="53" t="s">
        <v>42</v>
      </c>
      <c r="H64" s="53" t="s">
        <v>160</v>
      </c>
      <c r="I64" s="53" t="s">
        <v>159</v>
      </c>
      <c r="J64" s="53" t="s">
        <v>38</v>
      </c>
      <c r="K64" s="53" t="s">
        <v>161</v>
      </c>
      <c r="L64" s="53">
        <v>3</v>
      </c>
      <c r="M64" s="76"/>
      <c r="N64" s="53">
        <v>10</v>
      </c>
      <c r="O64" s="53">
        <v>0.6</v>
      </c>
      <c r="P64" s="53">
        <v>0.4</v>
      </c>
      <c r="Q64" s="75">
        <f t="shared" si="0"/>
        <v>0.5</v>
      </c>
      <c r="R64" s="53">
        <v>16.100000000000001</v>
      </c>
      <c r="S64" s="53">
        <v>113</v>
      </c>
      <c r="T64" s="16">
        <f t="shared" si="1"/>
        <v>30</v>
      </c>
      <c r="U64" s="53">
        <v>831</v>
      </c>
      <c r="V64" s="16">
        <f t="shared" si="2"/>
        <v>2493</v>
      </c>
      <c r="W64" s="53">
        <v>2</v>
      </c>
      <c r="X64" s="53" t="s">
        <v>46</v>
      </c>
      <c r="Y64" s="53" t="s">
        <v>102</v>
      </c>
      <c r="Z64" s="53" t="s">
        <v>69</v>
      </c>
      <c r="AA64" s="53" t="s">
        <v>78</v>
      </c>
      <c r="AB64" s="53" t="s">
        <v>158</v>
      </c>
    </row>
    <row r="65" spans="1:34" x14ac:dyDescent="0.15">
      <c r="A65" s="53" t="s">
        <v>41</v>
      </c>
      <c r="B65" s="53" t="s">
        <v>157</v>
      </c>
      <c r="C65" s="62">
        <v>2019</v>
      </c>
      <c r="D65" s="63" t="s">
        <v>165</v>
      </c>
      <c r="E65" s="53" t="s">
        <v>192</v>
      </c>
      <c r="F65" s="53" t="s">
        <v>194</v>
      </c>
      <c r="G65" s="53" t="s">
        <v>42</v>
      </c>
      <c r="H65" s="53" t="s">
        <v>164</v>
      </c>
      <c r="I65" s="53" t="s">
        <v>159</v>
      </c>
      <c r="J65" s="53" t="s">
        <v>38</v>
      </c>
      <c r="K65" s="53" t="s">
        <v>161</v>
      </c>
      <c r="L65" s="53">
        <v>1</v>
      </c>
      <c r="N65" s="53">
        <v>1</v>
      </c>
      <c r="O65" s="53">
        <v>0.85</v>
      </c>
      <c r="P65" s="53">
        <v>0.5</v>
      </c>
      <c r="Q65" s="75">
        <f t="shared" si="0"/>
        <v>0.67500000000000004</v>
      </c>
      <c r="R65" s="53">
        <v>11</v>
      </c>
      <c r="S65" s="53">
        <v>123</v>
      </c>
      <c r="T65" s="16">
        <f t="shared" si="1"/>
        <v>27</v>
      </c>
      <c r="U65" s="53">
        <v>84</v>
      </c>
      <c r="V65" s="16">
        <f t="shared" si="2"/>
        <v>2268</v>
      </c>
      <c r="W65" s="53">
        <v>1</v>
      </c>
      <c r="X65" s="53" t="s">
        <v>46</v>
      </c>
      <c r="Y65" s="53" t="s">
        <v>69</v>
      </c>
      <c r="Z65" s="53" t="s">
        <v>102</v>
      </c>
      <c r="AA65" s="53" t="s">
        <v>78</v>
      </c>
      <c r="AB65" s="53" t="s">
        <v>158</v>
      </c>
    </row>
    <row r="66" spans="1:34" x14ac:dyDescent="0.15">
      <c r="A66" s="53" t="s">
        <v>41</v>
      </c>
      <c r="B66" s="53" t="s">
        <v>157</v>
      </c>
      <c r="C66" s="62">
        <v>2019</v>
      </c>
      <c r="D66" s="63" t="s">
        <v>165</v>
      </c>
      <c r="E66" s="53" t="s">
        <v>192</v>
      </c>
      <c r="F66" s="53" t="s">
        <v>194</v>
      </c>
      <c r="G66" s="53" t="s">
        <v>42</v>
      </c>
      <c r="H66" s="53" t="s">
        <v>164</v>
      </c>
      <c r="I66" s="53" t="s">
        <v>159</v>
      </c>
      <c r="J66" s="53" t="s">
        <v>38</v>
      </c>
      <c r="K66" s="53" t="s">
        <v>161</v>
      </c>
      <c r="L66" s="53">
        <v>2</v>
      </c>
      <c r="M66" s="76"/>
      <c r="N66" s="53">
        <v>1</v>
      </c>
      <c r="O66" s="53">
        <v>0.7</v>
      </c>
      <c r="P66" s="53">
        <v>0.75</v>
      </c>
      <c r="Q66" s="75">
        <f t="shared" ref="Q66:Q129" si="3">IF(OR(O66="",P66=""),"",AVERAGE(O66,P66))</f>
        <v>0.72499999999999998</v>
      </c>
      <c r="R66" s="53">
        <v>13.3</v>
      </c>
      <c r="S66" s="53">
        <v>121</v>
      </c>
      <c r="T66" s="16">
        <f t="shared" ref="T66:T129" si="4">IF(H66="","",IF(OR(H66="GREEN",H66="GK"),IF(S66&gt;=$AX$2,VLOOKUP(S66,$AX$2:$AY$10,2,1),""),IF(S66&gt;=$AZ$2,VLOOKUP(S66,$AZ$2:$BA$10,2,1),"")))</f>
        <v>27</v>
      </c>
      <c r="U66" s="53">
        <v>84</v>
      </c>
      <c r="V66" s="16">
        <f t="shared" ref="V66:V94" si="5">IF(OR(N66="",U66="",T66=""),"",U66/N66*T66)</f>
        <v>2268</v>
      </c>
      <c r="W66" s="53">
        <v>1</v>
      </c>
      <c r="X66" s="53" t="s">
        <v>46</v>
      </c>
      <c r="Y66" s="53" t="s">
        <v>69</v>
      </c>
      <c r="Z66" s="53" t="s">
        <v>102</v>
      </c>
      <c r="AA66" s="53" t="s">
        <v>78</v>
      </c>
      <c r="AB66" s="53" t="s">
        <v>158</v>
      </c>
    </row>
    <row r="67" spans="1:34" x14ac:dyDescent="0.15">
      <c r="A67" s="53" t="s">
        <v>41</v>
      </c>
      <c r="B67" s="53" t="s">
        <v>157</v>
      </c>
      <c r="C67" s="62">
        <v>2019</v>
      </c>
      <c r="D67" s="63" t="s">
        <v>165</v>
      </c>
      <c r="E67" s="53" t="s">
        <v>192</v>
      </c>
      <c r="F67" s="53" t="s">
        <v>194</v>
      </c>
      <c r="G67" s="53" t="s">
        <v>42</v>
      </c>
      <c r="H67" s="53" t="s">
        <v>164</v>
      </c>
      <c r="I67" s="53" t="s">
        <v>159</v>
      </c>
      <c r="J67" s="53" t="s">
        <v>38</v>
      </c>
      <c r="K67" s="53" t="s">
        <v>161</v>
      </c>
      <c r="L67" s="53">
        <v>3</v>
      </c>
      <c r="M67" s="76"/>
      <c r="N67" s="53">
        <v>1</v>
      </c>
      <c r="O67" s="53">
        <v>0.7</v>
      </c>
      <c r="P67" s="53">
        <v>0.65</v>
      </c>
      <c r="Q67" s="75">
        <f t="shared" si="3"/>
        <v>0.67500000000000004</v>
      </c>
      <c r="R67" s="53">
        <v>13.2</v>
      </c>
      <c r="S67" s="53">
        <v>121</v>
      </c>
      <c r="T67" s="16">
        <f t="shared" si="4"/>
        <v>27</v>
      </c>
      <c r="U67" s="53">
        <v>84</v>
      </c>
      <c r="V67" s="16">
        <f t="shared" si="5"/>
        <v>2268</v>
      </c>
      <c r="W67" s="53">
        <v>1</v>
      </c>
      <c r="X67" s="53" t="s">
        <v>46</v>
      </c>
      <c r="Y67" s="53" t="s">
        <v>69</v>
      </c>
      <c r="Z67" s="53" t="s">
        <v>102</v>
      </c>
      <c r="AA67" s="53" t="s">
        <v>78</v>
      </c>
      <c r="AB67" s="53" t="s">
        <v>158</v>
      </c>
    </row>
    <row r="68" spans="1:34" x14ac:dyDescent="0.15">
      <c r="A68" s="53" t="s">
        <v>41</v>
      </c>
      <c r="B68" s="53" t="s">
        <v>157</v>
      </c>
      <c r="C68" s="62">
        <v>2019</v>
      </c>
      <c r="D68" s="63" t="s">
        <v>165</v>
      </c>
      <c r="E68" s="53" t="s">
        <v>192</v>
      </c>
      <c r="F68" s="53" t="s">
        <v>194</v>
      </c>
      <c r="G68" s="53" t="s">
        <v>42</v>
      </c>
      <c r="H68" s="53" t="s">
        <v>164</v>
      </c>
      <c r="I68" s="53" t="s">
        <v>159</v>
      </c>
      <c r="J68" s="53" t="s">
        <v>38</v>
      </c>
      <c r="K68" s="53" t="s">
        <v>161</v>
      </c>
      <c r="L68" s="53">
        <v>1</v>
      </c>
      <c r="N68" s="53">
        <v>4</v>
      </c>
      <c r="O68" s="53">
        <v>0.45</v>
      </c>
      <c r="P68" s="53">
        <v>0.5</v>
      </c>
      <c r="Q68" s="75">
        <f t="shared" si="3"/>
        <v>0.47499999999999998</v>
      </c>
      <c r="R68" s="53">
        <v>15.1</v>
      </c>
      <c r="S68" s="53">
        <v>101</v>
      </c>
      <c r="T68" s="16">
        <f t="shared" si="4"/>
        <v>33</v>
      </c>
      <c r="U68" s="53">
        <v>421</v>
      </c>
      <c r="V68" s="16">
        <f t="shared" si="5"/>
        <v>3473.25</v>
      </c>
      <c r="W68" s="53">
        <v>2</v>
      </c>
      <c r="X68" s="53" t="s">
        <v>46</v>
      </c>
      <c r="Y68" s="53" t="s">
        <v>69</v>
      </c>
      <c r="Z68" s="53" t="s">
        <v>102</v>
      </c>
      <c r="AA68" s="53" t="s">
        <v>78</v>
      </c>
      <c r="AB68" s="53" t="s">
        <v>158</v>
      </c>
    </row>
    <row r="69" spans="1:34" x14ac:dyDescent="0.15">
      <c r="A69" s="53" t="s">
        <v>41</v>
      </c>
      <c r="B69" s="53" t="s">
        <v>157</v>
      </c>
      <c r="C69" s="62">
        <v>2019</v>
      </c>
      <c r="D69" s="63" t="s">
        <v>165</v>
      </c>
      <c r="E69" s="53" t="s">
        <v>192</v>
      </c>
      <c r="F69" s="53" t="s">
        <v>194</v>
      </c>
      <c r="G69" s="53" t="s">
        <v>42</v>
      </c>
      <c r="H69" s="53" t="s">
        <v>164</v>
      </c>
      <c r="I69" s="53" t="s">
        <v>159</v>
      </c>
      <c r="J69" s="53" t="s">
        <v>38</v>
      </c>
      <c r="K69" s="53" t="s">
        <v>161</v>
      </c>
      <c r="L69" s="53">
        <v>2</v>
      </c>
      <c r="M69" s="76"/>
      <c r="N69" s="53">
        <v>4</v>
      </c>
      <c r="O69" s="53">
        <v>0.5</v>
      </c>
      <c r="P69" s="53">
        <v>0.45</v>
      </c>
      <c r="Q69" s="75">
        <f t="shared" si="3"/>
        <v>0.47499999999999998</v>
      </c>
      <c r="R69" s="53">
        <v>12.7</v>
      </c>
      <c r="S69" s="53">
        <v>108</v>
      </c>
      <c r="T69" s="16">
        <f t="shared" si="4"/>
        <v>33</v>
      </c>
      <c r="U69" s="53">
        <v>421</v>
      </c>
      <c r="V69" s="16">
        <f t="shared" si="5"/>
        <v>3473.25</v>
      </c>
      <c r="W69" s="53">
        <v>2</v>
      </c>
      <c r="X69" s="53" t="s">
        <v>46</v>
      </c>
      <c r="Y69" s="53" t="s">
        <v>69</v>
      </c>
      <c r="Z69" s="53" t="s">
        <v>102</v>
      </c>
      <c r="AA69" s="53" t="s">
        <v>78</v>
      </c>
      <c r="AB69" s="53" t="s">
        <v>158</v>
      </c>
    </row>
    <row r="70" spans="1:34" x14ac:dyDescent="0.15">
      <c r="A70" s="53" t="s">
        <v>41</v>
      </c>
      <c r="B70" s="53" t="s">
        <v>157</v>
      </c>
      <c r="C70" s="62">
        <v>2019</v>
      </c>
      <c r="D70" s="63" t="s">
        <v>165</v>
      </c>
      <c r="E70" s="53" t="s">
        <v>192</v>
      </c>
      <c r="F70" s="53" t="s">
        <v>194</v>
      </c>
      <c r="G70" s="53" t="s">
        <v>42</v>
      </c>
      <c r="H70" s="53" t="s">
        <v>164</v>
      </c>
      <c r="I70" s="53" t="s">
        <v>159</v>
      </c>
      <c r="J70" s="53" t="s">
        <v>38</v>
      </c>
      <c r="K70" s="53" t="s">
        <v>161</v>
      </c>
      <c r="L70" s="53">
        <v>3</v>
      </c>
      <c r="M70" s="76"/>
      <c r="N70" s="53">
        <v>4</v>
      </c>
      <c r="O70" s="53">
        <v>0.5</v>
      </c>
      <c r="P70" s="53">
        <v>0.5</v>
      </c>
      <c r="Q70" s="75">
        <f t="shared" si="3"/>
        <v>0.5</v>
      </c>
      <c r="R70" s="53">
        <v>15</v>
      </c>
      <c r="S70" s="53">
        <v>110</v>
      </c>
      <c r="T70" s="16">
        <f t="shared" si="4"/>
        <v>33</v>
      </c>
      <c r="U70" s="53">
        <v>421</v>
      </c>
      <c r="V70" s="16">
        <f t="shared" si="5"/>
        <v>3473.25</v>
      </c>
      <c r="W70" s="53">
        <v>2</v>
      </c>
      <c r="X70" s="53" t="s">
        <v>46</v>
      </c>
      <c r="Y70" s="53" t="s">
        <v>69</v>
      </c>
      <c r="Z70" s="53" t="s">
        <v>102</v>
      </c>
      <c r="AA70" s="53" t="s">
        <v>78</v>
      </c>
      <c r="AB70" s="53" t="s">
        <v>158</v>
      </c>
    </row>
    <row r="71" spans="1:34" x14ac:dyDescent="0.15">
      <c r="A71" s="53" t="s">
        <v>41</v>
      </c>
      <c r="B71" s="53" t="s">
        <v>157</v>
      </c>
      <c r="C71" s="62">
        <v>2019</v>
      </c>
      <c r="D71" s="63" t="s">
        <v>165</v>
      </c>
      <c r="E71" s="53" t="s">
        <v>192</v>
      </c>
      <c r="F71" s="53" t="s">
        <v>194</v>
      </c>
      <c r="G71" s="53" t="s">
        <v>42</v>
      </c>
      <c r="H71" s="53" t="s">
        <v>164</v>
      </c>
      <c r="I71" s="53" t="s">
        <v>159</v>
      </c>
      <c r="J71" s="53" t="s">
        <v>38</v>
      </c>
      <c r="K71" s="53" t="s">
        <v>161</v>
      </c>
      <c r="L71" s="53">
        <v>1</v>
      </c>
      <c r="N71" s="53">
        <v>8</v>
      </c>
      <c r="O71" s="53">
        <v>0.9</v>
      </c>
      <c r="P71" s="53">
        <v>1</v>
      </c>
      <c r="Q71" s="75">
        <f t="shared" si="3"/>
        <v>0.95</v>
      </c>
      <c r="R71" s="53">
        <v>12.2</v>
      </c>
      <c r="S71" s="53">
        <v>100</v>
      </c>
      <c r="T71" s="16">
        <f t="shared" si="4"/>
        <v>33</v>
      </c>
      <c r="U71" s="53">
        <v>626</v>
      </c>
      <c r="V71" s="16">
        <f t="shared" si="5"/>
        <v>2582.25</v>
      </c>
      <c r="W71" s="53">
        <v>2</v>
      </c>
      <c r="X71" s="53" t="s">
        <v>46</v>
      </c>
      <c r="Y71" s="53" t="s">
        <v>69</v>
      </c>
      <c r="Z71" s="53" t="s">
        <v>102</v>
      </c>
      <c r="AA71" s="53" t="s">
        <v>78</v>
      </c>
      <c r="AB71" s="53" t="s">
        <v>158</v>
      </c>
      <c r="AC71" s="76"/>
      <c r="AD71" s="76"/>
      <c r="AE71" s="76"/>
      <c r="AF71" s="76"/>
      <c r="AG71" s="76"/>
      <c r="AH71" s="76"/>
    </row>
    <row r="72" spans="1:34" x14ac:dyDescent="0.15">
      <c r="A72" s="53" t="s">
        <v>41</v>
      </c>
      <c r="B72" s="53" t="s">
        <v>157</v>
      </c>
      <c r="C72" s="62">
        <v>2019</v>
      </c>
      <c r="D72" s="63" t="s">
        <v>165</v>
      </c>
      <c r="E72" s="53" t="s">
        <v>192</v>
      </c>
      <c r="F72" s="53" t="s">
        <v>194</v>
      </c>
      <c r="G72" s="53" t="s">
        <v>42</v>
      </c>
      <c r="H72" s="53" t="s">
        <v>164</v>
      </c>
      <c r="I72" s="53" t="s">
        <v>159</v>
      </c>
      <c r="J72" s="53" t="s">
        <v>38</v>
      </c>
      <c r="K72" s="53" t="s">
        <v>161</v>
      </c>
      <c r="L72" s="53">
        <v>2</v>
      </c>
      <c r="M72" s="76"/>
      <c r="N72" s="53">
        <v>8</v>
      </c>
      <c r="O72" s="53">
        <v>1</v>
      </c>
      <c r="P72" s="53">
        <v>1.1000000000000001</v>
      </c>
      <c r="Q72" s="75">
        <f t="shared" si="3"/>
        <v>1.05</v>
      </c>
      <c r="R72" s="53">
        <v>11.2</v>
      </c>
      <c r="S72" s="53">
        <v>97</v>
      </c>
      <c r="T72" s="16">
        <f t="shared" si="4"/>
        <v>36</v>
      </c>
      <c r="U72" s="53">
        <v>626</v>
      </c>
      <c r="V72" s="16">
        <f t="shared" si="5"/>
        <v>2817</v>
      </c>
      <c r="W72" s="53">
        <v>2</v>
      </c>
      <c r="X72" s="53" t="s">
        <v>46</v>
      </c>
      <c r="Y72" s="53" t="s">
        <v>69</v>
      </c>
      <c r="Z72" s="53" t="s">
        <v>102</v>
      </c>
      <c r="AA72" s="53" t="s">
        <v>78</v>
      </c>
      <c r="AB72" s="53" t="s">
        <v>158</v>
      </c>
      <c r="AC72" s="76"/>
      <c r="AD72" s="76"/>
      <c r="AE72" s="76"/>
      <c r="AF72" s="76"/>
      <c r="AG72" s="76"/>
      <c r="AH72" s="76"/>
    </row>
    <row r="73" spans="1:34" x14ac:dyDescent="0.15">
      <c r="A73" s="53" t="s">
        <v>41</v>
      </c>
      <c r="B73" s="53" t="s">
        <v>157</v>
      </c>
      <c r="C73" s="62">
        <v>2019</v>
      </c>
      <c r="D73" s="63" t="s">
        <v>165</v>
      </c>
      <c r="E73" s="53" t="s">
        <v>192</v>
      </c>
      <c r="F73" s="53" t="s">
        <v>194</v>
      </c>
      <c r="G73" s="53" t="s">
        <v>42</v>
      </c>
      <c r="H73" s="53" t="s">
        <v>164</v>
      </c>
      <c r="I73" s="53" t="s">
        <v>159</v>
      </c>
      <c r="J73" s="53" t="s">
        <v>38</v>
      </c>
      <c r="K73" s="53" t="s">
        <v>161</v>
      </c>
      <c r="L73" s="53">
        <v>3</v>
      </c>
      <c r="M73" s="76"/>
      <c r="N73" s="53">
        <v>8</v>
      </c>
      <c r="O73" s="53">
        <v>0.7</v>
      </c>
      <c r="P73" s="53">
        <v>0.9</v>
      </c>
      <c r="Q73" s="75">
        <f t="shared" si="3"/>
        <v>0.8</v>
      </c>
      <c r="R73" s="53">
        <v>14.4</v>
      </c>
      <c r="S73" s="53">
        <v>101</v>
      </c>
      <c r="T73" s="16">
        <f t="shared" si="4"/>
        <v>33</v>
      </c>
      <c r="U73" s="53">
        <v>626</v>
      </c>
      <c r="V73" s="16">
        <f t="shared" si="5"/>
        <v>2582.25</v>
      </c>
      <c r="W73" s="53">
        <v>2</v>
      </c>
      <c r="X73" s="53" t="s">
        <v>46</v>
      </c>
      <c r="Y73" s="53" t="s">
        <v>69</v>
      </c>
      <c r="Z73" s="53" t="s">
        <v>102</v>
      </c>
      <c r="AA73" s="53" t="s">
        <v>78</v>
      </c>
      <c r="AB73" s="53" t="s">
        <v>158</v>
      </c>
      <c r="AC73" s="76"/>
      <c r="AD73" s="76"/>
      <c r="AE73" s="76"/>
      <c r="AF73" s="76"/>
      <c r="AG73" s="76"/>
      <c r="AH73" s="76"/>
    </row>
    <row r="74" spans="1:34" x14ac:dyDescent="0.15">
      <c r="A74" s="53" t="s">
        <v>41</v>
      </c>
      <c r="B74" s="53" t="s">
        <v>157</v>
      </c>
      <c r="C74" s="62">
        <v>2019</v>
      </c>
      <c r="D74" s="63" t="s">
        <v>165</v>
      </c>
      <c r="E74" s="53" t="s">
        <v>192</v>
      </c>
      <c r="F74" s="53" t="s">
        <v>194</v>
      </c>
      <c r="G74" s="53" t="s">
        <v>42</v>
      </c>
      <c r="H74" s="53" t="s">
        <v>160</v>
      </c>
      <c r="I74" s="53" t="s">
        <v>159</v>
      </c>
      <c r="J74" s="53" t="s">
        <v>38</v>
      </c>
      <c r="K74" s="53" t="s">
        <v>161</v>
      </c>
      <c r="L74" s="53">
        <v>1</v>
      </c>
      <c r="N74" s="53">
        <v>1</v>
      </c>
      <c r="O74" s="53">
        <v>1</v>
      </c>
      <c r="P74" s="53">
        <v>0.95</v>
      </c>
      <c r="Q74" s="75">
        <f t="shared" si="3"/>
        <v>0.97499999999999998</v>
      </c>
      <c r="R74" s="53">
        <v>14.2</v>
      </c>
      <c r="S74" s="53">
        <v>122</v>
      </c>
      <c r="T74" s="16">
        <f t="shared" si="4"/>
        <v>27</v>
      </c>
      <c r="U74" s="53">
        <v>84</v>
      </c>
      <c r="V74" s="16">
        <f t="shared" si="5"/>
        <v>2268</v>
      </c>
      <c r="W74" s="53">
        <v>1</v>
      </c>
      <c r="X74" s="53" t="s">
        <v>46</v>
      </c>
      <c r="Y74" s="53" t="s">
        <v>69</v>
      </c>
      <c r="Z74" s="53" t="s">
        <v>102</v>
      </c>
      <c r="AA74" s="53" t="s">
        <v>78</v>
      </c>
      <c r="AB74" s="53" t="s">
        <v>158</v>
      </c>
      <c r="AC74" s="76"/>
      <c r="AD74" s="76"/>
      <c r="AE74" s="76"/>
      <c r="AF74" s="76"/>
      <c r="AG74" s="76"/>
      <c r="AH74" s="76"/>
    </row>
    <row r="75" spans="1:34" x14ac:dyDescent="0.15">
      <c r="A75" s="53" t="s">
        <v>41</v>
      </c>
      <c r="B75" s="53" t="s">
        <v>157</v>
      </c>
      <c r="C75" s="62">
        <v>2019</v>
      </c>
      <c r="D75" s="63" t="s">
        <v>165</v>
      </c>
      <c r="E75" s="53" t="s">
        <v>192</v>
      </c>
      <c r="F75" s="53" t="s">
        <v>194</v>
      </c>
      <c r="G75" s="53" t="s">
        <v>42</v>
      </c>
      <c r="H75" s="53" t="s">
        <v>160</v>
      </c>
      <c r="I75" s="53" t="s">
        <v>159</v>
      </c>
      <c r="J75" s="53" t="s">
        <v>38</v>
      </c>
      <c r="K75" s="53" t="s">
        <v>161</v>
      </c>
      <c r="L75" s="53">
        <v>2</v>
      </c>
      <c r="M75" s="76"/>
      <c r="N75" s="53">
        <v>1</v>
      </c>
      <c r="O75" s="53">
        <v>1.3</v>
      </c>
      <c r="P75" s="53">
        <v>1.2</v>
      </c>
      <c r="Q75" s="75">
        <f t="shared" si="3"/>
        <v>1.25</v>
      </c>
      <c r="R75" s="53">
        <v>14.1</v>
      </c>
      <c r="S75" s="53">
        <v>123</v>
      </c>
      <c r="T75" s="16">
        <f t="shared" si="4"/>
        <v>27</v>
      </c>
      <c r="U75" s="53">
        <v>84</v>
      </c>
      <c r="V75" s="16">
        <f t="shared" si="5"/>
        <v>2268</v>
      </c>
      <c r="W75" s="53">
        <v>1</v>
      </c>
      <c r="X75" s="53" t="s">
        <v>46</v>
      </c>
      <c r="Y75" s="53" t="s">
        <v>69</v>
      </c>
      <c r="Z75" s="53" t="s">
        <v>102</v>
      </c>
      <c r="AA75" s="53" t="s">
        <v>78</v>
      </c>
      <c r="AB75" s="53" t="s">
        <v>158</v>
      </c>
      <c r="AC75" s="76"/>
      <c r="AD75" s="76"/>
      <c r="AE75" s="76"/>
      <c r="AF75" s="76"/>
      <c r="AG75" s="76"/>
      <c r="AH75" s="76"/>
    </row>
    <row r="76" spans="1:34" x14ac:dyDescent="0.15">
      <c r="A76" s="53" t="s">
        <v>41</v>
      </c>
      <c r="B76" s="53" t="s">
        <v>157</v>
      </c>
      <c r="C76" s="62">
        <v>2019</v>
      </c>
      <c r="D76" s="63" t="s">
        <v>165</v>
      </c>
      <c r="E76" s="53" t="s">
        <v>192</v>
      </c>
      <c r="F76" s="53" t="s">
        <v>194</v>
      </c>
      <c r="G76" s="53" t="s">
        <v>42</v>
      </c>
      <c r="H76" s="53" t="s">
        <v>160</v>
      </c>
      <c r="I76" s="53" t="s">
        <v>159</v>
      </c>
      <c r="J76" s="53" t="s">
        <v>38</v>
      </c>
      <c r="K76" s="53" t="s">
        <v>161</v>
      </c>
      <c r="L76" s="53">
        <v>3</v>
      </c>
      <c r="M76" s="76"/>
      <c r="N76" s="53">
        <v>1</v>
      </c>
      <c r="O76" s="53">
        <v>1</v>
      </c>
      <c r="P76" s="53">
        <v>0.95</v>
      </c>
      <c r="Q76" s="75">
        <f t="shared" si="3"/>
        <v>0.97499999999999998</v>
      </c>
      <c r="R76" s="53">
        <v>12.6</v>
      </c>
      <c r="S76" s="53">
        <v>122</v>
      </c>
      <c r="T76" s="16">
        <f t="shared" si="4"/>
        <v>27</v>
      </c>
      <c r="U76" s="53">
        <v>84</v>
      </c>
      <c r="V76" s="16">
        <f t="shared" si="5"/>
        <v>2268</v>
      </c>
      <c r="W76" s="53">
        <v>1</v>
      </c>
      <c r="X76" s="53" t="s">
        <v>46</v>
      </c>
      <c r="Y76" s="53" t="s">
        <v>69</v>
      </c>
      <c r="Z76" s="53" t="s">
        <v>102</v>
      </c>
      <c r="AA76" s="53" t="s">
        <v>78</v>
      </c>
      <c r="AB76" s="53" t="s">
        <v>158</v>
      </c>
      <c r="AC76" s="76"/>
      <c r="AD76" s="76"/>
      <c r="AE76" s="76"/>
      <c r="AF76" s="76"/>
      <c r="AG76" s="76"/>
      <c r="AH76" s="76"/>
    </row>
    <row r="77" spans="1:34" x14ac:dyDescent="0.15">
      <c r="A77" s="53" t="s">
        <v>41</v>
      </c>
      <c r="B77" s="53" t="s">
        <v>157</v>
      </c>
      <c r="C77" s="62">
        <v>2019</v>
      </c>
      <c r="D77" s="63" t="s">
        <v>165</v>
      </c>
      <c r="E77" s="53" t="s">
        <v>192</v>
      </c>
      <c r="F77" s="53" t="s">
        <v>194</v>
      </c>
      <c r="G77" s="53" t="s">
        <v>42</v>
      </c>
      <c r="H77" s="53" t="s">
        <v>160</v>
      </c>
      <c r="I77" s="53" t="s">
        <v>159</v>
      </c>
      <c r="J77" s="53" t="s">
        <v>38</v>
      </c>
      <c r="K77" s="53" t="s">
        <v>161</v>
      </c>
      <c r="L77" s="53">
        <v>1</v>
      </c>
      <c r="N77" s="53">
        <v>4</v>
      </c>
      <c r="O77" s="53">
        <v>0.25</v>
      </c>
      <c r="P77" s="53">
        <v>0.3</v>
      </c>
      <c r="Q77" s="75">
        <f t="shared" si="3"/>
        <v>0.27500000000000002</v>
      </c>
      <c r="R77" s="53">
        <v>13.5</v>
      </c>
      <c r="S77" s="53">
        <v>114</v>
      </c>
      <c r="T77" s="16">
        <f t="shared" si="4"/>
        <v>30</v>
      </c>
      <c r="U77" s="53">
        <v>421</v>
      </c>
      <c r="V77" s="16">
        <f t="shared" si="5"/>
        <v>3157.5</v>
      </c>
      <c r="W77" s="53">
        <v>2</v>
      </c>
      <c r="X77" s="53" t="s">
        <v>46</v>
      </c>
      <c r="Y77" s="53" t="s">
        <v>69</v>
      </c>
      <c r="Z77" s="53" t="s">
        <v>102</v>
      </c>
      <c r="AA77" s="53" t="s">
        <v>78</v>
      </c>
      <c r="AB77" s="53" t="s">
        <v>158</v>
      </c>
      <c r="AC77" s="76"/>
      <c r="AD77" s="76"/>
      <c r="AE77" s="76"/>
      <c r="AF77" s="76"/>
      <c r="AG77" s="76"/>
      <c r="AH77" s="76"/>
    </row>
    <row r="78" spans="1:34" x14ac:dyDescent="0.15">
      <c r="A78" s="53" t="s">
        <v>41</v>
      </c>
      <c r="B78" s="53" t="s">
        <v>157</v>
      </c>
      <c r="C78" s="62">
        <v>2019</v>
      </c>
      <c r="D78" s="63" t="s">
        <v>165</v>
      </c>
      <c r="E78" s="53" t="s">
        <v>192</v>
      </c>
      <c r="F78" s="53" t="s">
        <v>194</v>
      </c>
      <c r="G78" s="53" t="s">
        <v>42</v>
      </c>
      <c r="H78" s="53" t="s">
        <v>160</v>
      </c>
      <c r="I78" s="53" t="s">
        <v>159</v>
      </c>
      <c r="J78" s="53" t="s">
        <v>38</v>
      </c>
      <c r="K78" s="53" t="s">
        <v>161</v>
      </c>
      <c r="L78" s="53">
        <v>2</v>
      </c>
      <c r="M78" s="76"/>
      <c r="N78" s="53">
        <v>4</v>
      </c>
      <c r="O78" s="53">
        <v>0.25</v>
      </c>
      <c r="P78" s="53">
        <v>0.25</v>
      </c>
      <c r="Q78" s="75">
        <f t="shared" si="3"/>
        <v>0.25</v>
      </c>
      <c r="R78" s="53">
        <v>13.6</v>
      </c>
      <c r="S78" s="53">
        <v>115</v>
      </c>
      <c r="T78" s="16">
        <f t="shared" si="4"/>
        <v>30</v>
      </c>
      <c r="U78" s="53">
        <v>421</v>
      </c>
      <c r="V78" s="16">
        <f t="shared" si="5"/>
        <v>3157.5</v>
      </c>
      <c r="W78" s="53">
        <v>2</v>
      </c>
      <c r="X78" s="53" t="s">
        <v>46</v>
      </c>
      <c r="Y78" s="53" t="s">
        <v>69</v>
      </c>
      <c r="Z78" s="53" t="s">
        <v>102</v>
      </c>
      <c r="AA78" s="53" t="s">
        <v>78</v>
      </c>
      <c r="AB78" s="53" t="s">
        <v>158</v>
      </c>
      <c r="AC78" s="76"/>
      <c r="AD78" s="76"/>
      <c r="AE78" s="76"/>
      <c r="AF78" s="76"/>
      <c r="AG78" s="76"/>
      <c r="AH78" s="76"/>
    </row>
    <row r="79" spans="1:34" x14ac:dyDescent="0.15">
      <c r="A79" s="53" t="s">
        <v>41</v>
      </c>
      <c r="B79" s="53" t="s">
        <v>157</v>
      </c>
      <c r="C79" s="62">
        <v>2019</v>
      </c>
      <c r="D79" s="63" t="s">
        <v>165</v>
      </c>
      <c r="E79" s="53" t="s">
        <v>192</v>
      </c>
      <c r="F79" s="53" t="s">
        <v>194</v>
      </c>
      <c r="G79" s="53" t="s">
        <v>42</v>
      </c>
      <c r="H79" s="53" t="s">
        <v>160</v>
      </c>
      <c r="I79" s="53" t="s">
        <v>159</v>
      </c>
      <c r="J79" s="53" t="s">
        <v>38</v>
      </c>
      <c r="K79" s="53" t="s">
        <v>161</v>
      </c>
      <c r="L79" s="53">
        <v>3</v>
      </c>
      <c r="M79" s="76"/>
      <c r="N79" s="53">
        <v>4</v>
      </c>
      <c r="O79" s="53">
        <v>0.4</v>
      </c>
      <c r="P79" s="53">
        <v>0.3</v>
      </c>
      <c r="Q79" s="75">
        <f t="shared" si="3"/>
        <v>0.35</v>
      </c>
      <c r="R79" s="53">
        <v>11.7</v>
      </c>
      <c r="S79" s="53">
        <v>115</v>
      </c>
      <c r="T79" s="16">
        <f t="shared" si="4"/>
        <v>30</v>
      </c>
      <c r="U79" s="53">
        <v>421</v>
      </c>
      <c r="V79" s="16">
        <f t="shared" si="5"/>
        <v>3157.5</v>
      </c>
      <c r="W79" s="53">
        <v>2</v>
      </c>
      <c r="X79" s="53" t="s">
        <v>46</v>
      </c>
      <c r="Y79" s="53" t="s">
        <v>69</v>
      </c>
      <c r="Z79" s="53" t="s">
        <v>102</v>
      </c>
      <c r="AA79" s="53" t="s">
        <v>78</v>
      </c>
      <c r="AB79" s="53" t="s">
        <v>158</v>
      </c>
      <c r="AC79" s="76"/>
      <c r="AD79" s="76"/>
      <c r="AE79" s="76"/>
      <c r="AF79" s="76"/>
      <c r="AG79" s="76"/>
      <c r="AH79" s="76"/>
    </row>
    <row r="80" spans="1:34" x14ac:dyDescent="0.15">
      <c r="A80" s="53" t="s">
        <v>41</v>
      </c>
      <c r="B80" s="53" t="s">
        <v>157</v>
      </c>
      <c r="C80" s="62">
        <v>2019</v>
      </c>
      <c r="D80" s="63" t="s">
        <v>165</v>
      </c>
      <c r="E80" s="53" t="s">
        <v>197</v>
      </c>
      <c r="F80" s="53" t="s">
        <v>194</v>
      </c>
      <c r="G80" s="53" t="s">
        <v>42</v>
      </c>
      <c r="H80" s="53" t="s">
        <v>160</v>
      </c>
      <c r="I80" s="53" t="s">
        <v>159</v>
      </c>
      <c r="J80" s="53" t="s">
        <v>38</v>
      </c>
      <c r="K80" s="53" t="s">
        <v>161</v>
      </c>
      <c r="L80" s="53">
        <v>1</v>
      </c>
      <c r="N80" s="53">
        <v>1</v>
      </c>
      <c r="O80" s="53">
        <v>0.65</v>
      </c>
      <c r="P80" s="53">
        <v>0.4</v>
      </c>
      <c r="Q80" s="16">
        <f t="shared" si="3"/>
        <v>0.52500000000000002</v>
      </c>
      <c r="R80" s="53">
        <v>15.2</v>
      </c>
      <c r="S80" s="53">
        <v>115</v>
      </c>
      <c r="T80" s="38">
        <f t="shared" si="4"/>
        <v>30</v>
      </c>
      <c r="U80" s="53">
        <v>104</v>
      </c>
      <c r="V80" s="16">
        <f t="shared" si="5"/>
        <v>3120</v>
      </c>
      <c r="W80" s="53">
        <v>2</v>
      </c>
      <c r="X80" s="53" t="s">
        <v>46</v>
      </c>
      <c r="Y80" s="53" t="s">
        <v>78</v>
      </c>
      <c r="Z80" s="53" t="s">
        <v>69</v>
      </c>
      <c r="AA80" s="53" t="s">
        <v>47</v>
      </c>
      <c r="AB80" s="53" t="s">
        <v>158</v>
      </c>
      <c r="AC80" s="76"/>
      <c r="AD80" s="76"/>
      <c r="AE80" s="76"/>
      <c r="AF80" s="76"/>
      <c r="AG80" s="76"/>
      <c r="AH80" s="76"/>
    </row>
    <row r="81" spans="1:34" x14ac:dyDescent="0.15">
      <c r="A81" s="53" t="s">
        <v>41</v>
      </c>
      <c r="B81" s="53" t="s">
        <v>157</v>
      </c>
      <c r="C81" s="62">
        <v>2019</v>
      </c>
      <c r="D81" s="63" t="s">
        <v>165</v>
      </c>
      <c r="E81" s="53" t="s">
        <v>197</v>
      </c>
      <c r="F81" s="53" t="s">
        <v>194</v>
      </c>
      <c r="G81" s="53" t="s">
        <v>42</v>
      </c>
      <c r="H81" s="53" t="s">
        <v>160</v>
      </c>
      <c r="I81" s="53" t="s">
        <v>159</v>
      </c>
      <c r="J81" s="53" t="s">
        <v>38</v>
      </c>
      <c r="K81" s="53" t="s">
        <v>161</v>
      </c>
      <c r="L81" s="53">
        <v>2</v>
      </c>
      <c r="M81" s="76"/>
      <c r="N81" s="53">
        <v>1</v>
      </c>
      <c r="O81" s="53">
        <v>0.35</v>
      </c>
      <c r="P81" s="53">
        <v>0.45</v>
      </c>
      <c r="Q81" s="16">
        <f t="shared" si="3"/>
        <v>0.4</v>
      </c>
      <c r="R81" s="53">
        <v>14.1</v>
      </c>
      <c r="S81" s="53">
        <v>117</v>
      </c>
      <c r="T81" s="38">
        <f t="shared" si="4"/>
        <v>30</v>
      </c>
      <c r="U81" s="53">
        <v>104</v>
      </c>
      <c r="V81" s="16">
        <f t="shared" si="5"/>
        <v>3120</v>
      </c>
      <c r="W81" s="53">
        <v>2</v>
      </c>
      <c r="X81" s="53" t="s">
        <v>46</v>
      </c>
      <c r="Y81" s="53" t="s">
        <v>78</v>
      </c>
      <c r="Z81" s="53" t="s">
        <v>69</v>
      </c>
      <c r="AA81" s="53" t="s">
        <v>47</v>
      </c>
      <c r="AB81" s="53" t="s">
        <v>158</v>
      </c>
      <c r="AC81" s="76"/>
      <c r="AD81" s="76"/>
      <c r="AE81" s="76"/>
      <c r="AF81" s="76"/>
      <c r="AG81" s="76"/>
      <c r="AH81" s="76"/>
    </row>
    <row r="82" spans="1:34" x14ac:dyDescent="0.15">
      <c r="A82" s="53" t="s">
        <v>41</v>
      </c>
      <c r="B82" s="53" t="s">
        <v>157</v>
      </c>
      <c r="C82" s="62">
        <v>2019</v>
      </c>
      <c r="D82" s="63" t="s">
        <v>165</v>
      </c>
      <c r="E82" s="53" t="s">
        <v>197</v>
      </c>
      <c r="F82" s="53" t="s">
        <v>194</v>
      </c>
      <c r="G82" s="53" t="s">
        <v>42</v>
      </c>
      <c r="H82" s="53" t="s">
        <v>160</v>
      </c>
      <c r="I82" s="53" t="s">
        <v>159</v>
      </c>
      <c r="J82" s="53" t="s">
        <v>38</v>
      </c>
      <c r="K82" s="53" t="s">
        <v>161</v>
      </c>
      <c r="L82" s="53">
        <v>3</v>
      </c>
      <c r="M82" s="76"/>
      <c r="N82" s="53">
        <v>1</v>
      </c>
      <c r="O82" s="53">
        <v>0.4</v>
      </c>
      <c r="P82" s="53">
        <v>0.5</v>
      </c>
      <c r="Q82" s="16">
        <f t="shared" si="3"/>
        <v>0.45</v>
      </c>
      <c r="R82" s="53">
        <v>12.6</v>
      </c>
      <c r="S82" s="53">
        <v>120</v>
      </c>
      <c r="T82" s="38">
        <f t="shared" si="4"/>
        <v>30</v>
      </c>
      <c r="U82" s="53">
        <v>104</v>
      </c>
      <c r="V82" s="38">
        <f t="shared" si="5"/>
        <v>3120</v>
      </c>
      <c r="W82" s="53">
        <v>2</v>
      </c>
      <c r="X82" s="53" t="s">
        <v>46</v>
      </c>
      <c r="Y82" s="53" t="s">
        <v>78</v>
      </c>
      <c r="Z82" s="53" t="s">
        <v>69</v>
      </c>
      <c r="AA82" s="53" t="s">
        <v>47</v>
      </c>
      <c r="AB82" s="53" t="s">
        <v>158</v>
      </c>
      <c r="AC82" s="76"/>
      <c r="AD82" s="76"/>
      <c r="AE82" s="76"/>
      <c r="AF82" s="76"/>
      <c r="AG82" s="76"/>
      <c r="AH82" s="76"/>
    </row>
    <row r="83" spans="1:34" x14ac:dyDescent="0.15">
      <c r="A83" s="53" t="s">
        <v>41</v>
      </c>
      <c r="B83" s="53" t="s">
        <v>157</v>
      </c>
      <c r="C83" s="62">
        <v>2019</v>
      </c>
      <c r="D83" s="63" t="s">
        <v>165</v>
      </c>
      <c r="E83" s="53" t="s">
        <v>197</v>
      </c>
      <c r="F83" s="53" t="s">
        <v>194</v>
      </c>
      <c r="G83" s="53" t="s">
        <v>42</v>
      </c>
      <c r="H83" s="53" t="s">
        <v>164</v>
      </c>
      <c r="I83" s="53" t="s">
        <v>159</v>
      </c>
      <c r="J83" s="53" t="s">
        <v>38</v>
      </c>
      <c r="K83" s="53" t="s">
        <v>161</v>
      </c>
      <c r="L83" s="53">
        <v>1</v>
      </c>
      <c r="N83" s="53">
        <v>1</v>
      </c>
      <c r="O83" s="53">
        <v>1.3</v>
      </c>
      <c r="P83" s="53">
        <v>1.2</v>
      </c>
      <c r="Q83" s="75">
        <f t="shared" si="3"/>
        <v>1.25</v>
      </c>
      <c r="R83" s="53">
        <v>13</v>
      </c>
      <c r="S83" s="53">
        <v>124</v>
      </c>
      <c r="T83" s="16">
        <f t="shared" si="4"/>
        <v>27</v>
      </c>
      <c r="U83" s="53">
        <v>104</v>
      </c>
      <c r="V83" s="16">
        <f t="shared" si="5"/>
        <v>2808</v>
      </c>
      <c r="W83" s="53">
        <v>4</v>
      </c>
      <c r="X83" s="53" t="s">
        <v>46</v>
      </c>
      <c r="Y83" s="53" t="s">
        <v>78</v>
      </c>
      <c r="Z83" s="53" t="s">
        <v>69</v>
      </c>
      <c r="AA83" s="53" t="s">
        <v>47</v>
      </c>
      <c r="AB83" s="53" t="s">
        <v>158</v>
      </c>
      <c r="AC83" s="76"/>
      <c r="AD83" s="76"/>
      <c r="AE83" s="76"/>
      <c r="AF83" s="76"/>
      <c r="AG83" s="76"/>
      <c r="AH83" s="76"/>
    </row>
    <row r="84" spans="1:34" x14ac:dyDescent="0.15">
      <c r="A84" s="53" t="s">
        <v>41</v>
      </c>
      <c r="B84" s="53" t="s">
        <v>157</v>
      </c>
      <c r="C84" s="62">
        <v>2019</v>
      </c>
      <c r="D84" s="63" t="s">
        <v>165</v>
      </c>
      <c r="E84" s="53" t="s">
        <v>197</v>
      </c>
      <c r="F84" s="53" t="s">
        <v>194</v>
      </c>
      <c r="G84" s="53" t="s">
        <v>42</v>
      </c>
      <c r="H84" s="53" t="s">
        <v>164</v>
      </c>
      <c r="I84" s="53" t="s">
        <v>159</v>
      </c>
      <c r="J84" s="53" t="s">
        <v>38</v>
      </c>
      <c r="K84" s="53" t="s">
        <v>161</v>
      </c>
      <c r="L84" s="53">
        <v>2</v>
      </c>
      <c r="M84" s="76"/>
      <c r="N84" s="53">
        <v>1</v>
      </c>
      <c r="O84" s="53">
        <v>1.25</v>
      </c>
      <c r="P84" s="53">
        <v>1.1000000000000001</v>
      </c>
      <c r="Q84" s="75">
        <f t="shared" si="3"/>
        <v>1.175</v>
      </c>
      <c r="R84" s="53">
        <v>12.6</v>
      </c>
      <c r="S84" s="53">
        <v>122</v>
      </c>
      <c r="T84" s="16">
        <f t="shared" si="4"/>
        <v>27</v>
      </c>
      <c r="U84" s="53">
        <v>104</v>
      </c>
      <c r="V84" s="16">
        <f t="shared" si="5"/>
        <v>2808</v>
      </c>
      <c r="W84" s="53">
        <v>4</v>
      </c>
      <c r="X84" s="53" t="s">
        <v>46</v>
      </c>
      <c r="Y84" s="53" t="s">
        <v>78</v>
      </c>
      <c r="Z84" s="53" t="s">
        <v>69</v>
      </c>
      <c r="AA84" s="53" t="s">
        <v>47</v>
      </c>
      <c r="AB84" s="53" t="s">
        <v>158</v>
      </c>
      <c r="AC84" s="76"/>
      <c r="AD84" s="76"/>
      <c r="AE84" s="76"/>
      <c r="AF84" s="76"/>
      <c r="AG84" s="76"/>
      <c r="AH84" s="76"/>
    </row>
    <row r="85" spans="1:34" x14ac:dyDescent="0.15">
      <c r="A85" s="53" t="s">
        <v>41</v>
      </c>
      <c r="B85" s="53" t="s">
        <v>157</v>
      </c>
      <c r="C85" s="62">
        <v>2019</v>
      </c>
      <c r="D85" s="63" t="s">
        <v>165</v>
      </c>
      <c r="E85" s="53" t="s">
        <v>197</v>
      </c>
      <c r="F85" s="53" t="s">
        <v>194</v>
      </c>
      <c r="G85" s="53" t="s">
        <v>42</v>
      </c>
      <c r="H85" s="53" t="s">
        <v>164</v>
      </c>
      <c r="I85" s="53" t="s">
        <v>159</v>
      </c>
      <c r="J85" s="53" t="s">
        <v>38</v>
      </c>
      <c r="K85" s="53" t="s">
        <v>161</v>
      </c>
      <c r="L85" s="53">
        <v>3</v>
      </c>
      <c r="M85" s="76"/>
      <c r="N85" s="53">
        <v>1</v>
      </c>
      <c r="O85" s="53">
        <v>1</v>
      </c>
      <c r="P85" s="53">
        <v>0.9</v>
      </c>
      <c r="Q85" s="75">
        <f t="shared" si="3"/>
        <v>0.95</v>
      </c>
      <c r="R85" s="53">
        <v>15.2</v>
      </c>
      <c r="S85" s="53">
        <v>122</v>
      </c>
      <c r="T85" s="16">
        <f t="shared" si="4"/>
        <v>27</v>
      </c>
      <c r="U85" s="53">
        <v>104</v>
      </c>
      <c r="V85" s="16">
        <f t="shared" si="5"/>
        <v>2808</v>
      </c>
      <c r="W85" s="53">
        <v>4</v>
      </c>
      <c r="X85" s="53" t="s">
        <v>46</v>
      </c>
      <c r="Y85" s="53" t="s">
        <v>78</v>
      </c>
      <c r="Z85" s="53" t="s">
        <v>69</v>
      </c>
      <c r="AA85" s="53" t="s">
        <v>47</v>
      </c>
      <c r="AB85" s="53" t="s">
        <v>158</v>
      </c>
      <c r="AC85" s="76"/>
      <c r="AD85" s="76"/>
      <c r="AE85" s="76"/>
      <c r="AF85" s="76"/>
      <c r="AG85" s="76"/>
      <c r="AH85" s="76"/>
    </row>
    <row r="86" spans="1:34" x14ac:dyDescent="0.15">
      <c r="A86" s="53" t="s">
        <v>41</v>
      </c>
      <c r="B86" s="53" t="s">
        <v>157</v>
      </c>
      <c r="C86" s="62">
        <v>2019</v>
      </c>
      <c r="D86" s="63" t="s">
        <v>165</v>
      </c>
      <c r="E86" s="53" t="s">
        <v>197</v>
      </c>
      <c r="F86" s="53" t="s">
        <v>194</v>
      </c>
      <c r="G86" s="53" t="s">
        <v>42</v>
      </c>
      <c r="H86" s="53" t="s">
        <v>160</v>
      </c>
      <c r="I86" s="53" t="s">
        <v>159</v>
      </c>
      <c r="J86" s="53" t="s">
        <v>38</v>
      </c>
      <c r="K86" s="53" t="s">
        <v>161</v>
      </c>
      <c r="L86" s="53">
        <v>1</v>
      </c>
      <c r="N86" s="53">
        <v>5</v>
      </c>
      <c r="O86" s="53">
        <v>0.5</v>
      </c>
      <c r="P86" s="53">
        <v>0.5</v>
      </c>
      <c r="Q86" s="16">
        <f t="shared" si="3"/>
        <v>0.5</v>
      </c>
      <c r="R86" s="53">
        <v>16</v>
      </c>
      <c r="S86" s="53">
        <v>115</v>
      </c>
      <c r="T86" s="38">
        <f t="shared" si="4"/>
        <v>30</v>
      </c>
      <c r="U86" s="53">
        <v>536</v>
      </c>
      <c r="V86" s="16">
        <f t="shared" si="5"/>
        <v>3216</v>
      </c>
      <c r="W86" s="53">
        <v>1</v>
      </c>
      <c r="X86" s="53" t="s">
        <v>46</v>
      </c>
      <c r="Y86" s="53" t="s">
        <v>78</v>
      </c>
      <c r="Z86" s="53" t="s">
        <v>69</v>
      </c>
      <c r="AA86" s="53" t="s">
        <v>47</v>
      </c>
      <c r="AB86" s="53" t="s">
        <v>158</v>
      </c>
      <c r="AC86" s="76"/>
      <c r="AD86" s="76"/>
      <c r="AE86" s="76"/>
      <c r="AF86" s="76"/>
      <c r="AG86" s="76"/>
      <c r="AH86" s="76"/>
    </row>
    <row r="87" spans="1:34" x14ac:dyDescent="0.15">
      <c r="A87" s="53" t="s">
        <v>41</v>
      </c>
      <c r="B87" s="53" t="s">
        <v>157</v>
      </c>
      <c r="C87" s="62">
        <v>2019</v>
      </c>
      <c r="D87" s="63" t="s">
        <v>165</v>
      </c>
      <c r="E87" s="53" t="s">
        <v>197</v>
      </c>
      <c r="F87" s="53" t="s">
        <v>194</v>
      </c>
      <c r="G87" s="53" t="s">
        <v>42</v>
      </c>
      <c r="H87" s="53" t="s">
        <v>160</v>
      </c>
      <c r="I87" s="53" t="s">
        <v>159</v>
      </c>
      <c r="J87" s="53" t="s">
        <v>38</v>
      </c>
      <c r="K87" s="53" t="s">
        <v>161</v>
      </c>
      <c r="L87" s="53">
        <v>2</v>
      </c>
      <c r="M87" s="76"/>
      <c r="N87" s="53">
        <v>5</v>
      </c>
      <c r="O87" s="53">
        <v>0.65</v>
      </c>
      <c r="P87" s="53">
        <v>0.7</v>
      </c>
      <c r="Q87" s="16">
        <f t="shared" si="3"/>
        <v>0.67500000000000004</v>
      </c>
      <c r="R87" s="53">
        <v>12.4</v>
      </c>
      <c r="S87" s="53">
        <v>120</v>
      </c>
      <c r="T87" s="38">
        <f t="shared" si="4"/>
        <v>30</v>
      </c>
      <c r="U87" s="53">
        <v>536</v>
      </c>
      <c r="V87" s="16">
        <f t="shared" si="5"/>
        <v>3216</v>
      </c>
      <c r="W87" s="53">
        <v>1</v>
      </c>
      <c r="X87" s="53" t="s">
        <v>46</v>
      </c>
      <c r="Y87" s="53" t="s">
        <v>78</v>
      </c>
      <c r="Z87" s="53" t="s">
        <v>69</v>
      </c>
      <c r="AA87" s="53" t="s">
        <v>47</v>
      </c>
      <c r="AB87" s="53" t="s">
        <v>158</v>
      </c>
      <c r="AC87" s="76"/>
      <c r="AD87" s="76"/>
      <c r="AE87" s="76"/>
      <c r="AF87" s="76"/>
      <c r="AG87" s="76"/>
      <c r="AH87" s="76"/>
    </row>
    <row r="88" spans="1:34" x14ac:dyDescent="0.15">
      <c r="A88" s="53" t="s">
        <v>41</v>
      </c>
      <c r="B88" s="53" t="s">
        <v>157</v>
      </c>
      <c r="C88" s="62">
        <v>2019</v>
      </c>
      <c r="D88" s="63" t="s">
        <v>165</v>
      </c>
      <c r="E88" s="53" t="s">
        <v>197</v>
      </c>
      <c r="F88" s="53" t="s">
        <v>194</v>
      </c>
      <c r="G88" s="53" t="s">
        <v>42</v>
      </c>
      <c r="H88" s="53" t="s">
        <v>160</v>
      </c>
      <c r="I88" s="53" t="s">
        <v>159</v>
      </c>
      <c r="J88" s="53" t="s">
        <v>38</v>
      </c>
      <c r="K88" s="53" t="s">
        <v>161</v>
      </c>
      <c r="L88" s="53">
        <v>3</v>
      </c>
      <c r="M88" s="76"/>
      <c r="N88" s="53">
        <v>5</v>
      </c>
      <c r="O88" s="53">
        <v>0.5</v>
      </c>
      <c r="P88" s="53">
        <v>0.75</v>
      </c>
      <c r="Q88" s="16">
        <f t="shared" si="3"/>
        <v>0.625</v>
      </c>
      <c r="R88" s="53">
        <v>17.399999999999999</v>
      </c>
      <c r="S88" s="53">
        <v>117</v>
      </c>
      <c r="T88" s="38">
        <f t="shared" si="4"/>
        <v>30</v>
      </c>
      <c r="U88" s="53">
        <v>536</v>
      </c>
      <c r="V88" s="38">
        <f t="shared" si="5"/>
        <v>3216</v>
      </c>
      <c r="W88" s="53">
        <v>1</v>
      </c>
      <c r="X88" s="53" t="s">
        <v>46</v>
      </c>
      <c r="Y88" s="53" t="s">
        <v>78</v>
      </c>
      <c r="Z88" s="53" t="s">
        <v>69</v>
      </c>
      <c r="AA88" s="53" t="s">
        <v>47</v>
      </c>
      <c r="AB88" s="53" t="s">
        <v>158</v>
      </c>
      <c r="AC88" s="76"/>
      <c r="AD88" s="76"/>
      <c r="AE88" s="76"/>
      <c r="AF88" s="76"/>
      <c r="AG88" s="76"/>
      <c r="AH88" s="76"/>
    </row>
    <row r="89" spans="1:34" x14ac:dyDescent="0.15">
      <c r="A89" s="53" t="s">
        <v>41</v>
      </c>
      <c r="B89" s="53" t="s">
        <v>157</v>
      </c>
      <c r="C89" s="62">
        <v>2019</v>
      </c>
      <c r="D89" s="63" t="s">
        <v>165</v>
      </c>
      <c r="E89" s="53" t="s">
        <v>197</v>
      </c>
      <c r="F89" s="53" t="s">
        <v>194</v>
      </c>
      <c r="G89" s="53" t="s">
        <v>42</v>
      </c>
      <c r="H89" s="53" t="s">
        <v>164</v>
      </c>
      <c r="I89" s="53" t="s">
        <v>159</v>
      </c>
      <c r="J89" s="53" t="s">
        <v>38</v>
      </c>
      <c r="K89" s="53" t="s">
        <v>161</v>
      </c>
      <c r="L89" s="53">
        <v>1</v>
      </c>
      <c r="N89" s="53">
        <v>6</v>
      </c>
      <c r="O89" s="53">
        <v>0.8</v>
      </c>
      <c r="P89" s="53">
        <v>0.9</v>
      </c>
      <c r="Q89" s="75">
        <f t="shared" si="3"/>
        <v>0.85000000000000009</v>
      </c>
      <c r="R89" s="53">
        <v>11.1</v>
      </c>
      <c r="S89" s="53">
        <v>114</v>
      </c>
      <c r="T89" s="16">
        <f t="shared" si="4"/>
        <v>30</v>
      </c>
      <c r="U89" s="53">
        <v>428</v>
      </c>
      <c r="V89" s="16">
        <f t="shared" si="5"/>
        <v>2140</v>
      </c>
      <c r="W89" s="53">
        <v>1</v>
      </c>
      <c r="X89" s="53" t="s">
        <v>46</v>
      </c>
      <c r="Y89" s="53" t="s">
        <v>78</v>
      </c>
      <c r="Z89" s="53" t="s">
        <v>69</v>
      </c>
      <c r="AA89" s="53" t="s">
        <v>47</v>
      </c>
      <c r="AB89" s="53" t="s">
        <v>158</v>
      </c>
      <c r="AC89" s="76"/>
      <c r="AD89" s="76"/>
      <c r="AE89" s="76"/>
      <c r="AF89" s="76"/>
      <c r="AG89" s="76"/>
      <c r="AH89" s="76"/>
    </row>
    <row r="90" spans="1:34" x14ac:dyDescent="0.15">
      <c r="A90" s="53" t="s">
        <v>41</v>
      </c>
      <c r="B90" s="53" t="s">
        <v>157</v>
      </c>
      <c r="C90" s="62">
        <v>2019</v>
      </c>
      <c r="D90" s="63" t="s">
        <v>165</v>
      </c>
      <c r="E90" s="53" t="s">
        <v>197</v>
      </c>
      <c r="F90" s="53" t="s">
        <v>194</v>
      </c>
      <c r="G90" s="53" t="s">
        <v>42</v>
      </c>
      <c r="H90" s="53" t="s">
        <v>164</v>
      </c>
      <c r="I90" s="53" t="s">
        <v>159</v>
      </c>
      <c r="J90" s="53" t="s">
        <v>38</v>
      </c>
      <c r="K90" s="53" t="s">
        <v>161</v>
      </c>
      <c r="L90" s="53">
        <v>2</v>
      </c>
      <c r="M90" s="76"/>
      <c r="N90" s="53">
        <v>6</v>
      </c>
      <c r="O90" s="53">
        <v>0.7</v>
      </c>
      <c r="P90" s="53">
        <v>0.85</v>
      </c>
      <c r="Q90" s="75">
        <f t="shared" si="3"/>
        <v>0.77499999999999991</v>
      </c>
      <c r="R90" s="53">
        <v>10.199999999999999</v>
      </c>
      <c r="S90" s="53">
        <v>116</v>
      </c>
      <c r="T90" s="16">
        <f t="shared" si="4"/>
        <v>30</v>
      </c>
      <c r="U90" s="53">
        <v>428</v>
      </c>
      <c r="V90" s="16">
        <f t="shared" si="5"/>
        <v>2140</v>
      </c>
      <c r="W90" s="53">
        <v>1</v>
      </c>
      <c r="X90" s="53" t="s">
        <v>46</v>
      </c>
      <c r="Y90" s="53" t="s">
        <v>78</v>
      </c>
      <c r="Z90" s="53" t="s">
        <v>69</v>
      </c>
      <c r="AA90" s="53" t="s">
        <v>47</v>
      </c>
      <c r="AB90" s="53" t="s">
        <v>158</v>
      </c>
      <c r="AC90" s="76"/>
      <c r="AD90" s="76"/>
      <c r="AE90" s="76"/>
      <c r="AF90" s="76"/>
      <c r="AG90" s="76"/>
      <c r="AH90" s="76"/>
    </row>
    <row r="91" spans="1:34" x14ac:dyDescent="0.15">
      <c r="A91" s="53" t="s">
        <v>41</v>
      </c>
      <c r="B91" s="53" t="s">
        <v>157</v>
      </c>
      <c r="C91" s="62">
        <v>2019</v>
      </c>
      <c r="D91" s="63" t="s">
        <v>165</v>
      </c>
      <c r="E91" s="53" t="s">
        <v>197</v>
      </c>
      <c r="F91" s="53" t="s">
        <v>194</v>
      </c>
      <c r="G91" s="53" t="s">
        <v>42</v>
      </c>
      <c r="H91" s="53" t="s">
        <v>164</v>
      </c>
      <c r="I91" s="53" t="s">
        <v>159</v>
      </c>
      <c r="J91" s="53" t="s">
        <v>38</v>
      </c>
      <c r="K91" s="53" t="s">
        <v>161</v>
      </c>
      <c r="L91" s="53">
        <v>3</v>
      </c>
      <c r="M91" s="76"/>
      <c r="N91" s="53">
        <v>6</v>
      </c>
      <c r="O91" s="53">
        <v>0.65</v>
      </c>
      <c r="P91" s="53">
        <v>0.7</v>
      </c>
      <c r="Q91" s="75">
        <f t="shared" si="3"/>
        <v>0.67500000000000004</v>
      </c>
      <c r="R91" s="53">
        <v>13.5</v>
      </c>
      <c r="S91" s="53">
        <v>117</v>
      </c>
      <c r="T91" s="16">
        <f t="shared" si="4"/>
        <v>30</v>
      </c>
      <c r="U91" s="53">
        <v>428</v>
      </c>
      <c r="V91" s="16">
        <f t="shared" si="5"/>
        <v>2140</v>
      </c>
      <c r="W91" s="53">
        <v>1</v>
      </c>
      <c r="X91" s="53" t="s">
        <v>46</v>
      </c>
      <c r="Y91" s="53" t="s">
        <v>78</v>
      </c>
      <c r="Z91" s="53" t="s">
        <v>69</v>
      </c>
      <c r="AA91" s="53" t="s">
        <v>47</v>
      </c>
      <c r="AB91" s="53" t="s">
        <v>158</v>
      </c>
      <c r="AC91" s="76"/>
      <c r="AD91" s="76"/>
      <c r="AE91" s="76"/>
      <c r="AF91" s="76"/>
      <c r="AG91" s="76"/>
      <c r="AH91" s="76"/>
    </row>
    <row r="92" spans="1:34" x14ac:dyDescent="0.15">
      <c r="A92" s="53" t="s">
        <v>41</v>
      </c>
      <c r="B92" s="53" t="s">
        <v>157</v>
      </c>
      <c r="C92" s="62">
        <v>2019</v>
      </c>
      <c r="D92" s="63" t="s">
        <v>165</v>
      </c>
      <c r="E92" s="53" t="s">
        <v>200</v>
      </c>
      <c r="F92" s="53" t="s">
        <v>201</v>
      </c>
      <c r="G92" s="53" t="s">
        <v>42</v>
      </c>
      <c r="H92" s="53" t="s">
        <v>160</v>
      </c>
      <c r="I92" s="53" t="s">
        <v>159</v>
      </c>
      <c r="J92" s="53" t="s">
        <v>38</v>
      </c>
      <c r="K92" s="53" t="s">
        <v>161</v>
      </c>
      <c r="L92" s="53">
        <v>1</v>
      </c>
      <c r="N92" s="53">
        <v>1</v>
      </c>
      <c r="O92" s="53">
        <v>0.75</v>
      </c>
      <c r="P92" s="53">
        <v>0.6</v>
      </c>
      <c r="Q92" s="75">
        <f t="shared" si="3"/>
        <v>0.67500000000000004</v>
      </c>
      <c r="R92" s="53">
        <v>16.2</v>
      </c>
      <c r="S92" s="53">
        <v>127</v>
      </c>
      <c r="T92" s="16">
        <f t="shared" si="4"/>
        <v>27</v>
      </c>
      <c r="U92" s="53">
        <v>138</v>
      </c>
      <c r="V92" s="16">
        <v>3726</v>
      </c>
      <c r="W92" s="53">
        <v>2</v>
      </c>
      <c r="X92" s="53" t="s">
        <v>46</v>
      </c>
      <c r="Y92" s="53" t="s">
        <v>69</v>
      </c>
      <c r="Z92" s="53" t="s">
        <v>78</v>
      </c>
      <c r="AA92" s="53" t="s">
        <v>102</v>
      </c>
      <c r="AB92" s="53" t="s">
        <v>158</v>
      </c>
      <c r="AC92" s="76"/>
      <c r="AD92" s="76"/>
      <c r="AE92" s="76"/>
      <c r="AF92" s="76"/>
      <c r="AG92" s="76"/>
      <c r="AH92" s="76"/>
    </row>
    <row r="93" spans="1:34" x14ac:dyDescent="0.15">
      <c r="A93" s="53" t="s">
        <v>41</v>
      </c>
      <c r="B93" s="53" t="s">
        <v>157</v>
      </c>
      <c r="C93" s="62">
        <v>2019</v>
      </c>
      <c r="D93" s="63" t="s">
        <v>165</v>
      </c>
      <c r="E93" s="53" t="s">
        <v>200</v>
      </c>
      <c r="F93" s="53" t="s">
        <v>201</v>
      </c>
      <c r="G93" s="53" t="s">
        <v>42</v>
      </c>
      <c r="H93" s="53" t="s">
        <v>160</v>
      </c>
      <c r="I93" s="53" t="s">
        <v>159</v>
      </c>
      <c r="J93" s="53" t="s">
        <v>38</v>
      </c>
      <c r="K93" s="53" t="s">
        <v>161</v>
      </c>
      <c r="L93" s="53">
        <v>2</v>
      </c>
      <c r="N93" s="53">
        <v>1</v>
      </c>
      <c r="O93" s="53">
        <v>0.8</v>
      </c>
      <c r="P93" s="53">
        <v>0.65</v>
      </c>
      <c r="Q93" s="75">
        <f t="shared" si="3"/>
        <v>0.72500000000000009</v>
      </c>
      <c r="R93" s="53">
        <v>15.8</v>
      </c>
      <c r="S93" s="53">
        <v>125</v>
      </c>
      <c r="T93" s="16">
        <f t="shared" si="4"/>
        <v>27</v>
      </c>
      <c r="U93" s="53">
        <v>138</v>
      </c>
      <c r="V93" s="16">
        <v>3726</v>
      </c>
      <c r="W93" s="53">
        <v>2</v>
      </c>
      <c r="X93" s="53" t="s">
        <v>46</v>
      </c>
      <c r="Y93" s="53" t="s">
        <v>69</v>
      </c>
      <c r="Z93" s="53" t="s">
        <v>78</v>
      </c>
      <c r="AA93" s="53" t="s">
        <v>102</v>
      </c>
      <c r="AB93" s="53" t="s">
        <v>158</v>
      </c>
      <c r="AC93" s="76"/>
      <c r="AD93" s="76"/>
      <c r="AE93" s="76"/>
      <c r="AF93" s="76"/>
      <c r="AG93" s="76"/>
      <c r="AH93" s="76"/>
    </row>
    <row r="94" spans="1:34" x14ac:dyDescent="0.15">
      <c r="A94" s="53" t="s">
        <v>41</v>
      </c>
      <c r="B94" s="53" t="s">
        <v>157</v>
      </c>
      <c r="C94" s="62">
        <v>2019</v>
      </c>
      <c r="D94" s="63" t="s">
        <v>165</v>
      </c>
      <c r="E94" s="53" t="s">
        <v>200</v>
      </c>
      <c r="F94" s="53" t="s">
        <v>201</v>
      </c>
      <c r="G94" s="53" t="s">
        <v>42</v>
      </c>
      <c r="H94" s="53" t="s">
        <v>160</v>
      </c>
      <c r="I94" s="53" t="s">
        <v>159</v>
      </c>
      <c r="J94" s="53" t="s">
        <v>38</v>
      </c>
      <c r="K94" s="53" t="s">
        <v>161</v>
      </c>
      <c r="L94" s="53">
        <v>3</v>
      </c>
      <c r="N94" s="53">
        <v>1</v>
      </c>
      <c r="O94" s="53">
        <v>0.75</v>
      </c>
      <c r="P94" s="53">
        <v>0.6</v>
      </c>
      <c r="Q94" s="75">
        <f t="shared" si="3"/>
        <v>0.67500000000000004</v>
      </c>
      <c r="R94" s="53">
        <v>14.4</v>
      </c>
      <c r="S94" s="53">
        <v>125</v>
      </c>
      <c r="T94" s="16">
        <f t="shared" si="4"/>
        <v>27</v>
      </c>
      <c r="U94" s="53">
        <v>138</v>
      </c>
      <c r="V94" s="16">
        <v>3726</v>
      </c>
      <c r="W94" s="53">
        <v>2</v>
      </c>
      <c r="X94" s="53" t="s">
        <v>46</v>
      </c>
      <c r="Y94" s="53" t="s">
        <v>69</v>
      </c>
      <c r="Z94" s="53" t="s">
        <v>78</v>
      </c>
      <c r="AA94" s="53" t="s">
        <v>102</v>
      </c>
      <c r="AB94" s="53" t="s">
        <v>158</v>
      </c>
      <c r="AC94" s="76"/>
      <c r="AD94" s="76"/>
      <c r="AE94" s="76"/>
      <c r="AF94" s="76"/>
      <c r="AG94" s="76"/>
      <c r="AH94" s="76"/>
    </row>
    <row r="95" spans="1:34" x14ac:dyDescent="0.15">
      <c r="A95" s="53" t="s">
        <v>41</v>
      </c>
      <c r="B95" s="53" t="s">
        <v>157</v>
      </c>
      <c r="C95" s="62">
        <v>2019</v>
      </c>
      <c r="D95" s="63" t="s">
        <v>165</v>
      </c>
      <c r="E95" s="53" t="s">
        <v>200</v>
      </c>
      <c r="F95" s="53" t="s">
        <v>201</v>
      </c>
      <c r="G95" s="53" t="s">
        <v>42</v>
      </c>
      <c r="H95" s="53" t="s">
        <v>160</v>
      </c>
      <c r="I95" s="53" t="s">
        <v>159</v>
      </c>
      <c r="J95" s="53" t="s">
        <v>38</v>
      </c>
      <c r="K95" s="53" t="s">
        <v>161</v>
      </c>
      <c r="L95" s="53">
        <v>1</v>
      </c>
      <c r="N95" s="53">
        <v>7</v>
      </c>
      <c r="O95" s="53">
        <v>0.5</v>
      </c>
      <c r="P95" s="53">
        <v>0.35</v>
      </c>
      <c r="Q95" s="75">
        <f t="shared" si="3"/>
        <v>0.42499999999999999</v>
      </c>
      <c r="R95" s="53">
        <v>13</v>
      </c>
      <c r="S95" s="53">
        <v>125</v>
      </c>
      <c r="T95" s="16">
        <f t="shared" si="4"/>
        <v>27</v>
      </c>
      <c r="U95" s="53">
        <v>734</v>
      </c>
      <c r="V95" s="16">
        <v>3726</v>
      </c>
      <c r="W95" s="53">
        <v>2</v>
      </c>
      <c r="X95" s="53" t="s">
        <v>46</v>
      </c>
      <c r="Y95" s="53" t="s">
        <v>69</v>
      </c>
      <c r="Z95" s="53" t="s">
        <v>78</v>
      </c>
      <c r="AA95" s="53" t="s">
        <v>102</v>
      </c>
      <c r="AB95" s="53" t="s">
        <v>158</v>
      </c>
      <c r="AC95" s="76"/>
      <c r="AD95" s="76"/>
      <c r="AE95" s="76"/>
      <c r="AF95" s="76"/>
      <c r="AG95" s="76"/>
      <c r="AH95" s="76"/>
    </row>
    <row r="96" spans="1:34" x14ac:dyDescent="0.15">
      <c r="A96" s="53" t="s">
        <v>41</v>
      </c>
      <c r="B96" s="53" t="s">
        <v>157</v>
      </c>
      <c r="C96" s="62">
        <v>2019</v>
      </c>
      <c r="D96" s="63" t="s">
        <v>165</v>
      </c>
      <c r="E96" s="53" t="s">
        <v>200</v>
      </c>
      <c r="F96" s="53" t="s">
        <v>201</v>
      </c>
      <c r="G96" s="53" t="s">
        <v>42</v>
      </c>
      <c r="H96" s="53" t="s">
        <v>160</v>
      </c>
      <c r="I96" s="53" t="s">
        <v>159</v>
      </c>
      <c r="J96" s="53" t="s">
        <v>38</v>
      </c>
      <c r="K96" s="53" t="s">
        <v>161</v>
      </c>
      <c r="L96" s="53">
        <v>2</v>
      </c>
      <c r="M96" s="76"/>
      <c r="N96" s="53">
        <v>7</v>
      </c>
      <c r="O96" s="53">
        <v>0.4</v>
      </c>
      <c r="P96" s="53">
        <v>0.45</v>
      </c>
      <c r="Q96" s="75">
        <f t="shared" si="3"/>
        <v>0.42500000000000004</v>
      </c>
      <c r="R96" s="53">
        <v>15.8</v>
      </c>
      <c r="S96" s="53">
        <v>123</v>
      </c>
      <c r="T96" s="16">
        <f t="shared" si="4"/>
        <v>27</v>
      </c>
      <c r="U96" s="53">
        <v>734</v>
      </c>
      <c r="V96" s="16">
        <v>3726</v>
      </c>
      <c r="W96" s="53">
        <v>2</v>
      </c>
      <c r="X96" s="53" t="s">
        <v>46</v>
      </c>
      <c r="Y96" s="53" t="s">
        <v>69</v>
      </c>
      <c r="Z96" s="53" t="s">
        <v>78</v>
      </c>
      <c r="AA96" s="53" t="s">
        <v>102</v>
      </c>
      <c r="AB96" s="53" t="s">
        <v>158</v>
      </c>
      <c r="AC96" s="76"/>
      <c r="AD96" s="76"/>
      <c r="AE96" s="76"/>
      <c r="AF96" s="76"/>
      <c r="AG96" s="76"/>
      <c r="AH96" s="76"/>
    </row>
    <row r="97" spans="1:34" x14ac:dyDescent="0.15">
      <c r="A97" s="53" t="s">
        <v>41</v>
      </c>
      <c r="B97" s="53" t="s">
        <v>157</v>
      </c>
      <c r="C97" s="62">
        <v>2019</v>
      </c>
      <c r="D97" s="63" t="s">
        <v>165</v>
      </c>
      <c r="E97" s="53" t="s">
        <v>200</v>
      </c>
      <c r="F97" s="53" t="s">
        <v>201</v>
      </c>
      <c r="G97" s="53" t="s">
        <v>42</v>
      </c>
      <c r="H97" s="53" t="s">
        <v>160</v>
      </c>
      <c r="I97" s="53" t="s">
        <v>159</v>
      </c>
      <c r="J97" s="53" t="s">
        <v>38</v>
      </c>
      <c r="K97" s="53" t="s">
        <v>161</v>
      </c>
      <c r="L97" s="53">
        <v>3</v>
      </c>
      <c r="M97" s="76"/>
      <c r="N97" s="53">
        <v>7</v>
      </c>
      <c r="O97" s="53">
        <v>0.45</v>
      </c>
      <c r="P97" s="53">
        <v>0.5</v>
      </c>
      <c r="Q97" s="72">
        <f t="shared" si="3"/>
        <v>0.47499999999999998</v>
      </c>
      <c r="R97" s="53">
        <v>11.2</v>
      </c>
      <c r="S97" s="53">
        <v>124</v>
      </c>
      <c r="T97" s="38">
        <f t="shared" si="4"/>
        <v>27</v>
      </c>
      <c r="U97" s="53">
        <v>734</v>
      </c>
      <c r="V97" s="16">
        <v>3726</v>
      </c>
      <c r="W97" s="53">
        <v>2</v>
      </c>
      <c r="X97" s="53" t="s">
        <v>46</v>
      </c>
      <c r="Y97" s="53" t="s">
        <v>69</v>
      </c>
      <c r="Z97" s="53" t="s">
        <v>78</v>
      </c>
      <c r="AA97" s="53" t="s">
        <v>102</v>
      </c>
      <c r="AB97" s="53" t="s">
        <v>158</v>
      </c>
      <c r="AC97" s="76"/>
      <c r="AD97" s="76"/>
      <c r="AE97" s="76"/>
      <c r="AF97" s="76"/>
      <c r="AG97" s="76"/>
      <c r="AH97" s="76"/>
    </row>
    <row r="98" spans="1:34" x14ac:dyDescent="0.15">
      <c r="A98" s="53" t="s">
        <v>41</v>
      </c>
      <c r="B98" s="53" t="s">
        <v>157</v>
      </c>
      <c r="C98" s="62">
        <v>2019</v>
      </c>
      <c r="D98" s="63" t="s">
        <v>165</v>
      </c>
      <c r="E98" s="53" t="s">
        <v>200</v>
      </c>
      <c r="F98" s="53" t="s">
        <v>201</v>
      </c>
      <c r="G98" s="53" t="s">
        <v>42</v>
      </c>
      <c r="H98" s="53" t="s">
        <v>164</v>
      </c>
      <c r="I98" s="53" t="s">
        <v>159</v>
      </c>
      <c r="J98" s="53" t="s">
        <v>38</v>
      </c>
      <c r="K98" s="53" t="s">
        <v>161</v>
      </c>
      <c r="L98" s="53">
        <v>1</v>
      </c>
      <c r="N98" s="53">
        <v>1</v>
      </c>
      <c r="O98" s="53">
        <v>0.6</v>
      </c>
      <c r="P98" s="53">
        <v>0.75</v>
      </c>
      <c r="Q98" s="72">
        <f t="shared" si="3"/>
        <v>0.67500000000000004</v>
      </c>
      <c r="R98" s="53">
        <v>12</v>
      </c>
      <c r="S98" s="53">
        <v>127</v>
      </c>
      <c r="T98" s="38">
        <f t="shared" si="4"/>
        <v>27</v>
      </c>
      <c r="U98" s="53">
        <v>138</v>
      </c>
      <c r="V98" s="38">
        <v>3146</v>
      </c>
      <c r="W98" s="53">
        <v>2</v>
      </c>
      <c r="X98" s="53" t="s">
        <v>46</v>
      </c>
      <c r="Y98" s="53" t="s">
        <v>69</v>
      </c>
      <c r="Z98" s="53" t="s">
        <v>78</v>
      </c>
      <c r="AA98" s="53" t="s">
        <v>102</v>
      </c>
      <c r="AB98" s="53" t="s">
        <v>158</v>
      </c>
      <c r="AC98" s="76"/>
      <c r="AD98" s="76"/>
      <c r="AE98" s="76"/>
      <c r="AF98" s="76"/>
      <c r="AG98" s="76"/>
      <c r="AH98" s="76"/>
    </row>
    <row r="99" spans="1:34" x14ac:dyDescent="0.15">
      <c r="A99" s="53" t="s">
        <v>41</v>
      </c>
      <c r="B99" s="53" t="s">
        <v>157</v>
      </c>
      <c r="C99" s="62">
        <v>2019</v>
      </c>
      <c r="D99" s="63" t="s">
        <v>165</v>
      </c>
      <c r="E99" s="53" t="s">
        <v>200</v>
      </c>
      <c r="F99" s="53" t="s">
        <v>201</v>
      </c>
      <c r="G99" s="53" t="s">
        <v>42</v>
      </c>
      <c r="H99" s="53" t="s">
        <v>164</v>
      </c>
      <c r="I99" s="53" t="s">
        <v>159</v>
      </c>
      <c r="J99" s="53" t="s">
        <v>38</v>
      </c>
      <c r="K99" s="53" t="s">
        <v>161</v>
      </c>
      <c r="L99" s="53">
        <v>2</v>
      </c>
      <c r="N99" s="53">
        <v>1</v>
      </c>
      <c r="O99" s="53">
        <v>0.75</v>
      </c>
      <c r="P99" s="53">
        <v>0.6</v>
      </c>
      <c r="Q99" s="72">
        <f t="shared" si="3"/>
        <v>0.67500000000000004</v>
      </c>
      <c r="R99" s="53">
        <v>16.2</v>
      </c>
      <c r="S99" s="53">
        <v>128</v>
      </c>
      <c r="T99" s="38">
        <f t="shared" si="4"/>
        <v>27</v>
      </c>
      <c r="U99" s="53">
        <v>138</v>
      </c>
      <c r="V99" s="38">
        <v>3146</v>
      </c>
      <c r="W99" s="53">
        <v>2</v>
      </c>
      <c r="X99" s="53" t="s">
        <v>46</v>
      </c>
      <c r="Y99" s="53" t="s">
        <v>69</v>
      </c>
      <c r="Z99" s="53" t="s">
        <v>78</v>
      </c>
      <c r="AA99" s="53" t="s">
        <v>102</v>
      </c>
      <c r="AB99" s="53" t="s">
        <v>158</v>
      </c>
      <c r="AC99" s="76"/>
      <c r="AD99" s="76"/>
      <c r="AE99" s="76"/>
      <c r="AF99" s="76"/>
      <c r="AG99" s="76"/>
      <c r="AH99" s="76"/>
    </row>
    <row r="100" spans="1:34" x14ac:dyDescent="0.15">
      <c r="A100" s="53" t="s">
        <v>41</v>
      </c>
      <c r="B100" s="53" t="s">
        <v>157</v>
      </c>
      <c r="C100" s="62">
        <v>2019</v>
      </c>
      <c r="D100" s="63" t="s">
        <v>165</v>
      </c>
      <c r="E100" s="53" t="s">
        <v>200</v>
      </c>
      <c r="F100" s="53" t="s">
        <v>201</v>
      </c>
      <c r="G100" s="53" t="s">
        <v>42</v>
      </c>
      <c r="H100" s="53" t="s">
        <v>164</v>
      </c>
      <c r="I100" s="53" t="s">
        <v>159</v>
      </c>
      <c r="J100" s="53" t="s">
        <v>38</v>
      </c>
      <c r="K100" s="53" t="s">
        <v>161</v>
      </c>
      <c r="L100" s="53">
        <v>3</v>
      </c>
      <c r="N100" s="53">
        <v>1</v>
      </c>
      <c r="O100" s="53">
        <v>0.6</v>
      </c>
      <c r="P100" s="53">
        <v>0.55000000000000004</v>
      </c>
      <c r="Q100" s="72">
        <f t="shared" si="3"/>
        <v>0.57499999999999996</v>
      </c>
      <c r="R100" s="53">
        <v>13.8</v>
      </c>
      <c r="S100" s="53">
        <v>125</v>
      </c>
      <c r="T100" s="38">
        <f t="shared" si="4"/>
        <v>27</v>
      </c>
      <c r="U100" s="53">
        <v>138</v>
      </c>
      <c r="V100" s="38">
        <v>3146</v>
      </c>
      <c r="W100" s="53">
        <v>2</v>
      </c>
      <c r="X100" s="53" t="s">
        <v>46</v>
      </c>
      <c r="Y100" s="53" t="s">
        <v>69</v>
      </c>
      <c r="Z100" s="53" t="s">
        <v>78</v>
      </c>
      <c r="AA100" s="53" t="s">
        <v>102</v>
      </c>
      <c r="AB100" s="53" t="s">
        <v>158</v>
      </c>
      <c r="AC100" s="76"/>
      <c r="AD100" s="76"/>
      <c r="AE100" s="76"/>
      <c r="AF100" s="76"/>
      <c r="AG100" s="76"/>
      <c r="AH100" s="76"/>
    </row>
    <row r="101" spans="1:34" x14ac:dyDescent="0.15">
      <c r="A101" s="53" t="s">
        <v>41</v>
      </c>
      <c r="B101" s="53" t="s">
        <v>157</v>
      </c>
      <c r="C101" s="62">
        <v>2019</v>
      </c>
      <c r="D101" s="63" t="s">
        <v>165</v>
      </c>
      <c r="E101" s="53" t="s">
        <v>200</v>
      </c>
      <c r="F101" s="53" t="s">
        <v>201</v>
      </c>
      <c r="G101" s="53" t="s">
        <v>42</v>
      </c>
      <c r="H101" s="53" t="s">
        <v>164</v>
      </c>
      <c r="I101" s="53" t="s">
        <v>159</v>
      </c>
      <c r="J101" s="53" t="s">
        <v>38</v>
      </c>
      <c r="K101" s="53" t="s">
        <v>161</v>
      </c>
      <c r="L101" s="53">
        <v>1</v>
      </c>
      <c r="N101" s="53">
        <v>8</v>
      </c>
      <c r="O101" s="53">
        <v>0.25</v>
      </c>
      <c r="P101" s="53">
        <v>0.3</v>
      </c>
      <c r="Q101" s="75">
        <f t="shared" si="3"/>
        <v>0.27500000000000002</v>
      </c>
      <c r="R101" s="53">
        <v>14.1</v>
      </c>
      <c r="S101" s="53">
        <v>120</v>
      </c>
      <c r="T101" s="16">
        <f t="shared" si="4"/>
        <v>30</v>
      </c>
      <c r="U101" s="53">
        <v>626</v>
      </c>
      <c r="V101" s="38">
        <v>3670</v>
      </c>
      <c r="W101" s="53">
        <v>2</v>
      </c>
      <c r="X101" s="53" t="s">
        <v>46</v>
      </c>
      <c r="Y101" s="53" t="s">
        <v>69</v>
      </c>
      <c r="Z101" s="53" t="s">
        <v>78</v>
      </c>
      <c r="AA101" s="53" t="s">
        <v>102</v>
      </c>
      <c r="AB101" s="53" t="s">
        <v>158</v>
      </c>
      <c r="AC101" s="76"/>
      <c r="AD101" s="76"/>
      <c r="AE101" s="76"/>
      <c r="AF101" s="76"/>
      <c r="AG101" s="76"/>
      <c r="AH101" s="76"/>
    </row>
    <row r="102" spans="1:34" x14ac:dyDescent="0.15">
      <c r="A102" s="53" t="s">
        <v>41</v>
      </c>
      <c r="B102" s="53" t="s">
        <v>157</v>
      </c>
      <c r="C102" s="62">
        <v>2019</v>
      </c>
      <c r="D102" s="63" t="s">
        <v>165</v>
      </c>
      <c r="E102" s="53" t="s">
        <v>200</v>
      </c>
      <c r="F102" s="53" t="s">
        <v>201</v>
      </c>
      <c r="G102" s="53" t="s">
        <v>42</v>
      </c>
      <c r="H102" s="53" t="s">
        <v>164</v>
      </c>
      <c r="I102" s="53" t="s">
        <v>159</v>
      </c>
      <c r="J102" s="53" t="s">
        <v>38</v>
      </c>
      <c r="K102" s="53" t="s">
        <v>161</v>
      </c>
      <c r="L102" s="53">
        <v>2</v>
      </c>
      <c r="N102" s="53">
        <v>8</v>
      </c>
      <c r="O102" s="53">
        <v>0.35</v>
      </c>
      <c r="P102" s="53">
        <v>0.3</v>
      </c>
      <c r="Q102" s="75">
        <f t="shared" si="3"/>
        <v>0.32499999999999996</v>
      </c>
      <c r="R102" s="53">
        <v>12.8</v>
      </c>
      <c r="S102" s="53">
        <v>120</v>
      </c>
      <c r="T102" s="16">
        <f t="shared" si="4"/>
        <v>30</v>
      </c>
      <c r="U102" s="53">
        <v>626</v>
      </c>
      <c r="V102" s="38">
        <v>3303</v>
      </c>
      <c r="W102" s="53">
        <v>2</v>
      </c>
      <c r="X102" s="53" t="s">
        <v>46</v>
      </c>
      <c r="Y102" s="53" t="s">
        <v>69</v>
      </c>
      <c r="Z102" s="53" t="s">
        <v>78</v>
      </c>
      <c r="AA102" s="53" t="s">
        <v>102</v>
      </c>
      <c r="AB102" s="53" t="s">
        <v>158</v>
      </c>
      <c r="AC102" s="76"/>
      <c r="AD102" s="76"/>
      <c r="AE102" s="76"/>
      <c r="AF102" s="76"/>
      <c r="AG102" s="76"/>
      <c r="AH102" s="76"/>
    </row>
    <row r="103" spans="1:34" x14ac:dyDescent="0.15">
      <c r="A103" s="53" t="s">
        <v>41</v>
      </c>
      <c r="B103" s="53" t="s">
        <v>157</v>
      </c>
      <c r="C103" s="62">
        <v>2019</v>
      </c>
      <c r="D103" s="63" t="s">
        <v>165</v>
      </c>
      <c r="E103" s="53" t="s">
        <v>200</v>
      </c>
      <c r="F103" s="53" t="s">
        <v>201</v>
      </c>
      <c r="G103" s="53" t="s">
        <v>42</v>
      </c>
      <c r="H103" s="53" t="s">
        <v>164</v>
      </c>
      <c r="I103" s="53" t="s">
        <v>159</v>
      </c>
      <c r="J103" s="53" t="s">
        <v>38</v>
      </c>
      <c r="K103" s="53" t="s">
        <v>161</v>
      </c>
      <c r="L103" s="53">
        <v>3</v>
      </c>
      <c r="N103" s="53">
        <v>8</v>
      </c>
      <c r="O103" s="53">
        <v>0.3</v>
      </c>
      <c r="P103" s="53">
        <v>0.35</v>
      </c>
      <c r="Q103" s="75">
        <f t="shared" si="3"/>
        <v>0.32499999999999996</v>
      </c>
      <c r="R103" s="53">
        <v>13</v>
      </c>
      <c r="S103" s="53">
        <v>120</v>
      </c>
      <c r="T103" s="16">
        <f t="shared" si="4"/>
        <v>30</v>
      </c>
      <c r="U103" s="53">
        <v>626</v>
      </c>
      <c r="V103" s="38">
        <v>3670</v>
      </c>
      <c r="W103" s="53">
        <v>2</v>
      </c>
      <c r="X103" s="53" t="s">
        <v>46</v>
      </c>
      <c r="Y103" s="53" t="s">
        <v>69</v>
      </c>
      <c r="Z103" s="53" t="s">
        <v>78</v>
      </c>
      <c r="AA103" s="53" t="s">
        <v>102</v>
      </c>
      <c r="AB103" s="53" t="s">
        <v>158</v>
      </c>
      <c r="AC103" s="76"/>
      <c r="AD103" s="76"/>
      <c r="AE103" s="76"/>
      <c r="AF103" s="76"/>
      <c r="AG103" s="76"/>
      <c r="AH103" s="76"/>
    </row>
    <row r="104" spans="1:34" x14ac:dyDescent="0.15">
      <c r="A104" s="53" t="s">
        <v>41</v>
      </c>
      <c r="B104" s="53" t="s">
        <v>157</v>
      </c>
      <c r="C104" s="62">
        <v>2019</v>
      </c>
      <c r="D104" s="63" t="s">
        <v>165</v>
      </c>
      <c r="E104" s="53" t="s">
        <v>200</v>
      </c>
      <c r="F104" s="53" t="s">
        <v>207</v>
      </c>
      <c r="G104" s="53" t="s">
        <v>42</v>
      </c>
      <c r="H104" s="53" t="s">
        <v>160</v>
      </c>
      <c r="I104" s="53" t="s">
        <v>159</v>
      </c>
      <c r="J104" s="53" t="s">
        <v>38</v>
      </c>
      <c r="K104" s="53" t="s">
        <v>161</v>
      </c>
      <c r="L104" s="53">
        <v>1</v>
      </c>
      <c r="N104" s="53">
        <v>1</v>
      </c>
      <c r="O104" s="53">
        <v>0.5</v>
      </c>
      <c r="P104" s="53">
        <v>0.65</v>
      </c>
      <c r="Q104" s="75">
        <f t="shared" si="3"/>
        <v>0.57499999999999996</v>
      </c>
      <c r="R104" s="53">
        <v>16.2</v>
      </c>
      <c r="S104" s="53">
        <v>127</v>
      </c>
      <c r="T104" s="16">
        <f t="shared" si="4"/>
        <v>27</v>
      </c>
      <c r="U104" s="53">
        <v>138</v>
      </c>
      <c r="V104" s="16">
        <f t="shared" ref="V104:V142" si="6">IF(OR(N104="",U104="",T104=""),"",U104/N104*T104)</f>
        <v>3726</v>
      </c>
      <c r="W104" s="53">
        <v>2</v>
      </c>
      <c r="X104" s="53" t="s">
        <v>46</v>
      </c>
      <c r="Y104" s="53" t="s">
        <v>78</v>
      </c>
      <c r="Z104" s="53" t="s">
        <v>69</v>
      </c>
      <c r="AA104" s="53" t="s">
        <v>102</v>
      </c>
      <c r="AB104" s="53" t="s">
        <v>158</v>
      </c>
      <c r="AC104" s="76"/>
      <c r="AD104" s="76"/>
      <c r="AE104" s="76"/>
      <c r="AF104" s="76"/>
      <c r="AG104" s="76"/>
      <c r="AH104" s="76"/>
    </row>
    <row r="105" spans="1:34" x14ac:dyDescent="0.15">
      <c r="A105" s="53" t="s">
        <v>41</v>
      </c>
      <c r="B105" s="53" t="s">
        <v>157</v>
      </c>
      <c r="C105" s="62">
        <v>2019</v>
      </c>
      <c r="D105" s="63" t="s">
        <v>165</v>
      </c>
      <c r="E105" s="53" t="s">
        <v>200</v>
      </c>
      <c r="F105" s="53" t="s">
        <v>207</v>
      </c>
      <c r="G105" s="53" t="s">
        <v>42</v>
      </c>
      <c r="H105" s="53" t="s">
        <v>160</v>
      </c>
      <c r="I105" s="53" t="s">
        <v>159</v>
      </c>
      <c r="J105" s="53" t="s">
        <v>38</v>
      </c>
      <c r="K105" s="53" t="s">
        <v>161</v>
      </c>
      <c r="L105" s="53">
        <v>2</v>
      </c>
      <c r="N105" s="53">
        <v>1</v>
      </c>
      <c r="O105" s="53">
        <v>0.5</v>
      </c>
      <c r="P105" s="53">
        <v>0.55000000000000004</v>
      </c>
      <c r="Q105" s="75">
        <f t="shared" si="3"/>
        <v>0.52500000000000002</v>
      </c>
      <c r="R105" s="53">
        <v>15.8</v>
      </c>
      <c r="S105" s="53">
        <v>125</v>
      </c>
      <c r="T105" s="16">
        <f t="shared" si="4"/>
        <v>27</v>
      </c>
      <c r="U105" s="53">
        <v>138</v>
      </c>
      <c r="V105" s="16">
        <f t="shared" si="6"/>
        <v>3726</v>
      </c>
      <c r="W105" s="53">
        <v>2</v>
      </c>
      <c r="X105" s="53" t="s">
        <v>46</v>
      </c>
      <c r="Y105" s="53" t="s">
        <v>78</v>
      </c>
      <c r="Z105" s="53" t="s">
        <v>69</v>
      </c>
      <c r="AA105" s="53" t="s">
        <v>102</v>
      </c>
      <c r="AB105" s="53" t="s">
        <v>158</v>
      </c>
      <c r="AC105" s="76"/>
      <c r="AD105" s="76"/>
      <c r="AE105" s="76"/>
      <c r="AF105" s="76"/>
      <c r="AG105" s="76"/>
      <c r="AH105" s="76"/>
    </row>
    <row r="106" spans="1:34" x14ac:dyDescent="0.15">
      <c r="A106" s="53" t="s">
        <v>41</v>
      </c>
      <c r="B106" s="53" t="s">
        <v>157</v>
      </c>
      <c r="C106" s="62">
        <v>2019</v>
      </c>
      <c r="D106" s="63" t="s">
        <v>165</v>
      </c>
      <c r="E106" s="53" t="s">
        <v>200</v>
      </c>
      <c r="F106" s="53" t="s">
        <v>207</v>
      </c>
      <c r="G106" s="53" t="s">
        <v>42</v>
      </c>
      <c r="H106" s="53" t="s">
        <v>160</v>
      </c>
      <c r="I106" s="53" t="s">
        <v>159</v>
      </c>
      <c r="J106" s="53" t="s">
        <v>38</v>
      </c>
      <c r="K106" s="53" t="s">
        <v>161</v>
      </c>
      <c r="L106" s="53">
        <v>3</v>
      </c>
      <c r="N106" s="53">
        <v>1</v>
      </c>
      <c r="O106" s="53">
        <v>0.35</v>
      </c>
      <c r="P106" s="53">
        <v>0.4</v>
      </c>
      <c r="Q106" s="75">
        <f t="shared" si="3"/>
        <v>0.375</v>
      </c>
      <c r="R106" s="53">
        <v>14.1</v>
      </c>
      <c r="S106" s="53">
        <v>126</v>
      </c>
      <c r="T106" s="16">
        <f t="shared" si="4"/>
        <v>27</v>
      </c>
      <c r="U106" s="53">
        <v>138</v>
      </c>
      <c r="V106" s="16">
        <f t="shared" si="6"/>
        <v>3726</v>
      </c>
      <c r="W106" s="53">
        <v>2</v>
      </c>
      <c r="X106" s="53" t="s">
        <v>46</v>
      </c>
      <c r="Y106" s="53" t="s">
        <v>78</v>
      </c>
      <c r="Z106" s="53" t="s">
        <v>69</v>
      </c>
      <c r="AA106" s="53" t="s">
        <v>102</v>
      </c>
      <c r="AB106" s="53" t="s">
        <v>158</v>
      </c>
      <c r="AC106" s="76"/>
      <c r="AD106" s="76"/>
      <c r="AE106" s="76"/>
      <c r="AF106" s="76"/>
      <c r="AG106" s="76"/>
      <c r="AH106" s="76"/>
    </row>
    <row r="107" spans="1:34" x14ac:dyDescent="0.15">
      <c r="A107" s="53" t="s">
        <v>41</v>
      </c>
      <c r="B107" s="53" t="s">
        <v>157</v>
      </c>
      <c r="C107" s="62">
        <v>2019</v>
      </c>
      <c r="D107" s="63" t="s">
        <v>165</v>
      </c>
      <c r="E107" s="53" t="s">
        <v>200</v>
      </c>
      <c r="F107" s="53" t="s">
        <v>207</v>
      </c>
      <c r="G107" s="53" t="s">
        <v>42</v>
      </c>
      <c r="H107" s="53" t="s">
        <v>160</v>
      </c>
      <c r="I107" s="53" t="s">
        <v>159</v>
      </c>
      <c r="J107" s="53" t="s">
        <v>38</v>
      </c>
      <c r="K107" s="53" t="s">
        <v>161</v>
      </c>
      <c r="L107" s="53">
        <v>1</v>
      </c>
      <c r="N107" s="53">
        <v>4</v>
      </c>
      <c r="O107" s="53">
        <v>0.5</v>
      </c>
      <c r="P107" s="53">
        <v>0.6</v>
      </c>
      <c r="Q107" s="75">
        <f t="shared" si="3"/>
        <v>0.55000000000000004</v>
      </c>
      <c r="R107" s="53">
        <v>15.7</v>
      </c>
      <c r="S107" s="53">
        <v>124</v>
      </c>
      <c r="T107" s="16">
        <f t="shared" si="4"/>
        <v>27</v>
      </c>
      <c r="U107" s="53">
        <v>518</v>
      </c>
      <c r="V107" s="16">
        <f t="shared" si="6"/>
        <v>3496.5</v>
      </c>
      <c r="W107" s="53">
        <v>1</v>
      </c>
      <c r="X107" s="53" t="s">
        <v>46</v>
      </c>
      <c r="Y107" s="53" t="s">
        <v>78</v>
      </c>
      <c r="Z107" s="53" t="s">
        <v>69</v>
      </c>
      <c r="AA107" s="53" t="s">
        <v>102</v>
      </c>
      <c r="AB107" s="53" t="s">
        <v>158</v>
      </c>
      <c r="AC107" s="76"/>
      <c r="AD107" s="76"/>
      <c r="AE107" s="76"/>
      <c r="AF107" s="76"/>
      <c r="AG107" s="76"/>
      <c r="AH107" s="76"/>
    </row>
    <row r="108" spans="1:34" x14ac:dyDescent="0.15">
      <c r="A108" s="53" t="s">
        <v>41</v>
      </c>
      <c r="B108" s="53" t="s">
        <v>157</v>
      </c>
      <c r="C108" s="62">
        <v>2019</v>
      </c>
      <c r="D108" s="63" t="s">
        <v>165</v>
      </c>
      <c r="E108" s="53" t="s">
        <v>200</v>
      </c>
      <c r="F108" s="53" t="s">
        <v>207</v>
      </c>
      <c r="G108" s="53" t="s">
        <v>42</v>
      </c>
      <c r="H108" s="53" t="s">
        <v>160</v>
      </c>
      <c r="I108" s="53" t="s">
        <v>159</v>
      </c>
      <c r="J108" s="53" t="s">
        <v>38</v>
      </c>
      <c r="K108" s="53" t="s">
        <v>161</v>
      </c>
      <c r="L108" s="53">
        <v>2</v>
      </c>
      <c r="M108" s="76"/>
      <c r="N108" s="53">
        <v>4</v>
      </c>
      <c r="O108" s="53">
        <v>0.6</v>
      </c>
      <c r="P108" s="53">
        <v>0.55000000000000004</v>
      </c>
      <c r="Q108" s="75">
        <f t="shared" si="3"/>
        <v>0.57499999999999996</v>
      </c>
      <c r="R108" s="53">
        <v>15.2</v>
      </c>
      <c r="S108" s="53">
        <v>122</v>
      </c>
      <c r="T108" s="16">
        <f t="shared" si="4"/>
        <v>27</v>
      </c>
      <c r="U108" s="53">
        <v>518</v>
      </c>
      <c r="V108" s="16">
        <f t="shared" si="6"/>
        <v>3496.5</v>
      </c>
      <c r="W108" s="53">
        <v>1</v>
      </c>
      <c r="X108" s="53" t="s">
        <v>46</v>
      </c>
      <c r="Y108" s="53" t="s">
        <v>78</v>
      </c>
      <c r="Z108" s="53" t="s">
        <v>69</v>
      </c>
      <c r="AA108" s="53" t="s">
        <v>102</v>
      </c>
      <c r="AB108" s="53" t="s">
        <v>158</v>
      </c>
      <c r="AC108" s="76"/>
      <c r="AD108" s="76"/>
      <c r="AE108" s="76"/>
      <c r="AF108" s="76"/>
      <c r="AG108" s="76"/>
      <c r="AH108" s="76"/>
    </row>
    <row r="109" spans="1:34" x14ac:dyDescent="0.15">
      <c r="A109" s="53" t="s">
        <v>41</v>
      </c>
      <c r="B109" s="53" t="s">
        <v>157</v>
      </c>
      <c r="C109" s="62">
        <v>2019</v>
      </c>
      <c r="D109" s="63" t="s">
        <v>165</v>
      </c>
      <c r="E109" s="53" t="s">
        <v>200</v>
      </c>
      <c r="F109" s="53" t="s">
        <v>207</v>
      </c>
      <c r="G109" s="53" t="s">
        <v>42</v>
      </c>
      <c r="H109" s="53" t="s">
        <v>160</v>
      </c>
      <c r="I109" s="53" t="s">
        <v>159</v>
      </c>
      <c r="J109" s="53" t="s">
        <v>38</v>
      </c>
      <c r="K109" s="53" t="s">
        <v>161</v>
      </c>
      <c r="L109" s="53">
        <v>3</v>
      </c>
      <c r="M109" s="76"/>
      <c r="N109" s="53">
        <v>4</v>
      </c>
      <c r="O109" s="53">
        <v>0.55000000000000004</v>
      </c>
      <c r="P109" s="53">
        <v>0.7</v>
      </c>
      <c r="Q109" s="72">
        <f t="shared" si="3"/>
        <v>0.625</v>
      </c>
      <c r="R109" s="53">
        <v>15</v>
      </c>
      <c r="S109" s="53">
        <v>121</v>
      </c>
      <c r="T109" s="38">
        <f t="shared" si="4"/>
        <v>27</v>
      </c>
      <c r="U109" s="53">
        <v>518</v>
      </c>
      <c r="V109" s="16">
        <f t="shared" si="6"/>
        <v>3496.5</v>
      </c>
      <c r="W109" s="53">
        <v>1</v>
      </c>
      <c r="X109" s="53" t="s">
        <v>46</v>
      </c>
      <c r="Y109" s="53" t="s">
        <v>78</v>
      </c>
      <c r="Z109" s="53" t="s">
        <v>69</v>
      </c>
      <c r="AA109" s="53" t="s">
        <v>102</v>
      </c>
      <c r="AB109" s="53" t="s">
        <v>158</v>
      </c>
      <c r="AC109" s="76"/>
      <c r="AD109" s="76"/>
      <c r="AE109" s="76"/>
      <c r="AF109" s="76"/>
      <c r="AG109" s="76"/>
      <c r="AH109" s="76"/>
    </row>
    <row r="110" spans="1:34" x14ac:dyDescent="0.15">
      <c r="A110" s="53" t="s">
        <v>41</v>
      </c>
      <c r="B110" s="53" t="s">
        <v>157</v>
      </c>
      <c r="C110" s="62">
        <v>2019</v>
      </c>
      <c r="D110" s="63" t="s">
        <v>165</v>
      </c>
      <c r="E110" s="53" t="s">
        <v>200</v>
      </c>
      <c r="F110" s="53" t="s">
        <v>207</v>
      </c>
      <c r="G110" s="53" t="s">
        <v>42</v>
      </c>
      <c r="H110" s="53" t="s">
        <v>160</v>
      </c>
      <c r="I110" s="53" t="s">
        <v>159</v>
      </c>
      <c r="J110" s="53" t="s">
        <v>38</v>
      </c>
      <c r="K110" s="53" t="s">
        <v>161</v>
      </c>
      <c r="L110" s="53">
        <v>1</v>
      </c>
      <c r="N110" s="53">
        <v>7</v>
      </c>
      <c r="O110" s="53">
        <v>0.5</v>
      </c>
      <c r="P110" s="53">
        <v>0.65</v>
      </c>
      <c r="Q110" s="75">
        <f t="shared" si="3"/>
        <v>0.57499999999999996</v>
      </c>
      <c r="R110" s="53">
        <v>12.8</v>
      </c>
      <c r="S110" s="53">
        <v>120</v>
      </c>
      <c r="T110" s="16">
        <f t="shared" si="4"/>
        <v>30</v>
      </c>
      <c r="U110" s="53">
        <v>734</v>
      </c>
      <c r="V110" s="16">
        <f t="shared" si="6"/>
        <v>3145.7142857142858</v>
      </c>
      <c r="W110" s="53">
        <v>1</v>
      </c>
      <c r="X110" s="53" t="s">
        <v>46</v>
      </c>
      <c r="Y110" s="53" t="s">
        <v>78</v>
      </c>
      <c r="Z110" s="53" t="s">
        <v>69</v>
      </c>
      <c r="AA110" s="53" t="s">
        <v>102</v>
      </c>
      <c r="AB110" s="53" t="s">
        <v>158</v>
      </c>
      <c r="AC110" s="76"/>
      <c r="AD110" s="76"/>
      <c r="AE110" s="76"/>
      <c r="AF110" s="76"/>
      <c r="AG110" s="76"/>
      <c r="AH110" s="76"/>
    </row>
    <row r="111" spans="1:34" x14ac:dyDescent="0.15">
      <c r="A111" s="53" t="s">
        <v>41</v>
      </c>
      <c r="B111" s="53" t="s">
        <v>157</v>
      </c>
      <c r="C111" s="62">
        <v>2019</v>
      </c>
      <c r="D111" s="63" t="s">
        <v>165</v>
      </c>
      <c r="E111" s="53" t="s">
        <v>200</v>
      </c>
      <c r="F111" s="53" t="s">
        <v>207</v>
      </c>
      <c r="G111" s="53" t="s">
        <v>42</v>
      </c>
      <c r="H111" s="53" t="s">
        <v>160</v>
      </c>
      <c r="I111" s="53" t="s">
        <v>159</v>
      </c>
      <c r="J111" s="53" t="s">
        <v>38</v>
      </c>
      <c r="K111" s="53" t="s">
        <v>161</v>
      </c>
      <c r="L111" s="53">
        <v>2</v>
      </c>
      <c r="M111" s="76"/>
      <c r="N111" s="53">
        <v>7</v>
      </c>
      <c r="O111" s="53">
        <v>0.45</v>
      </c>
      <c r="P111" s="53">
        <v>0.35</v>
      </c>
      <c r="Q111" s="75">
        <f t="shared" si="3"/>
        <v>0.4</v>
      </c>
      <c r="R111" s="53">
        <v>11.4</v>
      </c>
      <c r="S111" s="53">
        <v>117</v>
      </c>
      <c r="T111" s="16">
        <f t="shared" si="4"/>
        <v>30</v>
      </c>
      <c r="U111" s="53">
        <v>734</v>
      </c>
      <c r="V111" s="16">
        <f t="shared" si="6"/>
        <v>3145.7142857142858</v>
      </c>
      <c r="W111" s="53">
        <v>1</v>
      </c>
      <c r="X111" s="53" t="s">
        <v>46</v>
      </c>
      <c r="Y111" s="53" t="s">
        <v>78</v>
      </c>
      <c r="Z111" s="53" t="s">
        <v>69</v>
      </c>
      <c r="AA111" s="53" t="s">
        <v>102</v>
      </c>
      <c r="AB111" s="53" t="s">
        <v>158</v>
      </c>
      <c r="AC111" s="76"/>
      <c r="AD111" s="76"/>
      <c r="AE111" s="76"/>
      <c r="AF111" s="76"/>
      <c r="AG111" s="76"/>
      <c r="AH111" s="76"/>
    </row>
    <row r="112" spans="1:34" x14ac:dyDescent="0.15">
      <c r="A112" s="53" t="s">
        <v>41</v>
      </c>
      <c r="B112" s="53" t="s">
        <v>157</v>
      </c>
      <c r="C112" s="62">
        <v>2019</v>
      </c>
      <c r="D112" s="63" t="s">
        <v>165</v>
      </c>
      <c r="E112" s="53" t="s">
        <v>200</v>
      </c>
      <c r="F112" s="53" t="s">
        <v>207</v>
      </c>
      <c r="G112" s="53" t="s">
        <v>42</v>
      </c>
      <c r="H112" s="53" t="s">
        <v>160</v>
      </c>
      <c r="I112" s="53" t="s">
        <v>159</v>
      </c>
      <c r="J112" s="53" t="s">
        <v>38</v>
      </c>
      <c r="K112" s="53" t="s">
        <v>161</v>
      </c>
      <c r="L112" s="53">
        <v>3</v>
      </c>
      <c r="M112" s="76"/>
      <c r="N112" s="53">
        <v>7</v>
      </c>
      <c r="O112" s="53">
        <v>0.7</v>
      </c>
      <c r="P112" s="53">
        <v>0.65</v>
      </c>
      <c r="Q112" s="72">
        <f t="shared" si="3"/>
        <v>0.67500000000000004</v>
      </c>
      <c r="R112" s="53">
        <v>13.2</v>
      </c>
      <c r="S112" s="53">
        <v>115</v>
      </c>
      <c r="T112" s="38">
        <f t="shared" si="4"/>
        <v>30</v>
      </c>
      <c r="U112" s="53">
        <v>734</v>
      </c>
      <c r="V112" s="16">
        <f t="shared" si="6"/>
        <v>3145.7142857142858</v>
      </c>
      <c r="W112" s="53">
        <v>1</v>
      </c>
      <c r="X112" s="53" t="s">
        <v>46</v>
      </c>
      <c r="Y112" s="53" t="s">
        <v>78</v>
      </c>
      <c r="Z112" s="53" t="s">
        <v>69</v>
      </c>
      <c r="AA112" s="53" t="s">
        <v>102</v>
      </c>
      <c r="AB112" s="53" t="s">
        <v>158</v>
      </c>
      <c r="AC112" s="76"/>
      <c r="AD112" s="76"/>
      <c r="AE112" s="76"/>
      <c r="AF112" s="76"/>
      <c r="AG112" s="76"/>
      <c r="AH112" s="76"/>
    </row>
    <row r="113" spans="1:34" x14ac:dyDescent="0.15">
      <c r="A113" s="53" t="s">
        <v>41</v>
      </c>
      <c r="B113" s="53" t="s">
        <v>157</v>
      </c>
      <c r="C113" s="62">
        <v>2019</v>
      </c>
      <c r="D113" s="63" t="s">
        <v>165</v>
      </c>
      <c r="E113" s="53" t="s">
        <v>200</v>
      </c>
      <c r="F113" s="53" t="s">
        <v>207</v>
      </c>
      <c r="G113" s="53" t="s">
        <v>42</v>
      </c>
      <c r="H113" s="53" t="s">
        <v>164</v>
      </c>
      <c r="I113" s="53" t="s">
        <v>159</v>
      </c>
      <c r="J113" s="53" t="s">
        <v>38</v>
      </c>
      <c r="K113" s="53" t="s">
        <v>161</v>
      </c>
      <c r="L113" s="53">
        <v>1</v>
      </c>
      <c r="N113" s="53">
        <v>1</v>
      </c>
      <c r="O113" s="53">
        <v>1</v>
      </c>
      <c r="P113" s="53">
        <v>1.1000000000000001</v>
      </c>
      <c r="Q113" s="72">
        <f t="shared" si="3"/>
        <v>1.05</v>
      </c>
      <c r="R113" s="53">
        <v>15.2</v>
      </c>
      <c r="S113" s="53">
        <v>95</v>
      </c>
      <c r="T113" s="38">
        <f t="shared" si="4"/>
        <v>36</v>
      </c>
      <c r="U113" s="53">
        <v>74</v>
      </c>
      <c r="V113" s="38">
        <f t="shared" si="6"/>
        <v>2664</v>
      </c>
      <c r="W113" s="53">
        <v>4</v>
      </c>
      <c r="X113" s="53" t="s">
        <v>46</v>
      </c>
      <c r="Y113" s="53" t="s">
        <v>78</v>
      </c>
      <c r="Z113" s="53" t="s">
        <v>69</v>
      </c>
      <c r="AA113" s="53" t="s">
        <v>102</v>
      </c>
      <c r="AB113" s="53" t="s">
        <v>158</v>
      </c>
      <c r="AC113" s="76"/>
      <c r="AD113" s="76"/>
      <c r="AE113" s="76"/>
      <c r="AF113" s="76"/>
      <c r="AG113" s="76"/>
      <c r="AH113" s="76"/>
    </row>
    <row r="114" spans="1:34" x14ac:dyDescent="0.15">
      <c r="A114" s="53" t="s">
        <v>41</v>
      </c>
      <c r="B114" s="53" t="s">
        <v>157</v>
      </c>
      <c r="C114" s="62">
        <v>2019</v>
      </c>
      <c r="D114" s="63" t="s">
        <v>165</v>
      </c>
      <c r="E114" s="53" t="s">
        <v>200</v>
      </c>
      <c r="F114" s="53" t="s">
        <v>207</v>
      </c>
      <c r="G114" s="53" t="s">
        <v>42</v>
      </c>
      <c r="H114" s="53" t="s">
        <v>164</v>
      </c>
      <c r="I114" s="53" t="s">
        <v>159</v>
      </c>
      <c r="J114" s="53" t="s">
        <v>38</v>
      </c>
      <c r="K114" s="53" t="s">
        <v>161</v>
      </c>
      <c r="L114" s="53">
        <v>2</v>
      </c>
      <c r="N114" s="53">
        <v>1</v>
      </c>
      <c r="O114" s="53">
        <v>0.95</v>
      </c>
      <c r="P114" s="53">
        <v>1</v>
      </c>
      <c r="Q114" s="72">
        <f t="shared" si="3"/>
        <v>0.97499999999999998</v>
      </c>
      <c r="R114" s="53">
        <v>12.3</v>
      </c>
      <c r="S114" s="53">
        <v>90</v>
      </c>
      <c r="T114" s="38">
        <f t="shared" si="4"/>
        <v>36</v>
      </c>
      <c r="U114" s="53">
        <v>74</v>
      </c>
      <c r="V114" s="38">
        <f t="shared" si="6"/>
        <v>2664</v>
      </c>
      <c r="W114" s="53">
        <v>4</v>
      </c>
      <c r="X114" s="53" t="s">
        <v>46</v>
      </c>
      <c r="Y114" s="53" t="s">
        <v>78</v>
      </c>
      <c r="Z114" s="53" t="s">
        <v>69</v>
      </c>
      <c r="AA114" s="53" t="s">
        <v>102</v>
      </c>
      <c r="AB114" s="53" t="s">
        <v>158</v>
      </c>
      <c r="AC114" s="76"/>
      <c r="AD114" s="76"/>
      <c r="AE114" s="76"/>
      <c r="AF114" s="76"/>
      <c r="AG114" s="76"/>
      <c r="AH114" s="76"/>
    </row>
    <row r="115" spans="1:34" x14ac:dyDescent="0.15">
      <c r="A115" s="53" t="s">
        <v>41</v>
      </c>
      <c r="B115" s="53" t="s">
        <v>157</v>
      </c>
      <c r="C115" s="62">
        <v>2019</v>
      </c>
      <c r="D115" s="63" t="s">
        <v>165</v>
      </c>
      <c r="E115" s="53" t="s">
        <v>200</v>
      </c>
      <c r="F115" s="53" t="s">
        <v>207</v>
      </c>
      <c r="G115" s="53" t="s">
        <v>42</v>
      </c>
      <c r="H115" s="53" t="s">
        <v>164</v>
      </c>
      <c r="I115" s="53" t="s">
        <v>159</v>
      </c>
      <c r="J115" s="53" t="s">
        <v>38</v>
      </c>
      <c r="K115" s="53" t="s">
        <v>161</v>
      </c>
      <c r="L115" s="53">
        <v>3</v>
      </c>
      <c r="N115" s="53">
        <v>1</v>
      </c>
      <c r="O115" s="53">
        <v>1.25</v>
      </c>
      <c r="P115" s="53">
        <v>1.3</v>
      </c>
      <c r="Q115" s="72">
        <f t="shared" si="3"/>
        <v>1.2749999999999999</v>
      </c>
      <c r="R115" s="53">
        <v>12.9</v>
      </c>
      <c r="S115" s="53">
        <v>97</v>
      </c>
      <c r="T115" s="38">
        <f t="shared" si="4"/>
        <v>36</v>
      </c>
      <c r="U115" s="53">
        <v>74</v>
      </c>
      <c r="V115" s="38">
        <f t="shared" si="6"/>
        <v>2664</v>
      </c>
      <c r="W115" s="53">
        <v>4</v>
      </c>
      <c r="X115" s="53" t="s">
        <v>46</v>
      </c>
      <c r="Y115" s="53" t="s">
        <v>78</v>
      </c>
      <c r="Z115" s="53" t="s">
        <v>69</v>
      </c>
      <c r="AA115" s="53" t="s">
        <v>102</v>
      </c>
      <c r="AB115" s="53" t="s">
        <v>158</v>
      </c>
      <c r="AC115" s="76"/>
      <c r="AD115" s="76"/>
      <c r="AE115" s="76"/>
      <c r="AF115" s="76"/>
      <c r="AG115" s="76"/>
      <c r="AH115" s="76"/>
    </row>
    <row r="116" spans="1:34" x14ac:dyDescent="0.15">
      <c r="A116" s="53" t="s">
        <v>41</v>
      </c>
      <c r="B116" s="53" t="s">
        <v>157</v>
      </c>
      <c r="C116" s="62">
        <v>2019</v>
      </c>
      <c r="D116" s="63" t="s">
        <v>165</v>
      </c>
      <c r="E116" s="53" t="s">
        <v>200</v>
      </c>
      <c r="F116" s="53" t="s">
        <v>207</v>
      </c>
      <c r="G116" s="53" t="s">
        <v>42</v>
      </c>
      <c r="H116" s="53" t="s">
        <v>164</v>
      </c>
      <c r="I116" s="53" t="s">
        <v>159</v>
      </c>
      <c r="J116" s="53" t="s">
        <v>38</v>
      </c>
      <c r="K116" s="53" t="s">
        <v>161</v>
      </c>
      <c r="L116" s="53">
        <v>1</v>
      </c>
      <c r="N116" s="53">
        <v>8</v>
      </c>
      <c r="O116" s="53">
        <v>0.5</v>
      </c>
      <c r="P116" s="53">
        <v>0.45</v>
      </c>
      <c r="Q116" s="75">
        <f t="shared" si="3"/>
        <v>0.47499999999999998</v>
      </c>
      <c r="R116" s="53">
        <v>14.1</v>
      </c>
      <c r="S116" s="53">
        <v>100</v>
      </c>
      <c r="T116" s="16">
        <f t="shared" si="4"/>
        <v>33</v>
      </c>
      <c r="U116" s="53">
        <v>626</v>
      </c>
      <c r="V116" s="16">
        <f t="shared" si="6"/>
        <v>2582.25</v>
      </c>
      <c r="W116" s="53">
        <v>1</v>
      </c>
      <c r="X116" s="53" t="s">
        <v>46</v>
      </c>
      <c r="Y116" s="53" t="s">
        <v>78</v>
      </c>
      <c r="Z116" s="53" t="s">
        <v>69</v>
      </c>
      <c r="AA116" s="53" t="s">
        <v>102</v>
      </c>
      <c r="AB116" s="53" t="s">
        <v>158</v>
      </c>
      <c r="AC116" s="76"/>
      <c r="AD116" s="76"/>
      <c r="AE116" s="76"/>
      <c r="AF116" s="76"/>
      <c r="AG116" s="76"/>
      <c r="AH116" s="76"/>
    </row>
    <row r="117" spans="1:34" x14ac:dyDescent="0.15">
      <c r="A117" s="53" t="s">
        <v>41</v>
      </c>
      <c r="B117" s="53" t="s">
        <v>157</v>
      </c>
      <c r="C117" s="62">
        <v>2019</v>
      </c>
      <c r="D117" s="63" t="s">
        <v>165</v>
      </c>
      <c r="E117" s="53" t="s">
        <v>200</v>
      </c>
      <c r="F117" s="53" t="s">
        <v>207</v>
      </c>
      <c r="G117" s="53" t="s">
        <v>42</v>
      </c>
      <c r="H117" s="53" t="s">
        <v>164</v>
      </c>
      <c r="I117" s="53" t="s">
        <v>159</v>
      </c>
      <c r="J117" s="53" t="s">
        <v>38</v>
      </c>
      <c r="K117" s="53" t="s">
        <v>161</v>
      </c>
      <c r="L117" s="53">
        <v>2</v>
      </c>
      <c r="N117" s="53">
        <v>8</v>
      </c>
      <c r="O117" s="53">
        <v>0.45</v>
      </c>
      <c r="P117" s="53">
        <v>0.5</v>
      </c>
      <c r="Q117" s="75">
        <f t="shared" si="3"/>
        <v>0.47499999999999998</v>
      </c>
      <c r="R117" s="53">
        <v>14.5</v>
      </c>
      <c r="S117" s="53">
        <v>104</v>
      </c>
      <c r="T117" s="16">
        <f t="shared" si="4"/>
        <v>33</v>
      </c>
      <c r="U117" s="53">
        <v>626</v>
      </c>
      <c r="V117" s="16">
        <f t="shared" si="6"/>
        <v>2582.25</v>
      </c>
      <c r="W117" s="53">
        <v>1</v>
      </c>
      <c r="X117" s="53" t="s">
        <v>46</v>
      </c>
      <c r="Y117" s="53" t="s">
        <v>78</v>
      </c>
      <c r="Z117" s="53" t="s">
        <v>69</v>
      </c>
      <c r="AA117" s="53" t="s">
        <v>102</v>
      </c>
      <c r="AB117" s="53" t="s">
        <v>158</v>
      </c>
      <c r="AC117" s="76"/>
      <c r="AD117" s="76"/>
      <c r="AE117" s="76"/>
      <c r="AF117" s="76"/>
      <c r="AG117" s="76"/>
      <c r="AH117" s="76"/>
    </row>
    <row r="118" spans="1:34" x14ac:dyDescent="0.15">
      <c r="A118" s="53" t="s">
        <v>41</v>
      </c>
      <c r="B118" s="53" t="s">
        <v>157</v>
      </c>
      <c r="C118" s="62">
        <v>2019</v>
      </c>
      <c r="D118" s="63" t="s">
        <v>165</v>
      </c>
      <c r="E118" s="53" t="s">
        <v>200</v>
      </c>
      <c r="F118" s="53" t="s">
        <v>207</v>
      </c>
      <c r="G118" s="53" t="s">
        <v>42</v>
      </c>
      <c r="H118" s="53" t="s">
        <v>164</v>
      </c>
      <c r="I118" s="53" t="s">
        <v>159</v>
      </c>
      <c r="J118" s="53" t="s">
        <v>38</v>
      </c>
      <c r="K118" s="53" t="s">
        <v>161</v>
      </c>
      <c r="L118" s="53">
        <v>3</v>
      </c>
      <c r="N118" s="53">
        <v>8</v>
      </c>
      <c r="O118" s="53">
        <v>0.6</v>
      </c>
      <c r="P118" s="53">
        <v>0.45</v>
      </c>
      <c r="Q118" s="75">
        <f t="shared" si="3"/>
        <v>0.52500000000000002</v>
      </c>
      <c r="R118" s="53">
        <v>12.7</v>
      </c>
      <c r="S118" s="53">
        <v>102</v>
      </c>
      <c r="T118" s="16">
        <f t="shared" si="4"/>
        <v>33</v>
      </c>
      <c r="U118" s="53">
        <v>626</v>
      </c>
      <c r="V118" s="16">
        <f t="shared" si="6"/>
        <v>2582.25</v>
      </c>
      <c r="W118" s="53">
        <v>1</v>
      </c>
      <c r="X118" s="53" t="s">
        <v>46</v>
      </c>
      <c r="Y118" s="53" t="s">
        <v>78</v>
      </c>
      <c r="Z118" s="53" t="s">
        <v>69</v>
      </c>
      <c r="AA118" s="53" t="s">
        <v>102</v>
      </c>
      <c r="AB118" s="53" t="s">
        <v>158</v>
      </c>
      <c r="AC118" s="76"/>
      <c r="AD118" s="76"/>
      <c r="AE118" s="76"/>
      <c r="AF118" s="76"/>
      <c r="AG118" s="76"/>
      <c r="AH118" s="76"/>
    </row>
    <row r="119" spans="1:34" x14ac:dyDescent="0.15">
      <c r="A119" s="53" t="s">
        <v>41</v>
      </c>
      <c r="B119" s="53" t="s">
        <v>157</v>
      </c>
      <c r="C119" s="62">
        <v>2019</v>
      </c>
      <c r="D119" s="63" t="s">
        <v>165</v>
      </c>
      <c r="E119" s="53" t="s">
        <v>203</v>
      </c>
      <c r="F119" s="53" t="s">
        <v>204</v>
      </c>
      <c r="G119" s="53" t="s">
        <v>42</v>
      </c>
      <c r="H119" s="53" t="s">
        <v>164</v>
      </c>
      <c r="I119" s="53" t="s">
        <v>159</v>
      </c>
      <c r="J119" s="53" t="s">
        <v>38</v>
      </c>
      <c r="K119" s="53" t="s">
        <v>161</v>
      </c>
      <c r="L119" s="53">
        <v>1</v>
      </c>
      <c r="N119" s="53">
        <v>1</v>
      </c>
      <c r="O119" s="53">
        <v>0.8</v>
      </c>
      <c r="P119" s="53">
        <v>0.95</v>
      </c>
      <c r="Q119" s="72">
        <f t="shared" si="3"/>
        <v>0.875</v>
      </c>
      <c r="R119" s="53">
        <v>12.3</v>
      </c>
      <c r="S119" s="53">
        <v>122</v>
      </c>
      <c r="T119" s="38">
        <f t="shared" si="4"/>
        <v>27</v>
      </c>
      <c r="U119" s="53">
        <v>105</v>
      </c>
      <c r="V119" s="16">
        <f t="shared" si="6"/>
        <v>2835</v>
      </c>
      <c r="W119" s="53">
        <v>3</v>
      </c>
      <c r="X119" s="53" t="s">
        <v>46</v>
      </c>
      <c r="Y119" s="53" t="s">
        <v>47</v>
      </c>
      <c r="Z119" s="53" t="s">
        <v>78</v>
      </c>
      <c r="AA119" s="53" t="s">
        <v>102</v>
      </c>
      <c r="AB119" s="53" t="s">
        <v>158</v>
      </c>
      <c r="AC119" s="76"/>
      <c r="AD119" s="76"/>
      <c r="AE119" s="76"/>
      <c r="AF119" s="76"/>
      <c r="AG119" s="76"/>
      <c r="AH119" s="76"/>
    </row>
    <row r="120" spans="1:34" x14ac:dyDescent="0.15">
      <c r="A120" s="53" t="s">
        <v>41</v>
      </c>
      <c r="B120" s="53" t="s">
        <v>157</v>
      </c>
      <c r="C120" s="62">
        <v>2019</v>
      </c>
      <c r="D120" s="63" t="s">
        <v>165</v>
      </c>
      <c r="E120" s="53" t="s">
        <v>203</v>
      </c>
      <c r="F120" s="53" t="s">
        <v>204</v>
      </c>
      <c r="G120" s="53" t="s">
        <v>42</v>
      </c>
      <c r="H120" s="53" t="s">
        <v>164</v>
      </c>
      <c r="I120" s="53" t="s">
        <v>159</v>
      </c>
      <c r="J120" s="53" t="s">
        <v>38</v>
      </c>
      <c r="K120" s="53" t="s">
        <v>161</v>
      </c>
      <c r="L120" s="53">
        <v>2</v>
      </c>
      <c r="N120" s="53">
        <v>1</v>
      </c>
      <c r="O120" s="53">
        <v>0.9</v>
      </c>
      <c r="P120" s="53">
        <v>1</v>
      </c>
      <c r="Q120" s="72">
        <f t="shared" si="3"/>
        <v>0.95</v>
      </c>
      <c r="R120" s="53">
        <v>11.2</v>
      </c>
      <c r="S120" s="53">
        <v>126</v>
      </c>
      <c r="T120" s="38">
        <f t="shared" si="4"/>
        <v>27</v>
      </c>
      <c r="U120" s="53">
        <v>105</v>
      </c>
      <c r="V120" s="16">
        <f t="shared" si="6"/>
        <v>2835</v>
      </c>
      <c r="W120" s="53">
        <v>3</v>
      </c>
      <c r="X120" s="53" t="s">
        <v>46</v>
      </c>
      <c r="Y120" s="53" t="s">
        <v>47</v>
      </c>
      <c r="Z120" s="53" t="s">
        <v>78</v>
      </c>
      <c r="AA120" s="53" t="s">
        <v>102</v>
      </c>
      <c r="AB120" s="53" t="s">
        <v>158</v>
      </c>
      <c r="AC120" s="76"/>
      <c r="AD120" s="76"/>
      <c r="AE120" s="76"/>
      <c r="AF120" s="76"/>
      <c r="AG120" s="76"/>
      <c r="AH120" s="76"/>
    </row>
    <row r="121" spans="1:34" x14ac:dyDescent="0.15">
      <c r="A121" s="53" t="s">
        <v>41</v>
      </c>
      <c r="B121" s="53" t="s">
        <v>157</v>
      </c>
      <c r="C121" s="62">
        <v>2019</v>
      </c>
      <c r="D121" s="63" t="s">
        <v>165</v>
      </c>
      <c r="E121" s="53" t="s">
        <v>203</v>
      </c>
      <c r="F121" s="53" t="s">
        <v>204</v>
      </c>
      <c r="G121" s="53" t="s">
        <v>42</v>
      </c>
      <c r="H121" s="53" t="s">
        <v>164</v>
      </c>
      <c r="I121" s="53" t="s">
        <v>159</v>
      </c>
      <c r="J121" s="53" t="s">
        <v>38</v>
      </c>
      <c r="K121" s="53" t="s">
        <v>161</v>
      </c>
      <c r="L121" s="53">
        <v>3</v>
      </c>
      <c r="N121" s="53">
        <v>1</v>
      </c>
      <c r="O121" s="53">
        <v>0.8</v>
      </c>
      <c r="P121" s="53">
        <v>1</v>
      </c>
      <c r="Q121" s="72">
        <f t="shared" si="3"/>
        <v>0.9</v>
      </c>
      <c r="R121" s="53">
        <v>13.2</v>
      </c>
      <c r="S121" s="53">
        <v>122</v>
      </c>
      <c r="T121" s="38">
        <f t="shared" si="4"/>
        <v>27</v>
      </c>
      <c r="U121" s="53">
        <v>105</v>
      </c>
      <c r="V121" s="38">
        <f t="shared" si="6"/>
        <v>2835</v>
      </c>
      <c r="W121" s="53">
        <v>3</v>
      </c>
      <c r="X121" s="53" t="s">
        <v>46</v>
      </c>
      <c r="Y121" s="53" t="s">
        <v>47</v>
      </c>
      <c r="Z121" s="53" t="s">
        <v>78</v>
      </c>
      <c r="AA121" s="53" t="s">
        <v>102</v>
      </c>
      <c r="AB121" s="53" t="s">
        <v>158</v>
      </c>
      <c r="AC121" s="76"/>
      <c r="AD121" s="76"/>
      <c r="AE121" s="76"/>
      <c r="AF121" s="76"/>
      <c r="AG121" s="76"/>
      <c r="AH121" s="76"/>
    </row>
    <row r="122" spans="1:34" x14ac:dyDescent="0.15">
      <c r="A122" s="53" t="s">
        <v>41</v>
      </c>
      <c r="B122" s="53" t="s">
        <v>157</v>
      </c>
      <c r="C122" s="62">
        <v>2018</v>
      </c>
      <c r="D122" s="63" t="s">
        <v>165</v>
      </c>
      <c r="E122" s="53" t="s">
        <v>203</v>
      </c>
      <c r="F122" s="53" t="s">
        <v>204</v>
      </c>
      <c r="G122" s="53" t="s">
        <v>42</v>
      </c>
      <c r="H122" s="53" t="s">
        <v>164</v>
      </c>
      <c r="I122" s="53" t="s">
        <v>159</v>
      </c>
      <c r="J122" s="53" t="s">
        <v>38</v>
      </c>
      <c r="K122" s="53" t="s">
        <v>161</v>
      </c>
      <c r="L122" s="53">
        <v>1</v>
      </c>
      <c r="N122" s="53">
        <v>5</v>
      </c>
      <c r="O122" s="53">
        <v>0.7</v>
      </c>
      <c r="P122" s="53">
        <v>0.85</v>
      </c>
      <c r="Q122" s="16">
        <f t="shared" si="3"/>
        <v>0.77499999999999991</v>
      </c>
      <c r="R122" s="53">
        <v>14.1</v>
      </c>
      <c r="S122" s="53">
        <v>118</v>
      </c>
      <c r="T122" s="16">
        <f t="shared" si="4"/>
        <v>30</v>
      </c>
      <c r="U122" s="53">
        <v>419</v>
      </c>
      <c r="V122" s="16">
        <f t="shared" si="6"/>
        <v>2514</v>
      </c>
      <c r="W122" s="53">
        <v>1</v>
      </c>
      <c r="X122" s="53" t="s">
        <v>46</v>
      </c>
      <c r="Y122" s="53" t="s">
        <v>47</v>
      </c>
      <c r="Z122" s="53" t="s">
        <v>78</v>
      </c>
      <c r="AA122" s="53" t="s">
        <v>102</v>
      </c>
      <c r="AB122" s="53" t="s">
        <v>158</v>
      </c>
    </row>
    <row r="123" spans="1:34" x14ac:dyDescent="0.15">
      <c r="A123" s="53" t="s">
        <v>41</v>
      </c>
      <c r="B123" s="53" t="s">
        <v>157</v>
      </c>
      <c r="C123" s="62">
        <v>2018</v>
      </c>
      <c r="D123" s="63" t="s">
        <v>165</v>
      </c>
      <c r="E123" s="53" t="s">
        <v>203</v>
      </c>
      <c r="F123" s="53" t="s">
        <v>204</v>
      </c>
      <c r="G123" s="53" t="s">
        <v>42</v>
      </c>
      <c r="H123" s="53" t="s">
        <v>164</v>
      </c>
      <c r="I123" s="53" t="s">
        <v>159</v>
      </c>
      <c r="J123" s="53" t="s">
        <v>38</v>
      </c>
      <c r="K123" s="53" t="s">
        <v>161</v>
      </c>
      <c r="L123" s="53">
        <v>2</v>
      </c>
      <c r="N123" s="53">
        <v>5</v>
      </c>
      <c r="O123" s="53">
        <v>0.65</v>
      </c>
      <c r="P123" s="53">
        <v>0.55000000000000004</v>
      </c>
      <c r="Q123" s="16">
        <f t="shared" si="3"/>
        <v>0.60000000000000009</v>
      </c>
      <c r="R123" s="53">
        <v>12.6</v>
      </c>
      <c r="S123" s="53">
        <v>120</v>
      </c>
      <c r="T123" s="16">
        <f t="shared" si="4"/>
        <v>30</v>
      </c>
      <c r="U123" s="53">
        <v>419</v>
      </c>
      <c r="V123" s="16">
        <f t="shared" si="6"/>
        <v>2514</v>
      </c>
      <c r="W123" s="53">
        <v>1</v>
      </c>
      <c r="X123" s="53" t="s">
        <v>46</v>
      </c>
      <c r="Y123" s="53" t="s">
        <v>47</v>
      </c>
      <c r="Z123" s="53" t="s">
        <v>78</v>
      </c>
      <c r="AA123" s="53" t="s">
        <v>102</v>
      </c>
      <c r="AB123" s="53" t="s">
        <v>158</v>
      </c>
    </row>
    <row r="124" spans="1:34" x14ac:dyDescent="0.15">
      <c r="A124" s="53" t="s">
        <v>41</v>
      </c>
      <c r="B124" s="53" t="s">
        <v>157</v>
      </c>
      <c r="C124" s="62">
        <v>2018</v>
      </c>
      <c r="D124" s="63" t="s">
        <v>165</v>
      </c>
      <c r="E124" s="53" t="s">
        <v>203</v>
      </c>
      <c r="F124" s="53" t="s">
        <v>204</v>
      </c>
      <c r="G124" s="53" t="s">
        <v>42</v>
      </c>
      <c r="H124" s="53" t="s">
        <v>164</v>
      </c>
      <c r="I124" s="53" t="s">
        <v>159</v>
      </c>
      <c r="J124" s="53" t="s">
        <v>38</v>
      </c>
      <c r="K124" s="53" t="s">
        <v>161</v>
      </c>
      <c r="L124" s="53">
        <v>3</v>
      </c>
      <c r="N124" s="53">
        <v>5</v>
      </c>
      <c r="O124" s="53">
        <v>0.5</v>
      </c>
      <c r="P124" s="53">
        <v>0.5</v>
      </c>
      <c r="Q124" s="16">
        <f t="shared" si="3"/>
        <v>0.5</v>
      </c>
      <c r="R124" s="53">
        <v>13.5</v>
      </c>
      <c r="S124" s="53">
        <v>120</v>
      </c>
      <c r="T124" s="16">
        <f t="shared" si="4"/>
        <v>30</v>
      </c>
      <c r="U124" s="53">
        <v>419</v>
      </c>
      <c r="V124" s="16">
        <f t="shared" si="6"/>
        <v>2514</v>
      </c>
      <c r="W124" s="53">
        <v>1</v>
      </c>
      <c r="X124" s="53" t="s">
        <v>46</v>
      </c>
      <c r="Y124" s="53" t="s">
        <v>47</v>
      </c>
      <c r="Z124" s="53" t="s">
        <v>78</v>
      </c>
      <c r="AA124" s="53" t="s">
        <v>102</v>
      </c>
      <c r="AB124" s="53" t="s">
        <v>158</v>
      </c>
    </row>
    <row r="125" spans="1:34" x14ac:dyDescent="0.15">
      <c r="A125" s="53" t="s">
        <v>41</v>
      </c>
      <c r="B125" s="53" t="s">
        <v>157</v>
      </c>
      <c r="C125" s="62">
        <v>2019</v>
      </c>
      <c r="D125" s="63" t="s">
        <v>165</v>
      </c>
      <c r="E125" s="53" t="s">
        <v>203</v>
      </c>
      <c r="F125" s="53" t="s">
        <v>204</v>
      </c>
      <c r="G125" s="53" t="s">
        <v>42</v>
      </c>
      <c r="H125" s="53" t="s">
        <v>164</v>
      </c>
      <c r="I125" s="53" t="s">
        <v>159</v>
      </c>
      <c r="J125" s="53" t="s">
        <v>38</v>
      </c>
      <c r="K125" s="53" t="s">
        <v>161</v>
      </c>
      <c r="L125" s="53">
        <v>1</v>
      </c>
      <c r="N125" s="53">
        <v>8</v>
      </c>
      <c r="O125" s="53">
        <v>1</v>
      </c>
      <c r="P125" s="53">
        <v>1.1000000000000001</v>
      </c>
      <c r="Q125" s="72">
        <f t="shared" si="3"/>
        <v>1.05</v>
      </c>
      <c r="R125" s="53">
        <v>11.2</v>
      </c>
      <c r="S125" s="53">
        <v>118</v>
      </c>
      <c r="T125" s="38">
        <f t="shared" si="4"/>
        <v>30</v>
      </c>
      <c r="U125" s="53">
        <v>537</v>
      </c>
      <c r="V125" s="16">
        <f t="shared" si="6"/>
        <v>2013.75</v>
      </c>
      <c r="W125" s="53">
        <v>2</v>
      </c>
      <c r="X125" s="53" t="s">
        <v>46</v>
      </c>
      <c r="Y125" s="53" t="s">
        <v>47</v>
      </c>
      <c r="Z125" s="53" t="s">
        <v>78</v>
      </c>
      <c r="AA125" s="53" t="s">
        <v>102</v>
      </c>
      <c r="AB125" s="53" t="s">
        <v>158</v>
      </c>
      <c r="AC125" s="76"/>
      <c r="AD125" s="76"/>
      <c r="AE125" s="76"/>
      <c r="AF125" s="76"/>
      <c r="AG125" s="76"/>
      <c r="AH125" s="76"/>
    </row>
    <row r="126" spans="1:34" x14ac:dyDescent="0.15">
      <c r="A126" s="53" t="s">
        <v>41</v>
      </c>
      <c r="B126" s="53" t="s">
        <v>157</v>
      </c>
      <c r="C126" s="62">
        <v>2019</v>
      </c>
      <c r="D126" s="63" t="s">
        <v>165</v>
      </c>
      <c r="E126" s="53" t="s">
        <v>203</v>
      </c>
      <c r="F126" s="53" t="s">
        <v>204</v>
      </c>
      <c r="G126" s="53" t="s">
        <v>42</v>
      </c>
      <c r="H126" s="53" t="s">
        <v>164</v>
      </c>
      <c r="I126" s="53" t="s">
        <v>159</v>
      </c>
      <c r="J126" s="53" t="s">
        <v>38</v>
      </c>
      <c r="K126" s="53" t="s">
        <v>161</v>
      </c>
      <c r="L126" s="53">
        <v>2</v>
      </c>
      <c r="N126" s="53">
        <v>8</v>
      </c>
      <c r="O126" s="53">
        <v>1.2</v>
      </c>
      <c r="P126" s="53">
        <v>1.3</v>
      </c>
      <c r="Q126" s="72">
        <f t="shared" si="3"/>
        <v>1.25</v>
      </c>
      <c r="R126" s="53">
        <v>16.2</v>
      </c>
      <c r="S126" s="53">
        <v>117</v>
      </c>
      <c r="T126" s="38">
        <f t="shared" si="4"/>
        <v>30</v>
      </c>
      <c r="U126" s="53">
        <v>537</v>
      </c>
      <c r="V126" s="16">
        <f t="shared" si="6"/>
        <v>2013.75</v>
      </c>
      <c r="W126" s="53">
        <v>2</v>
      </c>
      <c r="X126" s="53" t="s">
        <v>46</v>
      </c>
      <c r="Y126" s="53" t="s">
        <v>47</v>
      </c>
      <c r="Z126" s="53" t="s">
        <v>78</v>
      </c>
      <c r="AA126" s="53" t="s">
        <v>102</v>
      </c>
      <c r="AB126" s="53" t="s">
        <v>158</v>
      </c>
      <c r="AC126" s="76"/>
      <c r="AD126" s="76"/>
      <c r="AE126" s="76"/>
      <c r="AF126" s="76"/>
      <c r="AG126" s="76"/>
      <c r="AH126" s="76"/>
    </row>
    <row r="127" spans="1:34" x14ac:dyDescent="0.15">
      <c r="A127" s="53" t="s">
        <v>41</v>
      </c>
      <c r="B127" s="53" t="s">
        <v>157</v>
      </c>
      <c r="C127" s="62">
        <v>2019</v>
      </c>
      <c r="D127" s="63" t="s">
        <v>165</v>
      </c>
      <c r="E127" s="53" t="s">
        <v>203</v>
      </c>
      <c r="F127" s="53" t="s">
        <v>204</v>
      </c>
      <c r="G127" s="53" t="s">
        <v>42</v>
      </c>
      <c r="H127" s="53" t="s">
        <v>164</v>
      </c>
      <c r="I127" s="53" t="s">
        <v>159</v>
      </c>
      <c r="J127" s="53" t="s">
        <v>38</v>
      </c>
      <c r="K127" s="53" t="s">
        <v>161</v>
      </c>
      <c r="L127" s="53">
        <v>3</v>
      </c>
      <c r="N127" s="53">
        <v>8</v>
      </c>
      <c r="O127" s="53">
        <v>1.2</v>
      </c>
      <c r="P127" s="53">
        <v>1.25</v>
      </c>
      <c r="Q127" s="72">
        <f t="shared" si="3"/>
        <v>1.2250000000000001</v>
      </c>
      <c r="R127" s="53">
        <v>15.2</v>
      </c>
      <c r="S127" s="53">
        <v>115</v>
      </c>
      <c r="T127" s="38">
        <f t="shared" si="4"/>
        <v>30</v>
      </c>
      <c r="U127" s="53">
        <v>537</v>
      </c>
      <c r="V127" s="38">
        <f t="shared" si="6"/>
        <v>2013.75</v>
      </c>
      <c r="W127" s="53">
        <v>2</v>
      </c>
      <c r="X127" s="53" t="s">
        <v>46</v>
      </c>
      <c r="Y127" s="53" t="s">
        <v>47</v>
      </c>
      <c r="Z127" s="53" t="s">
        <v>78</v>
      </c>
      <c r="AA127" s="53" t="s">
        <v>102</v>
      </c>
      <c r="AB127" s="53" t="s">
        <v>158</v>
      </c>
      <c r="AC127" s="76"/>
      <c r="AD127" s="76"/>
      <c r="AE127" s="76"/>
      <c r="AF127" s="76"/>
      <c r="AG127" s="76"/>
      <c r="AH127" s="76"/>
    </row>
    <row r="128" spans="1:34" x14ac:dyDescent="0.15">
      <c r="A128" s="53" t="s">
        <v>41</v>
      </c>
      <c r="B128" s="53" t="s">
        <v>157</v>
      </c>
      <c r="C128" s="62">
        <v>2019</v>
      </c>
      <c r="D128" s="63" t="s">
        <v>165</v>
      </c>
      <c r="E128" s="53" t="s">
        <v>203</v>
      </c>
      <c r="F128" s="53" t="s">
        <v>204</v>
      </c>
      <c r="G128" s="53" t="s">
        <v>42</v>
      </c>
      <c r="H128" s="53" t="s">
        <v>160</v>
      </c>
      <c r="I128" s="53" t="s">
        <v>159</v>
      </c>
      <c r="J128" s="53" t="s">
        <v>38</v>
      </c>
      <c r="K128" s="53" t="s">
        <v>161</v>
      </c>
      <c r="L128" s="53">
        <v>1</v>
      </c>
      <c r="N128" s="53">
        <v>1</v>
      </c>
      <c r="O128" s="53">
        <v>0.4</v>
      </c>
      <c r="P128" s="53">
        <v>0.4</v>
      </c>
      <c r="Q128" s="72">
        <f t="shared" si="3"/>
        <v>0.4</v>
      </c>
      <c r="R128" s="53">
        <v>14.2</v>
      </c>
      <c r="S128" s="53">
        <v>115</v>
      </c>
      <c r="T128" s="38">
        <f t="shared" si="4"/>
        <v>30</v>
      </c>
      <c r="U128" s="53">
        <v>138</v>
      </c>
      <c r="V128" s="16">
        <f t="shared" si="6"/>
        <v>4140</v>
      </c>
      <c r="W128" s="53">
        <v>2</v>
      </c>
      <c r="X128" s="53" t="s">
        <v>46</v>
      </c>
      <c r="Y128" s="53" t="s">
        <v>47</v>
      </c>
      <c r="Z128" s="53" t="s">
        <v>78</v>
      </c>
      <c r="AA128" s="53" t="s">
        <v>102</v>
      </c>
      <c r="AB128" s="53" t="s">
        <v>158</v>
      </c>
      <c r="AC128" s="76"/>
      <c r="AD128" s="76"/>
      <c r="AE128" s="76"/>
      <c r="AF128" s="76"/>
      <c r="AG128" s="76"/>
      <c r="AH128" s="76"/>
    </row>
    <row r="129" spans="1:34" x14ac:dyDescent="0.15">
      <c r="A129" s="53" t="s">
        <v>41</v>
      </c>
      <c r="B129" s="53" t="s">
        <v>157</v>
      </c>
      <c r="C129" s="62">
        <v>2019</v>
      </c>
      <c r="D129" s="63" t="s">
        <v>165</v>
      </c>
      <c r="E129" s="53" t="s">
        <v>203</v>
      </c>
      <c r="F129" s="53" t="s">
        <v>204</v>
      </c>
      <c r="G129" s="53" t="s">
        <v>42</v>
      </c>
      <c r="H129" s="53" t="s">
        <v>160</v>
      </c>
      <c r="I129" s="53" t="s">
        <v>159</v>
      </c>
      <c r="J129" s="53" t="s">
        <v>38</v>
      </c>
      <c r="K129" s="53" t="s">
        <v>161</v>
      </c>
      <c r="L129" s="53">
        <v>2</v>
      </c>
      <c r="N129" s="53">
        <v>1</v>
      </c>
      <c r="O129" s="53">
        <v>0.35</v>
      </c>
      <c r="P129" s="53">
        <v>0.35</v>
      </c>
      <c r="Q129" s="72">
        <f t="shared" si="3"/>
        <v>0.35</v>
      </c>
      <c r="R129" s="53">
        <v>15.2</v>
      </c>
      <c r="S129" s="53">
        <v>120</v>
      </c>
      <c r="T129" s="38">
        <f t="shared" si="4"/>
        <v>30</v>
      </c>
      <c r="U129" s="53">
        <v>138</v>
      </c>
      <c r="V129" s="16">
        <f t="shared" si="6"/>
        <v>4140</v>
      </c>
      <c r="W129" s="53">
        <v>2</v>
      </c>
      <c r="X129" s="53" t="s">
        <v>46</v>
      </c>
      <c r="Y129" s="53" t="s">
        <v>47</v>
      </c>
      <c r="Z129" s="53" t="s">
        <v>78</v>
      </c>
      <c r="AA129" s="53" t="s">
        <v>102</v>
      </c>
      <c r="AB129" s="53" t="s">
        <v>158</v>
      </c>
      <c r="AC129" s="76"/>
      <c r="AD129" s="76"/>
      <c r="AE129" s="76"/>
      <c r="AF129" s="76"/>
      <c r="AG129" s="76"/>
      <c r="AH129" s="76"/>
    </row>
    <row r="130" spans="1:34" x14ac:dyDescent="0.15">
      <c r="A130" s="53" t="s">
        <v>41</v>
      </c>
      <c r="B130" s="53" t="s">
        <v>157</v>
      </c>
      <c r="C130" s="62">
        <v>2019</v>
      </c>
      <c r="D130" s="63" t="s">
        <v>165</v>
      </c>
      <c r="E130" s="53" t="s">
        <v>203</v>
      </c>
      <c r="F130" s="53" t="s">
        <v>204</v>
      </c>
      <c r="G130" s="53" t="s">
        <v>42</v>
      </c>
      <c r="H130" s="53" t="s">
        <v>160</v>
      </c>
      <c r="I130" s="53" t="s">
        <v>159</v>
      </c>
      <c r="J130" s="53" t="s">
        <v>38</v>
      </c>
      <c r="K130" s="53" t="s">
        <v>161</v>
      </c>
      <c r="L130" s="53">
        <v>3</v>
      </c>
      <c r="N130" s="53">
        <v>1</v>
      </c>
      <c r="O130" s="53">
        <v>0.3</v>
      </c>
      <c r="P130" s="53">
        <v>0.3</v>
      </c>
      <c r="Q130" s="72">
        <f t="shared" ref="Q130:Q142" si="7">IF(OR(O130="",P130=""),"",AVERAGE(O130,P130))</f>
        <v>0.3</v>
      </c>
      <c r="R130" s="53">
        <v>14</v>
      </c>
      <c r="S130" s="53">
        <v>117</v>
      </c>
      <c r="T130" s="38">
        <f t="shared" ref="T130:T142" si="8">IF(H130="","",IF(OR(H130="GREEN",H130="GK"),IF(S130&gt;=$AX$2,VLOOKUP(S130,$AX$2:$AY$10,2,1),""),IF(S130&gt;=$AZ$2,VLOOKUP(S130,$AZ$2:$BA$10,2,1),"")))</f>
        <v>30</v>
      </c>
      <c r="U130" s="53">
        <v>138</v>
      </c>
      <c r="V130" s="38">
        <f t="shared" si="6"/>
        <v>4140</v>
      </c>
      <c r="W130" s="53">
        <v>2</v>
      </c>
      <c r="X130" s="53" t="s">
        <v>46</v>
      </c>
      <c r="Y130" s="53" t="s">
        <v>47</v>
      </c>
      <c r="Z130" s="53" t="s">
        <v>78</v>
      </c>
      <c r="AA130" s="53" t="s">
        <v>102</v>
      </c>
      <c r="AB130" s="53" t="s">
        <v>158</v>
      </c>
      <c r="AC130" s="76"/>
      <c r="AD130" s="76"/>
      <c r="AE130" s="76"/>
      <c r="AF130" s="76"/>
      <c r="AG130" s="76"/>
      <c r="AH130" s="76"/>
    </row>
    <row r="131" spans="1:34" x14ac:dyDescent="0.15">
      <c r="A131" s="53" t="s">
        <v>41</v>
      </c>
      <c r="B131" s="53" t="s">
        <v>157</v>
      </c>
      <c r="C131" s="62">
        <v>2019</v>
      </c>
      <c r="D131" s="63" t="s">
        <v>165</v>
      </c>
      <c r="E131" s="53" t="s">
        <v>209</v>
      </c>
      <c r="F131" s="53" t="s">
        <v>210</v>
      </c>
      <c r="G131" s="53" t="s">
        <v>42</v>
      </c>
      <c r="H131" s="53" t="s">
        <v>160</v>
      </c>
      <c r="I131" s="53" t="s">
        <v>159</v>
      </c>
      <c r="J131" s="53" t="s">
        <v>38</v>
      </c>
      <c r="K131" s="53" t="s">
        <v>161</v>
      </c>
      <c r="L131" s="53">
        <v>1</v>
      </c>
      <c r="N131" s="53">
        <v>1</v>
      </c>
      <c r="O131" s="53">
        <v>1</v>
      </c>
      <c r="P131" s="53">
        <v>0.8</v>
      </c>
      <c r="Q131" s="16">
        <f t="shared" si="7"/>
        <v>0.9</v>
      </c>
      <c r="R131" s="53">
        <v>16.2</v>
      </c>
      <c r="S131" s="53">
        <v>128</v>
      </c>
      <c r="T131" s="38">
        <f t="shared" si="8"/>
        <v>27</v>
      </c>
      <c r="U131" s="53">
        <v>104</v>
      </c>
      <c r="V131" s="38">
        <f t="shared" si="6"/>
        <v>2808</v>
      </c>
      <c r="W131" s="53">
        <v>3</v>
      </c>
      <c r="X131" s="53" t="s">
        <v>46</v>
      </c>
      <c r="Y131" s="53" t="s">
        <v>69</v>
      </c>
      <c r="Z131" s="53" t="s">
        <v>102</v>
      </c>
      <c r="AA131" s="53" t="s">
        <v>78</v>
      </c>
      <c r="AB131" s="53" t="s">
        <v>158</v>
      </c>
    </row>
    <row r="132" spans="1:34" x14ac:dyDescent="0.15">
      <c r="A132" s="53" t="s">
        <v>41</v>
      </c>
      <c r="B132" s="53" t="s">
        <v>157</v>
      </c>
      <c r="C132" s="62">
        <v>2019</v>
      </c>
      <c r="D132" s="63" t="s">
        <v>165</v>
      </c>
      <c r="E132" s="53" t="s">
        <v>209</v>
      </c>
      <c r="F132" s="53" t="s">
        <v>210</v>
      </c>
      <c r="G132" s="53" t="s">
        <v>42</v>
      </c>
      <c r="H132" s="53" t="s">
        <v>160</v>
      </c>
      <c r="I132" s="53" t="s">
        <v>159</v>
      </c>
      <c r="J132" s="53" t="s">
        <v>38</v>
      </c>
      <c r="K132" s="53" t="s">
        <v>161</v>
      </c>
      <c r="L132" s="53">
        <v>2</v>
      </c>
      <c r="N132" s="53">
        <v>1</v>
      </c>
      <c r="O132" s="53">
        <v>0.8</v>
      </c>
      <c r="P132" s="53">
        <v>0.75</v>
      </c>
      <c r="Q132" s="16">
        <f t="shared" si="7"/>
        <v>0.77500000000000002</v>
      </c>
      <c r="R132" s="53">
        <v>15.8</v>
      </c>
      <c r="S132" s="53">
        <v>125</v>
      </c>
      <c r="T132" s="38">
        <f t="shared" si="8"/>
        <v>27</v>
      </c>
      <c r="U132" s="53">
        <v>104</v>
      </c>
      <c r="V132" s="38">
        <f t="shared" si="6"/>
        <v>2808</v>
      </c>
      <c r="W132" s="53">
        <v>3</v>
      </c>
      <c r="X132" s="53" t="s">
        <v>46</v>
      </c>
      <c r="Y132" s="53" t="s">
        <v>69</v>
      </c>
      <c r="Z132" s="53" t="s">
        <v>102</v>
      </c>
      <c r="AA132" s="53" t="s">
        <v>78</v>
      </c>
      <c r="AB132" s="53" t="s">
        <v>158</v>
      </c>
    </row>
    <row r="133" spans="1:34" x14ac:dyDescent="0.15">
      <c r="A133" s="53" t="s">
        <v>41</v>
      </c>
      <c r="B133" s="53" t="s">
        <v>157</v>
      </c>
      <c r="C133" s="62">
        <v>2019</v>
      </c>
      <c r="D133" s="63" t="s">
        <v>165</v>
      </c>
      <c r="E133" s="53" t="s">
        <v>209</v>
      </c>
      <c r="F133" s="53" t="s">
        <v>210</v>
      </c>
      <c r="G133" s="53" t="s">
        <v>42</v>
      </c>
      <c r="H133" s="53" t="s">
        <v>160</v>
      </c>
      <c r="I133" s="53" t="s">
        <v>159</v>
      </c>
      <c r="J133" s="53" t="s">
        <v>38</v>
      </c>
      <c r="K133" s="53" t="s">
        <v>161</v>
      </c>
      <c r="L133" s="53">
        <v>3</v>
      </c>
      <c r="N133" s="53">
        <v>1</v>
      </c>
      <c r="O133" s="53">
        <v>0.7</v>
      </c>
      <c r="P133" s="53">
        <v>0.85</v>
      </c>
      <c r="Q133" s="16">
        <f t="shared" si="7"/>
        <v>0.77499999999999991</v>
      </c>
      <c r="R133" s="53">
        <v>12.6</v>
      </c>
      <c r="S133" s="53">
        <v>123</v>
      </c>
      <c r="T133" s="38">
        <f t="shared" si="8"/>
        <v>27</v>
      </c>
      <c r="U133" s="53">
        <v>104</v>
      </c>
      <c r="V133" s="38">
        <f t="shared" si="6"/>
        <v>2808</v>
      </c>
      <c r="W133" s="53">
        <v>3</v>
      </c>
      <c r="X133" s="53" t="s">
        <v>46</v>
      </c>
      <c r="Y133" s="53" t="s">
        <v>69</v>
      </c>
      <c r="Z133" s="53" t="s">
        <v>102</v>
      </c>
      <c r="AA133" s="53" t="s">
        <v>78</v>
      </c>
      <c r="AB133" s="53" t="s">
        <v>158</v>
      </c>
    </row>
    <row r="134" spans="1:34" x14ac:dyDescent="0.15">
      <c r="A134" s="53" t="s">
        <v>41</v>
      </c>
      <c r="B134" s="53" t="s">
        <v>157</v>
      </c>
      <c r="C134" s="62">
        <v>2019</v>
      </c>
      <c r="D134" s="63" t="s">
        <v>165</v>
      </c>
      <c r="E134" s="53" t="s">
        <v>209</v>
      </c>
      <c r="F134" s="53" t="s">
        <v>210</v>
      </c>
      <c r="G134" s="53" t="s">
        <v>42</v>
      </c>
      <c r="H134" s="53" t="s">
        <v>160</v>
      </c>
      <c r="I134" s="53" t="s">
        <v>159</v>
      </c>
      <c r="J134" s="53" t="s">
        <v>38</v>
      </c>
      <c r="K134" s="53" t="s">
        <v>161</v>
      </c>
      <c r="L134" s="53">
        <v>1</v>
      </c>
      <c r="N134" s="53">
        <v>4</v>
      </c>
      <c r="O134" s="53">
        <v>0.35</v>
      </c>
      <c r="P134" s="53">
        <v>0.35</v>
      </c>
      <c r="Q134" s="16">
        <f t="shared" si="7"/>
        <v>0.35</v>
      </c>
      <c r="R134" s="53">
        <v>14.7</v>
      </c>
      <c r="S134" s="53">
        <v>120</v>
      </c>
      <c r="T134" s="38">
        <f t="shared" si="8"/>
        <v>30</v>
      </c>
      <c r="U134" s="53">
        <v>407</v>
      </c>
      <c r="V134" s="38">
        <f t="shared" si="6"/>
        <v>3052.5</v>
      </c>
      <c r="W134" s="53">
        <v>1</v>
      </c>
      <c r="X134" s="53" t="s">
        <v>46</v>
      </c>
      <c r="Y134" s="53" t="s">
        <v>69</v>
      </c>
      <c r="Z134" s="53" t="s">
        <v>102</v>
      </c>
      <c r="AA134" s="53" t="s">
        <v>78</v>
      </c>
      <c r="AB134" s="53" t="s">
        <v>158</v>
      </c>
      <c r="AC134" s="76"/>
      <c r="AD134" s="76"/>
      <c r="AE134" s="76"/>
      <c r="AF134" s="76"/>
      <c r="AG134" s="76"/>
      <c r="AH134" s="76"/>
    </row>
    <row r="135" spans="1:34" x14ac:dyDescent="0.15">
      <c r="A135" s="53" t="s">
        <v>41</v>
      </c>
      <c r="B135" s="53" t="s">
        <v>157</v>
      </c>
      <c r="C135" s="62">
        <v>2019</v>
      </c>
      <c r="D135" s="63" t="s">
        <v>165</v>
      </c>
      <c r="E135" s="53" t="s">
        <v>209</v>
      </c>
      <c r="F135" s="53" t="s">
        <v>210</v>
      </c>
      <c r="G135" s="53" t="s">
        <v>42</v>
      </c>
      <c r="H135" s="53" t="s">
        <v>160</v>
      </c>
      <c r="I135" s="53" t="s">
        <v>159</v>
      </c>
      <c r="J135" s="53" t="s">
        <v>38</v>
      </c>
      <c r="K135" s="53" t="s">
        <v>161</v>
      </c>
      <c r="L135" s="53">
        <v>2</v>
      </c>
      <c r="N135" s="53">
        <v>4</v>
      </c>
      <c r="O135" s="53">
        <v>0.25</v>
      </c>
      <c r="P135" s="53">
        <v>0.3</v>
      </c>
      <c r="Q135" s="16">
        <f t="shared" si="7"/>
        <v>0.27500000000000002</v>
      </c>
      <c r="R135" s="53">
        <v>14</v>
      </c>
      <c r="S135" s="53">
        <v>120</v>
      </c>
      <c r="T135" s="38">
        <f t="shared" si="8"/>
        <v>30</v>
      </c>
      <c r="U135" s="53">
        <v>407</v>
      </c>
      <c r="V135" s="38">
        <f t="shared" si="6"/>
        <v>3052.5</v>
      </c>
      <c r="W135" s="53">
        <v>1</v>
      </c>
      <c r="X135" s="53" t="s">
        <v>46</v>
      </c>
      <c r="Y135" s="53" t="s">
        <v>69</v>
      </c>
      <c r="Z135" s="53" t="s">
        <v>102</v>
      </c>
      <c r="AA135" s="53" t="s">
        <v>78</v>
      </c>
      <c r="AB135" s="53" t="s">
        <v>158</v>
      </c>
      <c r="AC135" s="76"/>
      <c r="AD135" s="76"/>
      <c r="AE135" s="76"/>
      <c r="AF135" s="76"/>
      <c r="AG135" s="76"/>
      <c r="AH135" s="76"/>
    </row>
    <row r="136" spans="1:34" x14ac:dyDescent="0.15">
      <c r="A136" s="53" t="s">
        <v>41</v>
      </c>
      <c r="B136" s="53" t="s">
        <v>157</v>
      </c>
      <c r="C136" s="62">
        <v>2019</v>
      </c>
      <c r="D136" s="63" t="s">
        <v>165</v>
      </c>
      <c r="E136" s="53" t="s">
        <v>209</v>
      </c>
      <c r="F136" s="53" t="s">
        <v>210</v>
      </c>
      <c r="G136" s="53" t="s">
        <v>42</v>
      </c>
      <c r="H136" s="53" t="s">
        <v>160</v>
      </c>
      <c r="I136" s="53" t="s">
        <v>159</v>
      </c>
      <c r="J136" s="53" t="s">
        <v>38</v>
      </c>
      <c r="K136" s="53" t="s">
        <v>161</v>
      </c>
      <c r="L136" s="53">
        <v>3</v>
      </c>
      <c r="N136" s="53">
        <v>4</v>
      </c>
      <c r="O136" s="53">
        <v>0.35</v>
      </c>
      <c r="P136" s="53">
        <v>0.3</v>
      </c>
      <c r="Q136" s="16">
        <f t="shared" si="7"/>
        <v>0.32499999999999996</v>
      </c>
      <c r="R136" s="53">
        <v>12.5</v>
      </c>
      <c r="S136" s="53">
        <v>117</v>
      </c>
      <c r="T136" s="38">
        <f t="shared" si="8"/>
        <v>30</v>
      </c>
      <c r="U136" s="53">
        <v>407</v>
      </c>
      <c r="V136" s="38">
        <f t="shared" si="6"/>
        <v>3052.5</v>
      </c>
      <c r="W136" s="53">
        <v>1</v>
      </c>
      <c r="X136" s="53" t="s">
        <v>46</v>
      </c>
      <c r="Y136" s="53" t="s">
        <v>69</v>
      </c>
      <c r="Z136" s="53" t="s">
        <v>102</v>
      </c>
      <c r="AA136" s="53" t="s">
        <v>78</v>
      </c>
      <c r="AB136" s="53" t="s">
        <v>158</v>
      </c>
      <c r="AC136" s="76"/>
      <c r="AD136" s="76"/>
      <c r="AE136" s="76"/>
      <c r="AF136" s="76"/>
      <c r="AG136" s="76"/>
      <c r="AH136" s="76"/>
    </row>
    <row r="137" spans="1:34" x14ac:dyDescent="0.15">
      <c r="A137" s="53" t="s">
        <v>41</v>
      </c>
      <c r="B137" s="53" t="s">
        <v>157</v>
      </c>
      <c r="C137" s="62">
        <v>2019</v>
      </c>
      <c r="D137" s="63" t="s">
        <v>165</v>
      </c>
      <c r="E137" s="53" t="s">
        <v>209</v>
      </c>
      <c r="F137" s="53" t="s">
        <v>210</v>
      </c>
      <c r="G137" s="53" t="s">
        <v>42</v>
      </c>
      <c r="H137" s="53" t="s">
        <v>164</v>
      </c>
      <c r="I137" s="53" t="s">
        <v>159</v>
      </c>
      <c r="J137" s="53" t="s">
        <v>38</v>
      </c>
      <c r="K137" s="53" t="s">
        <v>161</v>
      </c>
      <c r="L137" s="53">
        <v>1</v>
      </c>
      <c r="N137" s="53">
        <v>1</v>
      </c>
      <c r="O137" s="53">
        <v>1</v>
      </c>
      <c r="P137" s="53">
        <v>0.85</v>
      </c>
      <c r="Q137" s="16">
        <f t="shared" si="7"/>
        <v>0.92500000000000004</v>
      </c>
      <c r="R137" s="53">
        <v>14</v>
      </c>
      <c r="S137" s="53">
        <v>124</v>
      </c>
      <c r="T137" s="38">
        <f t="shared" si="8"/>
        <v>27</v>
      </c>
      <c r="U137" s="53">
        <v>104</v>
      </c>
      <c r="V137" s="38">
        <f t="shared" si="6"/>
        <v>2808</v>
      </c>
      <c r="W137" s="53">
        <v>3</v>
      </c>
      <c r="X137" s="53" t="s">
        <v>46</v>
      </c>
      <c r="Y137" s="53" t="s">
        <v>69</v>
      </c>
      <c r="Z137" s="53" t="s">
        <v>102</v>
      </c>
      <c r="AA137" s="53" t="s">
        <v>78</v>
      </c>
      <c r="AB137" s="53" t="s">
        <v>158</v>
      </c>
      <c r="AC137" s="76"/>
      <c r="AD137" s="76"/>
      <c r="AE137" s="76"/>
      <c r="AF137" s="76"/>
      <c r="AG137" s="76"/>
      <c r="AH137" s="76"/>
    </row>
    <row r="138" spans="1:34" x14ac:dyDescent="0.15">
      <c r="A138" s="53" t="s">
        <v>41</v>
      </c>
      <c r="B138" s="53" t="s">
        <v>157</v>
      </c>
      <c r="C138" s="62">
        <v>2019</v>
      </c>
      <c r="D138" s="63" t="s">
        <v>165</v>
      </c>
      <c r="E138" s="53" t="s">
        <v>209</v>
      </c>
      <c r="F138" s="53" t="s">
        <v>210</v>
      </c>
      <c r="G138" s="53" t="s">
        <v>42</v>
      </c>
      <c r="H138" s="53" t="s">
        <v>164</v>
      </c>
      <c r="I138" s="53" t="s">
        <v>159</v>
      </c>
      <c r="J138" s="53" t="s">
        <v>38</v>
      </c>
      <c r="K138" s="53" t="s">
        <v>161</v>
      </c>
      <c r="L138" s="53">
        <v>2</v>
      </c>
      <c r="N138" s="53">
        <v>1</v>
      </c>
      <c r="O138" s="53">
        <v>0.65</v>
      </c>
      <c r="P138" s="53">
        <v>0.8</v>
      </c>
      <c r="Q138" s="16">
        <f t="shared" si="7"/>
        <v>0.72500000000000009</v>
      </c>
      <c r="R138" s="53">
        <v>12.9</v>
      </c>
      <c r="S138" s="53">
        <v>126</v>
      </c>
      <c r="T138" s="38">
        <f t="shared" si="8"/>
        <v>27</v>
      </c>
      <c r="U138" s="53">
        <v>104</v>
      </c>
      <c r="V138" s="38">
        <f t="shared" si="6"/>
        <v>2808</v>
      </c>
      <c r="W138" s="53">
        <v>3</v>
      </c>
      <c r="X138" s="53" t="s">
        <v>46</v>
      </c>
      <c r="Y138" s="53" t="s">
        <v>69</v>
      </c>
      <c r="Z138" s="53" t="s">
        <v>102</v>
      </c>
      <c r="AA138" s="53" t="s">
        <v>78</v>
      </c>
      <c r="AB138" s="53" t="s">
        <v>158</v>
      </c>
      <c r="AC138" s="76"/>
      <c r="AD138" s="76"/>
      <c r="AE138" s="76"/>
      <c r="AF138" s="76"/>
      <c r="AG138" s="76"/>
      <c r="AH138" s="76"/>
    </row>
    <row r="139" spans="1:34" x14ac:dyDescent="0.15">
      <c r="A139" s="53" t="s">
        <v>41</v>
      </c>
      <c r="B139" s="53" t="s">
        <v>157</v>
      </c>
      <c r="C139" s="62">
        <v>2019</v>
      </c>
      <c r="D139" s="63" t="s">
        <v>165</v>
      </c>
      <c r="E139" s="53" t="s">
        <v>209</v>
      </c>
      <c r="F139" s="53" t="s">
        <v>210</v>
      </c>
      <c r="G139" s="53" t="s">
        <v>42</v>
      </c>
      <c r="H139" s="53" t="s">
        <v>164</v>
      </c>
      <c r="I139" s="53" t="s">
        <v>159</v>
      </c>
      <c r="J139" s="53" t="s">
        <v>38</v>
      </c>
      <c r="K139" s="53" t="s">
        <v>161</v>
      </c>
      <c r="L139" s="53">
        <v>3</v>
      </c>
      <c r="N139" s="53">
        <v>1</v>
      </c>
      <c r="O139" s="53">
        <v>0.8</v>
      </c>
      <c r="P139" s="53">
        <v>0.75</v>
      </c>
      <c r="Q139" s="16">
        <f t="shared" si="7"/>
        <v>0.77500000000000002</v>
      </c>
      <c r="R139" s="53">
        <v>13.3</v>
      </c>
      <c r="S139" s="53">
        <v>127</v>
      </c>
      <c r="T139" s="38">
        <f t="shared" si="8"/>
        <v>27</v>
      </c>
      <c r="U139" s="53">
        <v>104</v>
      </c>
      <c r="V139" s="38">
        <f t="shared" si="6"/>
        <v>2808</v>
      </c>
      <c r="W139" s="53">
        <v>3</v>
      </c>
      <c r="X139" s="53" t="s">
        <v>46</v>
      </c>
      <c r="Y139" s="53" t="s">
        <v>69</v>
      </c>
      <c r="Z139" s="53" t="s">
        <v>102</v>
      </c>
      <c r="AA139" s="53" t="s">
        <v>78</v>
      </c>
      <c r="AB139" s="53" t="s">
        <v>158</v>
      </c>
      <c r="AC139" s="76"/>
      <c r="AD139" s="76"/>
      <c r="AE139" s="76"/>
      <c r="AF139" s="76"/>
      <c r="AG139" s="76"/>
      <c r="AH139" s="76"/>
    </row>
    <row r="140" spans="1:34" x14ac:dyDescent="0.15">
      <c r="A140" s="53" t="s">
        <v>41</v>
      </c>
      <c r="B140" s="53" t="s">
        <v>157</v>
      </c>
      <c r="C140" s="62">
        <v>2019</v>
      </c>
      <c r="D140" s="63" t="s">
        <v>165</v>
      </c>
      <c r="E140" s="53" t="s">
        <v>209</v>
      </c>
      <c r="F140" s="53" t="s">
        <v>210</v>
      </c>
      <c r="G140" s="53" t="s">
        <v>42</v>
      </c>
      <c r="H140" s="53" t="s">
        <v>164</v>
      </c>
      <c r="I140" s="53" t="s">
        <v>159</v>
      </c>
      <c r="J140" s="53" t="s">
        <v>38</v>
      </c>
      <c r="K140" s="53" t="s">
        <v>161</v>
      </c>
      <c r="L140" s="53">
        <v>1</v>
      </c>
      <c r="N140" s="53">
        <v>4</v>
      </c>
      <c r="O140" s="53">
        <v>1.2</v>
      </c>
      <c r="P140" s="53">
        <v>1.1000000000000001</v>
      </c>
      <c r="Q140" s="16">
        <f t="shared" si="7"/>
        <v>1.1499999999999999</v>
      </c>
      <c r="R140" s="53">
        <v>13.5</v>
      </c>
      <c r="S140" s="53">
        <v>122</v>
      </c>
      <c r="T140" s="38">
        <f t="shared" si="8"/>
        <v>27</v>
      </c>
      <c r="U140" s="53">
        <v>407</v>
      </c>
      <c r="V140" s="38">
        <f t="shared" si="6"/>
        <v>2747.25</v>
      </c>
      <c r="W140" s="53">
        <v>1</v>
      </c>
      <c r="X140" s="53" t="s">
        <v>46</v>
      </c>
      <c r="Y140" s="53" t="s">
        <v>69</v>
      </c>
      <c r="Z140" s="53" t="s">
        <v>102</v>
      </c>
      <c r="AA140" s="53" t="s">
        <v>78</v>
      </c>
      <c r="AB140" s="53" t="s">
        <v>158</v>
      </c>
      <c r="AC140" s="76"/>
      <c r="AD140" s="76"/>
      <c r="AE140" s="76"/>
      <c r="AF140" s="76"/>
      <c r="AG140" s="76"/>
      <c r="AH140" s="76"/>
    </row>
    <row r="141" spans="1:34" x14ac:dyDescent="0.15">
      <c r="A141" s="53" t="s">
        <v>41</v>
      </c>
      <c r="B141" s="53" t="s">
        <v>157</v>
      </c>
      <c r="C141" s="62">
        <v>2019</v>
      </c>
      <c r="D141" s="63" t="s">
        <v>165</v>
      </c>
      <c r="E141" s="53" t="s">
        <v>209</v>
      </c>
      <c r="F141" s="53" t="s">
        <v>210</v>
      </c>
      <c r="G141" s="53" t="s">
        <v>42</v>
      </c>
      <c r="H141" s="53" t="s">
        <v>164</v>
      </c>
      <c r="I141" s="53" t="s">
        <v>159</v>
      </c>
      <c r="J141" s="53" t="s">
        <v>38</v>
      </c>
      <c r="K141" s="53" t="s">
        <v>161</v>
      </c>
      <c r="L141" s="53">
        <v>2</v>
      </c>
      <c r="N141" s="53">
        <v>4</v>
      </c>
      <c r="O141" s="53">
        <v>1.3</v>
      </c>
      <c r="P141" s="53">
        <v>1.1499999999999999</v>
      </c>
      <c r="Q141" s="16">
        <f t="shared" si="7"/>
        <v>1.2250000000000001</v>
      </c>
      <c r="R141" s="53">
        <v>12.8</v>
      </c>
      <c r="S141" s="53">
        <v>121</v>
      </c>
      <c r="T141" s="38">
        <f t="shared" si="8"/>
        <v>27</v>
      </c>
      <c r="U141" s="53">
        <v>407</v>
      </c>
      <c r="V141" s="38">
        <f t="shared" si="6"/>
        <v>2747.25</v>
      </c>
      <c r="W141" s="53">
        <v>1</v>
      </c>
      <c r="X141" s="53" t="s">
        <v>46</v>
      </c>
      <c r="Y141" s="53" t="s">
        <v>69</v>
      </c>
      <c r="Z141" s="53" t="s">
        <v>102</v>
      </c>
      <c r="AA141" s="53" t="s">
        <v>78</v>
      </c>
      <c r="AB141" s="53" t="s">
        <v>158</v>
      </c>
      <c r="AC141" s="76"/>
      <c r="AD141" s="76"/>
      <c r="AE141" s="76"/>
      <c r="AF141" s="76"/>
      <c r="AG141" s="76"/>
      <c r="AH141" s="76"/>
    </row>
    <row r="142" spans="1:34" x14ac:dyDescent="0.15">
      <c r="A142" s="53" t="s">
        <v>41</v>
      </c>
      <c r="B142" s="53" t="s">
        <v>157</v>
      </c>
      <c r="C142" s="62">
        <v>2019</v>
      </c>
      <c r="D142" s="63" t="s">
        <v>165</v>
      </c>
      <c r="E142" s="53" t="s">
        <v>209</v>
      </c>
      <c r="F142" s="53" t="s">
        <v>210</v>
      </c>
      <c r="G142" s="53" t="s">
        <v>42</v>
      </c>
      <c r="H142" s="53" t="s">
        <v>164</v>
      </c>
      <c r="I142" s="53" t="s">
        <v>159</v>
      </c>
      <c r="J142" s="53" t="s">
        <v>38</v>
      </c>
      <c r="K142" s="53" t="s">
        <v>161</v>
      </c>
      <c r="L142" s="53">
        <v>3</v>
      </c>
      <c r="N142" s="53">
        <v>4</v>
      </c>
      <c r="O142" s="53">
        <v>1</v>
      </c>
      <c r="P142" s="53">
        <v>1</v>
      </c>
      <c r="Q142" s="16">
        <f t="shared" si="7"/>
        <v>1</v>
      </c>
      <c r="R142" s="53">
        <v>13</v>
      </c>
      <c r="S142" s="53">
        <v>122</v>
      </c>
      <c r="T142" s="38">
        <f t="shared" si="8"/>
        <v>27</v>
      </c>
      <c r="U142" s="53">
        <v>407</v>
      </c>
      <c r="V142" s="38">
        <f t="shared" si="6"/>
        <v>2747.25</v>
      </c>
      <c r="W142" s="53">
        <v>1</v>
      </c>
      <c r="X142" s="53" t="s">
        <v>46</v>
      </c>
      <c r="Y142" s="53" t="s">
        <v>69</v>
      </c>
      <c r="Z142" s="53" t="s">
        <v>102</v>
      </c>
      <c r="AA142" s="53" t="s">
        <v>78</v>
      </c>
      <c r="AB142" s="53" t="s">
        <v>158</v>
      </c>
      <c r="AC142" s="76"/>
      <c r="AD142" s="76"/>
      <c r="AE142" s="76"/>
      <c r="AF142" s="76"/>
      <c r="AG142" s="76"/>
      <c r="AH142" s="76"/>
    </row>
    <row r="143" spans="1:34" x14ac:dyDescent="0.15">
      <c r="C143" s="62"/>
      <c r="D143" s="63"/>
      <c r="T143" s="38"/>
      <c r="V143" s="38"/>
    </row>
    <row r="144" spans="1:34" x14ac:dyDescent="0.15">
      <c r="C144" s="62"/>
      <c r="D144" s="63"/>
      <c r="T144" s="38"/>
      <c r="V144" s="38"/>
    </row>
    <row r="145" spans="3:22" x14ac:dyDescent="0.15">
      <c r="C145" s="62"/>
      <c r="D145" s="63"/>
      <c r="T145" s="38"/>
      <c r="V145" s="38"/>
    </row>
    <row r="146" spans="3:22" x14ac:dyDescent="0.15">
      <c r="C146" s="62"/>
      <c r="D146" s="63"/>
      <c r="T146" s="38"/>
      <c r="V146" s="38"/>
    </row>
    <row r="147" spans="3:22" x14ac:dyDescent="0.15">
      <c r="C147" s="62"/>
      <c r="D147" s="63"/>
      <c r="T147" s="38"/>
      <c r="V147" s="38"/>
    </row>
    <row r="148" spans="3:22" x14ac:dyDescent="0.15">
      <c r="C148" s="62"/>
      <c r="D148" s="63"/>
      <c r="T148" s="38"/>
      <c r="V148" s="38"/>
    </row>
    <row r="149" spans="3:22" x14ac:dyDescent="0.15">
      <c r="Q149" s="75"/>
    </row>
    <row r="150" spans="3:22" x14ac:dyDescent="0.15">
      <c r="Q150" s="75"/>
    </row>
    <row r="151" spans="3:22" x14ac:dyDescent="0.15">
      <c r="Q151" s="75"/>
    </row>
    <row r="152" spans="3:22" x14ac:dyDescent="0.15">
      <c r="Q152" s="75" t="str">
        <f t="shared" ref="Q152:Q215" si="9">IF(OR(O152="",P152=""),"",AVERAGE(O152,P152))</f>
        <v/>
      </c>
      <c r="T152" s="16" t="str">
        <f t="shared" ref="T152:T215" si="10">IF(H152="","",IF(OR(H152="GREEN",H152="GK"),IF(S152&gt;=$AX$2,VLOOKUP(S152,$AX$2:$AY$10,2,1),""),IF(S152&gt;=$AZ$2,VLOOKUP(S152,$AZ$2:$BA$10,2,1),"")))</f>
        <v/>
      </c>
      <c r="V152" s="16" t="str">
        <f t="shared" ref="V152:V215" si="11">IF(OR(N152="",U152="",T152=""),"",U152/N152*T152)</f>
        <v/>
      </c>
    </row>
    <row r="153" spans="3:22" x14ac:dyDescent="0.15">
      <c r="Q153" s="75" t="str">
        <f t="shared" si="9"/>
        <v/>
      </c>
      <c r="T153" s="16" t="str">
        <f t="shared" si="10"/>
        <v/>
      </c>
      <c r="V153" s="16" t="str">
        <f t="shared" si="11"/>
        <v/>
      </c>
    </row>
    <row r="154" spans="3:22" x14ac:dyDescent="0.15">
      <c r="Q154" s="75" t="str">
        <f t="shared" si="9"/>
        <v/>
      </c>
      <c r="T154" s="16" t="str">
        <f t="shared" si="10"/>
        <v/>
      </c>
      <c r="V154" s="16" t="str">
        <f t="shared" si="11"/>
        <v/>
      </c>
    </row>
    <row r="155" spans="3:22" x14ac:dyDescent="0.15">
      <c r="Q155" s="75" t="str">
        <f t="shared" si="9"/>
        <v/>
      </c>
      <c r="T155" s="16" t="str">
        <f t="shared" si="10"/>
        <v/>
      </c>
      <c r="V155" s="16" t="str">
        <f t="shared" si="11"/>
        <v/>
      </c>
    </row>
    <row r="156" spans="3:22" x14ac:dyDescent="0.15">
      <c r="Q156" s="75" t="str">
        <f t="shared" si="9"/>
        <v/>
      </c>
      <c r="T156" s="16" t="str">
        <f t="shared" si="10"/>
        <v/>
      </c>
      <c r="V156" s="16" t="str">
        <f t="shared" si="11"/>
        <v/>
      </c>
    </row>
    <row r="157" spans="3:22" x14ac:dyDescent="0.15">
      <c r="Q157" s="75" t="str">
        <f t="shared" si="9"/>
        <v/>
      </c>
      <c r="T157" s="16" t="str">
        <f t="shared" si="10"/>
        <v/>
      </c>
      <c r="V157" s="16" t="str">
        <f t="shared" si="11"/>
        <v/>
      </c>
    </row>
    <row r="158" spans="3:22" x14ac:dyDescent="0.15">
      <c r="Q158" s="75" t="str">
        <f t="shared" si="9"/>
        <v/>
      </c>
      <c r="T158" s="16" t="str">
        <f t="shared" si="10"/>
        <v/>
      </c>
      <c r="V158" s="16" t="str">
        <f t="shared" si="11"/>
        <v/>
      </c>
    </row>
    <row r="159" spans="3:22" x14ac:dyDescent="0.15">
      <c r="Q159" s="75" t="str">
        <f t="shared" si="9"/>
        <v/>
      </c>
      <c r="T159" s="16" t="str">
        <f t="shared" si="10"/>
        <v/>
      </c>
      <c r="V159" s="16" t="str">
        <f t="shared" si="11"/>
        <v/>
      </c>
    </row>
    <row r="160" spans="3:22" x14ac:dyDescent="0.15">
      <c r="Q160" s="75" t="str">
        <f t="shared" si="9"/>
        <v/>
      </c>
      <c r="T160" s="16" t="str">
        <f t="shared" si="10"/>
        <v/>
      </c>
      <c r="V160" s="16" t="str">
        <f t="shared" si="11"/>
        <v/>
      </c>
    </row>
    <row r="161" spans="17:22" x14ac:dyDescent="0.15">
      <c r="Q161" s="75" t="str">
        <f t="shared" si="9"/>
        <v/>
      </c>
      <c r="T161" s="16" t="str">
        <f t="shared" si="10"/>
        <v/>
      </c>
      <c r="V161" s="16" t="str">
        <f t="shared" si="11"/>
        <v/>
      </c>
    </row>
    <row r="162" spans="17:22" x14ac:dyDescent="0.15">
      <c r="Q162" s="75" t="str">
        <f t="shared" si="9"/>
        <v/>
      </c>
      <c r="T162" s="16" t="str">
        <f t="shared" si="10"/>
        <v/>
      </c>
      <c r="V162" s="16" t="str">
        <f t="shared" si="11"/>
        <v/>
      </c>
    </row>
    <row r="163" spans="17:22" x14ac:dyDescent="0.15">
      <c r="Q163" s="75" t="str">
        <f t="shared" si="9"/>
        <v/>
      </c>
      <c r="T163" s="16" t="str">
        <f t="shared" si="10"/>
        <v/>
      </c>
      <c r="V163" s="16" t="str">
        <f t="shared" si="11"/>
        <v/>
      </c>
    </row>
    <row r="164" spans="17:22" x14ac:dyDescent="0.15">
      <c r="Q164" s="75" t="str">
        <f t="shared" si="9"/>
        <v/>
      </c>
      <c r="T164" s="16" t="str">
        <f t="shared" si="10"/>
        <v/>
      </c>
      <c r="V164" s="16" t="str">
        <f t="shared" si="11"/>
        <v/>
      </c>
    </row>
    <row r="165" spans="17:22" x14ac:dyDescent="0.15">
      <c r="Q165" s="75" t="str">
        <f t="shared" si="9"/>
        <v/>
      </c>
      <c r="T165" s="16" t="str">
        <f t="shared" si="10"/>
        <v/>
      </c>
      <c r="V165" s="16" t="str">
        <f t="shared" si="11"/>
        <v/>
      </c>
    </row>
    <row r="166" spans="17:22" x14ac:dyDescent="0.15">
      <c r="Q166" s="75" t="str">
        <f t="shared" si="9"/>
        <v/>
      </c>
      <c r="T166" s="16" t="str">
        <f t="shared" si="10"/>
        <v/>
      </c>
      <c r="V166" s="16" t="str">
        <f t="shared" si="11"/>
        <v/>
      </c>
    </row>
    <row r="167" spans="17:22" x14ac:dyDescent="0.15">
      <c r="Q167" s="75" t="str">
        <f t="shared" si="9"/>
        <v/>
      </c>
      <c r="T167" s="16" t="str">
        <f t="shared" si="10"/>
        <v/>
      </c>
      <c r="V167" s="16" t="str">
        <f t="shared" si="11"/>
        <v/>
      </c>
    </row>
    <row r="168" spans="17:22" x14ac:dyDescent="0.15">
      <c r="Q168" s="75" t="str">
        <f t="shared" si="9"/>
        <v/>
      </c>
      <c r="T168" s="16" t="str">
        <f t="shared" si="10"/>
        <v/>
      </c>
      <c r="V168" s="16" t="str">
        <f t="shared" si="11"/>
        <v/>
      </c>
    </row>
    <row r="169" spans="17:22" x14ac:dyDescent="0.15">
      <c r="Q169" s="75" t="str">
        <f t="shared" si="9"/>
        <v/>
      </c>
      <c r="T169" s="16" t="str">
        <f t="shared" si="10"/>
        <v/>
      </c>
      <c r="V169" s="16" t="str">
        <f t="shared" si="11"/>
        <v/>
      </c>
    </row>
    <row r="170" spans="17:22" x14ac:dyDescent="0.15">
      <c r="Q170" s="75" t="str">
        <f t="shared" si="9"/>
        <v/>
      </c>
      <c r="T170" s="16" t="str">
        <f t="shared" si="10"/>
        <v/>
      </c>
      <c r="V170" s="16" t="str">
        <f t="shared" si="11"/>
        <v/>
      </c>
    </row>
    <row r="171" spans="17:22" x14ac:dyDescent="0.15">
      <c r="Q171" s="75" t="str">
        <f t="shared" si="9"/>
        <v/>
      </c>
      <c r="T171" s="16" t="str">
        <f t="shared" si="10"/>
        <v/>
      </c>
      <c r="V171" s="16" t="str">
        <f t="shared" si="11"/>
        <v/>
      </c>
    </row>
    <row r="172" spans="17:22" x14ac:dyDescent="0.15">
      <c r="Q172" s="75" t="str">
        <f t="shared" si="9"/>
        <v/>
      </c>
      <c r="T172" s="16" t="str">
        <f t="shared" si="10"/>
        <v/>
      </c>
      <c r="V172" s="16" t="str">
        <f t="shared" si="11"/>
        <v/>
      </c>
    </row>
    <row r="173" spans="17:22" x14ac:dyDescent="0.15">
      <c r="Q173" s="75" t="str">
        <f t="shared" si="9"/>
        <v/>
      </c>
      <c r="T173" s="16" t="str">
        <f t="shared" si="10"/>
        <v/>
      </c>
      <c r="V173" s="16" t="str">
        <f t="shared" si="11"/>
        <v/>
      </c>
    </row>
    <row r="174" spans="17:22" x14ac:dyDescent="0.15">
      <c r="Q174" s="75" t="str">
        <f t="shared" si="9"/>
        <v/>
      </c>
      <c r="T174" s="16" t="str">
        <f t="shared" si="10"/>
        <v/>
      </c>
      <c r="V174" s="16" t="str">
        <f t="shared" si="11"/>
        <v/>
      </c>
    </row>
    <row r="175" spans="17:22" x14ac:dyDescent="0.15">
      <c r="Q175" s="75" t="str">
        <f t="shared" si="9"/>
        <v/>
      </c>
      <c r="T175" s="16" t="str">
        <f t="shared" si="10"/>
        <v/>
      </c>
      <c r="V175" s="16" t="str">
        <f t="shared" si="11"/>
        <v/>
      </c>
    </row>
    <row r="176" spans="17:22" x14ac:dyDescent="0.15">
      <c r="Q176" s="75" t="str">
        <f t="shared" si="9"/>
        <v/>
      </c>
      <c r="T176" s="16" t="str">
        <f t="shared" si="10"/>
        <v/>
      </c>
      <c r="V176" s="16" t="str">
        <f t="shared" si="11"/>
        <v/>
      </c>
    </row>
    <row r="177" spans="17:22" x14ac:dyDescent="0.15">
      <c r="Q177" s="75" t="str">
        <f t="shared" si="9"/>
        <v/>
      </c>
      <c r="T177" s="16" t="str">
        <f t="shared" si="10"/>
        <v/>
      </c>
      <c r="V177" s="16" t="str">
        <f t="shared" si="11"/>
        <v/>
      </c>
    </row>
    <row r="178" spans="17:22" x14ac:dyDescent="0.15">
      <c r="Q178" s="75" t="str">
        <f t="shared" si="9"/>
        <v/>
      </c>
      <c r="T178" s="16" t="str">
        <f t="shared" si="10"/>
        <v/>
      </c>
      <c r="V178" s="16" t="str">
        <f t="shared" si="11"/>
        <v/>
      </c>
    </row>
    <row r="179" spans="17:22" x14ac:dyDescent="0.15">
      <c r="Q179" s="75" t="str">
        <f t="shared" si="9"/>
        <v/>
      </c>
      <c r="T179" s="16" t="str">
        <f t="shared" si="10"/>
        <v/>
      </c>
      <c r="V179" s="16" t="str">
        <f t="shared" si="11"/>
        <v/>
      </c>
    </row>
    <row r="180" spans="17:22" x14ac:dyDescent="0.15">
      <c r="Q180" s="75" t="str">
        <f t="shared" si="9"/>
        <v/>
      </c>
      <c r="T180" s="16" t="str">
        <f t="shared" si="10"/>
        <v/>
      </c>
      <c r="V180" s="16" t="str">
        <f t="shared" si="11"/>
        <v/>
      </c>
    </row>
    <row r="181" spans="17:22" x14ac:dyDescent="0.15">
      <c r="Q181" s="75" t="str">
        <f t="shared" si="9"/>
        <v/>
      </c>
      <c r="T181" s="16" t="str">
        <f t="shared" si="10"/>
        <v/>
      </c>
      <c r="V181" s="16" t="str">
        <f t="shared" si="11"/>
        <v/>
      </c>
    </row>
    <row r="182" spans="17:22" x14ac:dyDescent="0.15">
      <c r="Q182" s="75" t="str">
        <f t="shared" si="9"/>
        <v/>
      </c>
      <c r="T182" s="16" t="str">
        <f t="shared" si="10"/>
        <v/>
      </c>
      <c r="V182" s="16" t="str">
        <f t="shared" si="11"/>
        <v/>
      </c>
    </row>
    <row r="183" spans="17:22" x14ac:dyDescent="0.15">
      <c r="Q183" s="75" t="str">
        <f t="shared" si="9"/>
        <v/>
      </c>
      <c r="T183" s="16" t="str">
        <f t="shared" si="10"/>
        <v/>
      </c>
      <c r="V183" s="16" t="str">
        <f t="shared" si="11"/>
        <v/>
      </c>
    </row>
    <row r="184" spans="17:22" x14ac:dyDescent="0.15">
      <c r="Q184" s="75" t="str">
        <f t="shared" si="9"/>
        <v/>
      </c>
      <c r="T184" s="16" t="str">
        <f t="shared" si="10"/>
        <v/>
      </c>
      <c r="V184" s="16" t="str">
        <f t="shared" si="11"/>
        <v/>
      </c>
    </row>
    <row r="185" spans="17:22" x14ac:dyDescent="0.15">
      <c r="Q185" s="75" t="str">
        <f t="shared" si="9"/>
        <v/>
      </c>
      <c r="T185" s="16" t="str">
        <f t="shared" si="10"/>
        <v/>
      </c>
      <c r="V185" s="16" t="str">
        <f t="shared" si="11"/>
        <v/>
      </c>
    </row>
    <row r="186" spans="17:22" x14ac:dyDescent="0.15">
      <c r="Q186" s="75" t="str">
        <f t="shared" si="9"/>
        <v/>
      </c>
      <c r="T186" s="16" t="str">
        <f t="shared" si="10"/>
        <v/>
      </c>
      <c r="V186" s="16" t="str">
        <f t="shared" si="11"/>
        <v/>
      </c>
    </row>
    <row r="187" spans="17:22" x14ac:dyDescent="0.15">
      <c r="Q187" s="75" t="str">
        <f t="shared" si="9"/>
        <v/>
      </c>
      <c r="T187" s="16" t="str">
        <f t="shared" si="10"/>
        <v/>
      </c>
      <c r="V187" s="16" t="str">
        <f t="shared" si="11"/>
        <v/>
      </c>
    </row>
    <row r="188" spans="17:22" x14ac:dyDescent="0.15">
      <c r="Q188" s="75" t="str">
        <f t="shared" si="9"/>
        <v/>
      </c>
      <c r="T188" s="16" t="str">
        <f t="shared" si="10"/>
        <v/>
      </c>
      <c r="V188" s="16" t="str">
        <f t="shared" si="11"/>
        <v/>
      </c>
    </row>
    <row r="189" spans="17:22" x14ac:dyDescent="0.15">
      <c r="Q189" s="75" t="str">
        <f t="shared" si="9"/>
        <v/>
      </c>
      <c r="T189" s="16" t="str">
        <f t="shared" si="10"/>
        <v/>
      </c>
      <c r="V189" s="16" t="str">
        <f t="shared" si="11"/>
        <v/>
      </c>
    </row>
    <row r="190" spans="17:22" x14ac:dyDescent="0.15">
      <c r="Q190" s="75" t="str">
        <f t="shared" si="9"/>
        <v/>
      </c>
      <c r="T190" s="16" t="str">
        <f t="shared" si="10"/>
        <v/>
      </c>
      <c r="V190" s="16" t="str">
        <f t="shared" si="11"/>
        <v/>
      </c>
    </row>
    <row r="191" spans="17:22" x14ac:dyDescent="0.15">
      <c r="Q191" s="75" t="str">
        <f t="shared" si="9"/>
        <v/>
      </c>
      <c r="T191" s="16" t="str">
        <f t="shared" si="10"/>
        <v/>
      </c>
      <c r="V191" s="16" t="str">
        <f t="shared" si="11"/>
        <v/>
      </c>
    </row>
    <row r="192" spans="17:22" x14ac:dyDescent="0.15">
      <c r="Q192" s="75" t="str">
        <f t="shared" si="9"/>
        <v/>
      </c>
      <c r="T192" s="16" t="str">
        <f t="shared" si="10"/>
        <v/>
      </c>
      <c r="V192" s="16" t="str">
        <f t="shared" si="11"/>
        <v/>
      </c>
    </row>
    <row r="193" spans="17:22" x14ac:dyDescent="0.15">
      <c r="Q193" s="75" t="str">
        <f t="shared" si="9"/>
        <v/>
      </c>
      <c r="T193" s="16" t="str">
        <f t="shared" si="10"/>
        <v/>
      </c>
      <c r="V193" s="16" t="str">
        <f t="shared" si="11"/>
        <v/>
      </c>
    </row>
    <row r="194" spans="17:22" x14ac:dyDescent="0.15">
      <c r="Q194" s="75" t="str">
        <f t="shared" si="9"/>
        <v/>
      </c>
      <c r="T194" s="16" t="str">
        <f t="shared" si="10"/>
        <v/>
      </c>
      <c r="V194" s="16" t="str">
        <f t="shared" si="11"/>
        <v/>
      </c>
    </row>
    <row r="195" spans="17:22" x14ac:dyDescent="0.15">
      <c r="Q195" s="75" t="str">
        <f t="shared" si="9"/>
        <v/>
      </c>
      <c r="T195" s="16" t="str">
        <f t="shared" si="10"/>
        <v/>
      </c>
      <c r="V195" s="16" t="str">
        <f t="shared" si="11"/>
        <v/>
      </c>
    </row>
    <row r="196" spans="17:22" x14ac:dyDescent="0.15">
      <c r="Q196" s="75" t="str">
        <f t="shared" si="9"/>
        <v/>
      </c>
      <c r="T196" s="16" t="str">
        <f t="shared" si="10"/>
        <v/>
      </c>
      <c r="V196" s="16" t="str">
        <f t="shared" si="11"/>
        <v/>
      </c>
    </row>
    <row r="197" spans="17:22" x14ac:dyDescent="0.15">
      <c r="Q197" s="75" t="str">
        <f t="shared" si="9"/>
        <v/>
      </c>
      <c r="T197" s="16" t="str">
        <f t="shared" si="10"/>
        <v/>
      </c>
      <c r="V197" s="16" t="str">
        <f t="shared" si="11"/>
        <v/>
      </c>
    </row>
    <row r="198" spans="17:22" x14ac:dyDescent="0.15">
      <c r="Q198" s="75" t="str">
        <f t="shared" si="9"/>
        <v/>
      </c>
      <c r="T198" s="16" t="str">
        <f t="shared" si="10"/>
        <v/>
      </c>
      <c r="V198" s="16" t="str">
        <f t="shared" si="11"/>
        <v/>
      </c>
    </row>
    <row r="199" spans="17:22" x14ac:dyDescent="0.15">
      <c r="Q199" s="75" t="str">
        <f t="shared" si="9"/>
        <v/>
      </c>
      <c r="T199" s="16" t="str">
        <f t="shared" si="10"/>
        <v/>
      </c>
      <c r="V199" s="16" t="str">
        <f t="shared" si="11"/>
        <v/>
      </c>
    </row>
    <row r="200" spans="17:22" x14ac:dyDescent="0.15">
      <c r="Q200" s="75" t="str">
        <f t="shared" si="9"/>
        <v/>
      </c>
      <c r="T200" s="16" t="str">
        <f t="shared" si="10"/>
        <v/>
      </c>
      <c r="V200" s="16" t="str">
        <f t="shared" si="11"/>
        <v/>
      </c>
    </row>
    <row r="201" spans="17:22" x14ac:dyDescent="0.15">
      <c r="Q201" s="75" t="str">
        <f t="shared" si="9"/>
        <v/>
      </c>
      <c r="T201" s="16" t="str">
        <f t="shared" si="10"/>
        <v/>
      </c>
      <c r="V201" s="16" t="str">
        <f t="shared" si="11"/>
        <v/>
      </c>
    </row>
    <row r="202" spans="17:22" x14ac:dyDescent="0.15">
      <c r="Q202" s="75" t="str">
        <f t="shared" si="9"/>
        <v/>
      </c>
      <c r="T202" s="16" t="str">
        <f t="shared" si="10"/>
        <v/>
      </c>
      <c r="V202" s="16" t="str">
        <f t="shared" si="11"/>
        <v/>
      </c>
    </row>
    <row r="203" spans="17:22" x14ac:dyDescent="0.15">
      <c r="Q203" s="75" t="str">
        <f t="shared" si="9"/>
        <v/>
      </c>
      <c r="T203" s="16" t="str">
        <f t="shared" si="10"/>
        <v/>
      </c>
      <c r="V203" s="16" t="str">
        <f t="shared" si="11"/>
        <v/>
      </c>
    </row>
    <row r="204" spans="17:22" x14ac:dyDescent="0.15">
      <c r="Q204" s="75" t="str">
        <f t="shared" si="9"/>
        <v/>
      </c>
      <c r="T204" s="16" t="str">
        <f t="shared" si="10"/>
        <v/>
      </c>
      <c r="V204" s="16" t="str">
        <f t="shared" si="11"/>
        <v/>
      </c>
    </row>
    <row r="205" spans="17:22" x14ac:dyDescent="0.15">
      <c r="Q205" s="75" t="str">
        <f t="shared" si="9"/>
        <v/>
      </c>
      <c r="T205" s="16" t="str">
        <f t="shared" si="10"/>
        <v/>
      </c>
      <c r="V205" s="16" t="str">
        <f t="shared" si="11"/>
        <v/>
      </c>
    </row>
    <row r="206" spans="17:22" x14ac:dyDescent="0.15">
      <c r="Q206" s="75" t="str">
        <f t="shared" si="9"/>
        <v/>
      </c>
      <c r="T206" s="16" t="str">
        <f t="shared" si="10"/>
        <v/>
      </c>
      <c r="V206" s="16" t="str">
        <f t="shared" si="11"/>
        <v/>
      </c>
    </row>
    <row r="207" spans="17:22" x14ac:dyDescent="0.15">
      <c r="Q207" s="75" t="str">
        <f t="shared" si="9"/>
        <v/>
      </c>
      <c r="T207" s="16" t="str">
        <f t="shared" si="10"/>
        <v/>
      </c>
      <c r="V207" s="16" t="str">
        <f t="shared" si="11"/>
        <v/>
      </c>
    </row>
    <row r="208" spans="17:22" x14ac:dyDescent="0.15">
      <c r="Q208" s="75" t="str">
        <f t="shared" si="9"/>
        <v/>
      </c>
      <c r="T208" s="16" t="str">
        <f t="shared" si="10"/>
        <v/>
      </c>
      <c r="V208" s="16" t="str">
        <f t="shared" si="11"/>
        <v/>
      </c>
    </row>
    <row r="209" spans="17:22" x14ac:dyDescent="0.15">
      <c r="Q209" s="75" t="str">
        <f t="shared" si="9"/>
        <v/>
      </c>
      <c r="T209" s="16" t="str">
        <f t="shared" si="10"/>
        <v/>
      </c>
      <c r="V209" s="16" t="str">
        <f t="shared" si="11"/>
        <v/>
      </c>
    </row>
    <row r="210" spans="17:22" x14ac:dyDescent="0.15">
      <c r="Q210" s="75" t="str">
        <f t="shared" si="9"/>
        <v/>
      </c>
      <c r="T210" s="16" t="str">
        <f t="shared" si="10"/>
        <v/>
      </c>
      <c r="V210" s="16" t="str">
        <f t="shared" si="11"/>
        <v/>
      </c>
    </row>
    <row r="211" spans="17:22" x14ac:dyDescent="0.15">
      <c r="Q211" s="75" t="str">
        <f t="shared" si="9"/>
        <v/>
      </c>
      <c r="T211" s="16" t="str">
        <f t="shared" si="10"/>
        <v/>
      </c>
      <c r="V211" s="16" t="str">
        <f t="shared" si="11"/>
        <v/>
      </c>
    </row>
    <row r="212" spans="17:22" x14ac:dyDescent="0.15">
      <c r="Q212" s="75" t="str">
        <f t="shared" si="9"/>
        <v/>
      </c>
      <c r="T212" s="16" t="str">
        <f t="shared" si="10"/>
        <v/>
      </c>
      <c r="V212" s="16" t="str">
        <f t="shared" si="11"/>
        <v/>
      </c>
    </row>
    <row r="213" spans="17:22" x14ac:dyDescent="0.15">
      <c r="Q213" s="75" t="str">
        <f t="shared" si="9"/>
        <v/>
      </c>
      <c r="T213" s="16" t="str">
        <f t="shared" si="10"/>
        <v/>
      </c>
      <c r="V213" s="16" t="str">
        <f t="shared" si="11"/>
        <v/>
      </c>
    </row>
    <row r="214" spans="17:22" x14ac:dyDescent="0.15">
      <c r="Q214" s="75" t="str">
        <f t="shared" si="9"/>
        <v/>
      </c>
      <c r="T214" s="16" t="str">
        <f t="shared" si="10"/>
        <v/>
      </c>
      <c r="V214" s="16" t="str">
        <f t="shared" si="11"/>
        <v/>
      </c>
    </row>
    <row r="215" spans="17:22" x14ac:dyDescent="0.15">
      <c r="Q215" s="75" t="str">
        <f t="shared" si="9"/>
        <v/>
      </c>
      <c r="T215" s="16" t="str">
        <f t="shared" si="10"/>
        <v/>
      </c>
      <c r="V215" s="16" t="str">
        <f t="shared" si="11"/>
        <v/>
      </c>
    </row>
    <row r="216" spans="17:22" x14ac:dyDescent="0.15">
      <c r="Q216" s="75" t="str">
        <f t="shared" ref="Q216:Q279" si="12">IF(OR(O216="",P216=""),"",AVERAGE(O216,P216))</f>
        <v/>
      </c>
      <c r="T216" s="16" t="str">
        <f t="shared" ref="T216:T279" si="13">IF(H216="","",IF(OR(H216="GREEN",H216="GK"),IF(S216&gt;=$AX$2,VLOOKUP(S216,$AX$2:$AY$10,2,1),""),IF(S216&gt;=$AZ$2,VLOOKUP(S216,$AZ$2:$BA$10,2,1),"")))</f>
        <v/>
      </c>
      <c r="V216" s="16" t="str">
        <f t="shared" ref="V216:V279" si="14">IF(OR(N216="",U216="",T216=""),"",U216/N216*T216)</f>
        <v/>
      </c>
    </row>
    <row r="217" spans="17:22" x14ac:dyDescent="0.15">
      <c r="Q217" s="75" t="str">
        <f t="shared" si="12"/>
        <v/>
      </c>
      <c r="T217" s="16" t="str">
        <f t="shared" si="13"/>
        <v/>
      </c>
      <c r="V217" s="16" t="str">
        <f t="shared" si="14"/>
        <v/>
      </c>
    </row>
    <row r="218" spans="17:22" x14ac:dyDescent="0.15">
      <c r="Q218" s="75" t="str">
        <f t="shared" si="12"/>
        <v/>
      </c>
      <c r="T218" s="16" t="str">
        <f t="shared" si="13"/>
        <v/>
      </c>
      <c r="V218" s="16" t="str">
        <f t="shared" si="14"/>
        <v/>
      </c>
    </row>
    <row r="219" spans="17:22" x14ac:dyDescent="0.15">
      <c r="Q219" s="75" t="str">
        <f t="shared" si="12"/>
        <v/>
      </c>
      <c r="T219" s="16" t="str">
        <f t="shared" si="13"/>
        <v/>
      </c>
      <c r="V219" s="16" t="str">
        <f t="shared" si="14"/>
        <v/>
      </c>
    </row>
    <row r="220" spans="17:22" x14ac:dyDescent="0.15">
      <c r="Q220" s="75" t="str">
        <f t="shared" si="12"/>
        <v/>
      </c>
      <c r="T220" s="16" t="str">
        <f t="shared" si="13"/>
        <v/>
      </c>
      <c r="V220" s="16" t="str">
        <f t="shared" si="14"/>
        <v/>
      </c>
    </row>
    <row r="221" spans="17:22" x14ac:dyDescent="0.15">
      <c r="Q221" s="75" t="str">
        <f t="shared" si="12"/>
        <v/>
      </c>
      <c r="T221" s="16" t="str">
        <f t="shared" si="13"/>
        <v/>
      </c>
      <c r="V221" s="16" t="str">
        <f t="shared" si="14"/>
        <v/>
      </c>
    </row>
    <row r="222" spans="17:22" x14ac:dyDescent="0.15">
      <c r="Q222" s="75" t="str">
        <f t="shared" si="12"/>
        <v/>
      </c>
      <c r="T222" s="16" t="str">
        <f t="shared" si="13"/>
        <v/>
      </c>
      <c r="V222" s="16" t="str">
        <f t="shared" si="14"/>
        <v/>
      </c>
    </row>
    <row r="223" spans="17:22" x14ac:dyDescent="0.15">
      <c r="Q223" s="75" t="str">
        <f t="shared" si="12"/>
        <v/>
      </c>
      <c r="T223" s="16" t="str">
        <f t="shared" si="13"/>
        <v/>
      </c>
      <c r="V223" s="16" t="str">
        <f t="shared" si="14"/>
        <v/>
      </c>
    </row>
    <row r="224" spans="17:22" x14ac:dyDescent="0.15">
      <c r="Q224" s="75" t="str">
        <f t="shared" si="12"/>
        <v/>
      </c>
      <c r="T224" s="16" t="str">
        <f t="shared" si="13"/>
        <v/>
      </c>
      <c r="V224" s="16" t="str">
        <f t="shared" si="14"/>
        <v/>
      </c>
    </row>
    <row r="225" spans="17:22" x14ac:dyDescent="0.15">
      <c r="Q225" s="75" t="str">
        <f t="shared" si="12"/>
        <v/>
      </c>
      <c r="T225" s="16" t="str">
        <f t="shared" si="13"/>
        <v/>
      </c>
      <c r="V225" s="16" t="str">
        <f t="shared" si="14"/>
        <v/>
      </c>
    </row>
    <row r="226" spans="17:22" x14ac:dyDescent="0.15">
      <c r="Q226" s="75" t="str">
        <f t="shared" si="12"/>
        <v/>
      </c>
      <c r="T226" s="16" t="str">
        <f t="shared" si="13"/>
        <v/>
      </c>
      <c r="V226" s="16" t="str">
        <f t="shared" si="14"/>
        <v/>
      </c>
    </row>
    <row r="227" spans="17:22" x14ac:dyDescent="0.15">
      <c r="Q227" s="75" t="str">
        <f t="shared" si="12"/>
        <v/>
      </c>
      <c r="T227" s="16" t="str">
        <f t="shared" si="13"/>
        <v/>
      </c>
      <c r="V227" s="16" t="str">
        <f t="shared" si="14"/>
        <v/>
      </c>
    </row>
    <row r="228" spans="17:22" x14ac:dyDescent="0.15">
      <c r="Q228" s="75" t="str">
        <f t="shared" si="12"/>
        <v/>
      </c>
      <c r="T228" s="16" t="str">
        <f t="shared" si="13"/>
        <v/>
      </c>
      <c r="V228" s="16" t="str">
        <f t="shared" si="14"/>
        <v/>
      </c>
    </row>
    <row r="229" spans="17:22" x14ac:dyDescent="0.15">
      <c r="Q229" s="75" t="str">
        <f t="shared" si="12"/>
        <v/>
      </c>
      <c r="T229" s="16" t="str">
        <f t="shared" si="13"/>
        <v/>
      </c>
      <c r="V229" s="16" t="str">
        <f t="shared" si="14"/>
        <v/>
      </c>
    </row>
    <row r="230" spans="17:22" x14ac:dyDescent="0.15">
      <c r="Q230" s="75" t="str">
        <f t="shared" si="12"/>
        <v/>
      </c>
      <c r="T230" s="16" t="str">
        <f t="shared" si="13"/>
        <v/>
      </c>
      <c r="V230" s="16" t="str">
        <f t="shared" si="14"/>
        <v/>
      </c>
    </row>
    <row r="231" spans="17:22" x14ac:dyDescent="0.15">
      <c r="Q231" s="75" t="str">
        <f t="shared" si="12"/>
        <v/>
      </c>
      <c r="T231" s="16" t="str">
        <f t="shared" si="13"/>
        <v/>
      </c>
      <c r="V231" s="16" t="str">
        <f t="shared" si="14"/>
        <v/>
      </c>
    </row>
    <row r="232" spans="17:22" x14ac:dyDescent="0.15">
      <c r="Q232" s="75" t="str">
        <f t="shared" si="12"/>
        <v/>
      </c>
      <c r="T232" s="16" t="str">
        <f t="shared" si="13"/>
        <v/>
      </c>
      <c r="V232" s="16" t="str">
        <f t="shared" si="14"/>
        <v/>
      </c>
    </row>
    <row r="233" spans="17:22" x14ac:dyDescent="0.15">
      <c r="Q233" s="75" t="str">
        <f t="shared" si="12"/>
        <v/>
      </c>
      <c r="T233" s="16" t="str">
        <f t="shared" si="13"/>
        <v/>
      </c>
      <c r="V233" s="16" t="str">
        <f t="shared" si="14"/>
        <v/>
      </c>
    </row>
    <row r="234" spans="17:22" x14ac:dyDescent="0.15">
      <c r="Q234" s="75" t="str">
        <f t="shared" si="12"/>
        <v/>
      </c>
      <c r="T234" s="16" t="str">
        <f t="shared" si="13"/>
        <v/>
      </c>
      <c r="V234" s="16" t="str">
        <f t="shared" si="14"/>
        <v/>
      </c>
    </row>
    <row r="235" spans="17:22" x14ac:dyDescent="0.15">
      <c r="Q235" s="75" t="str">
        <f t="shared" si="12"/>
        <v/>
      </c>
      <c r="T235" s="16" t="str">
        <f t="shared" si="13"/>
        <v/>
      </c>
      <c r="V235" s="16" t="str">
        <f t="shared" si="14"/>
        <v/>
      </c>
    </row>
    <row r="236" spans="17:22" x14ac:dyDescent="0.15">
      <c r="Q236" s="75" t="str">
        <f t="shared" si="12"/>
        <v/>
      </c>
      <c r="T236" s="16" t="str">
        <f t="shared" si="13"/>
        <v/>
      </c>
      <c r="V236" s="16" t="str">
        <f t="shared" si="14"/>
        <v/>
      </c>
    </row>
    <row r="237" spans="17:22" x14ac:dyDescent="0.15">
      <c r="Q237" s="75" t="str">
        <f t="shared" si="12"/>
        <v/>
      </c>
      <c r="T237" s="16" t="str">
        <f t="shared" si="13"/>
        <v/>
      </c>
      <c r="V237" s="16" t="str">
        <f t="shared" si="14"/>
        <v/>
      </c>
    </row>
    <row r="238" spans="17:22" x14ac:dyDescent="0.15">
      <c r="Q238" s="75" t="str">
        <f t="shared" si="12"/>
        <v/>
      </c>
      <c r="T238" s="16" t="str">
        <f t="shared" si="13"/>
        <v/>
      </c>
      <c r="V238" s="16" t="str">
        <f t="shared" si="14"/>
        <v/>
      </c>
    </row>
    <row r="239" spans="17:22" x14ac:dyDescent="0.15">
      <c r="Q239" s="75" t="str">
        <f t="shared" si="12"/>
        <v/>
      </c>
      <c r="T239" s="16" t="str">
        <f t="shared" si="13"/>
        <v/>
      </c>
      <c r="V239" s="16" t="str">
        <f t="shared" si="14"/>
        <v/>
      </c>
    </row>
    <row r="240" spans="17:22" x14ac:dyDescent="0.15">
      <c r="Q240" s="75" t="str">
        <f t="shared" si="12"/>
        <v/>
      </c>
      <c r="T240" s="16" t="str">
        <f t="shared" si="13"/>
        <v/>
      </c>
      <c r="V240" s="16" t="str">
        <f t="shared" si="14"/>
        <v/>
      </c>
    </row>
    <row r="241" spans="17:22" x14ac:dyDescent="0.15">
      <c r="Q241" s="75" t="str">
        <f t="shared" si="12"/>
        <v/>
      </c>
      <c r="T241" s="16" t="str">
        <f t="shared" si="13"/>
        <v/>
      </c>
      <c r="V241" s="16" t="str">
        <f t="shared" si="14"/>
        <v/>
      </c>
    </row>
    <row r="242" spans="17:22" x14ac:dyDescent="0.15">
      <c r="Q242" s="75" t="str">
        <f t="shared" si="12"/>
        <v/>
      </c>
      <c r="T242" s="16" t="str">
        <f t="shared" si="13"/>
        <v/>
      </c>
      <c r="V242" s="16" t="str">
        <f t="shared" si="14"/>
        <v/>
      </c>
    </row>
    <row r="243" spans="17:22" x14ac:dyDescent="0.15">
      <c r="Q243" s="75" t="str">
        <f t="shared" si="12"/>
        <v/>
      </c>
      <c r="T243" s="16" t="str">
        <f t="shared" si="13"/>
        <v/>
      </c>
      <c r="V243" s="16" t="str">
        <f t="shared" si="14"/>
        <v/>
      </c>
    </row>
    <row r="244" spans="17:22" x14ac:dyDescent="0.15">
      <c r="Q244" s="75" t="str">
        <f t="shared" si="12"/>
        <v/>
      </c>
      <c r="T244" s="16" t="str">
        <f t="shared" si="13"/>
        <v/>
      </c>
      <c r="V244" s="16" t="str">
        <f t="shared" si="14"/>
        <v/>
      </c>
    </row>
    <row r="245" spans="17:22" x14ac:dyDescent="0.15">
      <c r="Q245" s="75" t="str">
        <f t="shared" si="12"/>
        <v/>
      </c>
      <c r="T245" s="16" t="str">
        <f t="shared" si="13"/>
        <v/>
      </c>
      <c r="V245" s="16" t="str">
        <f t="shared" si="14"/>
        <v/>
      </c>
    </row>
    <row r="246" spans="17:22" x14ac:dyDescent="0.15">
      <c r="Q246" s="75" t="str">
        <f t="shared" si="12"/>
        <v/>
      </c>
      <c r="T246" s="16" t="str">
        <f t="shared" si="13"/>
        <v/>
      </c>
      <c r="V246" s="16" t="str">
        <f t="shared" si="14"/>
        <v/>
      </c>
    </row>
    <row r="247" spans="17:22" x14ac:dyDescent="0.15">
      <c r="Q247" s="75" t="str">
        <f t="shared" si="12"/>
        <v/>
      </c>
      <c r="T247" s="16" t="str">
        <f t="shared" si="13"/>
        <v/>
      </c>
      <c r="V247" s="16" t="str">
        <f t="shared" si="14"/>
        <v/>
      </c>
    </row>
    <row r="248" spans="17:22" x14ac:dyDescent="0.15">
      <c r="Q248" s="75" t="str">
        <f t="shared" si="12"/>
        <v/>
      </c>
      <c r="T248" s="16" t="str">
        <f t="shared" si="13"/>
        <v/>
      </c>
      <c r="V248" s="16" t="str">
        <f t="shared" si="14"/>
        <v/>
      </c>
    </row>
    <row r="249" spans="17:22" x14ac:dyDescent="0.15">
      <c r="Q249" s="75" t="str">
        <f t="shared" si="12"/>
        <v/>
      </c>
      <c r="T249" s="16" t="str">
        <f t="shared" si="13"/>
        <v/>
      </c>
      <c r="V249" s="16" t="str">
        <f t="shared" si="14"/>
        <v/>
      </c>
    </row>
    <row r="250" spans="17:22" x14ac:dyDescent="0.15">
      <c r="Q250" s="75" t="str">
        <f t="shared" si="12"/>
        <v/>
      </c>
      <c r="T250" s="16" t="str">
        <f t="shared" si="13"/>
        <v/>
      </c>
      <c r="V250" s="16" t="str">
        <f t="shared" si="14"/>
        <v/>
      </c>
    </row>
    <row r="251" spans="17:22" x14ac:dyDescent="0.15">
      <c r="Q251" s="75" t="str">
        <f t="shared" si="12"/>
        <v/>
      </c>
      <c r="T251" s="16" t="str">
        <f t="shared" si="13"/>
        <v/>
      </c>
      <c r="V251" s="16" t="str">
        <f t="shared" si="14"/>
        <v/>
      </c>
    </row>
    <row r="252" spans="17:22" x14ac:dyDescent="0.15">
      <c r="Q252" s="75" t="str">
        <f t="shared" si="12"/>
        <v/>
      </c>
      <c r="T252" s="16" t="str">
        <f t="shared" si="13"/>
        <v/>
      </c>
      <c r="V252" s="16" t="str">
        <f t="shared" si="14"/>
        <v/>
      </c>
    </row>
    <row r="253" spans="17:22" x14ac:dyDescent="0.15">
      <c r="Q253" s="75" t="str">
        <f t="shared" si="12"/>
        <v/>
      </c>
      <c r="T253" s="16" t="str">
        <f t="shared" si="13"/>
        <v/>
      </c>
      <c r="V253" s="16" t="str">
        <f t="shared" si="14"/>
        <v/>
      </c>
    </row>
    <row r="254" spans="17:22" x14ac:dyDescent="0.15">
      <c r="Q254" s="75" t="str">
        <f t="shared" si="12"/>
        <v/>
      </c>
      <c r="T254" s="16" t="str">
        <f t="shared" si="13"/>
        <v/>
      </c>
      <c r="V254" s="16" t="str">
        <f t="shared" si="14"/>
        <v/>
      </c>
    </row>
    <row r="255" spans="17:22" x14ac:dyDescent="0.15">
      <c r="Q255" s="75" t="str">
        <f t="shared" si="12"/>
        <v/>
      </c>
      <c r="T255" s="16" t="str">
        <f t="shared" si="13"/>
        <v/>
      </c>
      <c r="V255" s="16" t="str">
        <f t="shared" si="14"/>
        <v/>
      </c>
    </row>
    <row r="256" spans="17:22" x14ac:dyDescent="0.15">
      <c r="Q256" s="75" t="str">
        <f t="shared" si="12"/>
        <v/>
      </c>
      <c r="T256" s="16" t="str">
        <f t="shared" si="13"/>
        <v/>
      </c>
      <c r="V256" s="16" t="str">
        <f t="shared" si="14"/>
        <v/>
      </c>
    </row>
    <row r="257" spans="17:22" x14ac:dyDescent="0.15">
      <c r="Q257" s="75" t="str">
        <f t="shared" si="12"/>
        <v/>
      </c>
      <c r="T257" s="16" t="str">
        <f t="shared" si="13"/>
        <v/>
      </c>
      <c r="V257" s="16" t="str">
        <f t="shared" si="14"/>
        <v/>
      </c>
    </row>
    <row r="258" spans="17:22" x14ac:dyDescent="0.15">
      <c r="Q258" s="75" t="str">
        <f t="shared" si="12"/>
        <v/>
      </c>
      <c r="T258" s="16" t="str">
        <f t="shared" si="13"/>
        <v/>
      </c>
      <c r="V258" s="16" t="str">
        <f t="shared" si="14"/>
        <v/>
      </c>
    </row>
    <row r="259" spans="17:22" x14ac:dyDescent="0.15">
      <c r="Q259" s="75" t="str">
        <f t="shared" si="12"/>
        <v/>
      </c>
      <c r="T259" s="16" t="str">
        <f t="shared" si="13"/>
        <v/>
      </c>
      <c r="V259" s="16" t="str">
        <f t="shared" si="14"/>
        <v/>
      </c>
    </row>
    <row r="260" spans="17:22" x14ac:dyDescent="0.15">
      <c r="Q260" s="75" t="str">
        <f t="shared" si="12"/>
        <v/>
      </c>
      <c r="T260" s="16" t="str">
        <f t="shared" si="13"/>
        <v/>
      </c>
      <c r="V260" s="16" t="str">
        <f t="shared" si="14"/>
        <v/>
      </c>
    </row>
    <row r="261" spans="17:22" x14ac:dyDescent="0.15">
      <c r="Q261" s="75" t="str">
        <f t="shared" si="12"/>
        <v/>
      </c>
      <c r="T261" s="16" t="str">
        <f t="shared" si="13"/>
        <v/>
      </c>
      <c r="V261" s="16" t="str">
        <f t="shared" si="14"/>
        <v/>
      </c>
    </row>
    <row r="262" spans="17:22" x14ac:dyDescent="0.15">
      <c r="Q262" s="75" t="str">
        <f t="shared" si="12"/>
        <v/>
      </c>
      <c r="T262" s="16" t="str">
        <f t="shared" si="13"/>
        <v/>
      </c>
      <c r="V262" s="16" t="str">
        <f t="shared" si="14"/>
        <v/>
      </c>
    </row>
    <row r="263" spans="17:22" x14ac:dyDescent="0.15">
      <c r="Q263" s="75" t="str">
        <f t="shared" si="12"/>
        <v/>
      </c>
      <c r="T263" s="16" t="str">
        <f t="shared" si="13"/>
        <v/>
      </c>
      <c r="V263" s="16" t="str">
        <f t="shared" si="14"/>
        <v/>
      </c>
    </row>
    <row r="264" spans="17:22" x14ac:dyDescent="0.15">
      <c r="Q264" s="75" t="str">
        <f t="shared" si="12"/>
        <v/>
      </c>
      <c r="T264" s="16" t="str">
        <f t="shared" si="13"/>
        <v/>
      </c>
      <c r="V264" s="16" t="str">
        <f t="shared" si="14"/>
        <v/>
      </c>
    </row>
    <row r="265" spans="17:22" x14ac:dyDescent="0.15">
      <c r="Q265" s="75" t="str">
        <f t="shared" si="12"/>
        <v/>
      </c>
      <c r="T265" s="16" t="str">
        <f t="shared" si="13"/>
        <v/>
      </c>
      <c r="V265" s="16" t="str">
        <f t="shared" si="14"/>
        <v/>
      </c>
    </row>
    <row r="266" spans="17:22" x14ac:dyDescent="0.15">
      <c r="Q266" s="75" t="str">
        <f t="shared" si="12"/>
        <v/>
      </c>
      <c r="T266" s="16" t="str">
        <f t="shared" si="13"/>
        <v/>
      </c>
      <c r="V266" s="16" t="str">
        <f t="shared" si="14"/>
        <v/>
      </c>
    </row>
    <row r="267" spans="17:22" x14ac:dyDescent="0.15">
      <c r="Q267" s="75" t="str">
        <f t="shared" si="12"/>
        <v/>
      </c>
      <c r="T267" s="16" t="str">
        <f t="shared" si="13"/>
        <v/>
      </c>
      <c r="V267" s="16" t="str">
        <f t="shared" si="14"/>
        <v/>
      </c>
    </row>
    <row r="268" spans="17:22" x14ac:dyDescent="0.15">
      <c r="Q268" s="75" t="str">
        <f t="shared" si="12"/>
        <v/>
      </c>
      <c r="T268" s="16" t="str">
        <f t="shared" si="13"/>
        <v/>
      </c>
      <c r="V268" s="16" t="str">
        <f t="shared" si="14"/>
        <v/>
      </c>
    </row>
    <row r="269" spans="17:22" x14ac:dyDescent="0.15">
      <c r="Q269" s="75" t="str">
        <f t="shared" si="12"/>
        <v/>
      </c>
      <c r="T269" s="16" t="str">
        <f t="shared" si="13"/>
        <v/>
      </c>
      <c r="V269" s="16" t="str">
        <f t="shared" si="14"/>
        <v/>
      </c>
    </row>
    <row r="270" spans="17:22" x14ac:dyDescent="0.15">
      <c r="Q270" s="75" t="str">
        <f t="shared" si="12"/>
        <v/>
      </c>
      <c r="T270" s="16" t="str">
        <f t="shared" si="13"/>
        <v/>
      </c>
      <c r="V270" s="16" t="str">
        <f t="shared" si="14"/>
        <v/>
      </c>
    </row>
    <row r="271" spans="17:22" x14ac:dyDescent="0.15">
      <c r="Q271" s="75" t="str">
        <f t="shared" si="12"/>
        <v/>
      </c>
      <c r="T271" s="16" t="str">
        <f t="shared" si="13"/>
        <v/>
      </c>
      <c r="V271" s="16" t="str">
        <f t="shared" si="14"/>
        <v/>
      </c>
    </row>
    <row r="272" spans="17:22" x14ac:dyDescent="0.15">
      <c r="Q272" s="75" t="str">
        <f t="shared" si="12"/>
        <v/>
      </c>
      <c r="T272" s="16" t="str">
        <f t="shared" si="13"/>
        <v/>
      </c>
      <c r="V272" s="16" t="str">
        <f t="shared" si="14"/>
        <v/>
      </c>
    </row>
    <row r="273" spans="17:22" x14ac:dyDescent="0.15">
      <c r="Q273" s="75" t="str">
        <f t="shared" si="12"/>
        <v/>
      </c>
      <c r="T273" s="16" t="str">
        <f t="shared" si="13"/>
        <v/>
      </c>
      <c r="V273" s="16" t="str">
        <f t="shared" si="14"/>
        <v/>
      </c>
    </row>
    <row r="274" spans="17:22" x14ac:dyDescent="0.15">
      <c r="Q274" s="75" t="str">
        <f t="shared" si="12"/>
        <v/>
      </c>
      <c r="T274" s="16" t="str">
        <f t="shared" si="13"/>
        <v/>
      </c>
      <c r="V274" s="16" t="str">
        <f t="shared" si="14"/>
        <v/>
      </c>
    </row>
    <row r="275" spans="17:22" x14ac:dyDescent="0.15">
      <c r="Q275" s="75" t="str">
        <f t="shared" si="12"/>
        <v/>
      </c>
      <c r="T275" s="16" t="str">
        <f t="shared" si="13"/>
        <v/>
      </c>
      <c r="V275" s="16" t="str">
        <f t="shared" si="14"/>
        <v/>
      </c>
    </row>
    <row r="276" spans="17:22" x14ac:dyDescent="0.15">
      <c r="Q276" s="75" t="str">
        <f t="shared" si="12"/>
        <v/>
      </c>
      <c r="T276" s="16" t="str">
        <f t="shared" si="13"/>
        <v/>
      </c>
      <c r="V276" s="16" t="str">
        <f t="shared" si="14"/>
        <v/>
      </c>
    </row>
    <row r="277" spans="17:22" x14ac:dyDescent="0.15">
      <c r="Q277" s="75" t="str">
        <f t="shared" si="12"/>
        <v/>
      </c>
      <c r="T277" s="16" t="str">
        <f t="shared" si="13"/>
        <v/>
      </c>
      <c r="V277" s="16" t="str">
        <f t="shared" si="14"/>
        <v/>
      </c>
    </row>
    <row r="278" spans="17:22" x14ac:dyDescent="0.15">
      <c r="Q278" s="75" t="str">
        <f t="shared" si="12"/>
        <v/>
      </c>
      <c r="T278" s="16" t="str">
        <f t="shared" si="13"/>
        <v/>
      </c>
      <c r="V278" s="16" t="str">
        <f t="shared" si="14"/>
        <v/>
      </c>
    </row>
    <row r="279" spans="17:22" x14ac:dyDescent="0.15">
      <c r="Q279" s="75" t="str">
        <f t="shared" si="12"/>
        <v/>
      </c>
      <c r="T279" s="16" t="str">
        <f t="shared" si="13"/>
        <v/>
      </c>
      <c r="V279" s="16" t="str">
        <f t="shared" si="14"/>
        <v/>
      </c>
    </row>
    <row r="280" spans="17:22" x14ac:dyDescent="0.15">
      <c r="Q280" s="75" t="str">
        <f t="shared" ref="Q280:Q343" si="15">IF(OR(O280="",P280=""),"",AVERAGE(O280,P280))</f>
        <v/>
      </c>
      <c r="T280" s="16" t="str">
        <f t="shared" ref="T280:T343" si="16">IF(H280="","",IF(OR(H280="GREEN",H280="GK"),IF(S280&gt;=$AX$2,VLOOKUP(S280,$AX$2:$AY$10,2,1),""),IF(S280&gt;=$AZ$2,VLOOKUP(S280,$AZ$2:$BA$10,2,1),"")))</f>
        <v/>
      </c>
      <c r="V280" s="16" t="str">
        <f t="shared" ref="V280:V343" si="17">IF(OR(N280="",U280="",T280=""),"",U280/N280*T280)</f>
        <v/>
      </c>
    </row>
    <row r="281" spans="17:22" x14ac:dyDescent="0.15">
      <c r="Q281" s="75" t="str">
        <f t="shared" si="15"/>
        <v/>
      </c>
      <c r="T281" s="16" t="str">
        <f t="shared" si="16"/>
        <v/>
      </c>
      <c r="V281" s="16" t="str">
        <f t="shared" si="17"/>
        <v/>
      </c>
    </row>
    <row r="282" spans="17:22" x14ac:dyDescent="0.15">
      <c r="Q282" s="75" t="str">
        <f t="shared" si="15"/>
        <v/>
      </c>
      <c r="T282" s="16" t="str">
        <f t="shared" si="16"/>
        <v/>
      </c>
      <c r="V282" s="16" t="str">
        <f t="shared" si="17"/>
        <v/>
      </c>
    </row>
    <row r="283" spans="17:22" x14ac:dyDescent="0.15">
      <c r="Q283" s="75" t="str">
        <f t="shared" si="15"/>
        <v/>
      </c>
      <c r="T283" s="16" t="str">
        <f t="shared" si="16"/>
        <v/>
      </c>
      <c r="V283" s="16" t="str">
        <f t="shared" si="17"/>
        <v/>
      </c>
    </row>
    <row r="284" spans="17:22" x14ac:dyDescent="0.15">
      <c r="Q284" s="75" t="str">
        <f t="shared" si="15"/>
        <v/>
      </c>
      <c r="T284" s="16" t="str">
        <f t="shared" si="16"/>
        <v/>
      </c>
      <c r="V284" s="16" t="str">
        <f t="shared" si="17"/>
        <v/>
      </c>
    </row>
    <row r="285" spans="17:22" x14ac:dyDescent="0.15">
      <c r="Q285" s="75" t="str">
        <f t="shared" si="15"/>
        <v/>
      </c>
      <c r="T285" s="16" t="str">
        <f t="shared" si="16"/>
        <v/>
      </c>
      <c r="V285" s="16" t="str">
        <f t="shared" si="17"/>
        <v/>
      </c>
    </row>
    <row r="286" spans="17:22" x14ac:dyDescent="0.15">
      <c r="Q286" s="75" t="str">
        <f t="shared" si="15"/>
        <v/>
      </c>
      <c r="T286" s="16" t="str">
        <f t="shared" si="16"/>
        <v/>
      </c>
      <c r="V286" s="16" t="str">
        <f t="shared" si="17"/>
        <v/>
      </c>
    </row>
    <row r="287" spans="17:22" x14ac:dyDescent="0.15">
      <c r="Q287" s="75" t="str">
        <f t="shared" si="15"/>
        <v/>
      </c>
      <c r="T287" s="16" t="str">
        <f t="shared" si="16"/>
        <v/>
      </c>
      <c r="V287" s="16" t="str">
        <f t="shared" si="17"/>
        <v/>
      </c>
    </row>
    <row r="288" spans="17:22" x14ac:dyDescent="0.15">
      <c r="Q288" s="75" t="str">
        <f t="shared" si="15"/>
        <v/>
      </c>
      <c r="T288" s="16" t="str">
        <f t="shared" si="16"/>
        <v/>
      </c>
      <c r="V288" s="16" t="str">
        <f t="shared" si="17"/>
        <v/>
      </c>
    </row>
    <row r="289" spans="17:22" x14ac:dyDescent="0.15">
      <c r="Q289" s="75" t="str">
        <f t="shared" si="15"/>
        <v/>
      </c>
      <c r="T289" s="16" t="str">
        <f t="shared" si="16"/>
        <v/>
      </c>
      <c r="V289" s="16" t="str">
        <f t="shared" si="17"/>
        <v/>
      </c>
    </row>
    <row r="290" spans="17:22" x14ac:dyDescent="0.15">
      <c r="Q290" s="75" t="str">
        <f t="shared" si="15"/>
        <v/>
      </c>
      <c r="T290" s="16" t="str">
        <f t="shared" si="16"/>
        <v/>
      </c>
      <c r="V290" s="16" t="str">
        <f t="shared" si="17"/>
        <v/>
      </c>
    </row>
    <row r="291" spans="17:22" x14ac:dyDescent="0.15">
      <c r="Q291" s="75" t="str">
        <f t="shared" si="15"/>
        <v/>
      </c>
      <c r="T291" s="16" t="str">
        <f t="shared" si="16"/>
        <v/>
      </c>
      <c r="V291" s="16" t="str">
        <f t="shared" si="17"/>
        <v/>
      </c>
    </row>
    <row r="292" spans="17:22" x14ac:dyDescent="0.15">
      <c r="Q292" s="75" t="str">
        <f t="shared" si="15"/>
        <v/>
      </c>
      <c r="T292" s="16" t="str">
        <f t="shared" si="16"/>
        <v/>
      </c>
      <c r="V292" s="16" t="str">
        <f t="shared" si="17"/>
        <v/>
      </c>
    </row>
    <row r="293" spans="17:22" x14ac:dyDescent="0.15">
      <c r="Q293" s="75" t="str">
        <f t="shared" si="15"/>
        <v/>
      </c>
      <c r="T293" s="16" t="str">
        <f t="shared" si="16"/>
        <v/>
      </c>
      <c r="V293" s="16" t="str">
        <f t="shared" si="17"/>
        <v/>
      </c>
    </row>
    <row r="294" spans="17:22" x14ac:dyDescent="0.15">
      <c r="Q294" s="75" t="str">
        <f t="shared" si="15"/>
        <v/>
      </c>
      <c r="T294" s="16" t="str">
        <f t="shared" si="16"/>
        <v/>
      </c>
      <c r="V294" s="16" t="str">
        <f t="shared" si="17"/>
        <v/>
      </c>
    </row>
    <row r="295" spans="17:22" x14ac:dyDescent="0.15">
      <c r="Q295" s="75" t="str">
        <f t="shared" si="15"/>
        <v/>
      </c>
      <c r="T295" s="16" t="str">
        <f t="shared" si="16"/>
        <v/>
      </c>
      <c r="V295" s="16" t="str">
        <f t="shared" si="17"/>
        <v/>
      </c>
    </row>
    <row r="296" spans="17:22" x14ac:dyDescent="0.15">
      <c r="Q296" s="75" t="str">
        <f t="shared" si="15"/>
        <v/>
      </c>
      <c r="T296" s="16" t="str">
        <f t="shared" si="16"/>
        <v/>
      </c>
      <c r="V296" s="16" t="str">
        <f t="shared" si="17"/>
        <v/>
      </c>
    </row>
    <row r="297" spans="17:22" x14ac:dyDescent="0.15">
      <c r="Q297" s="75" t="str">
        <f t="shared" si="15"/>
        <v/>
      </c>
      <c r="T297" s="16" t="str">
        <f t="shared" si="16"/>
        <v/>
      </c>
      <c r="V297" s="16" t="str">
        <f t="shared" si="17"/>
        <v/>
      </c>
    </row>
    <row r="298" spans="17:22" x14ac:dyDescent="0.15">
      <c r="Q298" s="75" t="str">
        <f t="shared" si="15"/>
        <v/>
      </c>
      <c r="T298" s="16" t="str">
        <f t="shared" si="16"/>
        <v/>
      </c>
      <c r="V298" s="16" t="str">
        <f t="shared" si="17"/>
        <v/>
      </c>
    </row>
    <row r="299" spans="17:22" x14ac:dyDescent="0.15">
      <c r="Q299" s="75" t="str">
        <f t="shared" si="15"/>
        <v/>
      </c>
      <c r="T299" s="16" t="str">
        <f t="shared" si="16"/>
        <v/>
      </c>
      <c r="V299" s="16" t="str">
        <f t="shared" si="17"/>
        <v/>
      </c>
    </row>
    <row r="300" spans="17:22" x14ac:dyDescent="0.15">
      <c r="Q300" s="75" t="str">
        <f t="shared" si="15"/>
        <v/>
      </c>
      <c r="T300" s="16" t="str">
        <f t="shared" si="16"/>
        <v/>
      </c>
      <c r="V300" s="16" t="str">
        <f t="shared" si="17"/>
        <v/>
      </c>
    </row>
    <row r="301" spans="17:22" x14ac:dyDescent="0.15">
      <c r="Q301" s="75" t="str">
        <f t="shared" si="15"/>
        <v/>
      </c>
      <c r="T301" s="16" t="str">
        <f t="shared" si="16"/>
        <v/>
      </c>
      <c r="V301" s="16" t="str">
        <f t="shared" si="17"/>
        <v/>
      </c>
    </row>
    <row r="302" spans="17:22" x14ac:dyDescent="0.15">
      <c r="Q302" s="75" t="str">
        <f t="shared" si="15"/>
        <v/>
      </c>
      <c r="T302" s="16" t="str">
        <f t="shared" si="16"/>
        <v/>
      </c>
      <c r="V302" s="16" t="str">
        <f t="shared" si="17"/>
        <v/>
      </c>
    </row>
    <row r="303" spans="17:22" x14ac:dyDescent="0.15">
      <c r="Q303" s="75" t="str">
        <f t="shared" si="15"/>
        <v/>
      </c>
      <c r="T303" s="16" t="str">
        <f t="shared" si="16"/>
        <v/>
      </c>
      <c r="V303" s="16" t="str">
        <f t="shared" si="17"/>
        <v/>
      </c>
    </row>
    <row r="304" spans="17:22" x14ac:dyDescent="0.15">
      <c r="Q304" s="75" t="str">
        <f t="shared" si="15"/>
        <v/>
      </c>
      <c r="T304" s="16" t="str">
        <f t="shared" si="16"/>
        <v/>
      </c>
      <c r="V304" s="16" t="str">
        <f t="shared" si="17"/>
        <v/>
      </c>
    </row>
    <row r="305" spans="17:22" x14ac:dyDescent="0.15">
      <c r="Q305" s="75" t="str">
        <f t="shared" si="15"/>
        <v/>
      </c>
      <c r="T305" s="16" t="str">
        <f t="shared" si="16"/>
        <v/>
      </c>
      <c r="V305" s="16" t="str">
        <f t="shared" si="17"/>
        <v/>
      </c>
    </row>
    <row r="306" spans="17:22" x14ac:dyDescent="0.15">
      <c r="Q306" s="75" t="str">
        <f t="shared" si="15"/>
        <v/>
      </c>
      <c r="T306" s="16" t="str">
        <f t="shared" si="16"/>
        <v/>
      </c>
      <c r="V306" s="16" t="str">
        <f t="shared" si="17"/>
        <v/>
      </c>
    </row>
    <row r="307" spans="17:22" x14ac:dyDescent="0.15">
      <c r="Q307" s="75" t="str">
        <f t="shared" si="15"/>
        <v/>
      </c>
      <c r="T307" s="16" t="str">
        <f t="shared" si="16"/>
        <v/>
      </c>
      <c r="V307" s="16" t="str">
        <f t="shared" si="17"/>
        <v/>
      </c>
    </row>
    <row r="308" spans="17:22" x14ac:dyDescent="0.15">
      <c r="Q308" s="75" t="str">
        <f t="shared" si="15"/>
        <v/>
      </c>
      <c r="T308" s="16" t="str">
        <f t="shared" si="16"/>
        <v/>
      </c>
      <c r="V308" s="16" t="str">
        <f t="shared" si="17"/>
        <v/>
      </c>
    </row>
    <row r="309" spans="17:22" x14ac:dyDescent="0.15">
      <c r="Q309" s="75" t="str">
        <f t="shared" si="15"/>
        <v/>
      </c>
      <c r="T309" s="16" t="str">
        <f t="shared" si="16"/>
        <v/>
      </c>
      <c r="V309" s="16" t="str">
        <f t="shared" si="17"/>
        <v/>
      </c>
    </row>
    <row r="310" spans="17:22" x14ac:dyDescent="0.15">
      <c r="Q310" s="75" t="str">
        <f t="shared" si="15"/>
        <v/>
      </c>
      <c r="T310" s="16" t="str">
        <f t="shared" si="16"/>
        <v/>
      </c>
      <c r="V310" s="16" t="str">
        <f t="shared" si="17"/>
        <v/>
      </c>
    </row>
    <row r="311" spans="17:22" x14ac:dyDescent="0.15">
      <c r="Q311" s="75" t="str">
        <f t="shared" si="15"/>
        <v/>
      </c>
      <c r="T311" s="16" t="str">
        <f t="shared" si="16"/>
        <v/>
      </c>
      <c r="V311" s="16" t="str">
        <f t="shared" si="17"/>
        <v/>
      </c>
    </row>
    <row r="312" spans="17:22" x14ac:dyDescent="0.15">
      <c r="Q312" s="75" t="str">
        <f t="shared" si="15"/>
        <v/>
      </c>
      <c r="T312" s="16" t="str">
        <f t="shared" si="16"/>
        <v/>
      </c>
      <c r="V312" s="16" t="str">
        <f t="shared" si="17"/>
        <v/>
      </c>
    </row>
    <row r="313" spans="17:22" x14ac:dyDescent="0.15">
      <c r="Q313" s="75" t="str">
        <f t="shared" si="15"/>
        <v/>
      </c>
      <c r="T313" s="16" t="str">
        <f t="shared" si="16"/>
        <v/>
      </c>
      <c r="V313" s="16" t="str">
        <f t="shared" si="17"/>
        <v/>
      </c>
    </row>
    <row r="314" spans="17:22" x14ac:dyDescent="0.15">
      <c r="Q314" s="75" t="str">
        <f t="shared" si="15"/>
        <v/>
      </c>
      <c r="T314" s="16" t="str">
        <f t="shared" si="16"/>
        <v/>
      </c>
      <c r="V314" s="16" t="str">
        <f t="shared" si="17"/>
        <v/>
      </c>
    </row>
    <row r="315" spans="17:22" x14ac:dyDescent="0.15">
      <c r="Q315" s="75" t="str">
        <f t="shared" si="15"/>
        <v/>
      </c>
      <c r="T315" s="16" t="str">
        <f t="shared" si="16"/>
        <v/>
      </c>
      <c r="V315" s="16" t="str">
        <f t="shared" si="17"/>
        <v/>
      </c>
    </row>
    <row r="316" spans="17:22" x14ac:dyDescent="0.15">
      <c r="Q316" s="75" t="str">
        <f t="shared" si="15"/>
        <v/>
      </c>
      <c r="T316" s="16" t="str">
        <f t="shared" si="16"/>
        <v/>
      </c>
      <c r="V316" s="16" t="str">
        <f t="shared" si="17"/>
        <v/>
      </c>
    </row>
    <row r="317" spans="17:22" x14ac:dyDescent="0.15">
      <c r="Q317" s="75" t="str">
        <f t="shared" si="15"/>
        <v/>
      </c>
      <c r="T317" s="16" t="str">
        <f t="shared" si="16"/>
        <v/>
      </c>
      <c r="V317" s="16" t="str">
        <f t="shared" si="17"/>
        <v/>
      </c>
    </row>
    <row r="318" spans="17:22" x14ac:dyDescent="0.15">
      <c r="Q318" s="75" t="str">
        <f t="shared" si="15"/>
        <v/>
      </c>
      <c r="T318" s="16" t="str">
        <f t="shared" si="16"/>
        <v/>
      </c>
      <c r="V318" s="16" t="str">
        <f t="shared" si="17"/>
        <v/>
      </c>
    </row>
    <row r="319" spans="17:22" x14ac:dyDescent="0.15">
      <c r="Q319" s="75" t="str">
        <f t="shared" si="15"/>
        <v/>
      </c>
      <c r="T319" s="16" t="str">
        <f t="shared" si="16"/>
        <v/>
      </c>
      <c r="V319" s="16" t="str">
        <f t="shared" si="17"/>
        <v/>
      </c>
    </row>
    <row r="320" spans="17:22" x14ac:dyDescent="0.15">
      <c r="Q320" s="75" t="str">
        <f t="shared" si="15"/>
        <v/>
      </c>
      <c r="T320" s="16" t="str">
        <f t="shared" si="16"/>
        <v/>
      </c>
      <c r="V320" s="16" t="str">
        <f t="shared" si="17"/>
        <v/>
      </c>
    </row>
    <row r="321" spans="17:22" x14ac:dyDescent="0.15">
      <c r="Q321" s="75" t="str">
        <f t="shared" si="15"/>
        <v/>
      </c>
      <c r="T321" s="16" t="str">
        <f t="shared" si="16"/>
        <v/>
      </c>
      <c r="V321" s="16" t="str">
        <f t="shared" si="17"/>
        <v/>
      </c>
    </row>
    <row r="322" spans="17:22" x14ac:dyDescent="0.15">
      <c r="Q322" s="75" t="str">
        <f t="shared" si="15"/>
        <v/>
      </c>
      <c r="T322" s="16" t="str">
        <f t="shared" si="16"/>
        <v/>
      </c>
      <c r="V322" s="16" t="str">
        <f t="shared" si="17"/>
        <v/>
      </c>
    </row>
    <row r="323" spans="17:22" x14ac:dyDescent="0.15">
      <c r="Q323" s="75" t="str">
        <f t="shared" si="15"/>
        <v/>
      </c>
      <c r="T323" s="16" t="str">
        <f t="shared" si="16"/>
        <v/>
      </c>
      <c r="V323" s="16" t="str">
        <f t="shared" si="17"/>
        <v/>
      </c>
    </row>
    <row r="324" spans="17:22" x14ac:dyDescent="0.15">
      <c r="Q324" s="75" t="str">
        <f t="shared" si="15"/>
        <v/>
      </c>
      <c r="T324" s="16" t="str">
        <f t="shared" si="16"/>
        <v/>
      </c>
      <c r="V324" s="16" t="str">
        <f t="shared" si="17"/>
        <v/>
      </c>
    </row>
    <row r="325" spans="17:22" x14ac:dyDescent="0.15">
      <c r="Q325" s="75" t="str">
        <f t="shared" si="15"/>
        <v/>
      </c>
      <c r="T325" s="16" t="str">
        <f t="shared" si="16"/>
        <v/>
      </c>
      <c r="V325" s="16" t="str">
        <f t="shared" si="17"/>
        <v/>
      </c>
    </row>
    <row r="326" spans="17:22" x14ac:dyDescent="0.15">
      <c r="Q326" s="75" t="str">
        <f t="shared" si="15"/>
        <v/>
      </c>
      <c r="T326" s="16" t="str">
        <f t="shared" si="16"/>
        <v/>
      </c>
      <c r="V326" s="16" t="str">
        <f t="shared" si="17"/>
        <v/>
      </c>
    </row>
    <row r="327" spans="17:22" x14ac:dyDescent="0.15">
      <c r="Q327" s="75" t="str">
        <f t="shared" si="15"/>
        <v/>
      </c>
      <c r="T327" s="16" t="str">
        <f t="shared" si="16"/>
        <v/>
      </c>
      <c r="V327" s="16" t="str">
        <f t="shared" si="17"/>
        <v/>
      </c>
    </row>
    <row r="328" spans="17:22" x14ac:dyDescent="0.15">
      <c r="Q328" s="75" t="str">
        <f t="shared" si="15"/>
        <v/>
      </c>
      <c r="T328" s="16" t="str">
        <f t="shared" si="16"/>
        <v/>
      </c>
      <c r="V328" s="16" t="str">
        <f t="shared" si="17"/>
        <v/>
      </c>
    </row>
    <row r="329" spans="17:22" x14ac:dyDescent="0.15">
      <c r="Q329" s="75" t="str">
        <f t="shared" si="15"/>
        <v/>
      </c>
      <c r="T329" s="16" t="str">
        <f t="shared" si="16"/>
        <v/>
      </c>
      <c r="V329" s="16" t="str">
        <f t="shared" si="17"/>
        <v/>
      </c>
    </row>
    <row r="330" spans="17:22" x14ac:dyDescent="0.15">
      <c r="Q330" s="75" t="str">
        <f t="shared" si="15"/>
        <v/>
      </c>
      <c r="T330" s="16" t="str">
        <f t="shared" si="16"/>
        <v/>
      </c>
      <c r="V330" s="16" t="str">
        <f t="shared" si="17"/>
        <v/>
      </c>
    </row>
    <row r="331" spans="17:22" x14ac:dyDescent="0.15">
      <c r="Q331" s="75" t="str">
        <f t="shared" si="15"/>
        <v/>
      </c>
      <c r="T331" s="16" t="str">
        <f t="shared" si="16"/>
        <v/>
      </c>
      <c r="V331" s="16" t="str">
        <f t="shared" si="17"/>
        <v/>
      </c>
    </row>
    <row r="332" spans="17:22" x14ac:dyDescent="0.15">
      <c r="Q332" s="75" t="str">
        <f t="shared" si="15"/>
        <v/>
      </c>
      <c r="T332" s="16" t="str">
        <f t="shared" si="16"/>
        <v/>
      </c>
      <c r="V332" s="16" t="str">
        <f t="shared" si="17"/>
        <v/>
      </c>
    </row>
    <row r="333" spans="17:22" x14ac:dyDescent="0.15">
      <c r="Q333" s="75" t="str">
        <f t="shared" si="15"/>
        <v/>
      </c>
      <c r="T333" s="16" t="str">
        <f t="shared" si="16"/>
        <v/>
      </c>
      <c r="V333" s="16" t="str">
        <f t="shared" si="17"/>
        <v/>
      </c>
    </row>
    <row r="334" spans="17:22" x14ac:dyDescent="0.15">
      <c r="Q334" s="75" t="str">
        <f t="shared" si="15"/>
        <v/>
      </c>
      <c r="T334" s="16" t="str">
        <f t="shared" si="16"/>
        <v/>
      </c>
      <c r="V334" s="16" t="str">
        <f t="shared" si="17"/>
        <v/>
      </c>
    </row>
    <row r="335" spans="17:22" x14ac:dyDescent="0.15">
      <c r="Q335" s="75" t="str">
        <f t="shared" si="15"/>
        <v/>
      </c>
      <c r="T335" s="16" t="str">
        <f t="shared" si="16"/>
        <v/>
      </c>
      <c r="V335" s="16" t="str">
        <f t="shared" si="17"/>
        <v/>
      </c>
    </row>
    <row r="336" spans="17:22" x14ac:dyDescent="0.15">
      <c r="Q336" s="75" t="str">
        <f t="shared" si="15"/>
        <v/>
      </c>
      <c r="T336" s="16" t="str">
        <f t="shared" si="16"/>
        <v/>
      </c>
      <c r="V336" s="16" t="str">
        <f t="shared" si="17"/>
        <v/>
      </c>
    </row>
    <row r="337" spans="17:22" x14ac:dyDescent="0.15">
      <c r="Q337" s="75" t="str">
        <f t="shared" si="15"/>
        <v/>
      </c>
      <c r="T337" s="16" t="str">
        <f t="shared" si="16"/>
        <v/>
      </c>
      <c r="V337" s="16" t="str">
        <f t="shared" si="17"/>
        <v/>
      </c>
    </row>
    <row r="338" spans="17:22" x14ac:dyDescent="0.15">
      <c r="Q338" s="75" t="str">
        <f t="shared" si="15"/>
        <v/>
      </c>
      <c r="T338" s="16" t="str">
        <f t="shared" si="16"/>
        <v/>
      </c>
      <c r="V338" s="16" t="str">
        <f t="shared" si="17"/>
        <v/>
      </c>
    </row>
    <row r="339" spans="17:22" x14ac:dyDescent="0.15">
      <c r="Q339" s="75" t="str">
        <f t="shared" si="15"/>
        <v/>
      </c>
      <c r="T339" s="16" t="str">
        <f t="shared" si="16"/>
        <v/>
      </c>
      <c r="V339" s="16" t="str">
        <f t="shared" si="17"/>
        <v/>
      </c>
    </row>
    <row r="340" spans="17:22" x14ac:dyDescent="0.15">
      <c r="Q340" s="75" t="str">
        <f t="shared" si="15"/>
        <v/>
      </c>
      <c r="T340" s="16" t="str">
        <f t="shared" si="16"/>
        <v/>
      </c>
      <c r="V340" s="16" t="str">
        <f t="shared" si="17"/>
        <v/>
      </c>
    </row>
    <row r="341" spans="17:22" x14ac:dyDescent="0.15">
      <c r="Q341" s="75" t="str">
        <f t="shared" si="15"/>
        <v/>
      </c>
      <c r="T341" s="16" t="str">
        <f t="shared" si="16"/>
        <v/>
      </c>
      <c r="V341" s="16" t="str">
        <f t="shared" si="17"/>
        <v/>
      </c>
    </row>
    <row r="342" spans="17:22" x14ac:dyDescent="0.15">
      <c r="Q342" s="75" t="str">
        <f t="shared" si="15"/>
        <v/>
      </c>
      <c r="T342" s="16" t="str">
        <f t="shared" si="16"/>
        <v/>
      </c>
      <c r="V342" s="16" t="str">
        <f t="shared" si="17"/>
        <v/>
      </c>
    </row>
    <row r="343" spans="17:22" x14ac:dyDescent="0.15">
      <c r="Q343" s="75" t="str">
        <f t="shared" si="15"/>
        <v/>
      </c>
      <c r="T343" s="16" t="str">
        <f t="shared" si="16"/>
        <v/>
      </c>
      <c r="V343" s="16" t="str">
        <f t="shared" si="17"/>
        <v/>
      </c>
    </row>
    <row r="344" spans="17:22" x14ac:dyDescent="0.15">
      <c r="Q344" s="75" t="str">
        <f t="shared" ref="Q344:Q402" si="18">IF(OR(O344="",P344=""),"",AVERAGE(O344,P344))</f>
        <v/>
      </c>
      <c r="T344" s="16" t="str">
        <f t="shared" ref="T344:T402" si="19">IF(H344="","",IF(OR(H344="GREEN",H344="GK"),IF(S344&gt;=$AX$2,VLOOKUP(S344,$AX$2:$AY$10,2,1),""),IF(S344&gt;=$AZ$2,VLOOKUP(S344,$AZ$2:$BA$10,2,1),"")))</f>
        <v/>
      </c>
      <c r="V344" s="16" t="str">
        <f t="shared" ref="V344:V407" si="20">IF(OR(N344="",U344="",T344=""),"",U344/N344*T344)</f>
        <v/>
      </c>
    </row>
    <row r="345" spans="17:22" x14ac:dyDescent="0.15">
      <c r="Q345" s="75" t="str">
        <f t="shared" si="18"/>
        <v/>
      </c>
      <c r="T345" s="16" t="str">
        <f t="shared" si="19"/>
        <v/>
      </c>
      <c r="V345" s="16" t="str">
        <f t="shared" si="20"/>
        <v/>
      </c>
    </row>
    <row r="346" spans="17:22" x14ac:dyDescent="0.15">
      <c r="Q346" s="75" t="str">
        <f t="shared" si="18"/>
        <v/>
      </c>
      <c r="T346" s="16" t="str">
        <f t="shared" si="19"/>
        <v/>
      </c>
      <c r="V346" s="16" t="str">
        <f t="shared" si="20"/>
        <v/>
      </c>
    </row>
    <row r="347" spans="17:22" x14ac:dyDescent="0.15">
      <c r="Q347" s="75" t="str">
        <f t="shared" si="18"/>
        <v/>
      </c>
      <c r="T347" s="16" t="str">
        <f t="shared" si="19"/>
        <v/>
      </c>
      <c r="V347" s="16" t="str">
        <f t="shared" si="20"/>
        <v/>
      </c>
    </row>
    <row r="348" spans="17:22" x14ac:dyDescent="0.15">
      <c r="Q348" s="75" t="str">
        <f t="shared" si="18"/>
        <v/>
      </c>
      <c r="T348" s="16" t="str">
        <f t="shared" si="19"/>
        <v/>
      </c>
      <c r="V348" s="16" t="str">
        <f t="shared" si="20"/>
        <v/>
      </c>
    </row>
    <row r="349" spans="17:22" x14ac:dyDescent="0.15">
      <c r="Q349" s="75" t="str">
        <f t="shared" si="18"/>
        <v/>
      </c>
      <c r="T349" s="16" t="str">
        <f t="shared" si="19"/>
        <v/>
      </c>
      <c r="V349" s="16" t="str">
        <f t="shared" si="20"/>
        <v/>
      </c>
    </row>
    <row r="350" spans="17:22" x14ac:dyDescent="0.15">
      <c r="Q350" s="75" t="str">
        <f t="shared" si="18"/>
        <v/>
      </c>
      <c r="T350" s="16" t="str">
        <f t="shared" si="19"/>
        <v/>
      </c>
      <c r="V350" s="16" t="str">
        <f t="shared" si="20"/>
        <v/>
      </c>
    </row>
    <row r="351" spans="17:22" x14ac:dyDescent="0.15">
      <c r="Q351" s="75" t="str">
        <f t="shared" si="18"/>
        <v/>
      </c>
      <c r="T351" s="16" t="str">
        <f t="shared" si="19"/>
        <v/>
      </c>
      <c r="V351" s="16" t="str">
        <f t="shared" si="20"/>
        <v/>
      </c>
    </row>
    <row r="352" spans="17:22" x14ac:dyDescent="0.15">
      <c r="Q352" s="75" t="str">
        <f t="shared" si="18"/>
        <v/>
      </c>
      <c r="T352" s="16" t="str">
        <f t="shared" si="19"/>
        <v/>
      </c>
      <c r="V352" s="16" t="str">
        <f t="shared" si="20"/>
        <v/>
      </c>
    </row>
    <row r="353" spans="17:22" x14ac:dyDescent="0.15">
      <c r="Q353" s="75" t="str">
        <f t="shared" si="18"/>
        <v/>
      </c>
      <c r="T353" s="16" t="str">
        <f t="shared" si="19"/>
        <v/>
      </c>
      <c r="V353" s="16" t="str">
        <f t="shared" si="20"/>
        <v/>
      </c>
    </row>
    <row r="354" spans="17:22" x14ac:dyDescent="0.15">
      <c r="T354" s="16" t="str">
        <f t="shared" si="19"/>
        <v/>
      </c>
      <c r="V354" s="16" t="str">
        <f t="shared" si="20"/>
        <v/>
      </c>
    </row>
    <row r="355" spans="17:22" x14ac:dyDescent="0.15">
      <c r="T355" s="16" t="str">
        <f t="shared" si="19"/>
        <v/>
      </c>
      <c r="V355" s="16" t="str">
        <f t="shared" si="20"/>
        <v/>
      </c>
    </row>
    <row r="356" spans="17:22" x14ac:dyDescent="0.15">
      <c r="T356" s="16" t="str">
        <f t="shared" si="19"/>
        <v/>
      </c>
      <c r="V356" s="16" t="str">
        <f t="shared" si="20"/>
        <v/>
      </c>
    </row>
    <row r="357" spans="17:22" x14ac:dyDescent="0.15">
      <c r="T357" s="16" t="str">
        <f t="shared" si="19"/>
        <v/>
      </c>
      <c r="V357" s="16" t="str">
        <f t="shared" si="20"/>
        <v/>
      </c>
    </row>
    <row r="358" spans="17:22" x14ac:dyDescent="0.15">
      <c r="T358" s="16" t="str">
        <f t="shared" si="19"/>
        <v/>
      </c>
      <c r="V358" s="16" t="str">
        <f t="shared" si="20"/>
        <v/>
      </c>
    </row>
    <row r="359" spans="17:22" x14ac:dyDescent="0.15">
      <c r="T359" s="16" t="str">
        <f t="shared" si="19"/>
        <v/>
      </c>
      <c r="V359" s="16" t="str">
        <f t="shared" si="20"/>
        <v/>
      </c>
    </row>
    <row r="360" spans="17:22" x14ac:dyDescent="0.15">
      <c r="T360" s="16" t="str">
        <f t="shared" si="19"/>
        <v/>
      </c>
      <c r="V360" s="16" t="str">
        <f t="shared" si="20"/>
        <v/>
      </c>
    </row>
    <row r="361" spans="17:22" x14ac:dyDescent="0.15">
      <c r="T361" s="16" t="str">
        <f t="shared" si="19"/>
        <v/>
      </c>
      <c r="V361" s="16" t="str">
        <f t="shared" si="20"/>
        <v/>
      </c>
    </row>
    <row r="362" spans="17:22" x14ac:dyDescent="0.15">
      <c r="T362" s="16" t="str">
        <f t="shared" si="19"/>
        <v/>
      </c>
    </row>
    <row r="363" spans="17:22" x14ac:dyDescent="0.15">
      <c r="T363" s="16" t="str">
        <f t="shared" si="19"/>
        <v/>
      </c>
    </row>
    <row r="364" spans="17:22" x14ac:dyDescent="0.15">
      <c r="T364" s="16" t="str">
        <f t="shared" si="19"/>
        <v/>
      </c>
    </row>
    <row r="365" spans="17:22" x14ac:dyDescent="0.15">
      <c r="T365" s="16" t="str">
        <f t="shared" si="19"/>
        <v/>
      </c>
    </row>
    <row r="366" spans="17:22" x14ac:dyDescent="0.15">
      <c r="T366" s="16" t="str">
        <f t="shared" si="19"/>
        <v/>
      </c>
    </row>
    <row r="367" spans="17:22" x14ac:dyDescent="0.15">
      <c r="T367" s="16" t="str">
        <f t="shared" si="19"/>
        <v/>
      </c>
    </row>
    <row r="368" spans="17:22" x14ac:dyDescent="0.15">
      <c r="T368" s="16" t="str">
        <f t="shared" si="19"/>
        <v/>
      </c>
    </row>
    <row r="369" spans="20:20" x14ac:dyDescent="0.15">
      <c r="T369" s="16" t="str">
        <f t="shared" si="19"/>
        <v/>
      </c>
    </row>
    <row r="370" spans="20:20" x14ac:dyDescent="0.15">
      <c r="T370" s="16" t="str">
        <f t="shared" si="19"/>
        <v/>
      </c>
    </row>
    <row r="371" spans="20:20" x14ac:dyDescent="0.15">
      <c r="T371" s="16" t="str">
        <f t="shared" si="19"/>
        <v/>
      </c>
    </row>
    <row r="372" spans="20:20" x14ac:dyDescent="0.15">
      <c r="T372" s="16" t="str">
        <f t="shared" si="19"/>
        <v/>
      </c>
    </row>
    <row r="373" spans="20:20" x14ac:dyDescent="0.15">
      <c r="T373" s="16" t="str">
        <f t="shared" si="19"/>
        <v/>
      </c>
    </row>
    <row r="374" spans="20:20" x14ac:dyDescent="0.15">
      <c r="T374" s="16" t="str">
        <f t="shared" si="19"/>
        <v/>
      </c>
    </row>
    <row r="375" spans="20:20" x14ac:dyDescent="0.15">
      <c r="T375" s="16" t="str">
        <f t="shared" si="19"/>
        <v/>
      </c>
    </row>
    <row r="376" spans="20:20" x14ac:dyDescent="0.15">
      <c r="T376" s="16" t="str">
        <f t="shared" si="19"/>
        <v/>
      </c>
    </row>
    <row r="377" spans="20:20" x14ac:dyDescent="0.15">
      <c r="T377" s="16" t="str">
        <f t="shared" si="19"/>
        <v/>
      </c>
    </row>
    <row r="378" spans="20:20" x14ac:dyDescent="0.15">
      <c r="T378" s="16" t="str">
        <f t="shared" si="19"/>
        <v/>
      </c>
    </row>
    <row r="379" spans="20:20" x14ac:dyDescent="0.15">
      <c r="T379" s="16" t="str">
        <f t="shared" si="19"/>
        <v/>
      </c>
    </row>
    <row r="380" spans="20:20" x14ac:dyDescent="0.15">
      <c r="T380" s="16" t="str">
        <f t="shared" si="19"/>
        <v/>
      </c>
    </row>
    <row r="381" spans="20:20" x14ac:dyDescent="0.15">
      <c r="T381" s="16" t="str">
        <f t="shared" si="19"/>
        <v/>
      </c>
    </row>
  </sheetData>
  <autoFilter ref="A1:BA381" xr:uid="{00000000-0009-0000-0000-000001000000}"/>
  <phoneticPr fontId="3"/>
  <dataValidations count="14">
    <dataValidation type="list" allowBlank="1" showInputMessage="1" showErrorMessage="1" sqref="Y149:AA337" xr:uid="{45E8B0F9-EE45-497E-B7E3-75E990430A4C}">
      <formula1>$AV$2:$AV$16</formula1>
    </dataValidation>
    <dataValidation type="list" allowBlank="1" showInputMessage="1" showErrorMessage="1" sqref="K154:K337" xr:uid="{A9A4D51B-FBC3-46DD-8610-BED09CEFBDB7}">
      <formula1>$AR$2:$AR$19</formula1>
    </dataValidation>
    <dataValidation type="list" allowBlank="1" showInputMessage="1" showErrorMessage="1" sqref="X2:X337" xr:uid="{F01DB91B-3629-4145-9223-E85A428E7936}">
      <formula1>$AT$2:$AT$3</formula1>
    </dataValidation>
    <dataValidation type="decimal" allowBlank="1" showInputMessage="1" showErrorMessage="1" error="硬度を正しく入力して下さい。" sqref="O2:P337" xr:uid="{3663E5CD-EB9D-4ECD-9CCE-171574A466B7}">
      <formula1>0</formula1>
      <formula2>7</formula2>
    </dataValidation>
    <dataValidation type="list" allowBlank="1" showInputMessage="1" showErrorMessage="1" sqref="K2:K153" xr:uid="{2E7F7B74-37EC-4872-863F-F73423185A63}">
      <formula1>$AR$2:$AR$23</formula1>
    </dataValidation>
    <dataValidation type="list" allowBlank="1" showInputMessage="1" showErrorMessage="1" sqref="H2:H337" xr:uid="{21EBE1D3-514F-4A64-8008-5A7595D6BA5D}">
      <formula1>$AL$2:$AL$8</formula1>
    </dataValidation>
    <dataValidation type="list" allowBlank="1" showInputMessage="1" showErrorMessage="1" sqref="G2:G337" xr:uid="{A2734503-D80A-43A2-8D5C-5D05805F9CA8}">
      <formula1>$AJ$2:$AJ$4</formula1>
    </dataValidation>
    <dataValidation type="list" allowBlank="1" showInputMessage="1" showErrorMessage="1" sqref="I2:I337" xr:uid="{8CEDEEBB-1EDD-44F5-B947-3F93186BBB3C}">
      <formula1>$AN$5:$AN$6</formula1>
    </dataValidation>
    <dataValidation allowBlank="1" showInputMessage="1" showErrorMessage="1" sqref="B2:B148" xr:uid="{A690673C-049C-4A04-9956-8AA2B8EF5989}"/>
    <dataValidation type="list" allowBlank="1" showInputMessage="1" showErrorMessage="1" sqref="E1:E65491" xr:uid="{47469DA6-3EF3-4979-A2CD-821F24B782B2}">
      <formula1>$AG$2:$AG$11</formula1>
    </dataValidation>
    <dataValidation type="list" allowBlank="1" showInputMessage="1" showErrorMessage="1" sqref="J2:J337" xr:uid="{69F68327-2C5D-4065-A35D-09D2E9F98A5B}">
      <formula1>$AP$2:$AP$19</formula1>
    </dataValidation>
    <dataValidation type="list" allowBlank="1" showInputMessage="1" showErrorMessage="1" sqref="F1:F65491" xr:uid="{6AF2DAA4-03A5-46EA-B89C-7D24198FDD20}">
      <formula1>$AH$2:$AH$11</formula1>
    </dataValidation>
    <dataValidation type="list" allowBlank="1" showInputMessage="1" showErrorMessage="1" sqref="Y2:AA148" xr:uid="{FBD2E554-4DB3-4F57-B3EB-0A888426A3A0}">
      <formula1>$AV$2:$AV$23</formula1>
    </dataValidation>
    <dataValidation type="list" allowBlank="1" showInputMessage="1" showErrorMessage="1" sqref="A2:A337" xr:uid="{2130B3FA-DCB7-4A6D-9D11-CF4D27461931}">
      <formula1>$AE$2:$AE$16</formula1>
    </dataValidation>
  </dataValidations>
  <pageMargins left="0.69930555555555596" right="0.69930555555555596"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896DF-551A-430A-80AE-2A5CAB7038D4}">
  <dimension ref="A1:BA82"/>
  <sheetViews>
    <sheetView zoomScale="85" zoomScaleNormal="85" workbookViewId="0">
      <selection activeCell="D2" sqref="D2"/>
    </sheetView>
  </sheetViews>
  <sheetFormatPr defaultRowHeight="13.5" x14ac:dyDescent="0.15"/>
  <cols>
    <col min="1" max="3" width="9" style="53"/>
    <col min="4" max="4" width="10.5" style="53" bestFit="1" customWidth="1"/>
    <col min="5" max="13" width="9" style="53"/>
    <col min="14" max="14" width="9.5" style="53" bestFit="1" customWidth="1"/>
    <col min="15" max="16" width="9" style="53"/>
    <col min="17" max="17" width="9" style="16"/>
    <col min="18" max="19" width="9" style="53"/>
    <col min="20" max="20" width="9" style="16"/>
    <col min="21" max="21" width="9" style="53"/>
    <col min="22" max="22" width="9" style="16"/>
    <col min="23" max="32" width="9" style="53"/>
    <col min="33" max="33" width="15.875" style="53" bestFit="1" customWidth="1"/>
    <col min="34" max="34" width="11.375" style="53" bestFit="1" customWidth="1"/>
    <col min="35" max="259" width="9" style="53"/>
    <col min="260" max="260" width="10.5" style="53" bestFit="1" customWidth="1"/>
    <col min="261" max="269" width="9" style="53"/>
    <col min="270" max="270" width="9.5" style="53" bestFit="1" customWidth="1"/>
    <col min="271" max="288" width="9" style="53"/>
    <col min="289" max="289" width="15.875" style="53" bestFit="1" customWidth="1"/>
    <col min="290" max="290" width="11.375" style="53" bestFit="1" customWidth="1"/>
    <col min="291" max="515" width="9" style="53"/>
    <col min="516" max="516" width="10.5" style="53" bestFit="1" customWidth="1"/>
    <col min="517" max="525" width="9" style="53"/>
    <col min="526" max="526" width="9.5" style="53" bestFit="1" customWidth="1"/>
    <col min="527" max="544" width="9" style="53"/>
    <col min="545" max="545" width="15.875" style="53" bestFit="1" customWidth="1"/>
    <col min="546" max="546" width="11.375" style="53" bestFit="1" customWidth="1"/>
    <col min="547" max="771" width="9" style="53"/>
    <col min="772" max="772" width="10.5" style="53" bestFit="1" customWidth="1"/>
    <col min="773" max="781" width="9" style="53"/>
    <col min="782" max="782" width="9.5" style="53" bestFit="1" customWidth="1"/>
    <col min="783" max="800" width="9" style="53"/>
    <col min="801" max="801" width="15.875" style="53" bestFit="1" customWidth="1"/>
    <col min="802" max="802" width="11.375" style="53" bestFit="1" customWidth="1"/>
    <col min="803" max="1027" width="9" style="53"/>
    <col min="1028" max="1028" width="10.5" style="53" bestFit="1" customWidth="1"/>
    <col min="1029" max="1037" width="9" style="53"/>
    <col min="1038" max="1038" width="9.5" style="53" bestFit="1" customWidth="1"/>
    <col min="1039" max="1056" width="9" style="53"/>
    <col min="1057" max="1057" width="15.875" style="53" bestFit="1" customWidth="1"/>
    <col min="1058" max="1058" width="11.375" style="53" bestFit="1" customWidth="1"/>
    <col min="1059" max="1283" width="9" style="53"/>
    <col min="1284" max="1284" width="10.5" style="53" bestFit="1" customWidth="1"/>
    <col min="1285" max="1293" width="9" style="53"/>
    <col min="1294" max="1294" width="9.5" style="53" bestFit="1" customWidth="1"/>
    <col min="1295" max="1312" width="9" style="53"/>
    <col min="1313" max="1313" width="15.875" style="53" bestFit="1" customWidth="1"/>
    <col min="1314" max="1314" width="11.375" style="53" bestFit="1" customWidth="1"/>
    <col min="1315" max="1539" width="9" style="53"/>
    <col min="1540" max="1540" width="10.5" style="53" bestFit="1" customWidth="1"/>
    <col min="1541" max="1549" width="9" style="53"/>
    <col min="1550" max="1550" width="9.5" style="53" bestFit="1" customWidth="1"/>
    <col min="1551" max="1568" width="9" style="53"/>
    <col min="1569" max="1569" width="15.875" style="53" bestFit="1" customWidth="1"/>
    <col min="1570" max="1570" width="11.375" style="53" bestFit="1" customWidth="1"/>
    <col min="1571" max="1795" width="9" style="53"/>
    <col min="1796" max="1796" width="10.5" style="53" bestFit="1" customWidth="1"/>
    <col min="1797" max="1805" width="9" style="53"/>
    <col min="1806" max="1806" width="9.5" style="53" bestFit="1" customWidth="1"/>
    <col min="1807" max="1824" width="9" style="53"/>
    <col min="1825" max="1825" width="15.875" style="53" bestFit="1" customWidth="1"/>
    <col min="1826" max="1826" width="11.375" style="53" bestFit="1" customWidth="1"/>
    <col min="1827" max="2051" width="9" style="53"/>
    <col min="2052" max="2052" width="10.5" style="53" bestFit="1" customWidth="1"/>
    <col min="2053" max="2061" width="9" style="53"/>
    <col min="2062" max="2062" width="9.5" style="53" bestFit="1" customWidth="1"/>
    <col min="2063" max="2080" width="9" style="53"/>
    <col min="2081" max="2081" width="15.875" style="53" bestFit="1" customWidth="1"/>
    <col min="2082" max="2082" width="11.375" style="53" bestFit="1" customWidth="1"/>
    <col min="2083" max="2307" width="9" style="53"/>
    <col min="2308" max="2308" width="10.5" style="53" bestFit="1" customWidth="1"/>
    <col min="2309" max="2317" width="9" style="53"/>
    <col min="2318" max="2318" width="9.5" style="53" bestFit="1" customWidth="1"/>
    <col min="2319" max="2336" width="9" style="53"/>
    <col min="2337" max="2337" width="15.875" style="53" bestFit="1" customWidth="1"/>
    <col min="2338" max="2338" width="11.375" style="53" bestFit="1" customWidth="1"/>
    <col min="2339" max="2563" width="9" style="53"/>
    <col min="2564" max="2564" width="10.5" style="53" bestFit="1" customWidth="1"/>
    <col min="2565" max="2573" width="9" style="53"/>
    <col min="2574" max="2574" width="9.5" style="53" bestFit="1" customWidth="1"/>
    <col min="2575" max="2592" width="9" style="53"/>
    <col min="2593" max="2593" width="15.875" style="53" bestFit="1" customWidth="1"/>
    <col min="2594" max="2594" width="11.375" style="53" bestFit="1" customWidth="1"/>
    <col min="2595" max="2819" width="9" style="53"/>
    <col min="2820" max="2820" width="10.5" style="53" bestFit="1" customWidth="1"/>
    <col min="2821" max="2829" width="9" style="53"/>
    <col min="2830" max="2830" width="9.5" style="53" bestFit="1" customWidth="1"/>
    <col min="2831" max="2848" width="9" style="53"/>
    <col min="2849" max="2849" width="15.875" style="53" bestFit="1" customWidth="1"/>
    <col min="2850" max="2850" width="11.375" style="53" bestFit="1" customWidth="1"/>
    <col min="2851" max="3075" width="9" style="53"/>
    <col min="3076" max="3076" width="10.5" style="53" bestFit="1" customWidth="1"/>
    <col min="3077" max="3085" width="9" style="53"/>
    <col min="3086" max="3086" width="9.5" style="53" bestFit="1" customWidth="1"/>
    <col min="3087" max="3104" width="9" style="53"/>
    <col min="3105" max="3105" width="15.875" style="53" bestFit="1" customWidth="1"/>
    <col min="3106" max="3106" width="11.375" style="53" bestFit="1" customWidth="1"/>
    <col min="3107" max="3331" width="9" style="53"/>
    <col min="3332" max="3332" width="10.5" style="53" bestFit="1" customWidth="1"/>
    <col min="3333" max="3341" width="9" style="53"/>
    <col min="3342" max="3342" width="9.5" style="53" bestFit="1" customWidth="1"/>
    <col min="3343" max="3360" width="9" style="53"/>
    <col min="3361" max="3361" width="15.875" style="53" bestFit="1" customWidth="1"/>
    <col min="3362" max="3362" width="11.375" style="53" bestFit="1" customWidth="1"/>
    <col min="3363" max="3587" width="9" style="53"/>
    <col min="3588" max="3588" width="10.5" style="53" bestFit="1" customWidth="1"/>
    <col min="3589" max="3597" width="9" style="53"/>
    <col min="3598" max="3598" width="9.5" style="53" bestFit="1" customWidth="1"/>
    <col min="3599" max="3616" width="9" style="53"/>
    <col min="3617" max="3617" width="15.875" style="53" bestFit="1" customWidth="1"/>
    <col min="3618" max="3618" width="11.375" style="53" bestFit="1" customWidth="1"/>
    <col min="3619" max="3843" width="9" style="53"/>
    <col min="3844" max="3844" width="10.5" style="53" bestFit="1" customWidth="1"/>
    <col min="3845" max="3853" width="9" style="53"/>
    <col min="3854" max="3854" width="9.5" style="53" bestFit="1" customWidth="1"/>
    <col min="3855" max="3872" width="9" style="53"/>
    <col min="3873" max="3873" width="15.875" style="53" bestFit="1" customWidth="1"/>
    <col min="3874" max="3874" width="11.375" style="53" bestFit="1" customWidth="1"/>
    <col min="3875" max="4099" width="9" style="53"/>
    <col min="4100" max="4100" width="10.5" style="53" bestFit="1" customWidth="1"/>
    <col min="4101" max="4109" width="9" style="53"/>
    <col min="4110" max="4110" width="9.5" style="53" bestFit="1" customWidth="1"/>
    <col min="4111" max="4128" width="9" style="53"/>
    <col min="4129" max="4129" width="15.875" style="53" bestFit="1" customWidth="1"/>
    <col min="4130" max="4130" width="11.375" style="53" bestFit="1" customWidth="1"/>
    <col min="4131" max="4355" width="9" style="53"/>
    <col min="4356" max="4356" width="10.5" style="53" bestFit="1" customWidth="1"/>
    <col min="4357" max="4365" width="9" style="53"/>
    <col min="4366" max="4366" width="9.5" style="53" bestFit="1" customWidth="1"/>
    <col min="4367" max="4384" width="9" style="53"/>
    <col min="4385" max="4385" width="15.875" style="53" bestFit="1" customWidth="1"/>
    <col min="4386" max="4386" width="11.375" style="53" bestFit="1" customWidth="1"/>
    <col min="4387" max="4611" width="9" style="53"/>
    <col min="4612" max="4612" width="10.5" style="53" bestFit="1" customWidth="1"/>
    <col min="4613" max="4621" width="9" style="53"/>
    <col min="4622" max="4622" width="9.5" style="53" bestFit="1" customWidth="1"/>
    <col min="4623" max="4640" width="9" style="53"/>
    <col min="4641" max="4641" width="15.875" style="53" bestFit="1" customWidth="1"/>
    <col min="4642" max="4642" width="11.375" style="53" bestFit="1" customWidth="1"/>
    <col min="4643" max="4867" width="9" style="53"/>
    <col min="4868" max="4868" width="10.5" style="53" bestFit="1" customWidth="1"/>
    <col min="4869" max="4877" width="9" style="53"/>
    <col min="4878" max="4878" width="9.5" style="53" bestFit="1" customWidth="1"/>
    <col min="4879" max="4896" width="9" style="53"/>
    <col min="4897" max="4897" width="15.875" style="53" bestFit="1" customWidth="1"/>
    <col min="4898" max="4898" width="11.375" style="53" bestFit="1" customWidth="1"/>
    <col min="4899" max="5123" width="9" style="53"/>
    <col min="5124" max="5124" width="10.5" style="53" bestFit="1" customWidth="1"/>
    <col min="5125" max="5133" width="9" style="53"/>
    <col min="5134" max="5134" width="9.5" style="53" bestFit="1" customWidth="1"/>
    <col min="5135" max="5152" width="9" style="53"/>
    <col min="5153" max="5153" width="15.875" style="53" bestFit="1" customWidth="1"/>
    <col min="5154" max="5154" width="11.375" style="53" bestFit="1" customWidth="1"/>
    <col min="5155" max="5379" width="9" style="53"/>
    <col min="5380" max="5380" width="10.5" style="53" bestFit="1" customWidth="1"/>
    <col min="5381" max="5389" width="9" style="53"/>
    <col min="5390" max="5390" width="9.5" style="53" bestFit="1" customWidth="1"/>
    <col min="5391" max="5408" width="9" style="53"/>
    <col min="5409" max="5409" width="15.875" style="53" bestFit="1" customWidth="1"/>
    <col min="5410" max="5410" width="11.375" style="53" bestFit="1" customWidth="1"/>
    <col min="5411" max="5635" width="9" style="53"/>
    <col min="5636" max="5636" width="10.5" style="53" bestFit="1" customWidth="1"/>
    <col min="5637" max="5645" width="9" style="53"/>
    <col min="5646" max="5646" width="9.5" style="53" bestFit="1" customWidth="1"/>
    <col min="5647" max="5664" width="9" style="53"/>
    <col min="5665" max="5665" width="15.875" style="53" bestFit="1" customWidth="1"/>
    <col min="5666" max="5666" width="11.375" style="53" bestFit="1" customWidth="1"/>
    <col min="5667" max="5891" width="9" style="53"/>
    <col min="5892" max="5892" width="10.5" style="53" bestFit="1" customWidth="1"/>
    <col min="5893" max="5901" width="9" style="53"/>
    <col min="5902" max="5902" width="9.5" style="53" bestFit="1" customWidth="1"/>
    <col min="5903" max="5920" width="9" style="53"/>
    <col min="5921" max="5921" width="15.875" style="53" bestFit="1" customWidth="1"/>
    <col min="5922" max="5922" width="11.375" style="53" bestFit="1" customWidth="1"/>
    <col min="5923" max="6147" width="9" style="53"/>
    <col min="6148" max="6148" width="10.5" style="53" bestFit="1" customWidth="1"/>
    <col min="6149" max="6157" width="9" style="53"/>
    <col min="6158" max="6158" width="9.5" style="53" bestFit="1" customWidth="1"/>
    <col min="6159" max="6176" width="9" style="53"/>
    <col min="6177" max="6177" width="15.875" style="53" bestFit="1" customWidth="1"/>
    <col min="6178" max="6178" width="11.375" style="53" bestFit="1" customWidth="1"/>
    <col min="6179" max="6403" width="9" style="53"/>
    <col min="6404" max="6404" width="10.5" style="53" bestFit="1" customWidth="1"/>
    <col min="6405" max="6413" width="9" style="53"/>
    <col min="6414" max="6414" width="9.5" style="53" bestFit="1" customWidth="1"/>
    <col min="6415" max="6432" width="9" style="53"/>
    <col min="6433" max="6433" width="15.875" style="53" bestFit="1" customWidth="1"/>
    <col min="6434" max="6434" width="11.375" style="53" bestFit="1" customWidth="1"/>
    <col min="6435" max="6659" width="9" style="53"/>
    <col min="6660" max="6660" width="10.5" style="53" bestFit="1" customWidth="1"/>
    <col min="6661" max="6669" width="9" style="53"/>
    <col min="6670" max="6670" width="9.5" style="53" bestFit="1" customWidth="1"/>
    <col min="6671" max="6688" width="9" style="53"/>
    <col min="6689" max="6689" width="15.875" style="53" bestFit="1" customWidth="1"/>
    <col min="6690" max="6690" width="11.375" style="53" bestFit="1" customWidth="1"/>
    <col min="6691" max="6915" width="9" style="53"/>
    <col min="6916" max="6916" width="10.5" style="53" bestFit="1" customWidth="1"/>
    <col min="6917" max="6925" width="9" style="53"/>
    <col min="6926" max="6926" width="9.5" style="53" bestFit="1" customWidth="1"/>
    <col min="6927" max="6944" width="9" style="53"/>
    <col min="6945" max="6945" width="15.875" style="53" bestFit="1" customWidth="1"/>
    <col min="6946" max="6946" width="11.375" style="53" bestFit="1" customWidth="1"/>
    <col min="6947" max="7171" width="9" style="53"/>
    <col min="7172" max="7172" width="10.5" style="53" bestFit="1" customWidth="1"/>
    <col min="7173" max="7181" width="9" style="53"/>
    <col min="7182" max="7182" width="9.5" style="53" bestFit="1" customWidth="1"/>
    <col min="7183" max="7200" width="9" style="53"/>
    <col min="7201" max="7201" width="15.875" style="53" bestFit="1" customWidth="1"/>
    <col min="7202" max="7202" width="11.375" style="53" bestFit="1" customWidth="1"/>
    <col min="7203" max="7427" width="9" style="53"/>
    <col min="7428" max="7428" width="10.5" style="53" bestFit="1" customWidth="1"/>
    <col min="7429" max="7437" width="9" style="53"/>
    <col min="7438" max="7438" width="9.5" style="53" bestFit="1" customWidth="1"/>
    <col min="7439" max="7456" width="9" style="53"/>
    <col min="7457" max="7457" width="15.875" style="53" bestFit="1" customWidth="1"/>
    <col min="7458" max="7458" width="11.375" style="53" bestFit="1" customWidth="1"/>
    <col min="7459" max="7683" width="9" style="53"/>
    <col min="7684" max="7684" width="10.5" style="53" bestFit="1" customWidth="1"/>
    <col min="7685" max="7693" width="9" style="53"/>
    <col min="7694" max="7694" width="9.5" style="53" bestFit="1" customWidth="1"/>
    <col min="7695" max="7712" width="9" style="53"/>
    <col min="7713" max="7713" width="15.875" style="53" bestFit="1" customWidth="1"/>
    <col min="7714" max="7714" width="11.375" style="53" bestFit="1" customWidth="1"/>
    <col min="7715" max="7939" width="9" style="53"/>
    <col min="7940" max="7940" width="10.5" style="53" bestFit="1" customWidth="1"/>
    <col min="7941" max="7949" width="9" style="53"/>
    <col min="7950" max="7950" width="9.5" style="53" bestFit="1" customWidth="1"/>
    <col min="7951" max="7968" width="9" style="53"/>
    <col min="7969" max="7969" width="15.875" style="53" bestFit="1" customWidth="1"/>
    <col min="7970" max="7970" width="11.375" style="53" bestFit="1" customWidth="1"/>
    <col min="7971" max="8195" width="9" style="53"/>
    <col min="8196" max="8196" width="10.5" style="53" bestFit="1" customWidth="1"/>
    <col min="8197" max="8205" width="9" style="53"/>
    <col min="8206" max="8206" width="9.5" style="53" bestFit="1" customWidth="1"/>
    <col min="8207" max="8224" width="9" style="53"/>
    <col min="8225" max="8225" width="15.875" style="53" bestFit="1" customWidth="1"/>
    <col min="8226" max="8226" width="11.375" style="53" bestFit="1" customWidth="1"/>
    <col min="8227" max="8451" width="9" style="53"/>
    <col min="8452" max="8452" width="10.5" style="53" bestFit="1" customWidth="1"/>
    <col min="8453" max="8461" width="9" style="53"/>
    <col min="8462" max="8462" width="9.5" style="53" bestFit="1" customWidth="1"/>
    <col min="8463" max="8480" width="9" style="53"/>
    <col min="8481" max="8481" width="15.875" style="53" bestFit="1" customWidth="1"/>
    <col min="8482" max="8482" width="11.375" style="53" bestFit="1" customWidth="1"/>
    <col min="8483" max="8707" width="9" style="53"/>
    <col min="8708" max="8708" width="10.5" style="53" bestFit="1" customWidth="1"/>
    <col min="8709" max="8717" width="9" style="53"/>
    <col min="8718" max="8718" width="9.5" style="53" bestFit="1" customWidth="1"/>
    <col min="8719" max="8736" width="9" style="53"/>
    <col min="8737" max="8737" width="15.875" style="53" bestFit="1" customWidth="1"/>
    <col min="8738" max="8738" width="11.375" style="53" bestFit="1" customWidth="1"/>
    <col min="8739" max="8963" width="9" style="53"/>
    <col min="8964" max="8964" width="10.5" style="53" bestFit="1" customWidth="1"/>
    <col min="8965" max="8973" width="9" style="53"/>
    <col min="8974" max="8974" width="9.5" style="53" bestFit="1" customWidth="1"/>
    <col min="8975" max="8992" width="9" style="53"/>
    <col min="8993" max="8993" width="15.875" style="53" bestFit="1" customWidth="1"/>
    <col min="8994" max="8994" width="11.375" style="53" bestFit="1" customWidth="1"/>
    <col min="8995" max="9219" width="9" style="53"/>
    <col min="9220" max="9220" width="10.5" style="53" bestFit="1" customWidth="1"/>
    <col min="9221" max="9229" width="9" style="53"/>
    <col min="9230" max="9230" width="9.5" style="53" bestFit="1" customWidth="1"/>
    <col min="9231" max="9248" width="9" style="53"/>
    <col min="9249" max="9249" width="15.875" style="53" bestFit="1" customWidth="1"/>
    <col min="9250" max="9250" width="11.375" style="53" bestFit="1" customWidth="1"/>
    <col min="9251" max="9475" width="9" style="53"/>
    <col min="9476" max="9476" width="10.5" style="53" bestFit="1" customWidth="1"/>
    <col min="9477" max="9485" width="9" style="53"/>
    <col min="9486" max="9486" width="9.5" style="53" bestFit="1" customWidth="1"/>
    <col min="9487" max="9504" width="9" style="53"/>
    <col min="9505" max="9505" width="15.875" style="53" bestFit="1" customWidth="1"/>
    <col min="9506" max="9506" width="11.375" style="53" bestFit="1" customWidth="1"/>
    <col min="9507" max="9731" width="9" style="53"/>
    <col min="9732" max="9732" width="10.5" style="53" bestFit="1" customWidth="1"/>
    <col min="9733" max="9741" width="9" style="53"/>
    <col min="9742" max="9742" width="9.5" style="53" bestFit="1" customWidth="1"/>
    <col min="9743" max="9760" width="9" style="53"/>
    <col min="9761" max="9761" width="15.875" style="53" bestFit="1" customWidth="1"/>
    <col min="9762" max="9762" width="11.375" style="53" bestFit="1" customWidth="1"/>
    <col min="9763" max="9987" width="9" style="53"/>
    <col min="9988" max="9988" width="10.5" style="53" bestFit="1" customWidth="1"/>
    <col min="9989" max="9997" width="9" style="53"/>
    <col min="9998" max="9998" width="9.5" style="53" bestFit="1" customWidth="1"/>
    <col min="9999" max="10016" width="9" style="53"/>
    <col min="10017" max="10017" width="15.875" style="53" bestFit="1" customWidth="1"/>
    <col min="10018" max="10018" width="11.375" style="53" bestFit="1" customWidth="1"/>
    <col min="10019" max="10243" width="9" style="53"/>
    <col min="10244" max="10244" width="10.5" style="53" bestFit="1" customWidth="1"/>
    <col min="10245" max="10253" width="9" style="53"/>
    <col min="10254" max="10254" width="9.5" style="53" bestFit="1" customWidth="1"/>
    <col min="10255" max="10272" width="9" style="53"/>
    <col min="10273" max="10273" width="15.875" style="53" bestFit="1" customWidth="1"/>
    <col min="10274" max="10274" width="11.375" style="53" bestFit="1" customWidth="1"/>
    <col min="10275" max="10499" width="9" style="53"/>
    <col min="10500" max="10500" width="10.5" style="53" bestFit="1" customWidth="1"/>
    <col min="10501" max="10509" width="9" style="53"/>
    <col min="10510" max="10510" width="9.5" style="53" bestFit="1" customWidth="1"/>
    <col min="10511" max="10528" width="9" style="53"/>
    <col min="10529" max="10529" width="15.875" style="53" bestFit="1" customWidth="1"/>
    <col min="10530" max="10530" width="11.375" style="53" bestFit="1" customWidth="1"/>
    <col min="10531" max="10755" width="9" style="53"/>
    <col min="10756" max="10756" width="10.5" style="53" bestFit="1" customWidth="1"/>
    <col min="10757" max="10765" width="9" style="53"/>
    <col min="10766" max="10766" width="9.5" style="53" bestFit="1" customWidth="1"/>
    <col min="10767" max="10784" width="9" style="53"/>
    <col min="10785" max="10785" width="15.875" style="53" bestFit="1" customWidth="1"/>
    <col min="10786" max="10786" width="11.375" style="53" bestFit="1" customWidth="1"/>
    <col min="10787" max="11011" width="9" style="53"/>
    <col min="11012" max="11012" width="10.5" style="53" bestFit="1" customWidth="1"/>
    <col min="11013" max="11021" width="9" style="53"/>
    <col min="11022" max="11022" width="9.5" style="53" bestFit="1" customWidth="1"/>
    <col min="11023" max="11040" width="9" style="53"/>
    <col min="11041" max="11041" width="15.875" style="53" bestFit="1" customWidth="1"/>
    <col min="11042" max="11042" width="11.375" style="53" bestFit="1" customWidth="1"/>
    <col min="11043" max="11267" width="9" style="53"/>
    <col min="11268" max="11268" width="10.5" style="53" bestFit="1" customWidth="1"/>
    <col min="11269" max="11277" width="9" style="53"/>
    <col min="11278" max="11278" width="9.5" style="53" bestFit="1" customWidth="1"/>
    <col min="11279" max="11296" width="9" style="53"/>
    <col min="11297" max="11297" width="15.875" style="53" bestFit="1" customWidth="1"/>
    <col min="11298" max="11298" width="11.375" style="53" bestFit="1" customWidth="1"/>
    <col min="11299" max="11523" width="9" style="53"/>
    <col min="11524" max="11524" width="10.5" style="53" bestFit="1" customWidth="1"/>
    <col min="11525" max="11533" width="9" style="53"/>
    <col min="11534" max="11534" width="9.5" style="53" bestFit="1" customWidth="1"/>
    <col min="11535" max="11552" width="9" style="53"/>
    <col min="11553" max="11553" width="15.875" style="53" bestFit="1" customWidth="1"/>
    <col min="11554" max="11554" width="11.375" style="53" bestFit="1" customWidth="1"/>
    <col min="11555" max="11779" width="9" style="53"/>
    <col min="11780" max="11780" width="10.5" style="53" bestFit="1" customWidth="1"/>
    <col min="11781" max="11789" width="9" style="53"/>
    <col min="11790" max="11790" width="9.5" style="53" bestFit="1" customWidth="1"/>
    <col min="11791" max="11808" width="9" style="53"/>
    <col min="11809" max="11809" width="15.875" style="53" bestFit="1" customWidth="1"/>
    <col min="11810" max="11810" width="11.375" style="53" bestFit="1" customWidth="1"/>
    <col min="11811" max="12035" width="9" style="53"/>
    <col min="12036" max="12036" width="10.5" style="53" bestFit="1" customWidth="1"/>
    <col min="12037" max="12045" width="9" style="53"/>
    <col min="12046" max="12046" width="9.5" style="53" bestFit="1" customWidth="1"/>
    <col min="12047" max="12064" width="9" style="53"/>
    <col min="12065" max="12065" width="15.875" style="53" bestFit="1" customWidth="1"/>
    <col min="12066" max="12066" width="11.375" style="53" bestFit="1" customWidth="1"/>
    <col min="12067" max="12291" width="9" style="53"/>
    <col min="12292" max="12292" width="10.5" style="53" bestFit="1" customWidth="1"/>
    <col min="12293" max="12301" width="9" style="53"/>
    <col min="12302" max="12302" width="9.5" style="53" bestFit="1" customWidth="1"/>
    <col min="12303" max="12320" width="9" style="53"/>
    <col min="12321" max="12321" width="15.875" style="53" bestFit="1" customWidth="1"/>
    <col min="12322" max="12322" width="11.375" style="53" bestFit="1" customWidth="1"/>
    <col min="12323" max="12547" width="9" style="53"/>
    <col min="12548" max="12548" width="10.5" style="53" bestFit="1" customWidth="1"/>
    <col min="12549" max="12557" width="9" style="53"/>
    <col min="12558" max="12558" width="9.5" style="53" bestFit="1" customWidth="1"/>
    <col min="12559" max="12576" width="9" style="53"/>
    <col min="12577" max="12577" width="15.875" style="53" bestFit="1" customWidth="1"/>
    <col min="12578" max="12578" width="11.375" style="53" bestFit="1" customWidth="1"/>
    <col min="12579" max="12803" width="9" style="53"/>
    <col min="12804" max="12804" width="10.5" style="53" bestFit="1" customWidth="1"/>
    <col min="12805" max="12813" width="9" style="53"/>
    <col min="12814" max="12814" width="9.5" style="53" bestFit="1" customWidth="1"/>
    <col min="12815" max="12832" width="9" style="53"/>
    <col min="12833" max="12833" width="15.875" style="53" bestFit="1" customWidth="1"/>
    <col min="12834" max="12834" width="11.375" style="53" bestFit="1" customWidth="1"/>
    <col min="12835" max="13059" width="9" style="53"/>
    <col min="13060" max="13060" width="10.5" style="53" bestFit="1" customWidth="1"/>
    <col min="13061" max="13069" width="9" style="53"/>
    <col min="13070" max="13070" width="9.5" style="53" bestFit="1" customWidth="1"/>
    <col min="13071" max="13088" width="9" style="53"/>
    <col min="13089" max="13089" width="15.875" style="53" bestFit="1" customWidth="1"/>
    <col min="13090" max="13090" width="11.375" style="53" bestFit="1" customWidth="1"/>
    <col min="13091" max="13315" width="9" style="53"/>
    <col min="13316" max="13316" width="10.5" style="53" bestFit="1" customWidth="1"/>
    <col min="13317" max="13325" width="9" style="53"/>
    <col min="13326" max="13326" width="9.5" style="53" bestFit="1" customWidth="1"/>
    <col min="13327" max="13344" width="9" style="53"/>
    <col min="13345" max="13345" width="15.875" style="53" bestFit="1" customWidth="1"/>
    <col min="13346" max="13346" width="11.375" style="53" bestFit="1" customWidth="1"/>
    <col min="13347" max="13571" width="9" style="53"/>
    <col min="13572" max="13572" width="10.5" style="53" bestFit="1" customWidth="1"/>
    <col min="13573" max="13581" width="9" style="53"/>
    <col min="13582" max="13582" width="9.5" style="53" bestFit="1" customWidth="1"/>
    <col min="13583" max="13600" width="9" style="53"/>
    <col min="13601" max="13601" width="15.875" style="53" bestFit="1" customWidth="1"/>
    <col min="13602" max="13602" width="11.375" style="53" bestFit="1" customWidth="1"/>
    <col min="13603" max="13827" width="9" style="53"/>
    <col min="13828" max="13828" width="10.5" style="53" bestFit="1" customWidth="1"/>
    <col min="13829" max="13837" width="9" style="53"/>
    <col min="13838" max="13838" width="9.5" style="53" bestFit="1" customWidth="1"/>
    <col min="13839" max="13856" width="9" style="53"/>
    <col min="13857" max="13857" width="15.875" style="53" bestFit="1" customWidth="1"/>
    <col min="13858" max="13858" width="11.375" style="53" bestFit="1" customWidth="1"/>
    <col min="13859" max="14083" width="9" style="53"/>
    <col min="14084" max="14084" width="10.5" style="53" bestFit="1" customWidth="1"/>
    <col min="14085" max="14093" width="9" style="53"/>
    <col min="14094" max="14094" width="9.5" style="53" bestFit="1" customWidth="1"/>
    <col min="14095" max="14112" width="9" style="53"/>
    <col min="14113" max="14113" width="15.875" style="53" bestFit="1" customWidth="1"/>
    <col min="14114" max="14114" width="11.375" style="53" bestFit="1" customWidth="1"/>
    <col min="14115" max="14339" width="9" style="53"/>
    <col min="14340" max="14340" width="10.5" style="53" bestFit="1" customWidth="1"/>
    <col min="14341" max="14349" width="9" style="53"/>
    <col min="14350" max="14350" width="9.5" style="53" bestFit="1" customWidth="1"/>
    <col min="14351" max="14368" width="9" style="53"/>
    <col min="14369" max="14369" width="15.875" style="53" bestFit="1" customWidth="1"/>
    <col min="14370" max="14370" width="11.375" style="53" bestFit="1" customWidth="1"/>
    <col min="14371" max="14595" width="9" style="53"/>
    <col min="14596" max="14596" width="10.5" style="53" bestFit="1" customWidth="1"/>
    <col min="14597" max="14605" width="9" style="53"/>
    <col min="14606" max="14606" width="9.5" style="53" bestFit="1" customWidth="1"/>
    <col min="14607" max="14624" width="9" style="53"/>
    <col min="14625" max="14625" width="15.875" style="53" bestFit="1" customWidth="1"/>
    <col min="14626" max="14626" width="11.375" style="53" bestFit="1" customWidth="1"/>
    <col min="14627" max="14851" width="9" style="53"/>
    <col min="14852" max="14852" width="10.5" style="53" bestFit="1" customWidth="1"/>
    <col min="14853" max="14861" width="9" style="53"/>
    <col min="14862" max="14862" width="9.5" style="53" bestFit="1" customWidth="1"/>
    <col min="14863" max="14880" width="9" style="53"/>
    <col min="14881" max="14881" width="15.875" style="53" bestFit="1" customWidth="1"/>
    <col min="14882" max="14882" width="11.375" style="53" bestFit="1" customWidth="1"/>
    <col min="14883" max="15107" width="9" style="53"/>
    <col min="15108" max="15108" width="10.5" style="53" bestFit="1" customWidth="1"/>
    <col min="15109" max="15117" width="9" style="53"/>
    <col min="15118" max="15118" width="9.5" style="53" bestFit="1" customWidth="1"/>
    <col min="15119" max="15136" width="9" style="53"/>
    <col min="15137" max="15137" width="15.875" style="53" bestFit="1" customWidth="1"/>
    <col min="15138" max="15138" width="11.375" style="53" bestFit="1" customWidth="1"/>
    <col min="15139" max="15363" width="9" style="53"/>
    <col min="15364" max="15364" width="10.5" style="53" bestFit="1" customWidth="1"/>
    <col min="15365" max="15373" width="9" style="53"/>
    <col min="15374" max="15374" width="9.5" style="53" bestFit="1" customWidth="1"/>
    <col min="15375" max="15392" width="9" style="53"/>
    <col min="15393" max="15393" width="15.875" style="53" bestFit="1" customWidth="1"/>
    <col min="15394" max="15394" width="11.375" style="53" bestFit="1" customWidth="1"/>
    <col min="15395" max="15619" width="9" style="53"/>
    <col min="15620" max="15620" width="10.5" style="53" bestFit="1" customWidth="1"/>
    <col min="15621" max="15629" width="9" style="53"/>
    <col min="15630" max="15630" width="9.5" style="53" bestFit="1" customWidth="1"/>
    <col min="15631" max="15648" width="9" style="53"/>
    <col min="15649" max="15649" width="15.875" style="53" bestFit="1" customWidth="1"/>
    <col min="15650" max="15650" width="11.375" style="53" bestFit="1" customWidth="1"/>
    <col min="15651" max="15875" width="9" style="53"/>
    <col min="15876" max="15876" width="10.5" style="53" bestFit="1" customWidth="1"/>
    <col min="15877" max="15885" width="9" style="53"/>
    <col min="15886" max="15886" width="9.5" style="53" bestFit="1" customWidth="1"/>
    <col min="15887" max="15904" width="9" style="53"/>
    <col min="15905" max="15905" width="15.875" style="53" bestFit="1" customWidth="1"/>
    <col min="15906" max="15906" width="11.375" style="53" bestFit="1" customWidth="1"/>
    <col min="15907" max="16131" width="9" style="53"/>
    <col min="16132" max="16132" width="10.5" style="53" bestFit="1" customWidth="1"/>
    <col min="16133" max="16141" width="9" style="53"/>
    <col min="16142" max="16142" width="9.5" style="53" bestFit="1" customWidth="1"/>
    <col min="16143" max="16160" width="9" style="53"/>
    <col min="16161" max="16161" width="15.875" style="53" bestFit="1" customWidth="1"/>
    <col min="16162" max="16162" width="11.375" style="53" bestFit="1" customWidth="1"/>
    <col min="16163" max="16384" width="9" style="53"/>
  </cols>
  <sheetData>
    <row r="1" spans="1:53" ht="45" x14ac:dyDescent="0.15">
      <c r="A1" s="77" t="s">
        <v>0</v>
      </c>
      <c r="B1" s="55" t="s">
        <v>1</v>
      </c>
      <c r="C1" s="55" t="s">
        <v>2</v>
      </c>
      <c r="D1" s="56" t="s">
        <v>3</v>
      </c>
      <c r="E1" s="78" t="s">
        <v>4</v>
      </c>
      <c r="F1" s="78" t="s">
        <v>5</v>
      </c>
      <c r="G1" s="78" t="s">
        <v>6</v>
      </c>
      <c r="H1" s="78" t="s">
        <v>7</v>
      </c>
      <c r="I1" s="78" t="s">
        <v>8</v>
      </c>
      <c r="J1" s="78" t="s">
        <v>9</v>
      </c>
      <c r="K1" s="78" t="s">
        <v>10</v>
      </c>
      <c r="L1" s="56" t="s">
        <v>11</v>
      </c>
      <c r="M1" s="56" t="s">
        <v>12</v>
      </c>
      <c r="N1" s="56" t="s">
        <v>13</v>
      </c>
      <c r="O1" s="56" t="s">
        <v>14</v>
      </c>
      <c r="P1" s="56" t="s">
        <v>15</v>
      </c>
      <c r="Q1" s="3" t="s">
        <v>16</v>
      </c>
      <c r="R1" s="56" t="s">
        <v>17</v>
      </c>
      <c r="S1" s="56" t="s">
        <v>18</v>
      </c>
      <c r="T1" s="3" t="s">
        <v>19</v>
      </c>
      <c r="U1" s="58" t="s">
        <v>108</v>
      </c>
      <c r="V1" s="5" t="s">
        <v>20</v>
      </c>
      <c r="W1" s="56" t="s">
        <v>21</v>
      </c>
      <c r="X1" s="78" t="s">
        <v>22</v>
      </c>
      <c r="Y1" s="78" t="s">
        <v>23</v>
      </c>
      <c r="Z1" s="78" t="s">
        <v>24</v>
      </c>
      <c r="AA1" s="79"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56</v>
      </c>
      <c r="B2" s="53" t="s">
        <v>231</v>
      </c>
      <c r="C2" s="53">
        <v>2019</v>
      </c>
      <c r="D2" s="81" t="s">
        <v>232</v>
      </c>
      <c r="E2" s="53" t="s">
        <v>233</v>
      </c>
      <c r="F2" s="53" t="s">
        <v>234</v>
      </c>
      <c r="G2" s="53" t="s">
        <v>42</v>
      </c>
      <c r="H2" s="53" t="s">
        <v>164</v>
      </c>
      <c r="I2" s="53" t="s">
        <v>196</v>
      </c>
      <c r="J2" s="53" t="s">
        <v>38</v>
      </c>
      <c r="K2" s="53" t="s">
        <v>161</v>
      </c>
      <c r="L2" s="53">
        <v>1</v>
      </c>
      <c r="N2" s="53">
        <v>5</v>
      </c>
      <c r="O2" s="53">
        <v>0.75</v>
      </c>
      <c r="P2" s="53">
        <v>0.7</v>
      </c>
      <c r="Q2" s="75">
        <f t="shared" ref="Q2:Q58" si="0">IF(OR(O2="",P2=""),"",AVERAGE(O2,P2))</f>
        <v>0.72499999999999998</v>
      </c>
      <c r="R2" s="53">
        <v>14.6</v>
      </c>
      <c r="S2" s="53">
        <v>94</v>
      </c>
      <c r="T2" s="16">
        <f t="shared" ref="T2:T58" si="1">IF(H2="","",IF(OR(H2="GREEN",H2="GK"),IF(S2&gt;=$AX$2,VLOOKUP(S2,$AX$2:$AY$10,2,1),""),IF(S2&gt;=$AZ$2,VLOOKUP(S2,$AZ$2:$BA$10,2,1),"")))</f>
        <v>36</v>
      </c>
      <c r="U2" s="53">
        <v>539</v>
      </c>
      <c r="V2" s="16">
        <f t="shared" ref="V2:V58" si="2">IF(OR(N2="",U2="",T2=""),"",U2/N2*T2)</f>
        <v>3880.7999999999997</v>
      </c>
      <c r="W2" s="53">
        <v>2</v>
      </c>
      <c r="X2" s="53" t="s">
        <v>46</v>
      </c>
      <c r="Y2" s="53" t="s">
        <v>90</v>
      </c>
      <c r="Z2" s="53" t="s">
        <v>102</v>
      </c>
      <c r="AA2" s="53" t="s">
        <v>55</v>
      </c>
      <c r="AB2" s="53" t="s">
        <v>235</v>
      </c>
      <c r="AE2" s="64" t="s">
        <v>35</v>
      </c>
      <c r="AG2" s="23" t="s">
        <v>236</v>
      </c>
      <c r="AH2" s="82" t="s">
        <v>237</v>
      </c>
      <c r="AJ2" s="67" t="s">
        <v>36</v>
      </c>
      <c r="AL2" s="67" t="s">
        <v>127</v>
      </c>
      <c r="AN2" s="67" t="s">
        <v>37</v>
      </c>
      <c r="AP2" s="67" t="s">
        <v>38</v>
      </c>
      <c r="AR2" s="67" t="s">
        <v>120</v>
      </c>
      <c r="AT2" s="67" t="s">
        <v>39</v>
      </c>
      <c r="AV2" s="67" t="s">
        <v>40</v>
      </c>
      <c r="AX2" s="68">
        <v>1</v>
      </c>
      <c r="AY2" s="69">
        <v>50</v>
      </c>
      <c r="AZ2" s="69">
        <v>1</v>
      </c>
      <c r="BA2" s="70">
        <v>50</v>
      </c>
    </row>
    <row r="3" spans="1:53" x14ac:dyDescent="0.15">
      <c r="A3" s="53" t="s">
        <v>56</v>
      </c>
      <c r="B3" s="53" t="s">
        <v>231</v>
      </c>
      <c r="C3" s="53">
        <v>2019</v>
      </c>
      <c r="D3" s="81" t="s">
        <v>232</v>
      </c>
      <c r="E3" s="53" t="s">
        <v>233</v>
      </c>
      <c r="F3" s="53" t="s">
        <v>234</v>
      </c>
      <c r="G3" s="53" t="s">
        <v>42</v>
      </c>
      <c r="H3" s="53" t="s">
        <v>164</v>
      </c>
      <c r="I3" s="53" t="s">
        <v>196</v>
      </c>
      <c r="J3" s="53" t="s">
        <v>38</v>
      </c>
      <c r="K3" s="53" t="s">
        <v>161</v>
      </c>
      <c r="L3" s="53">
        <v>2</v>
      </c>
      <c r="N3" s="53">
        <v>5</v>
      </c>
      <c r="O3" s="53">
        <v>0.8</v>
      </c>
      <c r="P3" s="53">
        <v>0.75</v>
      </c>
      <c r="Q3" s="75">
        <f t="shared" si="0"/>
        <v>0.77500000000000002</v>
      </c>
      <c r="R3" s="53">
        <v>15</v>
      </c>
      <c r="S3" s="53">
        <v>93</v>
      </c>
      <c r="T3" s="16">
        <f t="shared" si="1"/>
        <v>36</v>
      </c>
      <c r="U3" s="53">
        <v>539</v>
      </c>
      <c r="V3" s="16">
        <f t="shared" si="2"/>
        <v>3880.7999999999997</v>
      </c>
      <c r="W3" s="53">
        <v>2</v>
      </c>
      <c r="X3" s="53" t="s">
        <v>46</v>
      </c>
      <c r="Y3" s="53" t="s">
        <v>90</v>
      </c>
      <c r="Z3" s="53" t="s">
        <v>102</v>
      </c>
      <c r="AA3" s="53" t="s">
        <v>55</v>
      </c>
      <c r="AB3" s="53" t="s">
        <v>235</v>
      </c>
      <c r="AE3" s="22" t="s">
        <v>41</v>
      </c>
      <c r="AG3" s="23" t="s">
        <v>238</v>
      </c>
      <c r="AH3" s="82" t="s">
        <v>234</v>
      </c>
      <c r="AJ3" s="23" t="s">
        <v>42</v>
      </c>
      <c r="AL3" s="23" t="s">
        <v>128</v>
      </c>
      <c r="AN3" s="23" t="s">
        <v>43</v>
      </c>
      <c r="AP3" s="23" t="s">
        <v>44</v>
      </c>
      <c r="AR3" s="23" t="s">
        <v>45</v>
      </c>
      <c r="AT3" s="23" t="s">
        <v>46</v>
      </c>
      <c r="AV3" s="23" t="s">
        <v>47</v>
      </c>
      <c r="AX3" s="24">
        <v>72</v>
      </c>
      <c r="AY3" s="25">
        <v>46</v>
      </c>
      <c r="AZ3" s="25">
        <v>71</v>
      </c>
      <c r="BA3" s="26">
        <v>42</v>
      </c>
    </row>
    <row r="4" spans="1:53" x14ac:dyDescent="0.15">
      <c r="A4" s="53" t="s">
        <v>56</v>
      </c>
      <c r="B4" s="53" t="s">
        <v>231</v>
      </c>
      <c r="C4" s="53">
        <v>2019</v>
      </c>
      <c r="D4" s="81" t="s">
        <v>232</v>
      </c>
      <c r="E4" s="53" t="s">
        <v>233</v>
      </c>
      <c r="F4" s="53" t="s">
        <v>234</v>
      </c>
      <c r="G4" s="53" t="s">
        <v>42</v>
      </c>
      <c r="H4" s="53" t="s">
        <v>164</v>
      </c>
      <c r="I4" s="53" t="s">
        <v>196</v>
      </c>
      <c r="J4" s="53" t="s">
        <v>38</v>
      </c>
      <c r="K4" s="53" t="s">
        <v>161</v>
      </c>
      <c r="L4" s="53">
        <v>3</v>
      </c>
      <c r="N4" s="53">
        <v>5</v>
      </c>
      <c r="O4" s="53">
        <v>0.7</v>
      </c>
      <c r="P4" s="53">
        <v>0.7</v>
      </c>
      <c r="Q4" s="75">
        <f t="shared" si="0"/>
        <v>0.7</v>
      </c>
      <c r="R4" s="53">
        <v>15.3</v>
      </c>
      <c r="S4" s="53">
        <v>90</v>
      </c>
      <c r="T4" s="16">
        <f t="shared" si="1"/>
        <v>36</v>
      </c>
      <c r="U4" s="53">
        <v>539</v>
      </c>
      <c r="V4" s="16">
        <f t="shared" si="2"/>
        <v>3880.7999999999997</v>
      </c>
      <c r="W4" s="53">
        <v>2</v>
      </c>
      <c r="X4" s="53" t="s">
        <v>46</v>
      </c>
      <c r="Y4" s="53" t="s">
        <v>90</v>
      </c>
      <c r="Z4" s="53" t="s">
        <v>102</v>
      </c>
      <c r="AA4" s="53" t="s">
        <v>55</v>
      </c>
      <c r="AB4" s="53" t="s">
        <v>235</v>
      </c>
      <c r="AE4" s="22" t="s">
        <v>34</v>
      </c>
      <c r="AG4" s="23" t="s">
        <v>239</v>
      </c>
      <c r="AH4" s="82" t="s">
        <v>240</v>
      </c>
      <c r="AJ4" s="27" t="s">
        <v>48</v>
      </c>
      <c r="AL4" s="27" t="s">
        <v>241</v>
      </c>
      <c r="AN4" s="28" t="s">
        <v>49</v>
      </c>
      <c r="AP4" s="23" t="s">
        <v>93</v>
      </c>
      <c r="AR4" s="23" t="s">
        <v>121</v>
      </c>
      <c r="AT4" s="28"/>
      <c r="AV4" s="23" t="s">
        <v>50</v>
      </c>
      <c r="AX4" s="24">
        <v>75</v>
      </c>
      <c r="AY4" s="25">
        <v>42</v>
      </c>
      <c r="AZ4" s="25">
        <v>76</v>
      </c>
      <c r="BA4" s="26">
        <v>39</v>
      </c>
    </row>
    <row r="5" spans="1:53" x14ac:dyDescent="0.15">
      <c r="A5" s="53" t="s">
        <v>56</v>
      </c>
      <c r="B5" s="53" t="s">
        <v>231</v>
      </c>
      <c r="C5" s="53">
        <v>2019</v>
      </c>
      <c r="D5" s="81" t="s">
        <v>232</v>
      </c>
      <c r="E5" s="53" t="s">
        <v>233</v>
      </c>
      <c r="F5" s="53" t="s">
        <v>234</v>
      </c>
      <c r="G5" s="53" t="s">
        <v>42</v>
      </c>
      <c r="H5" s="53" t="s">
        <v>160</v>
      </c>
      <c r="I5" s="53" t="s">
        <v>196</v>
      </c>
      <c r="J5" s="53" t="s">
        <v>38</v>
      </c>
      <c r="K5" s="53" t="s">
        <v>161</v>
      </c>
      <c r="L5" s="53">
        <v>1</v>
      </c>
      <c r="N5" s="53">
        <v>1</v>
      </c>
      <c r="O5" s="53">
        <v>0.6</v>
      </c>
      <c r="P5" s="53">
        <v>0.65</v>
      </c>
      <c r="Q5" s="75">
        <f t="shared" si="0"/>
        <v>0.625</v>
      </c>
      <c r="R5" s="53">
        <v>14</v>
      </c>
      <c r="S5" s="53">
        <v>149</v>
      </c>
      <c r="T5" s="16">
        <f t="shared" si="1"/>
        <v>22</v>
      </c>
      <c r="U5" s="53">
        <v>183</v>
      </c>
      <c r="V5" s="16">
        <f t="shared" si="2"/>
        <v>4026</v>
      </c>
      <c r="W5" s="53">
        <v>4</v>
      </c>
      <c r="X5" s="53" t="s">
        <v>46</v>
      </c>
      <c r="Y5" s="53" t="s">
        <v>90</v>
      </c>
      <c r="Z5" s="53" t="s">
        <v>102</v>
      </c>
      <c r="AA5" s="53" t="s">
        <v>55</v>
      </c>
      <c r="AB5" s="53" t="s">
        <v>235</v>
      </c>
      <c r="AE5" s="22" t="s">
        <v>51</v>
      </c>
      <c r="AG5" s="23" t="s">
        <v>242</v>
      </c>
      <c r="AH5" s="82" t="s">
        <v>243</v>
      </c>
      <c r="AJ5" s="28"/>
      <c r="AL5" s="73" t="s">
        <v>66</v>
      </c>
      <c r="AN5" s="73" t="s">
        <v>52</v>
      </c>
      <c r="AP5" s="23" t="s">
        <v>244</v>
      </c>
      <c r="AR5" s="23" t="s">
        <v>54</v>
      </c>
      <c r="AV5" s="23" t="s">
        <v>55</v>
      </c>
      <c r="AX5" s="24">
        <v>84</v>
      </c>
      <c r="AY5" s="25">
        <v>39</v>
      </c>
      <c r="AZ5" s="25">
        <v>84</v>
      </c>
      <c r="BA5" s="26">
        <v>36</v>
      </c>
    </row>
    <row r="6" spans="1:53" x14ac:dyDescent="0.15">
      <c r="A6" s="53" t="s">
        <v>56</v>
      </c>
      <c r="B6" s="53" t="s">
        <v>231</v>
      </c>
      <c r="C6" s="53">
        <v>2019</v>
      </c>
      <c r="D6" s="81" t="s">
        <v>232</v>
      </c>
      <c r="E6" s="53" t="s">
        <v>233</v>
      </c>
      <c r="F6" s="53" t="s">
        <v>234</v>
      </c>
      <c r="G6" s="53" t="s">
        <v>42</v>
      </c>
      <c r="H6" s="53" t="s">
        <v>160</v>
      </c>
      <c r="I6" s="53" t="s">
        <v>196</v>
      </c>
      <c r="J6" s="53" t="s">
        <v>38</v>
      </c>
      <c r="K6" s="53" t="s">
        <v>161</v>
      </c>
      <c r="L6" s="53">
        <v>2</v>
      </c>
      <c r="N6" s="53">
        <v>1</v>
      </c>
      <c r="O6" s="53">
        <v>0.6</v>
      </c>
      <c r="P6" s="53">
        <v>0.75</v>
      </c>
      <c r="Q6" s="75">
        <f t="shared" si="0"/>
        <v>0.67500000000000004</v>
      </c>
      <c r="R6" s="53">
        <v>15.7</v>
      </c>
      <c r="S6" s="53">
        <v>152</v>
      </c>
      <c r="T6" s="16">
        <f t="shared" si="1"/>
        <v>22</v>
      </c>
      <c r="U6" s="53">
        <v>183</v>
      </c>
      <c r="V6" s="16">
        <f t="shared" si="2"/>
        <v>4026</v>
      </c>
      <c r="W6" s="53">
        <v>4</v>
      </c>
      <c r="X6" s="53" t="s">
        <v>46</v>
      </c>
      <c r="Y6" s="53" t="s">
        <v>90</v>
      </c>
      <c r="Z6" s="53" t="s">
        <v>102</v>
      </c>
      <c r="AA6" s="53" t="s">
        <v>55</v>
      </c>
      <c r="AB6" s="53" t="s">
        <v>235</v>
      </c>
      <c r="AE6" s="22" t="s">
        <v>56</v>
      </c>
      <c r="AG6" s="23" t="s">
        <v>245</v>
      </c>
      <c r="AH6" s="82" t="s">
        <v>243</v>
      </c>
      <c r="AL6" s="73" t="s">
        <v>99</v>
      </c>
      <c r="AN6" s="73" t="s">
        <v>57</v>
      </c>
      <c r="AP6" s="23" t="s">
        <v>53</v>
      </c>
      <c r="AR6" s="23" t="s">
        <v>59</v>
      </c>
      <c r="AV6" s="23" t="s">
        <v>60</v>
      </c>
      <c r="AX6" s="24">
        <v>97</v>
      </c>
      <c r="AY6" s="25">
        <v>36</v>
      </c>
      <c r="AZ6" s="25">
        <v>99</v>
      </c>
      <c r="BA6" s="26">
        <v>33</v>
      </c>
    </row>
    <row r="7" spans="1:53" x14ac:dyDescent="0.15">
      <c r="A7" s="53" t="s">
        <v>56</v>
      </c>
      <c r="B7" s="53" t="s">
        <v>231</v>
      </c>
      <c r="C7" s="53">
        <v>2019</v>
      </c>
      <c r="D7" s="81" t="s">
        <v>232</v>
      </c>
      <c r="E7" s="53" t="s">
        <v>233</v>
      </c>
      <c r="F7" s="53" t="s">
        <v>234</v>
      </c>
      <c r="G7" s="53" t="s">
        <v>42</v>
      </c>
      <c r="H7" s="53" t="s">
        <v>160</v>
      </c>
      <c r="I7" s="53" t="s">
        <v>196</v>
      </c>
      <c r="J7" s="53" t="s">
        <v>38</v>
      </c>
      <c r="K7" s="53" t="s">
        <v>161</v>
      </c>
      <c r="L7" s="53">
        <v>3</v>
      </c>
      <c r="N7" s="53">
        <v>1</v>
      </c>
      <c r="O7" s="53">
        <v>0.6</v>
      </c>
      <c r="P7" s="53">
        <v>0.6</v>
      </c>
      <c r="Q7" s="75">
        <f t="shared" si="0"/>
        <v>0.6</v>
      </c>
      <c r="R7" s="53">
        <v>16.100000000000001</v>
      </c>
      <c r="S7" s="53">
        <v>151</v>
      </c>
      <c r="T7" s="16">
        <f t="shared" si="1"/>
        <v>22</v>
      </c>
      <c r="U7" s="53">
        <v>183</v>
      </c>
      <c r="V7" s="16">
        <f t="shared" si="2"/>
        <v>4026</v>
      </c>
      <c r="W7" s="53">
        <v>4</v>
      </c>
      <c r="X7" s="53" t="s">
        <v>46</v>
      </c>
      <c r="Y7" s="53" t="s">
        <v>90</v>
      </c>
      <c r="Z7" s="53" t="s">
        <v>102</v>
      </c>
      <c r="AA7" s="53" t="s">
        <v>55</v>
      </c>
      <c r="AB7" s="53" t="s">
        <v>235</v>
      </c>
      <c r="AE7" s="22" t="s">
        <v>61</v>
      </c>
      <c r="AG7" s="23" t="s">
        <v>246</v>
      </c>
      <c r="AH7" s="82" t="s">
        <v>247</v>
      </c>
      <c r="AL7" s="83" t="s">
        <v>109</v>
      </c>
      <c r="AP7" s="23" t="s">
        <v>58</v>
      </c>
      <c r="AR7" s="23" t="s">
        <v>122</v>
      </c>
      <c r="AV7" s="23" t="s">
        <v>64</v>
      </c>
      <c r="AX7" s="24">
        <v>109</v>
      </c>
      <c r="AY7" s="25">
        <v>33</v>
      </c>
      <c r="AZ7" s="25">
        <v>113</v>
      </c>
      <c r="BA7" s="26">
        <v>30</v>
      </c>
    </row>
    <row r="8" spans="1:53" x14ac:dyDescent="0.15">
      <c r="A8" s="53" t="s">
        <v>56</v>
      </c>
      <c r="B8" s="53" t="s">
        <v>231</v>
      </c>
      <c r="C8" s="53">
        <v>2019</v>
      </c>
      <c r="D8" s="81" t="s">
        <v>232</v>
      </c>
      <c r="E8" s="53" t="s">
        <v>248</v>
      </c>
      <c r="F8" s="53" t="s">
        <v>234</v>
      </c>
      <c r="G8" s="53" t="s">
        <v>42</v>
      </c>
      <c r="H8" s="53" t="s">
        <v>164</v>
      </c>
      <c r="I8" s="53" t="s">
        <v>159</v>
      </c>
      <c r="J8" s="53" t="s">
        <v>38</v>
      </c>
      <c r="K8" s="53" t="s">
        <v>161</v>
      </c>
      <c r="L8" s="53">
        <v>1</v>
      </c>
      <c r="N8" s="53">
        <v>6</v>
      </c>
      <c r="O8" s="53">
        <v>0.85</v>
      </c>
      <c r="P8" s="53">
        <v>0.75</v>
      </c>
      <c r="Q8" s="75">
        <f t="shared" si="0"/>
        <v>0.8</v>
      </c>
      <c r="R8" s="53">
        <v>11.7</v>
      </c>
      <c r="S8" s="53">
        <v>94</v>
      </c>
      <c r="T8" s="16">
        <f t="shared" si="1"/>
        <v>36</v>
      </c>
      <c r="U8" s="53">
        <v>538</v>
      </c>
      <c r="V8" s="16">
        <f t="shared" si="2"/>
        <v>3228</v>
      </c>
      <c r="W8" s="53">
        <v>6</v>
      </c>
      <c r="X8" s="53" t="s">
        <v>46</v>
      </c>
      <c r="Y8" s="53" t="s">
        <v>102</v>
      </c>
      <c r="Z8" s="53" t="s">
        <v>78</v>
      </c>
      <c r="AA8" s="53" t="s">
        <v>84</v>
      </c>
      <c r="AB8" s="53" t="s">
        <v>235</v>
      </c>
      <c r="AE8" s="22" t="s">
        <v>59</v>
      </c>
      <c r="AG8" s="23" t="s">
        <v>249</v>
      </c>
      <c r="AH8" s="82" t="s">
        <v>247</v>
      </c>
      <c r="AL8" s="83" t="s">
        <v>134</v>
      </c>
      <c r="AP8" s="23" t="s">
        <v>62</v>
      </c>
      <c r="AR8" s="23" t="s">
        <v>81</v>
      </c>
      <c r="AV8" s="23" t="s">
        <v>97</v>
      </c>
      <c r="AX8" s="24">
        <v>119</v>
      </c>
      <c r="AY8" s="25">
        <v>30</v>
      </c>
      <c r="AZ8" s="25">
        <v>121</v>
      </c>
      <c r="BA8" s="26">
        <v>27</v>
      </c>
    </row>
    <row r="9" spans="1:53" x14ac:dyDescent="0.15">
      <c r="A9" s="53" t="s">
        <v>56</v>
      </c>
      <c r="B9" s="53" t="s">
        <v>231</v>
      </c>
      <c r="C9" s="53">
        <v>2019</v>
      </c>
      <c r="D9" s="81" t="s">
        <v>232</v>
      </c>
      <c r="E9" s="53" t="s">
        <v>248</v>
      </c>
      <c r="F9" s="53" t="s">
        <v>234</v>
      </c>
      <c r="G9" s="53" t="s">
        <v>42</v>
      </c>
      <c r="H9" s="53" t="s">
        <v>164</v>
      </c>
      <c r="I9" s="53" t="s">
        <v>159</v>
      </c>
      <c r="J9" s="53" t="s">
        <v>38</v>
      </c>
      <c r="K9" s="53" t="s">
        <v>161</v>
      </c>
      <c r="L9" s="53">
        <v>2</v>
      </c>
      <c r="N9" s="53">
        <v>6</v>
      </c>
      <c r="O9" s="53">
        <v>0.7</v>
      </c>
      <c r="P9" s="53">
        <v>0.6</v>
      </c>
      <c r="Q9" s="75">
        <f t="shared" si="0"/>
        <v>0.64999999999999991</v>
      </c>
      <c r="R9" s="53">
        <v>13.5</v>
      </c>
      <c r="S9" s="53">
        <v>101</v>
      </c>
      <c r="T9" s="16">
        <f t="shared" si="1"/>
        <v>33</v>
      </c>
      <c r="U9" s="53">
        <v>538</v>
      </c>
      <c r="V9" s="16">
        <f t="shared" si="2"/>
        <v>2959</v>
      </c>
      <c r="W9" s="53">
        <v>6</v>
      </c>
      <c r="X9" s="53" t="s">
        <v>46</v>
      </c>
      <c r="Y9" s="53" t="s">
        <v>102</v>
      </c>
      <c r="Z9" s="53" t="s">
        <v>78</v>
      </c>
      <c r="AA9" s="53" t="s">
        <v>84</v>
      </c>
      <c r="AB9" s="53" t="s">
        <v>235</v>
      </c>
      <c r="AE9" s="22" t="s">
        <v>98</v>
      </c>
      <c r="AG9" s="23" t="s">
        <v>233</v>
      </c>
      <c r="AH9" s="23" t="s">
        <v>234</v>
      </c>
      <c r="AL9" s="73"/>
      <c r="AP9" s="23" t="s">
        <v>95</v>
      </c>
      <c r="AR9" s="23" t="s">
        <v>89</v>
      </c>
      <c r="AV9" s="23" t="s">
        <v>102</v>
      </c>
      <c r="AX9" s="24">
        <v>128</v>
      </c>
      <c r="AY9" s="25">
        <v>27</v>
      </c>
      <c r="AZ9" s="25">
        <v>129</v>
      </c>
      <c r="BA9" s="26">
        <v>25</v>
      </c>
    </row>
    <row r="10" spans="1:53" x14ac:dyDescent="0.15">
      <c r="A10" s="53" t="s">
        <v>56</v>
      </c>
      <c r="B10" s="53" t="s">
        <v>231</v>
      </c>
      <c r="C10" s="53">
        <v>2019</v>
      </c>
      <c r="D10" s="81" t="s">
        <v>232</v>
      </c>
      <c r="E10" s="53" t="s">
        <v>248</v>
      </c>
      <c r="F10" s="53" t="s">
        <v>234</v>
      </c>
      <c r="G10" s="53" t="s">
        <v>42</v>
      </c>
      <c r="H10" s="53" t="s">
        <v>164</v>
      </c>
      <c r="I10" s="53" t="s">
        <v>159</v>
      </c>
      <c r="J10" s="53" t="s">
        <v>38</v>
      </c>
      <c r="K10" s="53" t="s">
        <v>161</v>
      </c>
      <c r="L10" s="53">
        <v>3</v>
      </c>
      <c r="N10" s="53">
        <v>6</v>
      </c>
      <c r="O10" s="53">
        <v>0.75</v>
      </c>
      <c r="P10" s="53">
        <v>0.85</v>
      </c>
      <c r="Q10" s="75">
        <f t="shared" si="0"/>
        <v>0.8</v>
      </c>
      <c r="R10" s="53">
        <v>14.4</v>
      </c>
      <c r="S10" s="53">
        <v>98</v>
      </c>
      <c r="T10" s="16">
        <f t="shared" si="1"/>
        <v>36</v>
      </c>
      <c r="U10" s="53">
        <v>538</v>
      </c>
      <c r="V10" s="16">
        <f t="shared" si="2"/>
        <v>3228</v>
      </c>
      <c r="W10" s="53">
        <v>6</v>
      </c>
      <c r="X10" s="53" t="s">
        <v>46</v>
      </c>
      <c r="Y10" s="53" t="s">
        <v>102</v>
      </c>
      <c r="Z10" s="53" t="s">
        <v>78</v>
      </c>
      <c r="AA10" s="53" t="s">
        <v>84</v>
      </c>
      <c r="AB10" s="53" t="s">
        <v>235</v>
      </c>
      <c r="AE10" s="22" t="s">
        <v>103</v>
      </c>
      <c r="AG10" s="23" t="s">
        <v>246</v>
      </c>
      <c r="AH10" s="82" t="s">
        <v>243</v>
      </c>
      <c r="AL10" s="83"/>
      <c r="AP10" s="23" t="s">
        <v>100</v>
      </c>
      <c r="AR10" s="23" t="s">
        <v>123</v>
      </c>
      <c r="AV10" s="23" t="s">
        <v>106</v>
      </c>
      <c r="AX10" s="24">
        <v>138</v>
      </c>
      <c r="AY10" s="25">
        <v>25</v>
      </c>
      <c r="AZ10" s="25">
        <v>138</v>
      </c>
      <c r="BA10" s="26">
        <v>22</v>
      </c>
    </row>
    <row r="11" spans="1:53" x14ac:dyDescent="0.15">
      <c r="A11" s="53" t="s">
        <v>56</v>
      </c>
      <c r="B11" s="53" t="s">
        <v>231</v>
      </c>
      <c r="C11" s="53">
        <v>2019</v>
      </c>
      <c r="D11" s="81" t="s">
        <v>232</v>
      </c>
      <c r="E11" s="53" t="s">
        <v>248</v>
      </c>
      <c r="F11" s="53" t="s">
        <v>234</v>
      </c>
      <c r="G11" s="53" t="s">
        <v>42</v>
      </c>
      <c r="H11" s="53" t="s">
        <v>160</v>
      </c>
      <c r="I11" s="53" t="s">
        <v>159</v>
      </c>
      <c r="J11" s="53" t="s">
        <v>38</v>
      </c>
      <c r="K11" s="53" t="s">
        <v>161</v>
      </c>
      <c r="L11" s="53">
        <v>1</v>
      </c>
      <c r="N11" s="53">
        <v>6</v>
      </c>
      <c r="O11" s="53">
        <v>0.6</v>
      </c>
      <c r="P11" s="53">
        <v>0.55000000000000004</v>
      </c>
      <c r="Q11" s="75">
        <f t="shared" si="0"/>
        <v>0.57499999999999996</v>
      </c>
      <c r="R11" s="53">
        <v>13.6</v>
      </c>
      <c r="S11" s="53">
        <v>100</v>
      </c>
      <c r="T11" s="16">
        <f t="shared" si="1"/>
        <v>33</v>
      </c>
      <c r="U11" s="53">
        <v>538</v>
      </c>
      <c r="V11" s="16">
        <f t="shared" si="2"/>
        <v>2959</v>
      </c>
      <c r="W11" s="53">
        <v>6</v>
      </c>
      <c r="X11" s="53" t="s">
        <v>46</v>
      </c>
      <c r="Y11" s="53" t="s">
        <v>102</v>
      </c>
      <c r="Z11" s="53" t="s">
        <v>78</v>
      </c>
      <c r="AA11" s="53" t="s">
        <v>84</v>
      </c>
      <c r="AB11" s="53" t="s">
        <v>235</v>
      </c>
      <c r="AE11" s="22" t="s">
        <v>65</v>
      </c>
      <c r="AG11" s="23" t="s">
        <v>245</v>
      </c>
      <c r="AH11" s="82" t="s">
        <v>243</v>
      </c>
      <c r="AJ11" s="83"/>
      <c r="AP11" s="23" t="s">
        <v>104</v>
      </c>
      <c r="AR11" s="23" t="s">
        <v>87</v>
      </c>
      <c r="AV11" s="23" t="s">
        <v>69</v>
      </c>
    </row>
    <row r="12" spans="1:53" x14ac:dyDescent="0.15">
      <c r="A12" s="53" t="s">
        <v>56</v>
      </c>
      <c r="B12" s="53" t="s">
        <v>231</v>
      </c>
      <c r="C12" s="53">
        <v>2019</v>
      </c>
      <c r="D12" s="81" t="s">
        <v>232</v>
      </c>
      <c r="E12" s="53" t="s">
        <v>248</v>
      </c>
      <c r="F12" s="53" t="s">
        <v>234</v>
      </c>
      <c r="G12" s="53" t="s">
        <v>42</v>
      </c>
      <c r="H12" s="53" t="s">
        <v>160</v>
      </c>
      <c r="I12" s="53" t="s">
        <v>159</v>
      </c>
      <c r="J12" s="53" t="s">
        <v>38</v>
      </c>
      <c r="K12" s="53" t="s">
        <v>161</v>
      </c>
      <c r="L12" s="53">
        <v>2</v>
      </c>
      <c r="N12" s="53">
        <v>6</v>
      </c>
      <c r="O12" s="53">
        <v>0.55000000000000004</v>
      </c>
      <c r="P12" s="53">
        <v>0.55000000000000004</v>
      </c>
      <c r="Q12" s="75">
        <f t="shared" si="0"/>
        <v>0.55000000000000004</v>
      </c>
      <c r="R12" s="53">
        <v>13.6</v>
      </c>
      <c r="S12" s="53">
        <v>93</v>
      </c>
      <c r="T12" s="16">
        <f t="shared" si="1"/>
        <v>36</v>
      </c>
      <c r="U12" s="53">
        <v>538</v>
      </c>
      <c r="V12" s="16">
        <f t="shared" si="2"/>
        <v>3228</v>
      </c>
      <c r="W12" s="53">
        <v>6</v>
      </c>
      <c r="X12" s="53" t="s">
        <v>46</v>
      </c>
      <c r="Y12" s="53" t="s">
        <v>102</v>
      </c>
      <c r="Z12" s="53" t="s">
        <v>78</v>
      </c>
      <c r="AA12" s="53" t="s">
        <v>84</v>
      </c>
      <c r="AB12" s="53" t="s">
        <v>235</v>
      </c>
      <c r="AE12" s="22" t="s">
        <v>70</v>
      </c>
      <c r="AG12" s="23" t="s">
        <v>238</v>
      </c>
      <c r="AH12" s="82" t="s">
        <v>243</v>
      </c>
      <c r="AJ12" s="83"/>
      <c r="AP12" s="23" t="s">
        <v>67</v>
      </c>
      <c r="AR12" s="23" t="s">
        <v>124</v>
      </c>
      <c r="AV12" s="23" t="s">
        <v>72</v>
      </c>
    </row>
    <row r="13" spans="1:53" x14ac:dyDescent="0.15">
      <c r="A13" s="53" t="s">
        <v>56</v>
      </c>
      <c r="B13" s="53" t="s">
        <v>231</v>
      </c>
      <c r="C13" s="53">
        <v>2019</v>
      </c>
      <c r="D13" s="81" t="s">
        <v>232</v>
      </c>
      <c r="E13" s="53" t="s">
        <v>248</v>
      </c>
      <c r="F13" s="53" t="s">
        <v>234</v>
      </c>
      <c r="G13" s="53" t="s">
        <v>42</v>
      </c>
      <c r="H13" s="53" t="s">
        <v>160</v>
      </c>
      <c r="I13" s="53" t="s">
        <v>159</v>
      </c>
      <c r="J13" s="53" t="s">
        <v>38</v>
      </c>
      <c r="K13" s="53" t="s">
        <v>161</v>
      </c>
      <c r="L13" s="53">
        <v>3</v>
      </c>
      <c r="N13" s="53">
        <v>6</v>
      </c>
      <c r="O13" s="53">
        <v>0.65</v>
      </c>
      <c r="P13" s="53">
        <v>0.65</v>
      </c>
      <c r="Q13" s="75">
        <f t="shared" si="0"/>
        <v>0.65</v>
      </c>
      <c r="R13" s="53">
        <v>13.9</v>
      </c>
      <c r="S13" s="53">
        <v>96</v>
      </c>
      <c r="T13" s="16">
        <f t="shared" si="1"/>
        <v>36</v>
      </c>
      <c r="U13" s="53">
        <v>538</v>
      </c>
      <c r="V13" s="16">
        <f t="shared" si="2"/>
        <v>3228</v>
      </c>
      <c r="W13" s="53">
        <v>6</v>
      </c>
      <c r="X13" s="53" t="s">
        <v>46</v>
      </c>
      <c r="Y13" s="53" t="s">
        <v>102</v>
      </c>
      <c r="Z13" s="53" t="s">
        <v>78</v>
      </c>
      <c r="AA13" s="53" t="s">
        <v>84</v>
      </c>
      <c r="AB13" s="53" t="s">
        <v>235</v>
      </c>
      <c r="AE13" s="22" t="s">
        <v>73</v>
      </c>
      <c r="AP13" s="23" t="s">
        <v>71</v>
      </c>
      <c r="AR13" s="23" t="s">
        <v>103</v>
      </c>
      <c r="AV13" s="23" t="s">
        <v>75</v>
      </c>
    </row>
    <row r="14" spans="1:53" x14ac:dyDescent="0.15">
      <c r="A14" s="53" t="s">
        <v>56</v>
      </c>
      <c r="B14" s="53" t="s">
        <v>231</v>
      </c>
      <c r="C14" s="53">
        <v>2019</v>
      </c>
      <c r="D14" s="81" t="s">
        <v>232</v>
      </c>
      <c r="E14" s="53" t="s">
        <v>162</v>
      </c>
      <c r="F14" s="53" t="s">
        <v>250</v>
      </c>
      <c r="G14" s="53" t="s">
        <v>42</v>
      </c>
      <c r="H14" s="53" t="s">
        <v>164</v>
      </c>
      <c r="I14" s="53" t="s">
        <v>159</v>
      </c>
      <c r="J14" s="53" t="s">
        <v>38</v>
      </c>
      <c r="K14" s="53" t="s">
        <v>161</v>
      </c>
      <c r="L14" s="53">
        <v>1</v>
      </c>
      <c r="N14" s="53">
        <v>1</v>
      </c>
      <c r="O14" s="53">
        <v>0.7</v>
      </c>
      <c r="P14" s="53">
        <v>0.65</v>
      </c>
      <c r="Q14" s="75">
        <f t="shared" si="0"/>
        <v>0.67500000000000004</v>
      </c>
      <c r="R14" s="53">
        <v>12.8</v>
      </c>
      <c r="S14" s="53">
        <v>122</v>
      </c>
      <c r="T14" s="16">
        <f t="shared" si="1"/>
        <v>27</v>
      </c>
      <c r="U14" s="53">
        <v>106</v>
      </c>
      <c r="V14" s="16">
        <f t="shared" si="2"/>
        <v>2862</v>
      </c>
      <c r="W14" s="53">
        <v>2</v>
      </c>
      <c r="X14" s="53" t="s">
        <v>46</v>
      </c>
      <c r="Y14" s="53" t="s">
        <v>90</v>
      </c>
      <c r="Z14" s="53" t="s">
        <v>78</v>
      </c>
      <c r="AA14" s="53" t="s">
        <v>84</v>
      </c>
      <c r="AB14" s="53" t="s">
        <v>235</v>
      </c>
      <c r="AE14" s="22" t="s">
        <v>76</v>
      </c>
      <c r="AP14" s="23" t="s">
        <v>74</v>
      </c>
      <c r="AR14" s="23" t="s">
        <v>125</v>
      </c>
      <c r="AV14" s="23" t="s">
        <v>78</v>
      </c>
    </row>
    <row r="15" spans="1:53" x14ac:dyDescent="0.15">
      <c r="A15" s="53" t="s">
        <v>56</v>
      </c>
      <c r="B15" s="53" t="s">
        <v>231</v>
      </c>
      <c r="C15" s="53">
        <v>2019</v>
      </c>
      <c r="D15" s="81" t="s">
        <v>232</v>
      </c>
      <c r="E15" s="53" t="s">
        <v>162</v>
      </c>
      <c r="F15" s="53" t="s">
        <v>250</v>
      </c>
      <c r="G15" s="53" t="s">
        <v>42</v>
      </c>
      <c r="H15" s="53" t="s">
        <v>164</v>
      </c>
      <c r="I15" s="53" t="s">
        <v>159</v>
      </c>
      <c r="J15" s="53" t="s">
        <v>38</v>
      </c>
      <c r="K15" s="53" t="s">
        <v>161</v>
      </c>
      <c r="L15" s="53">
        <v>2</v>
      </c>
      <c r="N15" s="53">
        <v>1</v>
      </c>
      <c r="O15" s="53">
        <v>0.8</v>
      </c>
      <c r="P15" s="53">
        <v>0.75</v>
      </c>
      <c r="Q15" s="75">
        <f t="shared" si="0"/>
        <v>0.77500000000000002</v>
      </c>
      <c r="R15" s="53">
        <v>13.5</v>
      </c>
      <c r="S15" s="53">
        <v>120</v>
      </c>
      <c r="T15" s="16">
        <f t="shared" si="1"/>
        <v>30</v>
      </c>
      <c r="U15" s="53">
        <v>106</v>
      </c>
      <c r="V15" s="16">
        <f t="shared" si="2"/>
        <v>3180</v>
      </c>
      <c r="W15" s="53">
        <v>2</v>
      </c>
      <c r="X15" s="53" t="s">
        <v>46</v>
      </c>
      <c r="Y15" s="53" t="s">
        <v>90</v>
      </c>
      <c r="Z15" s="53" t="s">
        <v>78</v>
      </c>
      <c r="AA15" s="53" t="s">
        <v>84</v>
      </c>
      <c r="AB15" s="53" t="s">
        <v>235</v>
      </c>
      <c r="AE15" s="22" t="s">
        <v>79</v>
      </c>
      <c r="AP15" s="23" t="s">
        <v>77</v>
      </c>
      <c r="AR15" s="23" t="s">
        <v>94</v>
      </c>
      <c r="AV15" s="23" t="s">
        <v>107</v>
      </c>
    </row>
    <row r="16" spans="1:53" x14ac:dyDescent="0.15">
      <c r="A16" s="53" t="s">
        <v>56</v>
      </c>
      <c r="B16" s="53" t="s">
        <v>231</v>
      </c>
      <c r="C16" s="53">
        <v>2019</v>
      </c>
      <c r="D16" s="81" t="s">
        <v>232</v>
      </c>
      <c r="E16" s="53" t="s">
        <v>162</v>
      </c>
      <c r="F16" s="53" t="s">
        <v>250</v>
      </c>
      <c r="G16" s="53" t="s">
        <v>42</v>
      </c>
      <c r="H16" s="53" t="s">
        <v>164</v>
      </c>
      <c r="I16" s="53" t="s">
        <v>159</v>
      </c>
      <c r="J16" s="53" t="s">
        <v>38</v>
      </c>
      <c r="K16" s="53" t="s">
        <v>161</v>
      </c>
      <c r="L16" s="53">
        <v>3</v>
      </c>
      <c r="N16" s="53">
        <v>1</v>
      </c>
      <c r="O16" s="53">
        <v>0.8</v>
      </c>
      <c r="P16" s="53">
        <v>0.8</v>
      </c>
      <c r="Q16" s="75">
        <f t="shared" si="0"/>
        <v>0.8</v>
      </c>
      <c r="R16" s="53">
        <v>12.9</v>
      </c>
      <c r="S16" s="53">
        <v>125</v>
      </c>
      <c r="T16" s="16">
        <f t="shared" si="1"/>
        <v>27</v>
      </c>
      <c r="U16" s="53">
        <v>106</v>
      </c>
      <c r="V16" s="16">
        <f t="shared" si="2"/>
        <v>2862</v>
      </c>
      <c r="W16" s="53">
        <v>2</v>
      </c>
      <c r="X16" s="53" t="s">
        <v>46</v>
      </c>
      <c r="Y16" s="53" t="s">
        <v>90</v>
      </c>
      <c r="Z16" s="53" t="s">
        <v>78</v>
      </c>
      <c r="AA16" s="53" t="s">
        <v>84</v>
      </c>
      <c r="AB16" s="53" t="s">
        <v>235</v>
      </c>
      <c r="AE16" s="22" t="s">
        <v>82</v>
      </c>
      <c r="AP16" s="23" t="s">
        <v>80</v>
      </c>
      <c r="AR16" s="23" t="s">
        <v>63</v>
      </c>
      <c r="AV16" s="23" t="s">
        <v>84</v>
      </c>
    </row>
    <row r="17" spans="1:48" x14ac:dyDescent="0.15">
      <c r="A17" s="53" t="s">
        <v>56</v>
      </c>
      <c r="B17" s="53" t="s">
        <v>231</v>
      </c>
      <c r="C17" s="53">
        <v>2019</v>
      </c>
      <c r="D17" s="81" t="s">
        <v>232</v>
      </c>
      <c r="E17" s="53" t="s">
        <v>162</v>
      </c>
      <c r="F17" s="53" t="s">
        <v>250</v>
      </c>
      <c r="G17" s="53" t="s">
        <v>42</v>
      </c>
      <c r="H17" s="53" t="s">
        <v>160</v>
      </c>
      <c r="I17" s="53" t="s">
        <v>159</v>
      </c>
      <c r="J17" s="53" t="s">
        <v>38</v>
      </c>
      <c r="K17" s="53" t="s">
        <v>161</v>
      </c>
      <c r="L17" s="53">
        <v>1</v>
      </c>
      <c r="N17" s="53">
        <v>1</v>
      </c>
      <c r="O17" s="53">
        <v>0.75</v>
      </c>
      <c r="P17" s="53">
        <v>0.7</v>
      </c>
      <c r="Q17" s="75">
        <f t="shared" si="0"/>
        <v>0.72499999999999998</v>
      </c>
      <c r="R17" s="53">
        <v>15.3</v>
      </c>
      <c r="S17" s="53">
        <v>113</v>
      </c>
      <c r="T17" s="16">
        <f t="shared" si="1"/>
        <v>30</v>
      </c>
      <c r="U17" s="53">
        <v>138</v>
      </c>
      <c r="V17" s="16">
        <f t="shared" si="2"/>
        <v>4140</v>
      </c>
      <c r="W17" s="53">
        <v>3</v>
      </c>
      <c r="X17" s="53" t="s">
        <v>46</v>
      </c>
      <c r="Y17" s="53" t="s">
        <v>90</v>
      </c>
      <c r="Z17" s="53" t="s">
        <v>78</v>
      </c>
      <c r="AA17" s="53" t="s">
        <v>84</v>
      </c>
      <c r="AB17" s="53" t="s">
        <v>235</v>
      </c>
      <c r="AE17" s="22" t="s">
        <v>85</v>
      </c>
      <c r="AP17" s="27" t="s">
        <v>110</v>
      </c>
      <c r="AR17" s="23" t="s">
        <v>96</v>
      </c>
      <c r="AV17" s="23" t="s">
        <v>86</v>
      </c>
    </row>
    <row r="18" spans="1:48" x14ac:dyDescent="0.15">
      <c r="A18" s="53" t="s">
        <v>56</v>
      </c>
      <c r="B18" s="53" t="s">
        <v>231</v>
      </c>
      <c r="C18" s="53">
        <v>2019</v>
      </c>
      <c r="D18" s="81" t="s">
        <v>232</v>
      </c>
      <c r="E18" s="53" t="s">
        <v>162</v>
      </c>
      <c r="F18" s="53" t="s">
        <v>250</v>
      </c>
      <c r="G18" s="53" t="s">
        <v>42</v>
      </c>
      <c r="H18" s="53" t="s">
        <v>160</v>
      </c>
      <c r="I18" s="53" t="s">
        <v>159</v>
      </c>
      <c r="J18" s="53" t="s">
        <v>38</v>
      </c>
      <c r="K18" s="53" t="s">
        <v>161</v>
      </c>
      <c r="L18" s="53">
        <v>2</v>
      </c>
      <c r="N18" s="53">
        <v>1</v>
      </c>
      <c r="O18" s="53">
        <v>0.7</v>
      </c>
      <c r="P18" s="53">
        <v>0.65</v>
      </c>
      <c r="Q18" s="75">
        <f t="shared" si="0"/>
        <v>0.67500000000000004</v>
      </c>
      <c r="R18" s="53">
        <v>15.5</v>
      </c>
      <c r="S18" s="53">
        <v>112</v>
      </c>
      <c r="T18" s="16">
        <f t="shared" si="1"/>
        <v>33</v>
      </c>
      <c r="U18" s="53">
        <v>138</v>
      </c>
      <c r="V18" s="16">
        <f t="shared" si="2"/>
        <v>4554</v>
      </c>
      <c r="W18" s="53">
        <v>3</v>
      </c>
      <c r="X18" s="53" t="s">
        <v>46</v>
      </c>
      <c r="Y18" s="53" t="s">
        <v>90</v>
      </c>
      <c r="Z18" s="53" t="s">
        <v>78</v>
      </c>
      <c r="AA18" s="53" t="s">
        <v>84</v>
      </c>
      <c r="AB18" s="53" t="s">
        <v>235</v>
      </c>
      <c r="AE18" s="22" t="s">
        <v>87</v>
      </c>
      <c r="AP18" s="27" t="s">
        <v>111</v>
      </c>
      <c r="AR18" s="23" t="s">
        <v>101</v>
      </c>
      <c r="AV18" s="23" t="s">
        <v>88</v>
      </c>
    </row>
    <row r="19" spans="1:48" x14ac:dyDescent="0.15">
      <c r="A19" s="53" t="s">
        <v>56</v>
      </c>
      <c r="B19" s="53" t="s">
        <v>231</v>
      </c>
      <c r="C19" s="53">
        <v>2019</v>
      </c>
      <c r="D19" s="81" t="s">
        <v>232</v>
      </c>
      <c r="E19" s="53" t="s">
        <v>162</v>
      </c>
      <c r="F19" s="53" t="s">
        <v>250</v>
      </c>
      <c r="G19" s="53" t="s">
        <v>42</v>
      </c>
      <c r="H19" s="53" t="s">
        <v>160</v>
      </c>
      <c r="I19" s="53" t="s">
        <v>159</v>
      </c>
      <c r="J19" s="53" t="s">
        <v>38</v>
      </c>
      <c r="K19" s="53" t="s">
        <v>161</v>
      </c>
      <c r="L19" s="53">
        <v>3</v>
      </c>
      <c r="N19" s="53">
        <v>1</v>
      </c>
      <c r="O19" s="53">
        <v>0.75</v>
      </c>
      <c r="P19" s="53">
        <v>0.7</v>
      </c>
      <c r="Q19" s="75">
        <f t="shared" si="0"/>
        <v>0.72499999999999998</v>
      </c>
      <c r="R19" s="53">
        <v>16.2</v>
      </c>
      <c r="S19" s="53">
        <v>114</v>
      </c>
      <c r="T19" s="16">
        <f t="shared" si="1"/>
        <v>30</v>
      </c>
      <c r="U19" s="53">
        <v>138</v>
      </c>
      <c r="V19" s="16">
        <f t="shared" si="2"/>
        <v>4140</v>
      </c>
      <c r="W19" s="53">
        <v>3</v>
      </c>
      <c r="X19" s="53" t="s">
        <v>46</v>
      </c>
      <c r="Y19" s="53" t="s">
        <v>90</v>
      </c>
      <c r="Z19" s="53" t="s">
        <v>78</v>
      </c>
      <c r="AA19" s="53" t="s">
        <v>84</v>
      </c>
      <c r="AB19" s="53" t="s">
        <v>235</v>
      </c>
      <c r="AE19" s="35" t="s">
        <v>89</v>
      </c>
      <c r="AP19" s="27" t="s">
        <v>112</v>
      </c>
      <c r="AR19" s="23" t="s">
        <v>126</v>
      </c>
      <c r="AV19" s="23" t="s">
        <v>90</v>
      </c>
    </row>
    <row r="20" spans="1:48" x14ac:dyDescent="0.15">
      <c r="A20" s="53" t="s">
        <v>56</v>
      </c>
      <c r="B20" s="53" t="s">
        <v>231</v>
      </c>
      <c r="C20" s="53">
        <v>2019</v>
      </c>
      <c r="D20" s="81" t="s">
        <v>232</v>
      </c>
      <c r="E20" s="53" t="s">
        <v>251</v>
      </c>
      <c r="F20" s="53" t="s">
        <v>252</v>
      </c>
      <c r="G20" s="53" t="s">
        <v>42</v>
      </c>
      <c r="H20" s="53" t="s">
        <v>164</v>
      </c>
      <c r="I20" s="53" t="s">
        <v>159</v>
      </c>
      <c r="J20" s="53" t="s">
        <v>38</v>
      </c>
      <c r="K20" s="53" t="s">
        <v>161</v>
      </c>
      <c r="L20" s="53">
        <v>1</v>
      </c>
      <c r="N20" s="53">
        <v>1</v>
      </c>
      <c r="O20" s="53">
        <v>0.6</v>
      </c>
      <c r="P20" s="53">
        <v>0.6</v>
      </c>
      <c r="Q20" s="75">
        <f t="shared" si="0"/>
        <v>0.6</v>
      </c>
      <c r="R20" s="53">
        <v>15.2</v>
      </c>
      <c r="S20" s="53">
        <v>113</v>
      </c>
      <c r="T20" s="16">
        <f t="shared" si="1"/>
        <v>30</v>
      </c>
      <c r="U20" s="53">
        <v>138</v>
      </c>
      <c r="V20" s="16">
        <f t="shared" si="2"/>
        <v>4140</v>
      </c>
      <c r="W20" s="53">
        <v>2</v>
      </c>
      <c r="X20" s="53" t="s">
        <v>46</v>
      </c>
      <c r="Y20" s="53" t="s">
        <v>90</v>
      </c>
      <c r="Z20" s="53" t="s">
        <v>78</v>
      </c>
      <c r="AA20" s="53" t="s">
        <v>84</v>
      </c>
      <c r="AB20" s="53" t="s">
        <v>235</v>
      </c>
      <c r="AP20" s="27" t="s">
        <v>113</v>
      </c>
      <c r="AR20" s="23" t="s">
        <v>105</v>
      </c>
      <c r="AV20" s="27" t="s">
        <v>135</v>
      </c>
    </row>
    <row r="21" spans="1:48" x14ac:dyDescent="0.15">
      <c r="A21" s="53" t="s">
        <v>56</v>
      </c>
      <c r="B21" s="53" t="s">
        <v>231</v>
      </c>
      <c r="C21" s="53">
        <v>2019</v>
      </c>
      <c r="D21" s="81" t="s">
        <v>232</v>
      </c>
      <c r="E21" s="53" t="s">
        <v>251</v>
      </c>
      <c r="F21" s="53" t="s">
        <v>252</v>
      </c>
      <c r="G21" s="53" t="s">
        <v>42</v>
      </c>
      <c r="H21" s="53" t="s">
        <v>164</v>
      </c>
      <c r="I21" s="53" t="s">
        <v>159</v>
      </c>
      <c r="J21" s="53" t="s">
        <v>38</v>
      </c>
      <c r="K21" s="53" t="s">
        <v>161</v>
      </c>
      <c r="L21" s="53">
        <v>2</v>
      </c>
      <c r="N21" s="53">
        <v>1</v>
      </c>
      <c r="O21" s="53">
        <v>0.8</v>
      </c>
      <c r="P21" s="53">
        <v>0.75</v>
      </c>
      <c r="Q21" s="75">
        <f t="shared" si="0"/>
        <v>0.77500000000000002</v>
      </c>
      <c r="R21" s="53">
        <v>14.4</v>
      </c>
      <c r="S21" s="53">
        <v>115</v>
      </c>
      <c r="T21" s="16">
        <f t="shared" si="1"/>
        <v>30</v>
      </c>
      <c r="U21" s="53">
        <v>138</v>
      </c>
      <c r="V21" s="16">
        <f t="shared" si="2"/>
        <v>4140</v>
      </c>
      <c r="W21" s="53">
        <v>2</v>
      </c>
      <c r="X21" s="53" t="s">
        <v>46</v>
      </c>
      <c r="Y21" s="53" t="s">
        <v>90</v>
      </c>
      <c r="Z21" s="53" t="s">
        <v>78</v>
      </c>
      <c r="AA21" s="53" t="s">
        <v>84</v>
      </c>
      <c r="AB21" s="53" t="s">
        <v>235</v>
      </c>
      <c r="AP21" s="27" t="s">
        <v>114</v>
      </c>
      <c r="AR21" s="23" t="s">
        <v>68</v>
      </c>
      <c r="AV21" s="28" t="s">
        <v>253</v>
      </c>
    </row>
    <row r="22" spans="1:48" x14ac:dyDescent="0.15">
      <c r="A22" s="53" t="s">
        <v>56</v>
      </c>
      <c r="B22" s="53" t="s">
        <v>231</v>
      </c>
      <c r="C22" s="53">
        <v>2019</v>
      </c>
      <c r="D22" s="81" t="s">
        <v>232</v>
      </c>
      <c r="E22" s="53" t="s">
        <v>251</v>
      </c>
      <c r="F22" s="53" t="s">
        <v>252</v>
      </c>
      <c r="G22" s="53" t="s">
        <v>42</v>
      </c>
      <c r="H22" s="53" t="s">
        <v>164</v>
      </c>
      <c r="I22" s="53" t="s">
        <v>159</v>
      </c>
      <c r="J22" s="53" t="s">
        <v>38</v>
      </c>
      <c r="K22" s="53" t="s">
        <v>161</v>
      </c>
      <c r="L22" s="53">
        <v>3</v>
      </c>
      <c r="N22" s="53">
        <v>1</v>
      </c>
      <c r="O22" s="53">
        <v>0.65</v>
      </c>
      <c r="P22" s="53">
        <v>0.7</v>
      </c>
      <c r="Q22" s="75">
        <f t="shared" si="0"/>
        <v>0.67500000000000004</v>
      </c>
      <c r="R22" s="53">
        <v>14.2</v>
      </c>
      <c r="S22" s="53">
        <v>114</v>
      </c>
      <c r="T22" s="16">
        <f t="shared" si="1"/>
        <v>30</v>
      </c>
      <c r="U22" s="53">
        <v>138</v>
      </c>
      <c r="V22" s="16">
        <f t="shared" si="2"/>
        <v>4140</v>
      </c>
      <c r="W22" s="53">
        <v>2</v>
      </c>
      <c r="X22" s="53" t="s">
        <v>46</v>
      </c>
      <c r="Y22" s="53" t="s">
        <v>90</v>
      </c>
      <c r="Z22" s="53" t="s">
        <v>78</v>
      </c>
      <c r="AA22" s="53" t="s">
        <v>84</v>
      </c>
      <c r="AB22" s="53" t="s">
        <v>235</v>
      </c>
      <c r="AP22" s="27" t="s">
        <v>115</v>
      </c>
      <c r="AR22" s="23" t="s">
        <v>83</v>
      </c>
    </row>
    <row r="23" spans="1:48" x14ac:dyDescent="0.15">
      <c r="A23" s="53" t="s">
        <v>56</v>
      </c>
      <c r="B23" s="53" t="s">
        <v>231</v>
      </c>
      <c r="C23" s="53">
        <v>2019</v>
      </c>
      <c r="D23" s="81" t="s">
        <v>232</v>
      </c>
      <c r="E23" s="53" t="s">
        <v>251</v>
      </c>
      <c r="F23" s="53" t="s">
        <v>252</v>
      </c>
      <c r="G23" s="53" t="s">
        <v>42</v>
      </c>
      <c r="H23" s="53" t="s">
        <v>160</v>
      </c>
      <c r="I23" s="53" t="s">
        <v>159</v>
      </c>
      <c r="J23" s="53" t="s">
        <v>38</v>
      </c>
      <c r="K23" s="53" t="s">
        <v>161</v>
      </c>
      <c r="L23" s="53">
        <v>1</v>
      </c>
      <c r="N23" s="53">
        <v>1</v>
      </c>
      <c r="O23" s="53">
        <v>0.7</v>
      </c>
      <c r="P23" s="53">
        <v>0.6</v>
      </c>
      <c r="Q23" s="75">
        <f t="shared" si="0"/>
        <v>0.64999999999999991</v>
      </c>
      <c r="R23" s="53">
        <v>17.2</v>
      </c>
      <c r="S23" s="53">
        <v>124</v>
      </c>
      <c r="T23" s="16">
        <f t="shared" si="1"/>
        <v>27</v>
      </c>
      <c r="U23" s="53">
        <v>138</v>
      </c>
      <c r="V23" s="16">
        <f t="shared" si="2"/>
        <v>3726</v>
      </c>
      <c r="W23" s="53">
        <v>2</v>
      </c>
      <c r="X23" s="53" t="s">
        <v>46</v>
      </c>
      <c r="Y23" s="53" t="s">
        <v>90</v>
      </c>
      <c r="Z23" s="53" t="s">
        <v>78</v>
      </c>
      <c r="AA23" s="53" t="s">
        <v>84</v>
      </c>
      <c r="AB23" s="53" t="s">
        <v>235</v>
      </c>
      <c r="AP23" s="27" t="s">
        <v>137</v>
      </c>
      <c r="AR23" s="23" t="s">
        <v>61</v>
      </c>
    </row>
    <row r="24" spans="1:48" x14ac:dyDescent="0.15">
      <c r="A24" s="53" t="s">
        <v>56</v>
      </c>
      <c r="B24" s="53" t="s">
        <v>231</v>
      </c>
      <c r="C24" s="53">
        <v>2019</v>
      </c>
      <c r="D24" s="81" t="s">
        <v>232</v>
      </c>
      <c r="E24" s="53" t="s">
        <v>251</v>
      </c>
      <c r="F24" s="53" t="s">
        <v>252</v>
      </c>
      <c r="G24" s="53" t="s">
        <v>42</v>
      </c>
      <c r="H24" s="53" t="s">
        <v>160</v>
      </c>
      <c r="I24" s="53" t="s">
        <v>159</v>
      </c>
      <c r="J24" s="53" t="s">
        <v>38</v>
      </c>
      <c r="K24" s="53" t="s">
        <v>161</v>
      </c>
      <c r="L24" s="53">
        <v>2</v>
      </c>
      <c r="N24" s="53">
        <v>1</v>
      </c>
      <c r="O24" s="53">
        <v>0.7</v>
      </c>
      <c r="P24" s="53">
        <v>0.75</v>
      </c>
      <c r="Q24" s="75">
        <f t="shared" si="0"/>
        <v>0.72499999999999998</v>
      </c>
      <c r="R24" s="53">
        <v>15</v>
      </c>
      <c r="S24" s="53">
        <v>125</v>
      </c>
      <c r="T24" s="16">
        <f t="shared" si="1"/>
        <v>27</v>
      </c>
      <c r="U24" s="53">
        <v>138</v>
      </c>
      <c r="V24" s="16">
        <f t="shared" si="2"/>
        <v>3726</v>
      </c>
      <c r="W24" s="53">
        <v>2</v>
      </c>
      <c r="X24" s="53" t="s">
        <v>46</v>
      </c>
      <c r="Y24" s="53" t="s">
        <v>90</v>
      </c>
      <c r="Z24" s="53" t="s">
        <v>78</v>
      </c>
      <c r="AA24" s="53" t="s">
        <v>84</v>
      </c>
      <c r="AB24" s="53" t="s">
        <v>235</v>
      </c>
      <c r="AP24" s="27" t="s">
        <v>138</v>
      </c>
      <c r="AR24" s="23" t="s">
        <v>91</v>
      </c>
    </row>
    <row r="25" spans="1:48" x14ac:dyDescent="0.15">
      <c r="A25" s="53" t="s">
        <v>56</v>
      </c>
      <c r="B25" s="53" t="s">
        <v>231</v>
      </c>
      <c r="C25" s="53">
        <v>2019</v>
      </c>
      <c r="D25" s="81" t="s">
        <v>232</v>
      </c>
      <c r="E25" s="53" t="s">
        <v>251</v>
      </c>
      <c r="F25" s="53" t="s">
        <v>252</v>
      </c>
      <c r="G25" s="53" t="s">
        <v>42</v>
      </c>
      <c r="H25" s="53" t="s">
        <v>160</v>
      </c>
      <c r="I25" s="53" t="s">
        <v>159</v>
      </c>
      <c r="J25" s="53" t="s">
        <v>38</v>
      </c>
      <c r="K25" s="53" t="s">
        <v>161</v>
      </c>
      <c r="L25" s="53">
        <v>3</v>
      </c>
      <c r="N25" s="53">
        <v>1</v>
      </c>
      <c r="O25" s="53">
        <v>0.7</v>
      </c>
      <c r="P25" s="53">
        <v>0.75</v>
      </c>
      <c r="Q25" s="75">
        <f t="shared" si="0"/>
        <v>0.72499999999999998</v>
      </c>
      <c r="R25" s="53">
        <v>15.8</v>
      </c>
      <c r="S25" s="53">
        <v>126</v>
      </c>
      <c r="T25" s="16">
        <f t="shared" si="1"/>
        <v>27</v>
      </c>
      <c r="U25" s="53">
        <v>138</v>
      </c>
      <c r="V25" s="16">
        <f t="shared" si="2"/>
        <v>3726</v>
      </c>
      <c r="W25" s="53">
        <v>2</v>
      </c>
      <c r="X25" s="53" t="s">
        <v>46</v>
      </c>
      <c r="Y25" s="53" t="s">
        <v>90</v>
      </c>
      <c r="Z25" s="53" t="s">
        <v>78</v>
      </c>
      <c r="AA25" s="53" t="s">
        <v>84</v>
      </c>
      <c r="AB25" s="53" t="s">
        <v>235</v>
      </c>
      <c r="AP25" s="27" t="s">
        <v>116</v>
      </c>
      <c r="AR25" s="27" t="s">
        <v>92</v>
      </c>
    </row>
    <row r="26" spans="1:48" x14ac:dyDescent="0.15">
      <c r="A26" s="53" t="s">
        <v>56</v>
      </c>
      <c r="B26" s="53" t="s">
        <v>231</v>
      </c>
      <c r="C26" s="53">
        <v>2019</v>
      </c>
      <c r="D26" s="81" t="s">
        <v>232</v>
      </c>
      <c r="E26" s="53" t="s">
        <v>254</v>
      </c>
      <c r="F26" s="53" t="s">
        <v>250</v>
      </c>
      <c r="G26" s="53" t="s">
        <v>42</v>
      </c>
      <c r="H26" s="53" t="s">
        <v>164</v>
      </c>
      <c r="I26" s="53" t="s">
        <v>159</v>
      </c>
      <c r="J26" s="53" t="s">
        <v>38</v>
      </c>
      <c r="K26" s="53" t="s">
        <v>161</v>
      </c>
      <c r="L26" s="53">
        <v>1</v>
      </c>
      <c r="N26" s="53">
        <v>1</v>
      </c>
      <c r="O26" s="53">
        <v>0.5</v>
      </c>
      <c r="P26" s="53">
        <v>0.5</v>
      </c>
      <c r="Q26" s="16">
        <f t="shared" si="0"/>
        <v>0.5</v>
      </c>
      <c r="R26" s="53">
        <v>12.9</v>
      </c>
      <c r="S26" s="53">
        <v>126</v>
      </c>
      <c r="T26" s="16">
        <f t="shared" si="1"/>
        <v>27</v>
      </c>
      <c r="U26" s="53">
        <v>105</v>
      </c>
      <c r="V26" s="16">
        <f t="shared" si="2"/>
        <v>2835</v>
      </c>
      <c r="W26" s="53">
        <v>2</v>
      </c>
      <c r="X26" s="53" t="s">
        <v>39</v>
      </c>
      <c r="Y26" s="53" t="s">
        <v>90</v>
      </c>
      <c r="Z26" s="53" t="s">
        <v>78</v>
      </c>
      <c r="AA26" s="53" t="s">
        <v>102</v>
      </c>
      <c r="AB26" s="53" t="s">
        <v>235</v>
      </c>
      <c r="AP26" s="27" t="s">
        <v>117</v>
      </c>
      <c r="AR26" s="53" t="s">
        <v>153</v>
      </c>
    </row>
    <row r="27" spans="1:48" x14ac:dyDescent="0.15">
      <c r="A27" s="53" t="s">
        <v>56</v>
      </c>
      <c r="B27" s="53" t="s">
        <v>231</v>
      </c>
      <c r="C27" s="53">
        <v>2019</v>
      </c>
      <c r="D27" s="81" t="s">
        <v>232</v>
      </c>
      <c r="E27" s="53" t="s">
        <v>254</v>
      </c>
      <c r="F27" s="53" t="s">
        <v>250</v>
      </c>
      <c r="G27" s="53" t="s">
        <v>42</v>
      </c>
      <c r="H27" s="53" t="s">
        <v>164</v>
      </c>
      <c r="I27" s="53" t="s">
        <v>159</v>
      </c>
      <c r="J27" s="53" t="s">
        <v>38</v>
      </c>
      <c r="K27" s="53" t="s">
        <v>161</v>
      </c>
      <c r="L27" s="53">
        <v>2</v>
      </c>
      <c r="N27" s="53">
        <v>1</v>
      </c>
      <c r="O27" s="53">
        <v>0.6</v>
      </c>
      <c r="P27" s="53">
        <v>0.6</v>
      </c>
      <c r="Q27" s="16">
        <f t="shared" si="0"/>
        <v>0.6</v>
      </c>
      <c r="R27" s="53">
        <v>13.6</v>
      </c>
      <c r="S27" s="53">
        <v>133</v>
      </c>
      <c r="T27" s="16">
        <f t="shared" si="1"/>
        <v>25</v>
      </c>
      <c r="U27" s="53">
        <v>105</v>
      </c>
      <c r="V27" s="16">
        <f t="shared" si="2"/>
        <v>2625</v>
      </c>
      <c r="W27" s="53">
        <v>2</v>
      </c>
      <c r="X27" s="53" t="s">
        <v>39</v>
      </c>
      <c r="Y27" s="53" t="s">
        <v>90</v>
      </c>
      <c r="Z27" s="53" t="s">
        <v>78</v>
      </c>
      <c r="AA27" s="53" t="s">
        <v>102</v>
      </c>
      <c r="AB27" s="53" t="s">
        <v>235</v>
      </c>
      <c r="AP27" s="27" t="s">
        <v>118</v>
      </c>
    </row>
    <row r="28" spans="1:48" x14ac:dyDescent="0.15">
      <c r="A28" s="53" t="s">
        <v>56</v>
      </c>
      <c r="B28" s="53" t="s">
        <v>231</v>
      </c>
      <c r="C28" s="53">
        <v>2019</v>
      </c>
      <c r="D28" s="81" t="s">
        <v>232</v>
      </c>
      <c r="E28" s="53" t="s">
        <v>254</v>
      </c>
      <c r="F28" s="53" t="s">
        <v>250</v>
      </c>
      <c r="G28" s="53" t="s">
        <v>42</v>
      </c>
      <c r="H28" s="53" t="s">
        <v>164</v>
      </c>
      <c r="I28" s="53" t="s">
        <v>159</v>
      </c>
      <c r="J28" s="53" t="s">
        <v>38</v>
      </c>
      <c r="K28" s="53" t="s">
        <v>161</v>
      </c>
      <c r="L28" s="53">
        <v>3</v>
      </c>
      <c r="N28" s="53">
        <v>1</v>
      </c>
      <c r="O28" s="53">
        <v>0.6</v>
      </c>
      <c r="P28" s="53">
        <v>0.55000000000000004</v>
      </c>
      <c r="Q28" s="16">
        <f t="shared" si="0"/>
        <v>0.57499999999999996</v>
      </c>
      <c r="R28" s="53">
        <v>16.399999999999999</v>
      </c>
      <c r="S28" s="53">
        <v>129</v>
      </c>
      <c r="T28" s="16">
        <f t="shared" si="1"/>
        <v>25</v>
      </c>
      <c r="U28" s="53">
        <v>105</v>
      </c>
      <c r="V28" s="16">
        <f t="shared" si="2"/>
        <v>2625</v>
      </c>
      <c r="W28" s="53">
        <v>2</v>
      </c>
      <c r="X28" s="53" t="s">
        <v>39</v>
      </c>
      <c r="Y28" s="53" t="s">
        <v>90</v>
      </c>
      <c r="Z28" s="53" t="s">
        <v>78</v>
      </c>
      <c r="AA28" s="53" t="s">
        <v>102</v>
      </c>
      <c r="AB28" s="53" t="s">
        <v>235</v>
      </c>
    </row>
    <row r="29" spans="1:48" x14ac:dyDescent="0.15">
      <c r="A29" s="53" t="s">
        <v>56</v>
      </c>
      <c r="B29" s="53" t="s">
        <v>231</v>
      </c>
      <c r="C29" s="53">
        <v>2019</v>
      </c>
      <c r="D29" s="81" t="s">
        <v>232</v>
      </c>
      <c r="E29" s="53" t="s">
        <v>254</v>
      </c>
      <c r="F29" s="53" t="s">
        <v>250</v>
      </c>
      <c r="G29" s="53" t="s">
        <v>42</v>
      </c>
      <c r="H29" s="53" t="s">
        <v>160</v>
      </c>
      <c r="I29" s="53" t="s">
        <v>159</v>
      </c>
      <c r="J29" s="53" t="s">
        <v>38</v>
      </c>
      <c r="K29" s="53" t="s">
        <v>161</v>
      </c>
      <c r="L29" s="53">
        <v>1</v>
      </c>
      <c r="N29" s="53">
        <v>4</v>
      </c>
      <c r="O29" s="53">
        <v>0.65</v>
      </c>
      <c r="P29" s="53">
        <v>0.6</v>
      </c>
      <c r="Q29" s="16">
        <f t="shared" si="0"/>
        <v>0.625</v>
      </c>
      <c r="R29" s="53">
        <v>15.8</v>
      </c>
      <c r="S29" s="53">
        <v>102</v>
      </c>
      <c r="T29" s="16">
        <f t="shared" si="1"/>
        <v>33</v>
      </c>
      <c r="U29" s="53">
        <v>418</v>
      </c>
      <c r="V29" s="16">
        <f t="shared" si="2"/>
        <v>3448.5</v>
      </c>
      <c r="W29" s="53">
        <v>2</v>
      </c>
      <c r="X29" s="53" t="s">
        <v>39</v>
      </c>
      <c r="Y29" s="53" t="s">
        <v>90</v>
      </c>
      <c r="Z29" s="53" t="s">
        <v>78</v>
      </c>
      <c r="AA29" s="53" t="s">
        <v>102</v>
      </c>
      <c r="AB29" s="53" t="s">
        <v>235</v>
      </c>
    </row>
    <row r="30" spans="1:48" x14ac:dyDescent="0.15">
      <c r="A30" s="53" t="s">
        <v>56</v>
      </c>
      <c r="B30" s="53" t="s">
        <v>231</v>
      </c>
      <c r="C30" s="53">
        <v>2019</v>
      </c>
      <c r="D30" s="81" t="s">
        <v>232</v>
      </c>
      <c r="E30" s="53" t="s">
        <v>254</v>
      </c>
      <c r="F30" s="53" t="s">
        <v>250</v>
      </c>
      <c r="G30" s="53" t="s">
        <v>42</v>
      </c>
      <c r="H30" s="53" t="s">
        <v>160</v>
      </c>
      <c r="I30" s="53" t="s">
        <v>159</v>
      </c>
      <c r="J30" s="53" t="s">
        <v>38</v>
      </c>
      <c r="K30" s="53" t="s">
        <v>161</v>
      </c>
      <c r="L30" s="53">
        <v>2</v>
      </c>
      <c r="N30" s="53">
        <v>4</v>
      </c>
      <c r="O30" s="53">
        <v>0.75</v>
      </c>
      <c r="P30" s="53">
        <v>0.7</v>
      </c>
      <c r="Q30" s="16">
        <f t="shared" si="0"/>
        <v>0.72499999999999998</v>
      </c>
      <c r="R30" s="53">
        <v>16.100000000000001</v>
      </c>
      <c r="S30" s="53">
        <v>100</v>
      </c>
      <c r="T30" s="16">
        <f t="shared" si="1"/>
        <v>33</v>
      </c>
      <c r="U30" s="53">
        <v>418</v>
      </c>
      <c r="V30" s="16">
        <f t="shared" si="2"/>
        <v>3448.5</v>
      </c>
      <c r="W30" s="53">
        <v>2</v>
      </c>
      <c r="X30" s="53" t="s">
        <v>39</v>
      </c>
      <c r="Y30" s="53" t="s">
        <v>90</v>
      </c>
      <c r="Z30" s="53" t="s">
        <v>78</v>
      </c>
      <c r="AA30" s="53" t="s">
        <v>102</v>
      </c>
      <c r="AB30" s="53" t="s">
        <v>235</v>
      </c>
    </row>
    <row r="31" spans="1:48" x14ac:dyDescent="0.15">
      <c r="A31" s="53" t="s">
        <v>56</v>
      </c>
      <c r="B31" s="53" t="s">
        <v>231</v>
      </c>
      <c r="C31" s="53">
        <v>2019</v>
      </c>
      <c r="D31" s="81" t="s">
        <v>232</v>
      </c>
      <c r="E31" s="53" t="s">
        <v>254</v>
      </c>
      <c r="F31" s="53" t="s">
        <v>250</v>
      </c>
      <c r="G31" s="53" t="s">
        <v>42</v>
      </c>
      <c r="H31" s="53" t="s">
        <v>160</v>
      </c>
      <c r="I31" s="53" t="s">
        <v>159</v>
      </c>
      <c r="J31" s="53" t="s">
        <v>38</v>
      </c>
      <c r="K31" s="53" t="s">
        <v>161</v>
      </c>
      <c r="L31" s="53">
        <v>3</v>
      </c>
      <c r="N31" s="53">
        <v>4</v>
      </c>
      <c r="O31" s="53">
        <v>0.7</v>
      </c>
      <c r="P31" s="53">
        <v>0.7</v>
      </c>
      <c r="Q31" s="16">
        <f t="shared" si="0"/>
        <v>0.7</v>
      </c>
      <c r="R31" s="53">
        <v>14.4</v>
      </c>
      <c r="S31" s="53">
        <v>99</v>
      </c>
      <c r="T31" s="16">
        <f t="shared" si="1"/>
        <v>33</v>
      </c>
      <c r="U31" s="53">
        <v>418</v>
      </c>
      <c r="V31" s="16">
        <f t="shared" si="2"/>
        <v>3448.5</v>
      </c>
      <c r="W31" s="53">
        <v>2</v>
      </c>
      <c r="X31" s="53" t="s">
        <v>39</v>
      </c>
      <c r="Y31" s="53" t="s">
        <v>90</v>
      </c>
      <c r="Z31" s="53" t="s">
        <v>78</v>
      </c>
      <c r="AA31" s="53" t="s">
        <v>102</v>
      </c>
      <c r="AB31" s="53" t="s">
        <v>235</v>
      </c>
    </row>
    <row r="32" spans="1:48" x14ac:dyDescent="0.15">
      <c r="A32" s="53" t="s">
        <v>56</v>
      </c>
      <c r="B32" s="53" t="s">
        <v>231</v>
      </c>
      <c r="C32" s="53">
        <v>2019</v>
      </c>
      <c r="D32" s="81" t="s">
        <v>232</v>
      </c>
      <c r="E32" s="53" t="s">
        <v>162</v>
      </c>
      <c r="F32" s="53" t="s">
        <v>247</v>
      </c>
      <c r="G32" s="53" t="s">
        <v>42</v>
      </c>
      <c r="H32" s="53" t="s">
        <v>164</v>
      </c>
      <c r="I32" s="53" t="s">
        <v>159</v>
      </c>
      <c r="J32" s="53" t="s">
        <v>38</v>
      </c>
      <c r="K32" s="53" t="s">
        <v>161</v>
      </c>
      <c r="L32" s="53">
        <v>1</v>
      </c>
      <c r="N32" s="53">
        <v>1</v>
      </c>
      <c r="O32" s="53">
        <v>0.9</v>
      </c>
      <c r="P32" s="53">
        <v>0.95</v>
      </c>
      <c r="Q32" s="16">
        <f t="shared" si="0"/>
        <v>0.92500000000000004</v>
      </c>
      <c r="R32" s="53">
        <v>14.5</v>
      </c>
      <c r="S32" s="53">
        <v>121</v>
      </c>
      <c r="T32" s="16">
        <f t="shared" si="1"/>
        <v>27</v>
      </c>
      <c r="U32" s="53">
        <v>95</v>
      </c>
      <c r="V32" s="16">
        <f t="shared" si="2"/>
        <v>2565</v>
      </c>
      <c r="W32" s="53">
        <v>2</v>
      </c>
      <c r="X32" s="53" t="s">
        <v>46</v>
      </c>
      <c r="Y32" s="53" t="s">
        <v>84</v>
      </c>
      <c r="Z32" s="53" t="s">
        <v>90</v>
      </c>
      <c r="AA32" s="53" t="s">
        <v>78</v>
      </c>
      <c r="AB32" s="53" t="s">
        <v>235</v>
      </c>
    </row>
    <row r="33" spans="1:28" x14ac:dyDescent="0.15">
      <c r="A33" s="53" t="s">
        <v>56</v>
      </c>
      <c r="B33" s="53" t="s">
        <v>231</v>
      </c>
      <c r="C33" s="53">
        <v>2019</v>
      </c>
      <c r="D33" s="81" t="s">
        <v>232</v>
      </c>
      <c r="E33" s="53" t="s">
        <v>162</v>
      </c>
      <c r="F33" s="53" t="s">
        <v>247</v>
      </c>
      <c r="G33" s="53" t="s">
        <v>42</v>
      </c>
      <c r="H33" s="53" t="s">
        <v>164</v>
      </c>
      <c r="I33" s="53" t="s">
        <v>159</v>
      </c>
      <c r="J33" s="53" t="s">
        <v>38</v>
      </c>
      <c r="K33" s="53" t="s">
        <v>161</v>
      </c>
      <c r="L33" s="53">
        <v>2</v>
      </c>
      <c r="N33" s="53">
        <v>1</v>
      </c>
      <c r="O33" s="53">
        <v>0.95</v>
      </c>
      <c r="P33" s="53">
        <v>0.8</v>
      </c>
      <c r="Q33" s="16">
        <f t="shared" si="0"/>
        <v>0.875</v>
      </c>
      <c r="R33" s="53">
        <v>13.9</v>
      </c>
      <c r="S33" s="53">
        <v>119</v>
      </c>
      <c r="T33" s="16">
        <f t="shared" si="1"/>
        <v>30</v>
      </c>
      <c r="U33" s="53">
        <v>95</v>
      </c>
      <c r="V33" s="16">
        <f t="shared" si="2"/>
        <v>2850</v>
      </c>
      <c r="W33" s="53">
        <v>2</v>
      </c>
      <c r="X33" s="53" t="s">
        <v>46</v>
      </c>
      <c r="Y33" s="53" t="s">
        <v>84</v>
      </c>
      <c r="Z33" s="53" t="s">
        <v>90</v>
      </c>
      <c r="AA33" s="53" t="s">
        <v>78</v>
      </c>
      <c r="AB33" s="53" t="s">
        <v>235</v>
      </c>
    </row>
    <row r="34" spans="1:28" x14ac:dyDescent="0.15">
      <c r="A34" s="53" t="s">
        <v>56</v>
      </c>
      <c r="B34" s="53" t="s">
        <v>231</v>
      </c>
      <c r="C34" s="53">
        <v>2019</v>
      </c>
      <c r="D34" s="81" t="s">
        <v>232</v>
      </c>
      <c r="E34" s="53" t="s">
        <v>162</v>
      </c>
      <c r="F34" s="53" t="s">
        <v>247</v>
      </c>
      <c r="G34" s="53" t="s">
        <v>42</v>
      </c>
      <c r="H34" s="53" t="s">
        <v>164</v>
      </c>
      <c r="I34" s="53" t="s">
        <v>159</v>
      </c>
      <c r="J34" s="53" t="s">
        <v>38</v>
      </c>
      <c r="K34" s="53" t="s">
        <v>161</v>
      </c>
      <c r="L34" s="53">
        <v>3</v>
      </c>
      <c r="N34" s="53">
        <v>1</v>
      </c>
      <c r="O34" s="53">
        <v>1.05</v>
      </c>
      <c r="P34" s="53">
        <v>1</v>
      </c>
      <c r="Q34" s="16">
        <f t="shared" si="0"/>
        <v>1.0249999999999999</v>
      </c>
      <c r="R34" s="53">
        <v>14.7</v>
      </c>
      <c r="S34" s="53">
        <v>115</v>
      </c>
      <c r="T34" s="16">
        <f t="shared" si="1"/>
        <v>30</v>
      </c>
      <c r="U34" s="53">
        <v>95</v>
      </c>
      <c r="V34" s="16">
        <f t="shared" si="2"/>
        <v>2850</v>
      </c>
      <c r="W34" s="53">
        <v>2</v>
      </c>
      <c r="X34" s="53" t="s">
        <v>46</v>
      </c>
      <c r="Y34" s="53" t="s">
        <v>84</v>
      </c>
      <c r="Z34" s="53" t="s">
        <v>90</v>
      </c>
      <c r="AA34" s="53" t="s">
        <v>78</v>
      </c>
      <c r="AB34" s="53" t="s">
        <v>235</v>
      </c>
    </row>
    <row r="35" spans="1:28" x14ac:dyDescent="0.15">
      <c r="A35" s="53" t="s">
        <v>56</v>
      </c>
      <c r="B35" s="53" t="s">
        <v>231</v>
      </c>
      <c r="C35" s="53">
        <v>2019</v>
      </c>
      <c r="D35" s="81" t="s">
        <v>232</v>
      </c>
      <c r="E35" s="53" t="s">
        <v>162</v>
      </c>
      <c r="F35" s="53" t="s">
        <v>247</v>
      </c>
      <c r="G35" s="53" t="s">
        <v>42</v>
      </c>
      <c r="H35" s="53" t="s">
        <v>160</v>
      </c>
      <c r="I35" s="53" t="s">
        <v>159</v>
      </c>
      <c r="J35" s="53" t="s">
        <v>38</v>
      </c>
      <c r="K35" s="53" t="s">
        <v>161</v>
      </c>
      <c r="L35" s="53">
        <v>1</v>
      </c>
      <c r="N35" s="53">
        <v>1</v>
      </c>
      <c r="O35" s="53">
        <v>0.5</v>
      </c>
      <c r="P35" s="53">
        <v>0.5</v>
      </c>
      <c r="Q35" s="16">
        <f t="shared" si="0"/>
        <v>0.5</v>
      </c>
      <c r="R35" s="53">
        <v>10.1</v>
      </c>
      <c r="S35" s="53">
        <v>103</v>
      </c>
      <c r="T35" s="16">
        <f t="shared" si="1"/>
        <v>33</v>
      </c>
      <c r="U35" s="53">
        <v>106</v>
      </c>
      <c r="V35" s="16">
        <f t="shared" si="2"/>
        <v>3498</v>
      </c>
      <c r="W35" s="53">
        <v>2</v>
      </c>
      <c r="X35" s="53" t="s">
        <v>46</v>
      </c>
      <c r="Y35" s="53" t="s">
        <v>84</v>
      </c>
      <c r="Z35" s="53" t="s">
        <v>90</v>
      </c>
      <c r="AA35" s="53" t="s">
        <v>78</v>
      </c>
      <c r="AB35" s="53" t="s">
        <v>235</v>
      </c>
    </row>
    <row r="36" spans="1:28" x14ac:dyDescent="0.15">
      <c r="A36" s="53" t="s">
        <v>56</v>
      </c>
      <c r="B36" s="53" t="s">
        <v>231</v>
      </c>
      <c r="C36" s="53">
        <v>2019</v>
      </c>
      <c r="D36" s="81" t="s">
        <v>232</v>
      </c>
      <c r="E36" s="53" t="s">
        <v>162</v>
      </c>
      <c r="F36" s="53" t="s">
        <v>247</v>
      </c>
      <c r="G36" s="53" t="s">
        <v>42</v>
      </c>
      <c r="H36" s="53" t="s">
        <v>160</v>
      </c>
      <c r="I36" s="53" t="s">
        <v>159</v>
      </c>
      <c r="J36" s="53" t="s">
        <v>38</v>
      </c>
      <c r="K36" s="53" t="s">
        <v>161</v>
      </c>
      <c r="L36" s="53">
        <v>2</v>
      </c>
      <c r="N36" s="53">
        <v>1</v>
      </c>
      <c r="O36" s="53">
        <v>0.55000000000000004</v>
      </c>
      <c r="P36" s="53">
        <v>0.55000000000000004</v>
      </c>
      <c r="Q36" s="16">
        <f t="shared" si="0"/>
        <v>0.55000000000000004</v>
      </c>
      <c r="R36" s="53">
        <v>15</v>
      </c>
      <c r="S36" s="53">
        <v>111</v>
      </c>
      <c r="T36" s="16">
        <f t="shared" si="1"/>
        <v>33</v>
      </c>
      <c r="U36" s="53">
        <v>106</v>
      </c>
      <c r="V36" s="16">
        <f t="shared" si="2"/>
        <v>3498</v>
      </c>
      <c r="W36" s="53">
        <v>2</v>
      </c>
      <c r="X36" s="53" t="s">
        <v>46</v>
      </c>
      <c r="Y36" s="53" t="s">
        <v>84</v>
      </c>
      <c r="Z36" s="53" t="s">
        <v>90</v>
      </c>
      <c r="AA36" s="53" t="s">
        <v>78</v>
      </c>
      <c r="AB36" s="53" t="s">
        <v>235</v>
      </c>
    </row>
    <row r="37" spans="1:28" x14ac:dyDescent="0.15">
      <c r="A37" s="53" t="s">
        <v>56</v>
      </c>
      <c r="B37" s="53" t="s">
        <v>231</v>
      </c>
      <c r="C37" s="53">
        <v>2019</v>
      </c>
      <c r="D37" s="81" t="s">
        <v>232</v>
      </c>
      <c r="E37" s="53" t="s">
        <v>162</v>
      </c>
      <c r="F37" s="53" t="s">
        <v>247</v>
      </c>
      <c r="G37" s="53" t="s">
        <v>42</v>
      </c>
      <c r="H37" s="53" t="s">
        <v>160</v>
      </c>
      <c r="I37" s="53" t="s">
        <v>159</v>
      </c>
      <c r="J37" s="53" t="s">
        <v>38</v>
      </c>
      <c r="K37" s="53" t="s">
        <v>161</v>
      </c>
      <c r="L37" s="53">
        <v>3</v>
      </c>
      <c r="N37" s="53">
        <v>1</v>
      </c>
      <c r="O37" s="53">
        <v>0.5</v>
      </c>
      <c r="P37" s="53">
        <v>0.55000000000000004</v>
      </c>
      <c r="Q37" s="16">
        <f t="shared" si="0"/>
        <v>0.52500000000000002</v>
      </c>
      <c r="R37" s="53">
        <v>15.8</v>
      </c>
      <c r="S37" s="53">
        <v>109</v>
      </c>
      <c r="T37" s="16">
        <f t="shared" si="1"/>
        <v>33</v>
      </c>
      <c r="U37" s="53">
        <v>106</v>
      </c>
      <c r="V37" s="16">
        <f t="shared" si="2"/>
        <v>3498</v>
      </c>
      <c r="W37" s="53">
        <v>2</v>
      </c>
      <c r="X37" s="53" t="s">
        <v>46</v>
      </c>
      <c r="Y37" s="53" t="s">
        <v>84</v>
      </c>
      <c r="Z37" s="53" t="s">
        <v>90</v>
      </c>
      <c r="AA37" s="53" t="s">
        <v>78</v>
      </c>
      <c r="AB37" s="53" t="s">
        <v>235</v>
      </c>
    </row>
    <row r="38" spans="1:28" x14ac:dyDescent="0.15">
      <c r="A38" s="53" t="s">
        <v>56</v>
      </c>
      <c r="B38" s="53" t="s">
        <v>231</v>
      </c>
      <c r="C38" s="53">
        <v>2019</v>
      </c>
      <c r="D38" s="81" t="s">
        <v>232</v>
      </c>
      <c r="E38" s="53" t="s">
        <v>255</v>
      </c>
      <c r="F38" s="53" t="s">
        <v>247</v>
      </c>
      <c r="G38" s="53" t="s">
        <v>42</v>
      </c>
      <c r="H38" s="53" t="s">
        <v>164</v>
      </c>
      <c r="I38" s="53" t="s">
        <v>159</v>
      </c>
      <c r="J38" s="53" t="s">
        <v>38</v>
      </c>
      <c r="K38" s="53" t="s">
        <v>161</v>
      </c>
      <c r="L38" s="53">
        <v>1</v>
      </c>
      <c r="N38" s="53">
        <v>1</v>
      </c>
      <c r="O38" s="53">
        <v>0.7</v>
      </c>
      <c r="P38" s="53">
        <v>0.75</v>
      </c>
      <c r="Q38" s="16">
        <f t="shared" si="0"/>
        <v>0.72499999999999998</v>
      </c>
      <c r="R38" s="53">
        <v>15.6</v>
      </c>
      <c r="S38" s="53">
        <v>129</v>
      </c>
      <c r="T38" s="16">
        <f t="shared" si="1"/>
        <v>25</v>
      </c>
      <c r="U38" s="53">
        <v>138</v>
      </c>
      <c r="V38" s="16">
        <f t="shared" si="2"/>
        <v>3450</v>
      </c>
      <c r="W38" s="53">
        <v>1</v>
      </c>
      <c r="X38" s="53" t="s">
        <v>39</v>
      </c>
      <c r="Y38" s="53" t="s">
        <v>88</v>
      </c>
      <c r="Z38" s="53" t="s">
        <v>78</v>
      </c>
      <c r="AA38" s="53" t="s">
        <v>102</v>
      </c>
      <c r="AB38" s="53" t="s">
        <v>235</v>
      </c>
    </row>
    <row r="39" spans="1:28" x14ac:dyDescent="0.15">
      <c r="A39" s="53" t="s">
        <v>56</v>
      </c>
      <c r="B39" s="53" t="s">
        <v>231</v>
      </c>
      <c r="C39" s="53">
        <v>2019</v>
      </c>
      <c r="D39" s="81" t="s">
        <v>232</v>
      </c>
      <c r="E39" s="53" t="s">
        <v>255</v>
      </c>
      <c r="F39" s="53" t="s">
        <v>247</v>
      </c>
      <c r="G39" s="53" t="s">
        <v>42</v>
      </c>
      <c r="H39" s="53" t="s">
        <v>164</v>
      </c>
      <c r="I39" s="53" t="s">
        <v>159</v>
      </c>
      <c r="J39" s="53" t="s">
        <v>38</v>
      </c>
      <c r="K39" s="53" t="s">
        <v>161</v>
      </c>
      <c r="L39" s="53">
        <v>2</v>
      </c>
      <c r="N39" s="53">
        <v>1</v>
      </c>
      <c r="O39" s="53">
        <v>0.8</v>
      </c>
      <c r="P39" s="53">
        <v>0.85</v>
      </c>
      <c r="Q39" s="16">
        <f t="shared" si="0"/>
        <v>0.82499999999999996</v>
      </c>
      <c r="R39" s="53">
        <v>13.5</v>
      </c>
      <c r="S39" s="53">
        <v>128</v>
      </c>
      <c r="T39" s="16">
        <f t="shared" si="1"/>
        <v>27</v>
      </c>
      <c r="U39" s="53">
        <v>138</v>
      </c>
      <c r="V39" s="16">
        <f t="shared" si="2"/>
        <v>3726</v>
      </c>
      <c r="W39" s="53">
        <v>1</v>
      </c>
      <c r="X39" s="53" t="s">
        <v>39</v>
      </c>
      <c r="Y39" s="53" t="s">
        <v>88</v>
      </c>
      <c r="Z39" s="53" t="s">
        <v>78</v>
      </c>
      <c r="AA39" s="53" t="s">
        <v>102</v>
      </c>
      <c r="AB39" s="53" t="s">
        <v>235</v>
      </c>
    </row>
    <row r="40" spans="1:28" x14ac:dyDescent="0.15">
      <c r="A40" s="53" t="s">
        <v>56</v>
      </c>
      <c r="B40" s="53" t="s">
        <v>231</v>
      </c>
      <c r="C40" s="53">
        <v>2019</v>
      </c>
      <c r="D40" s="81" t="s">
        <v>232</v>
      </c>
      <c r="E40" s="53" t="s">
        <v>255</v>
      </c>
      <c r="F40" s="53" t="s">
        <v>247</v>
      </c>
      <c r="G40" s="53" t="s">
        <v>42</v>
      </c>
      <c r="H40" s="53" t="s">
        <v>164</v>
      </c>
      <c r="I40" s="53" t="s">
        <v>159</v>
      </c>
      <c r="J40" s="53" t="s">
        <v>38</v>
      </c>
      <c r="K40" s="53" t="s">
        <v>161</v>
      </c>
      <c r="L40" s="53">
        <v>3</v>
      </c>
      <c r="N40" s="53">
        <v>1</v>
      </c>
      <c r="O40" s="53">
        <v>0.85</v>
      </c>
      <c r="P40" s="53">
        <v>0.95</v>
      </c>
      <c r="Q40" s="16">
        <f t="shared" si="0"/>
        <v>0.89999999999999991</v>
      </c>
      <c r="R40" s="53">
        <v>15.1</v>
      </c>
      <c r="S40" s="53">
        <v>139</v>
      </c>
      <c r="T40" s="16">
        <f t="shared" si="1"/>
        <v>22</v>
      </c>
      <c r="U40" s="53">
        <v>138</v>
      </c>
      <c r="V40" s="16">
        <f t="shared" si="2"/>
        <v>3036</v>
      </c>
      <c r="W40" s="53">
        <v>1</v>
      </c>
      <c r="X40" s="53" t="s">
        <v>39</v>
      </c>
      <c r="Y40" s="53" t="s">
        <v>88</v>
      </c>
      <c r="Z40" s="53" t="s">
        <v>78</v>
      </c>
      <c r="AA40" s="53" t="s">
        <v>102</v>
      </c>
      <c r="AB40" s="53" t="s">
        <v>235</v>
      </c>
    </row>
    <row r="41" spans="1:28" x14ac:dyDescent="0.15">
      <c r="A41" s="53" t="s">
        <v>56</v>
      </c>
      <c r="B41" s="53" t="s">
        <v>231</v>
      </c>
      <c r="C41" s="53">
        <v>2019</v>
      </c>
      <c r="D41" s="81" t="s">
        <v>232</v>
      </c>
      <c r="E41" s="53" t="s">
        <v>255</v>
      </c>
      <c r="F41" s="53" t="s">
        <v>247</v>
      </c>
      <c r="G41" s="53" t="s">
        <v>42</v>
      </c>
      <c r="H41" s="53" t="s">
        <v>160</v>
      </c>
      <c r="I41" s="53" t="s">
        <v>159</v>
      </c>
      <c r="J41" s="53" t="s">
        <v>38</v>
      </c>
      <c r="K41" s="53" t="s">
        <v>161</v>
      </c>
      <c r="L41" s="53">
        <v>1</v>
      </c>
      <c r="N41" s="53">
        <v>1</v>
      </c>
      <c r="O41" s="53">
        <v>0.6</v>
      </c>
      <c r="P41" s="53">
        <v>0.65</v>
      </c>
      <c r="Q41" s="16">
        <f t="shared" si="0"/>
        <v>0.625</v>
      </c>
      <c r="R41" s="53">
        <v>17.399999999999999</v>
      </c>
      <c r="S41" s="53">
        <v>127</v>
      </c>
      <c r="T41" s="16">
        <f t="shared" si="1"/>
        <v>27</v>
      </c>
      <c r="U41" s="53">
        <v>150</v>
      </c>
      <c r="V41" s="16">
        <f t="shared" si="2"/>
        <v>4050</v>
      </c>
      <c r="W41" s="53">
        <v>1</v>
      </c>
      <c r="X41" s="53" t="s">
        <v>39</v>
      </c>
      <c r="Y41" s="53" t="s">
        <v>88</v>
      </c>
      <c r="Z41" s="53" t="s">
        <v>78</v>
      </c>
      <c r="AA41" s="53" t="s">
        <v>102</v>
      </c>
      <c r="AB41" s="53" t="s">
        <v>235</v>
      </c>
    </row>
    <row r="42" spans="1:28" x14ac:dyDescent="0.15">
      <c r="A42" s="53" t="s">
        <v>56</v>
      </c>
      <c r="B42" s="53" t="s">
        <v>231</v>
      </c>
      <c r="C42" s="53">
        <v>2019</v>
      </c>
      <c r="D42" s="81" t="s">
        <v>232</v>
      </c>
      <c r="E42" s="53" t="s">
        <v>255</v>
      </c>
      <c r="F42" s="53" t="s">
        <v>247</v>
      </c>
      <c r="G42" s="53" t="s">
        <v>42</v>
      </c>
      <c r="H42" s="53" t="s">
        <v>160</v>
      </c>
      <c r="I42" s="53" t="s">
        <v>159</v>
      </c>
      <c r="J42" s="53" t="s">
        <v>38</v>
      </c>
      <c r="K42" s="53" t="s">
        <v>161</v>
      </c>
      <c r="L42" s="53">
        <v>2</v>
      </c>
      <c r="N42" s="53">
        <v>1</v>
      </c>
      <c r="O42" s="53">
        <v>0.7</v>
      </c>
      <c r="P42" s="53">
        <v>0.7</v>
      </c>
      <c r="Q42" s="16">
        <f t="shared" si="0"/>
        <v>0.7</v>
      </c>
      <c r="R42" s="53">
        <v>16.7</v>
      </c>
      <c r="S42" s="53">
        <v>130</v>
      </c>
      <c r="T42" s="16">
        <f t="shared" si="1"/>
        <v>25</v>
      </c>
      <c r="U42" s="53">
        <v>150</v>
      </c>
      <c r="V42" s="16">
        <f t="shared" si="2"/>
        <v>3750</v>
      </c>
      <c r="W42" s="53">
        <v>1</v>
      </c>
      <c r="X42" s="53" t="s">
        <v>39</v>
      </c>
      <c r="Y42" s="53" t="s">
        <v>88</v>
      </c>
      <c r="Z42" s="53" t="s">
        <v>78</v>
      </c>
      <c r="AA42" s="53" t="s">
        <v>102</v>
      </c>
      <c r="AB42" s="53" t="s">
        <v>235</v>
      </c>
    </row>
    <row r="43" spans="1:28" x14ac:dyDescent="0.15">
      <c r="A43" s="53" t="s">
        <v>56</v>
      </c>
      <c r="B43" s="53" t="s">
        <v>231</v>
      </c>
      <c r="C43" s="53">
        <v>2019</v>
      </c>
      <c r="D43" s="81" t="s">
        <v>232</v>
      </c>
      <c r="E43" s="53" t="s">
        <v>255</v>
      </c>
      <c r="F43" s="53" t="s">
        <v>247</v>
      </c>
      <c r="G43" s="53" t="s">
        <v>42</v>
      </c>
      <c r="H43" s="53" t="s">
        <v>160</v>
      </c>
      <c r="I43" s="53" t="s">
        <v>159</v>
      </c>
      <c r="J43" s="53" t="s">
        <v>38</v>
      </c>
      <c r="K43" s="53" t="s">
        <v>161</v>
      </c>
      <c r="L43" s="53">
        <v>3</v>
      </c>
      <c r="N43" s="53">
        <v>1</v>
      </c>
      <c r="O43" s="53">
        <v>0.65</v>
      </c>
      <c r="P43" s="53">
        <v>0.65</v>
      </c>
      <c r="Q43" s="16">
        <f t="shared" si="0"/>
        <v>0.65</v>
      </c>
      <c r="R43" s="53">
        <v>17.8</v>
      </c>
      <c r="S43" s="53">
        <v>130</v>
      </c>
      <c r="T43" s="16">
        <f t="shared" si="1"/>
        <v>25</v>
      </c>
      <c r="U43" s="53">
        <v>150</v>
      </c>
      <c r="V43" s="16">
        <f t="shared" si="2"/>
        <v>3750</v>
      </c>
      <c r="W43" s="53">
        <v>1</v>
      </c>
      <c r="X43" s="53" t="s">
        <v>39</v>
      </c>
      <c r="Y43" s="53" t="s">
        <v>88</v>
      </c>
      <c r="Z43" s="53" t="s">
        <v>78</v>
      </c>
      <c r="AA43" s="53" t="s">
        <v>102</v>
      </c>
      <c r="AB43" s="53" t="s">
        <v>235</v>
      </c>
    </row>
    <row r="44" spans="1:28" x14ac:dyDescent="0.15">
      <c r="A44" s="53" t="s">
        <v>56</v>
      </c>
      <c r="B44" s="53" t="s">
        <v>231</v>
      </c>
      <c r="C44" s="53">
        <v>2019</v>
      </c>
      <c r="D44" s="81" t="s">
        <v>232</v>
      </c>
      <c r="E44" s="53" t="s">
        <v>256</v>
      </c>
      <c r="F44" s="53" t="s">
        <v>237</v>
      </c>
      <c r="G44" s="53" t="s">
        <v>42</v>
      </c>
      <c r="H44" s="53" t="s">
        <v>164</v>
      </c>
      <c r="I44" s="53" t="s">
        <v>159</v>
      </c>
      <c r="J44" s="53" t="s">
        <v>38</v>
      </c>
      <c r="K44" s="53" t="s">
        <v>161</v>
      </c>
      <c r="L44" s="53">
        <v>1</v>
      </c>
      <c r="N44" s="53">
        <v>5</v>
      </c>
      <c r="O44" s="53">
        <v>0.8</v>
      </c>
      <c r="P44" s="53">
        <v>0.85</v>
      </c>
      <c r="Q44" s="16">
        <f t="shared" si="0"/>
        <v>0.82499999999999996</v>
      </c>
      <c r="R44" s="53">
        <v>14.5</v>
      </c>
      <c r="S44" s="53">
        <v>91</v>
      </c>
      <c r="T44" s="16">
        <f t="shared" si="1"/>
        <v>36</v>
      </c>
      <c r="U44" s="53">
        <v>429</v>
      </c>
      <c r="V44" s="16">
        <f t="shared" si="2"/>
        <v>3088.7999999999997</v>
      </c>
      <c r="W44" s="53">
        <v>1</v>
      </c>
      <c r="X44" s="53" t="s">
        <v>39</v>
      </c>
      <c r="Y44" s="53" t="s">
        <v>90</v>
      </c>
      <c r="Z44" s="53" t="s">
        <v>84</v>
      </c>
      <c r="AA44" s="53" t="s">
        <v>78</v>
      </c>
      <c r="AB44" s="53" t="s">
        <v>235</v>
      </c>
    </row>
    <row r="45" spans="1:28" x14ac:dyDescent="0.15">
      <c r="A45" s="53" t="s">
        <v>56</v>
      </c>
      <c r="B45" s="53" t="s">
        <v>231</v>
      </c>
      <c r="C45" s="53">
        <v>2019</v>
      </c>
      <c r="D45" s="81" t="s">
        <v>232</v>
      </c>
      <c r="E45" s="53" t="s">
        <v>256</v>
      </c>
      <c r="F45" s="53" t="s">
        <v>237</v>
      </c>
      <c r="G45" s="53" t="s">
        <v>42</v>
      </c>
      <c r="H45" s="53" t="s">
        <v>164</v>
      </c>
      <c r="I45" s="53" t="s">
        <v>159</v>
      </c>
      <c r="J45" s="53" t="s">
        <v>38</v>
      </c>
      <c r="K45" s="53" t="s">
        <v>161</v>
      </c>
      <c r="L45" s="53">
        <v>2</v>
      </c>
      <c r="N45" s="53">
        <v>5</v>
      </c>
      <c r="O45" s="53">
        <v>0.65</v>
      </c>
      <c r="P45" s="53">
        <v>0.65</v>
      </c>
      <c r="Q45" s="16">
        <f t="shared" si="0"/>
        <v>0.65</v>
      </c>
      <c r="R45" s="53">
        <v>13</v>
      </c>
      <c r="S45" s="53">
        <v>82</v>
      </c>
      <c r="T45" s="16">
        <f t="shared" si="1"/>
        <v>39</v>
      </c>
      <c r="U45" s="53">
        <v>429</v>
      </c>
      <c r="V45" s="16">
        <f t="shared" si="2"/>
        <v>3346.2</v>
      </c>
      <c r="W45" s="53">
        <v>1</v>
      </c>
      <c r="X45" s="53" t="s">
        <v>39</v>
      </c>
      <c r="Y45" s="53" t="s">
        <v>90</v>
      </c>
      <c r="Z45" s="53" t="s">
        <v>84</v>
      </c>
      <c r="AA45" s="53" t="s">
        <v>78</v>
      </c>
      <c r="AB45" s="53" t="s">
        <v>235</v>
      </c>
    </row>
    <row r="46" spans="1:28" x14ac:dyDescent="0.15">
      <c r="A46" s="53" t="s">
        <v>56</v>
      </c>
      <c r="B46" s="53" t="s">
        <v>231</v>
      </c>
      <c r="C46" s="53">
        <v>2019</v>
      </c>
      <c r="D46" s="81" t="s">
        <v>232</v>
      </c>
      <c r="E46" s="53" t="s">
        <v>256</v>
      </c>
      <c r="F46" s="53" t="s">
        <v>237</v>
      </c>
      <c r="G46" s="53" t="s">
        <v>42</v>
      </c>
      <c r="H46" s="53" t="s">
        <v>164</v>
      </c>
      <c r="I46" s="53" t="s">
        <v>159</v>
      </c>
      <c r="J46" s="53" t="s">
        <v>38</v>
      </c>
      <c r="K46" s="53" t="s">
        <v>161</v>
      </c>
      <c r="L46" s="53">
        <v>3</v>
      </c>
      <c r="N46" s="53">
        <v>5</v>
      </c>
      <c r="O46" s="53">
        <v>0.8</v>
      </c>
      <c r="P46" s="53">
        <v>0.9</v>
      </c>
      <c r="Q46" s="16">
        <f t="shared" si="0"/>
        <v>0.85000000000000009</v>
      </c>
      <c r="R46" s="53">
        <v>14.9</v>
      </c>
      <c r="S46" s="53">
        <v>98</v>
      </c>
      <c r="T46" s="16">
        <f t="shared" si="1"/>
        <v>36</v>
      </c>
      <c r="U46" s="53">
        <v>429</v>
      </c>
      <c r="V46" s="16">
        <f t="shared" si="2"/>
        <v>3088.7999999999997</v>
      </c>
      <c r="W46" s="53">
        <v>1</v>
      </c>
      <c r="X46" s="53" t="s">
        <v>39</v>
      </c>
      <c r="Y46" s="53" t="s">
        <v>90</v>
      </c>
      <c r="Z46" s="53" t="s">
        <v>84</v>
      </c>
      <c r="AA46" s="53" t="s">
        <v>78</v>
      </c>
      <c r="AB46" s="53" t="s">
        <v>235</v>
      </c>
    </row>
    <row r="47" spans="1:28" x14ac:dyDescent="0.15">
      <c r="A47" s="53" t="s">
        <v>56</v>
      </c>
      <c r="B47" s="53" t="s">
        <v>231</v>
      </c>
      <c r="C47" s="53">
        <v>2019</v>
      </c>
      <c r="D47" s="81" t="s">
        <v>232</v>
      </c>
      <c r="E47" s="53" t="s">
        <v>248</v>
      </c>
      <c r="F47" s="53" t="s">
        <v>250</v>
      </c>
      <c r="G47" s="53" t="s">
        <v>42</v>
      </c>
      <c r="H47" s="53" t="s">
        <v>164</v>
      </c>
      <c r="I47" s="53" t="s">
        <v>159</v>
      </c>
      <c r="J47" s="53" t="s">
        <v>38</v>
      </c>
      <c r="K47" s="53" t="s">
        <v>161</v>
      </c>
      <c r="L47" s="53">
        <v>1</v>
      </c>
      <c r="N47" s="53">
        <v>6</v>
      </c>
      <c r="O47" s="53">
        <v>0.65</v>
      </c>
      <c r="P47" s="53">
        <v>0.65</v>
      </c>
      <c r="Q47" s="16">
        <f t="shared" si="0"/>
        <v>0.65</v>
      </c>
      <c r="R47" s="53">
        <v>14.5</v>
      </c>
      <c r="S47" s="53">
        <v>93</v>
      </c>
      <c r="T47" s="16">
        <f t="shared" si="1"/>
        <v>36</v>
      </c>
      <c r="U47" s="53">
        <v>518</v>
      </c>
      <c r="V47" s="16">
        <f t="shared" si="2"/>
        <v>3108</v>
      </c>
      <c r="W47" s="53">
        <v>4</v>
      </c>
      <c r="X47" s="53" t="s">
        <v>46</v>
      </c>
      <c r="Y47" s="53" t="s">
        <v>78</v>
      </c>
      <c r="Z47" s="53" t="s">
        <v>102</v>
      </c>
      <c r="AA47" s="53" t="s">
        <v>90</v>
      </c>
      <c r="AB47" s="53" t="s">
        <v>235</v>
      </c>
    </row>
    <row r="48" spans="1:28" x14ac:dyDescent="0.15">
      <c r="A48" s="53" t="s">
        <v>56</v>
      </c>
      <c r="B48" s="53" t="s">
        <v>231</v>
      </c>
      <c r="C48" s="53">
        <v>2019</v>
      </c>
      <c r="D48" s="81" t="s">
        <v>232</v>
      </c>
      <c r="E48" s="53" t="s">
        <v>248</v>
      </c>
      <c r="F48" s="53" t="s">
        <v>250</v>
      </c>
      <c r="G48" s="53" t="s">
        <v>42</v>
      </c>
      <c r="H48" s="53" t="s">
        <v>164</v>
      </c>
      <c r="I48" s="53" t="s">
        <v>159</v>
      </c>
      <c r="J48" s="53" t="s">
        <v>38</v>
      </c>
      <c r="K48" s="53" t="s">
        <v>161</v>
      </c>
      <c r="L48" s="53">
        <v>2</v>
      </c>
      <c r="N48" s="53">
        <v>6</v>
      </c>
      <c r="O48" s="53">
        <v>0.65</v>
      </c>
      <c r="P48" s="53">
        <v>0.6</v>
      </c>
      <c r="Q48" s="16">
        <f t="shared" si="0"/>
        <v>0.625</v>
      </c>
      <c r="R48" s="53">
        <v>15.2</v>
      </c>
      <c r="S48" s="53">
        <v>95</v>
      </c>
      <c r="T48" s="16">
        <f t="shared" si="1"/>
        <v>36</v>
      </c>
      <c r="U48" s="53">
        <v>518</v>
      </c>
      <c r="V48" s="16">
        <f t="shared" si="2"/>
        <v>3108</v>
      </c>
      <c r="W48" s="53">
        <v>4</v>
      </c>
      <c r="X48" s="53" t="s">
        <v>46</v>
      </c>
      <c r="Y48" s="53" t="s">
        <v>78</v>
      </c>
      <c r="Z48" s="53" t="s">
        <v>102</v>
      </c>
      <c r="AA48" s="53" t="s">
        <v>90</v>
      </c>
      <c r="AB48" s="53" t="s">
        <v>235</v>
      </c>
    </row>
    <row r="49" spans="1:28" x14ac:dyDescent="0.15">
      <c r="A49" s="53" t="s">
        <v>56</v>
      </c>
      <c r="B49" s="53" t="s">
        <v>231</v>
      </c>
      <c r="C49" s="53">
        <v>2019</v>
      </c>
      <c r="D49" s="81" t="s">
        <v>232</v>
      </c>
      <c r="E49" s="53" t="s">
        <v>248</v>
      </c>
      <c r="F49" s="53" t="s">
        <v>250</v>
      </c>
      <c r="G49" s="53" t="s">
        <v>42</v>
      </c>
      <c r="H49" s="53" t="s">
        <v>164</v>
      </c>
      <c r="I49" s="53" t="s">
        <v>159</v>
      </c>
      <c r="J49" s="53" t="s">
        <v>38</v>
      </c>
      <c r="K49" s="53" t="s">
        <v>161</v>
      </c>
      <c r="L49" s="53">
        <v>3</v>
      </c>
      <c r="N49" s="53">
        <v>6</v>
      </c>
      <c r="O49" s="53">
        <v>0.65</v>
      </c>
      <c r="P49" s="53">
        <v>0.65</v>
      </c>
      <c r="Q49" s="16">
        <f t="shared" si="0"/>
        <v>0.65</v>
      </c>
      <c r="R49" s="53">
        <v>15.5</v>
      </c>
      <c r="S49" s="53">
        <v>93</v>
      </c>
      <c r="T49" s="16">
        <f t="shared" si="1"/>
        <v>36</v>
      </c>
      <c r="U49" s="53">
        <v>518</v>
      </c>
      <c r="V49" s="16">
        <f t="shared" si="2"/>
        <v>3108</v>
      </c>
      <c r="W49" s="53">
        <v>4</v>
      </c>
      <c r="X49" s="53" t="s">
        <v>46</v>
      </c>
      <c r="Y49" s="53" t="s">
        <v>78</v>
      </c>
      <c r="Z49" s="53" t="s">
        <v>102</v>
      </c>
      <c r="AA49" s="53" t="s">
        <v>90</v>
      </c>
      <c r="AB49" s="53" t="s">
        <v>235</v>
      </c>
    </row>
    <row r="50" spans="1:28" x14ac:dyDescent="0.15">
      <c r="A50" s="53" t="s">
        <v>56</v>
      </c>
      <c r="B50" s="53" t="s">
        <v>231</v>
      </c>
      <c r="C50" s="53">
        <v>2019</v>
      </c>
      <c r="D50" s="81" t="s">
        <v>232</v>
      </c>
      <c r="E50" s="53" t="s">
        <v>248</v>
      </c>
      <c r="F50" s="53" t="s">
        <v>250</v>
      </c>
      <c r="G50" s="53" t="s">
        <v>42</v>
      </c>
      <c r="H50" s="53" t="s">
        <v>160</v>
      </c>
      <c r="I50" s="53" t="s">
        <v>159</v>
      </c>
      <c r="J50" s="53" t="s">
        <v>38</v>
      </c>
      <c r="K50" s="53" t="s">
        <v>161</v>
      </c>
      <c r="L50" s="53">
        <v>1</v>
      </c>
      <c r="N50" s="53">
        <v>6</v>
      </c>
      <c r="O50" s="53">
        <v>0.65</v>
      </c>
      <c r="P50" s="53">
        <v>0.7</v>
      </c>
      <c r="Q50" s="16">
        <f t="shared" si="0"/>
        <v>0.67500000000000004</v>
      </c>
      <c r="R50" s="53">
        <v>16.5</v>
      </c>
      <c r="S50" s="53">
        <v>104</v>
      </c>
      <c r="T50" s="16">
        <f t="shared" si="1"/>
        <v>33</v>
      </c>
      <c r="U50" s="53">
        <v>518</v>
      </c>
      <c r="V50" s="16">
        <f t="shared" si="2"/>
        <v>2849</v>
      </c>
      <c r="W50" s="53">
        <v>4</v>
      </c>
      <c r="X50" s="53" t="s">
        <v>46</v>
      </c>
      <c r="Y50" s="53" t="s">
        <v>78</v>
      </c>
      <c r="Z50" s="53" t="s">
        <v>102</v>
      </c>
      <c r="AA50" s="53" t="s">
        <v>90</v>
      </c>
      <c r="AB50" s="53" t="s">
        <v>235</v>
      </c>
    </row>
    <row r="51" spans="1:28" x14ac:dyDescent="0.15">
      <c r="A51" s="53" t="s">
        <v>56</v>
      </c>
      <c r="B51" s="53" t="s">
        <v>231</v>
      </c>
      <c r="C51" s="53">
        <v>2019</v>
      </c>
      <c r="D51" s="81" t="s">
        <v>232</v>
      </c>
      <c r="E51" s="53" t="s">
        <v>248</v>
      </c>
      <c r="F51" s="53" t="s">
        <v>250</v>
      </c>
      <c r="G51" s="53" t="s">
        <v>42</v>
      </c>
      <c r="H51" s="53" t="s">
        <v>160</v>
      </c>
      <c r="I51" s="53" t="s">
        <v>159</v>
      </c>
      <c r="J51" s="53" t="s">
        <v>38</v>
      </c>
      <c r="K51" s="53" t="s">
        <v>161</v>
      </c>
      <c r="L51" s="53">
        <v>2</v>
      </c>
      <c r="N51" s="53">
        <v>6</v>
      </c>
      <c r="O51" s="53">
        <v>0.6</v>
      </c>
      <c r="P51" s="53">
        <v>0.75</v>
      </c>
      <c r="Q51" s="16">
        <f t="shared" si="0"/>
        <v>0.67500000000000004</v>
      </c>
      <c r="R51" s="53">
        <v>14.7</v>
      </c>
      <c r="S51" s="53">
        <v>104</v>
      </c>
      <c r="T51" s="16">
        <f t="shared" si="1"/>
        <v>33</v>
      </c>
      <c r="U51" s="53">
        <v>518</v>
      </c>
      <c r="V51" s="16">
        <f t="shared" si="2"/>
        <v>2849</v>
      </c>
      <c r="W51" s="53">
        <v>4</v>
      </c>
      <c r="X51" s="53" t="s">
        <v>46</v>
      </c>
      <c r="Y51" s="53" t="s">
        <v>78</v>
      </c>
      <c r="Z51" s="53" t="s">
        <v>102</v>
      </c>
      <c r="AA51" s="53" t="s">
        <v>90</v>
      </c>
      <c r="AB51" s="53" t="s">
        <v>235</v>
      </c>
    </row>
    <row r="52" spans="1:28" x14ac:dyDescent="0.15">
      <c r="A52" s="53" t="s">
        <v>56</v>
      </c>
      <c r="B52" s="53" t="s">
        <v>231</v>
      </c>
      <c r="C52" s="53">
        <v>2019</v>
      </c>
      <c r="D52" s="81" t="s">
        <v>232</v>
      </c>
      <c r="E52" s="53" t="s">
        <v>248</v>
      </c>
      <c r="F52" s="53" t="s">
        <v>250</v>
      </c>
      <c r="G52" s="53" t="s">
        <v>42</v>
      </c>
      <c r="H52" s="53" t="s">
        <v>160</v>
      </c>
      <c r="I52" s="53" t="s">
        <v>159</v>
      </c>
      <c r="J52" s="53" t="s">
        <v>38</v>
      </c>
      <c r="K52" s="53" t="s">
        <v>161</v>
      </c>
      <c r="L52" s="53">
        <v>3</v>
      </c>
      <c r="N52" s="53">
        <v>6</v>
      </c>
      <c r="O52" s="53">
        <v>0.65</v>
      </c>
      <c r="P52" s="53">
        <v>0.65</v>
      </c>
      <c r="Q52" s="16">
        <f t="shared" si="0"/>
        <v>0.65</v>
      </c>
      <c r="R52" s="53">
        <v>16.100000000000001</v>
      </c>
      <c r="S52" s="53">
        <v>90</v>
      </c>
      <c r="T52" s="16">
        <f t="shared" si="1"/>
        <v>36</v>
      </c>
      <c r="U52" s="53">
        <v>518</v>
      </c>
      <c r="V52" s="16">
        <f t="shared" si="2"/>
        <v>3108</v>
      </c>
      <c r="W52" s="53">
        <v>4</v>
      </c>
      <c r="X52" s="53" t="s">
        <v>46</v>
      </c>
      <c r="Y52" s="53" t="s">
        <v>78</v>
      </c>
      <c r="Z52" s="53" t="s">
        <v>102</v>
      </c>
      <c r="AA52" s="53" t="s">
        <v>90</v>
      </c>
      <c r="AB52" s="53" t="s">
        <v>235</v>
      </c>
    </row>
    <row r="53" spans="1:28" x14ac:dyDescent="0.15">
      <c r="A53" s="53" t="s">
        <v>56</v>
      </c>
      <c r="B53" s="53" t="s">
        <v>231</v>
      </c>
      <c r="C53" s="53">
        <v>2019</v>
      </c>
      <c r="D53" s="81" t="s">
        <v>232</v>
      </c>
      <c r="E53" s="53" t="s">
        <v>257</v>
      </c>
      <c r="F53" s="53" t="s">
        <v>250</v>
      </c>
      <c r="G53" s="53" t="s">
        <v>42</v>
      </c>
      <c r="H53" s="53" t="s">
        <v>164</v>
      </c>
      <c r="I53" s="53" t="s">
        <v>159</v>
      </c>
      <c r="J53" s="53" t="s">
        <v>38</v>
      </c>
      <c r="K53" s="53" t="s">
        <v>161</v>
      </c>
      <c r="L53" s="53">
        <v>1</v>
      </c>
      <c r="N53" s="53">
        <v>5</v>
      </c>
      <c r="O53" s="53">
        <v>0.65</v>
      </c>
      <c r="P53" s="53">
        <v>0.65</v>
      </c>
      <c r="Q53" s="16">
        <f t="shared" si="0"/>
        <v>0.65</v>
      </c>
      <c r="R53" s="53">
        <v>14.5</v>
      </c>
      <c r="S53" s="53">
        <v>97</v>
      </c>
      <c r="T53" s="16">
        <f t="shared" si="1"/>
        <v>36</v>
      </c>
      <c r="U53" s="53">
        <v>430</v>
      </c>
      <c r="V53" s="16">
        <f t="shared" si="2"/>
        <v>3096</v>
      </c>
      <c r="W53" s="53">
        <v>4</v>
      </c>
      <c r="X53" s="53" t="s">
        <v>46</v>
      </c>
      <c r="Y53" s="53" t="s">
        <v>78</v>
      </c>
      <c r="Z53" s="53" t="s">
        <v>102</v>
      </c>
      <c r="AA53" s="53" t="s">
        <v>90</v>
      </c>
      <c r="AB53" s="53" t="s">
        <v>235</v>
      </c>
    </row>
    <row r="54" spans="1:28" x14ac:dyDescent="0.15">
      <c r="A54" s="53" t="s">
        <v>56</v>
      </c>
      <c r="B54" s="53" t="s">
        <v>231</v>
      </c>
      <c r="C54" s="53">
        <v>2019</v>
      </c>
      <c r="D54" s="81" t="s">
        <v>232</v>
      </c>
      <c r="E54" s="53" t="s">
        <v>257</v>
      </c>
      <c r="F54" s="53" t="s">
        <v>250</v>
      </c>
      <c r="G54" s="53" t="s">
        <v>42</v>
      </c>
      <c r="H54" s="53" t="s">
        <v>164</v>
      </c>
      <c r="I54" s="53" t="s">
        <v>159</v>
      </c>
      <c r="J54" s="53" t="s">
        <v>38</v>
      </c>
      <c r="K54" s="53" t="s">
        <v>161</v>
      </c>
      <c r="L54" s="53">
        <v>2</v>
      </c>
      <c r="N54" s="53">
        <v>5</v>
      </c>
      <c r="O54" s="53">
        <v>0.55000000000000004</v>
      </c>
      <c r="P54" s="53">
        <v>0.55000000000000004</v>
      </c>
      <c r="Q54" s="16">
        <f t="shared" si="0"/>
        <v>0.55000000000000004</v>
      </c>
      <c r="R54" s="53">
        <v>13.7</v>
      </c>
      <c r="S54" s="53">
        <v>104</v>
      </c>
      <c r="T54" s="16">
        <f t="shared" si="1"/>
        <v>33</v>
      </c>
      <c r="U54" s="53">
        <v>430</v>
      </c>
      <c r="V54" s="16">
        <f t="shared" si="2"/>
        <v>2838</v>
      </c>
      <c r="W54" s="53">
        <v>4</v>
      </c>
      <c r="X54" s="53" t="s">
        <v>46</v>
      </c>
      <c r="Y54" s="53" t="s">
        <v>78</v>
      </c>
      <c r="Z54" s="53" t="s">
        <v>102</v>
      </c>
      <c r="AA54" s="53" t="s">
        <v>90</v>
      </c>
      <c r="AB54" s="53" t="s">
        <v>235</v>
      </c>
    </row>
    <row r="55" spans="1:28" x14ac:dyDescent="0.15">
      <c r="A55" s="53" t="s">
        <v>56</v>
      </c>
      <c r="B55" s="53" t="s">
        <v>231</v>
      </c>
      <c r="C55" s="53">
        <v>2019</v>
      </c>
      <c r="D55" s="81" t="s">
        <v>232</v>
      </c>
      <c r="E55" s="53" t="s">
        <v>257</v>
      </c>
      <c r="F55" s="53" t="s">
        <v>250</v>
      </c>
      <c r="G55" s="53" t="s">
        <v>42</v>
      </c>
      <c r="H55" s="53" t="s">
        <v>164</v>
      </c>
      <c r="I55" s="53" t="s">
        <v>159</v>
      </c>
      <c r="J55" s="53" t="s">
        <v>38</v>
      </c>
      <c r="K55" s="53" t="s">
        <v>161</v>
      </c>
      <c r="L55" s="53">
        <v>3</v>
      </c>
      <c r="N55" s="53">
        <v>5</v>
      </c>
      <c r="O55" s="53">
        <v>0.7</v>
      </c>
      <c r="P55" s="53">
        <v>0.65</v>
      </c>
      <c r="Q55" s="16">
        <f t="shared" si="0"/>
        <v>0.67500000000000004</v>
      </c>
      <c r="R55" s="53">
        <v>15.4</v>
      </c>
      <c r="S55" s="53">
        <v>80</v>
      </c>
      <c r="T55" s="16">
        <f t="shared" si="1"/>
        <v>39</v>
      </c>
      <c r="U55" s="53">
        <v>430</v>
      </c>
      <c r="V55" s="16">
        <f t="shared" si="2"/>
        <v>3354</v>
      </c>
      <c r="W55" s="53">
        <v>4</v>
      </c>
      <c r="X55" s="53" t="s">
        <v>46</v>
      </c>
      <c r="Y55" s="53" t="s">
        <v>78</v>
      </c>
      <c r="Z55" s="53" t="s">
        <v>102</v>
      </c>
      <c r="AA55" s="53" t="s">
        <v>90</v>
      </c>
      <c r="AB55" s="53" t="s">
        <v>235</v>
      </c>
    </row>
    <row r="56" spans="1:28" x14ac:dyDescent="0.15">
      <c r="A56" s="53" t="s">
        <v>56</v>
      </c>
      <c r="B56" s="53" t="s">
        <v>231</v>
      </c>
      <c r="C56" s="53">
        <v>2019</v>
      </c>
      <c r="D56" s="81" t="s">
        <v>232</v>
      </c>
      <c r="E56" s="53" t="s">
        <v>257</v>
      </c>
      <c r="F56" s="53" t="s">
        <v>250</v>
      </c>
      <c r="G56" s="53" t="s">
        <v>42</v>
      </c>
      <c r="H56" s="53" t="s">
        <v>160</v>
      </c>
      <c r="I56" s="53" t="s">
        <v>159</v>
      </c>
      <c r="J56" s="53" t="s">
        <v>38</v>
      </c>
      <c r="K56" s="53" t="s">
        <v>161</v>
      </c>
      <c r="L56" s="53">
        <v>1</v>
      </c>
      <c r="N56" s="53">
        <v>5</v>
      </c>
      <c r="O56" s="53">
        <v>0.6</v>
      </c>
      <c r="P56" s="53">
        <v>0.55000000000000004</v>
      </c>
      <c r="Q56" s="16">
        <f t="shared" si="0"/>
        <v>0.57499999999999996</v>
      </c>
      <c r="R56" s="53">
        <v>15.9</v>
      </c>
      <c r="S56" s="53">
        <v>116</v>
      </c>
      <c r="T56" s="16">
        <f t="shared" si="1"/>
        <v>30</v>
      </c>
      <c r="U56" s="53">
        <v>646</v>
      </c>
      <c r="V56" s="16">
        <f t="shared" si="2"/>
        <v>3875.9999999999995</v>
      </c>
      <c r="W56" s="53">
        <v>4</v>
      </c>
      <c r="X56" s="53" t="s">
        <v>46</v>
      </c>
      <c r="Y56" s="53" t="s">
        <v>78</v>
      </c>
      <c r="Z56" s="53" t="s">
        <v>102</v>
      </c>
      <c r="AA56" s="53" t="s">
        <v>90</v>
      </c>
      <c r="AB56" s="53" t="s">
        <v>235</v>
      </c>
    </row>
    <row r="57" spans="1:28" x14ac:dyDescent="0.15">
      <c r="A57" s="53" t="s">
        <v>56</v>
      </c>
      <c r="B57" s="53" t="s">
        <v>231</v>
      </c>
      <c r="C57" s="53">
        <v>2019</v>
      </c>
      <c r="D57" s="81" t="s">
        <v>232</v>
      </c>
      <c r="E57" s="53" t="s">
        <v>257</v>
      </c>
      <c r="F57" s="53" t="s">
        <v>250</v>
      </c>
      <c r="G57" s="53" t="s">
        <v>42</v>
      </c>
      <c r="H57" s="53" t="s">
        <v>160</v>
      </c>
      <c r="I57" s="53" t="s">
        <v>159</v>
      </c>
      <c r="J57" s="53" t="s">
        <v>38</v>
      </c>
      <c r="K57" s="53" t="s">
        <v>161</v>
      </c>
      <c r="L57" s="53">
        <v>2</v>
      </c>
      <c r="N57" s="53">
        <v>5</v>
      </c>
      <c r="O57" s="53">
        <v>0.5</v>
      </c>
      <c r="P57" s="53">
        <v>0.5</v>
      </c>
      <c r="Q57" s="16">
        <f t="shared" si="0"/>
        <v>0.5</v>
      </c>
      <c r="R57" s="53">
        <v>15.7</v>
      </c>
      <c r="S57" s="53">
        <v>107</v>
      </c>
      <c r="T57" s="16">
        <f t="shared" si="1"/>
        <v>33</v>
      </c>
      <c r="U57" s="53">
        <v>646</v>
      </c>
      <c r="V57" s="16">
        <f t="shared" si="2"/>
        <v>4263.5999999999995</v>
      </c>
      <c r="W57" s="53">
        <v>4</v>
      </c>
      <c r="X57" s="53" t="s">
        <v>46</v>
      </c>
      <c r="Y57" s="53" t="s">
        <v>78</v>
      </c>
      <c r="Z57" s="53" t="s">
        <v>102</v>
      </c>
      <c r="AA57" s="53" t="s">
        <v>90</v>
      </c>
      <c r="AB57" s="53" t="s">
        <v>235</v>
      </c>
    </row>
    <row r="58" spans="1:28" x14ac:dyDescent="0.15">
      <c r="A58" s="53" t="s">
        <v>56</v>
      </c>
      <c r="B58" s="53" t="s">
        <v>231</v>
      </c>
      <c r="C58" s="53">
        <v>2019</v>
      </c>
      <c r="D58" s="81" t="s">
        <v>232</v>
      </c>
      <c r="E58" s="53" t="s">
        <v>257</v>
      </c>
      <c r="F58" s="53" t="s">
        <v>250</v>
      </c>
      <c r="G58" s="53" t="s">
        <v>42</v>
      </c>
      <c r="H58" s="53" t="s">
        <v>160</v>
      </c>
      <c r="I58" s="53" t="s">
        <v>159</v>
      </c>
      <c r="J58" s="53" t="s">
        <v>38</v>
      </c>
      <c r="K58" s="53" t="s">
        <v>161</v>
      </c>
      <c r="L58" s="53">
        <v>3</v>
      </c>
      <c r="N58" s="53">
        <v>5</v>
      </c>
      <c r="O58" s="53">
        <v>0.5</v>
      </c>
      <c r="P58" s="53">
        <v>0.5</v>
      </c>
      <c r="Q58" s="16">
        <f t="shared" si="0"/>
        <v>0.5</v>
      </c>
      <c r="R58" s="53">
        <v>17.399999999999999</v>
      </c>
      <c r="S58" s="53">
        <v>118</v>
      </c>
      <c r="T58" s="16">
        <f t="shared" si="1"/>
        <v>30</v>
      </c>
      <c r="U58" s="53">
        <v>646</v>
      </c>
      <c r="V58" s="16">
        <f t="shared" si="2"/>
        <v>3875.9999999999995</v>
      </c>
      <c r="W58" s="53">
        <v>4</v>
      </c>
      <c r="X58" s="53" t="s">
        <v>46</v>
      </c>
      <c r="Y58" s="53" t="s">
        <v>78</v>
      </c>
      <c r="Z58" s="53" t="s">
        <v>102</v>
      </c>
      <c r="AA58" s="53" t="s">
        <v>90</v>
      </c>
      <c r="AB58" s="53" t="s">
        <v>235</v>
      </c>
    </row>
    <row r="59" spans="1:28" x14ac:dyDescent="0.15">
      <c r="D59" s="81"/>
    </row>
    <row r="60" spans="1:28" x14ac:dyDescent="0.15">
      <c r="D60" s="81"/>
    </row>
    <row r="61" spans="1:28" x14ac:dyDescent="0.15">
      <c r="D61" s="81"/>
    </row>
    <row r="62" spans="1:28" x14ac:dyDescent="0.15">
      <c r="D62" s="81"/>
    </row>
    <row r="63" spans="1:28" x14ac:dyDescent="0.15">
      <c r="D63" s="81"/>
    </row>
    <row r="64" spans="1:28" x14ac:dyDescent="0.15">
      <c r="D64" s="81"/>
    </row>
    <row r="65" spans="4:4" x14ac:dyDescent="0.15">
      <c r="D65" s="81"/>
    </row>
    <row r="66" spans="4:4" x14ac:dyDescent="0.15">
      <c r="D66" s="81"/>
    </row>
    <row r="67" spans="4:4" x14ac:dyDescent="0.15">
      <c r="D67" s="81"/>
    </row>
    <row r="68" spans="4:4" x14ac:dyDescent="0.15">
      <c r="D68" s="81"/>
    </row>
    <row r="69" spans="4:4" x14ac:dyDescent="0.15">
      <c r="D69" s="81"/>
    </row>
    <row r="70" spans="4:4" x14ac:dyDescent="0.15">
      <c r="D70" s="81"/>
    </row>
    <row r="71" spans="4:4" x14ac:dyDescent="0.15">
      <c r="D71" s="81"/>
    </row>
    <row r="72" spans="4:4" x14ac:dyDescent="0.15">
      <c r="D72" s="81"/>
    </row>
    <row r="73" spans="4:4" x14ac:dyDescent="0.15">
      <c r="D73" s="81"/>
    </row>
    <row r="74" spans="4:4" x14ac:dyDescent="0.15">
      <c r="D74" s="81"/>
    </row>
    <row r="75" spans="4:4" x14ac:dyDescent="0.15">
      <c r="D75" s="81"/>
    </row>
    <row r="76" spans="4:4" x14ac:dyDescent="0.15">
      <c r="D76" s="81"/>
    </row>
    <row r="77" spans="4:4" x14ac:dyDescent="0.15">
      <c r="D77" s="81"/>
    </row>
    <row r="78" spans="4:4" x14ac:dyDescent="0.15">
      <c r="D78" s="81"/>
    </row>
    <row r="79" spans="4:4" x14ac:dyDescent="0.15">
      <c r="D79" s="81"/>
    </row>
    <row r="80" spans="4:4" x14ac:dyDescent="0.15">
      <c r="D80" s="81"/>
    </row>
    <row r="81" spans="4:4" x14ac:dyDescent="0.15">
      <c r="D81" s="81"/>
    </row>
    <row r="82" spans="4:4" x14ac:dyDescent="0.15">
      <c r="D82" s="81"/>
    </row>
  </sheetData>
  <autoFilter ref="A1:BA52" xr:uid="{00000000-0009-0000-0000-000002000000}"/>
  <phoneticPr fontId="3"/>
  <dataValidations count="18">
    <dataValidation type="list" allowBlank="1" showInputMessage="1" showErrorMessage="1" sqref="K2:K450" xr:uid="{9B1D0627-718C-4BF4-B721-E614C0422233}">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xr:uid="{133DBD42-33A1-43B5-B622-1F69422D1EA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xr:uid="{095916BB-E891-4FC2-A446-2DE1A61283E2}">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xr:uid="{A71A6F63-99C6-4965-BE4C-F9AD12C7437A}">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xr:uid="{64269289-A70D-4F9D-AB3D-E7430985408A}">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xr:uid="{18F8D834-981E-4A7E-8CF2-417E73801235}"/>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xr:uid="{7416008F-1D0C-4D7F-996A-B65C0D6E0ACC}">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xr:uid="{77695B1E-A8F1-47B6-8A37-100ABE5AA8A6}">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xr:uid="{95C2BCCE-EC0B-4385-9D68-F6A0C4AFFB14}">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xr:uid="{430457C9-2C68-47BE-B3FD-73BD18E9DC2F}">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xr:uid="{A6F9A39B-00C0-460C-A1F5-9FED504B0FB1}">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xr:uid="{2C7D87A9-0F83-4E1F-9D5D-1F1F93F3D765}">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xr:uid="{ACA3E247-E27B-4A67-8B30-D5AD0D0CB515}">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xr:uid="{7DA262A7-A81F-49E7-B2AD-A993337BCC89}">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xr:uid="{F05BB1C3-F5D7-4FD1-AF25-9B029F060B9B}">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62:O500 P2:P500" xr:uid="{ACBA15A6-BD19-4B1F-918E-046A49BB431B}">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xr:uid="{1FAD8600-EBAB-41DA-853E-3754ED588E83}">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xr:uid="{E41A382C-6AC6-4876-8E47-921B58A8D6E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AA53D-EA35-4B2C-9E89-89058AFBABB7}">
  <dimension ref="A1:BA91"/>
  <sheetViews>
    <sheetView zoomScale="70" zoomScaleNormal="70" workbookViewId="0">
      <selection activeCell="A2" sqref="A2"/>
    </sheetView>
  </sheetViews>
  <sheetFormatPr defaultColWidth="9" defaultRowHeight="13.5" x14ac:dyDescent="0.15"/>
  <cols>
    <col min="1" max="3" width="9" style="93"/>
    <col min="4" max="4" width="10.5" style="93" customWidth="1"/>
    <col min="5" max="16" width="9" style="93"/>
    <col min="17" max="17" width="9" style="103"/>
    <col min="18" max="18" width="9" style="93"/>
    <col min="19" max="19" width="9.5" style="93" customWidth="1"/>
    <col min="20" max="20" width="9" style="103"/>
    <col min="21" max="21" width="9" style="93"/>
    <col min="22" max="22" width="9" style="103"/>
    <col min="23" max="23" width="10.5" style="93" customWidth="1"/>
    <col min="24" max="32" width="9" style="93"/>
    <col min="33" max="33" width="19.625" style="93" customWidth="1"/>
    <col min="34" max="34" width="9.375" style="93" customWidth="1"/>
    <col min="35" max="259" width="9" style="93"/>
    <col min="260" max="260" width="10.5" style="93" customWidth="1"/>
    <col min="261" max="274" width="9" style="93"/>
    <col min="275" max="275" width="9.5" style="93" customWidth="1"/>
    <col min="276" max="278" width="9" style="93"/>
    <col min="279" max="279" width="10.5" style="93" customWidth="1"/>
    <col min="280" max="515" width="9" style="93"/>
    <col min="516" max="516" width="10.5" style="93" customWidth="1"/>
    <col min="517" max="530" width="9" style="93"/>
    <col min="531" max="531" width="9.5" style="93" customWidth="1"/>
    <col min="532" max="534" width="9" style="93"/>
    <col min="535" max="535" width="10.5" style="93" customWidth="1"/>
    <col min="536" max="771" width="9" style="93"/>
    <col min="772" max="772" width="10.5" style="93" customWidth="1"/>
    <col min="773" max="786" width="9" style="93"/>
    <col min="787" max="787" width="9.5" style="93" customWidth="1"/>
    <col min="788" max="790" width="9" style="93"/>
    <col min="791" max="791" width="10.5" style="93" customWidth="1"/>
    <col min="792" max="1027" width="9" style="93"/>
    <col min="1028" max="1028" width="10.5" style="93" customWidth="1"/>
    <col min="1029" max="1042" width="9" style="93"/>
    <col min="1043" max="1043" width="9.5" style="93" customWidth="1"/>
    <col min="1044" max="1046" width="9" style="93"/>
    <col min="1047" max="1047" width="10.5" style="93" customWidth="1"/>
    <col min="1048" max="1283" width="9" style="93"/>
    <col min="1284" max="1284" width="10.5" style="93" customWidth="1"/>
    <col min="1285" max="1298" width="9" style="93"/>
    <col min="1299" max="1299" width="9.5" style="93" customWidth="1"/>
    <col min="1300" max="1302" width="9" style="93"/>
    <col min="1303" max="1303" width="10.5" style="93" customWidth="1"/>
    <col min="1304" max="1539" width="9" style="93"/>
    <col min="1540" max="1540" width="10.5" style="93" customWidth="1"/>
    <col min="1541" max="1554" width="9" style="93"/>
    <col min="1555" max="1555" width="9.5" style="93" customWidth="1"/>
    <col min="1556" max="1558" width="9" style="93"/>
    <col min="1559" max="1559" width="10.5" style="93" customWidth="1"/>
    <col min="1560" max="1795" width="9" style="93"/>
    <col min="1796" max="1796" width="10.5" style="93" customWidth="1"/>
    <col min="1797" max="1810" width="9" style="93"/>
    <col min="1811" max="1811" width="9.5" style="93" customWidth="1"/>
    <col min="1812" max="1814" width="9" style="93"/>
    <col min="1815" max="1815" width="10.5" style="93" customWidth="1"/>
    <col min="1816" max="2051" width="9" style="93"/>
    <col min="2052" max="2052" width="10.5" style="93" customWidth="1"/>
    <col min="2053" max="2066" width="9" style="93"/>
    <col min="2067" max="2067" width="9.5" style="93" customWidth="1"/>
    <col min="2068" max="2070" width="9" style="93"/>
    <col min="2071" max="2071" width="10.5" style="93" customWidth="1"/>
    <col min="2072" max="2307" width="9" style="93"/>
    <col min="2308" max="2308" width="10.5" style="93" customWidth="1"/>
    <col min="2309" max="2322" width="9" style="93"/>
    <col min="2323" max="2323" width="9.5" style="93" customWidth="1"/>
    <col min="2324" max="2326" width="9" style="93"/>
    <col min="2327" max="2327" width="10.5" style="93" customWidth="1"/>
    <col min="2328" max="2563" width="9" style="93"/>
    <col min="2564" max="2564" width="10.5" style="93" customWidth="1"/>
    <col min="2565" max="2578" width="9" style="93"/>
    <col min="2579" max="2579" width="9.5" style="93" customWidth="1"/>
    <col min="2580" max="2582" width="9" style="93"/>
    <col min="2583" max="2583" width="10.5" style="93" customWidth="1"/>
    <col min="2584" max="2819" width="9" style="93"/>
    <col min="2820" max="2820" width="10.5" style="93" customWidth="1"/>
    <col min="2821" max="2834" width="9" style="93"/>
    <col min="2835" max="2835" width="9.5" style="93" customWidth="1"/>
    <col min="2836" max="2838" width="9" style="93"/>
    <col min="2839" max="2839" width="10.5" style="93" customWidth="1"/>
    <col min="2840" max="3075" width="9" style="93"/>
    <col min="3076" max="3076" width="10.5" style="93" customWidth="1"/>
    <col min="3077" max="3090" width="9" style="93"/>
    <col min="3091" max="3091" width="9.5" style="93" customWidth="1"/>
    <col min="3092" max="3094" width="9" style="93"/>
    <col min="3095" max="3095" width="10.5" style="93" customWidth="1"/>
    <col min="3096" max="3331" width="9" style="93"/>
    <col min="3332" max="3332" width="10.5" style="93" customWidth="1"/>
    <col min="3333" max="3346" width="9" style="93"/>
    <col min="3347" max="3347" width="9.5" style="93" customWidth="1"/>
    <col min="3348" max="3350" width="9" style="93"/>
    <col min="3351" max="3351" width="10.5" style="93" customWidth="1"/>
    <col min="3352" max="3587" width="9" style="93"/>
    <col min="3588" max="3588" width="10.5" style="93" customWidth="1"/>
    <col min="3589" max="3602" width="9" style="93"/>
    <col min="3603" max="3603" width="9.5" style="93" customWidth="1"/>
    <col min="3604" max="3606" width="9" style="93"/>
    <col min="3607" max="3607" width="10.5" style="93" customWidth="1"/>
    <col min="3608" max="3843" width="9" style="93"/>
    <col min="3844" max="3844" width="10.5" style="93" customWidth="1"/>
    <col min="3845" max="3858" width="9" style="93"/>
    <col min="3859" max="3859" width="9.5" style="93" customWidth="1"/>
    <col min="3860" max="3862" width="9" style="93"/>
    <col min="3863" max="3863" width="10.5" style="93" customWidth="1"/>
    <col min="3864" max="4099" width="9" style="93"/>
    <col min="4100" max="4100" width="10.5" style="93" customWidth="1"/>
    <col min="4101" max="4114" width="9" style="93"/>
    <col min="4115" max="4115" width="9.5" style="93" customWidth="1"/>
    <col min="4116" max="4118" width="9" style="93"/>
    <col min="4119" max="4119" width="10.5" style="93" customWidth="1"/>
    <col min="4120" max="4355" width="9" style="93"/>
    <col min="4356" max="4356" width="10.5" style="93" customWidth="1"/>
    <col min="4357" max="4370" width="9" style="93"/>
    <col min="4371" max="4371" width="9.5" style="93" customWidth="1"/>
    <col min="4372" max="4374" width="9" style="93"/>
    <col min="4375" max="4375" width="10.5" style="93" customWidth="1"/>
    <col min="4376" max="4611" width="9" style="93"/>
    <col min="4612" max="4612" width="10.5" style="93" customWidth="1"/>
    <col min="4613" max="4626" width="9" style="93"/>
    <col min="4627" max="4627" width="9.5" style="93" customWidth="1"/>
    <col min="4628" max="4630" width="9" style="93"/>
    <col min="4631" max="4631" width="10.5" style="93" customWidth="1"/>
    <col min="4632" max="4867" width="9" style="93"/>
    <col min="4868" max="4868" width="10.5" style="93" customWidth="1"/>
    <col min="4869" max="4882" width="9" style="93"/>
    <col min="4883" max="4883" width="9.5" style="93" customWidth="1"/>
    <col min="4884" max="4886" width="9" style="93"/>
    <col min="4887" max="4887" width="10.5" style="93" customWidth="1"/>
    <col min="4888" max="5123" width="9" style="93"/>
    <col min="5124" max="5124" width="10.5" style="93" customWidth="1"/>
    <col min="5125" max="5138" width="9" style="93"/>
    <col min="5139" max="5139" width="9.5" style="93" customWidth="1"/>
    <col min="5140" max="5142" width="9" style="93"/>
    <col min="5143" max="5143" width="10.5" style="93" customWidth="1"/>
    <col min="5144" max="5379" width="9" style="93"/>
    <col min="5380" max="5380" width="10.5" style="93" customWidth="1"/>
    <col min="5381" max="5394" width="9" style="93"/>
    <col min="5395" max="5395" width="9.5" style="93" customWidth="1"/>
    <col min="5396" max="5398" width="9" style="93"/>
    <col min="5399" max="5399" width="10.5" style="93" customWidth="1"/>
    <col min="5400" max="5635" width="9" style="93"/>
    <col min="5636" max="5636" width="10.5" style="93" customWidth="1"/>
    <col min="5637" max="5650" width="9" style="93"/>
    <col min="5651" max="5651" width="9.5" style="93" customWidth="1"/>
    <col min="5652" max="5654" width="9" style="93"/>
    <col min="5655" max="5655" width="10.5" style="93" customWidth="1"/>
    <col min="5656" max="5891" width="9" style="93"/>
    <col min="5892" max="5892" width="10.5" style="93" customWidth="1"/>
    <col min="5893" max="5906" width="9" style="93"/>
    <col min="5907" max="5907" width="9.5" style="93" customWidth="1"/>
    <col min="5908" max="5910" width="9" style="93"/>
    <col min="5911" max="5911" width="10.5" style="93" customWidth="1"/>
    <col min="5912" max="6147" width="9" style="93"/>
    <col min="6148" max="6148" width="10.5" style="93" customWidth="1"/>
    <col min="6149" max="6162" width="9" style="93"/>
    <col min="6163" max="6163" width="9.5" style="93" customWidth="1"/>
    <col min="6164" max="6166" width="9" style="93"/>
    <col min="6167" max="6167" width="10.5" style="93" customWidth="1"/>
    <col min="6168" max="6403" width="9" style="93"/>
    <col min="6404" max="6404" width="10.5" style="93" customWidth="1"/>
    <col min="6405" max="6418" width="9" style="93"/>
    <col min="6419" max="6419" width="9.5" style="93" customWidth="1"/>
    <col min="6420" max="6422" width="9" style="93"/>
    <col min="6423" max="6423" width="10.5" style="93" customWidth="1"/>
    <col min="6424" max="6659" width="9" style="93"/>
    <col min="6660" max="6660" width="10.5" style="93" customWidth="1"/>
    <col min="6661" max="6674" width="9" style="93"/>
    <col min="6675" max="6675" width="9.5" style="93" customWidth="1"/>
    <col min="6676" max="6678" width="9" style="93"/>
    <col min="6679" max="6679" width="10.5" style="93" customWidth="1"/>
    <col min="6680" max="6915" width="9" style="93"/>
    <col min="6916" max="6916" width="10.5" style="93" customWidth="1"/>
    <col min="6917" max="6930" width="9" style="93"/>
    <col min="6931" max="6931" width="9.5" style="93" customWidth="1"/>
    <col min="6932" max="6934" width="9" style="93"/>
    <col min="6935" max="6935" width="10.5" style="93" customWidth="1"/>
    <col min="6936" max="7171" width="9" style="93"/>
    <col min="7172" max="7172" width="10.5" style="93" customWidth="1"/>
    <col min="7173" max="7186" width="9" style="93"/>
    <col min="7187" max="7187" width="9.5" style="93" customWidth="1"/>
    <col min="7188" max="7190" width="9" style="93"/>
    <col min="7191" max="7191" width="10.5" style="93" customWidth="1"/>
    <col min="7192" max="7427" width="9" style="93"/>
    <col min="7428" max="7428" width="10.5" style="93" customWidth="1"/>
    <col min="7429" max="7442" width="9" style="93"/>
    <col min="7443" max="7443" width="9.5" style="93" customWidth="1"/>
    <col min="7444" max="7446" width="9" style="93"/>
    <col min="7447" max="7447" width="10.5" style="93" customWidth="1"/>
    <col min="7448" max="7683" width="9" style="93"/>
    <col min="7684" max="7684" width="10.5" style="93" customWidth="1"/>
    <col min="7685" max="7698" width="9" style="93"/>
    <col min="7699" max="7699" width="9.5" style="93" customWidth="1"/>
    <col min="7700" max="7702" width="9" style="93"/>
    <col min="7703" max="7703" width="10.5" style="93" customWidth="1"/>
    <col min="7704" max="7939" width="9" style="93"/>
    <col min="7940" max="7940" width="10.5" style="93" customWidth="1"/>
    <col min="7941" max="7954" width="9" style="93"/>
    <col min="7955" max="7955" width="9.5" style="93" customWidth="1"/>
    <col min="7956" max="7958" width="9" style="93"/>
    <col min="7959" max="7959" width="10.5" style="93" customWidth="1"/>
    <col min="7960" max="8195" width="9" style="93"/>
    <col min="8196" max="8196" width="10.5" style="93" customWidth="1"/>
    <col min="8197" max="8210" width="9" style="93"/>
    <col min="8211" max="8211" width="9.5" style="93" customWidth="1"/>
    <col min="8212" max="8214" width="9" style="93"/>
    <col min="8215" max="8215" width="10.5" style="93" customWidth="1"/>
    <col min="8216" max="8451" width="9" style="93"/>
    <col min="8452" max="8452" width="10.5" style="93" customWidth="1"/>
    <col min="8453" max="8466" width="9" style="93"/>
    <col min="8467" max="8467" width="9.5" style="93" customWidth="1"/>
    <col min="8468" max="8470" width="9" style="93"/>
    <col min="8471" max="8471" width="10.5" style="93" customWidth="1"/>
    <col min="8472" max="8707" width="9" style="93"/>
    <col min="8708" max="8708" width="10.5" style="93" customWidth="1"/>
    <col min="8709" max="8722" width="9" style="93"/>
    <col min="8723" max="8723" width="9.5" style="93" customWidth="1"/>
    <col min="8724" max="8726" width="9" style="93"/>
    <col min="8727" max="8727" width="10.5" style="93" customWidth="1"/>
    <col min="8728" max="8963" width="9" style="93"/>
    <col min="8964" max="8964" width="10.5" style="93" customWidth="1"/>
    <col min="8965" max="8978" width="9" style="93"/>
    <col min="8979" max="8979" width="9.5" style="93" customWidth="1"/>
    <col min="8980" max="8982" width="9" style="93"/>
    <col min="8983" max="8983" width="10.5" style="93" customWidth="1"/>
    <col min="8984" max="9219" width="9" style="93"/>
    <col min="9220" max="9220" width="10.5" style="93" customWidth="1"/>
    <col min="9221" max="9234" width="9" style="93"/>
    <col min="9235" max="9235" width="9.5" style="93" customWidth="1"/>
    <col min="9236" max="9238" width="9" style="93"/>
    <col min="9239" max="9239" width="10.5" style="93" customWidth="1"/>
    <col min="9240" max="9475" width="9" style="93"/>
    <col min="9476" max="9476" width="10.5" style="93" customWidth="1"/>
    <col min="9477" max="9490" width="9" style="93"/>
    <col min="9491" max="9491" width="9.5" style="93" customWidth="1"/>
    <col min="9492" max="9494" width="9" style="93"/>
    <col min="9495" max="9495" width="10.5" style="93" customWidth="1"/>
    <col min="9496" max="9731" width="9" style="93"/>
    <col min="9732" max="9732" width="10.5" style="93" customWidth="1"/>
    <col min="9733" max="9746" width="9" style="93"/>
    <col min="9747" max="9747" width="9.5" style="93" customWidth="1"/>
    <col min="9748" max="9750" width="9" style="93"/>
    <col min="9751" max="9751" width="10.5" style="93" customWidth="1"/>
    <col min="9752" max="9987" width="9" style="93"/>
    <col min="9988" max="9988" width="10.5" style="93" customWidth="1"/>
    <col min="9989" max="10002" width="9" style="93"/>
    <col min="10003" max="10003" width="9.5" style="93" customWidth="1"/>
    <col min="10004" max="10006" width="9" style="93"/>
    <col min="10007" max="10007" width="10.5" style="93" customWidth="1"/>
    <col min="10008" max="10243" width="9" style="93"/>
    <col min="10244" max="10244" width="10.5" style="93" customWidth="1"/>
    <col min="10245" max="10258" width="9" style="93"/>
    <col min="10259" max="10259" width="9.5" style="93" customWidth="1"/>
    <col min="10260" max="10262" width="9" style="93"/>
    <col min="10263" max="10263" width="10.5" style="93" customWidth="1"/>
    <col min="10264" max="10499" width="9" style="93"/>
    <col min="10500" max="10500" width="10.5" style="93" customWidth="1"/>
    <col min="10501" max="10514" width="9" style="93"/>
    <col min="10515" max="10515" width="9.5" style="93" customWidth="1"/>
    <col min="10516" max="10518" width="9" style="93"/>
    <col min="10519" max="10519" width="10.5" style="93" customWidth="1"/>
    <col min="10520" max="10755" width="9" style="93"/>
    <col min="10756" max="10756" width="10.5" style="93" customWidth="1"/>
    <col min="10757" max="10770" width="9" style="93"/>
    <col min="10771" max="10771" width="9.5" style="93" customWidth="1"/>
    <col min="10772" max="10774" width="9" style="93"/>
    <col min="10775" max="10775" width="10.5" style="93" customWidth="1"/>
    <col min="10776" max="11011" width="9" style="93"/>
    <col min="11012" max="11012" width="10.5" style="93" customWidth="1"/>
    <col min="11013" max="11026" width="9" style="93"/>
    <col min="11027" max="11027" width="9.5" style="93" customWidth="1"/>
    <col min="11028" max="11030" width="9" style="93"/>
    <col min="11031" max="11031" width="10.5" style="93" customWidth="1"/>
    <col min="11032" max="11267" width="9" style="93"/>
    <col min="11268" max="11268" width="10.5" style="93" customWidth="1"/>
    <col min="11269" max="11282" width="9" style="93"/>
    <col min="11283" max="11283" width="9.5" style="93" customWidth="1"/>
    <col min="11284" max="11286" width="9" style="93"/>
    <col min="11287" max="11287" width="10.5" style="93" customWidth="1"/>
    <col min="11288" max="11523" width="9" style="93"/>
    <col min="11524" max="11524" width="10.5" style="93" customWidth="1"/>
    <col min="11525" max="11538" width="9" style="93"/>
    <col min="11539" max="11539" width="9.5" style="93" customWidth="1"/>
    <col min="11540" max="11542" width="9" style="93"/>
    <col min="11543" max="11543" width="10.5" style="93" customWidth="1"/>
    <col min="11544" max="11779" width="9" style="93"/>
    <col min="11780" max="11780" width="10.5" style="93" customWidth="1"/>
    <col min="11781" max="11794" width="9" style="93"/>
    <col min="11795" max="11795" width="9.5" style="93" customWidth="1"/>
    <col min="11796" max="11798" width="9" style="93"/>
    <col min="11799" max="11799" width="10.5" style="93" customWidth="1"/>
    <col min="11800" max="12035" width="9" style="93"/>
    <col min="12036" max="12036" width="10.5" style="93" customWidth="1"/>
    <col min="12037" max="12050" width="9" style="93"/>
    <col min="12051" max="12051" width="9.5" style="93" customWidth="1"/>
    <col min="12052" max="12054" width="9" style="93"/>
    <col min="12055" max="12055" width="10.5" style="93" customWidth="1"/>
    <col min="12056" max="12291" width="9" style="93"/>
    <col min="12292" max="12292" width="10.5" style="93" customWidth="1"/>
    <col min="12293" max="12306" width="9" style="93"/>
    <col min="12307" max="12307" width="9.5" style="93" customWidth="1"/>
    <col min="12308" max="12310" width="9" style="93"/>
    <col min="12311" max="12311" width="10.5" style="93" customWidth="1"/>
    <col min="12312" max="12547" width="9" style="93"/>
    <col min="12548" max="12548" width="10.5" style="93" customWidth="1"/>
    <col min="12549" max="12562" width="9" style="93"/>
    <col min="12563" max="12563" width="9.5" style="93" customWidth="1"/>
    <col min="12564" max="12566" width="9" style="93"/>
    <col min="12567" max="12567" width="10.5" style="93" customWidth="1"/>
    <col min="12568" max="12803" width="9" style="93"/>
    <col min="12804" max="12804" width="10.5" style="93" customWidth="1"/>
    <col min="12805" max="12818" width="9" style="93"/>
    <col min="12819" max="12819" width="9.5" style="93" customWidth="1"/>
    <col min="12820" max="12822" width="9" style="93"/>
    <col min="12823" max="12823" width="10.5" style="93" customWidth="1"/>
    <col min="12824" max="13059" width="9" style="93"/>
    <col min="13060" max="13060" width="10.5" style="93" customWidth="1"/>
    <col min="13061" max="13074" width="9" style="93"/>
    <col min="13075" max="13075" width="9.5" style="93" customWidth="1"/>
    <col min="13076" max="13078" width="9" style="93"/>
    <col min="13079" max="13079" width="10.5" style="93" customWidth="1"/>
    <col min="13080" max="13315" width="9" style="93"/>
    <col min="13316" max="13316" width="10.5" style="93" customWidth="1"/>
    <col min="13317" max="13330" width="9" style="93"/>
    <col min="13331" max="13331" width="9.5" style="93" customWidth="1"/>
    <col min="13332" max="13334" width="9" style="93"/>
    <col min="13335" max="13335" width="10.5" style="93" customWidth="1"/>
    <col min="13336" max="13571" width="9" style="93"/>
    <col min="13572" max="13572" width="10.5" style="93" customWidth="1"/>
    <col min="13573" max="13586" width="9" style="93"/>
    <col min="13587" max="13587" width="9.5" style="93" customWidth="1"/>
    <col min="13588" max="13590" width="9" style="93"/>
    <col min="13591" max="13591" width="10.5" style="93" customWidth="1"/>
    <col min="13592" max="13827" width="9" style="93"/>
    <col min="13828" max="13828" width="10.5" style="93" customWidth="1"/>
    <col min="13829" max="13842" width="9" style="93"/>
    <col min="13843" max="13843" width="9.5" style="93" customWidth="1"/>
    <col min="13844" max="13846" width="9" style="93"/>
    <col min="13847" max="13847" width="10.5" style="93" customWidth="1"/>
    <col min="13848" max="14083" width="9" style="93"/>
    <col min="14084" max="14084" width="10.5" style="93" customWidth="1"/>
    <col min="14085" max="14098" width="9" style="93"/>
    <col min="14099" max="14099" width="9.5" style="93" customWidth="1"/>
    <col min="14100" max="14102" width="9" style="93"/>
    <col min="14103" max="14103" width="10.5" style="93" customWidth="1"/>
    <col min="14104" max="14339" width="9" style="93"/>
    <col min="14340" max="14340" width="10.5" style="93" customWidth="1"/>
    <col min="14341" max="14354" width="9" style="93"/>
    <col min="14355" max="14355" width="9.5" style="93" customWidth="1"/>
    <col min="14356" max="14358" width="9" style="93"/>
    <col min="14359" max="14359" width="10.5" style="93" customWidth="1"/>
    <col min="14360" max="14595" width="9" style="93"/>
    <col min="14596" max="14596" width="10.5" style="93" customWidth="1"/>
    <col min="14597" max="14610" width="9" style="93"/>
    <col min="14611" max="14611" width="9.5" style="93" customWidth="1"/>
    <col min="14612" max="14614" width="9" style="93"/>
    <col min="14615" max="14615" width="10.5" style="93" customWidth="1"/>
    <col min="14616" max="14851" width="9" style="93"/>
    <col min="14852" max="14852" width="10.5" style="93" customWidth="1"/>
    <col min="14853" max="14866" width="9" style="93"/>
    <col min="14867" max="14867" width="9.5" style="93" customWidth="1"/>
    <col min="14868" max="14870" width="9" style="93"/>
    <col min="14871" max="14871" width="10.5" style="93" customWidth="1"/>
    <col min="14872" max="15107" width="9" style="93"/>
    <col min="15108" max="15108" width="10.5" style="93" customWidth="1"/>
    <col min="15109" max="15122" width="9" style="93"/>
    <col min="15123" max="15123" width="9.5" style="93" customWidth="1"/>
    <col min="15124" max="15126" width="9" style="93"/>
    <col min="15127" max="15127" width="10.5" style="93" customWidth="1"/>
    <col min="15128" max="15363" width="9" style="93"/>
    <col min="15364" max="15364" width="10.5" style="93" customWidth="1"/>
    <col min="15365" max="15378" width="9" style="93"/>
    <col min="15379" max="15379" width="9.5" style="93" customWidth="1"/>
    <col min="15380" max="15382" width="9" style="93"/>
    <col min="15383" max="15383" width="10.5" style="93" customWidth="1"/>
    <col min="15384" max="15619" width="9" style="93"/>
    <col min="15620" max="15620" width="10.5" style="93" customWidth="1"/>
    <col min="15621" max="15634" width="9" style="93"/>
    <col min="15635" max="15635" width="9.5" style="93" customWidth="1"/>
    <col min="15636" max="15638" width="9" style="93"/>
    <col min="15639" max="15639" width="10.5" style="93" customWidth="1"/>
    <col min="15640" max="15875" width="9" style="93"/>
    <col min="15876" max="15876" width="10.5" style="93" customWidth="1"/>
    <col min="15877" max="15890" width="9" style="93"/>
    <col min="15891" max="15891" width="9.5" style="93" customWidth="1"/>
    <col min="15892" max="15894" width="9" style="93"/>
    <col min="15895" max="15895" width="10.5" style="93" customWidth="1"/>
    <col min="15896" max="16131" width="9" style="93"/>
    <col min="16132" max="16132" width="10.5" style="93" customWidth="1"/>
    <col min="16133" max="16146" width="9" style="93"/>
    <col min="16147" max="16147" width="9.5" style="93" customWidth="1"/>
    <col min="16148" max="16150" width="9" style="93"/>
    <col min="16151" max="16151" width="10.5" style="93" customWidth="1"/>
    <col min="16152" max="16384" width="9" style="93"/>
  </cols>
  <sheetData>
    <row r="1" spans="1:53" ht="45" x14ac:dyDescent="0.15">
      <c r="A1" s="84" t="s">
        <v>0</v>
      </c>
      <c r="B1" s="85" t="s">
        <v>167</v>
      </c>
      <c r="C1" s="85" t="s">
        <v>168</v>
      </c>
      <c r="D1" s="86" t="s">
        <v>3</v>
      </c>
      <c r="E1" s="87" t="s">
        <v>4</v>
      </c>
      <c r="F1" s="87" t="s">
        <v>5</v>
      </c>
      <c r="G1" s="87" t="s">
        <v>6</v>
      </c>
      <c r="H1" s="87" t="s">
        <v>7</v>
      </c>
      <c r="I1" s="87" t="s">
        <v>8</v>
      </c>
      <c r="J1" s="87" t="s">
        <v>9</v>
      </c>
      <c r="K1" s="87" t="s">
        <v>10</v>
      </c>
      <c r="L1" s="86" t="s">
        <v>169</v>
      </c>
      <c r="M1" s="86" t="s">
        <v>170</v>
      </c>
      <c r="N1" s="86" t="s">
        <v>13</v>
      </c>
      <c r="O1" s="86" t="s">
        <v>171</v>
      </c>
      <c r="P1" s="86" t="s">
        <v>172</v>
      </c>
      <c r="Q1" s="88" t="s">
        <v>173</v>
      </c>
      <c r="R1" s="86" t="s">
        <v>174</v>
      </c>
      <c r="S1" s="86" t="s">
        <v>175</v>
      </c>
      <c r="T1" s="88" t="s">
        <v>19</v>
      </c>
      <c r="U1" s="89" t="s">
        <v>108</v>
      </c>
      <c r="V1" s="90" t="s">
        <v>20</v>
      </c>
      <c r="W1" s="86" t="s">
        <v>176</v>
      </c>
      <c r="X1" s="87" t="s">
        <v>22</v>
      </c>
      <c r="Y1" s="87" t="s">
        <v>23</v>
      </c>
      <c r="Z1" s="87" t="s">
        <v>24</v>
      </c>
      <c r="AA1" s="91" t="s">
        <v>25</v>
      </c>
      <c r="AB1" s="92" t="s">
        <v>177</v>
      </c>
      <c r="AE1" s="94" t="s">
        <v>0</v>
      </c>
      <c r="AF1" s="95"/>
      <c r="AG1" s="94" t="s">
        <v>4</v>
      </c>
      <c r="AH1" s="94" t="s">
        <v>5</v>
      </c>
      <c r="AI1" s="95"/>
      <c r="AJ1" s="94" t="s">
        <v>6</v>
      </c>
      <c r="AK1" s="95"/>
      <c r="AL1" s="96" t="s">
        <v>7</v>
      </c>
      <c r="AM1" s="95"/>
      <c r="AN1" s="96" t="s">
        <v>8</v>
      </c>
      <c r="AO1" s="95"/>
      <c r="AP1" s="96" t="s">
        <v>27</v>
      </c>
      <c r="AQ1" s="95"/>
      <c r="AR1" s="96" t="s">
        <v>10</v>
      </c>
      <c r="AS1" s="95"/>
      <c r="AT1" s="97" t="s">
        <v>178</v>
      </c>
      <c r="AU1" s="95"/>
      <c r="AV1" s="96" t="s">
        <v>29</v>
      </c>
      <c r="AX1" s="98" t="s">
        <v>258</v>
      </c>
      <c r="AY1" s="99" t="s">
        <v>180</v>
      </c>
      <c r="AZ1" s="99" t="s">
        <v>259</v>
      </c>
      <c r="BA1" s="100" t="s">
        <v>182</v>
      </c>
    </row>
    <row r="2" spans="1:53" x14ac:dyDescent="0.15">
      <c r="A2" s="93" t="s">
        <v>51</v>
      </c>
      <c r="B2" s="93" t="s">
        <v>157</v>
      </c>
      <c r="C2" s="93">
        <v>2019</v>
      </c>
      <c r="D2" s="101" t="s">
        <v>260</v>
      </c>
      <c r="E2" s="93" t="s">
        <v>261</v>
      </c>
      <c r="F2" s="93" t="s">
        <v>262</v>
      </c>
      <c r="G2" s="93" t="s">
        <v>42</v>
      </c>
      <c r="H2" s="93" t="s">
        <v>164</v>
      </c>
      <c r="I2" s="93" t="s">
        <v>159</v>
      </c>
      <c r="J2" s="93" t="s">
        <v>38</v>
      </c>
      <c r="K2" s="93" t="s">
        <v>161</v>
      </c>
      <c r="L2" s="93">
        <v>1</v>
      </c>
      <c r="N2" s="93">
        <v>1</v>
      </c>
      <c r="O2" s="93">
        <v>0.8</v>
      </c>
      <c r="P2" s="93">
        <v>0.8</v>
      </c>
      <c r="Q2" s="102">
        <f t="shared" ref="Q2:Q65" si="0">IF(OR(O2="",P2=""),"",AVERAGE(O2,P2))</f>
        <v>0.8</v>
      </c>
      <c r="R2" s="93">
        <v>17.100000000000001</v>
      </c>
      <c r="S2" s="93">
        <v>124</v>
      </c>
      <c r="T2" s="103">
        <f t="shared" ref="T2:T65" si="1">IF(H2="","",IF(OR(H2="GREEN",H2="GK"),IF(S2&gt;=$AX$2,VLOOKUP(S2,$AX$2:$AY$12,2,1),""),IF(S2&gt;=$AZ$2,VLOOKUP(S2,$AZ$2:$BA$12,2,1),"")))</f>
        <v>27</v>
      </c>
      <c r="U2" s="93">
        <v>98</v>
      </c>
      <c r="V2" s="104">
        <f t="shared" ref="V2:V65" si="2">IF(OR(N2="",U2="",T2=""),"",U2/N2*T2)</f>
        <v>2646</v>
      </c>
      <c r="W2" s="93">
        <v>12</v>
      </c>
      <c r="X2" s="93" t="s">
        <v>46</v>
      </c>
      <c r="Y2" s="93" t="s">
        <v>69</v>
      </c>
      <c r="Z2" s="93" t="s">
        <v>102</v>
      </c>
      <c r="AA2" s="93" t="s">
        <v>78</v>
      </c>
      <c r="AB2" s="93" t="s">
        <v>158</v>
      </c>
      <c r="AE2" s="105" t="s">
        <v>35</v>
      </c>
      <c r="AG2" s="106" t="s">
        <v>209</v>
      </c>
      <c r="AH2" s="106" t="s">
        <v>263</v>
      </c>
      <c r="AJ2" s="106" t="s">
        <v>36</v>
      </c>
      <c r="AL2" s="106" t="s">
        <v>184</v>
      </c>
      <c r="AN2" s="106" t="s">
        <v>37</v>
      </c>
      <c r="AP2" s="106" t="s">
        <v>38</v>
      </c>
      <c r="AR2" s="106" t="s">
        <v>161</v>
      </c>
      <c r="AT2" s="106" t="s">
        <v>39</v>
      </c>
      <c r="AV2" s="106" t="s">
        <v>40</v>
      </c>
      <c r="AX2" s="107">
        <v>1</v>
      </c>
      <c r="AY2" s="108">
        <v>50</v>
      </c>
      <c r="AZ2" s="108">
        <v>1</v>
      </c>
      <c r="BA2" s="109">
        <v>50</v>
      </c>
    </row>
    <row r="3" spans="1:53" x14ac:dyDescent="0.15">
      <c r="A3" s="93" t="s">
        <v>51</v>
      </c>
      <c r="B3" s="93" t="s">
        <v>157</v>
      </c>
      <c r="C3" s="93">
        <v>2019</v>
      </c>
      <c r="D3" s="101" t="s">
        <v>260</v>
      </c>
      <c r="E3" s="93" t="s">
        <v>261</v>
      </c>
      <c r="F3" s="93" t="s">
        <v>262</v>
      </c>
      <c r="G3" s="93" t="s">
        <v>42</v>
      </c>
      <c r="H3" s="93" t="s">
        <v>164</v>
      </c>
      <c r="I3" s="93" t="s">
        <v>159</v>
      </c>
      <c r="J3" s="93" t="s">
        <v>38</v>
      </c>
      <c r="K3" s="93" t="s">
        <v>161</v>
      </c>
      <c r="L3" s="93">
        <v>2</v>
      </c>
      <c r="N3" s="93">
        <v>1</v>
      </c>
      <c r="O3" s="93">
        <v>0.75</v>
      </c>
      <c r="P3" s="93">
        <v>0.8</v>
      </c>
      <c r="Q3" s="102">
        <f t="shared" si="0"/>
        <v>0.77500000000000002</v>
      </c>
      <c r="R3" s="93">
        <v>16.7</v>
      </c>
      <c r="S3" s="93">
        <v>122</v>
      </c>
      <c r="T3" s="103">
        <f t="shared" si="1"/>
        <v>27</v>
      </c>
      <c r="U3" s="93">
        <v>98</v>
      </c>
      <c r="V3" s="104">
        <f t="shared" si="2"/>
        <v>2646</v>
      </c>
      <c r="W3" s="93">
        <v>12</v>
      </c>
      <c r="X3" s="93" t="s">
        <v>46</v>
      </c>
      <c r="Y3" s="93" t="s">
        <v>69</v>
      </c>
      <c r="Z3" s="93" t="s">
        <v>102</v>
      </c>
      <c r="AA3" s="93" t="s">
        <v>78</v>
      </c>
      <c r="AB3" s="93" t="s">
        <v>158</v>
      </c>
      <c r="AE3" s="110" t="s">
        <v>41</v>
      </c>
      <c r="AG3" s="106" t="s">
        <v>264</v>
      </c>
      <c r="AH3" s="106" t="s">
        <v>265</v>
      </c>
      <c r="AJ3" s="111" t="s">
        <v>42</v>
      </c>
      <c r="AL3" s="111" t="s">
        <v>186</v>
      </c>
      <c r="AN3" s="111" t="s">
        <v>43</v>
      </c>
      <c r="AP3" s="111" t="s">
        <v>44</v>
      </c>
      <c r="AR3" s="111" t="s">
        <v>45</v>
      </c>
      <c r="AT3" s="111" t="s">
        <v>46</v>
      </c>
      <c r="AV3" s="111" t="s">
        <v>47</v>
      </c>
      <c r="AX3" s="112">
        <v>72</v>
      </c>
      <c r="AY3" s="113">
        <v>46</v>
      </c>
      <c r="AZ3" s="113">
        <v>71</v>
      </c>
      <c r="BA3" s="114">
        <v>42</v>
      </c>
    </row>
    <row r="4" spans="1:53" x14ac:dyDescent="0.15">
      <c r="A4" s="93" t="s">
        <v>51</v>
      </c>
      <c r="B4" s="93" t="s">
        <v>157</v>
      </c>
      <c r="C4" s="93">
        <v>2019</v>
      </c>
      <c r="D4" s="101" t="s">
        <v>260</v>
      </c>
      <c r="E4" s="93" t="s">
        <v>261</v>
      </c>
      <c r="F4" s="93" t="s">
        <v>262</v>
      </c>
      <c r="G4" s="93" t="s">
        <v>42</v>
      </c>
      <c r="H4" s="93" t="s">
        <v>164</v>
      </c>
      <c r="I4" s="93" t="s">
        <v>159</v>
      </c>
      <c r="J4" s="93" t="s">
        <v>38</v>
      </c>
      <c r="K4" s="93" t="s">
        <v>161</v>
      </c>
      <c r="L4" s="93">
        <v>3</v>
      </c>
      <c r="N4" s="93">
        <v>1</v>
      </c>
      <c r="O4" s="93">
        <v>0.85</v>
      </c>
      <c r="P4" s="93">
        <v>0.8</v>
      </c>
      <c r="Q4" s="102">
        <f t="shared" si="0"/>
        <v>0.82499999999999996</v>
      </c>
      <c r="R4" s="93">
        <v>16.5</v>
      </c>
      <c r="S4" s="93">
        <v>120</v>
      </c>
      <c r="T4" s="103">
        <f t="shared" si="1"/>
        <v>30</v>
      </c>
      <c r="U4" s="93">
        <v>98</v>
      </c>
      <c r="V4" s="104">
        <f t="shared" si="2"/>
        <v>2940</v>
      </c>
      <c r="W4" s="93">
        <v>12</v>
      </c>
      <c r="X4" s="93" t="s">
        <v>46</v>
      </c>
      <c r="Y4" s="93" t="s">
        <v>69</v>
      </c>
      <c r="Z4" s="93" t="s">
        <v>102</v>
      </c>
      <c r="AA4" s="93" t="s">
        <v>78</v>
      </c>
      <c r="AB4" s="93" t="s">
        <v>158</v>
      </c>
      <c r="AE4" s="110" t="s">
        <v>34</v>
      </c>
      <c r="AG4" s="106" t="s">
        <v>266</v>
      </c>
      <c r="AH4" s="106" t="s">
        <v>267</v>
      </c>
      <c r="AJ4" s="115" t="s">
        <v>48</v>
      </c>
      <c r="AL4" s="115" t="s">
        <v>188</v>
      </c>
      <c r="AN4" s="116" t="s">
        <v>189</v>
      </c>
      <c r="AP4" s="111" t="s">
        <v>190</v>
      </c>
      <c r="AR4" s="111" t="s">
        <v>191</v>
      </c>
      <c r="AT4" s="116"/>
      <c r="AV4" s="111" t="s">
        <v>50</v>
      </c>
      <c r="AX4" s="112">
        <v>75</v>
      </c>
      <c r="AY4" s="113">
        <v>42</v>
      </c>
      <c r="AZ4" s="113">
        <v>76</v>
      </c>
      <c r="BA4" s="114">
        <v>39</v>
      </c>
    </row>
    <row r="5" spans="1:53" x14ac:dyDescent="0.15">
      <c r="A5" s="93" t="s">
        <v>51</v>
      </c>
      <c r="B5" s="93" t="s">
        <v>157</v>
      </c>
      <c r="C5" s="93">
        <v>2019</v>
      </c>
      <c r="D5" s="101" t="s">
        <v>260</v>
      </c>
      <c r="E5" s="93" t="s">
        <v>261</v>
      </c>
      <c r="F5" s="93" t="s">
        <v>262</v>
      </c>
      <c r="G5" s="93" t="s">
        <v>42</v>
      </c>
      <c r="H5" s="93" t="s">
        <v>160</v>
      </c>
      <c r="I5" s="93" t="s">
        <v>159</v>
      </c>
      <c r="J5" s="93" t="s">
        <v>38</v>
      </c>
      <c r="K5" s="93" t="s">
        <v>161</v>
      </c>
      <c r="L5" s="93">
        <v>1</v>
      </c>
      <c r="N5" s="93">
        <v>1</v>
      </c>
      <c r="O5" s="93">
        <v>0.6</v>
      </c>
      <c r="P5" s="93">
        <v>0.6</v>
      </c>
      <c r="Q5" s="102">
        <f t="shared" si="0"/>
        <v>0.6</v>
      </c>
      <c r="R5" s="93">
        <v>16.7</v>
      </c>
      <c r="S5" s="93">
        <v>134</v>
      </c>
      <c r="T5" s="103">
        <f t="shared" si="1"/>
        <v>25</v>
      </c>
      <c r="U5" s="93">
        <v>138</v>
      </c>
      <c r="V5" s="104">
        <f t="shared" si="2"/>
        <v>3450</v>
      </c>
      <c r="W5" s="93">
        <v>12</v>
      </c>
      <c r="X5" s="93" t="s">
        <v>46</v>
      </c>
      <c r="Y5" s="93" t="s">
        <v>69</v>
      </c>
      <c r="Z5" s="93" t="s">
        <v>102</v>
      </c>
      <c r="AA5" s="93" t="s">
        <v>78</v>
      </c>
      <c r="AB5" s="93" t="s">
        <v>158</v>
      </c>
      <c r="AE5" s="110" t="s">
        <v>51</v>
      </c>
      <c r="AG5" s="106" t="s">
        <v>268</v>
      </c>
      <c r="AH5" s="106" t="s">
        <v>262</v>
      </c>
      <c r="AJ5" s="116"/>
      <c r="AL5" s="117" t="s">
        <v>164</v>
      </c>
      <c r="AN5" s="117" t="s">
        <v>159</v>
      </c>
      <c r="AP5" s="111" t="s">
        <v>193</v>
      </c>
      <c r="AR5" s="111" t="s">
        <v>54</v>
      </c>
      <c r="AV5" s="111" t="s">
        <v>55</v>
      </c>
      <c r="AX5" s="112">
        <v>84</v>
      </c>
      <c r="AY5" s="113">
        <v>39</v>
      </c>
      <c r="AZ5" s="113">
        <v>84</v>
      </c>
      <c r="BA5" s="114">
        <v>36</v>
      </c>
    </row>
    <row r="6" spans="1:53" x14ac:dyDescent="0.15">
      <c r="A6" s="93" t="s">
        <v>51</v>
      </c>
      <c r="B6" s="93" t="s">
        <v>157</v>
      </c>
      <c r="C6" s="93">
        <v>2019</v>
      </c>
      <c r="D6" s="101" t="s">
        <v>260</v>
      </c>
      <c r="E6" s="93" t="s">
        <v>261</v>
      </c>
      <c r="F6" s="93" t="s">
        <v>262</v>
      </c>
      <c r="G6" s="93" t="s">
        <v>42</v>
      </c>
      <c r="H6" s="93" t="s">
        <v>160</v>
      </c>
      <c r="I6" s="93" t="s">
        <v>159</v>
      </c>
      <c r="J6" s="93" t="s">
        <v>38</v>
      </c>
      <c r="K6" s="93" t="s">
        <v>161</v>
      </c>
      <c r="L6" s="93">
        <v>2</v>
      </c>
      <c r="N6" s="93">
        <v>1</v>
      </c>
      <c r="O6" s="93">
        <v>0.65</v>
      </c>
      <c r="P6" s="93">
        <v>0.7</v>
      </c>
      <c r="Q6" s="102">
        <f t="shared" si="0"/>
        <v>0.67500000000000004</v>
      </c>
      <c r="R6" s="93">
        <v>16.5</v>
      </c>
      <c r="S6" s="93">
        <v>136</v>
      </c>
      <c r="T6" s="103">
        <f t="shared" si="1"/>
        <v>25</v>
      </c>
      <c r="U6" s="93">
        <v>138</v>
      </c>
      <c r="V6" s="104">
        <f t="shared" si="2"/>
        <v>3450</v>
      </c>
      <c r="W6" s="93">
        <v>12</v>
      </c>
      <c r="X6" s="93" t="s">
        <v>46</v>
      </c>
      <c r="Y6" s="93" t="s">
        <v>69</v>
      </c>
      <c r="Z6" s="93" t="s">
        <v>102</v>
      </c>
      <c r="AA6" s="93" t="s">
        <v>78</v>
      </c>
      <c r="AB6" s="93" t="s">
        <v>158</v>
      </c>
      <c r="AE6" s="110" t="s">
        <v>56</v>
      </c>
      <c r="AG6" s="106" t="s">
        <v>269</v>
      </c>
      <c r="AH6" s="106" t="s">
        <v>270</v>
      </c>
      <c r="AL6" s="117" t="s">
        <v>195</v>
      </c>
      <c r="AN6" s="117" t="s">
        <v>196</v>
      </c>
      <c r="AP6" s="111" t="s">
        <v>53</v>
      </c>
      <c r="AR6" s="111" t="s">
        <v>59</v>
      </c>
      <c r="AV6" s="111" t="s">
        <v>60</v>
      </c>
      <c r="AX6" s="112">
        <v>97</v>
      </c>
      <c r="AY6" s="113">
        <v>36</v>
      </c>
      <c r="AZ6" s="113">
        <v>99</v>
      </c>
      <c r="BA6" s="114">
        <v>33</v>
      </c>
    </row>
    <row r="7" spans="1:53" x14ac:dyDescent="0.15">
      <c r="A7" s="93" t="s">
        <v>51</v>
      </c>
      <c r="B7" s="93" t="s">
        <v>157</v>
      </c>
      <c r="C7" s="93">
        <v>2019</v>
      </c>
      <c r="D7" s="101" t="s">
        <v>260</v>
      </c>
      <c r="E7" s="93" t="s">
        <v>261</v>
      </c>
      <c r="F7" s="93" t="s">
        <v>262</v>
      </c>
      <c r="G7" s="93" t="s">
        <v>42</v>
      </c>
      <c r="H7" s="93" t="s">
        <v>160</v>
      </c>
      <c r="I7" s="93" t="s">
        <v>159</v>
      </c>
      <c r="J7" s="93" t="s">
        <v>38</v>
      </c>
      <c r="K7" s="93" t="s">
        <v>161</v>
      </c>
      <c r="L7" s="93">
        <v>3</v>
      </c>
      <c r="N7" s="93">
        <v>1</v>
      </c>
      <c r="O7" s="93">
        <v>0.65</v>
      </c>
      <c r="P7" s="93">
        <v>0.6</v>
      </c>
      <c r="Q7" s="102">
        <f t="shared" si="0"/>
        <v>0.625</v>
      </c>
      <c r="R7" s="93">
        <v>17</v>
      </c>
      <c r="S7" s="93">
        <v>138</v>
      </c>
      <c r="T7" s="103">
        <f t="shared" si="1"/>
        <v>22</v>
      </c>
      <c r="U7" s="93">
        <v>138</v>
      </c>
      <c r="V7" s="104">
        <f t="shared" si="2"/>
        <v>3036</v>
      </c>
      <c r="W7" s="93">
        <v>12</v>
      </c>
      <c r="X7" s="93" t="s">
        <v>46</v>
      </c>
      <c r="Y7" s="93" t="s">
        <v>69</v>
      </c>
      <c r="Z7" s="93" t="s">
        <v>102</v>
      </c>
      <c r="AA7" s="93" t="s">
        <v>78</v>
      </c>
      <c r="AB7" s="93" t="s">
        <v>158</v>
      </c>
      <c r="AE7" s="110" t="s">
        <v>61</v>
      </c>
      <c r="AG7" s="106" t="s">
        <v>271</v>
      </c>
      <c r="AH7" s="106" t="s">
        <v>263</v>
      </c>
      <c r="AL7" s="93" t="s">
        <v>198</v>
      </c>
      <c r="AP7" s="111" t="s">
        <v>58</v>
      </c>
      <c r="AR7" s="111" t="s">
        <v>199</v>
      </c>
      <c r="AV7" s="111" t="s">
        <v>64</v>
      </c>
      <c r="AX7" s="112">
        <v>109</v>
      </c>
      <c r="AY7" s="113">
        <v>33</v>
      </c>
      <c r="AZ7" s="113">
        <v>113</v>
      </c>
      <c r="BA7" s="114">
        <v>30</v>
      </c>
    </row>
    <row r="8" spans="1:53" x14ac:dyDescent="0.15">
      <c r="A8" s="93" t="s">
        <v>51</v>
      </c>
      <c r="B8" s="93" t="s">
        <v>157</v>
      </c>
      <c r="C8" s="93">
        <v>2019</v>
      </c>
      <c r="D8" s="101" t="s">
        <v>260</v>
      </c>
      <c r="E8" s="93" t="s">
        <v>264</v>
      </c>
      <c r="F8" s="93" t="s">
        <v>265</v>
      </c>
      <c r="G8" s="93" t="s">
        <v>36</v>
      </c>
      <c r="H8" s="93" t="s">
        <v>164</v>
      </c>
      <c r="I8" s="93" t="s">
        <v>159</v>
      </c>
      <c r="J8" s="93" t="s">
        <v>38</v>
      </c>
      <c r="K8" s="93" t="s">
        <v>161</v>
      </c>
      <c r="L8" s="93">
        <v>1</v>
      </c>
      <c r="N8" s="93">
        <v>1</v>
      </c>
      <c r="O8" s="93">
        <v>0.8</v>
      </c>
      <c r="P8" s="93">
        <v>0.7</v>
      </c>
      <c r="Q8" s="102">
        <f t="shared" si="0"/>
        <v>0.75</v>
      </c>
      <c r="R8" s="93">
        <v>14.8</v>
      </c>
      <c r="S8" s="93">
        <v>114</v>
      </c>
      <c r="T8" s="103">
        <f t="shared" si="1"/>
        <v>30</v>
      </c>
      <c r="U8" s="93">
        <v>138</v>
      </c>
      <c r="V8" s="104">
        <f t="shared" si="2"/>
        <v>4140</v>
      </c>
      <c r="W8" s="93">
        <v>8</v>
      </c>
      <c r="X8" s="93" t="s">
        <v>46</v>
      </c>
      <c r="Y8" s="93" t="s">
        <v>78</v>
      </c>
      <c r="Z8" s="93" t="s">
        <v>69</v>
      </c>
      <c r="AA8" s="93" t="s">
        <v>102</v>
      </c>
      <c r="AB8" s="93" t="s">
        <v>158</v>
      </c>
      <c r="AE8" s="110" t="s">
        <v>59</v>
      </c>
      <c r="AG8" s="106" t="s">
        <v>272</v>
      </c>
      <c r="AH8" s="106" t="s">
        <v>273</v>
      </c>
      <c r="AL8" s="93" t="s">
        <v>160</v>
      </c>
      <c r="AP8" s="111" t="s">
        <v>62</v>
      </c>
      <c r="AR8" s="111" t="s">
        <v>81</v>
      </c>
      <c r="AV8" s="111" t="s">
        <v>97</v>
      </c>
      <c r="AX8" s="112">
        <v>119</v>
      </c>
      <c r="AY8" s="113">
        <v>30</v>
      </c>
      <c r="AZ8" s="113">
        <v>121</v>
      </c>
      <c r="BA8" s="114">
        <v>27</v>
      </c>
    </row>
    <row r="9" spans="1:53" x14ac:dyDescent="0.15">
      <c r="A9" s="93" t="s">
        <v>51</v>
      </c>
      <c r="B9" s="93" t="s">
        <v>157</v>
      </c>
      <c r="C9" s="93">
        <v>2019</v>
      </c>
      <c r="D9" s="101" t="s">
        <v>260</v>
      </c>
      <c r="E9" s="93" t="s">
        <v>264</v>
      </c>
      <c r="F9" s="93" t="s">
        <v>265</v>
      </c>
      <c r="G9" s="93" t="s">
        <v>36</v>
      </c>
      <c r="H9" s="93" t="s">
        <v>164</v>
      </c>
      <c r="I9" s="93" t="s">
        <v>159</v>
      </c>
      <c r="J9" s="93" t="s">
        <v>38</v>
      </c>
      <c r="K9" s="93" t="s">
        <v>161</v>
      </c>
      <c r="L9" s="93">
        <v>2</v>
      </c>
      <c r="N9" s="93">
        <v>1</v>
      </c>
      <c r="O9" s="93">
        <v>0.75</v>
      </c>
      <c r="P9" s="93">
        <v>0.75</v>
      </c>
      <c r="Q9" s="102">
        <f t="shared" si="0"/>
        <v>0.75</v>
      </c>
      <c r="R9" s="93">
        <v>14.2</v>
      </c>
      <c r="S9" s="93">
        <v>110</v>
      </c>
      <c r="T9" s="103">
        <f t="shared" si="1"/>
        <v>33</v>
      </c>
      <c r="U9" s="93">
        <v>138</v>
      </c>
      <c r="V9" s="104">
        <f t="shared" si="2"/>
        <v>4554</v>
      </c>
      <c r="W9" s="93">
        <v>8</v>
      </c>
      <c r="X9" s="93" t="s">
        <v>46</v>
      </c>
      <c r="Y9" s="93" t="s">
        <v>78</v>
      </c>
      <c r="Z9" s="93" t="s">
        <v>69</v>
      </c>
      <c r="AA9" s="93" t="s">
        <v>102</v>
      </c>
      <c r="AB9" s="93" t="s">
        <v>158</v>
      </c>
      <c r="AE9" s="110" t="s">
        <v>202</v>
      </c>
      <c r="AG9" s="106" t="s">
        <v>274</v>
      </c>
      <c r="AH9" s="106" t="s">
        <v>262</v>
      </c>
      <c r="AL9" s="117"/>
      <c r="AP9" s="111" t="s">
        <v>95</v>
      </c>
      <c r="AR9" s="111" t="s">
        <v>205</v>
      </c>
      <c r="AV9" s="111" t="s">
        <v>102</v>
      </c>
      <c r="AX9" s="112">
        <v>128</v>
      </c>
      <c r="AY9" s="113">
        <v>27</v>
      </c>
      <c r="AZ9" s="113">
        <v>129</v>
      </c>
      <c r="BA9" s="114">
        <v>25</v>
      </c>
    </row>
    <row r="10" spans="1:53" x14ac:dyDescent="0.15">
      <c r="A10" s="93" t="s">
        <v>51</v>
      </c>
      <c r="B10" s="93" t="s">
        <v>157</v>
      </c>
      <c r="C10" s="93">
        <v>2019</v>
      </c>
      <c r="D10" s="101" t="s">
        <v>260</v>
      </c>
      <c r="E10" s="93" t="s">
        <v>264</v>
      </c>
      <c r="F10" s="93" t="s">
        <v>265</v>
      </c>
      <c r="G10" s="93" t="s">
        <v>36</v>
      </c>
      <c r="H10" s="93" t="s">
        <v>164</v>
      </c>
      <c r="I10" s="93" t="s">
        <v>159</v>
      </c>
      <c r="J10" s="93" t="s">
        <v>38</v>
      </c>
      <c r="K10" s="93" t="s">
        <v>161</v>
      </c>
      <c r="L10" s="93">
        <v>3</v>
      </c>
      <c r="N10" s="93">
        <v>1</v>
      </c>
      <c r="O10" s="93">
        <v>0.7</v>
      </c>
      <c r="P10" s="93">
        <v>0.75</v>
      </c>
      <c r="Q10" s="102">
        <f t="shared" si="0"/>
        <v>0.72499999999999998</v>
      </c>
      <c r="R10" s="93">
        <v>15</v>
      </c>
      <c r="S10" s="93">
        <v>116</v>
      </c>
      <c r="T10" s="103">
        <f t="shared" si="1"/>
        <v>30</v>
      </c>
      <c r="U10" s="93">
        <v>138</v>
      </c>
      <c r="V10" s="104">
        <f t="shared" si="2"/>
        <v>4140</v>
      </c>
      <c r="W10" s="93">
        <v>8</v>
      </c>
      <c r="X10" s="93" t="s">
        <v>46</v>
      </c>
      <c r="Y10" s="93" t="s">
        <v>78</v>
      </c>
      <c r="Z10" s="93" t="s">
        <v>69</v>
      </c>
      <c r="AA10" s="93" t="s">
        <v>102</v>
      </c>
      <c r="AB10" s="93" t="s">
        <v>158</v>
      </c>
      <c r="AE10" s="110" t="s">
        <v>206</v>
      </c>
      <c r="AG10" s="106" t="s">
        <v>261</v>
      </c>
      <c r="AH10" s="111" t="s">
        <v>262</v>
      </c>
      <c r="AP10" s="111" t="s">
        <v>100</v>
      </c>
      <c r="AR10" s="111" t="s">
        <v>208</v>
      </c>
      <c r="AV10" s="111" t="s">
        <v>106</v>
      </c>
      <c r="AX10" s="112">
        <v>138</v>
      </c>
      <c r="AY10" s="113">
        <v>25</v>
      </c>
      <c r="AZ10" s="113">
        <v>138</v>
      </c>
      <c r="BA10" s="114">
        <v>22</v>
      </c>
    </row>
    <row r="11" spans="1:53" x14ac:dyDescent="0.15">
      <c r="A11" s="93" t="s">
        <v>51</v>
      </c>
      <c r="B11" s="93" t="s">
        <v>157</v>
      </c>
      <c r="C11" s="93">
        <v>2019</v>
      </c>
      <c r="D11" s="101" t="s">
        <v>260</v>
      </c>
      <c r="E11" s="93" t="s">
        <v>264</v>
      </c>
      <c r="F11" s="93" t="s">
        <v>265</v>
      </c>
      <c r="G11" s="93" t="s">
        <v>36</v>
      </c>
      <c r="H11" s="93" t="s">
        <v>160</v>
      </c>
      <c r="I11" s="93" t="s">
        <v>159</v>
      </c>
      <c r="J11" s="93" t="s">
        <v>38</v>
      </c>
      <c r="K11" s="93" t="s">
        <v>161</v>
      </c>
      <c r="L11" s="93">
        <v>1</v>
      </c>
      <c r="N11" s="93">
        <v>1</v>
      </c>
      <c r="O11" s="93">
        <v>0.65</v>
      </c>
      <c r="P11" s="93">
        <v>0.55000000000000004</v>
      </c>
      <c r="Q11" s="102">
        <f t="shared" si="0"/>
        <v>0.60000000000000009</v>
      </c>
      <c r="R11" s="93">
        <v>17.399999999999999</v>
      </c>
      <c r="S11" s="93">
        <v>146</v>
      </c>
      <c r="T11" s="103">
        <f t="shared" si="1"/>
        <v>22</v>
      </c>
      <c r="U11" s="93">
        <v>138</v>
      </c>
      <c r="V11" s="104">
        <f t="shared" si="2"/>
        <v>3036</v>
      </c>
      <c r="W11" s="93">
        <v>8</v>
      </c>
      <c r="X11" s="93" t="s">
        <v>46</v>
      </c>
      <c r="Y11" s="93" t="s">
        <v>78</v>
      </c>
      <c r="Z11" s="93" t="s">
        <v>69</v>
      </c>
      <c r="AA11" s="93" t="s">
        <v>102</v>
      </c>
      <c r="AB11" s="93" t="s">
        <v>158</v>
      </c>
      <c r="AE11" s="110" t="s">
        <v>68</v>
      </c>
      <c r="AG11" s="106" t="s">
        <v>139</v>
      </c>
      <c r="AH11" s="111" t="s">
        <v>275</v>
      </c>
      <c r="AP11" s="111" t="s">
        <v>104</v>
      </c>
      <c r="AR11" s="111" t="s">
        <v>211</v>
      </c>
      <c r="AV11" s="111" t="s">
        <v>69</v>
      </c>
      <c r="AX11" s="112">
        <v>151</v>
      </c>
      <c r="AY11" s="113">
        <v>22</v>
      </c>
      <c r="AZ11" s="113">
        <v>152</v>
      </c>
      <c r="BA11" s="114">
        <v>18</v>
      </c>
    </row>
    <row r="12" spans="1:53" x14ac:dyDescent="0.15">
      <c r="A12" s="93" t="s">
        <v>51</v>
      </c>
      <c r="B12" s="93" t="s">
        <v>157</v>
      </c>
      <c r="C12" s="93">
        <v>2019</v>
      </c>
      <c r="D12" s="101" t="s">
        <v>260</v>
      </c>
      <c r="E12" s="93" t="s">
        <v>264</v>
      </c>
      <c r="F12" s="93" t="s">
        <v>265</v>
      </c>
      <c r="G12" s="93" t="s">
        <v>36</v>
      </c>
      <c r="H12" s="93" t="s">
        <v>160</v>
      </c>
      <c r="I12" s="93" t="s">
        <v>159</v>
      </c>
      <c r="J12" s="93" t="s">
        <v>38</v>
      </c>
      <c r="K12" s="93" t="s">
        <v>161</v>
      </c>
      <c r="L12" s="93">
        <v>2</v>
      </c>
      <c r="N12" s="93">
        <v>1</v>
      </c>
      <c r="O12" s="93">
        <v>0.6</v>
      </c>
      <c r="P12" s="93">
        <v>0.6</v>
      </c>
      <c r="Q12" s="102">
        <f t="shared" si="0"/>
        <v>0.6</v>
      </c>
      <c r="R12" s="93">
        <v>17</v>
      </c>
      <c r="S12" s="93">
        <v>142</v>
      </c>
      <c r="T12" s="103">
        <f t="shared" si="1"/>
        <v>22</v>
      </c>
      <c r="U12" s="93">
        <v>138</v>
      </c>
      <c r="V12" s="104">
        <f t="shared" si="2"/>
        <v>3036</v>
      </c>
      <c r="W12" s="93">
        <v>8</v>
      </c>
      <c r="X12" s="93" t="s">
        <v>46</v>
      </c>
      <c r="Y12" s="93" t="s">
        <v>78</v>
      </c>
      <c r="Z12" s="93" t="s">
        <v>69</v>
      </c>
      <c r="AA12" s="93" t="s">
        <v>102</v>
      </c>
      <c r="AB12" s="93" t="s">
        <v>158</v>
      </c>
      <c r="AE12" s="110" t="s">
        <v>212</v>
      </c>
      <c r="AG12" s="111"/>
      <c r="AH12" s="111"/>
      <c r="AP12" s="111" t="s">
        <v>67</v>
      </c>
      <c r="AR12" s="111" t="s">
        <v>213</v>
      </c>
      <c r="AV12" s="111" t="s">
        <v>72</v>
      </c>
      <c r="AX12" s="118">
        <v>180</v>
      </c>
      <c r="AY12" s="119">
        <v>18</v>
      </c>
      <c r="AZ12" s="119">
        <v>181</v>
      </c>
      <c r="BA12" s="120">
        <v>16</v>
      </c>
    </row>
    <row r="13" spans="1:53" x14ac:dyDescent="0.15">
      <c r="A13" s="93" t="s">
        <v>51</v>
      </c>
      <c r="B13" s="93" t="s">
        <v>157</v>
      </c>
      <c r="C13" s="93">
        <v>2019</v>
      </c>
      <c r="D13" s="101" t="s">
        <v>260</v>
      </c>
      <c r="E13" s="93" t="s">
        <v>264</v>
      </c>
      <c r="F13" s="93" t="s">
        <v>265</v>
      </c>
      <c r="G13" s="93" t="s">
        <v>36</v>
      </c>
      <c r="H13" s="93" t="s">
        <v>160</v>
      </c>
      <c r="I13" s="93" t="s">
        <v>159</v>
      </c>
      <c r="J13" s="93" t="s">
        <v>38</v>
      </c>
      <c r="K13" s="93" t="s">
        <v>161</v>
      </c>
      <c r="L13" s="93">
        <v>3</v>
      </c>
      <c r="N13" s="93">
        <v>1</v>
      </c>
      <c r="O13" s="93">
        <v>0.65</v>
      </c>
      <c r="P13" s="93">
        <v>0.7</v>
      </c>
      <c r="Q13" s="102">
        <f t="shared" si="0"/>
        <v>0.67500000000000004</v>
      </c>
      <c r="R13" s="93">
        <v>17.600000000000001</v>
      </c>
      <c r="S13" s="93">
        <v>146</v>
      </c>
      <c r="T13" s="103">
        <f t="shared" si="1"/>
        <v>22</v>
      </c>
      <c r="U13" s="93">
        <v>138</v>
      </c>
      <c r="V13" s="104">
        <f t="shared" si="2"/>
        <v>3036</v>
      </c>
      <c r="W13" s="93">
        <v>8</v>
      </c>
      <c r="X13" s="93" t="s">
        <v>46</v>
      </c>
      <c r="Y13" s="93" t="s">
        <v>78</v>
      </c>
      <c r="Z13" s="93" t="s">
        <v>69</v>
      </c>
      <c r="AA13" s="93" t="s">
        <v>102</v>
      </c>
      <c r="AB13" s="93" t="s">
        <v>158</v>
      </c>
      <c r="AE13" s="110" t="s">
        <v>214</v>
      </c>
      <c r="AG13" s="111"/>
      <c r="AH13" s="111"/>
      <c r="AP13" s="111" t="s">
        <v>71</v>
      </c>
      <c r="AR13" s="111" t="s">
        <v>206</v>
      </c>
      <c r="AV13" s="111" t="s">
        <v>75</v>
      </c>
    </row>
    <row r="14" spans="1:53" x14ac:dyDescent="0.15">
      <c r="A14" s="93" t="s">
        <v>51</v>
      </c>
      <c r="B14" s="93" t="s">
        <v>157</v>
      </c>
      <c r="C14" s="93">
        <v>2019</v>
      </c>
      <c r="D14" s="101" t="s">
        <v>260</v>
      </c>
      <c r="E14" s="93" t="s">
        <v>139</v>
      </c>
      <c r="F14" s="93" t="s">
        <v>275</v>
      </c>
      <c r="G14" s="93" t="s">
        <v>42</v>
      </c>
      <c r="H14" s="93" t="s">
        <v>164</v>
      </c>
      <c r="I14" s="93" t="s">
        <v>159</v>
      </c>
      <c r="J14" s="93" t="s">
        <v>38</v>
      </c>
      <c r="K14" s="93" t="s">
        <v>161</v>
      </c>
      <c r="L14" s="93">
        <v>1</v>
      </c>
      <c r="N14" s="93">
        <v>1</v>
      </c>
      <c r="O14" s="93">
        <v>0.8</v>
      </c>
      <c r="P14" s="93">
        <v>0.85</v>
      </c>
      <c r="Q14" s="102">
        <f t="shared" si="0"/>
        <v>0.82499999999999996</v>
      </c>
      <c r="R14" s="93">
        <v>17.2</v>
      </c>
      <c r="S14" s="93">
        <v>116</v>
      </c>
      <c r="T14" s="103">
        <f t="shared" si="1"/>
        <v>30</v>
      </c>
      <c r="U14" s="93">
        <v>98</v>
      </c>
      <c r="V14" s="104">
        <f t="shared" si="2"/>
        <v>2940</v>
      </c>
      <c r="W14" s="93">
        <v>7</v>
      </c>
      <c r="X14" s="93" t="s">
        <v>46</v>
      </c>
      <c r="Y14" s="93" t="s">
        <v>78</v>
      </c>
      <c r="Z14" s="93" t="s">
        <v>69</v>
      </c>
      <c r="AA14" s="93" t="s">
        <v>102</v>
      </c>
      <c r="AB14" s="93" t="s">
        <v>158</v>
      </c>
      <c r="AE14" s="110" t="s">
        <v>96</v>
      </c>
      <c r="AG14" s="111"/>
      <c r="AH14" s="111"/>
      <c r="AP14" s="111" t="s">
        <v>74</v>
      </c>
      <c r="AR14" s="111" t="s">
        <v>215</v>
      </c>
      <c r="AV14" s="111" t="s">
        <v>78</v>
      </c>
    </row>
    <row r="15" spans="1:53" x14ac:dyDescent="0.15">
      <c r="A15" s="93" t="s">
        <v>51</v>
      </c>
      <c r="B15" s="93" t="s">
        <v>157</v>
      </c>
      <c r="C15" s="93">
        <v>2019</v>
      </c>
      <c r="D15" s="101" t="s">
        <v>260</v>
      </c>
      <c r="E15" s="93" t="s">
        <v>139</v>
      </c>
      <c r="F15" s="93" t="s">
        <v>275</v>
      </c>
      <c r="G15" s="93" t="s">
        <v>42</v>
      </c>
      <c r="H15" s="93" t="s">
        <v>164</v>
      </c>
      <c r="I15" s="93" t="s">
        <v>159</v>
      </c>
      <c r="J15" s="93" t="s">
        <v>38</v>
      </c>
      <c r="K15" s="93" t="s">
        <v>161</v>
      </c>
      <c r="L15" s="93">
        <v>2</v>
      </c>
      <c r="N15" s="93">
        <v>1</v>
      </c>
      <c r="O15" s="93">
        <v>0.85</v>
      </c>
      <c r="P15" s="93">
        <v>0.75</v>
      </c>
      <c r="Q15" s="102">
        <f t="shared" si="0"/>
        <v>0.8</v>
      </c>
      <c r="R15" s="93">
        <v>17.399999999999999</v>
      </c>
      <c r="S15" s="93">
        <v>118</v>
      </c>
      <c r="T15" s="103">
        <f t="shared" si="1"/>
        <v>30</v>
      </c>
      <c r="U15" s="93">
        <v>98</v>
      </c>
      <c r="V15" s="104">
        <f t="shared" si="2"/>
        <v>2940</v>
      </c>
      <c r="W15" s="93">
        <v>7</v>
      </c>
      <c r="X15" s="93" t="s">
        <v>46</v>
      </c>
      <c r="Y15" s="93" t="s">
        <v>78</v>
      </c>
      <c r="Z15" s="93" t="s">
        <v>69</v>
      </c>
      <c r="AA15" s="93" t="s">
        <v>102</v>
      </c>
      <c r="AB15" s="93" t="s">
        <v>158</v>
      </c>
      <c r="AE15" s="110" t="s">
        <v>216</v>
      </c>
      <c r="AG15" s="111"/>
      <c r="AH15" s="111"/>
      <c r="AP15" s="111" t="s">
        <v>77</v>
      </c>
      <c r="AR15" s="111" t="s">
        <v>80</v>
      </c>
      <c r="AV15" s="111" t="s">
        <v>107</v>
      </c>
    </row>
    <row r="16" spans="1:53" x14ac:dyDescent="0.15">
      <c r="A16" s="93" t="s">
        <v>51</v>
      </c>
      <c r="B16" s="93" t="s">
        <v>157</v>
      </c>
      <c r="C16" s="93">
        <v>2019</v>
      </c>
      <c r="D16" s="101" t="s">
        <v>260</v>
      </c>
      <c r="E16" s="93" t="s">
        <v>139</v>
      </c>
      <c r="F16" s="93" t="s">
        <v>275</v>
      </c>
      <c r="G16" s="93" t="s">
        <v>42</v>
      </c>
      <c r="H16" s="93" t="s">
        <v>164</v>
      </c>
      <c r="I16" s="93" t="s">
        <v>159</v>
      </c>
      <c r="J16" s="93" t="s">
        <v>38</v>
      </c>
      <c r="K16" s="93" t="s">
        <v>161</v>
      </c>
      <c r="L16" s="93">
        <v>3</v>
      </c>
      <c r="N16" s="93">
        <v>1</v>
      </c>
      <c r="O16" s="93">
        <v>0.85</v>
      </c>
      <c r="P16" s="93">
        <v>0.9</v>
      </c>
      <c r="Q16" s="102">
        <f t="shared" si="0"/>
        <v>0.875</v>
      </c>
      <c r="R16" s="93">
        <v>16.8</v>
      </c>
      <c r="S16" s="93">
        <v>118</v>
      </c>
      <c r="T16" s="103">
        <f t="shared" si="1"/>
        <v>30</v>
      </c>
      <c r="U16" s="93">
        <v>98</v>
      </c>
      <c r="V16" s="104">
        <f t="shared" si="2"/>
        <v>2940</v>
      </c>
      <c r="W16" s="93">
        <v>7</v>
      </c>
      <c r="X16" s="93" t="s">
        <v>46</v>
      </c>
      <c r="Y16" s="93" t="s">
        <v>78</v>
      </c>
      <c r="Z16" s="93" t="s">
        <v>69</v>
      </c>
      <c r="AA16" s="93" t="s">
        <v>102</v>
      </c>
      <c r="AB16" s="93" t="s">
        <v>158</v>
      </c>
      <c r="AE16" s="110" t="s">
        <v>217</v>
      </c>
      <c r="AG16" s="116"/>
      <c r="AH16" s="116"/>
      <c r="AP16" s="111" t="s">
        <v>80</v>
      </c>
      <c r="AR16" s="111" t="s">
        <v>63</v>
      </c>
      <c r="AV16" s="111" t="s">
        <v>84</v>
      </c>
    </row>
    <row r="17" spans="1:48" x14ac:dyDescent="0.15">
      <c r="A17" s="93" t="s">
        <v>51</v>
      </c>
      <c r="B17" s="93" t="s">
        <v>157</v>
      </c>
      <c r="C17" s="93">
        <v>2019</v>
      </c>
      <c r="D17" s="101" t="s">
        <v>260</v>
      </c>
      <c r="E17" s="93" t="s">
        <v>139</v>
      </c>
      <c r="F17" s="93" t="s">
        <v>275</v>
      </c>
      <c r="G17" s="93" t="s">
        <v>42</v>
      </c>
      <c r="H17" s="93" t="s">
        <v>160</v>
      </c>
      <c r="I17" s="93" t="s">
        <v>159</v>
      </c>
      <c r="J17" s="93" t="s">
        <v>38</v>
      </c>
      <c r="K17" s="93" t="s">
        <v>161</v>
      </c>
      <c r="L17" s="93">
        <v>1</v>
      </c>
      <c r="N17" s="93">
        <v>1</v>
      </c>
      <c r="O17" s="93">
        <v>0.75</v>
      </c>
      <c r="P17" s="93">
        <v>0.7</v>
      </c>
      <c r="Q17" s="102">
        <f t="shared" si="0"/>
        <v>0.72499999999999998</v>
      </c>
      <c r="R17" s="93">
        <v>15.2</v>
      </c>
      <c r="S17" s="93">
        <v>118</v>
      </c>
      <c r="T17" s="103">
        <f t="shared" si="1"/>
        <v>30</v>
      </c>
      <c r="U17" s="93">
        <v>98</v>
      </c>
      <c r="V17" s="104">
        <f t="shared" si="2"/>
        <v>2940</v>
      </c>
      <c r="W17" s="93">
        <v>7</v>
      </c>
      <c r="X17" s="93" t="s">
        <v>46</v>
      </c>
      <c r="Y17" s="93" t="s">
        <v>78</v>
      </c>
      <c r="Z17" s="93" t="s">
        <v>69</v>
      </c>
      <c r="AA17" s="93" t="s">
        <v>102</v>
      </c>
      <c r="AB17" s="93" t="s">
        <v>158</v>
      </c>
      <c r="AE17" s="110" t="s">
        <v>218</v>
      </c>
      <c r="AP17" s="115" t="s">
        <v>219</v>
      </c>
      <c r="AR17" s="111" t="s">
        <v>96</v>
      </c>
      <c r="AV17" s="111" t="s">
        <v>86</v>
      </c>
    </row>
    <row r="18" spans="1:48" x14ac:dyDescent="0.15">
      <c r="A18" s="93" t="s">
        <v>51</v>
      </c>
      <c r="B18" s="93" t="s">
        <v>157</v>
      </c>
      <c r="C18" s="93">
        <v>2019</v>
      </c>
      <c r="D18" s="101" t="s">
        <v>260</v>
      </c>
      <c r="E18" s="93" t="s">
        <v>139</v>
      </c>
      <c r="F18" s="93" t="s">
        <v>275</v>
      </c>
      <c r="G18" s="93" t="s">
        <v>42</v>
      </c>
      <c r="H18" s="93" t="s">
        <v>160</v>
      </c>
      <c r="I18" s="93" t="s">
        <v>159</v>
      </c>
      <c r="J18" s="93" t="s">
        <v>38</v>
      </c>
      <c r="K18" s="93" t="s">
        <v>161</v>
      </c>
      <c r="L18" s="93">
        <v>2</v>
      </c>
      <c r="N18" s="93">
        <v>1</v>
      </c>
      <c r="O18" s="93">
        <v>0.65</v>
      </c>
      <c r="P18" s="93">
        <v>0.7</v>
      </c>
      <c r="Q18" s="102">
        <f t="shared" si="0"/>
        <v>0.67500000000000004</v>
      </c>
      <c r="R18" s="93">
        <v>14.9</v>
      </c>
      <c r="S18" s="93">
        <v>112</v>
      </c>
      <c r="T18" s="103">
        <f t="shared" si="1"/>
        <v>33</v>
      </c>
      <c r="U18" s="93">
        <v>98</v>
      </c>
      <c r="V18" s="104">
        <f t="shared" si="2"/>
        <v>3234</v>
      </c>
      <c r="W18" s="93">
        <v>7</v>
      </c>
      <c r="X18" s="93" t="s">
        <v>46</v>
      </c>
      <c r="Y18" s="93" t="s">
        <v>78</v>
      </c>
      <c r="Z18" s="93" t="s">
        <v>69</v>
      </c>
      <c r="AA18" s="93" t="s">
        <v>102</v>
      </c>
      <c r="AB18" s="93" t="s">
        <v>158</v>
      </c>
      <c r="AE18" s="110" t="s">
        <v>211</v>
      </c>
      <c r="AP18" s="115" t="s">
        <v>220</v>
      </c>
      <c r="AR18" s="111" t="s">
        <v>101</v>
      </c>
      <c r="AV18" s="111" t="s">
        <v>88</v>
      </c>
    </row>
    <row r="19" spans="1:48" x14ac:dyDescent="0.15">
      <c r="A19" s="93" t="s">
        <v>51</v>
      </c>
      <c r="B19" s="93" t="s">
        <v>157</v>
      </c>
      <c r="C19" s="93">
        <v>2019</v>
      </c>
      <c r="D19" s="101" t="s">
        <v>260</v>
      </c>
      <c r="E19" s="93" t="s">
        <v>139</v>
      </c>
      <c r="F19" s="93" t="s">
        <v>275</v>
      </c>
      <c r="G19" s="93" t="s">
        <v>42</v>
      </c>
      <c r="H19" s="93" t="s">
        <v>160</v>
      </c>
      <c r="I19" s="93" t="s">
        <v>159</v>
      </c>
      <c r="J19" s="93" t="s">
        <v>38</v>
      </c>
      <c r="K19" s="93" t="s">
        <v>161</v>
      </c>
      <c r="L19" s="93">
        <v>3</v>
      </c>
      <c r="N19" s="93">
        <v>1</v>
      </c>
      <c r="O19" s="93">
        <v>0.7</v>
      </c>
      <c r="P19" s="93">
        <v>0.65</v>
      </c>
      <c r="Q19" s="102">
        <f t="shared" si="0"/>
        <v>0.67500000000000004</v>
      </c>
      <c r="R19" s="93">
        <v>16.3</v>
      </c>
      <c r="S19" s="93">
        <v>120</v>
      </c>
      <c r="T19" s="103">
        <f t="shared" si="1"/>
        <v>30</v>
      </c>
      <c r="U19" s="93">
        <v>98</v>
      </c>
      <c r="V19" s="104">
        <f t="shared" si="2"/>
        <v>2940</v>
      </c>
      <c r="W19" s="93">
        <v>7</v>
      </c>
      <c r="X19" s="93" t="s">
        <v>46</v>
      </c>
      <c r="Y19" s="93" t="s">
        <v>78</v>
      </c>
      <c r="Z19" s="93" t="s">
        <v>69</v>
      </c>
      <c r="AA19" s="93" t="s">
        <v>102</v>
      </c>
      <c r="AB19" s="93" t="s">
        <v>158</v>
      </c>
      <c r="AE19" s="121" t="s">
        <v>205</v>
      </c>
      <c r="AP19" s="115" t="s">
        <v>221</v>
      </c>
      <c r="AR19" s="111" t="s">
        <v>222</v>
      </c>
      <c r="AV19" s="111" t="s">
        <v>90</v>
      </c>
    </row>
    <row r="20" spans="1:48" x14ac:dyDescent="0.15">
      <c r="A20" s="93" t="s">
        <v>51</v>
      </c>
      <c r="B20" s="93" t="s">
        <v>157</v>
      </c>
      <c r="C20" s="93">
        <v>2019</v>
      </c>
      <c r="D20" s="101" t="s">
        <v>260</v>
      </c>
      <c r="E20" s="93" t="s">
        <v>269</v>
      </c>
      <c r="F20" s="93" t="s">
        <v>270</v>
      </c>
      <c r="G20" s="93" t="s">
        <v>36</v>
      </c>
      <c r="H20" s="93" t="s">
        <v>164</v>
      </c>
      <c r="I20" s="93" t="s">
        <v>159</v>
      </c>
      <c r="J20" s="93" t="s">
        <v>38</v>
      </c>
      <c r="K20" s="93" t="s">
        <v>161</v>
      </c>
      <c r="L20" s="93">
        <v>1</v>
      </c>
      <c r="N20" s="93">
        <v>1</v>
      </c>
      <c r="O20" s="93">
        <v>0.6</v>
      </c>
      <c r="P20" s="93">
        <v>0.7</v>
      </c>
      <c r="Q20" s="102">
        <f t="shared" si="0"/>
        <v>0.64999999999999991</v>
      </c>
      <c r="R20" s="93">
        <v>16</v>
      </c>
      <c r="S20" s="93">
        <v>140</v>
      </c>
      <c r="T20" s="103">
        <f t="shared" si="1"/>
        <v>22</v>
      </c>
      <c r="U20" s="93">
        <v>98</v>
      </c>
      <c r="V20" s="104">
        <f t="shared" si="2"/>
        <v>2156</v>
      </c>
      <c r="W20" s="93">
        <v>12</v>
      </c>
      <c r="X20" s="93" t="s">
        <v>46</v>
      </c>
      <c r="Y20" s="93" t="s">
        <v>78</v>
      </c>
      <c r="Z20" s="93" t="s">
        <v>90</v>
      </c>
      <c r="AA20" s="93" t="s">
        <v>55</v>
      </c>
      <c r="AB20" s="93" t="s">
        <v>158</v>
      </c>
      <c r="AE20" s="121"/>
      <c r="AP20" s="115" t="s">
        <v>223</v>
      </c>
      <c r="AR20" s="111" t="s">
        <v>105</v>
      </c>
      <c r="AV20" s="115" t="s">
        <v>224</v>
      </c>
    </row>
    <row r="21" spans="1:48" x14ac:dyDescent="0.15">
      <c r="A21" s="93" t="s">
        <v>51</v>
      </c>
      <c r="B21" s="93" t="s">
        <v>157</v>
      </c>
      <c r="C21" s="93">
        <v>2019</v>
      </c>
      <c r="D21" s="101" t="s">
        <v>260</v>
      </c>
      <c r="E21" s="93" t="s">
        <v>269</v>
      </c>
      <c r="F21" s="93" t="s">
        <v>270</v>
      </c>
      <c r="G21" s="93" t="s">
        <v>36</v>
      </c>
      <c r="H21" s="93" t="s">
        <v>164</v>
      </c>
      <c r="I21" s="93" t="s">
        <v>159</v>
      </c>
      <c r="J21" s="93" t="s">
        <v>38</v>
      </c>
      <c r="K21" s="93" t="s">
        <v>161</v>
      </c>
      <c r="L21" s="93">
        <v>2</v>
      </c>
      <c r="N21" s="93">
        <v>1</v>
      </c>
      <c r="O21" s="93">
        <v>0.7</v>
      </c>
      <c r="P21" s="93">
        <v>0.65</v>
      </c>
      <c r="Q21" s="102">
        <f t="shared" si="0"/>
        <v>0.67500000000000004</v>
      </c>
      <c r="R21" s="93">
        <v>16.7</v>
      </c>
      <c r="S21" s="93">
        <v>146</v>
      </c>
      <c r="T21" s="103">
        <f t="shared" si="1"/>
        <v>22</v>
      </c>
      <c r="U21" s="93">
        <v>98</v>
      </c>
      <c r="V21" s="104">
        <f t="shared" si="2"/>
        <v>2156</v>
      </c>
      <c r="W21" s="93">
        <v>12</v>
      </c>
      <c r="X21" s="93" t="s">
        <v>46</v>
      </c>
      <c r="Y21" s="93" t="s">
        <v>78</v>
      </c>
      <c r="Z21" s="93" t="s">
        <v>90</v>
      </c>
      <c r="AA21" s="93" t="s">
        <v>55</v>
      </c>
      <c r="AB21" s="93" t="s">
        <v>158</v>
      </c>
      <c r="AE21" s="116"/>
      <c r="AP21" s="115" t="s">
        <v>225</v>
      </c>
      <c r="AR21" s="111" t="s">
        <v>68</v>
      </c>
      <c r="AV21" s="115" t="s">
        <v>226</v>
      </c>
    </row>
    <row r="22" spans="1:48" x14ac:dyDescent="0.15">
      <c r="A22" s="93" t="s">
        <v>51</v>
      </c>
      <c r="B22" s="93" t="s">
        <v>157</v>
      </c>
      <c r="C22" s="93">
        <v>2019</v>
      </c>
      <c r="D22" s="101" t="s">
        <v>260</v>
      </c>
      <c r="E22" s="93" t="s">
        <v>269</v>
      </c>
      <c r="F22" s="93" t="s">
        <v>270</v>
      </c>
      <c r="G22" s="93" t="s">
        <v>36</v>
      </c>
      <c r="H22" s="93" t="s">
        <v>164</v>
      </c>
      <c r="I22" s="93" t="s">
        <v>159</v>
      </c>
      <c r="J22" s="93" t="s">
        <v>38</v>
      </c>
      <c r="K22" s="93" t="s">
        <v>161</v>
      </c>
      <c r="L22" s="93">
        <v>3</v>
      </c>
      <c r="N22" s="93">
        <v>1</v>
      </c>
      <c r="O22" s="93">
        <v>0.65</v>
      </c>
      <c r="P22" s="93">
        <v>0.65</v>
      </c>
      <c r="Q22" s="102">
        <f t="shared" si="0"/>
        <v>0.65</v>
      </c>
      <c r="R22" s="93">
        <v>16.2</v>
      </c>
      <c r="S22" s="93">
        <v>142</v>
      </c>
      <c r="T22" s="103">
        <f t="shared" si="1"/>
        <v>22</v>
      </c>
      <c r="U22" s="93">
        <v>98</v>
      </c>
      <c r="V22" s="104">
        <f t="shared" si="2"/>
        <v>2156</v>
      </c>
      <c r="W22" s="93">
        <v>12</v>
      </c>
      <c r="X22" s="93" t="s">
        <v>46</v>
      </c>
      <c r="Y22" s="93" t="s">
        <v>78</v>
      </c>
      <c r="Z22" s="93" t="s">
        <v>90</v>
      </c>
      <c r="AA22" s="93" t="s">
        <v>55</v>
      </c>
      <c r="AB22" s="93" t="s">
        <v>158</v>
      </c>
      <c r="AP22" s="115" t="s">
        <v>227</v>
      </c>
      <c r="AR22" s="111" t="s">
        <v>83</v>
      </c>
      <c r="AV22" s="115"/>
    </row>
    <row r="23" spans="1:48" x14ac:dyDescent="0.15">
      <c r="A23" s="93" t="s">
        <v>51</v>
      </c>
      <c r="B23" s="93" t="s">
        <v>157</v>
      </c>
      <c r="C23" s="93">
        <v>2019</v>
      </c>
      <c r="D23" s="101" t="s">
        <v>260</v>
      </c>
      <c r="E23" s="93" t="s">
        <v>269</v>
      </c>
      <c r="F23" s="93" t="s">
        <v>270</v>
      </c>
      <c r="G23" s="93" t="s">
        <v>36</v>
      </c>
      <c r="H23" s="93" t="s">
        <v>160</v>
      </c>
      <c r="I23" s="93" t="s">
        <v>159</v>
      </c>
      <c r="J23" s="93" t="s">
        <v>38</v>
      </c>
      <c r="K23" s="93" t="s">
        <v>161</v>
      </c>
      <c r="L23" s="93">
        <v>1</v>
      </c>
      <c r="N23" s="93">
        <v>1</v>
      </c>
      <c r="O23" s="93">
        <v>0.7</v>
      </c>
      <c r="P23" s="93">
        <v>0.65</v>
      </c>
      <c r="Q23" s="102">
        <f t="shared" si="0"/>
        <v>0.67500000000000004</v>
      </c>
      <c r="R23" s="93">
        <v>16.100000000000001</v>
      </c>
      <c r="S23" s="93">
        <v>142</v>
      </c>
      <c r="T23" s="103">
        <f t="shared" si="1"/>
        <v>22</v>
      </c>
      <c r="U23" s="93">
        <v>128</v>
      </c>
      <c r="V23" s="104">
        <f t="shared" si="2"/>
        <v>2816</v>
      </c>
      <c r="W23" s="93">
        <v>12</v>
      </c>
      <c r="X23" s="93" t="s">
        <v>46</v>
      </c>
      <c r="Y23" s="93" t="s">
        <v>78</v>
      </c>
      <c r="Z23" s="93" t="s">
        <v>90</v>
      </c>
      <c r="AA23" s="93" t="s">
        <v>55</v>
      </c>
      <c r="AB23" s="93" t="s">
        <v>158</v>
      </c>
      <c r="AP23" s="115" t="s">
        <v>276</v>
      </c>
      <c r="AR23" s="111" t="s">
        <v>61</v>
      </c>
    </row>
    <row r="24" spans="1:48" x14ac:dyDescent="0.15">
      <c r="A24" s="93" t="s">
        <v>51</v>
      </c>
      <c r="B24" s="93" t="s">
        <v>157</v>
      </c>
      <c r="C24" s="93">
        <v>2019</v>
      </c>
      <c r="D24" s="101" t="s">
        <v>260</v>
      </c>
      <c r="E24" s="93" t="s">
        <v>269</v>
      </c>
      <c r="F24" s="93" t="s">
        <v>270</v>
      </c>
      <c r="G24" s="93" t="s">
        <v>36</v>
      </c>
      <c r="H24" s="93" t="s">
        <v>160</v>
      </c>
      <c r="I24" s="93" t="s">
        <v>159</v>
      </c>
      <c r="J24" s="93" t="s">
        <v>38</v>
      </c>
      <c r="K24" s="93" t="s">
        <v>161</v>
      </c>
      <c r="L24" s="93">
        <v>2</v>
      </c>
      <c r="N24" s="93">
        <v>1</v>
      </c>
      <c r="O24" s="93">
        <v>0.75</v>
      </c>
      <c r="P24" s="93">
        <v>0.7</v>
      </c>
      <c r="Q24" s="102">
        <f t="shared" si="0"/>
        <v>0.72499999999999998</v>
      </c>
      <c r="R24" s="93">
        <v>15.5</v>
      </c>
      <c r="S24" s="93">
        <v>142</v>
      </c>
      <c r="T24" s="103">
        <f t="shared" si="1"/>
        <v>22</v>
      </c>
      <c r="U24" s="93">
        <v>128</v>
      </c>
      <c r="V24" s="104">
        <f t="shared" si="2"/>
        <v>2816</v>
      </c>
      <c r="W24" s="93">
        <v>12</v>
      </c>
      <c r="X24" s="93" t="s">
        <v>46</v>
      </c>
      <c r="Y24" s="93" t="s">
        <v>78</v>
      </c>
      <c r="Z24" s="93" t="s">
        <v>90</v>
      </c>
      <c r="AA24" s="93" t="s">
        <v>55</v>
      </c>
      <c r="AB24" s="93" t="s">
        <v>158</v>
      </c>
      <c r="AP24" s="115" t="s">
        <v>277</v>
      </c>
      <c r="AR24" s="111" t="s">
        <v>91</v>
      </c>
    </row>
    <row r="25" spans="1:48" x14ac:dyDescent="0.15">
      <c r="A25" s="93" t="s">
        <v>51</v>
      </c>
      <c r="B25" s="93" t="s">
        <v>157</v>
      </c>
      <c r="C25" s="93">
        <v>2019</v>
      </c>
      <c r="D25" s="101" t="s">
        <v>260</v>
      </c>
      <c r="E25" s="93" t="s">
        <v>269</v>
      </c>
      <c r="F25" s="93" t="s">
        <v>270</v>
      </c>
      <c r="G25" s="93" t="s">
        <v>36</v>
      </c>
      <c r="H25" s="93" t="s">
        <v>160</v>
      </c>
      <c r="I25" s="93" t="s">
        <v>159</v>
      </c>
      <c r="J25" s="93" t="s">
        <v>38</v>
      </c>
      <c r="K25" s="93" t="s">
        <v>161</v>
      </c>
      <c r="L25" s="93">
        <v>3</v>
      </c>
      <c r="N25" s="93">
        <v>1</v>
      </c>
      <c r="O25" s="93">
        <v>0.65</v>
      </c>
      <c r="P25" s="93">
        <v>0.65</v>
      </c>
      <c r="Q25" s="102">
        <f t="shared" si="0"/>
        <v>0.65</v>
      </c>
      <c r="R25" s="93">
        <v>15.2</v>
      </c>
      <c r="S25" s="93">
        <v>140</v>
      </c>
      <c r="T25" s="103">
        <f t="shared" si="1"/>
        <v>22</v>
      </c>
      <c r="U25" s="93">
        <v>128</v>
      </c>
      <c r="V25" s="104">
        <f t="shared" si="2"/>
        <v>2816</v>
      </c>
      <c r="W25" s="93">
        <v>12</v>
      </c>
      <c r="X25" s="93" t="s">
        <v>46</v>
      </c>
      <c r="Y25" s="93" t="s">
        <v>78</v>
      </c>
      <c r="Z25" s="93" t="s">
        <v>90</v>
      </c>
      <c r="AA25" s="93" t="s">
        <v>55</v>
      </c>
      <c r="AB25" s="93" t="s">
        <v>158</v>
      </c>
      <c r="AP25" s="115" t="s">
        <v>278</v>
      </c>
      <c r="AR25" s="115" t="s">
        <v>51</v>
      </c>
    </row>
    <row r="26" spans="1:48" x14ac:dyDescent="0.15">
      <c r="A26" s="93" t="s">
        <v>51</v>
      </c>
      <c r="B26" s="93" t="s">
        <v>157</v>
      </c>
      <c r="C26" s="93">
        <v>2019</v>
      </c>
      <c r="D26" s="101" t="s">
        <v>260</v>
      </c>
      <c r="E26" s="93" t="s">
        <v>209</v>
      </c>
      <c r="F26" s="93" t="s">
        <v>263</v>
      </c>
      <c r="G26" s="93" t="s">
        <v>42</v>
      </c>
      <c r="H26" s="93" t="s">
        <v>164</v>
      </c>
      <c r="I26" s="93" t="s">
        <v>159</v>
      </c>
      <c r="J26" s="93" t="s">
        <v>38</v>
      </c>
      <c r="K26" s="93" t="s">
        <v>161</v>
      </c>
      <c r="L26" s="93">
        <v>1</v>
      </c>
      <c r="N26" s="93">
        <v>1</v>
      </c>
      <c r="O26" s="93">
        <v>0.7</v>
      </c>
      <c r="P26" s="93">
        <v>0.7</v>
      </c>
      <c r="Q26" s="102">
        <f t="shared" si="0"/>
        <v>0.7</v>
      </c>
      <c r="R26" s="93">
        <v>17.100000000000001</v>
      </c>
      <c r="S26" s="93">
        <v>130</v>
      </c>
      <c r="T26" s="103">
        <f t="shared" si="1"/>
        <v>25</v>
      </c>
      <c r="U26" s="93">
        <v>97</v>
      </c>
      <c r="V26" s="104">
        <f t="shared" si="2"/>
        <v>2425</v>
      </c>
      <c r="W26" s="93">
        <v>15</v>
      </c>
      <c r="X26" s="93" t="s">
        <v>46</v>
      </c>
      <c r="Y26" s="93" t="s">
        <v>102</v>
      </c>
      <c r="Z26" s="93" t="s">
        <v>55</v>
      </c>
      <c r="AA26" s="93" t="s">
        <v>78</v>
      </c>
      <c r="AB26" s="93" t="s">
        <v>158</v>
      </c>
      <c r="AP26" s="115" t="s">
        <v>228</v>
      </c>
      <c r="AR26" s="93" t="s">
        <v>229</v>
      </c>
    </row>
    <row r="27" spans="1:48" x14ac:dyDescent="0.15">
      <c r="A27" s="93" t="s">
        <v>51</v>
      </c>
      <c r="B27" s="93" t="s">
        <v>157</v>
      </c>
      <c r="C27" s="93">
        <v>2019</v>
      </c>
      <c r="D27" s="101" t="s">
        <v>260</v>
      </c>
      <c r="E27" s="93" t="s">
        <v>209</v>
      </c>
      <c r="F27" s="93" t="s">
        <v>263</v>
      </c>
      <c r="G27" s="93" t="s">
        <v>42</v>
      </c>
      <c r="H27" s="93" t="s">
        <v>164</v>
      </c>
      <c r="I27" s="93" t="s">
        <v>159</v>
      </c>
      <c r="J27" s="93" t="s">
        <v>38</v>
      </c>
      <c r="K27" s="93" t="s">
        <v>161</v>
      </c>
      <c r="L27" s="93">
        <v>2</v>
      </c>
      <c r="N27" s="93">
        <v>1</v>
      </c>
      <c r="O27" s="93">
        <v>0.8</v>
      </c>
      <c r="P27" s="93">
        <v>0.75</v>
      </c>
      <c r="Q27" s="102">
        <f t="shared" si="0"/>
        <v>0.77500000000000002</v>
      </c>
      <c r="R27" s="93">
        <v>17.399999999999999</v>
      </c>
      <c r="S27" s="93">
        <v>136</v>
      </c>
      <c r="T27" s="103">
        <f t="shared" si="1"/>
        <v>25</v>
      </c>
      <c r="U27" s="93">
        <v>97</v>
      </c>
      <c r="V27" s="104">
        <f t="shared" si="2"/>
        <v>2425</v>
      </c>
      <c r="W27" s="93">
        <v>15</v>
      </c>
      <c r="X27" s="93" t="s">
        <v>46</v>
      </c>
      <c r="Y27" s="93" t="s">
        <v>102</v>
      </c>
      <c r="Z27" s="93" t="s">
        <v>55</v>
      </c>
      <c r="AA27" s="93" t="s">
        <v>78</v>
      </c>
      <c r="AB27" s="93" t="s">
        <v>158</v>
      </c>
      <c r="AP27" s="115" t="s">
        <v>230</v>
      </c>
    </row>
    <row r="28" spans="1:48" x14ac:dyDescent="0.15">
      <c r="A28" s="93" t="s">
        <v>51</v>
      </c>
      <c r="B28" s="93" t="s">
        <v>157</v>
      </c>
      <c r="C28" s="93">
        <v>2019</v>
      </c>
      <c r="D28" s="101" t="s">
        <v>260</v>
      </c>
      <c r="E28" s="93" t="s">
        <v>209</v>
      </c>
      <c r="F28" s="93" t="s">
        <v>263</v>
      </c>
      <c r="G28" s="93" t="s">
        <v>42</v>
      </c>
      <c r="H28" s="93" t="s">
        <v>164</v>
      </c>
      <c r="I28" s="93" t="s">
        <v>159</v>
      </c>
      <c r="J28" s="93" t="s">
        <v>38</v>
      </c>
      <c r="K28" s="93" t="s">
        <v>161</v>
      </c>
      <c r="L28" s="93">
        <v>3</v>
      </c>
      <c r="N28" s="93">
        <v>1</v>
      </c>
      <c r="O28" s="93">
        <v>0.75</v>
      </c>
      <c r="P28" s="93">
        <v>0.65</v>
      </c>
      <c r="Q28" s="102">
        <f t="shared" si="0"/>
        <v>0.7</v>
      </c>
      <c r="R28" s="93">
        <v>17.600000000000001</v>
      </c>
      <c r="S28" s="93">
        <v>134</v>
      </c>
      <c r="T28" s="103">
        <f t="shared" si="1"/>
        <v>25</v>
      </c>
      <c r="U28" s="93">
        <v>97</v>
      </c>
      <c r="V28" s="104">
        <f t="shared" si="2"/>
        <v>2425</v>
      </c>
      <c r="W28" s="93">
        <v>15</v>
      </c>
      <c r="X28" s="93" t="s">
        <v>46</v>
      </c>
      <c r="Y28" s="93" t="s">
        <v>102</v>
      </c>
      <c r="Z28" s="93" t="s">
        <v>55</v>
      </c>
      <c r="AA28" s="93" t="s">
        <v>78</v>
      </c>
      <c r="AB28" s="93" t="s">
        <v>158</v>
      </c>
    </row>
    <row r="29" spans="1:48" x14ac:dyDescent="0.15">
      <c r="A29" s="93" t="s">
        <v>51</v>
      </c>
      <c r="B29" s="93" t="s">
        <v>157</v>
      </c>
      <c r="C29" s="93">
        <v>2019</v>
      </c>
      <c r="D29" s="101" t="s">
        <v>260</v>
      </c>
      <c r="E29" s="93" t="s">
        <v>209</v>
      </c>
      <c r="F29" s="93" t="s">
        <v>263</v>
      </c>
      <c r="G29" s="93" t="s">
        <v>42</v>
      </c>
      <c r="H29" s="93" t="s">
        <v>160</v>
      </c>
      <c r="I29" s="93" t="s">
        <v>159</v>
      </c>
      <c r="J29" s="93" t="s">
        <v>38</v>
      </c>
      <c r="K29" s="93" t="s">
        <v>161</v>
      </c>
      <c r="L29" s="93">
        <v>1</v>
      </c>
      <c r="N29" s="93">
        <v>1</v>
      </c>
      <c r="O29" s="93">
        <v>0.6</v>
      </c>
      <c r="P29" s="93">
        <v>0.6</v>
      </c>
      <c r="Q29" s="102">
        <f t="shared" si="0"/>
        <v>0.6</v>
      </c>
      <c r="R29" s="93">
        <v>16.8</v>
      </c>
      <c r="S29" s="93">
        <v>140</v>
      </c>
      <c r="T29" s="103">
        <f t="shared" si="1"/>
        <v>22</v>
      </c>
      <c r="U29" s="93">
        <v>97</v>
      </c>
      <c r="V29" s="104">
        <f t="shared" si="2"/>
        <v>2134</v>
      </c>
      <c r="W29" s="93">
        <v>15</v>
      </c>
      <c r="X29" s="93" t="s">
        <v>46</v>
      </c>
      <c r="Y29" s="93" t="s">
        <v>102</v>
      </c>
      <c r="Z29" s="93" t="s">
        <v>55</v>
      </c>
      <c r="AA29" s="93" t="s">
        <v>78</v>
      </c>
      <c r="AB29" s="93" t="s">
        <v>158</v>
      </c>
    </row>
    <row r="30" spans="1:48" x14ac:dyDescent="0.15">
      <c r="A30" s="93" t="s">
        <v>51</v>
      </c>
      <c r="B30" s="93" t="s">
        <v>157</v>
      </c>
      <c r="C30" s="93">
        <v>2019</v>
      </c>
      <c r="D30" s="101" t="s">
        <v>260</v>
      </c>
      <c r="E30" s="93" t="s">
        <v>209</v>
      </c>
      <c r="F30" s="93" t="s">
        <v>263</v>
      </c>
      <c r="G30" s="93" t="s">
        <v>42</v>
      </c>
      <c r="H30" s="93" t="s">
        <v>160</v>
      </c>
      <c r="I30" s="93" t="s">
        <v>159</v>
      </c>
      <c r="J30" s="93" t="s">
        <v>38</v>
      </c>
      <c r="K30" s="93" t="s">
        <v>161</v>
      </c>
      <c r="L30" s="93">
        <v>2</v>
      </c>
      <c r="N30" s="93">
        <v>1</v>
      </c>
      <c r="O30" s="93">
        <v>0.7</v>
      </c>
      <c r="P30" s="93">
        <v>0.8</v>
      </c>
      <c r="Q30" s="102">
        <f t="shared" si="0"/>
        <v>0.75</v>
      </c>
      <c r="R30" s="93">
        <v>17.3</v>
      </c>
      <c r="S30" s="93">
        <v>148</v>
      </c>
      <c r="T30" s="103">
        <f t="shared" si="1"/>
        <v>22</v>
      </c>
      <c r="U30" s="93">
        <v>97</v>
      </c>
      <c r="V30" s="104">
        <f t="shared" si="2"/>
        <v>2134</v>
      </c>
      <c r="W30" s="93">
        <v>15</v>
      </c>
      <c r="X30" s="93" t="s">
        <v>46</v>
      </c>
      <c r="Y30" s="93" t="s">
        <v>102</v>
      </c>
      <c r="Z30" s="93" t="s">
        <v>55</v>
      </c>
      <c r="AA30" s="93" t="s">
        <v>78</v>
      </c>
      <c r="AB30" s="93" t="s">
        <v>158</v>
      </c>
    </row>
    <row r="31" spans="1:48" x14ac:dyDescent="0.15">
      <c r="A31" s="93" t="s">
        <v>51</v>
      </c>
      <c r="B31" s="93" t="s">
        <v>157</v>
      </c>
      <c r="C31" s="93">
        <v>2019</v>
      </c>
      <c r="D31" s="101" t="s">
        <v>260</v>
      </c>
      <c r="E31" s="93" t="s">
        <v>209</v>
      </c>
      <c r="F31" s="93" t="s">
        <v>263</v>
      </c>
      <c r="G31" s="93" t="s">
        <v>42</v>
      </c>
      <c r="H31" s="93" t="s">
        <v>160</v>
      </c>
      <c r="I31" s="93" t="s">
        <v>159</v>
      </c>
      <c r="J31" s="93" t="s">
        <v>38</v>
      </c>
      <c r="K31" s="93" t="s">
        <v>161</v>
      </c>
      <c r="L31" s="93">
        <v>3</v>
      </c>
      <c r="N31" s="93">
        <v>1</v>
      </c>
      <c r="O31" s="93">
        <v>0.7</v>
      </c>
      <c r="P31" s="93">
        <v>0.65</v>
      </c>
      <c r="Q31" s="102">
        <f t="shared" si="0"/>
        <v>0.67500000000000004</v>
      </c>
      <c r="R31" s="93">
        <v>17.2</v>
      </c>
      <c r="S31" s="93">
        <v>146</v>
      </c>
      <c r="T31" s="103">
        <f t="shared" si="1"/>
        <v>22</v>
      </c>
      <c r="U31" s="93">
        <v>97</v>
      </c>
      <c r="V31" s="104">
        <f t="shared" si="2"/>
        <v>2134</v>
      </c>
      <c r="W31" s="93">
        <v>15</v>
      </c>
      <c r="X31" s="93" t="s">
        <v>46</v>
      </c>
      <c r="Y31" s="93" t="s">
        <v>102</v>
      </c>
      <c r="Z31" s="93" t="s">
        <v>55</v>
      </c>
      <c r="AA31" s="93" t="s">
        <v>78</v>
      </c>
      <c r="AB31" s="93" t="s">
        <v>158</v>
      </c>
    </row>
    <row r="32" spans="1:48" x14ac:dyDescent="0.15">
      <c r="A32" s="93" t="s">
        <v>51</v>
      </c>
      <c r="B32" s="93" t="s">
        <v>157</v>
      </c>
      <c r="C32" s="93">
        <v>2019</v>
      </c>
      <c r="D32" s="101" t="s">
        <v>260</v>
      </c>
      <c r="E32" s="93" t="s">
        <v>271</v>
      </c>
      <c r="F32" s="93" t="s">
        <v>263</v>
      </c>
      <c r="G32" s="93" t="s">
        <v>42</v>
      </c>
      <c r="H32" s="93" t="s">
        <v>164</v>
      </c>
      <c r="I32" s="93" t="s">
        <v>159</v>
      </c>
      <c r="J32" s="93" t="s">
        <v>38</v>
      </c>
      <c r="K32" s="93" t="s">
        <v>161</v>
      </c>
      <c r="L32" s="93">
        <v>1</v>
      </c>
      <c r="N32" s="93">
        <v>4</v>
      </c>
      <c r="O32" s="93">
        <v>0.25</v>
      </c>
      <c r="P32" s="93">
        <v>0.25</v>
      </c>
      <c r="Q32" s="102">
        <f t="shared" si="0"/>
        <v>0.25</v>
      </c>
      <c r="R32" s="93">
        <v>16.899999999999999</v>
      </c>
      <c r="S32" s="93">
        <v>108</v>
      </c>
      <c r="T32" s="103">
        <f t="shared" si="1"/>
        <v>33</v>
      </c>
      <c r="U32" s="93">
        <v>398</v>
      </c>
      <c r="V32" s="104">
        <f t="shared" si="2"/>
        <v>3283.5</v>
      </c>
      <c r="W32" s="93">
        <v>13</v>
      </c>
      <c r="X32" s="93" t="s">
        <v>46</v>
      </c>
      <c r="Y32" s="93" t="s">
        <v>78</v>
      </c>
      <c r="Z32" s="93" t="s">
        <v>102</v>
      </c>
      <c r="AA32" s="93" t="s">
        <v>69</v>
      </c>
      <c r="AB32" s="93" t="s">
        <v>158</v>
      </c>
    </row>
    <row r="33" spans="1:28" x14ac:dyDescent="0.15">
      <c r="A33" s="93" t="s">
        <v>51</v>
      </c>
      <c r="B33" s="93" t="s">
        <v>157</v>
      </c>
      <c r="C33" s="93">
        <v>2019</v>
      </c>
      <c r="D33" s="101" t="s">
        <v>260</v>
      </c>
      <c r="E33" s="93" t="s">
        <v>271</v>
      </c>
      <c r="F33" s="93" t="s">
        <v>263</v>
      </c>
      <c r="G33" s="93" t="s">
        <v>42</v>
      </c>
      <c r="H33" s="93" t="s">
        <v>164</v>
      </c>
      <c r="I33" s="93" t="s">
        <v>159</v>
      </c>
      <c r="J33" s="93" t="s">
        <v>38</v>
      </c>
      <c r="K33" s="93" t="s">
        <v>161</v>
      </c>
      <c r="L33" s="93">
        <v>2</v>
      </c>
      <c r="N33" s="93">
        <v>4</v>
      </c>
      <c r="O33" s="93">
        <v>0.5</v>
      </c>
      <c r="P33" s="93">
        <v>0.5</v>
      </c>
      <c r="Q33" s="102">
        <f t="shared" si="0"/>
        <v>0.5</v>
      </c>
      <c r="R33" s="93">
        <v>17.2</v>
      </c>
      <c r="S33" s="93">
        <v>110</v>
      </c>
      <c r="T33" s="103">
        <f t="shared" si="1"/>
        <v>33</v>
      </c>
      <c r="U33" s="93">
        <v>398</v>
      </c>
      <c r="V33" s="104">
        <f t="shared" si="2"/>
        <v>3283.5</v>
      </c>
      <c r="W33" s="93">
        <v>13</v>
      </c>
      <c r="X33" s="93" t="s">
        <v>46</v>
      </c>
      <c r="Y33" s="93" t="s">
        <v>78</v>
      </c>
      <c r="Z33" s="93" t="s">
        <v>102</v>
      </c>
      <c r="AA33" s="93" t="s">
        <v>69</v>
      </c>
      <c r="AB33" s="93" t="s">
        <v>158</v>
      </c>
    </row>
    <row r="34" spans="1:28" x14ac:dyDescent="0.15">
      <c r="A34" s="93" t="s">
        <v>51</v>
      </c>
      <c r="B34" s="93" t="s">
        <v>157</v>
      </c>
      <c r="C34" s="93">
        <v>2019</v>
      </c>
      <c r="D34" s="101" t="s">
        <v>260</v>
      </c>
      <c r="E34" s="93" t="s">
        <v>271</v>
      </c>
      <c r="F34" s="93" t="s">
        <v>263</v>
      </c>
      <c r="G34" s="93" t="s">
        <v>42</v>
      </c>
      <c r="H34" s="93" t="s">
        <v>164</v>
      </c>
      <c r="I34" s="93" t="s">
        <v>159</v>
      </c>
      <c r="J34" s="93" t="s">
        <v>38</v>
      </c>
      <c r="K34" s="93" t="s">
        <v>161</v>
      </c>
      <c r="L34" s="93">
        <v>3</v>
      </c>
      <c r="N34" s="93">
        <v>4</v>
      </c>
      <c r="O34" s="93">
        <v>0.25</v>
      </c>
      <c r="P34" s="93">
        <v>0.5</v>
      </c>
      <c r="Q34" s="102">
        <f t="shared" si="0"/>
        <v>0.375</v>
      </c>
      <c r="R34" s="93">
        <v>16.5</v>
      </c>
      <c r="S34" s="93">
        <v>108</v>
      </c>
      <c r="T34" s="103">
        <f t="shared" si="1"/>
        <v>33</v>
      </c>
      <c r="U34" s="93">
        <v>398</v>
      </c>
      <c r="V34" s="104">
        <f t="shared" si="2"/>
        <v>3283.5</v>
      </c>
      <c r="W34" s="93">
        <v>13</v>
      </c>
      <c r="X34" s="93" t="s">
        <v>46</v>
      </c>
      <c r="Y34" s="93" t="s">
        <v>78</v>
      </c>
      <c r="Z34" s="93" t="s">
        <v>102</v>
      </c>
      <c r="AA34" s="93" t="s">
        <v>69</v>
      </c>
      <c r="AB34" s="93" t="s">
        <v>158</v>
      </c>
    </row>
    <row r="35" spans="1:28" x14ac:dyDescent="0.15">
      <c r="A35" s="93" t="s">
        <v>51</v>
      </c>
      <c r="B35" s="93" t="s">
        <v>157</v>
      </c>
      <c r="C35" s="93">
        <v>2019</v>
      </c>
      <c r="D35" s="101" t="s">
        <v>260</v>
      </c>
      <c r="E35" s="93" t="s">
        <v>271</v>
      </c>
      <c r="F35" s="93" t="s">
        <v>263</v>
      </c>
      <c r="G35" s="93" t="s">
        <v>42</v>
      </c>
      <c r="H35" s="93" t="s">
        <v>164</v>
      </c>
      <c r="I35" s="93" t="s">
        <v>196</v>
      </c>
      <c r="J35" s="93" t="s">
        <v>38</v>
      </c>
      <c r="K35" s="93" t="s">
        <v>161</v>
      </c>
      <c r="L35" s="93">
        <v>1</v>
      </c>
      <c r="N35" s="93">
        <v>4</v>
      </c>
      <c r="O35" s="93">
        <v>0.8</v>
      </c>
      <c r="P35" s="93">
        <v>1</v>
      </c>
      <c r="Q35" s="102">
        <f t="shared" si="0"/>
        <v>0.9</v>
      </c>
      <c r="R35" s="93">
        <v>15.7</v>
      </c>
      <c r="S35" s="93">
        <v>98</v>
      </c>
      <c r="T35" s="103">
        <f t="shared" si="1"/>
        <v>36</v>
      </c>
      <c r="U35" s="93">
        <v>398</v>
      </c>
      <c r="V35" s="104">
        <f t="shared" si="2"/>
        <v>3582</v>
      </c>
      <c r="W35" s="93">
        <v>13</v>
      </c>
      <c r="X35" s="93" t="s">
        <v>46</v>
      </c>
      <c r="Y35" s="93" t="s">
        <v>78</v>
      </c>
      <c r="Z35" s="93" t="s">
        <v>102</v>
      </c>
      <c r="AA35" s="93" t="s">
        <v>69</v>
      </c>
      <c r="AB35" s="93" t="s">
        <v>158</v>
      </c>
    </row>
    <row r="36" spans="1:28" x14ac:dyDescent="0.15">
      <c r="A36" s="93" t="s">
        <v>51</v>
      </c>
      <c r="B36" s="93" t="s">
        <v>157</v>
      </c>
      <c r="C36" s="93">
        <v>2019</v>
      </c>
      <c r="D36" s="101" t="s">
        <v>260</v>
      </c>
      <c r="E36" s="93" t="s">
        <v>271</v>
      </c>
      <c r="F36" s="93" t="s">
        <v>263</v>
      </c>
      <c r="G36" s="93" t="s">
        <v>42</v>
      </c>
      <c r="H36" s="93" t="s">
        <v>164</v>
      </c>
      <c r="I36" s="93" t="s">
        <v>196</v>
      </c>
      <c r="J36" s="93" t="s">
        <v>38</v>
      </c>
      <c r="K36" s="93" t="s">
        <v>161</v>
      </c>
      <c r="L36" s="93">
        <v>2</v>
      </c>
      <c r="N36" s="93">
        <v>4</v>
      </c>
      <c r="O36" s="93">
        <v>0.85</v>
      </c>
      <c r="P36" s="93">
        <v>0.75</v>
      </c>
      <c r="Q36" s="102">
        <f t="shared" si="0"/>
        <v>0.8</v>
      </c>
      <c r="R36" s="93">
        <v>15</v>
      </c>
      <c r="S36" s="93">
        <v>99</v>
      </c>
      <c r="T36" s="103">
        <f t="shared" si="1"/>
        <v>33</v>
      </c>
      <c r="U36" s="93">
        <v>398</v>
      </c>
      <c r="V36" s="104">
        <f t="shared" si="2"/>
        <v>3283.5</v>
      </c>
      <c r="W36" s="93">
        <v>13</v>
      </c>
      <c r="X36" s="93" t="s">
        <v>46</v>
      </c>
      <c r="Y36" s="93" t="s">
        <v>78</v>
      </c>
      <c r="Z36" s="93" t="s">
        <v>102</v>
      </c>
      <c r="AA36" s="93" t="s">
        <v>69</v>
      </c>
      <c r="AB36" s="93" t="s">
        <v>158</v>
      </c>
    </row>
    <row r="37" spans="1:28" x14ac:dyDescent="0.15">
      <c r="A37" s="93" t="s">
        <v>51</v>
      </c>
      <c r="B37" s="93" t="s">
        <v>157</v>
      </c>
      <c r="C37" s="93">
        <v>2019</v>
      </c>
      <c r="D37" s="101" t="s">
        <v>260</v>
      </c>
      <c r="E37" s="93" t="s">
        <v>271</v>
      </c>
      <c r="F37" s="93" t="s">
        <v>263</v>
      </c>
      <c r="G37" s="93" t="s">
        <v>42</v>
      </c>
      <c r="H37" s="93" t="s">
        <v>164</v>
      </c>
      <c r="I37" s="93" t="s">
        <v>196</v>
      </c>
      <c r="J37" s="93" t="s">
        <v>38</v>
      </c>
      <c r="K37" s="93" t="s">
        <v>161</v>
      </c>
      <c r="L37" s="93">
        <v>3</v>
      </c>
      <c r="N37" s="93">
        <v>4</v>
      </c>
      <c r="O37" s="93">
        <v>0.8</v>
      </c>
      <c r="P37" s="93">
        <v>0.65</v>
      </c>
      <c r="Q37" s="102">
        <f t="shared" si="0"/>
        <v>0.72500000000000009</v>
      </c>
      <c r="R37" s="93">
        <v>16.399999999999999</v>
      </c>
      <c r="S37" s="93">
        <v>102</v>
      </c>
      <c r="T37" s="103">
        <f t="shared" si="1"/>
        <v>33</v>
      </c>
      <c r="U37" s="93">
        <v>398</v>
      </c>
      <c r="V37" s="104">
        <f t="shared" si="2"/>
        <v>3283.5</v>
      </c>
      <c r="W37" s="93">
        <v>13</v>
      </c>
      <c r="X37" s="93" t="s">
        <v>46</v>
      </c>
      <c r="Y37" s="93" t="s">
        <v>78</v>
      </c>
      <c r="Z37" s="93" t="s">
        <v>102</v>
      </c>
      <c r="AA37" s="93" t="s">
        <v>69</v>
      </c>
      <c r="AB37" s="93" t="s">
        <v>158</v>
      </c>
    </row>
    <row r="38" spans="1:28" x14ac:dyDescent="0.15">
      <c r="A38" s="93" t="s">
        <v>51</v>
      </c>
      <c r="B38" s="93" t="s">
        <v>157</v>
      </c>
      <c r="C38" s="93">
        <v>2019</v>
      </c>
      <c r="D38" s="101" t="s">
        <v>260</v>
      </c>
      <c r="E38" s="93" t="s">
        <v>271</v>
      </c>
      <c r="F38" s="93" t="s">
        <v>263</v>
      </c>
      <c r="G38" s="93" t="s">
        <v>42</v>
      </c>
      <c r="H38" s="93" t="s">
        <v>160</v>
      </c>
      <c r="I38" s="93" t="s">
        <v>159</v>
      </c>
      <c r="J38" s="93" t="s">
        <v>38</v>
      </c>
      <c r="K38" s="93" t="s">
        <v>161</v>
      </c>
      <c r="L38" s="93">
        <v>1</v>
      </c>
      <c r="N38" s="93">
        <v>4</v>
      </c>
      <c r="O38" s="93">
        <v>0.6</v>
      </c>
      <c r="P38" s="93">
        <v>0.6</v>
      </c>
      <c r="Q38" s="102">
        <f t="shared" si="0"/>
        <v>0.6</v>
      </c>
      <c r="R38" s="93">
        <v>16.899999999999999</v>
      </c>
      <c r="S38" s="93">
        <v>98</v>
      </c>
      <c r="T38" s="103">
        <f t="shared" si="1"/>
        <v>36</v>
      </c>
      <c r="U38" s="93">
        <v>498</v>
      </c>
      <c r="V38" s="104">
        <f t="shared" si="2"/>
        <v>4482</v>
      </c>
      <c r="W38" s="93">
        <v>13</v>
      </c>
      <c r="X38" s="93" t="s">
        <v>46</v>
      </c>
      <c r="Y38" s="93" t="s">
        <v>78</v>
      </c>
      <c r="Z38" s="93" t="s">
        <v>102</v>
      </c>
      <c r="AA38" s="93" t="s">
        <v>69</v>
      </c>
      <c r="AB38" s="93" t="s">
        <v>158</v>
      </c>
    </row>
    <row r="39" spans="1:28" x14ac:dyDescent="0.15">
      <c r="A39" s="93" t="s">
        <v>51</v>
      </c>
      <c r="B39" s="93" t="s">
        <v>157</v>
      </c>
      <c r="C39" s="93">
        <v>2019</v>
      </c>
      <c r="D39" s="101" t="s">
        <v>260</v>
      </c>
      <c r="E39" s="93" t="s">
        <v>271</v>
      </c>
      <c r="F39" s="93" t="s">
        <v>263</v>
      </c>
      <c r="G39" s="93" t="s">
        <v>42</v>
      </c>
      <c r="H39" s="93" t="s">
        <v>160</v>
      </c>
      <c r="I39" s="93" t="s">
        <v>159</v>
      </c>
      <c r="J39" s="93" t="s">
        <v>38</v>
      </c>
      <c r="K39" s="93" t="s">
        <v>161</v>
      </c>
      <c r="L39" s="93">
        <v>2</v>
      </c>
      <c r="N39" s="93">
        <v>4</v>
      </c>
      <c r="O39" s="93">
        <v>0.55000000000000004</v>
      </c>
      <c r="P39" s="93">
        <v>0.75</v>
      </c>
      <c r="Q39" s="102">
        <f t="shared" si="0"/>
        <v>0.65</v>
      </c>
      <c r="R39" s="93">
        <v>16.5</v>
      </c>
      <c r="S39" s="93">
        <v>100</v>
      </c>
      <c r="T39" s="103">
        <f t="shared" si="1"/>
        <v>33</v>
      </c>
      <c r="U39" s="93">
        <v>498</v>
      </c>
      <c r="V39" s="104">
        <f t="shared" si="2"/>
        <v>4108.5</v>
      </c>
      <c r="W39" s="93">
        <v>13</v>
      </c>
      <c r="X39" s="93" t="s">
        <v>46</v>
      </c>
      <c r="Y39" s="93" t="s">
        <v>78</v>
      </c>
      <c r="Z39" s="93" t="s">
        <v>102</v>
      </c>
      <c r="AA39" s="93" t="s">
        <v>69</v>
      </c>
      <c r="AB39" s="93" t="s">
        <v>158</v>
      </c>
    </row>
    <row r="40" spans="1:28" x14ac:dyDescent="0.15">
      <c r="A40" s="93" t="s">
        <v>51</v>
      </c>
      <c r="B40" s="93" t="s">
        <v>157</v>
      </c>
      <c r="C40" s="93">
        <v>2019</v>
      </c>
      <c r="D40" s="101" t="s">
        <v>260</v>
      </c>
      <c r="E40" s="93" t="s">
        <v>271</v>
      </c>
      <c r="F40" s="93" t="s">
        <v>263</v>
      </c>
      <c r="G40" s="93" t="s">
        <v>42</v>
      </c>
      <c r="H40" s="93" t="s">
        <v>160</v>
      </c>
      <c r="I40" s="93" t="s">
        <v>159</v>
      </c>
      <c r="J40" s="93" t="s">
        <v>38</v>
      </c>
      <c r="K40" s="93" t="s">
        <v>161</v>
      </c>
      <c r="L40" s="93">
        <v>3</v>
      </c>
      <c r="N40" s="93">
        <v>4</v>
      </c>
      <c r="O40" s="93">
        <v>0.6</v>
      </c>
      <c r="P40" s="93">
        <v>0.75</v>
      </c>
      <c r="Q40" s="102">
        <f t="shared" si="0"/>
        <v>0.67500000000000004</v>
      </c>
      <c r="R40" s="93">
        <v>16</v>
      </c>
      <c r="S40" s="93">
        <v>100</v>
      </c>
      <c r="T40" s="103">
        <f t="shared" si="1"/>
        <v>33</v>
      </c>
      <c r="U40" s="93">
        <v>498</v>
      </c>
      <c r="V40" s="104">
        <f t="shared" si="2"/>
        <v>4108.5</v>
      </c>
      <c r="W40" s="93">
        <v>13</v>
      </c>
      <c r="X40" s="93" t="s">
        <v>46</v>
      </c>
      <c r="Y40" s="93" t="s">
        <v>78</v>
      </c>
      <c r="Z40" s="93" t="s">
        <v>102</v>
      </c>
      <c r="AA40" s="93" t="s">
        <v>69</v>
      </c>
      <c r="AB40" s="93" t="s">
        <v>158</v>
      </c>
    </row>
    <row r="41" spans="1:28" x14ac:dyDescent="0.15">
      <c r="A41" s="93" t="s">
        <v>51</v>
      </c>
      <c r="B41" s="93" t="s">
        <v>157</v>
      </c>
      <c r="C41" s="93">
        <v>2019</v>
      </c>
      <c r="D41" s="101" t="s">
        <v>260</v>
      </c>
      <c r="E41" s="93" t="s">
        <v>266</v>
      </c>
      <c r="F41" s="93" t="s">
        <v>267</v>
      </c>
      <c r="G41" s="93" t="s">
        <v>42</v>
      </c>
      <c r="H41" s="93" t="s">
        <v>164</v>
      </c>
      <c r="I41" s="93" t="s">
        <v>159</v>
      </c>
      <c r="J41" s="93" t="s">
        <v>38</v>
      </c>
      <c r="K41" s="93" t="s">
        <v>161</v>
      </c>
      <c r="L41" s="93">
        <v>1</v>
      </c>
      <c r="N41" s="93">
        <v>1</v>
      </c>
      <c r="O41" s="93">
        <v>0.75</v>
      </c>
      <c r="P41" s="93">
        <v>0.75</v>
      </c>
      <c r="Q41" s="102">
        <f t="shared" si="0"/>
        <v>0.75</v>
      </c>
      <c r="R41" s="93">
        <v>15.6</v>
      </c>
      <c r="S41" s="93">
        <v>128</v>
      </c>
      <c r="T41" s="103">
        <f t="shared" si="1"/>
        <v>27</v>
      </c>
      <c r="U41" s="93">
        <v>158</v>
      </c>
      <c r="V41" s="104">
        <f t="shared" si="2"/>
        <v>4266</v>
      </c>
      <c r="W41" s="93">
        <v>2</v>
      </c>
      <c r="X41" s="93" t="s">
        <v>39</v>
      </c>
      <c r="Y41" s="93" t="s">
        <v>90</v>
      </c>
      <c r="Z41" s="93" t="s">
        <v>69</v>
      </c>
      <c r="AA41" s="93" t="s">
        <v>102</v>
      </c>
      <c r="AB41" s="93" t="s">
        <v>158</v>
      </c>
    </row>
    <row r="42" spans="1:28" x14ac:dyDescent="0.15">
      <c r="A42" s="93" t="s">
        <v>51</v>
      </c>
      <c r="B42" s="93" t="s">
        <v>157</v>
      </c>
      <c r="C42" s="93">
        <v>2019</v>
      </c>
      <c r="D42" s="101" t="s">
        <v>260</v>
      </c>
      <c r="E42" s="93" t="s">
        <v>266</v>
      </c>
      <c r="F42" s="93" t="s">
        <v>267</v>
      </c>
      <c r="G42" s="93" t="s">
        <v>42</v>
      </c>
      <c r="H42" s="93" t="s">
        <v>164</v>
      </c>
      <c r="I42" s="93" t="s">
        <v>159</v>
      </c>
      <c r="J42" s="93" t="s">
        <v>38</v>
      </c>
      <c r="K42" s="93" t="s">
        <v>161</v>
      </c>
      <c r="L42" s="93">
        <v>2</v>
      </c>
      <c r="N42" s="93">
        <v>1</v>
      </c>
      <c r="O42" s="93">
        <v>0.8</v>
      </c>
      <c r="P42" s="93">
        <v>0.7</v>
      </c>
      <c r="Q42" s="102">
        <f t="shared" si="0"/>
        <v>0.75</v>
      </c>
      <c r="R42" s="93">
        <v>15.9</v>
      </c>
      <c r="S42" s="93">
        <v>130</v>
      </c>
      <c r="T42" s="103">
        <f t="shared" si="1"/>
        <v>25</v>
      </c>
      <c r="U42" s="93">
        <v>158</v>
      </c>
      <c r="V42" s="104">
        <f t="shared" si="2"/>
        <v>3950</v>
      </c>
      <c r="W42" s="93">
        <v>2</v>
      </c>
      <c r="X42" s="93" t="s">
        <v>39</v>
      </c>
      <c r="Y42" s="93" t="s">
        <v>90</v>
      </c>
      <c r="Z42" s="93" t="s">
        <v>69</v>
      </c>
      <c r="AA42" s="93" t="s">
        <v>102</v>
      </c>
      <c r="AB42" s="93" t="s">
        <v>158</v>
      </c>
    </row>
    <row r="43" spans="1:28" x14ac:dyDescent="0.15">
      <c r="A43" s="93" t="s">
        <v>51</v>
      </c>
      <c r="B43" s="93" t="s">
        <v>157</v>
      </c>
      <c r="C43" s="93">
        <v>2019</v>
      </c>
      <c r="D43" s="101" t="s">
        <v>260</v>
      </c>
      <c r="E43" s="93" t="s">
        <v>266</v>
      </c>
      <c r="F43" s="93" t="s">
        <v>267</v>
      </c>
      <c r="G43" s="93" t="s">
        <v>42</v>
      </c>
      <c r="H43" s="93" t="s">
        <v>164</v>
      </c>
      <c r="I43" s="93" t="s">
        <v>159</v>
      </c>
      <c r="J43" s="93" t="s">
        <v>38</v>
      </c>
      <c r="K43" s="93" t="s">
        <v>161</v>
      </c>
      <c r="L43" s="93">
        <v>3</v>
      </c>
      <c r="N43" s="93">
        <v>1</v>
      </c>
      <c r="O43" s="93">
        <v>0.65</v>
      </c>
      <c r="P43" s="93">
        <v>0.7</v>
      </c>
      <c r="Q43" s="102">
        <f t="shared" si="0"/>
        <v>0.67500000000000004</v>
      </c>
      <c r="R43" s="93">
        <v>16.7</v>
      </c>
      <c r="S43" s="93">
        <v>130</v>
      </c>
      <c r="T43" s="103">
        <f t="shared" si="1"/>
        <v>25</v>
      </c>
      <c r="U43" s="93">
        <v>158</v>
      </c>
      <c r="V43" s="104">
        <f t="shared" si="2"/>
        <v>3950</v>
      </c>
      <c r="W43" s="93">
        <v>2</v>
      </c>
      <c r="X43" s="93" t="s">
        <v>39</v>
      </c>
      <c r="Y43" s="93" t="s">
        <v>90</v>
      </c>
      <c r="Z43" s="93" t="s">
        <v>69</v>
      </c>
      <c r="AA43" s="93" t="s">
        <v>102</v>
      </c>
      <c r="AB43" s="93" t="s">
        <v>158</v>
      </c>
    </row>
    <row r="44" spans="1:28" x14ac:dyDescent="0.15">
      <c r="A44" s="93" t="s">
        <v>51</v>
      </c>
      <c r="B44" s="93" t="s">
        <v>157</v>
      </c>
      <c r="C44" s="93">
        <v>2019</v>
      </c>
      <c r="D44" s="101" t="s">
        <v>260</v>
      </c>
      <c r="E44" s="93" t="s">
        <v>266</v>
      </c>
      <c r="F44" s="93" t="s">
        <v>267</v>
      </c>
      <c r="G44" s="93" t="s">
        <v>42</v>
      </c>
      <c r="H44" s="93" t="s">
        <v>160</v>
      </c>
      <c r="I44" s="93" t="s">
        <v>159</v>
      </c>
      <c r="J44" s="93" t="s">
        <v>38</v>
      </c>
      <c r="K44" s="93" t="s">
        <v>161</v>
      </c>
      <c r="L44" s="93">
        <v>1</v>
      </c>
      <c r="N44" s="93">
        <v>1</v>
      </c>
      <c r="O44" s="93">
        <v>0.7</v>
      </c>
      <c r="P44" s="93">
        <v>0.75</v>
      </c>
      <c r="Q44" s="102">
        <f t="shared" si="0"/>
        <v>0.72499999999999998</v>
      </c>
      <c r="R44" s="93">
        <v>17.5</v>
      </c>
      <c r="S44" s="93">
        <v>134</v>
      </c>
      <c r="T44" s="103">
        <f t="shared" si="1"/>
        <v>25</v>
      </c>
      <c r="U44" s="93">
        <v>158</v>
      </c>
      <c r="V44" s="104">
        <f t="shared" si="2"/>
        <v>3950</v>
      </c>
      <c r="W44" s="93">
        <v>2</v>
      </c>
      <c r="X44" s="93" t="s">
        <v>39</v>
      </c>
      <c r="Y44" s="93" t="s">
        <v>90</v>
      </c>
      <c r="Z44" s="93" t="s">
        <v>69</v>
      </c>
      <c r="AA44" s="93" t="s">
        <v>102</v>
      </c>
      <c r="AB44" s="93" t="s">
        <v>158</v>
      </c>
    </row>
    <row r="45" spans="1:28" x14ac:dyDescent="0.15">
      <c r="A45" s="93" t="s">
        <v>51</v>
      </c>
      <c r="B45" s="93" t="s">
        <v>157</v>
      </c>
      <c r="C45" s="93">
        <v>2019</v>
      </c>
      <c r="D45" s="101" t="s">
        <v>260</v>
      </c>
      <c r="E45" s="93" t="s">
        <v>266</v>
      </c>
      <c r="F45" s="93" t="s">
        <v>267</v>
      </c>
      <c r="G45" s="93" t="s">
        <v>42</v>
      </c>
      <c r="H45" s="93" t="s">
        <v>160</v>
      </c>
      <c r="I45" s="93" t="s">
        <v>159</v>
      </c>
      <c r="J45" s="93" t="s">
        <v>38</v>
      </c>
      <c r="K45" s="93" t="s">
        <v>161</v>
      </c>
      <c r="L45" s="93">
        <v>2</v>
      </c>
      <c r="N45" s="93">
        <v>1</v>
      </c>
      <c r="O45" s="93">
        <v>0.65</v>
      </c>
      <c r="P45" s="93">
        <v>0.65</v>
      </c>
      <c r="Q45" s="102">
        <f t="shared" si="0"/>
        <v>0.65</v>
      </c>
      <c r="R45" s="93">
        <v>16.899999999999999</v>
      </c>
      <c r="S45" s="93">
        <v>130</v>
      </c>
      <c r="T45" s="103">
        <f t="shared" si="1"/>
        <v>25</v>
      </c>
      <c r="U45" s="93">
        <v>158</v>
      </c>
      <c r="V45" s="104">
        <f t="shared" si="2"/>
        <v>3950</v>
      </c>
      <c r="W45" s="93">
        <v>2</v>
      </c>
      <c r="X45" s="93" t="s">
        <v>39</v>
      </c>
      <c r="Y45" s="93" t="s">
        <v>90</v>
      </c>
      <c r="Z45" s="93" t="s">
        <v>69</v>
      </c>
      <c r="AA45" s="93" t="s">
        <v>102</v>
      </c>
      <c r="AB45" s="93" t="s">
        <v>158</v>
      </c>
    </row>
    <row r="46" spans="1:28" x14ac:dyDescent="0.15">
      <c r="A46" s="93" t="s">
        <v>51</v>
      </c>
      <c r="B46" s="93" t="s">
        <v>157</v>
      </c>
      <c r="C46" s="93">
        <v>2019</v>
      </c>
      <c r="D46" s="101" t="s">
        <v>260</v>
      </c>
      <c r="E46" s="93" t="s">
        <v>266</v>
      </c>
      <c r="F46" s="93" t="s">
        <v>267</v>
      </c>
      <c r="G46" s="93" t="s">
        <v>42</v>
      </c>
      <c r="H46" s="93" t="s">
        <v>160</v>
      </c>
      <c r="I46" s="93" t="s">
        <v>159</v>
      </c>
      <c r="J46" s="93" t="s">
        <v>38</v>
      </c>
      <c r="K46" s="93" t="s">
        <v>161</v>
      </c>
      <c r="L46" s="93">
        <v>3</v>
      </c>
      <c r="N46" s="93">
        <v>1</v>
      </c>
      <c r="O46" s="93">
        <v>0.55000000000000004</v>
      </c>
      <c r="P46" s="93">
        <v>0.5</v>
      </c>
      <c r="Q46" s="102">
        <f t="shared" si="0"/>
        <v>0.52500000000000002</v>
      </c>
      <c r="R46" s="93">
        <v>17.7</v>
      </c>
      <c r="S46" s="93">
        <v>128</v>
      </c>
      <c r="T46" s="103">
        <f t="shared" si="1"/>
        <v>27</v>
      </c>
      <c r="U46" s="93">
        <v>158</v>
      </c>
      <c r="V46" s="104">
        <f t="shared" si="2"/>
        <v>4266</v>
      </c>
      <c r="W46" s="93">
        <v>2</v>
      </c>
      <c r="X46" s="93" t="s">
        <v>39</v>
      </c>
      <c r="Y46" s="93" t="s">
        <v>90</v>
      </c>
      <c r="Z46" s="93" t="s">
        <v>69</v>
      </c>
      <c r="AA46" s="93" t="s">
        <v>102</v>
      </c>
      <c r="AB46" s="93" t="s">
        <v>158</v>
      </c>
    </row>
    <row r="47" spans="1:28" x14ac:dyDescent="0.15">
      <c r="A47" s="93" t="s">
        <v>51</v>
      </c>
      <c r="B47" s="93" t="s">
        <v>157</v>
      </c>
      <c r="C47" s="93">
        <v>2019</v>
      </c>
      <c r="D47" s="101" t="s">
        <v>260</v>
      </c>
      <c r="E47" s="93" t="s">
        <v>268</v>
      </c>
      <c r="F47" s="93" t="s">
        <v>262</v>
      </c>
      <c r="G47" s="93" t="s">
        <v>36</v>
      </c>
      <c r="H47" s="93" t="s">
        <v>164</v>
      </c>
      <c r="I47" s="93" t="s">
        <v>159</v>
      </c>
      <c r="J47" s="93" t="s">
        <v>38</v>
      </c>
      <c r="K47" s="93" t="s">
        <v>161</v>
      </c>
      <c r="L47" s="93">
        <v>1</v>
      </c>
      <c r="N47" s="93">
        <v>1</v>
      </c>
      <c r="O47" s="93">
        <v>0.75</v>
      </c>
      <c r="P47" s="93">
        <v>0.75</v>
      </c>
      <c r="Q47" s="102">
        <f t="shared" si="0"/>
        <v>0.75</v>
      </c>
      <c r="R47" s="93">
        <v>17</v>
      </c>
      <c r="S47" s="93">
        <v>110</v>
      </c>
      <c r="T47" s="103">
        <f t="shared" si="1"/>
        <v>33</v>
      </c>
      <c r="U47" s="93">
        <v>100</v>
      </c>
      <c r="V47" s="104">
        <f t="shared" si="2"/>
        <v>3300</v>
      </c>
      <c r="W47" s="93">
        <v>3</v>
      </c>
      <c r="X47" s="93" t="s">
        <v>46</v>
      </c>
      <c r="Y47" s="93" t="s">
        <v>90</v>
      </c>
      <c r="Z47" s="93" t="s">
        <v>78</v>
      </c>
      <c r="AA47" s="93" t="s">
        <v>102</v>
      </c>
      <c r="AB47" s="93" t="s">
        <v>158</v>
      </c>
    </row>
    <row r="48" spans="1:28" x14ac:dyDescent="0.15">
      <c r="A48" s="93" t="s">
        <v>51</v>
      </c>
      <c r="B48" s="93" t="s">
        <v>157</v>
      </c>
      <c r="C48" s="93">
        <v>2019</v>
      </c>
      <c r="D48" s="101" t="s">
        <v>260</v>
      </c>
      <c r="E48" s="93" t="s">
        <v>268</v>
      </c>
      <c r="F48" s="93" t="s">
        <v>262</v>
      </c>
      <c r="G48" s="93" t="s">
        <v>36</v>
      </c>
      <c r="H48" s="93" t="s">
        <v>164</v>
      </c>
      <c r="I48" s="93" t="s">
        <v>159</v>
      </c>
      <c r="J48" s="93" t="s">
        <v>38</v>
      </c>
      <c r="K48" s="93" t="s">
        <v>161</v>
      </c>
      <c r="L48" s="93">
        <v>2</v>
      </c>
      <c r="N48" s="93">
        <v>1</v>
      </c>
      <c r="O48" s="93">
        <v>0.7</v>
      </c>
      <c r="P48" s="93">
        <v>0.8</v>
      </c>
      <c r="Q48" s="102">
        <f t="shared" si="0"/>
        <v>0.75</v>
      </c>
      <c r="R48" s="93">
        <v>17.2</v>
      </c>
      <c r="S48" s="93">
        <v>116</v>
      </c>
      <c r="T48" s="103">
        <f t="shared" si="1"/>
        <v>30</v>
      </c>
      <c r="U48" s="93">
        <v>100</v>
      </c>
      <c r="V48" s="104">
        <f t="shared" si="2"/>
        <v>3000</v>
      </c>
      <c r="W48" s="93">
        <v>3</v>
      </c>
      <c r="X48" s="93" t="s">
        <v>46</v>
      </c>
      <c r="Y48" s="93" t="s">
        <v>90</v>
      </c>
      <c r="Z48" s="93" t="s">
        <v>78</v>
      </c>
      <c r="AA48" s="93" t="s">
        <v>102</v>
      </c>
      <c r="AB48" s="93" t="s">
        <v>158</v>
      </c>
    </row>
    <row r="49" spans="1:28" x14ac:dyDescent="0.15">
      <c r="A49" s="93" t="s">
        <v>51</v>
      </c>
      <c r="B49" s="93" t="s">
        <v>157</v>
      </c>
      <c r="C49" s="93">
        <v>2019</v>
      </c>
      <c r="D49" s="101" t="s">
        <v>260</v>
      </c>
      <c r="E49" s="93" t="s">
        <v>268</v>
      </c>
      <c r="F49" s="93" t="s">
        <v>262</v>
      </c>
      <c r="G49" s="93" t="s">
        <v>36</v>
      </c>
      <c r="H49" s="93" t="s">
        <v>164</v>
      </c>
      <c r="I49" s="93" t="s">
        <v>159</v>
      </c>
      <c r="J49" s="93" t="s">
        <v>38</v>
      </c>
      <c r="K49" s="93" t="s">
        <v>161</v>
      </c>
      <c r="L49" s="93">
        <v>3</v>
      </c>
      <c r="N49" s="93">
        <v>1</v>
      </c>
      <c r="O49" s="93">
        <v>0.8</v>
      </c>
      <c r="P49" s="93">
        <v>0.65</v>
      </c>
      <c r="Q49" s="102">
        <f t="shared" si="0"/>
        <v>0.72500000000000009</v>
      </c>
      <c r="R49" s="93">
        <v>16.8</v>
      </c>
      <c r="S49" s="93">
        <v>108</v>
      </c>
      <c r="T49" s="103">
        <f t="shared" si="1"/>
        <v>33</v>
      </c>
      <c r="U49" s="93">
        <v>100</v>
      </c>
      <c r="V49" s="104">
        <f t="shared" si="2"/>
        <v>3300</v>
      </c>
      <c r="W49" s="93">
        <v>3</v>
      </c>
      <c r="X49" s="93" t="s">
        <v>46</v>
      </c>
      <c r="Y49" s="93" t="s">
        <v>90</v>
      </c>
      <c r="Z49" s="93" t="s">
        <v>78</v>
      </c>
      <c r="AA49" s="93" t="s">
        <v>102</v>
      </c>
      <c r="AB49" s="93" t="s">
        <v>158</v>
      </c>
    </row>
    <row r="50" spans="1:28" x14ac:dyDescent="0.15">
      <c r="A50" s="93" t="s">
        <v>51</v>
      </c>
      <c r="B50" s="93" t="s">
        <v>157</v>
      </c>
      <c r="C50" s="93">
        <v>2019</v>
      </c>
      <c r="D50" s="101" t="s">
        <v>260</v>
      </c>
      <c r="E50" s="93" t="s">
        <v>268</v>
      </c>
      <c r="F50" s="93" t="s">
        <v>262</v>
      </c>
      <c r="G50" s="93" t="s">
        <v>36</v>
      </c>
      <c r="H50" s="93" t="s">
        <v>160</v>
      </c>
      <c r="I50" s="93" t="s">
        <v>159</v>
      </c>
      <c r="J50" s="93" t="s">
        <v>38</v>
      </c>
      <c r="K50" s="93" t="s">
        <v>161</v>
      </c>
      <c r="L50" s="93">
        <v>1</v>
      </c>
      <c r="N50" s="93">
        <v>1</v>
      </c>
      <c r="O50" s="93">
        <v>0.6</v>
      </c>
      <c r="P50" s="93">
        <v>0.6</v>
      </c>
      <c r="Q50" s="102">
        <f t="shared" si="0"/>
        <v>0.6</v>
      </c>
      <c r="R50" s="93">
        <v>17.600000000000001</v>
      </c>
      <c r="S50" s="93">
        <v>106</v>
      </c>
      <c r="T50" s="103">
        <f t="shared" si="1"/>
        <v>33</v>
      </c>
      <c r="U50" s="93">
        <v>138</v>
      </c>
      <c r="V50" s="104">
        <f t="shared" si="2"/>
        <v>4554</v>
      </c>
      <c r="W50" s="93">
        <v>3</v>
      </c>
      <c r="X50" s="93" t="s">
        <v>46</v>
      </c>
      <c r="Y50" s="93" t="s">
        <v>90</v>
      </c>
      <c r="Z50" s="93" t="s">
        <v>78</v>
      </c>
      <c r="AA50" s="93" t="s">
        <v>102</v>
      </c>
      <c r="AB50" s="93" t="s">
        <v>158</v>
      </c>
    </row>
    <row r="51" spans="1:28" x14ac:dyDescent="0.15">
      <c r="A51" s="93" t="s">
        <v>51</v>
      </c>
      <c r="B51" s="93" t="s">
        <v>157</v>
      </c>
      <c r="C51" s="93">
        <v>2019</v>
      </c>
      <c r="D51" s="101" t="s">
        <v>260</v>
      </c>
      <c r="E51" s="93" t="s">
        <v>268</v>
      </c>
      <c r="F51" s="93" t="s">
        <v>262</v>
      </c>
      <c r="G51" s="93" t="s">
        <v>36</v>
      </c>
      <c r="H51" s="93" t="s">
        <v>160</v>
      </c>
      <c r="I51" s="93" t="s">
        <v>159</v>
      </c>
      <c r="J51" s="93" t="s">
        <v>38</v>
      </c>
      <c r="K51" s="93" t="s">
        <v>161</v>
      </c>
      <c r="L51" s="93">
        <v>2</v>
      </c>
      <c r="N51" s="93">
        <v>1</v>
      </c>
      <c r="O51" s="93">
        <v>0.7</v>
      </c>
      <c r="P51" s="93">
        <v>0.65</v>
      </c>
      <c r="Q51" s="102">
        <f t="shared" si="0"/>
        <v>0.67500000000000004</v>
      </c>
      <c r="R51" s="93">
        <v>16.7</v>
      </c>
      <c r="S51" s="93">
        <v>106</v>
      </c>
      <c r="T51" s="103">
        <f t="shared" si="1"/>
        <v>33</v>
      </c>
      <c r="U51" s="93">
        <v>138</v>
      </c>
      <c r="V51" s="104">
        <f t="shared" si="2"/>
        <v>4554</v>
      </c>
      <c r="W51" s="93">
        <v>3</v>
      </c>
      <c r="X51" s="93" t="s">
        <v>46</v>
      </c>
      <c r="Y51" s="93" t="s">
        <v>90</v>
      </c>
      <c r="Z51" s="93" t="s">
        <v>78</v>
      </c>
      <c r="AA51" s="93" t="s">
        <v>102</v>
      </c>
      <c r="AB51" s="93" t="s">
        <v>158</v>
      </c>
    </row>
    <row r="52" spans="1:28" x14ac:dyDescent="0.15">
      <c r="A52" s="93" t="s">
        <v>51</v>
      </c>
      <c r="B52" s="93" t="s">
        <v>157</v>
      </c>
      <c r="C52" s="93">
        <v>2019</v>
      </c>
      <c r="D52" s="101" t="s">
        <v>260</v>
      </c>
      <c r="E52" s="93" t="s">
        <v>268</v>
      </c>
      <c r="F52" s="93" t="s">
        <v>262</v>
      </c>
      <c r="G52" s="93" t="s">
        <v>36</v>
      </c>
      <c r="H52" s="93" t="s">
        <v>160</v>
      </c>
      <c r="I52" s="93" t="s">
        <v>159</v>
      </c>
      <c r="J52" s="93" t="s">
        <v>38</v>
      </c>
      <c r="K52" s="93" t="s">
        <v>161</v>
      </c>
      <c r="L52" s="93">
        <v>3</v>
      </c>
      <c r="N52" s="93">
        <v>1</v>
      </c>
      <c r="O52" s="93">
        <v>0.75</v>
      </c>
      <c r="P52" s="93">
        <v>0.7</v>
      </c>
      <c r="Q52" s="102">
        <f t="shared" si="0"/>
        <v>0.72499999999999998</v>
      </c>
      <c r="R52" s="93">
        <v>17.5</v>
      </c>
      <c r="S52" s="93">
        <v>114</v>
      </c>
      <c r="T52" s="103">
        <f t="shared" si="1"/>
        <v>30</v>
      </c>
      <c r="U52" s="93">
        <v>138</v>
      </c>
      <c r="V52" s="104">
        <f t="shared" si="2"/>
        <v>4140</v>
      </c>
      <c r="W52" s="93">
        <v>3</v>
      </c>
      <c r="X52" s="93" t="s">
        <v>46</v>
      </c>
      <c r="Y52" s="93" t="s">
        <v>90</v>
      </c>
      <c r="Z52" s="93" t="s">
        <v>78</v>
      </c>
      <c r="AA52" s="93" t="s">
        <v>102</v>
      </c>
      <c r="AB52" s="93" t="s">
        <v>158</v>
      </c>
    </row>
    <row r="53" spans="1:28" x14ac:dyDescent="0.15">
      <c r="A53" s="93" t="s">
        <v>51</v>
      </c>
      <c r="B53" s="93" t="s">
        <v>157</v>
      </c>
      <c r="C53" s="93">
        <v>2019</v>
      </c>
      <c r="D53" s="101" t="s">
        <v>260</v>
      </c>
      <c r="E53" s="93" t="s">
        <v>272</v>
      </c>
      <c r="F53" s="93" t="s">
        <v>273</v>
      </c>
      <c r="G53" s="93" t="s">
        <v>36</v>
      </c>
      <c r="H53" s="93" t="s">
        <v>164</v>
      </c>
      <c r="I53" s="93" t="s">
        <v>159</v>
      </c>
      <c r="J53" s="93" t="s">
        <v>38</v>
      </c>
      <c r="K53" s="93" t="s">
        <v>161</v>
      </c>
      <c r="L53" s="93">
        <v>1</v>
      </c>
      <c r="N53" s="93">
        <v>1</v>
      </c>
      <c r="O53" s="93">
        <v>0.7</v>
      </c>
      <c r="P53" s="93">
        <v>0.7</v>
      </c>
      <c r="Q53" s="102">
        <f t="shared" si="0"/>
        <v>0.7</v>
      </c>
      <c r="R53" s="93">
        <v>13.8</v>
      </c>
      <c r="S53" s="93">
        <v>146</v>
      </c>
      <c r="T53" s="103">
        <f t="shared" si="1"/>
        <v>22</v>
      </c>
      <c r="U53" s="93">
        <v>128</v>
      </c>
      <c r="V53" s="104">
        <f t="shared" si="2"/>
        <v>2816</v>
      </c>
      <c r="W53" s="93">
        <v>6</v>
      </c>
      <c r="X53" s="93" t="s">
        <v>46</v>
      </c>
      <c r="Y53" s="93" t="s">
        <v>78</v>
      </c>
      <c r="Z53" s="93" t="s">
        <v>102</v>
      </c>
      <c r="AA53" s="93" t="s">
        <v>69</v>
      </c>
      <c r="AB53" s="93" t="s">
        <v>158</v>
      </c>
    </row>
    <row r="54" spans="1:28" x14ac:dyDescent="0.15">
      <c r="A54" s="93" t="s">
        <v>51</v>
      </c>
      <c r="B54" s="93" t="s">
        <v>157</v>
      </c>
      <c r="C54" s="93">
        <v>2019</v>
      </c>
      <c r="D54" s="101" t="s">
        <v>260</v>
      </c>
      <c r="E54" s="93" t="s">
        <v>272</v>
      </c>
      <c r="F54" s="93" t="s">
        <v>273</v>
      </c>
      <c r="G54" s="93" t="s">
        <v>36</v>
      </c>
      <c r="H54" s="93" t="s">
        <v>164</v>
      </c>
      <c r="I54" s="93" t="s">
        <v>159</v>
      </c>
      <c r="J54" s="93" t="s">
        <v>38</v>
      </c>
      <c r="K54" s="93" t="s">
        <v>161</v>
      </c>
      <c r="L54" s="93">
        <v>2</v>
      </c>
      <c r="N54" s="93">
        <v>1</v>
      </c>
      <c r="O54" s="93">
        <v>0.75</v>
      </c>
      <c r="P54" s="93">
        <v>0.8</v>
      </c>
      <c r="Q54" s="102">
        <f t="shared" si="0"/>
        <v>0.77500000000000002</v>
      </c>
      <c r="R54" s="93">
        <v>12.6</v>
      </c>
      <c r="S54" s="93">
        <v>144</v>
      </c>
      <c r="T54" s="103">
        <f t="shared" si="1"/>
        <v>22</v>
      </c>
      <c r="U54" s="93">
        <v>128</v>
      </c>
      <c r="V54" s="104">
        <f t="shared" si="2"/>
        <v>2816</v>
      </c>
      <c r="W54" s="93">
        <v>6</v>
      </c>
      <c r="X54" s="93" t="s">
        <v>46</v>
      </c>
      <c r="Y54" s="93" t="s">
        <v>78</v>
      </c>
      <c r="Z54" s="93" t="s">
        <v>102</v>
      </c>
      <c r="AA54" s="93" t="s">
        <v>69</v>
      </c>
      <c r="AB54" s="93" t="s">
        <v>158</v>
      </c>
    </row>
    <row r="55" spans="1:28" x14ac:dyDescent="0.15">
      <c r="A55" s="93" t="s">
        <v>51</v>
      </c>
      <c r="B55" s="93" t="s">
        <v>157</v>
      </c>
      <c r="C55" s="93">
        <v>2019</v>
      </c>
      <c r="D55" s="101" t="s">
        <v>260</v>
      </c>
      <c r="E55" s="93" t="s">
        <v>272</v>
      </c>
      <c r="F55" s="93" t="s">
        <v>273</v>
      </c>
      <c r="G55" s="93" t="s">
        <v>36</v>
      </c>
      <c r="H55" s="93" t="s">
        <v>164</v>
      </c>
      <c r="I55" s="93" t="s">
        <v>159</v>
      </c>
      <c r="J55" s="93" t="s">
        <v>38</v>
      </c>
      <c r="K55" s="93" t="s">
        <v>161</v>
      </c>
      <c r="L55" s="93">
        <v>3</v>
      </c>
      <c r="N55" s="93">
        <v>1</v>
      </c>
      <c r="O55" s="93">
        <v>0.7</v>
      </c>
      <c r="P55" s="93">
        <v>0.65</v>
      </c>
      <c r="Q55" s="102">
        <f t="shared" si="0"/>
        <v>0.67500000000000004</v>
      </c>
      <c r="R55" s="93">
        <v>14.4</v>
      </c>
      <c r="S55" s="93">
        <v>146</v>
      </c>
      <c r="T55" s="103">
        <f t="shared" si="1"/>
        <v>22</v>
      </c>
      <c r="U55" s="93">
        <v>128</v>
      </c>
      <c r="V55" s="104">
        <f t="shared" si="2"/>
        <v>2816</v>
      </c>
      <c r="W55" s="93">
        <v>6</v>
      </c>
      <c r="X55" s="93" t="s">
        <v>46</v>
      </c>
      <c r="Y55" s="93" t="s">
        <v>78</v>
      </c>
      <c r="Z55" s="93" t="s">
        <v>102</v>
      </c>
      <c r="AA55" s="93" t="s">
        <v>69</v>
      </c>
      <c r="AB55" s="93" t="s">
        <v>158</v>
      </c>
    </row>
    <row r="56" spans="1:28" x14ac:dyDescent="0.15">
      <c r="A56" s="93" t="s">
        <v>51</v>
      </c>
      <c r="B56" s="93" t="s">
        <v>157</v>
      </c>
      <c r="C56" s="93">
        <v>2019</v>
      </c>
      <c r="D56" s="101" t="s">
        <v>260</v>
      </c>
      <c r="E56" s="93" t="s">
        <v>272</v>
      </c>
      <c r="F56" s="93" t="s">
        <v>273</v>
      </c>
      <c r="G56" s="93" t="s">
        <v>36</v>
      </c>
      <c r="H56" s="93" t="s">
        <v>160</v>
      </c>
      <c r="I56" s="93" t="s">
        <v>159</v>
      </c>
      <c r="J56" s="93" t="s">
        <v>38</v>
      </c>
      <c r="K56" s="93" t="s">
        <v>161</v>
      </c>
      <c r="L56" s="93">
        <v>1</v>
      </c>
      <c r="N56" s="93">
        <v>1</v>
      </c>
      <c r="O56" s="93">
        <v>0.7</v>
      </c>
      <c r="P56" s="93">
        <v>0.75</v>
      </c>
      <c r="Q56" s="102">
        <f t="shared" si="0"/>
        <v>0.72499999999999998</v>
      </c>
      <c r="R56" s="93">
        <v>15.9</v>
      </c>
      <c r="S56" s="93">
        <v>146</v>
      </c>
      <c r="T56" s="103">
        <f t="shared" si="1"/>
        <v>22</v>
      </c>
      <c r="U56" s="93">
        <v>128</v>
      </c>
      <c r="V56" s="104">
        <f t="shared" si="2"/>
        <v>2816</v>
      </c>
      <c r="W56" s="93">
        <v>6</v>
      </c>
      <c r="X56" s="93" t="s">
        <v>46</v>
      </c>
      <c r="Y56" s="93" t="s">
        <v>78</v>
      </c>
      <c r="Z56" s="93" t="s">
        <v>102</v>
      </c>
      <c r="AA56" s="93" t="s">
        <v>69</v>
      </c>
      <c r="AB56" s="93" t="s">
        <v>158</v>
      </c>
    </row>
    <row r="57" spans="1:28" x14ac:dyDescent="0.15">
      <c r="A57" s="93" t="s">
        <v>51</v>
      </c>
      <c r="B57" s="93" t="s">
        <v>157</v>
      </c>
      <c r="C57" s="93">
        <v>2019</v>
      </c>
      <c r="D57" s="101" t="s">
        <v>260</v>
      </c>
      <c r="E57" s="93" t="s">
        <v>272</v>
      </c>
      <c r="F57" s="93" t="s">
        <v>273</v>
      </c>
      <c r="G57" s="93" t="s">
        <v>36</v>
      </c>
      <c r="H57" s="93" t="s">
        <v>160</v>
      </c>
      <c r="I57" s="93" t="s">
        <v>159</v>
      </c>
      <c r="J57" s="93" t="s">
        <v>38</v>
      </c>
      <c r="K57" s="93" t="s">
        <v>161</v>
      </c>
      <c r="L57" s="93">
        <v>2</v>
      </c>
      <c r="N57" s="93">
        <v>1</v>
      </c>
      <c r="O57" s="93">
        <v>0.65</v>
      </c>
      <c r="P57" s="93">
        <v>0.65</v>
      </c>
      <c r="Q57" s="102">
        <f t="shared" si="0"/>
        <v>0.65</v>
      </c>
      <c r="R57" s="93">
        <v>16.3</v>
      </c>
      <c r="S57" s="93">
        <v>146</v>
      </c>
      <c r="T57" s="103">
        <f t="shared" si="1"/>
        <v>22</v>
      </c>
      <c r="U57" s="93">
        <v>128</v>
      </c>
      <c r="V57" s="104">
        <f t="shared" si="2"/>
        <v>2816</v>
      </c>
      <c r="W57" s="93">
        <v>6</v>
      </c>
      <c r="X57" s="93" t="s">
        <v>46</v>
      </c>
      <c r="Y57" s="93" t="s">
        <v>78</v>
      </c>
      <c r="Z57" s="93" t="s">
        <v>102</v>
      </c>
      <c r="AA57" s="93" t="s">
        <v>69</v>
      </c>
      <c r="AB57" s="93" t="s">
        <v>158</v>
      </c>
    </row>
    <row r="58" spans="1:28" x14ac:dyDescent="0.15">
      <c r="A58" s="93" t="s">
        <v>51</v>
      </c>
      <c r="B58" s="93" t="s">
        <v>157</v>
      </c>
      <c r="C58" s="93">
        <v>2019</v>
      </c>
      <c r="D58" s="101" t="s">
        <v>260</v>
      </c>
      <c r="E58" s="93" t="s">
        <v>272</v>
      </c>
      <c r="F58" s="93" t="s">
        <v>273</v>
      </c>
      <c r="G58" s="93" t="s">
        <v>36</v>
      </c>
      <c r="H58" s="93" t="s">
        <v>160</v>
      </c>
      <c r="I58" s="93" t="s">
        <v>159</v>
      </c>
      <c r="J58" s="93" t="s">
        <v>38</v>
      </c>
      <c r="K58" s="93" t="s">
        <v>161</v>
      </c>
      <c r="L58" s="93">
        <v>3</v>
      </c>
      <c r="N58" s="93">
        <v>1</v>
      </c>
      <c r="O58" s="93">
        <v>0.55000000000000004</v>
      </c>
      <c r="P58" s="93">
        <v>0.6</v>
      </c>
      <c r="Q58" s="102">
        <f t="shared" si="0"/>
        <v>0.57499999999999996</v>
      </c>
      <c r="R58" s="93">
        <v>16.100000000000001</v>
      </c>
      <c r="S58" s="93">
        <v>140</v>
      </c>
      <c r="T58" s="103">
        <f t="shared" si="1"/>
        <v>22</v>
      </c>
      <c r="U58" s="93">
        <v>128</v>
      </c>
      <c r="V58" s="104">
        <f t="shared" si="2"/>
        <v>2816</v>
      </c>
      <c r="W58" s="93">
        <v>6</v>
      </c>
      <c r="X58" s="93" t="s">
        <v>46</v>
      </c>
      <c r="Y58" s="93" t="s">
        <v>78</v>
      </c>
      <c r="Z58" s="93" t="s">
        <v>102</v>
      </c>
      <c r="AA58" s="93" t="s">
        <v>69</v>
      </c>
      <c r="AB58" s="93" t="s">
        <v>158</v>
      </c>
    </row>
    <row r="59" spans="1:28" x14ac:dyDescent="0.15">
      <c r="A59" s="93" t="s">
        <v>51</v>
      </c>
      <c r="B59" s="93" t="s">
        <v>157</v>
      </c>
      <c r="C59" s="93">
        <v>2019</v>
      </c>
      <c r="D59" s="101" t="s">
        <v>260</v>
      </c>
      <c r="E59" s="93" t="s">
        <v>274</v>
      </c>
      <c r="F59" s="93" t="s">
        <v>262</v>
      </c>
      <c r="G59" s="93" t="s">
        <v>42</v>
      </c>
      <c r="H59" s="93" t="s">
        <v>164</v>
      </c>
      <c r="I59" s="93" t="s">
        <v>159</v>
      </c>
      <c r="J59" s="93" t="s">
        <v>38</v>
      </c>
      <c r="K59" s="93" t="s">
        <v>161</v>
      </c>
      <c r="L59" s="93">
        <v>1</v>
      </c>
      <c r="N59" s="93">
        <v>1</v>
      </c>
      <c r="O59" s="93">
        <v>0.7</v>
      </c>
      <c r="P59" s="93">
        <v>0.7</v>
      </c>
      <c r="Q59" s="102">
        <f t="shared" si="0"/>
        <v>0.7</v>
      </c>
      <c r="R59" s="93">
        <v>14.5</v>
      </c>
      <c r="S59" s="93">
        <v>120</v>
      </c>
      <c r="T59" s="103">
        <f t="shared" si="1"/>
        <v>30</v>
      </c>
      <c r="U59" s="93">
        <v>98</v>
      </c>
      <c r="V59" s="104">
        <f t="shared" si="2"/>
        <v>2940</v>
      </c>
      <c r="W59" s="93">
        <v>6</v>
      </c>
      <c r="X59" s="93" t="s">
        <v>46</v>
      </c>
      <c r="Y59" s="93" t="s">
        <v>69</v>
      </c>
      <c r="Z59" s="93" t="s">
        <v>102</v>
      </c>
      <c r="AA59" s="93" t="s">
        <v>78</v>
      </c>
      <c r="AB59" s="93" t="s">
        <v>158</v>
      </c>
    </row>
    <row r="60" spans="1:28" x14ac:dyDescent="0.15">
      <c r="A60" s="93" t="s">
        <v>51</v>
      </c>
      <c r="B60" s="93" t="s">
        <v>157</v>
      </c>
      <c r="C60" s="93">
        <v>2019</v>
      </c>
      <c r="D60" s="101" t="s">
        <v>260</v>
      </c>
      <c r="E60" s="93" t="s">
        <v>274</v>
      </c>
      <c r="F60" s="93" t="s">
        <v>262</v>
      </c>
      <c r="G60" s="93" t="s">
        <v>42</v>
      </c>
      <c r="H60" s="93" t="s">
        <v>164</v>
      </c>
      <c r="I60" s="93" t="s">
        <v>159</v>
      </c>
      <c r="J60" s="93" t="s">
        <v>38</v>
      </c>
      <c r="K60" s="93" t="s">
        <v>161</v>
      </c>
      <c r="L60" s="93">
        <v>2</v>
      </c>
      <c r="N60" s="93">
        <v>1</v>
      </c>
      <c r="O60" s="93">
        <v>0.6</v>
      </c>
      <c r="P60" s="93">
        <v>0.75</v>
      </c>
      <c r="Q60" s="102">
        <f t="shared" si="0"/>
        <v>0.67500000000000004</v>
      </c>
      <c r="R60" s="93">
        <v>14.9</v>
      </c>
      <c r="S60" s="93">
        <v>126</v>
      </c>
      <c r="T60" s="103">
        <f t="shared" si="1"/>
        <v>27</v>
      </c>
      <c r="U60" s="93">
        <v>98</v>
      </c>
      <c r="V60" s="104">
        <f t="shared" si="2"/>
        <v>2646</v>
      </c>
      <c r="W60" s="93">
        <v>6</v>
      </c>
      <c r="X60" s="93" t="s">
        <v>46</v>
      </c>
      <c r="Y60" s="93" t="s">
        <v>69</v>
      </c>
      <c r="Z60" s="93" t="s">
        <v>102</v>
      </c>
      <c r="AA60" s="93" t="s">
        <v>78</v>
      </c>
      <c r="AB60" s="93" t="s">
        <v>158</v>
      </c>
    </row>
    <row r="61" spans="1:28" x14ac:dyDescent="0.15">
      <c r="A61" s="93" t="s">
        <v>51</v>
      </c>
      <c r="B61" s="93" t="s">
        <v>157</v>
      </c>
      <c r="C61" s="93">
        <v>2019</v>
      </c>
      <c r="D61" s="101" t="s">
        <v>260</v>
      </c>
      <c r="E61" s="93" t="s">
        <v>274</v>
      </c>
      <c r="F61" s="93" t="s">
        <v>262</v>
      </c>
      <c r="G61" s="93" t="s">
        <v>42</v>
      </c>
      <c r="H61" s="93" t="s">
        <v>164</v>
      </c>
      <c r="I61" s="93" t="s">
        <v>159</v>
      </c>
      <c r="J61" s="93" t="s">
        <v>38</v>
      </c>
      <c r="K61" s="93" t="s">
        <v>161</v>
      </c>
      <c r="L61" s="93">
        <v>3</v>
      </c>
      <c r="N61" s="93">
        <v>1</v>
      </c>
      <c r="O61" s="93">
        <v>0.65</v>
      </c>
      <c r="P61" s="93">
        <v>0.6</v>
      </c>
      <c r="Q61" s="102">
        <f t="shared" si="0"/>
        <v>0.625</v>
      </c>
      <c r="R61" s="93">
        <v>15.1</v>
      </c>
      <c r="S61" s="93">
        <v>120</v>
      </c>
      <c r="T61" s="103">
        <f t="shared" si="1"/>
        <v>30</v>
      </c>
      <c r="U61" s="93">
        <v>98</v>
      </c>
      <c r="V61" s="104">
        <f t="shared" si="2"/>
        <v>2940</v>
      </c>
      <c r="W61" s="93">
        <v>6</v>
      </c>
      <c r="X61" s="93" t="s">
        <v>46</v>
      </c>
      <c r="Y61" s="93" t="s">
        <v>69</v>
      </c>
      <c r="Z61" s="93" t="s">
        <v>102</v>
      </c>
      <c r="AA61" s="93" t="s">
        <v>78</v>
      </c>
      <c r="AB61" s="93" t="s">
        <v>158</v>
      </c>
    </row>
    <row r="62" spans="1:28" x14ac:dyDescent="0.15">
      <c r="A62" s="93" t="s">
        <v>51</v>
      </c>
      <c r="B62" s="93" t="s">
        <v>157</v>
      </c>
      <c r="C62" s="93">
        <v>2019</v>
      </c>
      <c r="D62" s="101" t="s">
        <v>260</v>
      </c>
      <c r="E62" s="93" t="s">
        <v>274</v>
      </c>
      <c r="F62" s="93" t="s">
        <v>262</v>
      </c>
      <c r="G62" s="93" t="s">
        <v>42</v>
      </c>
      <c r="H62" s="93" t="s">
        <v>160</v>
      </c>
      <c r="I62" s="93" t="s">
        <v>159</v>
      </c>
      <c r="J62" s="93" t="s">
        <v>38</v>
      </c>
      <c r="K62" s="93" t="s">
        <v>161</v>
      </c>
      <c r="L62" s="93">
        <v>1</v>
      </c>
      <c r="N62" s="93">
        <v>1</v>
      </c>
      <c r="O62" s="93">
        <v>0.5</v>
      </c>
      <c r="P62" s="93">
        <v>0.5</v>
      </c>
      <c r="Q62" s="102">
        <f t="shared" si="0"/>
        <v>0.5</v>
      </c>
      <c r="R62" s="93">
        <v>17.100000000000001</v>
      </c>
      <c r="S62" s="93">
        <v>124</v>
      </c>
      <c r="T62" s="103">
        <f t="shared" si="1"/>
        <v>27</v>
      </c>
      <c r="U62" s="93">
        <v>128</v>
      </c>
      <c r="V62" s="104">
        <f t="shared" si="2"/>
        <v>3456</v>
      </c>
      <c r="W62" s="93">
        <v>6</v>
      </c>
      <c r="X62" s="93" t="s">
        <v>46</v>
      </c>
      <c r="Y62" s="93" t="s">
        <v>69</v>
      </c>
      <c r="Z62" s="93" t="s">
        <v>102</v>
      </c>
      <c r="AA62" s="93" t="s">
        <v>78</v>
      </c>
      <c r="AB62" s="93" t="s">
        <v>158</v>
      </c>
    </row>
    <row r="63" spans="1:28" x14ac:dyDescent="0.15">
      <c r="A63" s="93" t="s">
        <v>51</v>
      </c>
      <c r="B63" s="93" t="s">
        <v>157</v>
      </c>
      <c r="C63" s="93">
        <v>2019</v>
      </c>
      <c r="D63" s="101" t="s">
        <v>260</v>
      </c>
      <c r="E63" s="93" t="s">
        <v>274</v>
      </c>
      <c r="F63" s="93" t="s">
        <v>262</v>
      </c>
      <c r="G63" s="93" t="s">
        <v>42</v>
      </c>
      <c r="H63" s="93" t="s">
        <v>160</v>
      </c>
      <c r="I63" s="93" t="s">
        <v>159</v>
      </c>
      <c r="J63" s="93" t="s">
        <v>38</v>
      </c>
      <c r="K63" s="93" t="s">
        <v>161</v>
      </c>
      <c r="L63" s="93">
        <v>2</v>
      </c>
      <c r="N63" s="93">
        <v>1</v>
      </c>
      <c r="O63" s="93">
        <v>0.75</v>
      </c>
      <c r="P63" s="93">
        <v>0.7</v>
      </c>
      <c r="Q63" s="102">
        <f t="shared" si="0"/>
        <v>0.72499999999999998</v>
      </c>
      <c r="R63" s="93">
        <v>17.3</v>
      </c>
      <c r="S63" s="93">
        <v>126</v>
      </c>
      <c r="T63" s="103">
        <f t="shared" si="1"/>
        <v>27</v>
      </c>
      <c r="U63" s="93">
        <v>128</v>
      </c>
      <c r="V63" s="104">
        <f t="shared" si="2"/>
        <v>3456</v>
      </c>
      <c r="W63" s="93">
        <v>6</v>
      </c>
      <c r="X63" s="93" t="s">
        <v>46</v>
      </c>
      <c r="Y63" s="93" t="s">
        <v>69</v>
      </c>
      <c r="Z63" s="93" t="s">
        <v>102</v>
      </c>
      <c r="AA63" s="93" t="s">
        <v>78</v>
      </c>
      <c r="AB63" s="93" t="s">
        <v>158</v>
      </c>
    </row>
    <row r="64" spans="1:28" x14ac:dyDescent="0.15">
      <c r="A64" s="93" t="s">
        <v>51</v>
      </c>
      <c r="B64" s="93" t="s">
        <v>157</v>
      </c>
      <c r="C64" s="93">
        <v>2019</v>
      </c>
      <c r="D64" s="101" t="s">
        <v>260</v>
      </c>
      <c r="E64" s="93" t="s">
        <v>274</v>
      </c>
      <c r="F64" s="93" t="s">
        <v>262</v>
      </c>
      <c r="G64" s="93" t="s">
        <v>42</v>
      </c>
      <c r="H64" s="93" t="s">
        <v>160</v>
      </c>
      <c r="I64" s="93" t="s">
        <v>159</v>
      </c>
      <c r="J64" s="93" t="s">
        <v>38</v>
      </c>
      <c r="K64" s="93" t="s">
        <v>161</v>
      </c>
      <c r="L64" s="93">
        <v>3</v>
      </c>
      <c r="N64" s="93">
        <v>1</v>
      </c>
      <c r="O64" s="93">
        <v>0.65</v>
      </c>
      <c r="P64" s="93">
        <v>0.7</v>
      </c>
      <c r="Q64" s="102">
        <f t="shared" si="0"/>
        <v>0.67500000000000004</v>
      </c>
      <c r="R64" s="93">
        <v>16.600000000000001</v>
      </c>
      <c r="S64" s="93">
        <v>124</v>
      </c>
      <c r="T64" s="103">
        <f t="shared" si="1"/>
        <v>27</v>
      </c>
      <c r="U64" s="93">
        <v>128</v>
      </c>
      <c r="V64" s="104">
        <f t="shared" si="2"/>
        <v>3456</v>
      </c>
      <c r="W64" s="93">
        <v>6</v>
      </c>
      <c r="X64" s="93" t="s">
        <v>46</v>
      </c>
      <c r="Y64" s="93" t="s">
        <v>69</v>
      </c>
      <c r="Z64" s="93" t="s">
        <v>102</v>
      </c>
      <c r="AA64" s="93" t="s">
        <v>78</v>
      </c>
      <c r="AB64" s="93" t="s">
        <v>158</v>
      </c>
    </row>
    <row r="65" spans="4:22" x14ac:dyDescent="0.15">
      <c r="D65" s="101"/>
      <c r="Q65" s="103" t="str">
        <f t="shared" si="0"/>
        <v/>
      </c>
      <c r="T65" s="103" t="str">
        <f t="shared" si="1"/>
        <v/>
      </c>
      <c r="V65" s="103" t="str">
        <f t="shared" si="2"/>
        <v/>
      </c>
    </row>
    <row r="66" spans="4:22" x14ac:dyDescent="0.15">
      <c r="D66" s="101"/>
      <c r="Q66" s="103" t="str">
        <f t="shared" ref="Q66:Q85" si="3">IF(OR(O66="",P66=""),"",AVERAGE(O66,P66))</f>
        <v/>
      </c>
      <c r="T66" s="103" t="str">
        <f t="shared" ref="T66:T85" si="4">IF(H66="","",IF(OR(H66="GREEN",H66="GK"),IF(S66&gt;=$AX$2,VLOOKUP(S66,$AX$2:$AY$12,2,1),""),IF(S66&gt;=$AZ$2,VLOOKUP(S66,$AZ$2:$BA$12,2,1),"")))</f>
        <v/>
      </c>
      <c r="V66" s="103" t="str">
        <f t="shared" ref="V66:V85" si="5">IF(OR(N66="",U66="",T66=""),"",U66/N66*T66)</f>
        <v/>
      </c>
    </row>
    <row r="67" spans="4:22" x14ac:dyDescent="0.15">
      <c r="D67" s="101"/>
      <c r="Q67" s="103" t="str">
        <f t="shared" si="3"/>
        <v/>
      </c>
      <c r="T67" s="103" t="str">
        <f t="shared" si="4"/>
        <v/>
      </c>
      <c r="V67" s="103" t="str">
        <f t="shared" si="5"/>
        <v/>
      </c>
    </row>
    <row r="68" spans="4:22" x14ac:dyDescent="0.15">
      <c r="D68" s="101"/>
      <c r="Q68" s="103" t="str">
        <f t="shared" si="3"/>
        <v/>
      </c>
      <c r="T68" s="103" t="str">
        <f t="shared" si="4"/>
        <v/>
      </c>
      <c r="V68" s="103" t="str">
        <f t="shared" si="5"/>
        <v/>
      </c>
    </row>
    <row r="69" spans="4:22" x14ac:dyDescent="0.15">
      <c r="D69" s="101"/>
      <c r="Q69" s="103" t="str">
        <f t="shared" si="3"/>
        <v/>
      </c>
      <c r="T69" s="103" t="str">
        <f t="shared" si="4"/>
        <v/>
      </c>
      <c r="V69" s="103" t="str">
        <f t="shared" si="5"/>
        <v/>
      </c>
    </row>
    <row r="70" spans="4:22" x14ac:dyDescent="0.15">
      <c r="D70" s="101"/>
      <c r="Q70" s="103" t="str">
        <f t="shared" si="3"/>
        <v/>
      </c>
      <c r="T70" s="103" t="str">
        <f t="shared" si="4"/>
        <v/>
      </c>
      <c r="V70" s="103" t="str">
        <f t="shared" si="5"/>
        <v/>
      </c>
    </row>
    <row r="71" spans="4:22" x14ac:dyDescent="0.15">
      <c r="D71" s="101"/>
      <c r="Q71" s="103" t="str">
        <f t="shared" si="3"/>
        <v/>
      </c>
      <c r="T71" s="103" t="str">
        <f t="shared" si="4"/>
        <v/>
      </c>
      <c r="V71" s="103" t="str">
        <f t="shared" si="5"/>
        <v/>
      </c>
    </row>
    <row r="72" spans="4:22" x14ac:dyDescent="0.15">
      <c r="D72" s="101"/>
      <c r="Q72" s="103" t="str">
        <f t="shared" si="3"/>
        <v/>
      </c>
      <c r="T72" s="103" t="str">
        <f t="shared" si="4"/>
        <v/>
      </c>
      <c r="V72" s="103" t="str">
        <f t="shared" si="5"/>
        <v/>
      </c>
    </row>
    <row r="73" spans="4:22" x14ac:dyDescent="0.15">
      <c r="D73" s="101"/>
      <c r="Q73" s="103" t="str">
        <f t="shared" si="3"/>
        <v/>
      </c>
      <c r="T73" s="103" t="str">
        <f t="shared" si="4"/>
        <v/>
      </c>
      <c r="V73" s="103" t="str">
        <f t="shared" si="5"/>
        <v/>
      </c>
    </row>
    <row r="74" spans="4:22" x14ac:dyDescent="0.15">
      <c r="D74" s="101"/>
      <c r="Q74" s="103" t="str">
        <f t="shared" si="3"/>
        <v/>
      </c>
      <c r="T74" s="103" t="str">
        <f t="shared" si="4"/>
        <v/>
      </c>
      <c r="V74" s="103" t="str">
        <f t="shared" si="5"/>
        <v/>
      </c>
    </row>
    <row r="75" spans="4:22" x14ac:dyDescent="0.15">
      <c r="D75" s="101"/>
      <c r="Q75" s="103" t="str">
        <f t="shared" si="3"/>
        <v/>
      </c>
      <c r="T75" s="103" t="str">
        <f t="shared" si="4"/>
        <v/>
      </c>
      <c r="V75" s="103" t="str">
        <f t="shared" si="5"/>
        <v/>
      </c>
    </row>
    <row r="76" spans="4:22" x14ac:dyDescent="0.15">
      <c r="D76" s="101"/>
      <c r="Q76" s="103" t="str">
        <f t="shared" si="3"/>
        <v/>
      </c>
      <c r="T76" s="103" t="str">
        <f t="shared" si="4"/>
        <v/>
      </c>
      <c r="V76" s="103" t="str">
        <f t="shared" si="5"/>
        <v/>
      </c>
    </row>
    <row r="77" spans="4:22" x14ac:dyDescent="0.15">
      <c r="D77" s="101"/>
      <c r="Q77" s="103" t="str">
        <f t="shared" si="3"/>
        <v/>
      </c>
      <c r="T77" s="103" t="str">
        <f t="shared" si="4"/>
        <v/>
      </c>
      <c r="V77" s="103" t="str">
        <f t="shared" si="5"/>
        <v/>
      </c>
    </row>
    <row r="78" spans="4:22" x14ac:dyDescent="0.15">
      <c r="D78" s="101"/>
      <c r="Q78" s="103" t="str">
        <f t="shared" si="3"/>
        <v/>
      </c>
      <c r="T78" s="103" t="str">
        <f t="shared" si="4"/>
        <v/>
      </c>
      <c r="V78" s="103" t="str">
        <f t="shared" si="5"/>
        <v/>
      </c>
    </row>
    <row r="79" spans="4:22" x14ac:dyDescent="0.15">
      <c r="D79" s="101"/>
      <c r="Q79" s="103" t="str">
        <f t="shared" si="3"/>
        <v/>
      </c>
      <c r="T79" s="103" t="str">
        <f t="shared" si="4"/>
        <v/>
      </c>
      <c r="V79" s="103" t="str">
        <f t="shared" si="5"/>
        <v/>
      </c>
    </row>
    <row r="80" spans="4:22" x14ac:dyDescent="0.15">
      <c r="D80" s="122"/>
      <c r="Q80" s="103" t="str">
        <f t="shared" si="3"/>
        <v/>
      </c>
      <c r="T80" s="103" t="str">
        <f t="shared" si="4"/>
        <v/>
      </c>
      <c r="V80" s="103" t="str">
        <f t="shared" si="5"/>
        <v/>
      </c>
    </row>
    <row r="81" spans="4:22" x14ac:dyDescent="0.15">
      <c r="D81" s="122"/>
      <c r="Q81" s="103" t="str">
        <f t="shared" si="3"/>
        <v/>
      </c>
      <c r="T81" s="103" t="str">
        <f t="shared" si="4"/>
        <v/>
      </c>
      <c r="V81" s="103" t="str">
        <f t="shared" si="5"/>
        <v/>
      </c>
    </row>
    <row r="82" spans="4:22" x14ac:dyDescent="0.15">
      <c r="D82" s="122"/>
      <c r="Q82" s="103" t="str">
        <f t="shared" si="3"/>
        <v/>
      </c>
      <c r="T82" s="103" t="str">
        <f t="shared" si="4"/>
        <v/>
      </c>
      <c r="V82" s="103" t="str">
        <f t="shared" si="5"/>
        <v/>
      </c>
    </row>
    <row r="83" spans="4:22" x14ac:dyDescent="0.15">
      <c r="D83" s="122"/>
      <c r="Q83" s="103" t="str">
        <f t="shared" si="3"/>
        <v/>
      </c>
      <c r="T83" s="103" t="str">
        <f t="shared" si="4"/>
        <v/>
      </c>
      <c r="V83" s="103" t="str">
        <f t="shared" si="5"/>
        <v/>
      </c>
    </row>
    <row r="84" spans="4:22" x14ac:dyDescent="0.15">
      <c r="D84" s="122"/>
      <c r="Q84" s="103" t="str">
        <f t="shared" si="3"/>
        <v/>
      </c>
      <c r="T84" s="103" t="str">
        <f t="shared" si="4"/>
        <v/>
      </c>
      <c r="V84" s="103" t="str">
        <f t="shared" si="5"/>
        <v/>
      </c>
    </row>
    <row r="85" spans="4:22" x14ac:dyDescent="0.15">
      <c r="D85" s="122"/>
      <c r="Q85" s="103" t="str">
        <f t="shared" si="3"/>
        <v/>
      </c>
      <c r="T85" s="103" t="str">
        <f t="shared" si="4"/>
        <v/>
      </c>
      <c r="V85" s="103" t="str">
        <f t="shared" si="5"/>
        <v/>
      </c>
    </row>
    <row r="86" spans="4:22" x14ac:dyDescent="0.15">
      <c r="D86" s="122"/>
    </row>
    <row r="87" spans="4:22" x14ac:dyDescent="0.15">
      <c r="D87" s="122"/>
    </row>
    <row r="88" spans="4:22" x14ac:dyDescent="0.15">
      <c r="D88" s="122"/>
    </row>
    <row r="89" spans="4:22" x14ac:dyDescent="0.15">
      <c r="D89" s="122"/>
    </row>
    <row r="90" spans="4:22" x14ac:dyDescent="0.15">
      <c r="D90" s="122"/>
    </row>
    <row r="91" spans="4:22" x14ac:dyDescent="0.15">
      <c r="D91" s="122"/>
    </row>
  </sheetData>
  <autoFilter ref="A1:BA85" xr:uid="{00000000-0009-0000-0000-000000000000}"/>
  <phoneticPr fontId="3"/>
  <dataValidations count="15">
    <dataValidation type="decimal" allowBlank="1" showInputMessage="1" showErrorMessage="1" error="硬度を正しく入力して下さい。" sqref="O2:P500" xr:uid="{B179403B-2358-4781-9E01-A39A6FD40421}">
      <formula1>0</formula1>
      <formula2>7</formula2>
    </dataValidation>
    <dataValidation type="list" allowBlank="1" showInputMessage="1" showErrorMessage="1" sqref="Y983042:AA983119 ADM983042:ADO983119 BHA983042:BHC983119 CKO983042:CKQ983119 DOC983042:DOE983119 ERQ983042:ERS983119 FVE983042:FVG983119 GYS983042:GYU983119 ICG983042:ICI983119 JFU983042:JFW983119 KJI983042:KJK983119 LMW983042:LMY983119 MQK983042:MQM983119 NTY983042:NUA983119 OXM983042:OXO983119 QBA983042:QBC983119 REO983042:REQ983119 SIC983042:SIE983119 TLQ983042:TLS983119 UPE983042:UPG983119 VSS983042:VSU983119 WWG983042:WWI983119 JU2:JW79 ANI2:ANK79 BQW2:BQY79 CUK2:CUM79 DXY2:DYA79 FBM2:FBO79 GFA2:GFC79 HIO2:HIQ79 IMC2:IME79 JPQ2:JPS79 KTE2:KTG79 LWS2:LWU79 NAG2:NAI79 ODU2:ODW79 PHI2:PHK79 QKW2:QKY79 ROK2:ROM79 SRY2:SSA79 TVM2:TVO79 UZA2:UZC79 WCO2:WCQ79 TQ2:TS79 AXE2:AXG79 CAS2:CAU79 DEG2:DEI79 EHU2:EHW79 FLI2:FLK79 GOW2:GOY79 HSK2:HSM79 IVY2:IWA79 JZM2:JZO79 LDA2:LDC79 MGO2:MGQ79 NKC2:NKE79 ONQ2:ONS79 PRE2:PRG79 QUS2:QUU79 RYG2:RYI79 TBU2:TBW79 UFI2:UFK79 VIW2:VIY79 WMK2:WMM79 ADM2:ADO79 BHA2:BHC79 CKO2:CKQ79 DOC2:DOE79 ERQ2:ERS79 FVE2:FVG79 GYS2:GYU79 ICG2:ICI79 JFU2:JFW79 KJI2:KJK79 LMW2:LMY79 MQK2:MQM79 NTY2:NUA79 OXM2:OXO79 QBA2:QBC79 REO2:REQ79 SIC2:SIE79 TLQ2:TLS79 UPE2:UPG79 VSS2:VSU79 WWG2:WWI79 Y65538:AA65615 ADM65538:ADO65615 BHA65538:BHC65615 CKO65538:CKQ65615 DOC65538:DOE65615 ERQ65538:ERS65615 FVE65538:FVG65615 GYS65538:GYU65615 ICG65538:ICI65615 JFU65538:JFW65615 KJI65538:KJK65615 LMW65538:LMY65615 MQK65538:MQM65615 NTY65538:NUA65615 OXM65538:OXO65615 QBA65538:QBC65615 REO65538:REQ65615 SIC65538:SIE65615 TLQ65538:TLS65615 UPE65538:UPG65615 VSS65538:VSU65615 WWG65538:WWI65615 JU65538:JW65615 ANI65538:ANK65615 BQW65538:BQY65615 CUK65538:CUM65615 DXY65538:DYA65615 FBM65538:FBO65615 GFA65538:GFC65615 HIO65538:HIQ65615 IMC65538:IME65615 JPQ65538:JPS65615 KTE65538:KTG65615 LWS65538:LWU65615 NAG65538:NAI65615 ODU65538:ODW65615 PHI65538:PHK65615 QKW65538:QKY65615 ROK65538:ROM65615 SRY65538:SSA65615 TVM65538:TVO65615 UZA65538:UZC65615 WCO65538:WCQ65615 TQ65538:TS65615 AXE65538:AXG65615 CAS65538:CAU65615 DEG65538:DEI65615 EHU65538:EHW65615 FLI65538:FLK65615 GOW65538:GOY65615 HSK65538:HSM65615 IVY65538:IWA65615 JZM65538:JZO65615 LDA65538:LDC65615 MGO65538:MGQ65615 NKC65538:NKE65615 ONQ65538:ONS65615 PRE65538:PRG65615 QUS65538:QUU65615 RYG65538:RYI65615 TBU65538:TBW65615 UFI65538:UFK65615 VIW65538:VIY65615 WMK65538:WMM65615 Y131074:AA131151 ADM131074:ADO131151 BHA131074:BHC131151 CKO131074:CKQ131151 DOC131074:DOE131151 ERQ131074:ERS131151 FVE131074:FVG131151 GYS131074:GYU131151 ICG131074:ICI131151 JFU131074:JFW131151 KJI131074:KJK131151 LMW131074:LMY131151 MQK131074:MQM131151 NTY131074:NUA131151 OXM131074:OXO131151 QBA131074:QBC131151 REO131074:REQ131151 SIC131074:SIE131151 TLQ131074:TLS131151 UPE131074:UPG131151 VSS131074:VSU131151 WWG131074:WWI131151 JU131074:JW131151 ANI131074:ANK131151 BQW131074:BQY131151 CUK131074:CUM131151 DXY131074:DYA131151 FBM131074:FBO131151 GFA131074:GFC131151 HIO131074:HIQ131151 IMC131074:IME131151 JPQ131074:JPS131151 KTE131074:KTG131151 LWS131074:LWU131151 NAG131074:NAI131151 ODU131074:ODW131151 PHI131074:PHK131151 QKW131074:QKY131151 ROK131074:ROM131151 SRY131074:SSA131151 TVM131074:TVO131151 UZA131074:UZC131151 WCO131074:WCQ131151 TQ131074:TS131151 AXE131074:AXG131151 CAS131074:CAU131151 DEG131074:DEI131151 EHU131074:EHW131151 FLI131074:FLK131151 GOW131074:GOY131151 HSK131074:HSM131151 IVY131074:IWA131151 JZM131074:JZO131151 LDA131074:LDC131151 MGO131074:MGQ131151 NKC131074:NKE131151 ONQ131074:ONS131151 PRE131074:PRG131151 QUS131074:QUU131151 RYG131074:RYI131151 TBU131074:TBW131151 UFI131074:UFK131151 VIW131074:VIY131151 WMK131074:WMM131151 Y196610:AA196687 ADM196610:ADO196687 BHA196610:BHC196687 CKO196610:CKQ196687 DOC196610:DOE196687 ERQ196610:ERS196687 FVE196610:FVG196687 GYS196610:GYU196687 ICG196610:ICI196687 JFU196610:JFW196687 KJI196610:KJK196687 LMW196610:LMY196687 MQK196610:MQM196687 NTY196610:NUA196687 OXM196610:OXO196687 QBA196610:QBC196687 REO196610:REQ196687 SIC196610:SIE196687 TLQ196610:TLS196687 UPE196610:UPG196687 VSS196610:VSU196687 WWG196610:WWI196687 JU196610:JW196687 ANI196610:ANK196687 BQW196610:BQY196687 CUK196610:CUM196687 DXY196610:DYA196687 FBM196610:FBO196687 GFA196610:GFC196687 HIO196610:HIQ196687 IMC196610:IME196687 JPQ196610:JPS196687 KTE196610:KTG196687 LWS196610:LWU196687 NAG196610:NAI196687 ODU196610:ODW196687 PHI196610:PHK196687 QKW196610:QKY196687 ROK196610:ROM196687 SRY196610:SSA196687 TVM196610:TVO196687 UZA196610:UZC196687 WCO196610:WCQ196687 TQ196610:TS196687 AXE196610:AXG196687 CAS196610:CAU196687 DEG196610:DEI196687 EHU196610:EHW196687 FLI196610:FLK196687 GOW196610:GOY196687 HSK196610:HSM196687 IVY196610:IWA196687 JZM196610:JZO196687 LDA196610:LDC196687 MGO196610:MGQ196687 NKC196610:NKE196687 ONQ196610:ONS196687 PRE196610:PRG196687 QUS196610:QUU196687 RYG196610:RYI196687 TBU196610:TBW196687 UFI196610:UFK196687 VIW196610:VIY196687 WMK196610:WMM196687 Y262146:AA262223 ADM262146:ADO262223 BHA262146:BHC262223 CKO262146:CKQ262223 DOC262146:DOE262223 ERQ262146:ERS262223 FVE262146:FVG262223 GYS262146:GYU262223 ICG262146:ICI262223 JFU262146:JFW262223 KJI262146:KJK262223 LMW262146:LMY262223 MQK262146:MQM262223 NTY262146:NUA262223 OXM262146:OXO262223 QBA262146:QBC262223 REO262146:REQ262223 SIC262146:SIE262223 TLQ262146:TLS262223 UPE262146:UPG262223 VSS262146:VSU262223 WWG262146:WWI262223 JU262146:JW262223 ANI262146:ANK262223 BQW262146:BQY262223 CUK262146:CUM262223 DXY262146:DYA262223 FBM262146:FBO262223 GFA262146:GFC262223 HIO262146:HIQ262223 IMC262146:IME262223 JPQ262146:JPS262223 KTE262146:KTG262223 LWS262146:LWU262223 NAG262146:NAI262223 ODU262146:ODW262223 PHI262146:PHK262223 QKW262146:QKY262223 ROK262146:ROM262223 SRY262146:SSA262223 TVM262146:TVO262223 UZA262146:UZC262223 WCO262146:WCQ262223 TQ262146:TS262223 AXE262146:AXG262223 CAS262146:CAU262223 DEG262146:DEI262223 EHU262146:EHW262223 FLI262146:FLK262223 GOW262146:GOY262223 HSK262146:HSM262223 IVY262146:IWA262223 JZM262146:JZO262223 LDA262146:LDC262223 MGO262146:MGQ262223 NKC262146:NKE262223 ONQ262146:ONS262223 PRE262146:PRG262223 QUS262146:QUU262223 RYG262146:RYI262223 TBU262146:TBW262223 UFI262146:UFK262223 VIW262146:VIY262223 WMK262146:WMM262223 Y327682:AA327759 ADM327682:ADO327759 BHA327682:BHC327759 CKO327682:CKQ327759 DOC327682:DOE327759 ERQ327682:ERS327759 FVE327682:FVG327759 GYS327682:GYU327759 ICG327682:ICI327759 JFU327682:JFW327759 KJI327682:KJK327759 LMW327682:LMY327759 MQK327682:MQM327759 NTY327682:NUA327759 OXM327682:OXO327759 QBA327682:QBC327759 REO327682:REQ327759 SIC327682:SIE327759 TLQ327682:TLS327759 UPE327682:UPG327759 VSS327682:VSU327759 WWG327682:WWI327759 JU327682:JW327759 ANI327682:ANK327759 BQW327682:BQY327759 CUK327682:CUM327759 DXY327682:DYA327759 FBM327682:FBO327759 GFA327682:GFC327759 HIO327682:HIQ327759 IMC327682:IME327759 JPQ327682:JPS327759 KTE327682:KTG327759 LWS327682:LWU327759 NAG327682:NAI327759 ODU327682:ODW327759 PHI327682:PHK327759 QKW327682:QKY327759 ROK327682:ROM327759 SRY327682:SSA327759 TVM327682:TVO327759 UZA327682:UZC327759 WCO327682:WCQ327759 TQ327682:TS327759 AXE327682:AXG327759 CAS327682:CAU327759 DEG327682:DEI327759 EHU327682:EHW327759 FLI327682:FLK327759 GOW327682:GOY327759 HSK327682:HSM327759 IVY327682:IWA327759 JZM327682:JZO327759 LDA327682:LDC327759 MGO327682:MGQ327759 NKC327682:NKE327759 ONQ327682:ONS327759 PRE327682:PRG327759 QUS327682:QUU327759 RYG327682:RYI327759 TBU327682:TBW327759 UFI327682:UFK327759 VIW327682:VIY327759 WMK327682:WMM327759 Y393218:AA393295 ADM393218:ADO393295 BHA393218:BHC393295 CKO393218:CKQ393295 DOC393218:DOE393295 ERQ393218:ERS393295 FVE393218:FVG393295 GYS393218:GYU393295 ICG393218:ICI393295 JFU393218:JFW393295 KJI393218:KJK393295 LMW393218:LMY393295 MQK393218:MQM393295 NTY393218:NUA393295 OXM393218:OXO393295 QBA393218:QBC393295 REO393218:REQ393295 SIC393218:SIE393295 TLQ393218:TLS393295 UPE393218:UPG393295 VSS393218:VSU393295 WWG393218:WWI393295 JU393218:JW393295 ANI393218:ANK393295 BQW393218:BQY393295 CUK393218:CUM393295 DXY393218:DYA393295 FBM393218:FBO393295 GFA393218:GFC393295 HIO393218:HIQ393295 IMC393218:IME393295 JPQ393218:JPS393295 KTE393218:KTG393295 LWS393218:LWU393295 NAG393218:NAI393295 ODU393218:ODW393295 PHI393218:PHK393295 QKW393218:QKY393295 ROK393218:ROM393295 SRY393218:SSA393295 TVM393218:TVO393295 UZA393218:UZC393295 WCO393218:WCQ393295 TQ393218:TS393295 AXE393218:AXG393295 CAS393218:CAU393295 DEG393218:DEI393295 EHU393218:EHW393295 FLI393218:FLK393295 GOW393218:GOY393295 HSK393218:HSM393295 IVY393218:IWA393295 JZM393218:JZO393295 LDA393218:LDC393295 MGO393218:MGQ393295 NKC393218:NKE393295 ONQ393218:ONS393295 PRE393218:PRG393295 QUS393218:QUU393295 RYG393218:RYI393295 TBU393218:TBW393295 UFI393218:UFK393295 VIW393218:VIY393295 WMK393218:WMM393295 Y458754:AA458831 ADM458754:ADO458831 BHA458754:BHC458831 CKO458754:CKQ458831 DOC458754:DOE458831 ERQ458754:ERS458831 FVE458754:FVG458831 GYS458754:GYU458831 ICG458754:ICI458831 JFU458754:JFW458831 KJI458754:KJK458831 LMW458754:LMY458831 MQK458754:MQM458831 NTY458754:NUA458831 OXM458754:OXO458831 QBA458754:QBC458831 REO458754:REQ458831 SIC458754:SIE458831 TLQ458754:TLS458831 UPE458754:UPG458831 VSS458754:VSU458831 WWG458754:WWI458831 JU458754:JW458831 ANI458754:ANK458831 BQW458754:BQY458831 CUK458754:CUM458831 DXY458754:DYA458831 FBM458754:FBO458831 GFA458754:GFC458831 HIO458754:HIQ458831 IMC458754:IME458831 JPQ458754:JPS458831 KTE458754:KTG458831 LWS458754:LWU458831 NAG458754:NAI458831 ODU458754:ODW458831 PHI458754:PHK458831 QKW458754:QKY458831 ROK458754:ROM458831 SRY458754:SSA458831 TVM458754:TVO458831 UZA458754:UZC458831 WCO458754:WCQ458831 TQ458754:TS458831 AXE458754:AXG458831 CAS458754:CAU458831 DEG458754:DEI458831 EHU458754:EHW458831 FLI458754:FLK458831 GOW458754:GOY458831 HSK458754:HSM458831 IVY458754:IWA458831 JZM458754:JZO458831 LDA458754:LDC458831 MGO458754:MGQ458831 NKC458754:NKE458831 ONQ458754:ONS458831 PRE458754:PRG458831 QUS458754:QUU458831 RYG458754:RYI458831 TBU458754:TBW458831 UFI458754:UFK458831 VIW458754:VIY458831 WMK458754:WMM458831 Y524290:AA524367 ADM524290:ADO524367 BHA524290:BHC524367 CKO524290:CKQ524367 DOC524290:DOE524367 ERQ524290:ERS524367 FVE524290:FVG524367 GYS524290:GYU524367 ICG524290:ICI524367 JFU524290:JFW524367 KJI524290:KJK524367 LMW524290:LMY524367 MQK524290:MQM524367 NTY524290:NUA524367 OXM524290:OXO524367 QBA524290:QBC524367 REO524290:REQ524367 SIC524290:SIE524367 TLQ524290:TLS524367 UPE524290:UPG524367 VSS524290:VSU524367 WWG524290:WWI524367 JU524290:JW524367 ANI524290:ANK524367 BQW524290:BQY524367 CUK524290:CUM524367 DXY524290:DYA524367 FBM524290:FBO524367 GFA524290:GFC524367 HIO524290:HIQ524367 IMC524290:IME524367 JPQ524290:JPS524367 KTE524290:KTG524367 LWS524290:LWU524367 NAG524290:NAI524367 ODU524290:ODW524367 PHI524290:PHK524367 QKW524290:QKY524367 ROK524290:ROM524367 SRY524290:SSA524367 TVM524290:TVO524367 UZA524290:UZC524367 WCO524290:WCQ524367 TQ524290:TS524367 AXE524290:AXG524367 CAS524290:CAU524367 DEG524290:DEI524367 EHU524290:EHW524367 FLI524290:FLK524367 GOW524290:GOY524367 HSK524290:HSM524367 IVY524290:IWA524367 JZM524290:JZO524367 LDA524290:LDC524367 MGO524290:MGQ524367 NKC524290:NKE524367 ONQ524290:ONS524367 PRE524290:PRG524367 QUS524290:QUU524367 RYG524290:RYI524367 TBU524290:TBW524367 UFI524290:UFK524367 VIW524290:VIY524367 WMK524290:WMM524367 Y589826:AA589903 ADM589826:ADO589903 BHA589826:BHC589903 CKO589826:CKQ589903 DOC589826:DOE589903 ERQ589826:ERS589903 FVE589826:FVG589903 GYS589826:GYU589903 ICG589826:ICI589903 JFU589826:JFW589903 KJI589826:KJK589903 LMW589826:LMY589903 MQK589826:MQM589903 NTY589826:NUA589903 OXM589826:OXO589903 QBA589826:QBC589903 REO589826:REQ589903 SIC589826:SIE589903 TLQ589826:TLS589903 UPE589826:UPG589903 VSS589826:VSU589903 WWG589826:WWI589903 JU589826:JW589903 ANI589826:ANK589903 BQW589826:BQY589903 CUK589826:CUM589903 DXY589826:DYA589903 FBM589826:FBO589903 GFA589826:GFC589903 HIO589826:HIQ589903 IMC589826:IME589903 JPQ589826:JPS589903 KTE589826:KTG589903 LWS589826:LWU589903 NAG589826:NAI589903 ODU589826:ODW589903 PHI589826:PHK589903 QKW589826:QKY589903 ROK589826:ROM589903 SRY589826:SSA589903 TVM589826:TVO589903 UZA589826:UZC589903 WCO589826:WCQ589903 TQ589826:TS589903 AXE589826:AXG589903 CAS589826:CAU589903 DEG589826:DEI589903 EHU589826:EHW589903 FLI589826:FLK589903 GOW589826:GOY589903 HSK589826:HSM589903 IVY589826:IWA589903 JZM589826:JZO589903 LDA589826:LDC589903 MGO589826:MGQ589903 NKC589826:NKE589903 ONQ589826:ONS589903 PRE589826:PRG589903 QUS589826:QUU589903 RYG589826:RYI589903 TBU589826:TBW589903 UFI589826:UFK589903 VIW589826:VIY589903 WMK589826:WMM589903 Y655362:AA655439 ADM655362:ADO655439 BHA655362:BHC655439 CKO655362:CKQ655439 DOC655362:DOE655439 ERQ655362:ERS655439 FVE655362:FVG655439 GYS655362:GYU655439 ICG655362:ICI655439 JFU655362:JFW655439 KJI655362:KJK655439 LMW655362:LMY655439 MQK655362:MQM655439 NTY655362:NUA655439 OXM655362:OXO655439 QBA655362:QBC655439 REO655362:REQ655439 SIC655362:SIE655439 TLQ655362:TLS655439 UPE655362:UPG655439 VSS655362:VSU655439 WWG655362:WWI655439 JU655362:JW655439 ANI655362:ANK655439 BQW655362:BQY655439 CUK655362:CUM655439 DXY655362:DYA655439 FBM655362:FBO655439 GFA655362:GFC655439 HIO655362:HIQ655439 IMC655362:IME655439 JPQ655362:JPS655439 KTE655362:KTG655439 LWS655362:LWU655439 NAG655362:NAI655439 ODU655362:ODW655439 PHI655362:PHK655439 QKW655362:QKY655439 ROK655362:ROM655439 SRY655362:SSA655439 TVM655362:TVO655439 UZA655362:UZC655439 WCO655362:WCQ655439 TQ655362:TS655439 AXE655362:AXG655439 CAS655362:CAU655439 DEG655362:DEI655439 EHU655362:EHW655439 FLI655362:FLK655439 GOW655362:GOY655439 HSK655362:HSM655439 IVY655362:IWA655439 JZM655362:JZO655439 LDA655362:LDC655439 MGO655362:MGQ655439 NKC655362:NKE655439 ONQ655362:ONS655439 PRE655362:PRG655439 QUS655362:QUU655439 RYG655362:RYI655439 TBU655362:TBW655439 UFI655362:UFK655439 VIW655362:VIY655439 WMK655362:WMM655439 Y720898:AA720975 ADM720898:ADO720975 BHA720898:BHC720975 CKO720898:CKQ720975 DOC720898:DOE720975 ERQ720898:ERS720975 FVE720898:FVG720975 GYS720898:GYU720975 ICG720898:ICI720975 JFU720898:JFW720975 KJI720898:KJK720975 LMW720898:LMY720975 MQK720898:MQM720975 NTY720898:NUA720975 OXM720898:OXO720975 QBA720898:QBC720975 REO720898:REQ720975 SIC720898:SIE720975 TLQ720898:TLS720975 UPE720898:UPG720975 VSS720898:VSU720975 WWG720898:WWI720975 JU720898:JW720975 ANI720898:ANK720975 BQW720898:BQY720975 CUK720898:CUM720975 DXY720898:DYA720975 FBM720898:FBO720975 GFA720898:GFC720975 HIO720898:HIQ720975 IMC720898:IME720975 JPQ720898:JPS720975 KTE720898:KTG720975 LWS720898:LWU720975 NAG720898:NAI720975 ODU720898:ODW720975 PHI720898:PHK720975 QKW720898:QKY720975 ROK720898:ROM720975 SRY720898:SSA720975 TVM720898:TVO720975 UZA720898:UZC720975 WCO720898:WCQ720975 TQ720898:TS720975 AXE720898:AXG720975 CAS720898:CAU720975 DEG720898:DEI720975 EHU720898:EHW720975 FLI720898:FLK720975 GOW720898:GOY720975 HSK720898:HSM720975 IVY720898:IWA720975 JZM720898:JZO720975 LDA720898:LDC720975 MGO720898:MGQ720975 NKC720898:NKE720975 ONQ720898:ONS720975 PRE720898:PRG720975 QUS720898:QUU720975 RYG720898:RYI720975 TBU720898:TBW720975 UFI720898:UFK720975 VIW720898:VIY720975 WMK720898:WMM720975 Y786434:AA786511 ADM786434:ADO786511 BHA786434:BHC786511 CKO786434:CKQ786511 DOC786434:DOE786511 ERQ786434:ERS786511 FVE786434:FVG786511 GYS786434:GYU786511 ICG786434:ICI786511 JFU786434:JFW786511 KJI786434:KJK786511 LMW786434:LMY786511 MQK786434:MQM786511 NTY786434:NUA786511 OXM786434:OXO786511 QBA786434:QBC786511 REO786434:REQ786511 SIC786434:SIE786511 TLQ786434:TLS786511 UPE786434:UPG786511 VSS786434:VSU786511 WWG786434:WWI786511 JU786434:JW786511 ANI786434:ANK786511 BQW786434:BQY786511 CUK786434:CUM786511 DXY786434:DYA786511 FBM786434:FBO786511 GFA786434:GFC786511 HIO786434:HIQ786511 IMC786434:IME786511 JPQ786434:JPS786511 KTE786434:KTG786511 LWS786434:LWU786511 NAG786434:NAI786511 ODU786434:ODW786511 PHI786434:PHK786511 QKW786434:QKY786511 ROK786434:ROM786511 SRY786434:SSA786511 TVM786434:TVO786511 UZA786434:UZC786511 WCO786434:WCQ786511 TQ786434:TS786511 AXE786434:AXG786511 CAS786434:CAU786511 DEG786434:DEI786511 EHU786434:EHW786511 FLI786434:FLK786511 GOW786434:GOY786511 HSK786434:HSM786511 IVY786434:IWA786511 JZM786434:JZO786511 LDA786434:LDC786511 MGO786434:MGQ786511 NKC786434:NKE786511 ONQ786434:ONS786511 PRE786434:PRG786511 QUS786434:QUU786511 RYG786434:RYI786511 TBU786434:TBW786511 UFI786434:UFK786511 VIW786434:VIY786511 WMK786434:WMM786511 Y851970:AA852047 ADM851970:ADO852047 BHA851970:BHC852047 CKO851970:CKQ852047 DOC851970:DOE852047 ERQ851970:ERS852047 FVE851970:FVG852047 GYS851970:GYU852047 ICG851970:ICI852047 JFU851970:JFW852047 KJI851970:KJK852047 LMW851970:LMY852047 MQK851970:MQM852047 NTY851970:NUA852047 OXM851970:OXO852047 QBA851970:QBC852047 REO851970:REQ852047 SIC851970:SIE852047 TLQ851970:TLS852047 UPE851970:UPG852047 VSS851970:VSU852047 WWG851970:WWI852047 JU851970:JW852047 ANI851970:ANK852047 BQW851970:BQY852047 CUK851970:CUM852047 DXY851970:DYA852047 FBM851970:FBO852047 GFA851970:GFC852047 HIO851970:HIQ852047 IMC851970:IME852047 JPQ851970:JPS852047 KTE851970:KTG852047 LWS851970:LWU852047 NAG851970:NAI852047 ODU851970:ODW852047 PHI851970:PHK852047 QKW851970:QKY852047 ROK851970:ROM852047 SRY851970:SSA852047 TVM851970:TVO852047 UZA851970:UZC852047 WCO851970:WCQ852047 TQ851970:TS852047 AXE851970:AXG852047 CAS851970:CAU852047 DEG851970:DEI852047 EHU851970:EHW852047 FLI851970:FLK852047 GOW851970:GOY852047 HSK851970:HSM852047 IVY851970:IWA852047 JZM851970:JZO852047 LDA851970:LDC852047 MGO851970:MGQ852047 NKC851970:NKE852047 ONQ851970:ONS852047 PRE851970:PRG852047 QUS851970:QUU852047 RYG851970:RYI852047 TBU851970:TBW852047 UFI851970:UFK852047 VIW851970:VIY852047 WMK851970:WMM852047 Y917506:AA917583 ADM917506:ADO917583 BHA917506:BHC917583 CKO917506:CKQ917583 DOC917506:DOE917583 ERQ917506:ERS917583 FVE917506:FVG917583 GYS917506:GYU917583 ICG917506:ICI917583 JFU917506:JFW917583 KJI917506:KJK917583 LMW917506:LMY917583 MQK917506:MQM917583 NTY917506:NUA917583 OXM917506:OXO917583 QBA917506:QBC917583 REO917506:REQ917583 SIC917506:SIE917583 TLQ917506:TLS917583 UPE917506:UPG917583 VSS917506:VSU917583 WWG917506:WWI917583 JU917506:JW917583 ANI917506:ANK917583 BQW917506:BQY917583 CUK917506:CUM917583 DXY917506:DYA917583 FBM917506:FBO917583 GFA917506:GFC917583 HIO917506:HIQ917583 IMC917506:IME917583 JPQ917506:JPS917583 KTE917506:KTG917583 LWS917506:LWU917583 NAG917506:NAI917583 ODU917506:ODW917583 PHI917506:PHK917583 QKW917506:QKY917583 ROK917506:ROM917583 SRY917506:SSA917583 TVM917506:TVO917583 UZA917506:UZC917583 WCO917506:WCQ917583 TQ917506:TS917583 AXE917506:AXG917583 CAS917506:CAU917583 DEG917506:DEI917583 EHU917506:EHW917583 FLI917506:FLK917583 GOW917506:GOY917583 HSK917506:HSM917583 IVY917506:IWA917583 JZM917506:JZO917583 LDA917506:LDC917583 MGO917506:MGQ917583 NKC917506:NKE917583 ONQ917506:ONS917583 PRE917506:PRG917583 QUS917506:QUU917583 RYG917506:RYI917583 TBU917506:TBW917583 UFI917506:UFK917583 VIW917506:VIY917583 WMK917506:WMM917583 JU983042:JW983119 ANI983042:ANK983119 BQW983042:BQY983119 CUK983042:CUM983119 DXY983042:DYA983119 FBM983042:FBO983119 GFA983042:GFC983119 HIO983042:HIQ983119 IMC983042:IME983119 JPQ983042:JPS983119 KTE983042:KTG983119 LWS983042:LWU983119 NAG983042:NAI983119 ODU983042:ODW983119 PHI983042:PHK983119 QKW983042:QKY983119 ROK983042:ROM983119 SRY983042:SSA983119 TVM983042:TVO983119 UZA983042:UZC983119 WCO983042:WCQ983119 TQ983042:TS983119 AXE983042:AXG983119 CAS983042:CAU983119 DEG983042:DEI983119 EHU983042:EHW983119 FLI983042:FLK983119 GOW983042:GOY983119 HSK983042:HSM983119 IVY983042:IWA983119 JZM983042:JZO983119 LDA983042:LDC983119 MGO983042:MGQ983119 NKC983042:NKE983119 ONQ983042:ONS983119 PRE983042:PRG983119 QUS983042:QUU983119 RYG983042:RYI983119 TBU983042:TBW983119 UFI983042:UFK983119 VIW983042:VIY983119 WMK983042:WMM983119" xr:uid="{8CFE43E8-F9F6-459C-866C-1CD4BB4A0171}">
      <formula1>$AV$2:$AV$20</formula1>
    </dataValidation>
    <dataValidation type="list" allowBlank="1" showInputMessage="1" showErrorMessage="1" sqref="X2:X500 X65538:X65615 X131074:X131151 X196610:X196687 X262146:X262223 X327682:X327759 X393218:X393295 X458754:X458831 X524290:X524367 X589826:X589903 X655362:X655439 X720898:X720975 X786434:X786511 X851970:X852047 X917506:X917583 X983042:X983119 JT2:JT79 JT65538:JT65615 JT131074:JT131151 JT196610:JT196687 JT262146:JT262223 JT327682:JT327759 JT393218:JT393295 JT458754:JT458831 JT524290:JT524367 JT589826:JT589903 JT655362:JT655439 JT720898:JT720975 JT786434:JT786511 JT851970:JT852047 JT917506:JT917583 JT983042:JT983119 TP2:TP79 TP65538:TP65615 TP131074:TP131151 TP196610:TP196687 TP262146:TP262223 TP327682:TP327759 TP393218:TP393295 TP458754:TP458831 TP524290:TP524367 TP589826:TP589903 TP655362:TP655439 TP720898:TP720975 TP786434:TP786511 TP851970:TP852047 TP917506:TP917583 TP983042:TP983119 ADL2:ADL79 ADL65538:ADL65615 ADL131074:ADL131151 ADL196610:ADL196687 ADL262146:ADL262223 ADL327682:ADL327759 ADL393218:ADL393295 ADL458754:ADL458831 ADL524290:ADL524367 ADL589826:ADL589903 ADL655362:ADL655439 ADL720898:ADL720975 ADL786434:ADL786511 ADL851970:ADL852047 ADL917506:ADL917583 ADL983042:ADL983119 ANH2:ANH79 ANH65538:ANH65615 ANH131074:ANH131151 ANH196610:ANH196687 ANH262146:ANH262223 ANH327682:ANH327759 ANH393218:ANH393295 ANH458754:ANH458831 ANH524290:ANH524367 ANH589826:ANH589903 ANH655362:ANH655439 ANH720898:ANH720975 ANH786434:ANH786511 ANH851970:ANH852047 ANH917506:ANH917583 ANH983042:ANH983119 AXD2:AXD79 AXD65538:AXD65615 AXD131074:AXD131151 AXD196610:AXD196687 AXD262146:AXD262223 AXD327682:AXD327759 AXD393218:AXD393295 AXD458754:AXD458831 AXD524290:AXD524367 AXD589826:AXD589903 AXD655362:AXD655439 AXD720898:AXD720975 AXD786434:AXD786511 AXD851970:AXD852047 AXD917506:AXD917583 AXD983042:AXD983119 BGZ2:BGZ79 BGZ65538:BGZ65615 BGZ131074:BGZ131151 BGZ196610:BGZ196687 BGZ262146:BGZ262223 BGZ327682:BGZ327759 BGZ393218:BGZ393295 BGZ458754:BGZ458831 BGZ524290:BGZ524367 BGZ589826:BGZ589903 BGZ655362:BGZ655439 BGZ720898:BGZ720975 BGZ786434:BGZ786511 BGZ851970:BGZ852047 BGZ917506:BGZ917583 BGZ983042:BGZ983119 BQV2:BQV79 BQV65538:BQV65615 BQV131074:BQV131151 BQV196610:BQV196687 BQV262146:BQV262223 BQV327682:BQV327759 BQV393218:BQV393295 BQV458754:BQV458831 BQV524290:BQV524367 BQV589826:BQV589903 BQV655362:BQV655439 BQV720898:BQV720975 BQV786434:BQV786511 BQV851970:BQV852047 BQV917506:BQV917583 BQV983042:BQV983119 CAR2:CAR79 CAR65538:CAR65615 CAR131074:CAR131151 CAR196610:CAR196687 CAR262146:CAR262223 CAR327682:CAR327759 CAR393218:CAR393295 CAR458754:CAR458831 CAR524290:CAR524367 CAR589826:CAR589903 CAR655362:CAR655439 CAR720898:CAR720975 CAR786434:CAR786511 CAR851970:CAR852047 CAR917506:CAR917583 CAR983042:CAR983119 CKN2:CKN79 CKN65538:CKN65615 CKN131074:CKN131151 CKN196610:CKN196687 CKN262146:CKN262223 CKN327682:CKN327759 CKN393218:CKN393295 CKN458754:CKN458831 CKN524290:CKN524367 CKN589826:CKN589903 CKN655362:CKN655439 CKN720898:CKN720975 CKN786434:CKN786511 CKN851970:CKN852047 CKN917506:CKN917583 CKN983042:CKN983119 CUJ2:CUJ79 CUJ65538:CUJ65615 CUJ131074:CUJ131151 CUJ196610:CUJ196687 CUJ262146:CUJ262223 CUJ327682:CUJ327759 CUJ393218:CUJ393295 CUJ458754:CUJ458831 CUJ524290:CUJ524367 CUJ589826:CUJ589903 CUJ655362:CUJ655439 CUJ720898:CUJ720975 CUJ786434:CUJ786511 CUJ851970:CUJ852047 CUJ917506:CUJ917583 CUJ983042:CUJ983119 DEF2:DEF79 DEF65538:DEF65615 DEF131074:DEF131151 DEF196610:DEF196687 DEF262146:DEF262223 DEF327682:DEF327759 DEF393218:DEF393295 DEF458754:DEF458831 DEF524290:DEF524367 DEF589826:DEF589903 DEF655362:DEF655439 DEF720898:DEF720975 DEF786434:DEF786511 DEF851970:DEF852047 DEF917506:DEF917583 DEF983042:DEF983119 DOB2:DOB79 DOB65538:DOB65615 DOB131074:DOB131151 DOB196610:DOB196687 DOB262146:DOB262223 DOB327682:DOB327759 DOB393218:DOB393295 DOB458754:DOB458831 DOB524290:DOB524367 DOB589826:DOB589903 DOB655362:DOB655439 DOB720898:DOB720975 DOB786434:DOB786511 DOB851970:DOB852047 DOB917506:DOB917583 DOB983042:DOB983119 DXX2:DXX79 DXX65538:DXX65615 DXX131074:DXX131151 DXX196610:DXX196687 DXX262146:DXX262223 DXX327682:DXX327759 DXX393218:DXX393295 DXX458754:DXX458831 DXX524290:DXX524367 DXX589826:DXX589903 DXX655362:DXX655439 DXX720898:DXX720975 DXX786434:DXX786511 DXX851970:DXX852047 DXX917506:DXX917583 DXX983042:DXX983119 EHT2:EHT79 EHT65538:EHT65615 EHT131074:EHT131151 EHT196610:EHT196687 EHT262146:EHT262223 EHT327682:EHT327759 EHT393218:EHT393295 EHT458754:EHT458831 EHT524290:EHT524367 EHT589826:EHT589903 EHT655362:EHT655439 EHT720898:EHT720975 EHT786434:EHT786511 EHT851970:EHT852047 EHT917506:EHT917583 EHT983042:EHT983119 ERP2:ERP79 ERP65538:ERP65615 ERP131074:ERP131151 ERP196610:ERP196687 ERP262146:ERP262223 ERP327682:ERP327759 ERP393218:ERP393295 ERP458754:ERP458831 ERP524290:ERP524367 ERP589826:ERP589903 ERP655362:ERP655439 ERP720898:ERP720975 ERP786434:ERP786511 ERP851970:ERP852047 ERP917506:ERP917583 ERP983042:ERP983119 FBL2:FBL79 FBL65538:FBL65615 FBL131074:FBL131151 FBL196610:FBL196687 FBL262146:FBL262223 FBL327682:FBL327759 FBL393218:FBL393295 FBL458754:FBL458831 FBL524290:FBL524367 FBL589826:FBL589903 FBL655362:FBL655439 FBL720898:FBL720975 FBL786434:FBL786511 FBL851970:FBL852047 FBL917506:FBL917583 FBL983042:FBL983119 FLH2:FLH79 FLH65538:FLH65615 FLH131074:FLH131151 FLH196610:FLH196687 FLH262146:FLH262223 FLH327682:FLH327759 FLH393218:FLH393295 FLH458754:FLH458831 FLH524290:FLH524367 FLH589826:FLH589903 FLH655362:FLH655439 FLH720898:FLH720975 FLH786434:FLH786511 FLH851970:FLH852047 FLH917506:FLH917583 FLH983042:FLH983119 FVD2:FVD79 FVD65538:FVD65615 FVD131074:FVD131151 FVD196610:FVD196687 FVD262146:FVD262223 FVD327682:FVD327759 FVD393218:FVD393295 FVD458754:FVD458831 FVD524290:FVD524367 FVD589826:FVD589903 FVD655362:FVD655439 FVD720898:FVD720975 FVD786434:FVD786511 FVD851970:FVD852047 FVD917506:FVD917583 FVD983042:FVD983119 GEZ2:GEZ79 GEZ65538:GEZ65615 GEZ131074:GEZ131151 GEZ196610:GEZ196687 GEZ262146:GEZ262223 GEZ327682:GEZ327759 GEZ393218:GEZ393295 GEZ458754:GEZ458831 GEZ524290:GEZ524367 GEZ589826:GEZ589903 GEZ655362:GEZ655439 GEZ720898:GEZ720975 GEZ786434:GEZ786511 GEZ851970:GEZ852047 GEZ917506:GEZ917583 GEZ983042:GEZ983119 GOV2:GOV79 GOV65538:GOV65615 GOV131074:GOV131151 GOV196610:GOV196687 GOV262146:GOV262223 GOV327682:GOV327759 GOV393218:GOV393295 GOV458754:GOV458831 GOV524290:GOV524367 GOV589826:GOV589903 GOV655362:GOV655439 GOV720898:GOV720975 GOV786434:GOV786511 GOV851970:GOV852047 GOV917506:GOV917583 GOV983042:GOV983119 GYR2:GYR79 GYR65538:GYR65615 GYR131074:GYR131151 GYR196610:GYR196687 GYR262146:GYR262223 GYR327682:GYR327759 GYR393218:GYR393295 GYR458754:GYR458831 GYR524290:GYR524367 GYR589826:GYR589903 GYR655362:GYR655439 GYR720898:GYR720975 GYR786434:GYR786511 GYR851970:GYR852047 GYR917506:GYR917583 GYR983042:GYR983119 HIN2:HIN79 HIN65538:HIN65615 HIN131074:HIN131151 HIN196610:HIN196687 HIN262146:HIN262223 HIN327682:HIN327759 HIN393218:HIN393295 HIN458754:HIN458831 HIN524290:HIN524367 HIN589826:HIN589903 HIN655362:HIN655439 HIN720898:HIN720975 HIN786434:HIN786511 HIN851970:HIN852047 HIN917506:HIN917583 HIN983042:HIN983119 HSJ2:HSJ79 HSJ65538:HSJ65615 HSJ131074:HSJ131151 HSJ196610:HSJ196687 HSJ262146:HSJ262223 HSJ327682:HSJ327759 HSJ393218:HSJ393295 HSJ458754:HSJ458831 HSJ524290:HSJ524367 HSJ589826:HSJ589903 HSJ655362:HSJ655439 HSJ720898:HSJ720975 HSJ786434:HSJ786511 HSJ851970:HSJ852047 HSJ917506:HSJ917583 HSJ983042:HSJ983119 ICF2:ICF79 ICF65538:ICF65615 ICF131074:ICF131151 ICF196610:ICF196687 ICF262146:ICF262223 ICF327682:ICF327759 ICF393218:ICF393295 ICF458754:ICF458831 ICF524290:ICF524367 ICF589826:ICF589903 ICF655362:ICF655439 ICF720898:ICF720975 ICF786434:ICF786511 ICF851970:ICF852047 ICF917506:ICF917583 ICF983042:ICF983119 IMB2:IMB79 IMB65538:IMB65615 IMB131074:IMB131151 IMB196610:IMB196687 IMB262146:IMB262223 IMB327682:IMB327759 IMB393218:IMB393295 IMB458754:IMB458831 IMB524290:IMB524367 IMB589826:IMB589903 IMB655362:IMB655439 IMB720898:IMB720975 IMB786434:IMB786511 IMB851970:IMB852047 IMB917506:IMB917583 IMB983042:IMB983119 IVX2:IVX79 IVX65538:IVX65615 IVX131074:IVX131151 IVX196610:IVX196687 IVX262146:IVX262223 IVX327682:IVX327759 IVX393218:IVX393295 IVX458754:IVX458831 IVX524290:IVX524367 IVX589826:IVX589903 IVX655362:IVX655439 IVX720898:IVX720975 IVX786434:IVX786511 IVX851970:IVX852047 IVX917506:IVX917583 IVX983042:IVX983119 JFT2:JFT79 JFT65538:JFT65615 JFT131074:JFT131151 JFT196610:JFT196687 JFT262146:JFT262223 JFT327682:JFT327759 JFT393218:JFT393295 JFT458754:JFT458831 JFT524290:JFT524367 JFT589826:JFT589903 JFT655362:JFT655439 JFT720898:JFT720975 JFT786434:JFT786511 JFT851970:JFT852047 JFT917506:JFT917583 JFT983042:JFT983119 JPP2:JPP79 JPP65538:JPP65615 JPP131074:JPP131151 JPP196610:JPP196687 JPP262146:JPP262223 JPP327682:JPP327759 JPP393218:JPP393295 JPP458754:JPP458831 JPP524290:JPP524367 JPP589826:JPP589903 JPP655362:JPP655439 JPP720898:JPP720975 JPP786434:JPP786511 JPP851970:JPP852047 JPP917506:JPP917583 JPP983042:JPP983119 JZL2:JZL79 JZL65538:JZL65615 JZL131074:JZL131151 JZL196610:JZL196687 JZL262146:JZL262223 JZL327682:JZL327759 JZL393218:JZL393295 JZL458754:JZL458831 JZL524290:JZL524367 JZL589826:JZL589903 JZL655362:JZL655439 JZL720898:JZL720975 JZL786434:JZL786511 JZL851970:JZL852047 JZL917506:JZL917583 JZL983042:JZL983119 KJH2:KJH79 KJH65538:KJH65615 KJH131074:KJH131151 KJH196610:KJH196687 KJH262146:KJH262223 KJH327682:KJH327759 KJH393218:KJH393295 KJH458754:KJH458831 KJH524290:KJH524367 KJH589826:KJH589903 KJH655362:KJH655439 KJH720898:KJH720975 KJH786434:KJH786511 KJH851970:KJH852047 KJH917506:KJH917583 KJH983042:KJH983119 KTD2:KTD79 KTD65538:KTD65615 KTD131074:KTD131151 KTD196610:KTD196687 KTD262146:KTD262223 KTD327682:KTD327759 KTD393218:KTD393295 KTD458754:KTD458831 KTD524290:KTD524367 KTD589826:KTD589903 KTD655362:KTD655439 KTD720898:KTD720975 KTD786434:KTD786511 KTD851970:KTD852047 KTD917506:KTD917583 KTD983042:KTD983119 LCZ2:LCZ79 LCZ65538:LCZ65615 LCZ131074:LCZ131151 LCZ196610:LCZ196687 LCZ262146:LCZ262223 LCZ327682:LCZ327759 LCZ393218:LCZ393295 LCZ458754:LCZ458831 LCZ524290:LCZ524367 LCZ589826:LCZ589903 LCZ655362:LCZ655439 LCZ720898:LCZ720975 LCZ786434:LCZ786511 LCZ851970:LCZ852047 LCZ917506:LCZ917583 LCZ983042:LCZ983119 LMV2:LMV79 LMV65538:LMV65615 LMV131074:LMV131151 LMV196610:LMV196687 LMV262146:LMV262223 LMV327682:LMV327759 LMV393218:LMV393295 LMV458754:LMV458831 LMV524290:LMV524367 LMV589826:LMV589903 LMV655362:LMV655439 LMV720898:LMV720975 LMV786434:LMV786511 LMV851970:LMV852047 LMV917506:LMV917583 LMV983042:LMV983119 LWR2:LWR79 LWR65538:LWR65615 LWR131074:LWR131151 LWR196610:LWR196687 LWR262146:LWR262223 LWR327682:LWR327759 LWR393218:LWR393295 LWR458754:LWR458831 LWR524290:LWR524367 LWR589826:LWR589903 LWR655362:LWR655439 LWR720898:LWR720975 LWR786434:LWR786511 LWR851970:LWR852047 LWR917506:LWR917583 LWR983042:LWR983119 MGN2:MGN79 MGN65538:MGN65615 MGN131074:MGN131151 MGN196610:MGN196687 MGN262146:MGN262223 MGN327682:MGN327759 MGN393218:MGN393295 MGN458754:MGN458831 MGN524290:MGN524367 MGN589826:MGN589903 MGN655362:MGN655439 MGN720898:MGN720975 MGN786434:MGN786511 MGN851970:MGN852047 MGN917506:MGN917583 MGN983042:MGN983119 MQJ2:MQJ79 MQJ65538:MQJ65615 MQJ131074:MQJ131151 MQJ196610:MQJ196687 MQJ262146:MQJ262223 MQJ327682:MQJ327759 MQJ393218:MQJ393295 MQJ458754:MQJ458831 MQJ524290:MQJ524367 MQJ589826:MQJ589903 MQJ655362:MQJ655439 MQJ720898:MQJ720975 MQJ786434:MQJ786511 MQJ851970:MQJ852047 MQJ917506:MQJ917583 MQJ983042:MQJ983119 NAF2:NAF79 NAF65538:NAF65615 NAF131074:NAF131151 NAF196610:NAF196687 NAF262146:NAF262223 NAF327682:NAF327759 NAF393218:NAF393295 NAF458754:NAF458831 NAF524290:NAF524367 NAF589826:NAF589903 NAF655362:NAF655439 NAF720898:NAF720975 NAF786434:NAF786511 NAF851970:NAF852047 NAF917506:NAF917583 NAF983042:NAF983119 NKB2:NKB79 NKB65538:NKB65615 NKB131074:NKB131151 NKB196610:NKB196687 NKB262146:NKB262223 NKB327682:NKB327759 NKB393218:NKB393295 NKB458754:NKB458831 NKB524290:NKB524367 NKB589826:NKB589903 NKB655362:NKB655439 NKB720898:NKB720975 NKB786434:NKB786511 NKB851970:NKB852047 NKB917506:NKB917583 NKB983042:NKB983119 NTX2:NTX79 NTX65538:NTX65615 NTX131074:NTX131151 NTX196610:NTX196687 NTX262146:NTX262223 NTX327682:NTX327759 NTX393218:NTX393295 NTX458754:NTX458831 NTX524290:NTX524367 NTX589826:NTX589903 NTX655362:NTX655439 NTX720898:NTX720975 NTX786434:NTX786511 NTX851970:NTX852047 NTX917506:NTX917583 NTX983042:NTX983119 ODT2:ODT79 ODT65538:ODT65615 ODT131074:ODT131151 ODT196610:ODT196687 ODT262146:ODT262223 ODT327682:ODT327759 ODT393218:ODT393295 ODT458754:ODT458831 ODT524290:ODT524367 ODT589826:ODT589903 ODT655362:ODT655439 ODT720898:ODT720975 ODT786434:ODT786511 ODT851970:ODT852047 ODT917506:ODT917583 ODT983042:ODT983119 ONP2:ONP79 ONP65538:ONP65615 ONP131074:ONP131151 ONP196610:ONP196687 ONP262146:ONP262223 ONP327682:ONP327759 ONP393218:ONP393295 ONP458754:ONP458831 ONP524290:ONP524367 ONP589826:ONP589903 ONP655362:ONP655439 ONP720898:ONP720975 ONP786434:ONP786511 ONP851970:ONP852047 ONP917506:ONP917583 ONP983042:ONP983119 OXL2:OXL79 OXL65538:OXL65615 OXL131074:OXL131151 OXL196610:OXL196687 OXL262146:OXL262223 OXL327682:OXL327759 OXL393218:OXL393295 OXL458754:OXL458831 OXL524290:OXL524367 OXL589826:OXL589903 OXL655362:OXL655439 OXL720898:OXL720975 OXL786434:OXL786511 OXL851970:OXL852047 OXL917506:OXL917583 OXL983042:OXL983119 PHH2:PHH79 PHH65538:PHH65615 PHH131074:PHH131151 PHH196610:PHH196687 PHH262146:PHH262223 PHH327682:PHH327759 PHH393218:PHH393295 PHH458754:PHH458831 PHH524290:PHH524367 PHH589826:PHH589903 PHH655362:PHH655439 PHH720898:PHH720975 PHH786434:PHH786511 PHH851970:PHH852047 PHH917506:PHH917583 PHH983042:PHH983119 PRD2:PRD79 PRD65538:PRD65615 PRD131074:PRD131151 PRD196610:PRD196687 PRD262146:PRD262223 PRD327682:PRD327759 PRD393218:PRD393295 PRD458754:PRD458831 PRD524290:PRD524367 PRD589826:PRD589903 PRD655362:PRD655439 PRD720898:PRD720975 PRD786434:PRD786511 PRD851970:PRD852047 PRD917506:PRD917583 PRD983042:PRD983119 QAZ2:QAZ79 QAZ65538:QAZ65615 QAZ131074:QAZ131151 QAZ196610:QAZ196687 QAZ262146:QAZ262223 QAZ327682:QAZ327759 QAZ393218:QAZ393295 QAZ458754:QAZ458831 QAZ524290:QAZ524367 QAZ589826:QAZ589903 QAZ655362:QAZ655439 QAZ720898:QAZ720975 QAZ786434:QAZ786511 QAZ851970:QAZ852047 QAZ917506:QAZ917583 QAZ983042:QAZ983119 QKV2:QKV79 QKV65538:QKV65615 QKV131074:QKV131151 QKV196610:QKV196687 QKV262146:QKV262223 QKV327682:QKV327759 QKV393218:QKV393295 QKV458754:QKV458831 QKV524290:QKV524367 QKV589826:QKV589903 QKV655362:QKV655439 QKV720898:QKV720975 QKV786434:QKV786511 QKV851970:QKV852047 QKV917506:QKV917583 QKV983042:QKV983119 QUR2:QUR79 QUR65538:QUR65615 QUR131074:QUR131151 QUR196610:QUR196687 QUR262146:QUR262223 QUR327682:QUR327759 QUR393218:QUR393295 QUR458754:QUR458831 QUR524290:QUR524367 QUR589826:QUR589903 QUR655362:QUR655439 QUR720898:QUR720975 QUR786434:QUR786511 QUR851970:QUR852047 QUR917506:QUR917583 QUR983042:QUR983119 REN2:REN79 REN65538:REN65615 REN131074:REN131151 REN196610:REN196687 REN262146:REN262223 REN327682:REN327759 REN393218:REN393295 REN458754:REN458831 REN524290:REN524367 REN589826:REN589903 REN655362:REN655439 REN720898:REN720975 REN786434:REN786511 REN851970:REN852047 REN917506:REN917583 REN983042:REN983119 ROJ2:ROJ79 ROJ65538:ROJ65615 ROJ131074:ROJ131151 ROJ196610:ROJ196687 ROJ262146:ROJ262223 ROJ327682:ROJ327759 ROJ393218:ROJ393295 ROJ458754:ROJ458831 ROJ524290:ROJ524367 ROJ589826:ROJ589903 ROJ655362:ROJ655439 ROJ720898:ROJ720975 ROJ786434:ROJ786511 ROJ851970:ROJ852047 ROJ917506:ROJ917583 ROJ983042:ROJ983119 RYF2:RYF79 RYF65538:RYF65615 RYF131074:RYF131151 RYF196610:RYF196687 RYF262146:RYF262223 RYF327682:RYF327759 RYF393218:RYF393295 RYF458754:RYF458831 RYF524290:RYF524367 RYF589826:RYF589903 RYF655362:RYF655439 RYF720898:RYF720975 RYF786434:RYF786511 RYF851970:RYF852047 RYF917506:RYF917583 RYF983042:RYF983119 SIB2:SIB79 SIB65538:SIB65615 SIB131074:SIB131151 SIB196610:SIB196687 SIB262146:SIB262223 SIB327682:SIB327759 SIB393218:SIB393295 SIB458754:SIB458831 SIB524290:SIB524367 SIB589826:SIB589903 SIB655362:SIB655439 SIB720898:SIB720975 SIB786434:SIB786511 SIB851970:SIB852047 SIB917506:SIB917583 SIB983042:SIB983119 SRX2:SRX79 SRX65538:SRX65615 SRX131074:SRX131151 SRX196610:SRX196687 SRX262146:SRX262223 SRX327682:SRX327759 SRX393218:SRX393295 SRX458754:SRX458831 SRX524290:SRX524367 SRX589826:SRX589903 SRX655362:SRX655439 SRX720898:SRX720975 SRX786434:SRX786511 SRX851970:SRX852047 SRX917506:SRX917583 SRX983042:SRX983119 TBT2:TBT79 TBT65538:TBT65615 TBT131074:TBT131151 TBT196610:TBT196687 TBT262146:TBT262223 TBT327682:TBT327759 TBT393218:TBT393295 TBT458754:TBT458831 TBT524290:TBT524367 TBT589826:TBT589903 TBT655362:TBT655439 TBT720898:TBT720975 TBT786434:TBT786511 TBT851970:TBT852047 TBT917506:TBT917583 TBT983042:TBT983119 TLP2:TLP79 TLP65538:TLP65615 TLP131074:TLP131151 TLP196610:TLP196687 TLP262146:TLP262223 TLP327682:TLP327759 TLP393218:TLP393295 TLP458754:TLP458831 TLP524290:TLP524367 TLP589826:TLP589903 TLP655362:TLP655439 TLP720898:TLP720975 TLP786434:TLP786511 TLP851970:TLP852047 TLP917506:TLP917583 TLP983042:TLP983119 TVL2:TVL79 TVL65538:TVL65615 TVL131074:TVL131151 TVL196610:TVL196687 TVL262146:TVL262223 TVL327682:TVL327759 TVL393218:TVL393295 TVL458754:TVL458831 TVL524290:TVL524367 TVL589826:TVL589903 TVL655362:TVL655439 TVL720898:TVL720975 TVL786434:TVL786511 TVL851970:TVL852047 TVL917506:TVL917583 TVL983042:TVL983119 UFH2:UFH79 UFH65538:UFH65615 UFH131074:UFH131151 UFH196610:UFH196687 UFH262146:UFH262223 UFH327682:UFH327759 UFH393218:UFH393295 UFH458754:UFH458831 UFH524290:UFH524367 UFH589826:UFH589903 UFH655362:UFH655439 UFH720898:UFH720975 UFH786434:UFH786511 UFH851970:UFH852047 UFH917506:UFH917583 UFH983042:UFH983119 UPD2:UPD79 UPD65538:UPD65615 UPD131074:UPD131151 UPD196610:UPD196687 UPD262146:UPD262223 UPD327682:UPD327759 UPD393218:UPD393295 UPD458754:UPD458831 UPD524290:UPD524367 UPD589826:UPD589903 UPD655362:UPD655439 UPD720898:UPD720975 UPD786434:UPD786511 UPD851970:UPD852047 UPD917506:UPD917583 UPD983042:UPD983119 UYZ2:UYZ79 UYZ65538:UYZ65615 UYZ131074:UYZ131151 UYZ196610:UYZ196687 UYZ262146:UYZ262223 UYZ327682:UYZ327759 UYZ393218:UYZ393295 UYZ458754:UYZ458831 UYZ524290:UYZ524367 UYZ589826:UYZ589903 UYZ655362:UYZ655439 UYZ720898:UYZ720975 UYZ786434:UYZ786511 UYZ851970:UYZ852047 UYZ917506:UYZ917583 UYZ983042:UYZ983119 VIV2:VIV79 VIV65538:VIV65615 VIV131074:VIV131151 VIV196610:VIV196687 VIV262146:VIV262223 VIV327682:VIV327759 VIV393218:VIV393295 VIV458754:VIV458831 VIV524290:VIV524367 VIV589826:VIV589903 VIV655362:VIV655439 VIV720898:VIV720975 VIV786434:VIV786511 VIV851970:VIV852047 VIV917506:VIV917583 VIV983042:VIV983119 VSR2:VSR79 VSR65538:VSR65615 VSR131074:VSR131151 VSR196610:VSR196687 VSR262146:VSR262223 VSR327682:VSR327759 VSR393218:VSR393295 VSR458754:VSR458831 VSR524290:VSR524367 VSR589826:VSR589903 VSR655362:VSR655439 VSR720898:VSR720975 VSR786434:VSR786511 VSR851970:VSR852047 VSR917506:VSR917583 VSR983042:VSR983119 WCN2:WCN79 WCN65538:WCN65615 WCN131074:WCN131151 WCN196610:WCN196687 WCN262146:WCN262223 WCN327682:WCN327759 WCN393218:WCN393295 WCN458754:WCN458831 WCN524290:WCN524367 WCN589826:WCN589903 WCN655362:WCN655439 WCN720898:WCN720975 WCN786434:WCN786511 WCN851970:WCN852047 WCN917506:WCN917583 WCN983042:WCN983119 WMJ2:WMJ79 WMJ65538:WMJ65615 WMJ131074:WMJ131151 WMJ196610:WMJ196687 WMJ262146:WMJ262223 WMJ327682:WMJ327759 WMJ393218:WMJ393295 WMJ458754:WMJ458831 WMJ524290:WMJ524367 WMJ589826:WMJ589903 WMJ655362:WMJ655439 WMJ720898:WMJ720975 WMJ786434:WMJ786511 WMJ851970:WMJ852047 WMJ917506:WMJ917583 WMJ983042:WMJ983119 WWF2:WWF79 WWF65538:WWF65615 WWF131074:WWF131151 WWF196610:WWF196687 WWF262146:WWF262223 WWF327682:WWF327759 WWF393218:WWF393295 WWF458754:WWF458831 WWF524290:WWF524367 WWF589826:WWF589903 WWF655362:WWF655439 WWF720898:WWF720975 WWF786434:WWF786511 WWF851970:WWF852047 WWF917506:WWF917583 WWF983042:WWF983119" xr:uid="{1A45767D-AF8F-4158-A791-9143CAA3E16C}">
      <formula1>$AT$2:$AT$3</formula1>
    </dataValidation>
    <dataValidation type="list" allowBlank="1" showInputMessage="1" showErrorMessage="1" sqref="I2:I500 I65538:I65615 I131074:I131151 I196610:I196687 I262146:I262223 I327682:I327759 I393218:I393295 I458754:I458831 I524290:I524367 I589826:I589903 I655362:I655439 I720898:I720975 I786434:I786511 I851970:I852047 I917506:I917583 I983042:I983119 JE2:JE79 JE65538:JE65615 JE131074:JE131151 JE196610:JE196687 JE262146:JE262223 JE327682:JE327759 JE393218:JE393295 JE458754:JE458831 JE524290:JE524367 JE589826:JE589903 JE655362:JE655439 JE720898:JE720975 JE786434:JE786511 JE851970:JE852047 JE917506:JE917583 JE983042:JE983119 TA2:TA79 TA65538:TA65615 TA131074:TA131151 TA196610:TA196687 TA262146:TA262223 TA327682:TA327759 TA393218:TA393295 TA458754:TA458831 TA524290:TA524367 TA589826:TA589903 TA655362:TA655439 TA720898:TA720975 TA786434:TA786511 TA851970:TA852047 TA917506:TA917583 TA983042:TA983119 ACW2:ACW79 ACW65538:ACW65615 ACW131074:ACW131151 ACW196610:ACW196687 ACW262146:ACW262223 ACW327682:ACW327759 ACW393218:ACW393295 ACW458754:ACW458831 ACW524290:ACW524367 ACW589826:ACW589903 ACW655362:ACW655439 ACW720898:ACW720975 ACW786434:ACW786511 ACW851970:ACW852047 ACW917506:ACW917583 ACW983042:ACW983119 AMS2:AMS79 AMS65538:AMS65615 AMS131074:AMS131151 AMS196610:AMS196687 AMS262146:AMS262223 AMS327682:AMS327759 AMS393218:AMS393295 AMS458754:AMS458831 AMS524290:AMS524367 AMS589826:AMS589903 AMS655362:AMS655439 AMS720898:AMS720975 AMS786434:AMS786511 AMS851970:AMS852047 AMS917506:AMS917583 AMS983042:AMS983119 AWO2:AWO79 AWO65538:AWO65615 AWO131074:AWO131151 AWO196610:AWO196687 AWO262146:AWO262223 AWO327682:AWO327759 AWO393218:AWO393295 AWO458754:AWO458831 AWO524290:AWO524367 AWO589826:AWO589903 AWO655362:AWO655439 AWO720898:AWO720975 AWO786434:AWO786511 AWO851970:AWO852047 AWO917506:AWO917583 AWO983042:AWO983119 BGK2:BGK79 BGK65538:BGK65615 BGK131074:BGK131151 BGK196610:BGK196687 BGK262146:BGK262223 BGK327682:BGK327759 BGK393218:BGK393295 BGK458754:BGK458831 BGK524290:BGK524367 BGK589826:BGK589903 BGK655362:BGK655439 BGK720898:BGK720975 BGK786434:BGK786511 BGK851970:BGK852047 BGK917506:BGK917583 BGK983042:BGK983119 BQG2:BQG79 BQG65538:BQG65615 BQG131074:BQG131151 BQG196610:BQG196687 BQG262146:BQG262223 BQG327682:BQG327759 BQG393218:BQG393295 BQG458754:BQG458831 BQG524290:BQG524367 BQG589826:BQG589903 BQG655362:BQG655439 BQG720898:BQG720975 BQG786434:BQG786511 BQG851970:BQG852047 BQG917506:BQG917583 BQG983042:BQG983119 CAC2:CAC79 CAC65538:CAC65615 CAC131074:CAC131151 CAC196610:CAC196687 CAC262146:CAC262223 CAC327682:CAC327759 CAC393218:CAC393295 CAC458754:CAC458831 CAC524290:CAC524367 CAC589826:CAC589903 CAC655362:CAC655439 CAC720898:CAC720975 CAC786434:CAC786511 CAC851970:CAC852047 CAC917506:CAC917583 CAC983042:CAC983119 CJY2:CJY79 CJY65538:CJY65615 CJY131074:CJY131151 CJY196610:CJY196687 CJY262146:CJY262223 CJY327682:CJY327759 CJY393218:CJY393295 CJY458754:CJY458831 CJY524290:CJY524367 CJY589826:CJY589903 CJY655362:CJY655439 CJY720898:CJY720975 CJY786434:CJY786511 CJY851970:CJY852047 CJY917506:CJY917583 CJY983042:CJY983119 CTU2:CTU79 CTU65538:CTU65615 CTU131074:CTU131151 CTU196610:CTU196687 CTU262146:CTU262223 CTU327682:CTU327759 CTU393218:CTU393295 CTU458754:CTU458831 CTU524290:CTU524367 CTU589826:CTU589903 CTU655362:CTU655439 CTU720898:CTU720975 CTU786434:CTU786511 CTU851970:CTU852047 CTU917506:CTU917583 CTU983042:CTU983119 DDQ2:DDQ79 DDQ65538:DDQ65615 DDQ131074:DDQ131151 DDQ196610:DDQ196687 DDQ262146:DDQ262223 DDQ327682:DDQ327759 DDQ393218:DDQ393295 DDQ458754:DDQ458831 DDQ524290:DDQ524367 DDQ589826:DDQ589903 DDQ655362:DDQ655439 DDQ720898:DDQ720975 DDQ786434:DDQ786511 DDQ851970:DDQ852047 DDQ917506:DDQ917583 DDQ983042:DDQ983119 DNM2:DNM79 DNM65538:DNM65615 DNM131074:DNM131151 DNM196610:DNM196687 DNM262146:DNM262223 DNM327682:DNM327759 DNM393218:DNM393295 DNM458754:DNM458831 DNM524290:DNM524367 DNM589826:DNM589903 DNM655362:DNM655439 DNM720898:DNM720975 DNM786434:DNM786511 DNM851970:DNM852047 DNM917506:DNM917583 DNM983042:DNM983119 DXI2:DXI79 DXI65538:DXI65615 DXI131074:DXI131151 DXI196610:DXI196687 DXI262146:DXI262223 DXI327682:DXI327759 DXI393218:DXI393295 DXI458754:DXI458831 DXI524290:DXI524367 DXI589826:DXI589903 DXI655362:DXI655439 DXI720898:DXI720975 DXI786434:DXI786511 DXI851970:DXI852047 DXI917506:DXI917583 DXI983042:DXI983119 EHE2:EHE79 EHE65538:EHE65615 EHE131074:EHE131151 EHE196610:EHE196687 EHE262146:EHE262223 EHE327682:EHE327759 EHE393218:EHE393295 EHE458754:EHE458831 EHE524290:EHE524367 EHE589826:EHE589903 EHE655362:EHE655439 EHE720898:EHE720975 EHE786434:EHE786511 EHE851970:EHE852047 EHE917506:EHE917583 EHE983042:EHE983119 ERA2:ERA79 ERA65538:ERA65615 ERA131074:ERA131151 ERA196610:ERA196687 ERA262146:ERA262223 ERA327682:ERA327759 ERA393218:ERA393295 ERA458754:ERA458831 ERA524290:ERA524367 ERA589826:ERA589903 ERA655362:ERA655439 ERA720898:ERA720975 ERA786434:ERA786511 ERA851970:ERA852047 ERA917506:ERA917583 ERA983042:ERA983119 FAW2:FAW79 FAW65538:FAW65615 FAW131074:FAW131151 FAW196610:FAW196687 FAW262146:FAW262223 FAW327682:FAW327759 FAW393218:FAW393295 FAW458754:FAW458831 FAW524290:FAW524367 FAW589826:FAW589903 FAW655362:FAW655439 FAW720898:FAW720975 FAW786434:FAW786511 FAW851970:FAW852047 FAW917506:FAW917583 FAW983042:FAW983119 FKS2:FKS79 FKS65538:FKS65615 FKS131074:FKS131151 FKS196610:FKS196687 FKS262146:FKS262223 FKS327682:FKS327759 FKS393218:FKS393295 FKS458754:FKS458831 FKS524290:FKS524367 FKS589826:FKS589903 FKS655362:FKS655439 FKS720898:FKS720975 FKS786434:FKS786511 FKS851970:FKS852047 FKS917506:FKS917583 FKS983042:FKS983119 FUO2:FUO79 FUO65538:FUO65615 FUO131074:FUO131151 FUO196610:FUO196687 FUO262146:FUO262223 FUO327682:FUO327759 FUO393218:FUO393295 FUO458754:FUO458831 FUO524290:FUO524367 FUO589826:FUO589903 FUO655362:FUO655439 FUO720898:FUO720975 FUO786434:FUO786511 FUO851970:FUO852047 FUO917506:FUO917583 FUO983042:FUO983119 GEK2:GEK79 GEK65538:GEK65615 GEK131074:GEK131151 GEK196610:GEK196687 GEK262146:GEK262223 GEK327682:GEK327759 GEK393218:GEK393295 GEK458754:GEK458831 GEK524290:GEK524367 GEK589826:GEK589903 GEK655362:GEK655439 GEK720898:GEK720975 GEK786434:GEK786511 GEK851970:GEK852047 GEK917506:GEK917583 GEK983042:GEK983119 GOG2:GOG79 GOG65538:GOG65615 GOG131074:GOG131151 GOG196610:GOG196687 GOG262146:GOG262223 GOG327682:GOG327759 GOG393218:GOG393295 GOG458754:GOG458831 GOG524290:GOG524367 GOG589826:GOG589903 GOG655362:GOG655439 GOG720898:GOG720975 GOG786434:GOG786511 GOG851970:GOG852047 GOG917506:GOG917583 GOG983042:GOG983119 GYC2:GYC79 GYC65538:GYC65615 GYC131074:GYC131151 GYC196610:GYC196687 GYC262146:GYC262223 GYC327682:GYC327759 GYC393218:GYC393295 GYC458754:GYC458831 GYC524290:GYC524367 GYC589826:GYC589903 GYC655362:GYC655439 GYC720898:GYC720975 GYC786434:GYC786511 GYC851970:GYC852047 GYC917506:GYC917583 GYC983042:GYC983119 HHY2:HHY79 HHY65538:HHY65615 HHY131074:HHY131151 HHY196610:HHY196687 HHY262146:HHY262223 HHY327682:HHY327759 HHY393218:HHY393295 HHY458754:HHY458831 HHY524290:HHY524367 HHY589826:HHY589903 HHY655362:HHY655439 HHY720898:HHY720975 HHY786434:HHY786511 HHY851970:HHY852047 HHY917506:HHY917583 HHY983042:HHY983119 HRU2:HRU79 HRU65538:HRU65615 HRU131074:HRU131151 HRU196610:HRU196687 HRU262146:HRU262223 HRU327682:HRU327759 HRU393218:HRU393295 HRU458754:HRU458831 HRU524290:HRU524367 HRU589826:HRU589903 HRU655362:HRU655439 HRU720898:HRU720975 HRU786434:HRU786511 HRU851970:HRU852047 HRU917506:HRU917583 HRU983042:HRU983119 IBQ2:IBQ79 IBQ65538:IBQ65615 IBQ131074:IBQ131151 IBQ196610:IBQ196687 IBQ262146:IBQ262223 IBQ327682:IBQ327759 IBQ393218:IBQ393295 IBQ458754:IBQ458831 IBQ524290:IBQ524367 IBQ589826:IBQ589903 IBQ655362:IBQ655439 IBQ720898:IBQ720975 IBQ786434:IBQ786511 IBQ851970:IBQ852047 IBQ917506:IBQ917583 IBQ983042:IBQ983119 ILM2:ILM79 ILM65538:ILM65615 ILM131074:ILM131151 ILM196610:ILM196687 ILM262146:ILM262223 ILM327682:ILM327759 ILM393218:ILM393295 ILM458754:ILM458831 ILM524290:ILM524367 ILM589826:ILM589903 ILM655362:ILM655439 ILM720898:ILM720975 ILM786434:ILM786511 ILM851970:ILM852047 ILM917506:ILM917583 ILM983042:ILM983119 IVI2:IVI79 IVI65538:IVI65615 IVI131074:IVI131151 IVI196610:IVI196687 IVI262146:IVI262223 IVI327682:IVI327759 IVI393218:IVI393295 IVI458754:IVI458831 IVI524290:IVI524367 IVI589826:IVI589903 IVI655362:IVI655439 IVI720898:IVI720975 IVI786434:IVI786511 IVI851970:IVI852047 IVI917506:IVI917583 IVI983042:IVI983119 JFE2:JFE79 JFE65538:JFE65615 JFE131074:JFE131151 JFE196610:JFE196687 JFE262146:JFE262223 JFE327682:JFE327759 JFE393218:JFE393295 JFE458754:JFE458831 JFE524290:JFE524367 JFE589826:JFE589903 JFE655362:JFE655439 JFE720898:JFE720975 JFE786434:JFE786511 JFE851970:JFE852047 JFE917506:JFE917583 JFE983042:JFE983119 JPA2:JPA79 JPA65538:JPA65615 JPA131074:JPA131151 JPA196610:JPA196687 JPA262146:JPA262223 JPA327682:JPA327759 JPA393218:JPA393295 JPA458754:JPA458831 JPA524290:JPA524367 JPA589826:JPA589903 JPA655362:JPA655439 JPA720898:JPA720975 JPA786434:JPA786511 JPA851970:JPA852047 JPA917506:JPA917583 JPA983042:JPA983119 JYW2:JYW79 JYW65538:JYW65615 JYW131074:JYW131151 JYW196610:JYW196687 JYW262146:JYW262223 JYW327682:JYW327759 JYW393218:JYW393295 JYW458754:JYW458831 JYW524290:JYW524367 JYW589826:JYW589903 JYW655362:JYW655439 JYW720898:JYW720975 JYW786434:JYW786511 JYW851970:JYW852047 JYW917506:JYW917583 JYW983042:JYW983119 KIS2:KIS79 KIS65538:KIS65615 KIS131074:KIS131151 KIS196610:KIS196687 KIS262146:KIS262223 KIS327682:KIS327759 KIS393218:KIS393295 KIS458754:KIS458831 KIS524290:KIS524367 KIS589826:KIS589903 KIS655362:KIS655439 KIS720898:KIS720975 KIS786434:KIS786511 KIS851970:KIS852047 KIS917506:KIS917583 KIS983042:KIS983119 KSO2:KSO79 KSO65538:KSO65615 KSO131074:KSO131151 KSO196610:KSO196687 KSO262146:KSO262223 KSO327682:KSO327759 KSO393218:KSO393295 KSO458754:KSO458831 KSO524290:KSO524367 KSO589826:KSO589903 KSO655362:KSO655439 KSO720898:KSO720975 KSO786434:KSO786511 KSO851970:KSO852047 KSO917506:KSO917583 KSO983042:KSO983119 LCK2:LCK79 LCK65538:LCK65615 LCK131074:LCK131151 LCK196610:LCK196687 LCK262146:LCK262223 LCK327682:LCK327759 LCK393218:LCK393295 LCK458754:LCK458831 LCK524290:LCK524367 LCK589826:LCK589903 LCK655362:LCK655439 LCK720898:LCK720975 LCK786434:LCK786511 LCK851970:LCK852047 LCK917506:LCK917583 LCK983042:LCK983119 LMG2:LMG79 LMG65538:LMG65615 LMG131074:LMG131151 LMG196610:LMG196687 LMG262146:LMG262223 LMG327682:LMG327759 LMG393218:LMG393295 LMG458754:LMG458831 LMG524290:LMG524367 LMG589826:LMG589903 LMG655362:LMG655439 LMG720898:LMG720975 LMG786434:LMG786511 LMG851970:LMG852047 LMG917506:LMG917583 LMG983042:LMG983119 LWC2:LWC79 LWC65538:LWC65615 LWC131074:LWC131151 LWC196610:LWC196687 LWC262146:LWC262223 LWC327682:LWC327759 LWC393218:LWC393295 LWC458754:LWC458831 LWC524290:LWC524367 LWC589826:LWC589903 LWC655362:LWC655439 LWC720898:LWC720975 LWC786434:LWC786511 LWC851970:LWC852047 LWC917506:LWC917583 LWC983042:LWC983119 MFY2:MFY79 MFY65538:MFY65615 MFY131074:MFY131151 MFY196610:MFY196687 MFY262146:MFY262223 MFY327682:MFY327759 MFY393218:MFY393295 MFY458754:MFY458831 MFY524290:MFY524367 MFY589826:MFY589903 MFY655362:MFY655439 MFY720898:MFY720975 MFY786434:MFY786511 MFY851970:MFY852047 MFY917506:MFY917583 MFY983042:MFY983119 MPU2:MPU79 MPU65538:MPU65615 MPU131074:MPU131151 MPU196610:MPU196687 MPU262146:MPU262223 MPU327682:MPU327759 MPU393218:MPU393295 MPU458754:MPU458831 MPU524290:MPU524367 MPU589826:MPU589903 MPU655362:MPU655439 MPU720898:MPU720975 MPU786434:MPU786511 MPU851970:MPU852047 MPU917506:MPU917583 MPU983042:MPU983119 MZQ2:MZQ79 MZQ65538:MZQ65615 MZQ131074:MZQ131151 MZQ196610:MZQ196687 MZQ262146:MZQ262223 MZQ327682:MZQ327759 MZQ393218:MZQ393295 MZQ458754:MZQ458831 MZQ524290:MZQ524367 MZQ589826:MZQ589903 MZQ655362:MZQ655439 MZQ720898:MZQ720975 MZQ786434:MZQ786511 MZQ851970:MZQ852047 MZQ917506:MZQ917583 MZQ983042:MZQ983119 NJM2:NJM79 NJM65538:NJM65615 NJM131074:NJM131151 NJM196610:NJM196687 NJM262146:NJM262223 NJM327682:NJM327759 NJM393218:NJM393295 NJM458754:NJM458831 NJM524290:NJM524367 NJM589826:NJM589903 NJM655362:NJM655439 NJM720898:NJM720975 NJM786434:NJM786511 NJM851970:NJM852047 NJM917506:NJM917583 NJM983042:NJM983119 NTI2:NTI79 NTI65538:NTI65615 NTI131074:NTI131151 NTI196610:NTI196687 NTI262146:NTI262223 NTI327682:NTI327759 NTI393218:NTI393295 NTI458754:NTI458831 NTI524290:NTI524367 NTI589826:NTI589903 NTI655362:NTI655439 NTI720898:NTI720975 NTI786434:NTI786511 NTI851970:NTI852047 NTI917506:NTI917583 NTI983042:NTI983119 ODE2:ODE79 ODE65538:ODE65615 ODE131074:ODE131151 ODE196610:ODE196687 ODE262146:ODE262223 ODE327682:ODE327759 ODE393218:ODE393295 ODE458754:ODE458831 ODE524290:ODE524367 ODE589826:ODE589903 ODE655362:ODE655439 ODE720898:ODE720975 ODE786434:ODE786511 ODE851970:ODE852047 ODE917506:ODE917583 ODE983042:ODE983119 ONA2:ONA79 ONA65538:ONA65615 ONA131074:ONA131151 ONA196610:ONA196687 ONA262146:ONA262223 ONA327682:ONA327759 ONA393218:ONA393295 ONA458754:ONA458831 ONA524290:ONA524367 ONA589826:ONA589903 ONA655362:ONA655439 ONA720898:ONA720975 ONA786434:ONA786511 ONA851970:ONA852047 ONA917506:ONA917583 ONA983042:ONA983119 OWW2:OWW79 OWW65538:OWW65615 OWW131074:OWW131151 OWW196610:OWW196687 OWW262146:OWW262223 OWW327682:OWW327759 OWW393218:OWW393295 OWW458754:OWW458831 OWW524290:OWW524367 OWW589826:OWW589903 OWW655362:OWW655439 OWW720898:OWW720975 OWW786434:OWW786511 OWW851970:OWW852047 OWW917506:OWW917583 OWW983042:OWW983119 PGS2:PGS79 PGS65538:PGS65615 PGS131074:PGS131151 PGS196610:PGS196687 PGS262146:PGS262223 PGS327682:PGS327759 PGS393218:PGS393295 PGS458754:PGS458831 PGS524290:PGS524367 PGS589826:PGS589903 PGS655362:PGS655439 PGS720898:PGS720975 PGS786434:PGS786511 PGS851970:PGS852047 PGS917506:PGS917583 PGS983042:PGS983119 PQO2:PQO79 PQO65538:PQO65615 PQO131074:PQO131151 PQO196610:PQO196687 PQO262146:PQO262223 PQO327682:PQO327759 PQO393218:PQO393295 PQO458754:PQO458831 PQO524290:PQO524367 PQO589826:PQO589903 PQO655362:PQO655439 PQO720898:PQO720975 PQO786434:PQO786511 PQO851970:PQO852047 PQO917506:PQO917583 PQO983042:PQO983119 QAK2:QAK79 QAK65538:QAK65615 QAK131074:QAK131151 QAK196610:QAK196687 QAK262146:QAK262223 QAK327682:QAK327759 QAK393218:QAK393295 QAK458754:QAK458831 QAK524290:QAK524367 QAK589826:QAK589903 QAK655362:QAK655439 QAK720898:QAK720975 QAK786434:QAK786511 QAK851970:QAK852047 QAK917506:QAK917583 QAK983042:QAK983119 QKG2:QKG79 QKG65538:QKG65615 QKG131074:QKG131151 QKG196610:QKG196687 QKG262146:QKG262223 QKG327682:QKG327759 QKG393218:QKG393295 QKG458754:QKG458831 QKG524290:QKG524367 QKG589826:QKG589903 QKG655362:QKG655439 QKG720898:QKG720975 QKG786434:QKG786511 QKG851970:QKG852047 QKG917506:QKG917583 QKG983042:QKG983119 QUC2:QUC79 QUC65538:QUC65615 QUC131074:QUC131151 QUC196610:QUC196687 QUC262146:QUC262223 QUC327682:QUC327759 QUC393218:QUC393295 QUC458754:QUC458831 QUC524290:QUC524367 QUC589826:QUC589903 QUC655362:QUC655439 QUC720898:QUC720975 QUC786434:QUC786511 QUC851970:QUC852047 QUC917506:QUC917583 QUC983042:QUC983119 RDY2:RDY79 RDY65538:RDY65615 RDY131074:RDY131151 RDY196610:RDY196687 RDY262146:RDY262223 RDY327682:RDY327759 RDY393218:RDY393295 RDY458754:RDY458831 RDY524290:RDY524367 RDY589826:RDY589903 RDY655362:RDY655439 RDY720898:RDY720975 RDY786434:RDY786511 RDY851970:RDY852047 RDY917506:RDY917583 RDY983042:RDY983119 RNU2:RNU79 RNU65538:RNU65615 RNU131074:RNU131151 RNU196610:RNU196687 RNU262146:RNU262223 RNU327682:RNU327759 RNU393218:RNU393295 RNU458754:RNU458831 RNU524290:RNU524367 RNU589826:RNU589903 RNU655362:RNU655439 RNU720898:RNU720975 RNU786434:RNU786511 RNU851970:RNU852047 RNU917506:RNU917583 RNU983042:RNU983119 RXQ2:RXQ79 RXQ65538:RXQ65615 RXQ131074:RXQ131151 RXQ196610:RXQ196687 RXQ262146:RXQ262223 RXQ327682:RXQ327759 RXQ393218:RXQ393295 RXQ458754:RXQ458831 RXQ524290:RXQ524367 RXQ589826:RXQ589903 RXQ655362:RXQ655439 RXQ720898:RXQ720975 RXQ786434:RXQ786511 RXQ851970:RXQ852047 RXQ917506:RXQ917583 RXQ983042:RXQ983119 SHM2:SHM79 SHM65538:SHM65615 SHM131074:SHM131151 SHM196610:SHM196687 SHM262146:SHM262223 SHM327682:SHM327759 SHM393218:SHM393295 SHM458754:SHM458831 SHM524290:SHM524367 SHM589826:SHM589903 SHM655362:SHM655439 SHM720898:SHM720975 SHM786434:SHM786511 SHM851970:SHM852047 SHM917506:SHM917583 SHM983042:SHM983119 SRI2:SRI79 SRI65538:SRI65615 SRI131074:SRI131151 SRI196610:SRI196687 SRI262146:SRI262223 SRI327682:SRI327759 SRI393218:SRI393295 SRI458754:SRI458831 SRI524290:SRI524367 SRI589826:SRI589903 SRI655362:SRI655439 SRI720898:SRI720975 SRI786434:SRI786511 SRI851970:SRI852047 SRI917506:SRI917583 SRI983042:SRI983119 TBE2:TBE79 TBE65538:TBE65615 TBE131074:TBE131151 TBE196610:TBE196687 TBE262146:TBE262223 TBE327682:TBE327759 TBE393218:TBE393295 TBE458754:TBE458831 TBE524290:TBE524367 TBE589826:TBE589903 TBE655362:TBE655439 TBE720898:TBE720975 TBE786434:TBE786511 TBE851970:TBE852047 TBE917506:TBE917583 TBE983042:TBE983119 TLA2:TLA79 TLA65538:TLA65615 TLA131074:TLA131151 TLA196610:TLA196687 TLA262146:TLA262223 TLA327682:TLA327759 TLA393218:TLA393295 TLA458754:TLA458831 TLA524290:TLA524367 TLA589826:TLA589903 TLA655362:TLA655439 TLA720898:TLA720975 TLA786434:TLA786511 TLA851970:TLA852047 TLA917506:TLA917583 TLA983042:TLA983119 TUW2:TUW79 TUW65538:TUW65615 TUW131074:TUW131151 TUW196610:TUW196687 TUW262146:TUW262223 TUW327682:TUW327759 TUW393218:TUW393295 TUW458754:TUW458831 TUW524290:TUW524367 TUW589826:TUW589903 TUW655362:TUW655439 TUW720898:TUW720975 TUW786434:TUW786511 TUW851970:TUW852047 TUW917506:TUW917583 TUW983042:TUW983119 UES2:UES79 UES65538:UES65615 UES131074:UES131151 UES196610:UES196687 UES262146:UES262223 UES327682:UES327759 UES393218:UES393295 UES458754:UES458831 UES524290:UES524367 UES589826:UES589903 UES655362:UES655439 UES720898:UES720975 UES786434:UES786511 UES851970:UES852047 UES917506:UES917583 UES983042:UES983119 UOO2:UOO79 UOO65538:UOO65615 UOO131074:UOO131151 UOO196610:UOO196687 UOO262146:UOO262223 UOO327682:UOO327759 UOO393218:UOO393295 UOO458754:UOO458831 UOO524290:UOO524367 UOO589826:UOO589903 UOO655362:UOO655439 UOO720898:UOO720975 UOO786434:UOO786511 UOO851970:UOO852047 UOO917506:UOO917583 UOO983042:UOO983119 UYK2:UYK79 UYK65538:UYK65615 UYK131074:UYK131151 UYK196610:UYK196687 UYK262146:UYK262223 UYK327682:UYK327759 UYK393218:UYK393295 UYK458754:UYK458831 UYK524290:UYK524367 UYK589826:UYK589903 UYK655362:UYK655439 UYK720898:UYK720975 UYK786434:UYK786511 UYK851970:UYK852047 UYK917506:UYK917583 UYK983042:UYK983119 VIG2:VIG79 VIG65538:VIG65615 VIG131074:VIG131151 VIG196610:VIG196687 VIG262146:VIG262223 VIG327682:VIG327759 VIG393218:VIG393295 VIG458754:VIG458831 VIG524290:VIG524367 VIG589826:VIG589903 VIG655362:VIG655439 VIG720898:VIG720975 VIG786434:VIG786511 VIG851970:VIG852047 VIG917506:VIG917583 VIG983042:VIG983119 VSC2:VSC79 VSC65538:VSC65615 VSC131074:VSC131151 VSC196610:VSC196687 VSC262146:VSC262223 VSC327682:VSC327759 VSC393218:VSC393295 VSC458754:VSC458831 VSC524290:VSC524367 VSC589826:VSC589903 VSC655362:VSC655439 VSC720898:VSC720975 VSC786434:VSC786511 VSC851970:VSC852047 VSC917506:VSC917583 VSC983042:VSC983119 WBY2:WBY79 WBY65538:WBY65615 WBY131074:WBY131151 WBY196610:WBY196687 WBY262146:WBY262223 WBY327682:WBY327759 WBY393218:WBY393295 WBY458754:WBY458831 WBY524290:WBY524367 WBY589826:WBY589903 WBY655362:WBY655439 WBY720898:WBY720975 WBY786434:WBY786511 WBY851970:WBY852047 WBY917506:WBY917583 WBY983042:WBY983119 WLU2:WLU79 WLU65538:WLU65615 WLU131074:WLU131151 WLU196610:WLU196687 WLU262146:WLU262223 WLU327682:WLU327759 WLU393218:WLU393295 WLU458754:WLU458831 WLU524290:WLU524367 WLU589826:WLU589903 WLU655362:WLU655439 WLU720898:WLU720975 WLU786434:WLU786511 WLU851970:WLU852047 WLU917506:WLU917583 WLU983042:WLU983119 WVQ2:WVQ79 WVQ65538:WVQ65615 WVQ131074:WVQ131151 WVQ196610:WVQ196687 WVQ262146:WVQ262223 WVQ327682:WVQ327759 WVQ393218:WVQ393295 WVQ458754:WVQ458831 WVQ524290:WVQ524367 WVQ589826:WVQ589903 WVQ655362:WVQ655439 WVQ720898:WVQ720975 WVQ786434:WVQ786511 WVQ851970:WVQ852047 WVQ917506:WVQ917583 WVQ983042:WVQ983119" xr:uid="{A5C6987D-6496-43F0-A4C3-D751189D5887}">
      <formula1>$AN$5:$AN$6</formula1>
    </dataValidation>
    <dataValidation type="list" allowBlank="1" showInputMessage="1" showErrorMessage="1" sqref="H65538:H65615 H131074:H131151 H196610:H196687 H262146:H262223 H327682:H327759 H393218:H393295 H458754:H458831 H524290:H524367 H589826:H589903 H655362:H655439 H720898:H720975 H786434:H786511 H851970:H852047 H917506:H917583 H983042:H983119 JD2:JD79 JD65538:JD65615 JD131074:JD131151 JD196610:JD196687 JD262146:JD262223 JD327682:JD327759 JD393218:JD393295 JD458754:JD458831 JD524290:JD524367 JD589826:JD589903 JD655362:JD655439 JD720898:JD720975 JD786434:JD786511 JD851970:JD852047 JD917506:JD917583 JD983042:JD983119 SZ2:SZ79 SZ65538:SZ65615 SZ131074:SZ131151 SZ196610:SZ196687 SZ262146:SZ262223 SZ327682:SZ327759 SZ393218:SZ393295 SZ458754:SZ458831 SZ524290:SZ524367 SZ589826:SZ589903 SZ655362:SZ655439 SZ720898:SZ720975 SZ786434:SZ786511 SZ851970:SZ852047 SZ917506:SZ917583 SZ983042:SZ983119 ACV2:ACV79 ACV65538:ACV65615 ACV131074:ACV131151 ACV196610:ACV196687 ACV262146:ACV262223 ACV327682:ACV327759 ACV393218:ACV393295 ACV458754:ACV458831 ACV524290:ACV524367 ACV589826:ACV589903 ACV655362:ACV655439 ACV720898:ACV720975 ACV786434:ACV786511 ACV851970:ACV852047 ACV917506:ACV917583 ACV983042:ACV983119 AMR2:AMR79 AMR65538:AMR65615 AMR131074:AMR131151 AMR196610:AMR196687 AMR262146:AMR262223 AMR327682:AMR327759 AMR393218:AMR393295 AMR458754:AMR458831 AMR524290:AMR524367 AMR589826:AMR589903 AMR655362:AMR655439 AMR720898:AMR720975 AMR786434:AMR786511 AMR851970:AMR852047 AMR917506:AMR917583 AMR983042:AMR983119 AWN2:AWN79 AWN65538:AWN65615 AWN131074:AWN131151 AWN196610:AWN196687 AWN262146:AWN262223 AWN327682:AWN327759 AWN393218:AWN393295 AWN458754:AWN458831 AWN524290:AWN524367 AWN589826:AWN589903 AWN655362:AWN655439 AWN720898:AWN720975 AWN786434:AWN786511 AWN851970:AWN852047 AWN917506:AWN917583 AWN983042:AWN983119 BGJ2:BGJ79 BGJ65538:BGJ65615 BGJ131074:BGJ131151 BGJ196610:BGJ196687 BGJ262146:BGJ262223 BGJ327682:BGJ327759 BGJ393218:BGJ393295 BGJ458754:BGJ458831 BGJ524290:BGJ524367 BGJ589826:BGJ589903 BGJ655362:BGJ655439 BGJ720898:BGJ720975 BGJ786434:BGJ786511 BGJ851970:BGJ852047 BGJ917506:BGJ917583 BGJ983042:BGJ983119 BQF2:BQF79 BQF65538:BQF65615 BQF131074:BQF131151 BQF196610:BQF196687 BQF262146:BQF262223 BQF327682:BQF327759 BQF393218:BQF393295 BQF458754:BQF458831 BQF524290:BQF524367 BQF589826:BQF589903 BQF655362:BQF655439 BQF720898:BQF720975 BQF786434:BQF786511 BQF851970:BQF852047 BQF917506:BQF917583 BQF983042:BQF983119 CAB2:CAB79 CAB65538:CAB65615 CAB131074:CAB131151 CAB196610:CAB196687 CAB262146:CAB262223 CAB327682:CAB327759 CAB393218:CAB393295 CAB458754:CAB458831 CAB524290:CAB524367 CAB589826:CAB589903 CAB655362:CAB655439 CAB720898:CAB720975 CAB786434:CAB786511 CAB851970:CAB852047 CAB917506:CAB917583 CAB983042:CAB983119 CJX2:CJX79 CJX65538:CJX65615 CJX131074:CJX131151 CJX196610:CJX196687 CJX262146:CJX262223 CJX327682:CJX327759 CJX393218:CJX393295 CJX458754:CJX458831 CJX524290:CJX524367 CJX589826:CJX589903 CJX655362:CJX655439 CJX720898:CJX720975 CJX786434:CJX786511 CJX851970:CJX852047 CJX917506:CJX917583 CJX983042:CJX983119 CTT2:CTT79 CTT65538:CTT65615 CTT131074:CTT131151 CTT196610:CTT196687 CTT262146:CTT262223 CTT327682:CTT327759 CTT393218:CTT393295 CTT458754:CTT458831 CTT524290:CTT524367 CTT589826:CTT589903 CTT655362:CTT655439 CTT720898:CTT720975 CTT786434:CTT786511 CTT851970:CTT852047 CTT917506:CTT917583 CTT983042:CTT983119 DDP2:DDP79 DDP65538:DDP65615 DDP131074:DDP131151 DDP196610:DDP196687 DDP262146:DDP262223 DDP327682:DDP327759 DDP393218:DDP393295 DDP458754:DDP458831 DDP524290:DDP524367 DDP589826:DDP589903 DDP655362:DDP655439 DDP720898:DDP720975 DDP786434:DDP786511 DDP851970:DDP852047 DDP917506:DDP917583 DDP983042:DDP983119 DNL2:DNL79 DNL65538:DNL65615 DNL131074:DNL131151 DNL196610:DNL196687 DNL262146:DNL262223 DNL327682:DNL327759 DNL393218:DNL393295 DNL458754:DNL458831 DNL524290:DNL524367 DNL589826:DNL589903 DNL655362:DNL655439 DNL720898:DNL720975 DNL786434:DNL786511 DNL851970:DNL852047 DNL917506:DNL917583 DNL983042:DNL983119 DXH2:DXH79 DXH65538:DXH65615 DXH131074:DXH131151 DXH196610:DXH196687 DXH262146:DXH262223 DXH327682:DXH327759 DXH393218:DXH393295 DXH458754:DXH458831 DXH524290:DXH524367 DXH589826:DXH589903 DXH655362:DXH655439 DXH720898:DXH720975 DXH786434:DXH786511 DXH851970:DXH852047 DXH917506:DXH917583 DXH983042:DXH983119 EHD2:EHD79 EHD65538:EHD65615 EHD131074:EHD131151 EHD196610:EHD196687 EHD262146:EHD262223 EHD327682:EHD327759 EHD393218:EHD393295 EHD458754:EHD458831 EHD524290:EHD524367 EHD589826:EHD589903 EHD655362:EHD655439 EHD720898:EHD720975 EHD786434:EHD786511 EHD851970:EHD852047 EHD917506:EHD917583 EHD983042:EHD983119 EQZ2:EQZ79 EQZ65538:EQZ65615 EQZ131074:EQZ131151 EQZ196610:EQZ196687 EQZ262146:EQZ262223 EQZ327682:EQZ327759 EQZ393218:EQZ393295 EQZ458754:EQZ458831 EQZ524290:EQZ524367 EQZ589826:EQZ589903 EQZ655362:EQZ655439 EQZ720898:EQZ720975 EQZ786434:EQZ786511 EQZ851970:EQZ852047 EQZ917506:EQZ917583 EQZ983042:EQZ983119 FAV2:FAV79 FAV65538:FAV65615 FAV131074:FAV131151 FAV196610:FAV196687 FAV262146:FAV262223 FAV327682:FAV327759 FAV393218:FAV393295 FAV458754:FAV458831 FAV524290:FAV524367 FAV589826:FAV589903 FAV655362:FAV655439 FAV720898:FAV720975 FAV786434:FAV786511 FAV851970:FAV852047 FAV917506:FAV917583 FAV983042:FAV983119 FKR2:FKR79 FKR65538:FKR65615 FKR131074:FKR131151 FKR196610:FKR196687 FKR262146:FKR262223 FKR327682:FKR327759 FKR393218:FKR393295 FKR458754:FKR458831 FKR524290:FKR524367 FKR589826:FKR589903 FKR655362:FKR655439 FKR720898:FKR720975 FKR786434:FKR786511 FKR851970:FKR852047 FKR917506:FKR917583 FKR983042:FKR983119 FUN2:FUN79 FUN65538:FUN65615 FUN131074:FUN131151 FUN196610:FUN196687 FUN262146:FUN262223 FUN327682:FUN327759 FUN393218:FUN393295 FUN458754:FUN458831 FUN524290:FUN524367 FUN589826:FUN589903 FUN655362:FUN655439 FUN720898:FUN720975 FUN786434:FUN786511 FUN851970:FUN852047 FUN917506:FUN917583 FUN983042:FUN983119 GEJ2:GEJ79 GEJ65538:GEJ65615 GEJ131074:GEJ131151 GEJ196610:GEJ196687 GEJ262146:GEJ262223 GEJ327682:GEJ327759 GEJ393218:GEJ393295 GEJ458754:GEJ458831 GEJ524290:GEJ524367 GEJ589826:GEJ589903 GEJ655362:GEJ655439 GEJ720898:GEJ720975 GEJ786434:GEJ786511 GEJ851970:GEJ852047 GEJ917506:GEJ917583 GEJ983042:GEJ983119 GOF2:GOF79 GOF65538:GOF65615 GOF131074:GOF131151 GOF196610:GOF196687 GOF262146:GOF262223 GOF327682:GOF327759 GOF393218:GOF393295 GOF458754:GOF458831 GOF524290:GOF524367 GOF589826:GOF589903 GOF655362:GOF655439 GOF720898:GOF720975 GOF786434:GOF786511 GOF851970:GOF852047 GOF917506:GOF917583 GOF983042:GOF983119 GYB2:GYB79 GYB65538:GYB65615 GYB131074:GYB131151 GYB196610:GYB196687 GYB262146:GYB262223 GYB327682:GYB327759 GYB393218:GYB393295 GYB458754:GYB458831 GYB524290:GYB524367 GYB589826:GYB589903 GYB655362:GYB655439 GYB720898:GYB720975 GYB786434:GYB786511 GYB851970:GYB852047 GYB917506:GYB917583 GYB983042:GYB983119 HHX2:HHX79 HHX65538:HHX65615 HHX131074:HHX131151 HHX196610:HHX196687 HHX262146:HHX262223 HHX327682:HHX327759 HHX393218:HHX393295 HHX458754:HHX458831 HHX524290:HHX524367 HHX589826:HHX589903 HHX655362:HHX655439 HHX720898:HHX720975 HHX786434:HHX786511 HHX851970:HHX852047 HHX917506:HHX917583 HHX983042:HHX983119 HRT2:HRT79 HRT65538:HRT65615 HRT131074:HRT131151 HRT196610:HRT196687 HRT262146:HRT262223 HRT327682:HRT327759 HRT393218:HRT393295 HRT458754:HRT458831 HRT524290:HRT524367 HRT589826:HRT589903 HRT655362:HRT655439 HRT720898:HRT720975 HRT786434:HRT786511 HRT851970:HRT852047 HRT917506:HRT917583 HRT983042:HRT983119 IBP2:IBP79 IBP65538:IBP65615 IBP131074:IBP131151 IBP196610:IBP196687 IBP262146:IBP262223 IBP327682:IBP327759 IBP393218:IBP393295 IBP458754:IBP458831 IBP524290:IBP524367 IBP589826:IBP589903 IBP655362:IBP655439 IBP720898:IBP720975 IBP786434:IBP786511 IBP851970:IBP852047 IBP917506:IBP917583 IBP983042:IBP983119 ILL2:ILL79 ILL65538:ILL65615 ILL131074:ILL131151 ILL196610:ILL196687 ILL262146:ILL262223 ILL327682:ILL327759 ILL393218:ILL393295 ILL458754:ILL458831 ILL524290:ILL524367 ILL589826:ILL589903 ILL655362:ILL655439 ILL720898:ILL720975 ILL786434:ILL786511 ILL851970:ILL852047 ILL917506:ILL917583 ILL983042:ILL983119 IVH2:IVH79 IVH65538:IVH65615 IVH131074:IVH131151 IVH196610:IVH196687 IVH262146:IVH262223 IVH327682:IVH327759 IVH393218:IVH393295 IVH458754:IVH458831 IVH524290:IVH524367 IVH589826:IVH589903 IVH655362:IVH655439 IVH720898:IVH720975 IVH786434:IVH786511 IVH851970:IVH852047 IVH917506:IVH917583 IVH983042:IVH983119 JFD2:JFD79 JFD65538:JFD65615 JFD131074:JFD131151 JFD196610:JFD196687 JFD262146:JFD262223 JFD327682:JFD327759 JFD393218:JFD393295 JFD458754:JFD458831 JFD524290:JFD524367 JFD589826:JFD589903 JFD655362:JFD655439 JFD720898:JFD720975 JFD786434:JFD786511 JFD851970:JFD852047 JFD917506:JFD917583 JFD983042:JFD983119 JOZ2:JOZ79 JOZ65538:JOZ65615 JOZ131074:JOZ131151 JOZ196610:JOZ196687 JOZ262146:JOZ262223 JOZ327682:JOZ327759 JOZ393218:JOZ393295 JOZ458754:JOZ458831 JOZ524290:JOZ524367 JOZ589826:JOZ589903 JOZ655362:JOZ655439 JOZ720898:JOZ720975 JOZ786434:JOZ786511 JOZ851970:JOZ852047 JOZ917506:JOZ917583 JOZ983042:JOZ983119 JYV2:JYV79 JYV65538:JYV65615 JYV131074:JYV131151 JYV196610:JYV196687 JYV262146:JYV262223 JYV327682:JYV327759 JYV393218:JYV393295 JYV458754:JYV458831 JYV524290:JYV524367 JYV589826:JYV589903 JYV655362:JYV655439 JYV720898:JYV720975 JYV786434:JYV786511 JYV851970:JYV852047 JYV917506:JYV917583 JYV983042:JYV983119 KIR2:KIR79 KIR65538:KIR65615 KIR131074:KIR131151 KIR196610:KIR196687 KIR262146:KIR262223 KIR327682:KIR327759 KIR393218:KIR393295 KIR458754:KIR458831 KIR524290:KIR524367 KIR589826:KIR589903 KIR655362:KIR655439 KIR720898:KIR720975 KIR786434:KIR786511 KIR851970:KIR852047 KIR917506:KIR917583 KIR983042:KIR983119 KSN2:KSN79 KSN65538:KSN65615 KSN131074:KSN131151 KSN196610:KSN196687 KSN262146:KSN262223 KSN327682:KSN327759 KSN393218:KSN393295 KSN458754:KSN458831 KSN524290:KSN524367 KSN589826:KSN589903 KSN655362:KSN655439 KSN720898:KSN720975 KSN786434:KSN786511 KSN851970:KSN852047 KSN917506:KSN917583 KSN983042:KSN983119 LCJ2:LCJ79 LCJ65538:LCJ65615 LCJ131074:LCJ131151 LCJ196610:LCJ196687 LCJ262146:LCJ262223 LCJ327682:LCJ327759 LCJ393218:LCJ393295 LCJ458754:LCJ458831 LCJ524290:LCJ524367 LCJ589826:LCJ589903 LCJ655362:LCJ655439 LCJ720898:LCJ720975 LCJ786434:LCJ786511 LCJ851970:LCJ852047 LCJ917506:LCJ917583 LCJ983042:LCJ983119 LMF2:LMF79 LMF65538:LMF65615 LMF131074:LMF131151 LMF196610:LMF196687 LMF262146:LMF262223 LMF327682:LMF327759 LMF393218:LMF393295 LMF458754:LMF458831 LMF524290:LMF524367 LMF589826:LMF589903 LMF655362:LMF655439 LMF720898:LMF720975 LMF786434:LMF786511 LMF851970:LMF852047 LMF917506:LMF917583 LMF983042:LMF983119 LWB2:LWB79 LWB65538:LWB65615 LWB131074:LWB131151 LWB196610:LWB196687 LWB262146:LWB262223 LWB327682:LWB327759 LWB393218:LWB393295 LWB458754:LWB458831 LWB524290:LWB524367 LWB589826:LWB589903 LWB655362:LWB655439 LWB720898:LWB720975 LWB786434:LWB786511 LWB851970:LWB852047 LWB917506:LWB917583 LWB983042:LWB983119 MFX2:MFX79 MFX65538:MFX65615 MFX131074:MFX131151 MFX196610:MFX196687 MFX262146:MFX262223 MFX327682:MFX327759 MFX393218:MFX393295 MFX458754:MFX458831 MFX524290:MFX524367 MFX589826:MFX589903 MFX655362:MFX655439 MFX720898:MFX720975 MFX786434:MFX786511 MFX851970:MFX852047 MFX917506:MFX917583 MFX983042:MFX983119 MPT2:MPT79 MPT65538:MPT65615 MPT131074:MPT131151 MPT196610:MPT196687 MPT262146:MPT262223 MPT327682:MPT327759 MPT393218:MPT393295 MPT458754:MPT458831 MPT524290:MPT524367 MPT589826:MPT589903 MPT655362:MPT655439 MPT720898:MPT720975 MPT786434:MPT786511 MPT851970:MPT852047 MPT917506:MPT917583 MPT983042:MPT983119 MZP2:MZP79 MZP65538:MZP65615 MZP131074:MZP131151 MZP196610:MZP196687 MZP262146:MZP262223 MZP327682:MZP327759 MZP393218:MZP393295 MZP458754:MZP458831 MZP524290:MZP524367 MZP589826:MZP589903 MZP655362:MZP655439 MZP720898:MZP720975 MZP786434:MZP786511 MZP851970:MZP852047 MZP917506:MZP917583 MZP983042:MZP983119 NJL2:NJL79 NJL65538:NJL65615 NJL131074:NJL131151 NJL196610:NJL196687 NJL262146:NJL262223 NJL327682:NJL327759 NJL393218:NJL393295 NJL458754:NJL458831 NJL524290:NJL524367 NJL589826:NJL589903 NJL655362:NJL655439 NJL720898:NJL720975 NJL786434:NJL786511 NJL851970:NJL852047 NJL917506:NJL917583 NJL983042:NJL983119 NTH2:NTH79 NTH65538:NTH65615 NTH131074:NTH131151 NTH196610:NTH196687 NTH262146:NTH262223 NTH327682:NTH327759 NTH393218:NTH393295 NTH458754:NTH458831 NTH524290:NTH524367 NTH589826:NTH589903 NTH655362:NTH655439 NTH720898:NTH720975 NTH786434:NTH786511 NTH851970:NTH852047 NTH917506:NTH917583 NTH983042:NTH983119 ODD2:ODD79 ODD65538:ODD65615 ODD131074:ODD131151 ODD196610:ODD196687 ODD262146:ODD262223 ODD327682:ODD327759 ODD393218:ODD393295 ODD458754:ODD458831 ODD524290:ODD524367 ODD589826:ODD589903 ODD655362:ODD655439 ODD720898:ODD720975 ODD786434:ODD786511 ODD851970:ODD852047 ODD917506:ODD917583 ODD983042:ODD983119 OMZ2:OMZ79 OMZ65538:OMZ65615 OMZ131074:OMZ131151 OMZ196610:OMZ196687 OMZ262146:OMZ262223 OMZ327682:OMZ327759 OMZ393218:OMZ393295 OMZ458754:OMZ458831 OMZ524290:OMZ524367 OMZ589826:OMZ589903 OMZ655362:OMZ655439 OMZ720898:OMZ720975 OMZ786434:OMZ786511 OMZ851970:OMZ852047 OMZ917506:OMZ917583 OMZ983042:OMZ983119 OWV2:OWV79 OWV65538:OWV65615 OWV131074:OWV131151 OWV196610:OWV196687 OWV262146:OWV262223 OWV327682:OWV327759 OWV393218:OWV393295 OWV458754:OWV458831 OWV524290:OWV524367 OWV589826:OWV589903 OWV655362:OWV655439 OWV720898:OWV720975 OWV786434:OWV786511 OWV851970:OWV852047 OWV917506:OWV917583 OWV983042:OWV983119 PGR2:PGR79 PGR65538:PGR65615 PGR131074:PGR131151 PGR196610:PGR196687 PGR262146:PGR262223 PGR327682:PGR327759 PGR393218:PGR393295 PGR458754:PGR458831 PGR524290:PGR524367 PGR589826:PGR589903 PGR655362:PGR655439 PGR720898:PGR720975 PGR786434:PGR786511 PGR851970:PGR852047 PGR917506:PGR917583 PGR983042:PGR983119 PQN2:PQN79 PQN65538:PQN65615 PQN131074:PQN131151 PQN196610:PQN196687 PQN262146:PQN262223 PQN327682:PQN327759 PQN393218:PQN393295 PQN458754:PQN458831 PQN524290:PQN524367 PQN589826:PQN589903 PQN655362:PQN655439 PQN720898:PQN720975 PQN786434:PQN786511 PQN851970:PQN852047 PQN917506:PQN917583 PQN983042:PQN983119 QAJ2:QAJ79 QAJ65538:QAJ65615 QAJ131074:QAJ131151 QAJ196610:QAJ196687 QAJ262146:QAJ262223 QAJ327682:QAJ327759 QAJ393218:QAJ393295 QAJ458754:QAJ458831 QAJ524290:QAJ524367 QAJ589826:QAJ589903 QAJ655362:QAJ655439 QAJ720898:QAJ720975 QAJ786434:QAJ786511 QAJ851970:QAJ852047 QAJ917506:QAJ917583 QAJ983042:QAJ983119 QKF2:QKF79 QKF65538:QKF65615 QKF131074:QKF131151 QKF196610:QKF196687 QKF262146:QKF262223 QKF327682:QKF327759 QKF393218:QKF393295 QKF458754:QKF458831 QKF524290:QKF524367 QKF589826:QKF589903 QKF655362:QKF655439 QKF720898:QKF720975 QKF786434:QKF786511 QKF851970:QKF852047 QKF917506:QKF917583 QKF983042:QKF983119 QUB2:QUB79 QUB65538:QUB65615 QUB131074:QUB131151 QUB196610:QUB196687 QUB262146:QUB262223 QUB327682:QUB327759 QUB393218:QUB393295 QUB458754:QUB458831 QUB524290:QUB524367 QUB589826:QUB589903 QUB655362:QUB655439 QUB720898:QUB720975 QUB786434:QUB786511 QUB851970:QUB852047 QUB917506:QUB917583 QUB983042:QUB983119 RDX2:RDX79 RDX65538:RDX65615 RDX131074:RDX131151 RDX196610:RDX196687 RDX262146:RDX262223 RDX327682:RDX327759 RDX393218:RDX393295 RDX458754:RDX458831 RDX524290:RDX524367 RDX589826:RDX589903 RDX655362:RDX655439 RDX720898:RDX720975 RDX786434:RDX786511 RDX851970:RDX852047 RDX917506:RDX917583 RDX983042:RDX983119 RNT2:RNT79 RNT65538:RNT65615 RNT131074:RNT131151 RNT196610:RNT196687 RNT262146:RNT262223 RNT327682:RNT327759 RNT393218:RNT393295 RNT458754:RNT458831 RNT524290:RNT524367 RNT589826:RNT589903 RNT655362:RNT655439 RNT720898:RNT720975 RNT786434:RNT786511 RNT851970:RNT852047 RNT917506:RNT917583 RNT983042:RNT983119 RXP2:RXP79 RXP65538:RXP65615 RXP131074:RXP131151 RXP196610:RXP196687 RXP262146:RXP262223 RXP327682:RXP327759 RXP393218:RXP393295 RXP458754:RXP458831 RXP524290:RXP524367 RXP589826:RXP589903 RXP655362:RXP655439 RXP720898:RXP720975 RXP786434:RXP786511 RXP851970:RXP852047 RXP917506:RXP917583 RXP983042:RXP983119 SHL2:SHL79 SHL65538:SHL65615 SHL131074:SHL131151 SHL196610:SHL196687 SHL262146:SHL262223 SHL327682:SHL327759 SHL393218:SHL393295 SHL458754:SHL458831 SHL524290:SHL524367 SHL589826:SHL589903 SHL655362:SHL655439 SHL720898:SHL720975 SHL786434:SHL786511 SHL851970:SHL852047 SHL917506:SHL917583 SHL983042:SHL983119 SRH2:SRH79 SRH65538:SRH65615 SRH131074:SRH131151 SRH196610:SRH196687 SRH262146:SRH262223 SRH327682:SRH327759 SRH393218:SRH393295 SRH458754:SRH458831 SRH524290:SRH524367 SRH589826:SRH589903 SRH655362:SRH655439 SRH720898:SRH720975 SRH786434:SRH786511 SRH851970:SRH852047 SRH917506:SRH917583 SRH983042:SRH983119 TBD2:TBD79 TBD65538:TBD65615 TBD131074:TBD131151 TBD196610:TBD196687 TBD262146:TBD262223 TBD327682:TBD327759 TBD393218:TBD393295 TBD458754:TBD458831 TBD524290:TBD524367 TBD589826:TBD589903 TBD655362:TBD655439 TBD720898:TBD720975 TBD786434:TBD786511 TBD851970:TBD852047 TBD917506:TBD917583 TBD983042:TBD983119 TKZ2:TKZ79 TKZ65538:TKZ65615 TKZ131074:TKZ131151 TKZ196610:TKZ196687 TKZ262146:TKZ262223 TKZ327682:TKZ327759 TKZ393218:TKZ393295 TKZ458754:TKZ458831 TKZ524290:TKZ524367 TKZ589826:TKZ589903 TKZ655362:TKZ655439 TKZ720898:TKZ720975 TKZ786434:TKZ786511 TKZ851970:TKZ852047 TKZ917506:TKZ917583 TKZ983042:TKZ983119 TUV2:TUV79 TUV65538:TUV65615 TUV131074:TUV131151 TUV196610:TUV196687 TUV262146:TUV262223 TUV327682:TUV327759 TUV393218:TUV393295 TUV458754:TUV458831 TUV524290:TUV524367 TUV589826:TUV589903 TUV655362:TUV655439 TUV720898:TUV720975 TUV786434:TUV786511 TUV851970:TUV852047 TUV917506:TUV917583 TUV983042:TUV983119 UER2:UER79 UER65538:UER65615 UER131074:UER131151 UER196610:UER196687 UER262146:UER262223 UER327682:UER327759 UER393218:UER393295 UER458754:UER458831 UER524290:UER524367 UER589826:UER589903 UER655362:UER655439 UER720898:UER720975 UER786434:UER786511 UER851970:UER852047 UER917506:UER917583 UER983042:UER983119 UON2:UON79 UON65538:UON65615 UON131074:UON131151 UON196610:UON196687 UON262146:UON262223 UON327682:UON327759 UON393218:UON393295 UON458754:UON458831 UON524290:UON524367 UON589826:UON589903 UON655362:UON655439 UON720898:UON720975 UON786434:UON786511 UON851970:UON852047 UON917506:UON917583 UON983042:UON983119 UYJ2:UYJ79 UYJ65538:UYJ65615 UYJ131074:UYJ131151 UYJ196610:UYJ196687 UYJ262146:UYJ262223 UYJ327682:UYJ327759 UYJ393218:UYJ393295 UYJ458754:UYJ458831 UYJ524290:UYJ524367 UYJ589826:UYJ589903 UYJ655362:UYJ655439 UYJ720898:UYJ720975 UYJ786434:UYJ786511 UYJ851970:UYJ852047 UYJ917506:UYJ917583 UYJ983042:UYJ983119 VIF2:VIF79 VIF65538:VIF65615 VIF131074:VIF131151 VIF196610:VIF196687 VIF262146:VIF262223 VIF327682:VIF327759 VIF393218:VIF393295 VIF458754:VIF458831 VIF524290:VIF524367 VIF589826:VIF589903 VIF655362:VIF655439 VIF720898:VIF720975 VIF786434:VIF786511 VIF851970:VIF852047 VIF917506:VIF917583 VIF983042:VIF983119 VSB2:VSB79 VSB65538:VSB65615 VSB131074:VSB131151 VSB196610:VSB196687 VSB262146:VSB262223 VSB327682:VSB327759 VSB393218:VSB393295 VSB458754:VSB458831 VSB524290:VSB524367 VSB589826:VSB589903 VSB655362:VSB655439 VSB720898:VSB720975 VSB786434:VSB786511 VSB851970:VSB852047 VSB917506:VSB917583 VSB983042:VSB983119 WBX2:WBX79 WBX65538:WBX65615 WBX131074:WBX131151 WBX196610:WBX196687 WBX262146:WBX262223 WBX327682:WBX327759 WBX393218:WBX393295 WBX458754:WBX458831 WBX524290:WBX524367 WBX589826:WBX589903 WBX655362:WBX655439 WBX720898:WBX720975 WBX786434:WBX786511 WBX851970:WBX852047 WBX917506:WBX917583 WBX983042:WBX983119 WLT2:WLT79 WLT65538:WLT65615 WLT131074:WLT131151 WLT196610:WLT196687 WLT262146:WLT262223 WLT327682:WLT327759 WLT393218:WLT393295 WLT458754:WLT458831 WLT524290:WLT524367 WLT589826:WLT589903 WLT655362:WLT655439 WLT720898:WLT720975 WLT786434:WLT786511 WLT851970:WLT852047 WLT917506:WLT917583 WLT983042:WLT983119 WVP2:WVP79 WVP65538:WVP65615 WVP131074:WVP131151 WVP196610:WVP196687 WVP262146:WVP262223 WVP327682:WVP327759 WVP393218:WVP393295 WVP458754:WVP458831 WVP524290:WVP524367 WVP589826:WVP589903 WVP655362:WVP655439 WVP720898:WVP720975 WVP786434:WVP786511 WVP851970:WVP852047 WVP917506:WVP917583 WVP983042:WVP983119" xr:uid="{6F95F540-553B-4F44-80FE-8B20E5627120}">
      <formula1>$AL$4:$AL$12</formula1>
    </dataValidation>
    <dataValidation type="list" allowBlank="1" showInputMessage="1" showErrorMessage="1" sqref="Y2:AA500" xr:uid="{BB9179F8-5963-49DA-A048-9DF5E380276A}">
      <formula1>$AV$2:$AV$21</formula1>
    </dataValidation>
    <dataValidation type="list" allowBlank="1" showInputMessage="1" showErrorMessage="1" sqref="H2:H500" xr:uid="{17E59498-7033-4BA1-9F0D-91EB117A5760}">
      <formula1>$AL$2:$AL$8</formula1>
    </dataValidation>
    <dataValidation type="list" allowBlank="1" showInputMessage="1" showErrorMessage="1" sqref="J2:J500 J65538:J65615 J131074:J131151 J196610:J196687 J262146:J262223 J327682:J327759 J393218:J393295 J458754:J458831 J524290:J524367 J589826:J589903 J655362:J655439 J720898:J720975 J786434:J786511 J851970:J852047 J917506:J917583 J983042:J983119 JF2:JF79 JF65538:JF65615 JF131074:JF131151 JF196610:JF196687 JF262146:JF262223 JF327682:JF327759 JF393218:JF393295 JF458754:JF458831 JF524290:JF524367 JF589826:JF589903 JF655362:JF655439 JF720898:JF720975 JF786434:JF786511 JF851970:JF852047 JF917506:JF917583 JF983042:JF983119 TB2:TB79 TB65538:TB65615 TB131074:TB131151 TB196610:TB196687 TB262146:TB262223 TB327682:TB327759 TB393218:TB393295 TB458754:TB458831 TB524290:TB524367 TB589826:TB589903 TB655362:TB655439 TB720898:TB720975 TB786434:TB786511 TB851970:TB852047 TB917506:TB917583 TB983042:TB983119 ACX2:ACX79 ACX65538:ACX65615 ACX131074:ACX131151 ACX196610:ACX196687 ACX262146:ACX262223 ACX327682:ACX327759 ACX393218:ACX393295 ACX458754:ACX458831 ACX524290:ACX524367 ACX589826:ACX589903 ACX655362:ACX655439 ACX720898:ACX720975 ACX786434:ACX786511 ACX851970:ACX852047 ACX917506:ACX917583 ACX983042:ACX983119 AMT2:AMT79 AMT65538:AMT65615 AMT131074:AMT131151 AMT196610:AMT196687 AMT262146:AMT262223 AMT327682:AMT327759 AMT393218:AMT393295 AMT458754:AMT458831 AMT524290:AMT524367 AMT589826:AMT589903 AMT655362:AMT655439 AMT720898:AMT720975 AMT786434:AMT786511 AMT851970:AMT852047 AMT917506:AMT917583 AMT983042:AMT983119 AWP2:AWP79 AWP65538:AWP65615 AWP131074:AWP131151 AWP196610:AWP196687 AWP262146:AWP262223 AWP327682:AWP327759 AWP393218:AWP393295 AWP458754:AWP458831 AWP524290:AWP524367 AWP589826:AWP589903 AWP655362:AWP655439 AWP720898:AWP720975 AWP786434:AWP786511 AWP851970:AWP852047 AWP917506:AWP917583 AWP983042:AWP983119 BGL2:BGL79 BGL65538:BGL65615 BGL131074:BGL131151 BGL196610:BGL196687 BGL262146:BGL262223 BGL327682:BGL327759 BGL393218:BGL393295 BGL458754:BGL458831 BGL524290:BGL524367 BGL589826:BGL589903 BGL655362:BGL655439 BGL720898:BGL720975 BGL786434:BGL786511 BGL851970:BGL852047 BGL917506:BGL917583 BGL983042:BGL983119 BQH2:BQH79 BQH65538:BQH65615 BQH131074:BQH131151 BQH196610:BQH196687 BQH262146:BQH262223 BQH327682:BQH327759 BQH393218:BQH393295 BQH458754:BQH458831 BQH524290:BQH524367 BQH589826:BQH589903 BQH655362:BQH655439 BQH720898:BQH720975 BQH786434:BQH786511 BQH851970:BQH852047 BQH917506:BQH917583 BQH983042:BQH983119 CAD2:CAD79 CAD65538:CAD65615 CAD131074:CAD131151 CAD196610:CAD196687 CAD262146:CAD262223 CAD327682:CAD327759 CAD393218:CAD393295 CAD458754:CAD458831 CAD524290:CAD524367 CAD589826:CAD589903 CAD655362:CAD655439 CAD720898:CAD720975 CAD786434:CAD786511 CAD851970:CAD852047 CAD917506:CAD917583 CAD983042:CAD983119 CJZ2:CJZ79 CJZ65538:CJZ65615 CJZ131074:CJZ131151 CJZ196610:CJZ196687 CJZ262146:CJZ262223 CJZ327682:CJZ327759 CJZ393218:CJZ393295 CJZ458754:CJZ458831 CJZ524290:CJZ524367 CJZ589826:CJZ589903 CJZ655362:CJZ655439 CJZ720898:CJZ720975 CJZ786434:CJZ786511 CJZ851970:CJZ852047 CJZ917506:CJZ917583 CJZ983042:CJZ983119 CTV2:CTV79 CTV65538:CTV65615 CTV131074:CTV131151 CTV196610:CTV196687 CTV262146:CTV262223 CTV327682:CTV327759 CTV393218:CTV393295 CTV458754:CTV458831 CTV524290:CTV524367 CTV589826:CTV589903 CTV655362:CTV655439 CTV720898:CTV720975 CTV786434:CTV786511 CTV851970:CTV852047 CTV917506:CTV917583 CTV983042:CTV983119 DDR2:DDR79 DDR65538:DDR65615 DDR131074:DDR131151 DDR196610:DDR196687 DDR262146:DDR262223 DDR327682:DDR327759 DDR393218:DDR393295 DDR458754:DDR458831 DDR524290:DDR524367 DDR589826:DDR589903 DDR655362:DDR655439 DDR720898:DDR720975 DDR786434:DDR786511 DDR851970:DDR852047 DDR917506:DDR917583 DDR983042:DDR983119 DNN2:DNN79 DNN65538:DNN65615 DNN131074:DNN131151 DNN196610:DNN196687 DNN262146:DNN262223 DNN327682:DNN327759 DNN393218:DNN393295 DNN458754:DNN458831 DNN524290:DNN524367 DNN589826:DNN589903 DNN655362:DNN655439 DNN720898:DNN720975 DNN786434:DNN786511 DNN851970:DNN852047 DNN917506:DNN917583 DNN983042:DNN983119 DXJ2:DXJ79 DXJ65538:DXJ65615 DXJ131074:DXJ131151 DXJ196610:DXJ196687 DXJ262146:DXJ262223 DXJ327682:DXJ327759 DXJ393218:DXJ393295 DXJ458754:DXJ458831 DXJ524290:DXJ524367 DXJ589826:DXJ589903 DXJ655362:DXJ655439 DXJ720898:DXJ720975 DXJ786434:DXJ786511 DXJ851970:DXJ852047 DXJ917506:DXJ917583 DXJ983042:DXJ983119 EHF2:EHF79 EHF65538:EHF65615 EHF131074:EHF131151 EHF196610:EHF196687 EHF262146:EHF262223 EHF327682:EHF327759 EHF393218:EHF393295 EHF458754:EHF458831 EHF524290:EHF524367 EHF589826:EHF589903 EHF655362:EHF655439 EHF720898:EHF720975 EHF786434:EHF786511 EHF851970:EHF852047 EHF917506:EHF917583 EHF983042:EHF983119 ERB2:ERB79 ERB65538:ERB65615 ERB131074:ERB131151 ERB196610:ERB196687 ERB262146:ERB262223 ERB327682:ERB327759 ERB393218:ERB393295 ERB458754:ERB458831 ERB524290:ERB524367 ERB589826:ERB589903 ERB655362:ERB655439 ERB720898:ERB720975 ERB786434:ERB786511 ERB851970:ERB852047 ERB917506:ERB917583 ERB983042:ERB983119 FAX2:FAX79 FAX65538:FAX65615 FAX131074:FAX131151 FAX196610:FAX196687 FAX262146:FAX262223 FAX327682:FAX327759 FAX393218:FAX393295 FAX458754:FAX458831 FAX524290:FAX524367 FAX589826:FAX589903 FAX655362:FAX655439 FAX720898:FAX720975 FAX786434:FAX786511 FAX851970:FAX852047 FAX917506:FAX917583 FAX983042:FAX983119 FKT2:FKT79 FKT65538:FKT65615 FKT131074:FKT131151 FKT196610:FKT196687 FKT262146:FKT262223 FKT327682:FKT327759 FKT393218:FKT393295 FKT458754:FKT458831 FKT524290:FKT524367 FKT589826:FKT589903 FKT655362:FKT655439 FKT720898:FKT720975 FKT786434:FKT786511 FKT851970:FKT852047 FKT917506:FKT917583 FKT983042:FKT983119 FUP2:FUP79 FUP65538:FUP65615 FUP131074:FUP131151 FUP196610:FUP196687 FUP262146:FUP262223 FUP327682:FUP327759 FUP393218:FUP393295 FUP458754:FUP458831 FUP524290:FUP524367 FUP589826:FUP589903 FUP655362:FUP655439 FUP720898:FUP720975 FUP786434:FUP786511 FUP851970:FUP852047 FUP917506:FUP917583 FUP983042:FUP983119 GEL2:GEL79 GEL65538:GEL65615 GEL131074:GEL131151 GEL196610:GEL196687 GEL262146:GEL262223 GEL327682:GEL327759 GEL393218:GEL393295 GEL458754:GEL458831 GEL524290:GEL524367 GEL589826:GEL589903 GEL655362:GEL655439 GEL720898:GEL720975 GEL786434:GEL786511 GEL851970:GEL852047 GEL917506:GEL917583 GEL983042:GEL983119 GOH2:GOH79 GOH65538:GOH65615 GOH131074:GOH131151 GOH196610:GOH196687 GOH262146:GOH262223 GOH327682:GOH327759 GOH393218:GOH393295 GOH458754:GOH458831 GOH524290:GOH524367 GOH589826:GOH589903 GOH655362:GOH655439 GOH720898:GOH720975 GOH786434:GOH786511 GOH851970:GOH852047 GOH917506:GOH917583 GOH983042:GOH983119 GYD2:GYD79 GYD65538:GYD65615 GYD131074:GYD131151 GYD196610:GYD196687 GYD262146:GYD262223 GYD327682:GYD327759 GYD393218:GYD393295 GYD458754:GYD458831 GYD524290:GYD524367 GYD589826:GYD589903 GYD655362:GYD655439 GYD720898:GYD720975 GYD786434:GYD786511 GYD851970:GYD852047 GYD917506:GYD917583 GYD983042:GYD983119 HHZ2:HHZ79 HHZ65538:HHZ65615 HHZ131074:HHZ131151 HHZ196610:HHZ196687 HHZ262146:HHZ262223 HHZ327682:HHZ327759 HHZ393218:HHZ393295 HHZ458754:HHZ458831 HHZ524290:HHZ524367 HHZ589826:HHZ589903 HHZ655362:HHZ655439 HHZ720898:HHZ720975 HHZ786434:HHZ786511 HHZ851970:HHZ852047 HHZ917506:HHZ917583 HHZ983042:HHZ983119 HRV2:HRV79 HRV65538:HRV65615 HRV131074:HRV131151 HRV196610:HRV196687 HRV262146:HRV262223 HRV327682:HRV327759 HRV393218:HRV393295 HRV458754:HRV458831 HRV524290:HRV524367 HRV589826:HRV589903 HRV655362:HRV655439 HRV720898:HRV720975 HRV786434:HRV786511 HRV851970:HRV852047 HRV917506:HRV917583 HRV983042:HRV983119 IBR2:IBR79 IBR65538:IBR65615 IBR131074:IBR131151 IBR196610:IBR196687 IBR262146:IBR262223 IBR327682:IBR327759 IBR393218:IBR393295 IBR458754:IBR458831 IBR524290:IBR524367 IBR589826:IBR589903 IBR655362:IBR655439 IBR720898:IBR720975 IBR786434:IBR786511 IBR851970:IBR852047 IBR917506:IBR917583 IBR983042:IBR983119 ILN2:ILN79 ILN65538:ILN65615 ILN131074:ILN131151 ILN196610:ILN196687 ILN262146:ILN262223 ILN327682:ILN327759 ILN393218:ILN393295 ILN458754:ILN458831 ILN524290:ILN524367 ILN589826:ILN589903 ILN655362:ILN655439 ILN720898:ILN720975 ILN786434:ILN786511 ILN851970:ILN852047 ILN917506:ILN917583 ILN983042:ILN983119 IVJ2:IVJ79 IVJ65538:IVJ65615 IVJ131074:IVJ131151 IVJ196610:IVJ196687 IVJ262146:IVJ262223 IVJ327682:IVJ327759 IVJ393218:IVJ393295 IVJ458754:IVJ458831 IVJ524290:IVJ524367 IVJ589826:IVJ589903 IVJ655362:IVJ655439 IVJ720898:IVJ720975 IVJ786434:IVJ786511 IVJ851970:IVJ852047 IVJ917506:IVJ917583 IVJ983042:IVJ983119 JFF2:JFF79 JFF65538:JFF65615 JFF131074:JFF131151 JFF196610:JFF196687 JFF262146:JFF262223 JFF327682:JFF327759 JFF393218:JFF393295 JFF458754:JFF458831 JFF524290:JFF524367 JFF589826:JFF589903 JFF655362:JFF655439 JFF720898:JFF720975 JFF786434:JFF786511 JFF851970:JFF852047 JFF917506:JFF917583 JFF983042:JFF983119 JPB2:JPB79 JPB65538:JPB65615 JPB131074:JPB131151 JPB196610:JPB196687 JPB262146:JPB262223 JPB327682:JPB327759 JPB393218:JPB393295 JPB458754:JPB458831 JPB524290:JPB524367 JPB589826:JPB589903 JPB655362:JPB655439 JPB720898:JPB720975 JPB786434:JPB786511 JPB851970:JPB852047 JPB917506:JPB917583 JPB983042:JPB983119 JYX2:JYX79 JYX65538:JYX65615 JYX131074:JYX131151 JYX196610:JYX196687 JYX262146:JYX262223 JYX327682:JYX327759 JYX393218:JYX393295 JYX458754:JYX458831 JYX524290:JYX524367 JYX589826:JYX589903 JYX655362:JYX655439 JYX720898:JYX720975 JYX786434:JYX786511 JYX851970:JYX852047 JYX917506:JYX917583 JYX983042:JYX983119 KIT2:KIT79 KIT65538:KIT65615 KIT131074:KIT131151 KIT196610:KIT196687 KIT262146:KIT262223 KIT327682:KIT327759 KIT393218:KIT393295 KIT458754:KIT458831 KIT524290:KIT524367 KIT589826:KIT589903 KIT655362:KIT655439 KIT720898:KIT720975 KIT786434:KIT786511 KIT851970:KIT852047 KIT917506:KIT917583 KIT983042:KIT983119 KSP2:KSP79 KSP65538:KSP65615 KSP131074:KSP131151 KSP196610:KSP196687 KSP262146:KSP262223 KSP327682:KSP327759 KSP393218:KSP393295 KSP458754:KSP458831 KSP524290:KSP524367 KSP589826:KSP589903 KSP655362:KSP655439 KSP720898:KSP720975 KSP786434:KSP786511 KSP851970:KSP852047 KSP917506:KSP917583 KSP983042:KSP983119 LCL2:LCL79 LCL65538:LCL65615 LCL131074:LCL131151 LCL196610:LCL196687 LCL262146:LCL262223 LCL327682:LCL327759 LCL393218:LCL393295 LCL458754:LCL458831 LCL524290:LCL524367 LCL589826:LCL589903 LCL655362:LCL655439 LCL720898:LCL720975 LCL786434:LCL786511 LCL851970:LCL852047 LCL917506:LCL917583 LCL983042:LCL983119 LMH2:LMH79 LMH65538:LMH65615 LMH131074:LMH131151 LMH196610:LMH196687 LMH262146:LMH262223 LMH327682:LMH327759 LMH393218:LMH393295 LMH458754:LMH458831 LMH524290:LMH524367 LMH589826:LMH589903 LMH655362:LMH655439 LMH720898:LMH720975 LMH786434:LMH786511 LMH851970:LMH852047 LMH917506:LMH917583 LMH983042:LMH983119 LWD2:LWD79 LWD65538:LWD65615 LWD131074:LWD131151 LWD196610:LWD196687 LWD262146:LWD262223 LWD327682:LWD327759 LWD393218:LWD393295 LWD458754:LWD458831 LWD524290:LWD524367 LWD589826:LWD589903 LWD655362:LWD655439 LWD720898:LWD720975 LWD786434:LWD786511 LWD851970:LWD852047 LWD917506:LWD917583 LWD983042:LWD983119 MFZ2:MFZ79 MFZ65538:MFZ65615 MFZ131074:MFZ131151 MFZ196610:MFZ196687 MFZ262146:MFZ262223 MFZ327682:MFZ327759 MFZ393218:MFZ393295 MFZ458754:MFZ458831 MFZ524290:MFZ524367 MFZ589826:MFZ589903 MFZ655362:MFZ655439 MFZ720898:MFZ720975 MFZ786434:MFZ786511 MFZ851970:MFZ852047 MFZ917506:MFZ917583 MFZ983042:MFZ983119 MPV2:MPV79 MPV65538:MPV65615 MPV131074:MPV131151 MPV196610:MPV196687 MPV262146:MPV262223 MPV327682:MPV327759 MPV393218:MPV393295 MPV458754:MPV458831 MPV524290:MPV524367 MPV589826:MPV589903 MPV655362:MPV655439 MPV720898:MPV720975 MPV786434:MPV786511 MPV851970:MPV852047 MPV917506:MPV917583 MPV983042:MPV983119 MZR2:MZR79 MZR65538:MZR65615 MZR131074:MZR131151 MZR196610:MZR196687 MZR262146:MZR262223 MZR327682:MZR327759 MZR393218:MZR393295 MZR458754:MZR458831 MZR524290:MZR524367 MZR589826:MZR589903 MZR655362:MZR655439 MZR720898:MZR720975 MZR786434:MZR786511 MZR851970:MZR852047 MZR917506:MZR917583 MZR983042:MZR983119 NJN2:NJN79 NJN65538:NJN65615 NJN131074:NJN131151 NJN196610:NJN196687 NJN262146:NJN262223 NJN327682:NJN327759 NJN393218:NJN393295 NJN458754:NJN458831 NJN524290:NJN524367 NJN589826:NJN589903 NJN655362:NJN655439 NJN720898:NJN720975 NJN786434:NJN786511 NJN851970:NJN852047 NJN917506:NJN917583 NJN983042:NJN983119 NTJ2:NTJ79 NTJ65538:NTJ65615 NTJ131074:NTJ131151 NTJ196610:NTJ196687 NTJ262146:NTJ262223 NTJ327682:NTJ327759 NTJ393218:NTJ393295 NTJ458754:NTJ458831 NTJ524290:NTJ524367 NTJ589826:NTJ589903 NTJ655362:NTJ655439 NTJ720898:NTJ720975 NTJ786434:NTJ786511 NTJ851970:NTJ852047 NTJ917506:NTJ917583 NTJ983042:NTJ983119 ODF2:ODF79 ODF65538:ODF65615 ODF131074:ODF131151 ODF196610:ODF196687 ODF262146:ODF262223 ODF327682:ODF327759 ODF393218:ODF393295 ODF458754:ODF458831 ODF524290:ODF524367 ODF589826:ODF589903 ODF655362:ODF655439 ODF720898:ODF720975 ODF786434:ODF786511 ODF851970:ODF852047 ODF917506:ODF917583 ODF983042:ODF983119 ONB2:ONB79 ONB65538:ONB65615 ONB131074:ONB131151 ONB196610:ONB196687 ONB262146:ONB262223 ONB327682:ONB327759 ONB393218:ONB393295 ONB458754:ONB458831 ONB524290:ONB524367 ONB589826:ONB589903 ONB655362:ONB655439 ONB720898:ONB720975 ONB786434:ONB786511 ONB851970:ONB852047 ONB917506:ONB917583 ONB983042:ONB983119 OWX2:OWX79 OWX65538:OWX65615 OWX131074:OWX131151 OWX196610:OWX196687 OWX262146:OWX262223 OWX327682:OWX327759 OWX393218:OWX393295 OWX458754:OWX458831 OWX524290:OWX524367 OWX589826:OWX589903 OWX655362:OWX655439 OWX720898:OWX720975 OWX786434:OWX786511 OWX851970:OWX852047 OWX917506:OWX917583 OWX983042:OWX983119 PGT2:PGT79 PGT65538:PGT65615 PGT131074:PGT131151 PGT196610:PGT196687 PGT262146:PGT262223 PGT327682:PGT327759 PGT393218:PGT393295 PGT458754:PGT458831 PGT524290:PGT524367 PGT589826:PGT589903 PGT655362:PGT655439 PGT720898:PGT720975 PGT786434:PGT786511 PGT851970:PGT852047 PGT917506:PGT917583 PGT983042:PGT983119 PQP2:PQP79 PQP65538:PQP65615 PQP131074:PQP131151 PQP196610:PQP196687 PQP262146:PQP262223 PQP327682:PQP327759 PQP393218:PQP393295 PQP458754:PQP458831 PQP524290:PQP524367 PQP589826:PQP589903 PQP655362:PQP655439 PQP720898:PQP720975 PQP786434:PQP786511 PQP851970:PQP852047 PQP917506:PQP917583 PQP983042:PQP983119 QAL2:QAL79 QAL65538:QAL65615 QAL131074:QAL131151 QAL196610:QAL196687 QAL262146:QAL262223 QAL327682:QAL327759 QAL393218:QAL393295 QAL458754:QAL458831 QAL524290:QAL524367 QAL589826:QAL589903 QAL655362:QAL655439 QAL720898:QAL720975 QAL786434:QAL786511 QAL851970:QAL852047 QAL917506:QAL917583 QAL983042:QAL983119 QKH2:QKH79 QKH65538:QKH65615 QKH131074:QKH131151 QKH196610:QKH196687 QKH262146:QKH262223 QKH327682:QKH327759 QKH393218:QKH393295 QKH458754:QKH458831 QKH524290:QKH524367 QKH589826:QKH589903 QKH655362:QKH655439 QKH720898:QKH720975 QKH786434:QKH786511 QKH851970:QKH852047 QKH917506:QKH917583 QKH983042:QKH983119 QUD2:QUD79 QUD65538:QUD65615 QUD131074:QUD131151 QUD196610:QUD196687 QUD262146:QUD262223 QUD327682:QUD327759 QUD393218:QUD393295 QUD458754:QUD458831 QUD524290:QUD524367 QUD589826:QUD589903 QUD655362:QUD655439 QUD720898:QUD720975 QUD786434:QUD786511 QUD851970:QUD852047 QUD917506:QUD917583 QUD983042:QUD983119 RDZ2:RDZ79 RDZ65538:RDZ65615 RDZ131074:RDZ131151 RDZ196610:RDZ196687 RDZ262146:RDZ262223 RDZ327682:RDZ327759 RDZ393218:RDZ393295 RDZ458754:RDZ458831 RDZ524290:RDZ524367 RDZ589826:RDZ589903 RDZ655362:RDZ655439 RDZ720898:RDZ720975 RDZ786434:RDZ786511 RDZ851970:RDZ852047 RDZ917506:RDZ917583 RDZ983042:RDZ983119 RNV2:RNV79 RNV65538:RNV65615 RNV131074:RNV131151 RNV196610:RNV196687 RNV262146:RNV262223 RNV327682:RNV327759 RNV393218:RNV393295 RNV458754:RNV458831 RNV524290:RNV524367 RNV589826:RNV589903 RNV655362:RNV655439 RNV720898:RNV720975 RNV786434:RNV786511 RNV851970:RNV852047 RNV917506:RNV917583 RNV983042:RNV983119 RXR2:RXR79 RXR65538:RXR65615 RXR131074:RXR131151 RXR196610:RXR196687 RXR262146:RXR262223 RXR327682:RXR327759 RXR393218:RXR393295 RXR458754:RXR458831 RXR524290:RXR524367 RXR589826:RXR589903 RXR655362:RXR655439 RXR720898:RXR720975 RXR786434:RXR786511 RXR851970:RXR852047 RXR917506:RXR917583 RXR983042:RXR983119 SHN2:SHN79 SHN65538:SHN65615 SHN131074:SHN131151 SHN196610:SHN196687 SHN262146:SHN262223 SHN327682:SHN327759 SHN393218:SHN393295 SHN458754:SHN458831 SHN524290:SHN524367 SHN589826:SHN589903 SHN655362:SHN655439 SHN720898:SHN720975 SHN786434:SHN786511 SHN851970:SHN852047 SHN917506:SHN917583 SHN983042:SHN983119 SRJ2:SRJ79 SRJ65538:SRJ65615 SRJ131074:SRJ131151 SRJ196610:SRJ196687 SRJ262146:SRJ262223 SRJ327682:SRJ327759 SRJ393218:SRJ393295 SRJ458754:SRJ458831 SRJ524290:SRJ524367 SRJ589826:SRJ589903 SRJ655362:SRJ655439 SRJ720898:SRJ720975 SRJ786434:SRJ786511 SRJ851970:SRJ852047 SRJ917506:SRJ917583 SRJ983042:SRJ983119 TBF2:TBF79 TBF65538:TBF65615 TBF131074:TBF131151 TBF196610:TBF196687 TBF262146:TBF262223 TBF327682:TBF327759 TBF393218:TBF393295 TBF458754:TBF458831 TBF524290:TBF524367 TBF589826:TBF589903 TBF655362:TBF655439 TBF720898:TBF720975 TBF786434:TBF786511 TBF851970:TBF852047 TBF917506:TBF917583 TBF983042:TBF983119 TLB2:TLB79 TLB65538:TLB65615 TLB131074:TLB131151 TLB196610:TLB196687 TLB262146:TLB262223 TLB327682:TLB327759 TLB393218:TLB393295 TLB458754:TLB458831 TLB524290:TLB524367 TLB589826:TLB589903 TLB655362:TLB655439 TLB720898:TLB720975 TLB786434:TLB786511 TLB851970:TLB852047 TLB917506:TLB917583 TLB983042:TLB983119 TUX2:TUX79 TUX65538:TUX65615 TUX131074:TUX131151 TUX196610:TUX196687 TUX262146:TUX262223 TUX327682:TUX327759 TUX393218:TUX393295 TUX458754:TUX458831 TUX524290:TUX524367 TUX589826:TUX589903 TUX655362:TUX655439 TUX720898:TUX720975 TUX786434:TUX786511 TUX851970:TUX852047 TUX917506:TUX917583 TUX983042:TUX983119 UET2:UET79 UET65538:UET65615 UET131074:UET131151 UET196610:UET196687 UET262146:UET262223 UET327682:UET327759 UET393218:UET393295 UET458754:UET458831 UET524290:UET524367 UET589826:UET589903 UET655362:UET655439 UET720898:UET720975 UET786434:UET786511 UET851970:UET852047 UET917506:UET917583 UET983042:UET983119 UOP2:UOP79 UOP65538:UOP65615 UOP131074:UOP131151 UOP196610:UOP196687 UOP262146:UOP262223 UOP327682:UOP327759 UOP393218:UOP393295 UOP458754:UOP458831 UOP524290:UOP524367 UOP589826:UOP589903 UOP655362:UOP655439 UOP720898:UOP720975 UOP786434:UOP786511 UOP851970:UOP852047 UOP917506:UOP917583 UOP983042:UOP983119 UYL2:UYL79 UYL65538:UYL65615 UYL131074:UYL131151 UYL196610:UYL196687 UYL262146:UYL262223 UYL327682:UYL327759 UYL393218:UYL393295 UYL458754:UYL458831 UYL524290:UYL524367 UYL589826:UYL589903 UYL655362:UYL655439 UYL720898:UYL720975 UYL786434:UYL786511 UYL851970:UYL852047 UYL917506:UYL917583 UYL983042:UYL983119 VIH2:VIH79 VIH65538:VIH65615 VIH131074:VIH131151 VIH196610:VIH196687 VIH262146:VIH262223 VIH327682:VIH327759 VIH393218:VIH393295 VIH458754:VIH458831 VIH524290:VIH524367 VIH589826:VIH589903 VIH655362:VIH655439 VIH720898:VIH720975 VIH786434:VIH786511 VIH851970:VIH852047 VIH917506:VIH917583 VIH983042:VIH983119 VSD2:VSD79 VSD65538:VSD65615 VSD131074:VSD131151 VSD196610:VSD196687 VSD262146:VSD262223 VSD327682:VSD327759 VSD393218:VSD393295 VSD458754:VSD458831 VSD524290:VSD524367 VSD589826:VSD589903 VSD655362:VSD655439 VSD720898:VSD720975 VSD786434:VSD786511 VSD851970:VSD852047 VSD917506:VSD917583 VSD983042:VSD983119 WBZ2:WBZ79 WBZ65538:WBZ65615 WBZ131074:WBZ131151 WBZ196610:WBZ196687 WBZ262146:WBZ262223 WBZ327682:WBZ327759 WBZ393218:WBZ393295 WBZ458754:WBZ458831 WBZ524290:WBZ524367 WBZ589826:WBZ589903 WBZ655362:WBZ655439 WBZ720898:WBZ720975 WBZ786434:WBZ786511 WBZ851970:WBZ852047 WBZ917506:WBZ917583 WBZ983042:WBZ983119 WLV2:WLV79 WLV65538:WLV65615 WLV131074:WLV131151 WLV196610:WLV196687 WLV262146:WLV262223 WLV327682:WLV327759 WLV393218:WLV393295 WLV458754:WLV458831 WLV524290:WLV524367 WLV589826:WLV589903 WLV655362:WLV655439 WLV720898:WLV720975 WLV786434:WLV786511 WLV851970:WLV852047 WLV917506:WLV917583 WLV983042:WLV983119 WVR2:WVR79 WVR65538:WVR65615 WVR131074:WVR131151 WVR196610:WVR196687 WVR262146:WVR262223 WVR327682:WVR327759 WVR393218:WVR393295 WVR458754:WVR458831 WVR524290:WVR524367 WVR589826:WVR589903 WVR655362:WVR655439 WVR720898:WVR720975 WVR786434:WVR786511 WVR851970:WVR852047 WVR917506:WVR917583 WVR983042:WVR983119" xr:uid="{22FF9ABD-BB01-462C-B4FE-2BB266D69769}">
      <formula1>$AP$2:$AP$27</formula1>
    </dataValidation>
    <dataValidation type="list" allowBlank="1" showInputMessage="1" showErrorMessage="1" sqref="F2:F731 F65538:F65615 F131074:F131151 F196610:F196687 F262146:F262223 F327682:F327759 F393218:F393295 F458754:F458831 F524290:F524367 F589826:F589903 F655362:F655439 F720898:F720975 F786434:F786511 F851970:F852047 F917506:F917583 F983042:F983119 JB2:JB79 JB65538:JB65615 JB131074:JB131151 JB196610:JB196687 JB262146:JB262223 JB327682:JB327759 JB393218:JB393295 JB458754:JB458831 JB524290:JB524367 JB589826:JB589903 JB655362:JB655439 JB720898:JB720975 JB786434:JB786511 JB851970:JB852047 JB917506:JB917583 JB983042:JB983119 SX2:SX79 SX65538:SX65615 SX131074:SX131151 SX196610:SX196687 SX262146:SX262223 SX327682:SX327759 SX393218:SX393295 SX458754:SX458831 SX524290:SX524367 SX589826:SX589903 SX655362:SX655439 SX720898:SX720975 SX786434:SX786511 SX851970:SX852047 SX917506:SX917583 SX983042:SX983119 ACT2:ACT79 ACT65538:ACT65615 ACT131074:ACT131151 ACT196610:ACT196687 ACT262146:ACT262223 ACT327682:ACT327759 ACT393218:ACT393295 ACT458754:ACT458831 ACT524290:ACT524367 ACT589826:ACT589903 ACT655362:ACT655439 ACT720898:ACT720975 ACT786434:ACT786511 ACT851970:ACT852047 ACT917506:ACT917583 ACT983042:ACT983119 AMP2:AMP79 AMP65538:AMP65615 AMP131074:AMP131151 AMP196610:AMP196687 AMP262146:AMP262223 AMP327682:AMP327759 AMP393218:AMP393295 AMP458754:AMP458831 AMP524290:AMP524367 AMP589826:AMP589903 AMP655362:AMP655439 AMP720898:AMP720975 AMP786434:AMP786511 AMP851970:AMP852047 AMP917506:AMP917583 AMP983042:AMP983119 AWL2:AWL79 AWL65538:AWL65615 AWL131074:AWL131151 AWL196610:AWL196687 AWL262146:AWL262223 AWL327682:AWL327759 AWL393218:AWL393295 AWL458754:AWL458831 AWL524290:AWL524367 AWL589826:AWL589903 AWL655362:AWL655439 AWL720898:AWL720975 AWL786434:AWL786511 AWL851970:AWL852047 AWL917506:AWL917583 AWL983042:AWL983119 BGH2:BGH79 BGH65538:BGH65615 BGH131074:BGH131151 BGH196610:BGH196687 BGH262146:BGH262223 BGH327682:BGH327759 BGH393218:BGH393295 BGH458754:BGH458831 BGH524290:BGH524367 BGH589826:BGH589903 BGH655362:BGH655439 BGH720898:BGH720975 BGH786434:BGH786511 BGH851970:BGH852047 BGH917506:BGH917583 BGH983042:BGH983119 BQD2:BQD79 BQD65538:BQD65615 BQD131074:BQD131151 BQD196610:BQD196687 BQD262146:BQD262223 BQD327682:BQD327759 BQD393218:BQD393295 BQD458754:BQD458831 BQD524290:BQD524367 BQD589826:BQD589903 BQD655362:BQD655439 BQD720898:BQD720975 BQD786434:BQD786511 BQD851970:BQD852047 BQD917506:BQD917583 BQD983042:BQD983119 BZZ2:BZZ79 BZZ65538:BZZ65615 BZZ131074:BZZ131151 BZZ196610:BZZ196687 BZZ262146:BZZ262223 BZZ327682:BZZ327759 BZZ393218:BZZ393295 BZZ458754:BZZ458831 BZZ524290:BZZ524367 BZZ589826:BZZ589903 BZZ655362:BZZ655439 BZZ720898:BZZ720975 BZZ786434:BZZ786511 BZZ851970:BZZ852047 BZZ917506:BZZ917583 BZZ983042:BZZ983119 CJV2:CJV79 CJV65538:CJV65615 CJV131074:CJV131151 CJV196610:CJV196687 CJV262146:CJV262223 CJV327682:CJV327759 CJV393218:CJV393295 CJV458754:CJV458831 CJV524290:CJV524367 CJV589826:CJV589903 CJV655362:CJV655439 CJV720898:CJV720975 CJV786434:CJV786511 CJV851970:CJV852047 CJV917506:CJV917583 CJV983042:CJV983119 CTR2:CTR79 CTR65538:CTR65615 CTR131074:CTR131151 CTR196610:CTR196687 CTR262146:CTR262223 CTR327682:CTR327759 CTR393218:CTR393295 CTR458754:CTR458831 CTR524290:CTR524367 CTR589826:CTR589903 CTR655362:CTR655439 CTR720898:CTR720975 CTR786434:CTR786511 CTR851970:CTR852047 CTR917506:CTR917583 CTR983042:CTR983119 DDN2:DDN79 DDN65538:DDN65615 DDN131074:DDN131151 DDN196610:DDN196687 DDN262146:DDN262223 DDN327682:DDN327759 DDN393218:DDN393295 DDN458754:DDN458831 DDN524290:DDN524367 DDN589826:DDN589903 DDN655362:DDN655439 DDN720898:DDN720975 DDN786434:DDN786511 DDN851970:DDN852047 DDN917506:DDN917583 DDN983042:DDN983119 DNJ2:DNJ79 DNJ65538:DNJ65615 DNJ131074:DNJ131151 DNJ196610:DNJ196687 DNJ262146:DNJ262223 DNJ327682:DNJ327759 DNJ393218:DNJ393295 DNJ458754:DNJ458831 DNJ524290:DNJ524367 DNJ589826:DNJ589903 DNJ655362:DNJ655439 DNJ720898:DNJ720975 DNJ786434:DNJ786511 DNJ851970:DNJ852047 DNJ917506:DNJ917583 DNJ983042:DNJ983119 DXF2:DXF79 DXF65538:DXF65615 DXF131074:DXF131151 DXF196610:DXF196687 DXF262146:DXF262223 DXF327682:DXF327759 DXF393218:DXF393295 DXF458754:DXF458831 DXF524290:DXF524367 DXF589826:DXF589903 DXF655362:DXF655439 DXF720898:DXF720975 DXF786434:DXF786511 DXF851970:DXF852047 DXF917506:DXF917583 DXF983042:DXF983119 EHB2:EHB79 EHB65538:EHB65615 EHB131074:EHB131151 EHB196610:EHB196687 EHB262146:EHB262223 EHB327682:EHB327759 EHB393218:EHB393295 EHB458754:EHB458831 EHB524290:EHB524367 EHB589826:EHB589903 EHB655362:EHB655439 EHB720898:EHB720975 EHB786434:EHB786511 EHB851970:EHB852047 EHB917506:EHB917583 EHB983042:EHB983119 EQX2:EQX79 EQX65538:EQX65615 EQX131074:EQX131151 EQX196610:EQX196687 EQX262146:EQX262223 EQX327682:EQX327759 EQX393218:EQX393295 EQX458754:EQX458831 EQX524290:EQX524367 EQX589826:EQX589903 EQX655362:EQX655439 EQX720898:EQX720975 EQX786434:EQX786511 EQX851970:EQX852047 EQX917506:EQX917583 EQX983042:EQX983119 FAT2:FAT79 FAT65538:FAT65615 FAT131074:FAT131151 FAT196610:FAT196687 FAT262146:FAT262223 FAT327682:FAT327759 FAT393218:FAT393295 FAT458754:FAT458831 FAT524290:FAT524367 FAT589826:FAT589903 FAT655362:FAT655439 FAT720898:FAT720975 FAT786434:FAT786511 FAT851970:FAT852047 FAT917506:FAT917583 FAT983042:FAT983119 FKP2:FKP79 FKP65538:FKP65615 FKP131074:FKP131151 FKP196610:FKP196687 FKP262146:FKP262223 FKP327682:FKP327759 FKP393218:FKP393295 FKP458754:FKP458831 FKP524290:FKP524367 FKP589826:FKP589903 FKP655362:FKP655439 FKP720898:FKP720975 FKP786434:FKP786511 FKP851970:FKP852047 FKP917506:FKP917583 FKP983042:FKP983119 FUL2:FUL79 FUL65538:FUL65615 FUL131074:FUL131151 FUL196610:FUL196687 FUL262146:FUL262223 FUL327682:FUL327759 FUL393218:FUL393295 FUL458754:FUL458831 FUL524290:FUL524367 FUL589826:FUL589903 FUL655362:FUL655439 FUL720898:FUL720975 FUL786434:FUL786511 FUL851970:FUL852047 FUL917506:FUL917583 FUL983042:FUL983119 GEH2:GEH79 GEH65538:GEH65615 GEH131074:GEH131151 GEH196610:GEH196687 GEH262146:GEH262223 GEH327682:GEH327759 GEH393218:GEH393295 GEH458754:GEH458831 GEH524290:GEH524367 GEH589826:GEH589903 GEH655362:GEH655439 GEH720898:GEH720975 GEH786434:GEH786511 GEH851970:GEH852047 GEH917506:GEH917583 GEH983042:GEH983119 GOD2:GOD79 GOD65538:GOD65615 GOD131074:GOD131151 GOD196610:GOD196687 GOD262146:GOD262223 GOD327682:GOD327759 GOD393218:GOD393295 GOD458754:GOD458831 GOD524290:GOD524367 GOD589826:GOD589903 GOD655362:GOD655439 GOD720898:GOD720975 GOD786434:GOD786511 GOD851970:GOD852047 GOD917506:GOD917583 GOD983042:GOD983119 GXZ2:GXZ79 GXZ65538:GXZ65615 GXZ131074:GXZ131151 GXZ196610:GXZ196687 GXZ262146:GXZ262223 GXZ327682:GXZ327759 GXZ393218:GXZ393295 GXZ458754:GXZ458831 GXZ524290:GXZ524367 GXZ589826:GXZ589903 GXZ655362:GXZ655439 GXZ720898:GXZ720975 GXZ786434:GXZ786511 GXZ851970:GXZ852047 GXZ917506:GXZ917583 GXZ983042:GXZ983119 HHV2:HHV79 HHV65538:HHV65615 HHV131074:HHV131151 HHV196610:HHV196687 HHV262146:HHV262223 HHV327682:HHV327759 HHV393218:HHV393295 HHV458754:HHV458831 HHV524290:HHV524367 HHV589826:HHV589903 HHV655362:HHV655439 HHV720898:HHV720975 HHV786434:HHV786511 HHV851970:HHV852047 HHV917506:HHV917583 HHV983042:HHV983119 HRR2:HRR79 HRR65538:HRR65615 HRR131074:HRR131151 HRR196610:HRR196687 HRR262146:HRR262223 HRR327682:HRR327759 HRR393218:HRR393295 HRR458754:HRR458831 HRR524290:HRR524367 HRR589826:HRR589903 HRR655362:HRR655439 HRR720898:HRR720975 HRR786434:HRR786511 HRR851970:HRR852047 HRR917506:HRR917583 HRR983042:HRR983119 IBN2:IBN79 IBN65538:IBN65615 IBN131074:IBN131151 IBN196610:IBN196687 IBN262146:IBN262223 IBN327682:IBN327759 IBN393218:IBN393295 IBN458754:IBN458831 IBN524290:IBN524367 IBN589826:IBN589903 IBN655362:IBN655439 IBN720898:IBN720975 IBN786434:IBN786511 IBN851970:IBN852047 IBN917506:IBN917583 IBN983042:IBN983119 ILJ2:ILJ79 ILJ65538:ILJ65615 ILJ131074:ILJ131151 ILJ196610:ILJ196687 ILJ262146:ILJ262223 ILJ327682:ILJ327759 ILJ393218:ILJ393295 ILJ458754:ILJ458831 ILJ524290:ILJ524367 ILJ589826:ILJ589903 ILJ655362:ILJ655439 ILJ720898:ILJ720975 ILJ786434:ILJ786511 ILJ851970:ILJ852047 ILJ917506:ILJ917583 ILJ983042:ILJ983119 IVF2:IVF79 IVF65538:IVF65615 IVF131074:IVF131151 IVF196610:IVF196687 IVF262146:IVF262223 IVF327682:IVF327759 IVF393218:IVF393295 IVF458754:IVF458831 IVF524290:IVF524367 IVF589826:IVF589903 IVF655362:IVF655439 IVF720898:IVF720975 IVF786434:IVF786511 IVF851970:IVF852047 IVF917506:IVF917583 IVF983042:IVF983119 JFB2:JFB79 JFB65538:JFB65615 JFB131074:JFB131151 JFB196610:JFB196687 JFB262146:JFB262223 JFB327682:JFB327759 JFB393218:JFB393295 JFB458754:JFB458831 JFB524290:JFB524367 JFB589826:JFB589903 JFB655362:JFB655439 JFB720898:JFB720975 JFB786434:JFB786511 JFB851970:JFB852047 JFB917506:JFB917583 JFB983042:JFB983119 JOX2:JOX79 JOX65538:JOX65615 JOX131074:JOX131151 JOX196610:JOX196687 JOX262146:JOX262223 JOX327682:JOX327759 JOX393218:JOX393295 JOX458754:JOX458831 JOX524290:JOX524367 JOX589826:JOX589903 JOX655362:JOX655439 JOX720898:JOX720975 JOX786434:JOX786511 JOX851970:JOX852047 JOX917506:JOX917583 JOX983042:JOX983119 JYT2:JYT79 JYT65538:JYT65615 JYT131074:JYT131151 JYT196610:JYT196687 JYT262146:JYT262223 JYT327682:JYT327759 JYT393218:JYT393295 JYT458754:JYT458831 JYT524290:JYT524367 JYT589826:JYT589903 JYT655362:JYT655439 JYT720898:JYT720975 JYT786434:JYT786511 JYT851970:JYT852047 JYT917506:JYT917583 JYT983042:JYT983119 KIP2:KIP79 KIP65538:KIP65615 KIP131074:KIP131151 KIP196610:KIP196687 KIP262146:KIP262223 KIP327682:KIP327759 KIP393218:KIP393295 KIP458754:KIP458831 KIP524290:KIP524367 KIP589826:KIP589903 KIP655362:KIP655439 KIP720898:KIP720975 KIP786434:KIP786511 KIP851970:KIP852047 KIP917506:KIP917583 KIP983042:KIP983119 KSL2:KSL79 KSL65538:KSL65615 KSL131074:KSL131151 KSL196610:KSL196687 KSL262146:KSL262223 KSL327682:KSL327759 KSL393218:KSL393295 KSL458754:KSL458831 KSL524290:KSL524367 KSL589826:KSL589903 KSL655362:KSL655439 KSL720898:KSL720975 KSL786434:KSL786511 KSL851970:KSL852047 KSL917506:KSL917583 KSL983042:KSL983119 LCH2:LCH79 LCH65538:LCH65615 LCH131074:LCH131151 LCH196610:LCH196687 LCH262146:LCH262223 LCH327682:LCH327759 LCH393218:LCH393295 LCH458754:LCH458831 LCH524290:LCH524367 LCH589826:LCH589903 LCH655362:LCH655439 LCH720898:LCH720975 LCH786434:LCH786511 LCH851970:LCH852047 LCH917506:LCH917583 LCH983042:LCH983119 LMD2:LMD79 LMD65538:LMD65615 LMD131074:LMD131151 LMD196610:LMD196687 LMD262146:LMD262223 LMD327682:LMD327759 LMD393218:LMD393295 LMD458754:LMD458831 LMD524290:LMD524367 LMD589826:LMD589903 LMD655362:LMD655439 LMD720898:LMD720975 LMD786434:LMD786511 LMD851970:LMD852047 LMD917506:LMD917583 LMD983042:LMD983119 LVZ2:LVZ79 LVZ65538:LVZ65615 LVZ131074:LVZ131151 LVZ196610:LVZ196687 LVZ262146:LVZ262223 LVZ327682:LVZ327759 LVZ393218:LVZ393295 LVZ458754:LVZ458831 LVZ524290:LVZ524367 LVZ589826:LVZ589903 LVZ655362:LVZ655439 LVZ720898:LVZ720975 LVZ786434:LVZ786511 LVZ851970:LVZ852047 LVZ917506:LVZ917583 LVZ983042:LVZ983119 MFV2:MFV79 MFV65538:MFV65615 MFV131074:MFV131151 MFV196610:MFV196687 MFV262146:MFV262223 MFV327682:MFV327759 MFV393218:MFV393295 MFV458754:MFV458831 MFV524290:MFV524367 MFV589826:MFV589903 MFV655362:MFV655439 MFV720898:MFV720975 MFV786434:MFV786511 MFV851970:MFV852047 MFV917506:MFV917583 MFV983042:MFV983119 MPR2:MPR79 MPR65538:MPR65615 MPR131074:MPR131151 MPR196610:MPR196687 MPR262146:MPR262223 MPR327682:MPR327759 MPR393218:MPR393295 MPR458754:MPR458831 MPR524290:MPR524367 MPR589826:MPR589903 MPR655362:MPR655439 MPR720898:MPR720975 MPR786434:MPR786511 MPR851970:MPR852047 MPR917506:MPR917583 MPR983042:MPR983119 MZN2:MZN79 MZN65538:MZN65615 MZN131074:MZN131151 MZN196610:MZN196687 MZN262146:MZN262223 MZN327682:MZN327759 MZN393218:MZN393295 MZN458754:MZN458831 MZN524290:MZN524367 MZN589826:MZN589903 MZN655362:MZN655439 MZN720898:MZN720975 MZN786434:MZN786511 MZN851970:MZN852047 MZN917506:MZN917583 MZN983042:MZN983119 NJJ2:NJJ79 NJJ65538:NJJ65615 NJJ131074:NJJ131151 NJJ196610:NJJ196687 NJJ262146:NJJ262223 NJJ327682:NJJ327759 NJJ393218:NJJ393295 NJJ458754:NJJ458831 NJJ524290:NJJ524367 NJJ589826:NJJ589903 NJJ655362:NJJ655439 NJJ720898:NJJ720975 NJJ786434:NJJ786511 NJJ851970:NJJ852047 NJJ917506:NJJ917583 NJJ983042:NJJ983119 NTF2:NTF79 NTF65538:NTF65615 NTF131074:NTF131151 NTF196610:NTF196687 NTF262146:NTF262223 NTF327682:NTF327759 NTF393218:NTF393295 NTF458754:NTF458831 NTF524290:NTF524367 NTF589826:NTF589903 NTF655362:NTF655439 NTF720898:NTF720975 NTF786434:NTF786511 NTF851970:NTF852047 NTF917506:NTF917583 NTF983042:NTF983119 ODB2:ODB79 ODB65538:ODB65615 ODB131074:ODB131151 ODB196610:ODB196687 ODB262146:ODB262223 ODB327682:ODB327759 ODB393218:ODB393295 ODB458754:ODB458831 ODB524290:ODB524367 ODB589826:ODB589903 ODB655362:ODB655439 ODB720898:ODB720975 ODB786434:ODB786511 ODB851970:ODB852047 ODB917506:ODB917583 ODB983042:ODB983119 OMX2:OMX79 OMX65538:OMX65615 OMX131074:OMX131151 OMX196610:OMX196687 OMX262146:OMX262223 OMX327682:OMX327759 OMX393218:OMX393295 OMX458754:OMX458831 OMX524290:OMX524367 OMX589826:OMX589903 OMX655362:OMX655439 OMX720898:OMX720975 OMX786434:OMX786511 OMX851970:OMX852047 OMX917506:OMX917583 OMX983042:OMX983119 OWT2:OWT79 OWT65538:OWT65615 OWT131074:OWT131151 OWT196610:OWT196687 OWT262146:OWT262223 OWT327682:OWT327759 OWT393218:OWT393295 OWT458754:OWT458831 OWT524290:OWT524367 OWT589826:OWT589903 OWT655362:OWT655439 OWT720898:OWT720975 OWT786434:OWT786511 OWT851970:OWT852047 OWT917506:OWT917583 OWT983042:OWT983119 PGP2:PGP79 PGP65538:PGP65615 PGP131074:PGP131151 PGP196610:PGP196687 PGP262146:PGP262223 PGP327682:PGP327759 PGP393218:PGP393295 PGP458754:PGP458831 PGP524290:PGP524367 PGP589826:PGP589903 PGP655362:PGP655439 PGP720898:PGP720975 PGP786434:PGP786511 PGP851970:PGP852047 PGP917506:PGP917583 PGP983042:PGP983119 PQL2:PQL79 PQL65538:PQL65615 PQL131074:PQL131151 PQL196610:PQL196687 PQL262146:PQL262223 PQL327682:PQL327759 PQL393218:PQL393295 PQL458754:PQL458831 PQL524290:PQL524367 PQL589826:PQL589903 PQL655362:PQL655439 PQL720898:PQL720975 PQL786434:PQL786511 PQL851970:PQL852047 PQL917506:PQL917583 PQL983042:PQL983119 QAH2:QAH79 QAH65538:QAH65615 QAH131074:QAH131151 QAH196610:QAH196687 QAH262146:QAH262223 QAH327682:QAH327759 QAH393218:QAH393295 QAH458754:QAH458831 QAH524290:QAH524367 QAH589826:QAH589903 QAH655362:QAH655439 QAH720898:QAH720975 QAH786434:QAH786511 QAH851970:QAH852047 QAH917506:QAH917583 QAH983042:QAH983119 QKD2:QKD79 QKD65538:QKD65615 QKD131074:QKD131151 QKD196610:QKD196687 QKD262146:QKD262223 QKD327682:QKD327759 QKD393218:QKD393295 QKD458754:QKD458831 QKD524290:QKD524367 QKD589826:QKD589903 QKD655362:QKD655439 QKD720898:QKD720975 QKD786434:QKD786511 QKD851970:QKD852047 QKD917506:QKD917583 QKD983042:QKD983119 QTZ2:QTZ79 QTZ65538:QTZ65615 QTZ131074:QTZ131151 QTZ196610:QTZ196687 QTZ262146:QTZ262223 QTZ327682:QTZ327759 QTZ393218:QTZ393295 QTZ458754:QTZ458831 QTZ524290:QTZ524367 QTZ589826:QTZ589903 QTZ655362:QTZ655439 QTZ720898:QTZ720975 QTZ786434:QTZ786511 QTZ851970:QTZ852047 QTZ917506:QTZ917583 QTZ983042:QTZ983119 RDV2:RDV79 RDV65538:RDV65615 RDV131074:RDV131151 RDV196610:RDV196687 RDV262146:RDV262223 RDV327682:RDV327759 RDV393218:RDV393295 RDV458754:RDV458831 RDV524290:RDV524367 RDV589826:RDV589903 RDV655362:RDV655439 RDV720898:RDV720975 RDV786434:RDV786511 RDV851970:RDV852047 RDV917506:RDV917583 RDV983042:RDV983119 RNR2:RNR79 RNR65538:RNR65615 RNR131074:RNR131151 RNR196610:RNR196687 RNR262146:RNR262223 RNR327682:RNR327759 RNR393218:RNR393295 RNR458754:RNR458831 RNR524290:RNR524367 RNR589826:RNR589903 RNR655362:RNR655439 RNR720898:RNR720975 RNR786434:RNR786511 RNR851970:RNR852047 RNR917506:RNR917583 RNR983042:RNR983119 RXN2:RXN79 RXN65538:RXN65615 RXN131074:RXN131151 RXN196610:RXN196687 RXN262146:RXN262223 RXN327682:RXN327759 RXN393218:RXN393295 RXN458754:RXN458831 RXN524290:RXN524367 RXN589826:RXN589903 RXN655362:RXN655439 RXN720898:RXN720975 RXN786434:RXN786511 RXN851970:RXN852047 RXN917506:RXN917583 RXN983042:RXN983119 SHJ2:SHJ79 SHJ65538:SHJ65615 SHJ131074:SHJ131151 SHJ196610:SHJ196687 SHJ262146:SHJ262223 SHJ327682:SHJ327759 SHJ393218:SHJ393295 SHJ458754:SHJ458831 SHJ524290:SHJ524367 SHJ589826:SHJ589903 SHJ655362:SHJ655439 SHJ720898:SHJ720975 SHJ786434:SHJ786511 SHJ851970:SHJ852047 SHJ917506:SHJ917583 SHJ983042:SHJ983119 SRF2:SRF79 SRF65538:SRF65615 SRF131074:SRF131151 SRF196610:SRF196687 SRF262146:SRF262223 SRF327682:SRF327759 SRF393218:SRF393295 SRF458754:SRF458831 SRF524290:SRF524367 SRF589826:SRF589903 SRF655362:SRF655439 SRF720898:SRF720975 SRF786434:SRF786511 SRF851970:SRF852047 SRF917506:SRF917583 SRF983042:SRF983119 TBB2:TBB79 TBB65538:TBB65615 TBB131074:TBB131151 TBB196610:TBB196687 TBB262146:TBB262223 TBB327682:TBB327759 TBB393218:TBB393295 TBB458754:TBB458831 TBB524290:TBB524367 TBB589826:TBB589903 TBB655362:TBB655439 TBB720898:TBB720975 TBB786434:TBB786511 TBB851970:TBB852047 TBB917506:TBB917583 TBB983042:TBB983119 TKX2:TKX79 TKX65538:TKX65615 TKX131074:TKX131151 TKX196610:TKX196687 TKX262146:TKX262223 TKX327682:TKX327759 TKX393218:TKX393295 TKX458754:TKX458831 TKX524290:TKX524367 TKX589826:TKX589903 TKX655362:TKX655439 TKX720898:TKX720975 TKX786434:TKX786511 TKX851970:TKX852047 TKX917506:TKX917583 TKX983042:TKX983119 TUT2:TUT79 TUT65538:TUT65615 TUT131074:TUT131151 TUT196610:TUT196687 TUT262146:TUT262223 TUT327682:TUT327759 TUT393218:TUT393295 TUT458754:TUT458831 TUT524290:TUT524367 TUT589826:TUT589903 TUT655362:TUT655439 TUT720898:TUT720975 TUT786434:TUT786511 TUT851970:TUT852047 TUT917506:TUT917583 TUT983042:TUT983119 UEP2:UEP79 UEP65538:UEP65615 UEP131074:UEP131151 UEP196610:UEP196687 UEP262146:UEP262223 UEP327682:UEP327759 UEP393218:UEP393295 UEP458754:UEP458831 UEP524290:UEP524367 UEP589826:UEP589903 UEP655362:UEP655439 UEP720898:UEP720975 UEP786434:UEP786511 UEP851970:UEP852047 UEP917506:UEP917583 UEP983042:UEP983119 UOL2:UOL79 UOL65538:UOL65615 UOL131074:UOL131151 UOL196610:UOL196687 UOL262146:UOL262223 UOL327682:UOL327759 UOL393218:UOL393295 UOL458754:UOL458831 UOL524290:UOL524367 UOL589826:UOL589903 UOL655362:UOL655439 UOL720898:UOL720975 UOL786434:UOL786511 UOL851970:UOL852047 UOL917506:UOL917583 UOL983042:UOL983119 UYH2:UYH79 UYH65538:UYH65615 UYH131074:UYH131151 UYH196610:UYH196687 UYH262146:UYH262223 UYH327682:UYH327759 UYH393218:UYH393295 UYH458754:UYH458831 UYH524290:UYH524367 UYH589826:UYH589903 UYH655362:UYH655439 UYH720898:UYH720975 UYH786434:UYH786511 UYH851970:UYH852047 UYH917506:UYH917583 UYH983042:UYH983119 VID2:VID79 VID65538:VID65615 VID131074:VID131151 VID196610:VID196687 VID262146:VID262223 VID327682:VID327759 VID393218:VID393295 VID458754:VID458831 VID524290:VID524367 VID589826:VID589903 VID655362:VID655439 VID720898:VID720975 VID786434:VID786511 VID851970:VID852047 VID917506:VID917583 VID983042:VID983119 VRZ2:VRZ79 VRZ65538:VRZ65615 VRZ131074:VRZ131151 VRZ196610:VRZ196687 VRZ262146:VRZ262223 VRZ327682:VRZ327759 VRZ393218:VRZ393295 VRZ458754:VRZ458831 VRZ524290:VRZ524367 VRZ589826:VRZ589903 VRZ655362:VRZ655439 VRZ720898:VRZ720975 VRZ786434:VRZ786511 VRZ851970:VRZ852047 VRZ917506:VRZ917583 VRZ983042:VRZ983119 WBV2:WBV79 WBV65538:WBV65615 WBV131074:WBV131151 WBV196610:WBV196687 WBV262146:WBV262223 WBV327682:WBV327759 WBV393218:WBV393295 WBV458754:WBV458831 WBV524290:WBV524367 WBV589826:WBV589903 WBV655362:WBV655439 WBV720898:WBV720975 WBV786434:WBV786511 WBV851970:WBV852047 WBV917506:WBV917583 WBV983042:WBV983119 WLR2:WLR79 WLR65538:WLR65615 WLR131074:WLR131151 WLR196610:WLR196687 WLR262146:WLR262223 WLR327682:WLR327759 WLR393218:WLR393295 WLR458754:WLR458831 WLR524290:WLR524367 WLR589826:WLR589903 WLR655362:WLR655439 WLR720898:WLR720975 WLR786434:WLR786511 WLR851970:WLR852047 WLR917506:WLR917583 WLR983042:WLR983119 WVN2:WVN79 WVN65538:WVN65615 WVN131074:WVN131151 WVN196610:WVN196687 WVN262146:WVN262223 WVN327682:WVN327759 WVN393218:WVN393295 WVN458754:WVN458831 WVN524290:WVN524367 WVN589826:WVN589903 WVN655362:WVN655439 WVN720898:WVN720975 WVN786434:WVN786511 WVN851970:WVN852047 WVN917506:WVN917583 WVN983042:WVN983119" xr:uid="{25EA735C-42FD-4240-B5ED-98C8C71654C9}">
      <formula1>$AH$2:$AH$11</formula1>
    </dataValidation>
    <dataValidation type="list" allowBlank="1" showInputMessage="1" showErrorMessage="1" sqref="K2:K89" xr:uid="{21C14418-550A-45E4-9D79-9D21330CD168}">
      <formula1>$AR$2:$AR$26</formula1>
    </dataValidation>
    <dataValidation type="list" allowBlank="1" showInputMessage="1" showErrorMessage="1" sqref="K90:K500 K65538:K65615 K131074:K131151 K196610:K196687 K262146:K262223 K327682:K327759 K393218:K393295 K458754:K458831 K524290:K524367 K589826:K589903 K655362:K655439 K720898:K720975 K786434:K786511 K851970:K852047 K917506:K917583 K983042:K983119 JG2:JG79 JG65538:JG65615 JG131074:JG131151 JG196610:JG196687 JG262146:JG262223 JG327682:JG327759 JG393218:JG393295 JG458754:JG458831 JG524290:JG524367 JG589826:JG589903 JG655362:JG655439 JG720898:JG720975 JG786434:JG786511 JG851970:JG852047 JG917506:JG917583 JG983042:JG983119 TC2:TC79 TC65538:TC65615 TC131074:TC131151 TC196610:TC196687 TC262146:TC262223 TC327682:TC327759 TC393218:TC393295 TC458754:TC458831 TC524290:TC524367 TC589826:TC589903 TC655362:TC655439 TC720898:TC720975 TC786434:TC786511 TC851970:TC852047 TC917506:TC917583 TC983042:TC983119 ACY2:ACY79 ACY65538:ACY65615 ACY131074:ACY131151 ACY196610:ACY196687 ACY262146:ACY262223 ACY327682:ACY327759 ACY393218:ACY393295 ACY458754:ACY458831 ACY524290:ACY524367 ACY589826:ACY589903 ACY655362:ACY655439 ACY720898:ACY720975 ACY786434:ACY786511 ACY851970:ACY852047 ACY917506:ACY917583 ACY983042:ACY983119 AMU2:AMU79 AMU65538:AMU65615 AMU131074:AMU131151 AMU196610:AMU196687 AMU262146:AMU262223 AMU327682:AMU327759 AMU393218:AMU393295 AMU458754:AMU458831 AMU524290:AMU524367 AMU589826:AMU589903 AMU655362:AMU655439 AMU720898:AMU720975 AMU786434:AMU786511 AMU851970:AMU852047 AMU917506:AMU917583 AMU983042:AMU983119 AWQ2:AWQ79 AWQ65538:AWQ65615 AWQ131074:AWQ131151 AWQ196610:AWQ196687 AWQ262146:AWQ262223 AWQ327682:AWQ327759 AWQ393218:AWQ393295 AWQ458754:AWQ458831 AWQ524290:AWQ524367 AWQ589826:AWQ589903 AWQ655362:AWQ655439 AWQ720898:AWQ720975 AWQ786434:AWQ786511 AWQ851970:AWQ852047 AWQ917506:AWQ917583 AWQ983042:AWQ983119 BGM2:BGM79 BGM65538:BGM65615 BGM131074:BGM131151 BGM196610:BGM196687 BGM262146:BGM262223 BGM327682:BGM327759 BGM393218:BGM393295 BGM458754:BGM458831 BGM524290:BGM524367 BGM589826:BGM589903 BGM655362:BGM655439 BGM720898:BGM720975 BGM786434:BGM786511 BGM851970:BGM852047 BGM917506:BGM917583 BGM983042:BGM983119 BQI2:BQI79 BQI65538:BQI65615 BQI131074:BQI131151 BQI196610:BQI196687 BQI262146:BQI262223 BQI327682:BQI327759 BQI393218:BQI393295 BQI458754:BQI458831 BQI524290:BQI524367 BQI589826:BQI589903 BQI655362:BQI655439 BQI720898:BQI720975 BQI786434:BQI786511 BQI851970:BQI852047 BQI917506:BQI917583 BQI983042:BQI983119 CAE2:CAE79 CAE65538:CAE65615 CAE131074:CAE131151 CAE196610:CAE196687 CAE262146:CAE262223 CAE327682:CAE327759 CAE393218:CAE393295 CAE458754:CAE458831 CAE524290:CAE524367 CAE589826:CAE589903 CAE655362:CAE655439 CAE720898:CAE720975 CAE786434:CAE786511 CAE851970:CAE852047 CAE917506:CAE917583 CAE983042:CAE983119 CKA2:CKA79 CKA65538:CKA65615 CKA131074:CKA131151 CKA196610:CKA196687 CKA262146:CKA262223 CKA327682:CKA327759 CKA393218:CKA393295 CKA458754:CKA458831 CKA524290:CKA524367 CKA589826:CKA589903 CKA655362:CKA655439 CKA720898:CKA720975 CKA786434:CKA786511 CKA851970:CKA852047 CKA917506:CKA917583 CKA983042:CKA983119 CTW2:CTW79 CTW65538:CTW65615 CTW131074:CTW131151 CTW196610:CTW196687 CTW262146:CTW262223 CTW327682:CTW327759 CTW393218:CTW393295 CTW458754:CTW458831 CTW524290:CTW524367 CTW589826:CTW589903 CTW655362:CTW655439 CTW720898:CTW720975 CTW786434:CTW786511 CTW851970:CTW852047 CTW917506:CTW917583 CTW983042:CTW983119 DDS2:DDS79 DDS65538:DDS65615 DDS131074:DDS131151 DDS196610:DDS196687 DDS262146:DDS262223 DDS327682:DDS327759 DDS393218:DDS393295 DDS458754:DDS458831 DDS524290:DDS524367 DDS589826:DDS589903 DDS655362:DDS655439 DDS720898:DDS720975 DDS786434:DDS786511 DDS851970:DDS852047 DDS917506:DDS917583 DDS983042:DDS983119 DNO2:DNO79 DNO65538:DNO65615 DNO131074:DNO131151 DNO196610:DNO196687 DNO262146:DNO262223 DNO327682:DNO327759 DNO393218:DNO393295 DNO458754:DNO458831 DNO524290:DNO524367 DNO589826:DNO589903 DNO655362:DNO655439 DNO720898:DNO720975 DNO786434:DNO786511 DNO851970:DNO852047 DNO917506:DNO917583 DNO983042:DNO983119 DXK2:DXK79 DXK65538:DXK65615 DXK131074:DXK131151 DXK196610:DXK196687 DXK262146:DXK262223 DXK327682:DXK327759 DXK393218:DXK393295 DXK458754:DXK458831 DXK524290:DXK524367 DXK589826:DXK589903 DXK655362:DXK655439 DXK720898:DXK720975 DXK786434:DXK786511 DXK851970:DXK852047 DXK917506:DXK917583 DXK983042:DXK983119 EHG2:EHG79 EHG65538:EHG65615 EHG131074:EHG131151 EHG196610:EHG196687 EHG262146:EHG262223 EHG327682:EHG327759 EHG393218:EHG393295 EHG458754:EHG458831 EHG524290:EHG524367 EHG589826:EHG589903 EHG655362:EHG655439 EHG720898:EHG720975 EHG786434:EHG786511 EHG851970:EHG852047 EHG917506:EHG917583 EHG983042:EHG983119 ERC2:ERC79 ERC65538:ERC65615 ERC131074:ERC131151 ERC196610:ERC196687 ERC262146:ERC262223 ERC327682:ERC327759 ERC393218:ERC393295 ERC458754:ERC458831 ERC524290:ERC524367 ERC589826:ERC589903 ERC655362:ERC655439 ERC720898:ERC720975 ERC786434:ERC786511 ERC851970:ERC852047 ERC917506:ERC917583 ERC983042:ERC983119 FAY2:FAY79 FAY65538:FAY65615 FAY131074:FAY131151 FAY196610:FAY196687 FAY262146:FAY262223 FAY327682:FAY327759 FAY393218:FAY393295 FAY458754:FAY458831 FAY524290:FAY524367 FAY589826:FAY589903 FAY655362:FAY655439 FAY720898:FAY720975 FAY786434:FAY786511 FAY851970:FAY852047 FAY917506:FAY917583 FAY983042:FAY983119 FKU2:FKU79 FKU65538:FKU65615 FKU131074:FKU131151 FKU196610:FKU196687 FKU262146:FKU262223 FKU327682:FKU327759 FKU393218:FKU393295 FKU458754:FKU458831 FKU524290:FKU524367 FKU589826:FKU589903 FKU655362:FKU655439 FKU720898:FKU720975 FKU786434:FKU786511 FKU851970:FKU852047 FKU917506:FKU917583 FKU983042:FKU983119 FUQ2:FUQ79 FUQ65538:FUQ65615 FUQ131074:FUQ131151 FUQ196610:FUQ196687 FUQ262146:FUQ262223 FUQ327682:FUQ327759 FUQ393218:FUQ393295 FUQ458754:FUQ458831 FUQ524290:FUQ524367 FUQ589826:FUQ589903 FUQ655362:FUQ655439 FUQ720898:FUQ720975 FUQ786434:FUQ786511 FUQ851970:FUQ852047 FUQ917506:FUQ917583 FUQ983042:FUQ983119 GEM2:GEM79 GEM65538:GEM65615 GEM131074:GEM131151 GEM196610:GEM196687 GEM262146:GEM262223 GEM327682:GEM327759 GEM393218:GEM393295 GEM458754:GEM458831 GEM524290:GEM524367 GEM589826:GEM589903 GEM655362:GEM655439 GEM720898:GEM720975 GEM786434:GEM786511 GEM851970:GEM852047 GEM917506:GEM917583 GEM983042:GEM983119 GOI2:GOI79 GOI65538:GOI65615 GOI131074:GOI131151 GOI196610:GOI196687 GOI262146:GOI262223 GOI327682:GOI327759 GOI393218:GOI393295 GOI458754:GOI458831 GOI524290:GOI524367 GOI589826:GOI589903 GOI655362:GOI655439 GOI720898:GOI720975 GOI786434:GOI786511 GOI851970:GOI852047 GOI917506:GOI917583 GOI983042:GOI983119 GYE2:GYE79 GYE65538:GYE65615 GYE131074:GYE131151 GYE196610:GYE196687 GYE262146:GYE262223 GYE327682:GYE327759 GYE393218:GYE393295 GYE458754:GYE458831 GYE524290:GYE524367 GYE589826:GYE589903 GYE655362:GYE655439 GYE720898:GYE720975 GYE786434:GYE786511 GYE851970:GYE852047 GYE917506:GYE917583 GYE983042:GYE983119 HIA2:HIA79 HIA65538:HIA65615 HIA131074:HIA131151 HIA196610:HIA196687 HIA262146:HIA262223 HIA327682:HIA327759 HIA393218:HIA393295 HIA458754:HIA458831 HIA524290:HIA524367 HIA589826:HIA589903 HIA655362:HIA655439 HIA720898:HIA720975 HIA786434:HIA786511 HIA851970:HIA852047 HIA917506:HIA917583 HIA983042:HIA983119 HRW2:HRW79 HRW65538:HRW65615 HRW131074:HRW131151 HRW196610:HRW196687 HRW262146:HRW262223 HRW327682:HRW327759 HRW393218:HRW393295 HRW458754:HRW458831 HRW524290:HRW524367 HRW589826:HRW589903 HRW655362:HRW655439 HRW720898:HRW720975 HRW786434:HRW786511 HRW851970:HRW852047 HRW917506:HRW917583 HRW983042:HRW983119 IBS2:IBS79 IBS65538:IBS65615 IBS131074:IBS131151 IBS196610:IBS196687 IBS262146:IBS262223 IBS327682:IBS327759 IBS393218:IBS393295 IBS458754:IBS458831 IBS524290:IBS524367 IBS589826:IBS589903 IBS655362:IBS655439 IBS720898:IBS720975 IBS786434:IBS786511 IBS851970:IBS852047 IBS917506:IBS917583 IBS983042:IBS983119 ILO2:ILO79 ILO65538:ILO65615 ILO131074:ILO131151 ILO196610:ILO196687 ILO262146:ILO262223 ILO327682:ILO327759 ILO393218:ILO393295 ILO458754:ILO458831 ILO524290:ILO524367 ILO589826:ILO589903 ILO655362:ILO655439 ILO720898:ILO720975 ILO786434:ILO786511 ILO851970:ILO852047 ILO917506:ILO917583 ILO983042:ILO983119 IVK2:IVK79 IVK65538:IVK65615 IVK131074:IVK131151 IVK196610:IVK196687 IVK262146:IVK262223 IVK327682:IVK327759 IVK393218:IVK393295 IVK458754:IVK458831 IVK524290:IVK524367 IVK589826:IVK589903 IVK655362:IVK655439 IVK720898:IVK720975 IVK786434:IVK786511 IVK851970:IVK852047 IVK917506:IVK917583 IVK983042:IVK983119 JFG2:JFG79 JFG65538:JFG65615 JFG131074:JFG131151 JFG196610:JFG196687 JFG262146:JFG262223 JFG327682:JFG327759 JFG393218:JFG393295 JFG458754:JFG458831 JFG524290:JFG524367 JFG589826:JFG589903 JFG655362:JFG655439 JFG720898:JFG720975 JFG786434:JFG786511 JFG851970:JFG852047 JFG917506:JFG917583 JFG983042:JFG983119 JPC2:JPC79 JPC65538:JPC65615 JPC131074:JPC131151 JPC196610:JPC196687 JPC262146:JPC262223 JPC327682:JPC327759 JPC393218:JPC393295 JPC458754:JPC458831 JPC524290:JPC524367 JPC589826:JPC589903 JPC655362:JPC655439 JPC720898:JPC720975 JPC786434:JPC786511 JPC851970:JPC852047 JPC917506:JPC917583 JPC983042:JPC983119 JYY2:JYY79 JYY65538:JYY65615 JYY131074:JYY131151 JYY196610:JYY196687 JYY262146:JYY262223 JYY327682:JYY327759 JYY393218:JYY393295 JYY458754:JYY458831 JYY524290:JYY524367 JYY589826:JYY589903 JYY655362:JYY655439 JYY720898:JYY720975 JYY786434:JYY786511 JYY851970:JYY852047 JYY917506:JYY917583 JYY983042:JYY983119 KIU2:KIU79 KIU65538:KIU65615 KIU131074:KIU131151 KIU196610:KIU196687 KIU262146:KIU262223 KIU327682:KIU327759 KIU393218:KIU393295 KIU458754:KIU458831 KIU524290:KIU524367 KIU589826:KIU589903 KIU655362:KIU655439 KIU720898:KIU720975 KIU786434:KIU786511 KIU851970:KIU852047 KIU917506:KIU917583 KIU983042:KIU983119 KSQ2:KSQ79 KSQ65538:KSQ65615 KSQ131074:KSQ131151 KSQ196610:KSQ196687 KSQ262146:KSQ262223 KSQ327682:KSQ327759 KSQ393218:KSQ393295 KSQ458754:KSQ458831 KSQ524290:KSQ524367 KSQ589826:KSQ589903 KSQ655362:KSQ655439 KSQ720898:KSQ720975 KSQ786434:KSQ786511 KSQ851970:KSQ852047 KSQ917506:KSQ917583 KSQ983042:KSQ983119 LCM2:LCM79 LCM65538:LCM65615 LCM131074:LCM131151 LCM196610:LCM196687 LCM262146:LCM262223 LCM327682:LCM327759 LCM393218:LCM393295 LCM458754:LCM458831 LCM524290:LCM524367 LCM589826:LCM589903 LCM655362:LCM655439 LCM720898:LCM720975 LCM786434:LCM786511 LCM851970:LCM852047 LCM917506:LCM917583 LCM983042:LCM983119 LMI2:LMI79 LMI65538:LMI65615 LMI131074:LMI131151 LMI196610:LMI196687 LMI262146:LMI262223 LMI327682:LMI327759 LMI393218:LMI393295 LMI458754:LMI458831 LMI524290:LMI524367 LMI589826:LMI589903 LMI655362:LMI655439 LMI720898:LMI720975 LMI786434:LMI786511 LMI851970:LMI852047 LMI917506:LMI917583 LMI983042:LMI983119 LWE2:LWE79 LWE65538:LWE65615 LWE131074:LWE131151 LWE196610:LWE196687 LWE262146:LWE262223 LWE327682:LWE327759 LWE393218:LWE393295 LWE458754:LWE458831 LWE524290:LWE524367 LWE589826:LWE589903 LWE655362:LWE655439 LWE720898:LWE720975 LWE786434:LWE786511 LWE851970:LWE852047 LWE917506:LWE917583 LWE983042:LWE983119 MGA2:MGA79 MGA65538:MGA65615 MGA131074:MGA131151 MGA196610:MGA196687 MGA262146:MGA262223 MGA327682:MGA327759 MGA393218:MGA393295 MGA458754:MGA458831 MGA524290:MGA524367 MGA589826:MGA589903 MGA655362:MGA655439 MGA720898:MGA720975 MGA786434:MGA786511 MGA851970:MGA852047 MGA917506:MGA917583 MGA983042:MGA983119 MPW2:MPW79 MPW65538:MPW65615 MPW131074:MPW131151 MPW196610:MPW196687 MPW262146:MPW262223 MPW327682:MPW327759 MPW393218:MPW393295 MPW458754:MPW458831 MPW524290:MPW524367 MPW589826:MPW589903 MPW655362:MPW655439 MPW720898:MPW720975 MPW786434:MPW786511 MPW851970:MPW852047 MPW917506:MPW917583 MPW983042:MPW983119 MZS2:MZS79 MZS65538:MZS65615 MZS131074:MZS131151 MZS196610:MZS196687 MZS262146:MZS262223 MZS327682:MZS327759 MZS393218:MZS393295 MZS458754:MZS458831 MZS524290:MZS524367 MZS589826:MZS589903 MZS655362:MZS655439 MZS720898:MZS720975 MZS786434:MZS786511 MZS851970:MZS852047 MZS917506:MZS917583 MZS983042:MZS983119 NJO2:NJO79 NJO65538:NJO65615 NJO131074:NJO131151 NJO196610:NJO196687 NJO262146:NJO262223 NJO327682:NJO327759 NJO393218:NJO393295 NJO458754:NJO458831 NJO524290:NJO524367 NJO589826:NJO589903 NJO655362:NJO655439 NJO720898:NJO720975 NJO786434:NJO786511 NJO851970:NJO852047 NJO917506:NJO917583 NJO983042:NJO983119 NTK2:NTK79 NTK65538:NTK65615 NTK131074:NTK131151 NTK196610:NTK196687 NTK262146:NTK262223 NTK327682:NTK327759 NTK393218:NTK393295 NTK458754:NTK458831 NTK524290:NTK524367 NTK589826:NTK589903 NTK655362:NTK655439 NTK720898:NTK720975 NTK786434:NTK786511 NTK851970:NTK852047 NTK917506:NTK917583 NTK983042:NTK983119 ODG2:ODG79 ODG65538:ODG65615 ODG131074:ODG131151 ODG196610:ODG196687 ODG262146:ODG262223 ODG327682:ODG327759 ODG393218:ODG393295 ODG458754:ODG458831 ODG524290:ODG524367 ODG589826:ODG589903 ODG655362:ODG655439 ODG720898:ODG720975 ODG786434:ODG786511 ODG851970:ODG852047 ODG917506:ODG917583 ODG983042:ODG983119 ONC2:ONC79 ONC65538:ONC65615 ONC131074:ONC131151 ONC196610:ONC196687 ONC262146:ONC262223 ONC327682:ONC327759 ONC393218:ONC393295 ONC458754:ONC458831 ONC524290:ONC524367 ONC589826:ONC589903 ONC655362:ONC655439 ONC720898:ONC720975 ONC786434:ONC786511 ONC851970:ONC852047 ONC917506:ONC917583 ONC983042:ONC983119 OWY2:OWY79 OWY65538:OWY65615 OWY131074:OWY131151 OWY196610:OWY196687 OWY262146:OWY262223 OWY327682:OWY327759 OWY393218:OWY393295 OWY458754:OWY458831 OWY524290:OWY524367 OWY589826:OWY589903 OWY655362:OWY655439 OWY720898:OWY720975 OWY786434:OWY786511 OWY851970:OWY852047 OWY917506:OWY917583 OWY983042:OWY983119 PGU2:PGU79 PGU65538:PGU65615 PGU131074:PGU131151 PGU196610:PGU196687 PGU262146:PGU262223 PGU327682:PGU327759 PGU393218:PGU393295 PGU458754:PGU458831 PGU524290:PGU524367 PGU589826:PGU589903 PGU655362:PGU655439 PGU720898:PGU720975 PGU786434:PGU786511 PGU851970:PGU852047 PGU917506:PGU917583 PGU983042:PGU983119 PQQ2:PQQ79 PQQ65538:PQQ65615 PQQ131074:PQQ131151 PQQ196610:PQQ196687 PQQ262146:PQQ262223 PQQ327682:PQQ327759 PQQ393218:PQQ393295 PQQ458754:PQQ458831 PQQ524290:PQQ524367 PQQ589826:PQQ589903 PQQ655362:PQQ655439 PQQ720898:PQQ720975 PQQ786434:PQQ786511 PQQ851970:PQQ852047 PQQ917506:PQQ917583 PQQ983042:PQQ983119 QAM2:QAM79 QAM65538:QAM65615 QAM131074:QAM131151 QAM196610:QAM196687 QAM262146:QAM262223 QAM327682:QAM327759 QAM393218:QAM393295 QAM458754:QAM458831 QAM524290:QAM524367 QAM589826:QAM589903 QAM655362:QAM655439 QAM720898:QAM720975 QAM786434:QAM786511 QAM851970:QAM852047 QAM917506:QAM917583 QAM983042:QAM983119 QKI2:QKI79 QKI65538:QKI65615 QKI131074:QKI131151 QKI196610:QKI196687 QKI262146:QKI262223 QKI327682:QKI327759 QKI393218:QKI393295 QKI458754:QKI458831 QKI524290:QKI524367 QKI589826:QKI589903 QKI655362:QKI655439 QKI720898:QKI720975 QKI786434:QKI786511 QKI851970:QKI852047 QKI917506:QKI917583 QKI983042:QKI983119 QUE2:QUE79 QUE65538:QUE65615 QUE131074:QUE131151 QUE196610:QUE196687 QUE262146:QUE262223 QUE327682:QUE327759 QUE393218:QUE393295 QUE458754:QUE458831 QUE524290:QUE524367 QUE589826:QUE589903 QUE655362:QUE655439 QUE720898:QUE720975 QUE786434:QUE786511 QUE851970:QUE852047 QUE917506:QUE917583 QUE983042:QUE983119 REA2:REA79 REA65538:REA65615 REA131074:REA131151 REA196610:REA196687 REA262146:REA262223 REA327682:REA327759 REA393218:REA393295 REA458754:REA458831 REA524290:REA524367 REA589826:REA589903 REA655362:REA655439 REA720898:REA720975 REA786434:REA786511 REA851970:REA852047 REA917506:REA917583 REA983042:REA983119 RNW2:RNW79 RNW65538:RNW65615 RNW131074:RNW131151 RNW196610:RNW196687 RNW262146:RNW262223 RNW327682:RNW327759 RNW393218:RNW393295 RNW458754:RNW458831 RNW524290:RNW524367 RNW589826:RNW589903 RNW655362:RNW655439 RNW720898:RNW720975 RNW786434:RNW786511 RNW851970:RNW852047 RNW917506:RNW917583 RNW983042:RNW983119 RXS2:RXS79 RXS65538:RXS65615 RXS131074:RXS131151 RXS196610:RXS196687 RXS262146:RXS262223 RXS327682:RXS327759 RXS393218:RXS393295 RXS458754:RXS458831 RXS524290:RXS524367 RXS589826:RXS589903 RXS655362:RXS655439 RXS720898:RXS720975 RXS786434:RXS786511 RXS851970:RXS852047 RXS917506:RXS917583 RXS983042:RXS983119 SHO2:SHO79 SHO65538:SHO65615 SHO131074:SHO131151 SHO196610:SHO196687 SHO262146:SHO262223 SHO327682:SHO327759 SHO393218:SHO393295 SHO458754:SHO458831 SHO524290:SHO524367 SHO589826:SHO589903 SHO655362:SHO655439 SHO720898:SHO720975 SHO786434:SHO786511 SHO851970:SHO852047 SHO917506:SHO917583 SHO983042:SHO983119 SRK2:SRK79 SRK65538:SRK65615 SRK131074:SRK131151 SRK196610:SRK196687 SRK262146:SRK262223 SRK327682:SRK327759 SRK393218:SRK393295 SRK458754:SRK458831 SRK524290:SRK524367 SRK589826:SRK589903 SRK655362:SRK655439 SRK720898:SRK720975 SRK786434:SRK786511 SRK851970:SRK852047 SRK917506:SRK917583 SRK983042:SRK983119 TBG2:TBG79 TBG65538:TBG65615 TBG131074:TBG131151 TBG196610:TBG196687 TBG262146:TBG262223 TBG327682:TBG327759 TBG393218:TBG393295 TBG458754:TBG458831 TBG524290:TBG524367 TBG589826:TBG589903 TBG655362:TBG655439 TBG720898:TBG720975 TBG786434:TBG786511 TBG851970:TBG852047 TBG917506:TBG917583 TBG983042:TBG983119 TLC2:TLC79 TLC65538:TLC65615 TLC131074:TLC131151 TLC196610:TLC196687 TLC262146:TLC262223 TLC327682:TLC327759 TLC393218:TLC393295 TLC458754:TLC458831 TLC524290:TLC524367 TLC589826:TLC589903 TLC655362:TLC655439 TLC720898:TLC720975 TLC786434:TLC786511 TLC851970:TLC852047 TLC917506:TLC917583 TLC983042:TLC983119 TUY2:TUY79 TUY65538:TUY65615 TUY131074:TUY131151 TUY196610:TUY196687 TUY262146:TUY262223 TUY327682:TUY327759 TUY393218:TUY393295 TUY458754:TUY458831 TUY524290:TUY524367 TUY589826:TUY589903 TUY655362:TUY655439 TUY720898:TUY720975 TUY786434:TUY786511 TUY851970:TUY852047 TUY917506:TUY917583 TUY983042:TUY983119 UEU2:UEU79 UEU65538:UEU65615 UEU131074:UEU131151 UEU196610:UEU196687 UEU262146:UEU262223 UEU327682:UEU327759 UEU393218:UEU393295 UEU458754:UEU458831 UEU524290:UEU524367 UEU589826:UEU589903 UEU655362:UEU655439 UEU720898:UEU720975 UEU786434:UEU786511 UEU851970:UEU852047 UEU917506:UEU917583 UEU983042:UEU983119 UOQ2:UOQ79 UOQ65538:UOQ65615 UOQ131074:UOQ131151 UOQ196610:UOQ196687 UOQ262146:UOQ262223 UOQ327682:UOQ327759 UOQ393218:UOQ393295 UOQ458754:UOQ458831 UOQ524290:UOQ524367 UOQ589826:UOQ589903 UOQ655362:UOQ655439 UOQ720898:UOQ720975 UOQ786434:UOQ786511 UOQ851970:UOQ852047 UOQ917506:UOQ917583 UOQ983042:UOQ983119 UYM2:UYM79 UYM65538:UYM65615 UYM131074:UYM131151 UYM196610:UYM196687 UYM262146:UYM262223 UYM327682:UYM327759 UYM393218:UYM393295 UYM458754:UYM458831 UYM524290:UYM524367 UYM589826:UYM589903 UYM655362:UYM655439 UYM720898:UYM720975 UYM786434:UYM786511 UYM851970:UYM852047 UYM917506:UYM917583 UYM983042:UYM983119 VII2:VII79 VII65538:VII65615 VII131074:VII131151 VII196610:VII196687 VII262146:VII262223 VII327682:VII327759 VII393218:VII393295 VII458754:VII458831 VII524290:VII524367 VII589826:VII589903 VII655362:VII655439 VII720898:VII720975 VII786434:VII786511 VII851970:VII852047 VII917506:VII917583 VII983042:VII983119 VSE2:VSE79 VSE65538:VSE65615 VSE131074:VSE131151 VSE196610:VSE196687 VSE262146:VSE262223 VSE327682:VSE327759 VSE393218:VSE393295 VSE458754:VSE458831 VSE524290:VSE524367 VSE589826:VSE589903 VSE655362:VSE655439 VSE720898:VSE720975 VSE786434:VSE786511 VSE851970:VSE852047 VSE917506:VSE917583 VSE983042:VSE983119 WCA2:WCA79 WCA65538:WCA65615 WCA131074:WCA131151 WCA196610:WCA196687 WCA262146:WCA262223 WCA327682:WCA327759 WCA393218:WCA393295 WCA458754:WCA458831 WCA524290:WCA524367 WCA589826:WCA589903 WCA655362:WCA655439 WCA720898:WCA720975 WCA786434:WCA786511 WCA851970:WCA852047 WCA917506:WCA917583 WCA983042:WCA983119 WLW2:WLW79 WLW65538:WLW65615 WLW131074:WLW131151 WLW196610:WLW196687 WLW262146:WLW262223 WLW327682:WLW327759 WLW393218:WLW393295 WLW458754:WLW458831 WLW524290:WLW524367 WLW589826:WLW589903 WLW655362:WLW655439 WLW720898:WLW720975 WLW786434:WLW786511 WLW851970:WLW852047 WLW917506:WLW917583 WLW983042:WLW983119 WVS2:WVS79 WVS65538:WVS65615 WVS131074:WVS131151 WVS196610:WVS196687 WVS262146:WVS262223 WVS327682:WVS327759 WVS393218:WVS393295 WVS458754:WVS458831 WVS524290:WVS524367 WVS589826:WVS589903 WVS655362:WVS655439 WVS720898:WVS720975 WVS786434:WVS786511 WVS851970:WVS852047 WVS917506:WVS917583 WVS983042:WVS983119" xr:uid="{E82734EF-5F23-4BC1-9684-15FE3F7D4F3E}">
      <formula1>$AR$2:$AR$25</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38 IX65538 ST65538 ACP65538 AML65538 AWH65538 BGD65538 BPZ65538 BZV65538 CJR65538 CTN65538 DDJ65538 DNF65538 DXB65538 EGX65538 EQT65538 FAP65538 FKL65538 FUH65538 GED65538 GNZ65538 GXV65538 HHR65538 HRN65538 IBJ65538 ILF65538 IVB65538 JEX65538 JOT65538 JYP65538 KIL65538 KSH65538 LCD65538 LLZ65538 LVV65538 MFR65538 MPN65538 MZJ65538 NJF65538 NTB65538 OCX65538 OMT65538 OWP65538 PGL65538 PQH65538 QAD65538 QJZ65538 QTV65538 RDR65538 RNN65538 RXJ65538 SHF65538 SRB65538 TAX65538 TKT65538 TUP65538 UEL65538 UOH65538 UYD65538 VHZ65538 VRV65538 WBR65538 WLN65538 WVJ65538 B131074 IX131074 ST131074 ACP131074 AML131074 AWH131074 BGD131074 BPZ131074 BZV131074 CJR131074 CTN131074 DDJ131074 DNF131074 DXB131074 EGX131074 EQT131074 FAP131074 FKL131074 FUH131074 GED131074 GNZ131074 GXV131074 HHR131074 HRN131074 IBJ131074 ILF131074 IVB131074 JEX131074 JOT131074 JYP131074 KIL131074 KSH131074 LCD131074 LLZ131074 LVV131074 MFR131074 MPN131074 MZJ131074 NJF131074 NTB131074 OCX131074 OMT131074 OWP131074 PGL131074 PQH131074 QAD131074 QJZ131074 QTV131074 RDR131074 RNN131074 RXJ131074 SHF131074 SRB131074 TAX131074 TKT131074 TUP131074 UEL131074 UOH131074 UYD131074 VHZ131074 VRV131074 WBR131074 WLN131074 WVJ131074 B196610 IX196610 ST196610 ACP196610 AML196610 AWH196610 BGD196610 BPZ196610 BZV196610 CJR196610 CTN196610 DDJ196610 DNF196610 DXB196610 EGX196610 EQT196610 FAP196610 FKL196610 FUH196610 GED196610 GNZ196610 GXV196610 HHR196610 HRN196610 IBJ196610 ILF196610 IVB196610 JEX196610 JOT196610 JYP196610 KIL196610 KSH196610 LCD196610 LLZ196610 LVV196610 MFR196610 MPN196610 MZJ196610 NJF196610 NTB196610 OCX196610 OMT196610 OWP196610 PGL196610 PQH196610 QAD196610 QJZ196610 QTV196610 RDR196610 RNN196610 RXJ196610 SHF196610 SRB196610 TAX196610 TKT196610 TUP196610 UEL196610 UOH196610 UYD196610 VHZ196610 VRV196610 WBR196610 WLN196610 WVJ196610 B262146 IX262146 ST262146 ACP262146 AML262146 AWH262146 BGD262146 BPZ262146 BZV262146 CJR262146 CTN262146 DDJ262146 DNF262146 DXB262146 EGX262146 EQT262146 FAP262146 FKL262146 FUH262146 GED262146 GNZ262146 GXV262146 HHR262146 HRN262146 IBJ262146 ILF262146 IVB262146 JEX262146 JOT262146 JYP262146 KIL262146 KSH262146 LCD262146 LLZ262146 LVV262146 MFR262146 MPN262146 MZJ262146 NJF262146 NTB262146 OCX262146 OMT262146 OWP262146 PGL262146 PQH262146 QAD262146 QJZ262146 QTV262146 RDR262146 RNN262146 RXJ262146 SHF262146 SRB262146 TAX262146 TKT262146 TUP262146 UEL262146 UOH262146 UYD262146 VHZ262146 VRV262146 WBR262146 WLN262146 WVJ262146 B327682 IX327682 ST327682 ACP327682 AML327682 AWH327682 BGD327682 BPZ327682 BZV327682 CJR327682 CTN327682 DDJ327682 DNF327682 DXB327682 EGX327682 EQT327682 FAP327682 FKL327682 FUH327682 GED327682 GNZ327682 GXV327682 HHR327682 HRN327682 IBJ327682 ILF327682 IVB327682 JEX327682 JOT327682 JYP327682 KIL327682 KSH327682 LCD327682 LLZ327682 LVV327682 MFR327682 MPN327682 MZJ327682 NJF327682 NTB327682 OCX327682 OMT327682 OWP327682 PGL327682 PQH327682 QAD327682 QJZ327682 QTV327682 RDR327682 RNN327682 RXJ327682 SHF327682 SRB327682 TAX327682 TKT327682 TUP327682 UEL327682 UOH327682 UYD327682 VHZ327682 VRV327682 WBR327682 WLN327682 WVJ327682 B393218 IX393218 ST393218 ACP393218 AML393218 AWH393218 BGD393218 BPZ393218 BZV393218 CJR393218 CTN393218 DDJ393218 DNF393218 DXB393218 EGX393218 EQT393218 FAP393218 FKL393218 FUH393218 GED393218 GNZ393218 GXV393218 HHR393218 HRN393218 IBJ393218 ILF393218 IVB393218 JEX393218 JOT393218 JYP393218 KIL393218 KSH393218 LCD393218 LLZ393218 LVV393218 MFR393218 MPN393218 MZJ393218 NJF393218 NTB393218 OCX393218 OMT393218 OWP393218 PGL393218 PQH393218 QAD393218 QJZ393218 QTV393218 RDR393218 RNN393218 RXJ393218 SHF393218 SRB393218 TAX393218 TKT393218 TUP393218 UEL393218 UOH393218 UYD393218 VHZ393218 VRV393218 WBR393218 WLN393218 WVJ393218 B458754 IX458754 ST458754 ACP458754 AML458754 AWH458754 BGD458754 BPZ458754 BZV458754 CJR458754 CTN458754 DDJ458754 DNF458754 DXB458754 EGX458754 EQT458754 FAP458754 FKL458754 FUH458754 GED458754 GNZ458754 GXV458754 HHR458754 HRN458754 IBJ458754 ILF458754 IVB458754 JEX458754 JOT458754 JYP458754 KIL458754 KSH458754 LCD458754 LLZ458754 LVV458754 MFR458754 MPN458754 MZJ458754 NJF458754 NTB458754 OCX458754 OMT458754 OWP458754 PGL458754 PQH458754 QAD458754 QJZ458754 QTV458754 RDR458754 RNN458754 RXJ458754 SHF458754 SRB458754 TAX458754 TKT458754 TUP458754 UEL458754 UOH458754 UYD458754 VHZ458754 VRV458754 WBR458754 WLN458754 WVJ458754 B524290 IX524290 ST524290 ACP524290 AML524290 AWH524290 BGD524290 BPZ524290 BZV524290 CJR524290 CTN524290 DDJ524290 DNF524290 DXB524290 EGX524290 EQT524290 FAP524290 FKL524290 FUH524290 GED524290 GNZ524290 GXV524290 HHR524290 HRN524290 IBJ524290 ILF524290 IVB524290 JEX524290 JOT524290 JYP524290 KIL524290 KSH524290 LCD524290 LLZ524290 LVV524290 MFR524290 MPN524290 MZJ524290 NJF524290 NTB524290 OCX524290 OMT524290 OWP524290 PGL524290 PQH524290 QAD524290 QJZ524290 QTV524290 RDR524290 RNN524290 RXJ524290 SHF524290 SRB524290 TAX524290 TKT524290 TUP524290 UEL524290 UOH524290 UYD524290 VHZ524290 VRV524290 WBR524290 WLN524290 WVJ524290 B589826 IX589826 ST589826 ACP589826 AML589826 AWH589826 BGD589826 BPZ589826 BZV589826 CJR589826 CTN589826 DDJ589826 DNF589826 DXB589826 EGX589826 EQT589826 FAP589826 FKL589826 FUH589826 GED589826 GNZ589826 GXV589826 HHR589826 HRN589826 IBJ589826 ILF589826 IVB589826 JEX589826 JOT589826 JYP589826 KIL589826 KSH589826 LCD589826 LLZ589826 LVV589826 MFR589826 MPN589826 MZJ589826 NJF589826 NTB589826 OCX589826 OMT589826 OWP589826 PGL589826 PQH589826 QAD589826 QJZ589826 QTV589826 RDR589826 RNN589826 RXJ589826 SHF589826 SRB589826 TAX589826 TKT589826 TUP589826 UEL589826 UOH589826 UYD589826 VHZ589826 VRV589826 WBR589826 WLN589826 WVJ589826 B655362 IX655362 ST655362 ACP655362 AML655362 AWH655362 BGD655362 BPZ655362 BZV655362 CJR655362 CTN655362 DDJ655362 DNF655362 DXB655362 EGX655362 EQT655362 FAP655362 FKL655362 FUH655362 GED655362 GNZ655362 GXV655362 HHR655362 HRN655362 IBJ655362 ILF655362 IVB655362 JEX655362 JOT655362 JYP655362 KIL655362 KSH655362 LCD655362 LLZ655362 LVV655362 MFR655362 MPN655362 MZJ655362 NJF655362 NTB655362 OCX655362 OMT655362 OWP655362 PGL655362 PQH655362 QAD655362 QJZ655362 QTV655362 RDR655362 RNN655362 RXJ655362 SHF655362 SRB655362 TAX655362 TKT655362 TUP655362 UEL655362 UOH655362 UYD655362 VHZ655362 VRV655362 WBR655362 WLN655362 WVJ655362 B720898 IX720898 ST720898 ACP720898 AML720898 AWH720898 BGD720898 BPZ720898 BZV720898 CJR720898 CTN720898 DDJ720898 DNF720898 DXB720898 EGX720898 EQT720898 FAP720898 FKL720898 FUH720898 GED720898 GNZ720898 GXV720898 HHR720898 HRN720898 IBJ720898 ILF720898 IVB720898 JEX720898 JOT720898 JYP720898 KIL720898 KSH720898 LCD720898 LLZ720898 LVV720898 MFR720898 MPN720898 MZJ720898 NJF720898 NTB720898 OCX720898 OMT720898 OWP720898 PGL720898 PQH720898 QAD720898 QJZ720898 QTV720898 RDR720898 RNN720898 RXJ720898 SHF720898 SRB720898 TAX720898 TKT720898 TUP720898 UEL720898 UOH720898 UYD720898 VHZ720898 VRV720898 WBR720898 WLN720898 WVJ720898 B786434 IX786434 ST786434 ACP786434 AML786434 AWH786434 BGD786434 BPZ786434 BZV786434 CJR786434 CTN786434 DDJ786434 DNF786434 DXB786434 EGX786434 EQT786434 FAP786434 FKL786434 FUH786434 GED786434 GNZ786434 GXV786434 HHR786434 HRN786434 IBJ786434 ILF786434 IVB786434 JEX786434 JOT786434 JYP786434 KIL786434 KSH786434 LCD786434 LLZ786434 LVV786434 MFR786434 MPN786434 MZJ786434 NJF786434 NTB786434 OCX786434 OMT786434 OWP786434 PGL786434 PQH786434 QAD786434 QJZ786434 QTV786434 RDR786434 RNN786434 RXJ786434 SHF786434 SRB786434 TAX786434 TKT786434 TUP786434 UEL786434 UOH786434 UYD786434 VHZ786434 VRV786434 WBR786434 WLN786434 WVJ786434 B851970 IX851970 ST851970 ACP851970 AML851970 AWH851970 BGD851970 BPZ851970 BZV851970 CJR851970 CTN851970 DDJ851970 DNF851970 DXB851970 EGX851970 EQT851970 FAP851970 FKL851970 FUH851970 GED851970 GNZ851970 GXV851970 HHR851970 HRN851970 IBJ851970 ILF851970 IVB851970 JEX851970 JOT851970 JYP851970 KIL851970 KSH851970 LCD851970 LLZ851970 LVV851970 MFR851970 MPN851970 MZJ851970 NJF851970 NTB851970 OCX851970 OMT851970 OWP851970 PGL851970 PQH851970 QAD851970 QJZ851970 QTV851970 RDR851970 RNN851970 RXJ851970 SHF851970 SRB851970 TAX851970 TKT851970 TUP851970 UEL851970 UOH851970 UYD851970 VHZ851970 VRV851970 WBR851970 WLN851970 WVJ851970 B917506 IX917506 ST917506 ACP917506 AML917506 AWH917506 BGD917506 BPZ917506 BZV917506 CJR917506 CTN917506 DDJ917506 DNF917506 DXB917506 EGX917506 EQT917506 FAP917506 FKL917506 FUH917506 GED917506 GNZ917506 GXV917506 HHR917506 HRN917506 IBJ917506 ILF917506 IVB917506 JEX917506 JOT917506 JYP917506 KIL917506 KSH917506 LCD917506 LLZ917506 LVV917506 MFR917506 MPN917506 MZJ917506 NJF917506 NTB917506 OCX917506 OMT917506 OWP917506 PGL917506 PQH917506 QAD917506 QJZ917506 QTV917506 RDR917506 RNN917506 RXJ917506 SHF917506 SRB917506 TAX917506 TKT917506 TUP917506 UEL917506 UOH917506 UYD917506 VHZ917506 VRV917506 WBR917506 WLN917506 WVJ917506 B983042 IX983042 ST983042 ACP983042 AML983042 AWH983042 BGD983042 BPZ983042 BZV983042 CJR983042 CTN983042 DDJ983042 DNF983042 DXB983042 EGX983042 EQT983042 FAP983042 FKL983042 FUH983042 GED983042 GNZ983042 GXV983042 HHR983042 HRN983042 IBJ983042 ILF983042 IVB983042 JEX983042 JOT983042 JYP983042 KIL983042 KSH983042 LCD983042 LLZ983042 LVV983042 MFR983042 MPN983042 MZJ983042 NJF983042 NTB983042 OCX983042 OMT983042 OWP983042 PGL983042 PQH983042 QAD983042 QJZ983042 QTV983042 RDR983042 RNN983042 RXJ983042 SHF983042 SRB983042 TAX983042 TKT983042 TUP983042 UEL983042 UOH983042 UYD983042 VHZ983042 VRV983042 WBR983042 WLN983042 WVJ983042" xr:uid="{BDDFD584-B2D5-4063-A29B-1026DCB97F13}"/>
    <dataValidation type="list" allowBlank="1" showInputMessage="1" showErrorMessage="1" sqref="E2:E732 E65538:E65615 E131074:E131151 E196610:E196687 E262146:E262223 E327682:E327759 E393218:E393295 E458754:E458831 E524290:E524367 E589826:E589903 E655362:E655439 E720898:E720975 E786434:E786511 E851970:E852047 E917506:E917583 E983042:E983119 JA2:JA79 JA65538:JA65615 JA131074:JA131151 JA196610:JA196687 JA262146:JA262223 JA327682:JA327759 JA393218:JA393295 JA458754:JA458831 JA524290:JA524367 JA589826:JA589903 JA655362:JA655439 JA720898:JA720975 JA786434:JA786511 JA851970:JA852047 JA917506:JA917583 JA983042:JA983119 SW2:SW79 SW65538:SW65615 SW131074:SW131151 SW196610:SW196687 SW262146:SW262223 SW327682:SW327759 SW393218:SW393295 SW458754:SW458831 SW524290:SW524367 SW589826:SW589903 SW655362:SW655439 SW720898:SW720975 SW786434:SW786511 SW851970:SW852047 SW917506:SW917583 SW983042:SW983119 ACS2:ACS79 ACS65538:ACS65615 ACS131074:ACS131151 ACS196610:ACS196687 ACS262146:ACS262223 ACS327682:ACS327759 ACS393218:ACS393295 ACS458754:ACS458831 ACS524290:ACS524367 ACS589826:ACS589903 ACS655362:ACS655439 ACS720898:ACS720975 ACS786434:ACS786511 ACS851970:ACS852047 ACS917506:ACS917583 ACS983042:ACS983119 AMO2:AMO79 AMO65538:AMO65615 AMO131074:AMO131151 AMO196610:AMO196687 AMO262146:AMO262223 AMO327682:AMO327759 AMO393218:AMO393295 AMO458754:AMO458831 AMO524290:AMO524367 AMO589826:AMO589903 AMO655362:AMO655439 AMO720898:AMO720975 AMO786434:AMO786511 AMO851970:AMO852047 AMO917506:AMO917583 AMO983042:AMO983119 AWK2:AWK79 AWK65538:AWK65615 AWK131074:AWK131151 AWK196610:AWK196687 AWK262146:AWK262223 AWK327682:AWK327759 AWK393218:AWK393295 AWK458754:AWK458831 AWK524290:AWK524367 AWK589826:AWK589903 AWK655362:AWK655439 AWK720898:AWK720975 AWK786434:AWK786511 AWK851970:AWK852047 AWK917506:AWK917583 AWK983042:AWK983119 BGG2:BGG79 BGG65538:BGG65615 BGG131074:BGG131151 BGG196610:BGG196687 BGG262146:BGG262223 BGG327682:BGG327759 BGG393218:BGG393295 BGG458754:BGG458831 BGG524290:BGG524367 BGG589826:BGG589903 BGG655362:BGG655439 BGG720898:BGG720975 BGG786434:BGG786511 BGG851970:BGG852047 BGG917506:BGG917583 BGG983042:BGG983119 BQC2:BQC79 BQC65538:BQC65615 BQC131074:BQC131151 BQC196610:BQC196687 BQC262146:BQC262223 BQC327682:BQC327759 BQC393218:BQC393295 BQC458754:BQC458831 BQC524290:BQC524367 BQC589826:BQC589903 BQC655362:BQC655439 BQC720898:BQC720975 BQC786434:BQC786511 BQC851970:BQC852047 BQC917506:BQC917583 BQC983042:BQC983119 BZY2:BZY79 BZY65538:BZY65615 BZY131074:BZY131151 BZY196610:BZY196687 BZY262146:BZY262223 BZY327682:BZY327759 BZY393218:BZY393295 BZY458754:BZY458831 BZY524290:BZY524367 BZY589826:BZY589903 BZY655362:BZY655439 BZY720898:BZY720975 BZY786434:BZY786511 BZY851970:BZY852047 BZY917506:BZY917583 BZY983042:BZY983119 CJU2:CJU79 CJU65538:CJU65615 CJU131074:CJU131151 CJU196610:CJU196687 CJU262146:CJU262223 CJU327682:CJU327759 CJU393218:CJU393295 CJU458754:CJU458831 CJU524290:CJU524367 CJU589826:CJU589903 CJU655362:CJU655439 CJU720898:CJU720975 CJU786434:CJU786511 CJU851970:CJU852047 CJU917506:CJU917583 CJU983042:CJU983119 CTQ2:CTQ79 CTQ65538:CTQ65615 CTQ131074:CTQ131151 CTQ196610:CTQ196687 CTQ262146:CTQ262223 CTQ327682:CTQ327759 CTQ393218:CTQ393295 CTQ458754:CTQ458831 CTQ524290:CTQ524367 CTQ589826:CTQ589903 CTQ655362:CTQ655439 CTQ720898:CTQ720975 CTQ786434:CTQ786511 CTQ851970:CTQ852047 CTQ917506:CTQ917583 CTQ983042:CTQ983119 DDM2:DDM79 DDM65538:DDM65615 DDM131074:DDM131151 DDM196610:DDM196687 DDM262146:DDM262223 DDM327682:DDM327759 DDM393218:DDM393295 DDM458754:DDM458831 DDM524290:DDM524367 DDM589826:DDM589903 DDM655362:DDM655439 DDM720898:DDM720975 DDM786434:DDM786511 DDM851970:DDM852047 DDM917506:DDM917583 DDM983042:DDM983119 DNI2:DNI79 DNI65538:DNI65615 DNI131074:DNI131151 DNI196610:DNI196687 DNI262146:DNI262223 DNI327682:DNI327759 DNI393218:DNI393295 DNI458754:DNI458831 DNI524290:DNI524367 DNI589826:DNI589903 DNI655362:DNI655439 DNI720898:DNI720975 DNI786434:DNI786511 DNI851970:DNI852047 DNI917506:DNI917583 DNI983042:DNI983119 DXE2:DXE79 DXE65538:DXE65615 DXE131074:DXE131151 DXE196610:DXE196687 DXE262146:DXE262223 DXE327682:DXE327759 DXE393218:DXE393295 DXE458754:DXE458831 DXE524290:DXE524367 DXE589826:DXE589903 DXE655362:DXE655439 DXE720898:DXE720975 DXE786434:DXE786511 DXE851970:DXE852047 DXE917506:DXE917583 DXE983042:DXE983119 EHA2:EHA79 EHA65538:EHA65615 EHA131074:EHA131151 EHA196610:EHA196687 EHA262146:EHA262223 EHA327682:EHA327759 EHA393218:EHA393295 EHA458754:EHA458831 EHA524290:EHA524367 EHA589826:EHA589903 EHA655362:EHA655439 EHA720898:EHA720975 EHA786434:EHA786511 EHA851970:EHA852047 EHA917506:EHA917583 EHA983042:EHA983119 EQW2:EQW79 EQW65538:EQW65615 EQW131074:EQW131151 EQW196610:EQW196687 EQW262146:EQW262223 EQW327682:EQW327759 EQW393218:EQW393295 EQW458754:EQW458831 EQW524290:EQW524367 EQW589826:EQW589903 EQW655362:EQW655439 EQW720898:EQW720975 EQW786434:EQW786511 EQW851970:EQW852047 EQW917506:EQW917583 EQW983042:EQW983119 FAS2:FAS79 FAS65538:FAS65615 FAS131074:FAS131151 FAS196610:FAS196687 FAS262146:FAS262223 FAS327682:FAS327759 FAS393218:FAS393295 FAS458754:FAS458831 FAS524290:FAS524367 FAS589826:FAS589903 FAS655362:FAS655439 FAS720898:FAS720975 FAS786434:FAS786511 FAS851970:FAS852047 FAS917506:FAS917583 FAS983042:FAS983119 FKO2:FKO79 FKO65538:FKO65615 FKO131074:FKO131151 FKO196610:FKO196687 FKO262146:FKO262223 FKO327682:FKO327759 FKO393218:FKO393295 FKO458754:FKO458831 FKO524290:FKO524367 FKO589826:FKO589903 FKO655362:FKO655439 FKO720898:FKO720975 FKO786434:FKO786511 FKO851970:FKO852047 FKO917506:FKO917583 FKO983042:FKO983119 FUK2:FUK79 FUK65538:FUK65615 FUK131074:FUK131151 FUK196610:FUK196687 FUK262146:FUK262223 FUK327682:FUK327759 FUK393218:FUK393295 FUK458754:FUK458831 FUK524290:FUK524367 FUK589826:FUK589903 FUK655362:FUK655439 FUK720898:FUK720975 FUK786434:FUK786511 FUK851970:FUK852047 FUK917506:FUK917583 FUK983042:FUK983119 GEG2:GEG79 GEG65538:GEG65615 GEG131074:GEG131151 GEG196610:GEG196687 GEG262146:GEG262223 GEG327682:GEG327759 GEG393218:GEG393295 GEG458754:GEG458831 GEG524290:GEG524367 GEG589826:GEG589903 GEG655362:GEG655439 GEG720898:GEG720975 GEG786434:GEG786511 GEG851970:GEG852047 GEG917506:GEG917583 GEG983042:GEG983119 GOC2:GOC79 GOC65538:GOC65615 GOC131074:GOC131151 GOC196610:GOC196687 GOC262146:GOC262223 GOC327682:GOC327759 GOC393218:GOC393295 GOC458754:GOC458831 GOC524290:GOC524367 GOC589826:GOC589903 GOC655362:GOC655439 GOC720898:GOC720975 GOC786434:GOC786511 GOC851970:GOC852047 GOC917506:GOC917583 GOC983042:GOC983119 GXY2:GXY79 GXY65538:GXY65615 GXY131074:GXY131151 GXY196610:GXY196687 GXY262146:GXY262223 GXY327682:GXY327759 GXY393218:GXY393295 GXY458754:GXY458831 GXY524290:GXY524367 GXY589826:GXY589903 GXY655362:GXY655439 GXY720898:GXY720975 GXY786434:GXY786511 GXY851970:GXY852047 GXY917506:GXY917583 GXY983042:GXY983119 HHU2:HHU79 HHU65538:HHU65615 HHU131074:HHU131151 HHU196610:HHU196687 HHU262146:HHU262223 HHU327682:HHU327759 HHU393218:HHU393295 HHU458754:HHU458831 HHU524290:HHU524367 HHU589826:HHU589903 HHU655362:HHU655439 HHU720898:HHU720975 HHU786434:HHU786511 HHU851970:HHU852047 HHU917506:HHU917583 HHU983042:HHU983119 HRQ2:HRQ79 HRQ65538:HRQ65615 HRQ131074:HRQ131151 HRQ196610:HRQ196687 HRQ262146:HRQ262223 HRQ327682:HRQ327759 HRQ393218:HRQ393295 HRQ458754:HRQ458831 HRQ524290:HRQ524367 HRQ589826:HRQ589903 HRQ655362:HRQ655439 HRQ720898:HRQ720975 HRQ786434:HRQ786511 HRQ851970:HRQ852047 HRQ917506:HRQ917583 HRQ983042:HRQ983119 IBM2:IBM79 IBM65538:IBM65615 IBM131074:IBM131151 IBM196610:IBM196687 IBM262146:IBM262223 IBM327682:IBM327759 IBM393218:IBM393295 IBM458754:IBM458831 IBM524290:IBM524367 IBM589826:IBM589903 IBM655362:IBM655439 IBM720898:IBM720975 IBM786434:IBM786511 IBM851970:IBM852047 IBM917506:IBM917583 IBM983042:IBM983119 ILI2:ILI79 ILI65538:ILI65615 ILI131074:ILI131151 ILI196610:ILI196687 ILI262146:ILI262223 ILI327682:ILI327759 ILI393218:ILI393295 ILI458754:ILI458831 ILI524290:ILI524367 ILI589826:ILI589903 ILI655362:ILI655439 ILI720898:ILI720975 ILI786434:ILI786511 ILI851970:ILI852047 ILI917506:ILI917583 ILI983042:ILI983119 IVE2:IVE79 IVE65538:IVE65615 IVE131074:IVE131151 IVE196610:IVE196687 IVE262146:IVE262223 IVE327682:IVE327759 IVE393218:IVE393295 IVE458754:IVE458831 IVE524290:IVE524367 IVE589826:IVE589903 IVE655362:IVE655439 IVE720898:IVE720975 IVE786434:IVE786511 IVE851970:IVE852047 IVE917506:IVE917583 IVE983042:IVE983119 JFA2:JFA79 JFA65538:JFA65615 JFA131074:JFA131151 JFA196610:JFA196687 JFA262146:JFA262223 JFA327682:JFA327759 JFA393218:JFA393295 JFA458754:JFA458831 JFA524290:JFA524367 JFA589826:JFA589903 JFA655362:JFA655439 JFA720898:JFA720975 JFA786434:JFA786511 JFA851970:JFA852047 JFA917506:JFA917583 JFA983042:JFA983119 JOW2:JOW79 JOW65538:JOW65615 JOW131074:JOW131151 JOW196610:JOW196687 JOW262146:JOW262223 JOW327682:JOW327759 JOW393218:JOW393295 JOW458754:JOW458831 JOW524290:JOW524367 JOW589826:JOW589903 JOW655362:JOW655439 JOW720898:JOW720975 JOW786434:JOW786511 JOW851970:JOW852047 JOW917506:JOW917583 JOW983042:JOW983119 JYS2:JYS79 JYS65538:JYS65615 JYS131074:JYS131151 JYS196610:JYS196687 JYS262146:JYS262223 JYS327682:JYS327759 JYS393218:JYS393295 JYS458754:JYS458831 JYS524290:JYS524367 JYS589826:JYS589903 JYS655362:JYS655439 JYS720898:JYS720975 JYS786434:JYS786511 JYS851970:JYS852047 JYS917506:JYS917583 JYS983042:JYS983119 KIO2:KIO79 KIO65538:KIO65615 KIO131074:KIO131151 KIO196610:KIO196687 KIO262146:KIO262223 KIO327682:KIO327759 KIO393218:KIO393295 KIO458754:KIO458831 KIO524290:KIO524367 KIO589826:KIO589903 KIO655362:KIO655439 KIO720898:KIO720975 KIO786434:KIO786511 KIO851970:KIO852047 KIO917506:KIO917583 KIO983042:KIO983119 KSK2:KSK79 KSK65538:KSK65615 KSK131074:KSK131151 KSK196610:KSK196687 KSK262146:KSK262223 KSK327682:KSK327759 KSK393218:KSK393295 KSK458754:KSK458831 KSK524290:KSK524367 KSK589826:KSK589903 KSK655362:KSK655439 KSK720898:KSK720975 KSK786434:KSK786511 KSK851970:KSK852047 KSK917506:KSK917583 KSK983042:KSK983119 LCG2:LCG79 LCG65538:LCG65615 LCG131074:LCG131151 LCG196610:LCG196687 LCG262146:LCG262223 LCG327682:LCG327759 LCG393218:LCG393295 LCG458754:LCG458831 LCG524290:LCG524367 LCG589826:LCG589903 LCG655362:LCG655439 LCG720898:LCG720975 LCG786434:LCG786511 LCG851970:LCG852047 LCG917506:LCG917583 LCG983042:LCG983119 LMC2:LMC79 LMC65538:LMC65615 LMC131074:LMC131151 LMC196610:LMC196687 LMC262146:LMC262223 LMC327682:LMC327759 LMC393218:LMC393295 LMC458754:LMC458831 LMC524290:LMC524367 LMC589826:LMC589903 LMC655362:LMC655439 LMC720898:LMC720975 LMC786434:LMC786511 LMC851970:LMC852047 LMC917506:LMC917583 LMC983042:LMC983119 LVY2:LVY79 LVY65538:LVY65615 LVY131074:LVY131151 LVY196610:LVY196687 LVY262146:LVY262223 LVY327682:LVY327759 LVY393218:LVY393295 LVY458754:LVY458831 LVY524290:LVY524367 LVY589826:LVY589903 LVY655362:LVY655439 LVY720898:LVY720975 LVY786434:LVY786511 LVY851970:LVY852047 LVY917506:LVY917583 LVY983042:LVY983119 MFU2:MFU79 MFU65538:MFU65615 MFU131074:MFU131151 MFU196610:MFU196687 MFU262146:MFU262223 MFU327682:MFU327759 MFU393218:MFU393295 MFU458754:MFU458831 MFU524290:MFU524367 MFU589826:MFU589903 MFU655362:MFU655439 MFU720898:MFU720975 MFU786434:MFU786511 MFU851970:MFU852047 MFU917506:MFU917583 MFU983042:MFU983119 MPQ2:MPQ79 MPQ65538:MPQ65615 MPQ131074:MPQ131151 MPQ196610:MPQ196687 MPQ262146:MPQ262223 MPQ327682:MPQ327759 MPQ393218:MPQ393295 MPQ458754:MPQ458831 MPQ524290:MPQ524367 MPQ589826:MPQ589903 MPQ655362:MPQ655439 MPQ720898:MPQ720975 MPQ786434:MPQ786511 MPQ851970:MPQ852047 MPQ917506:MPQ917583 MPQ983042:MPQ983119 MZM2:MZM79 MZM65538:MZM65615 MZM131074:MZM131151 MZM196610:MZM196687 MZM262146:MZM262223 MZM327682:MZM327759 MZM393218:MZM393295 MZM458754:MZM458831 MZM524290:MZM524367 MZM589826:MZM589903 MZM655362:MZM655439 MZM720898:MZM720975 MZM786434:MZM786511 MZM851970:MZM852047 MZM917506:MZM917583 MZM983042:MZM983119 NJI2:NJI79 NJI65538:NJI65615 NJI131074:NJI131151 NJI196610:NJI196687 NJI262146:NJI262223 NJI327682:NJI327759 NJI393218:NJI393295 NJI458754:NJI458831 NJI524290:NJI524367 NJI589826:NJI589903 NJI655362:NJI655439 NJI720898:NJI720975 NJI786434:NJI786511 NJI851970:NJI852047 NJI917506:NJI917583 NJI983042:NJI983119 NTE2:NTE79 NTE65538:NTE65615 NTE131074:NTE131151 NTE196610:NTE196687 NTE262146:NTE262223 NTE327682:NTE327759 NTE393218:NTE393295 NTE458754:NTE458831 NTE524290:NTE524367 NTE589826:NTE589903 NTE655362:NTE655439 NTE720898:NTE720975 NTE786434:NTE786511 NTE851970:NTE852047 NTE917506:NTE917583 NTE983042:NTE983119 ODA2:ODA79 ODA65538:ODA65615 ODA131074:ODA131151 ODA196610:ODA196687 ODA262146:ODA262223 ODA327682:ODA327759 ODA393218:ODA393295 ODA458754:ODA458831 ODA524290:ODA524367 ODA589826:ODA589903 ODA655362:ODA655439 ODA720898:ODA720975 ODA786434:ODA786511 ODA851970:ODA852047 ODA917506:ODA917583 ODA983042:ODA983119 OMW2:OMW79 OMW65538:OMW65615 OMW131074:OMW131151 OMW196610:OMW196687 OMW262146:OMW262223 OMW327682:OMW327759 OMW393218:OMW393295 OMW458754:OMW458831 OMW524290:OMW524367 OMW589826:OMW589903 OMW655362:OMW655439 OMW720898:OMW720975 OMW786434:OMW786511 OMW851970:OMW852047 OMW917506:OMW917583 OMW983042:OMW983119 OWS2:OWS79 OWS65538:OWS65615 OWS131074:OWS131151 OWS196610:OWS196687 OWS262146:OWS262223 OWS327682:OWS327759 OWS393218:OWS393295 OWS458754:OWS458831 OWS524290:OWS524367 OWS589826:OWS589903 OWS655362:OWS655439 OWS720898:OWS720975 OWS786434:OWS786511 OWS851970:OWS852047 OWS917506:OWS917583 OWS983042:OWS983119 PGO2:PGO79 PGO65538:PGO65615 PGO131074:PGO131151 PGO196610:PGO196687 PGO262146:PGO262223 PGO327682:PGO327759 PGO393218:PGO393295 PGO458754:PGO458831 PGO524290:PGO524367 PGO589826:PGO589903 PGO655362:PGO655439 PGO720898:PGO720975 PGO786434:PGO786511 PGO851970:PGO852047 PGO917506:PGO917583 PGO983042:PGO983119 PQK2:PQK79 PQK65538:PQK65615 PQK131074:PQK131151 PQK196610:PQK196687 PQK262146:PQK262223 PQK327682:PQK327759 PQK393218:PQK393295 PQK458754:PQK458831 PQK524290:PQK524367 PQK589826:PQK589903 PQK655362:PQK655439 PQK720898:PQK720975 PQK786434:PQK786511 PQK851970:PQK852047 PQK917506:PQK917583 PQK983042:PQK983119 QAG2:QAG79 QAG65538:QAG65615 QAG131074:QAG131151 QAG196610:QAG196687 QAG262146:QAG262223 QAG327682:QAG327759 QAG393218:QAG393295 QAG458754:QAG458831 QAG524290:QAG524367 QAG589826:QAG589903 QAG655362:QAG655439 QAG720898:QAG720975 QAG786434:QAG786511 QAG851970:QAG852047 QAG917506:QAG917583 QAG983042:QAG983119 QKC2:QKC79 QKC65538:QKC65615 QKC131074:QKC131151 QKC196610:QKC196687 QKC262146:QKC262223 QKC327682:QKC327759 QKC393218:QKC393295 QKC458754:QKC458831 QKC524290:QKC524367 QKC589826:QKC589903 QKC655362:QKC655439 QKC720898:QKC720975 QKC786434:QKC786511 QKC851970:QKC852047 QKC917506:QKC917583 QKC983042:QKC983119 QTY2:QTY79 QTY65538:QTY65615 QTY131074:QTY131151 QTY196610:QTY196687 QTY262146:QTY262223 QTY327682:QTY327759 QTY393218:QTY393295 QTY458754:QTY458831 QTY524290:QTY524367 QTY589826:QTY589903 QTY655362:QTY655439 QTY720898:QTY720975 QTY786434:QTY786511 QTY851970:QTY852047 QTY917506:QTY917583 QTY983042:QTY983119 RDU2:RDU79 RDU65538:RDU65615 RDU131074:RDU131151 RDU196610:RDU196687 RDU262146:RDU262223 RDU327682:RDU327759 RDU393218:RDU393295 RDU458754:RDU458831 RDU524290:RDU524367 RDU589826:RDU589903 RDU655362:RDU655439 RDU720898:RDU720975 RDU786434:RDU786511 RDU851970:RDU852047 RDU917506:RDU917583 RDU983042:RDU983119 RNQ2:RNQ79 RNQ65538:RNQ65615 RNQ131074:RNQ131151 RNQ196610:RNQ196687 RNQ262146:RNQ262223 RNQ327682:RNQ327759 RNQ393218:RNQ393295 RNQ458754:RNQ458831 RNQ524290:RNQ524367 RNQ589826:RNQ589903 RNQ655362:RNQ655439 RNQ720898:RNQ720975 RNQ786434:RNQ786511 RNQ851970:RNQ852047 RNQ917506:RNQ917583 RNQ983042:RNQ983119 RXM2:RXM79 RXM65538:RXM65615 RXM131074:RXM131151 RXM196610:RXM196687 RXM262146:RXM262223 RXM327682:RXM327759 RXM393218:RXM393295 RXM458754:RXM458831 RXM524290:RXM524367 RXM589826:RXM589903 RXM655362:RXM655439 RXM720898:RXM720975 RXM786434:RXM786511 RXM851970:RXM852047 RXM917506:RXM917583 RXM983042:RXM983119 SHI2:SHI79 SHI65538:SHI65615 SHI131074:SHI131151 SHI196610:SHI196687 SHI262146:SHI262223 SHI327682:SHI327759 SHI393218:SHI393295 SHI458754:SHI458831 SHI524290:SHI524367 SHI589826:SHI589903 SHI655362:SHI655439 SHI720898:SHI720975 SHI786434:SHI786511 SHI851970:SHI852047 SHI917506:SHI917583 SHI983042:SHI983119 SRE2:SRE79 SRE65538:SRE65615 SRE131074:SRE131151 SRE196610:SRE196687 SRE262146:SRE262223 SRE327682:SRE327759 SRE393218:SRE393295 SRE458754:SRE458831 SRE524290:SRE524367 SRE589826:SRE589903 SRE655362:SRE655439 SRE720898:SRE720975 SRE786434:SRE786511 SRE851970:SRE852047 SRE917506:SRE917583 SRE983042:SRE983119 TBA2:TBA79 TBA65538:TBA65615 TBA131074:TBA131151 TBA196610:TBA196687 TBA262146:TBA262223 TBA327682:TBA327759 TBA393218:TBA393295 TBA458754:TBA458831 TBA524290:TBA524367 TBA589826:TBA589903 TBA655362:TBA655439 TBA720898:TBA720975 TBA786434:TBA786511 TBA851970:TBA852047 TBA917506:TBA917583 TBA983042:TBA983119 TKW2:TKW79 TKW65538:TKW65615 TKW131074:TKW131151 TKW196610:TKW196687 TKW262146:TKW262223 TKW327682:TKW327759 TKW393218:TKW393295 TKW458754:TKW458831 TKW524290:TKW524367 TKW589826:TKW589903 TKW655362:TKW655439 TKW720898:TKW720975 TKW786434:TKW786511 TKW851970:TKW852047 TKW917506:TKW917583 TKW983042:TKW983119 TUS2:TUS79 TUS65538:TUS65615 TUS131074:TUS131151 TUS196610:TUS196687 TUS262146:TUS262223 TUS327682:TUS327759 TUS393218:TUS393295 TUS458754:TUS458831 TUS524290:TUS524367 TUS589826:TUS589903 TUS655362:TUS655439 TUS720898:TUS720975 TUS786434:TUS786511 TUS851970:TUS852047 TUS917506:TUS917583 TUS983042:TUS983119 UEO2:UEO79 UEO65538:UEO65615 UEO131074:UEO131151 UEO196610:UEO196687 UEO262146:UEO262223 UEO327682:UEO327759 UEO393218:UEO393295 UEO458754:UEO458831 UEO524290:UEO524367 UEO589826:UEO589903 UEO655362:UEO655439 UEO720898:UEO720975 UEO786434:UEO786511 UEO851970:UEO852047 UEO917506:UEO917583 UEO983042:UEO983119 UOK2:UOK79 UOK65538:UOK65615 UOK131074:UOK131151 UOK196610:UOK196687 UOK262146:UOK262223 UOK327682:UOK327759 UOK393218:UOK393295 UOK458754:UOK458831 UOK524290:UOK524367 UOK589826:UOK589903 UOK655362:UOK655439 UOK720898:UOK720975 UOK786434:UOK786511 UOK851970:UOK852047 UOK917506:UOK917583 UOK983042:UOK983119 UYG2:UYG79 UYG65538:UYG65615 UYG131074:UYG131151 UYG196610:UYG196687 UYG262146:UYG262223 UYG327682:UYG327759 UYG393218:UYG393295 UYG458754:UYG458831 UYG524290:UYG524367 UYG589826:UYG589903 UYG655362:UYG655439 UYG720898:UYG720975 UYG786434:UYG786511 UYG851970:UYG852047 UYG917506:UYG917583 UYG983042:UYG983119 VIC2:VIC79 VIC65538:VIC65615 VIC131074:VIC131151 VIC196610:VIC196687 VIC262146:VIC262223 VIC327682:VIC327759 VIC393218:VIC393295 VIC458754:VIC458831 VIC524290:VIC524367 VIC589826:VIC589903 VIC655362:VIC655439 VIC720898:VIC720975 VIC786434:VIC786511 VIC851970:VIC852047 VIC917506:VIC917583 VIC983042:VIC983119 VRY2:VRY79 VRY65538:VRY65615 VRY131074:VRY131151 VRY196610:VRY196687 VRY262146:VRY262223 VRY327682:VRY327759 VRY393218:VRY393295 VRY458754:VRY458831 VRY524290:VRY524367 VRY589826:VRY589903 VRY655362:VRY655439 VRY720898:VRY720975 VRY786434:VRY786511 VRY851970:VRY852047 VRY917506:VRY917583 VRY983042:VRY983119 WBU2:WBU79 WBU65538:WBU65615 WBU131074:WBU131151 WBU196610:WBU196687 WBU262146:WBU262223 WBU327682:WBU327759 WBU393218:WBU393295 WBU458754:WBU458831 WBU524290:WBU524367 WBU589826:WBU589903 WBU655362:WBU655439 WBU720898:WBU720975 WBU786434:WBU786511 WBU851970:WBU852047 WBU917506:WBU917583 WBU983042:WBU983119 WLQ2:WLQ79 WLQ65538:WLQ65615 WLQ131074:WLQ131151 WLQ196610:WLQ196687 WLQ262146:WLQ262223 WLQ327682:WLQ327759 WLQ393218:WLQ393295 WLQ458754:WLQ458831 WLQ524290:WLQ524367 WLQ589826:WLQ589903 WLQ655362:WLQ655439 WLQ720898:WLQ720975 WLQ786434:WLQ786511 WLQ851970:WLQ852047 WLQ917506:WLQ917583 WLQ983042:WLQ983119 WVM2:WVM79 WVM65538:WVM65615 WVM131074:WVM131151 WVM196610:WVM196687 WVM262146:WVM262223 WVM327682:WVM327759 WVM393218:WVM393295 WVM458754:WVM458831 WVM524290:WVM524367 WVM589826:WVM589903 WVM655362:WVM655439 WVM720898:WVM720975 WVM786434:WVM786511 WVM851970:WVM852047 WVM917506:WVM917583 WVM983042:WVM983119" xr:uid="{23B0F370-DEAA-4296-8A8A-258011A3A49C}">
      <formula1>$AG$2:$AG$11</formula1>
    </dataValidation>
    <dataValidation type="list" allowBlank="1" showInputMessage="1" showErrorMessage="1" sqref="A2:A500 A65538:A65615 A131074:A131151 A196610:A196687 A262146:A262223 A327682:A327759 A393218:A393295 A458754:A458831 A524290:A524367 A589826:A589903 A655362:A655439 A720898:A720975 A786434:A786511 A851970:A852047 A917506:A917583 A983042:A983119 IW2:IW79 IW65538:IW65615 IW131074:IW131151 IW196610:IW196687 IW262146:IW262223 IW327682:IW327759 IW393218:IW393295 IW458754:IW458831 IW524290:IW524367 IW589826:IW589903 IW655362:IW655439 IW720898:IW720975 IW786434:IW786511 IW851970:IW852047 IW917506:IW917583 IW983042:IW983119 SS2:SS79 SS65538:SS65615 SS131074:SS131151 SS196610:SS196687 SS262146:SS262223 SS327682:SS327759 SS393218:SS393295 SS458754:SS458831 SS524290:SS524367 SS589826:SS589903 SS655362:SS655439 SS720898:SS720975 SS786434:SS786511 SS851970:SS852047 SS917506:SS917583 SS983042:SS983119 ACO2:ACO79 ACO65538:ACO65615 ACO131074:ACO131151 ACO196610:ACO196687 ACO262146:ACO262223 ACO327682:ACO327759 ACO393218:ACO393295 ACO458754:ACO458831 ACO524290:ACO524367 ACO589826:ACO589903 ACO655362:ACO655439 ACO720898:ACO720975 ACO786434:ACO786511 ACO851970:ACO852047 ACO917506:ACO917583 ACO983042:ACO983119 AMK2:AMK79 AMK65538:AMK65615 AMK131074:AMK131151 AMK196610:AMK196687 AMK262146:AMK262223 AMK327682:AMK327759 AMK393218:AMK393295 AMK458754:AMK458831 AMK524290:AMK524367 AMK589826:AMK589903 AMK655362:AMK655439 AMK720898:AMK720975 AMK786434:AMK786511 AMK851970:AMK852047 AMK917506:AMK917583 AMK983042:AMK983119 AWG2:AWG79 AWG65538:AWG65615 AWG131074:AWG131151 AWG196610:AWG196687 AWG262146:AWG262223 AWG327682:AWG327759 AWG393218:AWG393295 AWG458754:AWG458831 AWG524290:AWG524367 AWG589826:AWG589903 AWG655362:AWG655439 AWG720898:AWG720975 AWG786434:AWG786511 AWG851970:AWG852047 AWG917506:AWG917583 AWG983042:AWG983119 BGC2:BGC79 BGC65538:BGC65615 BGC131074:BGC131151 BGC196610:BGC196687 BGC262146:BGC262223 BGC327682:BGC327759 BGC393218:BGC393295 BGC458754:BGC458831 BGC524290:BGC524367 BGC589826:BGC589903 BGC655362:BGC655439 BGC720898:BGC720975 BGC786434:BGC786511 BGC851970:BGC852047 BGC917506:BGC917583 BGC983042:BGC983119 BPY2:BPY79 BPY65538:BPY65615 BPY131074:BPY131151 BPY196610:BPY196687 BPY262146:BPY262223 BPY327682:BPY327759 BPY393218:BPY393295 BPY458754:BPY458831 BPY524290:BPY524367 BPY589826:BPY589903 BPY655362:BPY655439 BPY720898:BPY720975 BPY786434:BPY786511 BPY851970:BPY852047 BPY917506:BPY917583 BPY983042:BPY983119 BZU2:BZU79 BZU65538:BZU65615 BZU131074:BZU131151 BZU196610:BZU196687 BZU262146:BZU262223 BZU327682:BZU327759 BZU393218:BZU393295 BZU458754:BZU458831 BZU524290:BZU524367 BZU589826:BZU589903 BZU655362:BZU655439 BZU720898:BZU720975 BZU786434:BZU786511 BZU851970:BZU852047 BZU917506:BZU917583 BZU983042:BZU983119 CJQ2:CJQ79 CJQ65538:CJQ65615 CJQ131074:CJQ131151 CJQ196610:CJQ196687 CJQ262146:CJQ262223 CJQ327682:CJQ327759 CJQ393218:CJQ393295 CJQ458754:CJQ458831 CJQ524290:CJQ524367 CJQ589826:CJQ589903 CJQ655362:CJQ655439 CJQ720898:CJQ720975 CJQ786434:CJQ786511 CJQ851970:CJQ852047 CJQ917506:CJQ917583 CJQ983042:CJQ983119 CTM2:CTM79 CTM65538:CTM65615 CTM131074:CTM131151 CTM196610:CTM196687 CTM262146:CTM262223 CTM327682:CTM327759 CTM393218:CTM393295 CTM458754:CTM458831 CTM524290:CTM524367 CTM589826:CTM589903 CTM655362:CTM655439 CTM720898:CTM720975 CTM786434:CTM786511 CTM851970:CTM852047 CTM917506:CTM917583 CTM983042:CTM983119 DDI2:DDI79 DDI65538:DDI65615 DDI131074:DDI131151 DDI196610:DDI196687 DDI262146:DDI262223 DDI327682:DDI327759 DDI393218:DDI393295 DDI458754:DDI458831 DDI524290:DDI524367 DDI589826:DDI589903 DDI655362:DDI655439 DDI720898:DDI720975 DDI786434:DDI786511 DDI851970:DDI852047 DDI917506:DDI917583 DDI983042:DDI983119 DNE2:DNE79 DNE65538:DNE65615 DNE131074:DNE131151 DNE196610:DNE196687 DNE262146:DNE262223 DNE327682:DNE327759 DNE393218:DNE393295 DNE458754:DNE458831 DNE524290:DNE524367 DNE589826:DNE589903 DNE655362:DNE655439 DNE720898:DNE720975 DNE786434:DNE786511 DNE851970:DNE852047 DNE917506:DNE917583 DNE983042:DNE983119 DXA2:DXA79 DXA65538:DXA65615 DXA131074:DXA131151 DXA196610:DXA196687 DXA262146:DXA262223 DXA327682:DXA327759 DXA393218:DXA393295 DXA458754:DXA458831 DXA524290:DXA524367 DXA589826:DXA589903 DXA655362:DXA655439 DXA720898:DXA720975 DXA786434:DXA786511 DXA851970:DXA852047 DXA917506:DXA917583 DXA983042:DXA983119 EGW2:EGW79 EGW65538:EGW65615 EGW131074:EGW131151 EGW196610:EGW196687 EGW262146:EGW262223 EGW327682:EGW327759 EGW393218:EGW393295 EGW458754:EGW458831 EGW524290:EGW524367 EGW589826:EGW589903 EGW655362:EGW655439 EGW720898:EGW720975 EGW786434:EGW786511 EGW851970:EGW852047 EGW917506:EGW917583 EGW983042:EGW983119 EQS2:EQS79 EQS65538:EQS65615 EQS131074:EQS131151 EQS196610:EQS196687 EQS262146:EQS262223 EQS327682:EQS327759 EQS393218:EQS393295 EQS458754:EQS458831 EQS524290:EQS524367 EQS589826:EQS589903 EQS655362:EQS655439 EQS720898:EQS720975 EQS786434:EQS786511 EQS851970:EQS852047 EQS917506:EQS917583 EQS983042:EQS983119 FAO2:FAO79 FAO65538:FAO65615 FAO131074:FAO131151 FAO196610:FAO196687 FAO262146:FAO262223 FAO327682:FAO327759 FAO393218:FAO393295 FAO458754:FAO458831 FAO524290:FAO524367 FAO589826:FAO589903 FAO655362:FAO655439 FAO720898:FAO720975 FAO786434:FAO786511 FAO851970:FAO852047 FAO917506:FAO917583 FAO983042:FAO983119 FKK2:FKK79 FKK65538:FKK65615 FKK131074:FKK131151 FKK196610:FKK196687 FKK262146:FKK262223 FKK327682:FKK327759 FKK393218:FKK393295 FKK458754:FKK458831 FKK524290:FKK524367 FKK589826:FKK589903 FKK655362:FKK655439 FKK720898:FKK720975 FKK786434:FKK786511 FKK851970:FKK852047 FKK917506:FKK917583 FKK983042:FKK983119 FUG2:FUG79 FUG65538:FUG65615 FUG131074:FUG131151 FUG196610:FUG196687 FUG262146:FUG262223 FUG327682:FUG327759 FUG393218:FUG393295 FUG458754:FUG458831 FUG524290:FUG524367 FUG589826:FUG589903 FUG655362:FUG655439 FUG720898:FUG720975 FUG786434:FUG786511 FUG851970:FUG852047 FUG917506:FUG917583 FUG983042:FUG983119 GEC2:GEC79 GEC65538:GEC65615 GEC131074:GEC131151 GEC196610:GEC196687 GEC262146:GEC262223 GEC327682:GEC327759 GEC393218:GEC393295 GEC458754:GEC458831 GEC524290:GEC524367 GEC589826:GEC589903 GEC655362:GEC655439 GEC720898:GEC720975 GEC786434:GEC786511 GEC851970:GEC852047 GEC917506:GEC917583 GEC983042:GEC983119 GNY2:GNY79 GNY65538:GNY65615 GNY131074:GNY131151 GNY196610:GNY196687 GNY262146:GNY262223 GNY327682:GNY327759 GNY393218:GNY393295 GNY458754:GNY458831 GNY524290:GNY524367 GNY589826:GNY589903 GNY655362:GNY655439 GNY720898:GNY720975 GNY786434:GNY786511 GNY851970:GNY852047 GNY917506:GNY917583 GNY983042:GNY983119 GXU2:GXU79 GXU65538:GXU65615 GXU131074:GXU131151 GXU196610:GXU196687 GXU262146:GXU262223 GXU327682:GXU327759 GXU393218:GXU393295 GXU458754:GXU458831 GXU524290:GXU524367 GXU589826:GXU589903 GXU655362:GXU655439 GXU720898:GXU720975 GXU786434:GXU786511 GXU851970:GXU852047 GXU917506:GXU917583 GXU983042:GXU983119 HHQ2:HHQ79 HHQ65538:HHQ65615 HHQ131074:HHQ131151 HHQ196610:HHQ196687 HHQ262146:HHQ262223 HHQ327682:HHQ327759 HHQ393218:HHQ393295 HHQ458754:HHQ458831 HHQ524290:HHQ524367 HHQ589826:HHQ589903 HHQ655362:HHQ655439 HHQ720898:HHQ720975 HHQ786434:HHQ786511 HHQ851970:HHQ852047 HHQ917506:HHQ917583 HHQ983042:HHQ983119 HRM2:HRM79 HRM65538:HRM65615 HRM131074:HRM131151 HRM196610:HRM196687 HRM262146:HRM262223 HRM327682:HRM327759 HRM393218:HRM393295 HRM458754:HRM458831 HRM524290:HRM524367 HRM589826:HRM589903 HRM655362:HRM655439 HRM720898:HRM720975 HRM786434:HRM786511 HRM851970:HRM852047 HRM917506:HRM917583 HRM983042:HRM983119 IBI2:IBI79 IBI65538:IBI65615 IBI131074:IBI131151 IBI196610:IBI196687 IBI262146:IBI262223 IBI327682:IBI327759 IBI393218:IBI393295 IBI458754:IBI458831 IBI524290:IBI524367 IBI589826:IBI589903 IBI655362:IBI655439 IBI720898:IBI720975 IBI786434:IBI786511 IBI851970:IBI852047 IBI917506:IBI917583 IBI983042:IBI983119 ILE2:ILE79 ILE65538:ILE65615 ILE131074:ILE131151 ILE196610:ILE196687 ILE262146:ILE262223 ILE327682:ILE327759 ILE393218:ILE393295 ILE458754:ILE458831 ILE524290:ILE524367 ILE589826:ILE589903 ILE655362:ILE655439 ILE720898:ILE720975 ILE786434:ILE786511 ILE851970:ILE852047 ILE917506:ILE917583 ILE983042:ILE983119 IVA2:IVA79 IVA65538:IVA65615 IVA131074:IVA131151 IVA196610:IVA196687 IVA262146:IVA262223 IVA327682:IVA327759 IVA393218:IVA393295 IVA458754:IVA458831 IVA524290:IVA524367 IVA589826:IVA589903 IVA655362:IVA655439 IVA720898:IVA720975 IVA786434:IVA786511 IVA851970:IVA852047 IVA917506:IVA917583 IVA983042:IVA983119 JEW2:JEW79 JEW65538:JEW65615 JEW131074:JEW131151 JEW196610:JEW196687 JEW262146:JEW262223 JEW327682:JEW327759 JEW393218:JEW393295 JEW458754:JEW458831 JEW524290:JEW524367 JEW589826:JEW589903 JEW655362:JEW655439 JEW720898:JEW720975 JEW786434:JEW786511 JEW851970:JEW852047 JEW917506:JEW917583 JEW983042:JEW983119 JOS2:JOS79 JOS65538:JOS65615 JOS131074:JOS131151 JOS196610:JOS196687 JOS262146:JOS262223 JOS327682:JOS327759 JOS393218:JOS393295 JOS458754:JOS458831 JOS524290:JOS524367 JOS589826:JOS589903 JOS655362:JOS655439 JOS720898:JOS720975 JOS786434:JOS786511 JOS851970:JOS852047 JOS917506:JOS917583 JOS983042:JOS983119 JYO2:JYO79 JYO65538:JYO65615 JYO131074:JYO131151 JYO196610:JYO196687 JYO262146:JYO262223 JYO327682:JYO327759 JYO393218:JYO393295 JYO458754:JYO458831 JYO524290:JYO524367 JYO589826:JYO589903 JYO655362:JYO655439 JYO720898:JYO720975 JYO786434:JYO786511 JYO851970:JYO852047 JYO917506:JYO917583 JYO983042:JYO983119 KIK2:KIK79 KIK65538:KIK65615 KIK131074:KIK131151 KIK196610:KIK196687 KIK262146:KIK262223 KIK327682:KIK327759 KIK393218:KIK393295 KIK458754:KIK458831 KIK524290:KIK524367 KIK589826:KIK589903 KIK655362:KIK655439 KIK720898:KIK720975 KIK786434:KIK786511 KIK851970:KIK852047 KIK917506:KIK917583 KIK983042:KIK983119 KSG2:KSG79 KSG65538:KSG65615 KSG131074:KSG131151 KSG196610:KSG196687 KSG262146:KSG262223 KSG327682:KSG327759 KSG393218:KSG393295 KSG458754:KSG458831 KSG524290:KSG524367 KSG589826:KSG589903 KSG655362:KSG655439 KSG720898:KSG720975 KSG786434:KSG786511 KSG851970:KSG852047 KSG917506:KSG917583 KSG983042:KSG983119 LCC2:LCC79 LCC65538:LCC65615 LCC131074:LCC131151 LCC196610:LCC196687 LCC262146:LCC262223 LCC327682:LCC327759 LCC393218:LCC393295 LCC458754:LCC458831 LCC524290:LCC524367 LCC589826:LCC589903 LCC655362:LCC655439 LCC720898:LCC720975 LCC786434:LCC786511 LCC851970:LCC852047 LCC917506:LCC917583 LCC983042:LCC983119 LLY2:LLY79 LLY65538:LLY65615 LLY131074:LLY131151 LLY196610:LLY196687 LLY262146:LLY262223 LLY327682:LLY327759 LLY393218:LLY393295 LLY458754:LLY458831 LLY524290:LLY524367 LLY589826:LLY589903 LLY655362:LLY655439 LLY720898:LLY720975 LLY786434:LLY786511 LLY851970:LLY852047 LLY917506:LLY917583 LLY983042:LLY983119 LVU2:LVU79 LVU65538:LVU65615 LVU131074:LVU131151 LVU196610:LVU196687 LVU262146:LVU262223 LVU327682:LVU327759 LVU393218:LVU393295 LVU458754:LVU458831 LVU524290:LVU524367 LVU589826:LVU589903 LVU655362:LVU655439 LVU720898:LVU720975 LVU786434:LVU786511 LVU851970:LVU852047 LVU917506:LVU917583 LVU983042:LVU983119 MFQ2:MFQ79 MFQ65538:MFQ65615 MFQ131074:MFQ131151 MFQ196610:MFQ196687 MFQ262146:MFQ262223 MFQ327682:MFQ327759 MFQ393218:MFQ393295 MFQ458754:MFQ458831 MFQ524290:MFQ524367 MFQ589826:MFQ589903 MFQ655362:MFQ655439 MFQ720898:MFQ720975 MFQ786434:MFQ786511 MFQ851970:MFQ852047 MFQ917506:MFQ917583 MFQ983042:MFQ983119 MPM2:MPM79 MPM65538:MPM65615 MPM131074:MPM131151 MPM196610:MPM196687 MPM262146:MPM262223 MPM327682:MPM327759 MPM393218:MPM393295 MPM458754:MPM458831 MPM524290:MPM524367 MPM589826:MPM589903 MPM655362:MPM655439 MPM720898:MPM720975 MPM786434:MPM786511 MPM851970:MPM852047 MPM917506:MPM917583 MPM983042:MPM983119 MZI2:MZI79 MZI65538:MZI65615 MZI131074:MZI131151 MZI196610:MZI196687 MZI262146:MZI262223 MZI327682:MZI327759 MZI393218:MZI393295 MZI458754:MZI458831 MZI524290:MZI524367 MZI589826:MZI589903 MZI655362:MZI655439 MZI720898:MZI720975 MZI786434:MZI786511 MZI851970:MZI852047 MZI917506:MZI917583 MZI983042:MZI983119 NJE2:NJE79 NJE65538:NJE65615 NJE131074:NJE131151 NJE196610:NJE196687 NJE262146:NJE262223 NJE327682:NJE327759 NJE393218:NJE393295 NJE458754:NJE458831 NJE524290:NJE524367 NJE589826:NJE589903 NJE655362:NJE655439 NJE720898:NJE720975 NJE786434:NJE786511 NJE851970:NJE852047 NJE917506:NJE917583 NJE983042:NJE983119 NTA2:NTA79 NTA65538:NTA65615 NTA131074:NTA131151 NTA196610:NTA196687 NTA262146:NTA262223 NTA327682:NTA327759 NTA393218:NTA393295 NTA458754:NTA458831 NTA524290:NTA524367 NTA589826:NTA589903 NTA655362:NTA655439 NTA720898:NTA720975 NTA786434:NTA786511 NTA851970:NTA852047 NTA917506:NTA917583 NTA983042:NTA983119 OCW2:OCW79 OCW65538:OCW65615 OCW131074:OCW131151 OCW196610:OCW196687 OCW262146:OCW262223 OCW327682:OCW327759 OCW393218:OCW393295 OCW458754:OCW458831 OCW524290:OCW524367 OCW589826:OCW589903 OCW655362:OCW655439 OCW720898:OCW720975 OCW786434:OCW786511 OCW851970:OCW852047 OCW917506:OCW917583 OCW983042:OCW983119 OMS2:OMS79 OMS65538:OMS65615 OMS131074:OMS131151 OMS196610:OMS196687 OMS262146:OMS262223 OMS327682:OMS327759 OMS393218:OMS393295 OMS458754:OMS458831 OMS524290:OMS524367 OMS589826:OMS589903 OMS655362:OMS655439 OMS720898:OMS720975 OMS786434:OMS786511 OMS851970:OMS852047 OMS917506:OMS917583 OMS983042:OMS983119 OWO2:OWO79 OWO65538:OWO65615 OWO131074:OWO131151 OWO196610:OWO196687 OWO262146:OWO262223 OWO327682:OWO327759 OWO393218:OWO393295 OWO458754:OWO458831 OWO524290:OWO524367 OWO589826:OWO589903 OWO655362:OWO655439 OWO720898:OWO720975 OWO786434:OWO786511 OWO851970:OWO852047 OWO917506:OWO917583 OWO983042:OWO983119 PGK2:PGK79 PGK65538:PGK65615 PGK131074:PGK131151 PGK196610:PGK196687 PGK262146:PGK262223 PGK327682:PGK327759 PGK393218:PGK393295 PGK458754:PGK458831 PGK524290:PGK524367 PGK589826:PGK589903 PGK655362:PGK655439 PGK720898:PGK720975 PGK786434:PGK786511 PGK851970:PGK852047 PGK917506:PGK917583 PGK983042:PGK983119 PQG2:PQG79 PQG65538:PQG65615 PQG131074:PQG131151 PQG196610:PQG196687 PQG262146:PQG262223 PQG327682:PQG327759 PQG393218:PQG393295 PQG458754:PQG458831 PQG524290:PQG524367 PQG589826:PQG589903 PQG655362:PQG655439 PQG720898:PQG720975 PQG786434:PQG786511 PQG851970:PQG852047 PQG917506:PQG917583 PQG983042:PQG983119 QAC2:QAC79 QAC65538:QAC65615 QAC131074:QAC131151 QAC196610:QAC196687 QAC262146:QAC262223 QAC327682:QAC327759 QAC393218:QAC393295 QAC458754:QAC458831 QAC524290:QAC524367 QAC589826:QAC589903 QAC655362:QAC655439 QAC720898:QAC720975 QAC786434:QAC786511 QAC851970:QAC852047 QAC917506:QAC917583 QAC983042:QAC983119 QJY2:QJY79 QJY65538:QJY65615 QJY131074:QJY131151 QJY196610:QJY196687 QJY262146:QJY262223 QJY327682:QJY327759 QJY393218:QJY393295 QJY458754:QJY458831 QJY524290:QJY524367 QJY589826:QJY589903 QJY655362:QJY655439 QJY720898:QJY720975 QJY786434:QJY786511 QJY851970:QJY852047 QJY917506:QJY917583 QJY983042:QJY983119 QTU2:QTU79 QTU65538:QTU65615 QTU131074:QTU131151 QTU196610:QTU196687 QTU262146:QTU262223 QTU327682:QTU327759 QTU393218:QTU393295 QTU458754:QTU458831 QTU524290:QTU524367 QTU589826:QTU589903 QTU655362:QTU655439 QTU720898:QTU720975 QTU786434:QTU786511 QTU851970:QTU852047 QTU917506:QTU917583 QTU983042:QTU983119 RDQ2:RDQ79 RDQ65538:RDQ65615 RDQ131074:RDQ131151 RDQ196610:RDQ196687 RDQ262146:RDQ262223 RDQ327682:RDQ327759 RDQ393218:RDQ393295 RDQ458754:RDQ458831 RDQ524290:RDQ524367 RDQ589826:RDQ589903 RDQ655362:RDQ655439 RDQ720898:RDQ720975 RDQ786434:RDQ786511 RDQ851970:RDQ852047 RDQ917506:RDQ917583 RDQ983042:RDQ983119 RNM2:RNM79 RNM65538:RNM65615 RNM131074:RNM131151 RNM196610:RNM196687 RNM262146:RNM262223 RNM327682:RNM327759 RNM393218:RNM393295 RNM458754:RNM458831 RNM524290:RNM524367 RNM589826:RNM589903 RNM655362:RNM655439 RNM720898:RNM720975 RNM786434:RNM786511 RNM851970:RNM852047 RNM917506:RNM917583 RNM983042:RNM983119 RXI2:RXI79 RXI65538:RXI65615 RXI131074:RXI131151 RXI196610:RXI196687 RXI262146:RXI262223 RXI327682:RXI327759 RXI393218:RXI393295 RXI458754:RXI458831 RXI524290:RXI524367 RXI589826:RXI589903 RXI655362:RXI655439 RXI720898:RXI720975 RXI786434:RXI786511 RXI851970:RXI852047 RXI917506:RXI917583 RXI983042:RXI983119 SHE2:SHE79 SHE65538:SHE65615 SHE131074:SHE131151 SHE196610:SHE196687 SHE262146:SHE262223 SHE327682:SHE327759 SHE393218:SHE393295 SHE458754:SHE458831 SHE524290:SHE524367 SHE589826:SHE589903 SHE655362:SHE655439 SHE720898:SHE720975 SHE786434:SHE786511 SHE851970:SHE852047 SHE917506:SHE917583 SHE983042:SHE983119 SRA2:SRA79 SRA65538:SRA65615 SRA131074:SRA131151 SRA196610:SRA196687 SRA262146:SRA262223 SRA327682:SRA327759 SRA393218:SRA393295 SRA458754:SRA458831 SRA524290:SRA524367 SRA589826:SRA589903 SRA655362:SRA655439 SRA720898:SRA720975 SRA786434:SRA786511 SRA851970:SRA852047 SRA917506:SRA917583 SRA983042:SRA983119 TAW2:TAW79 TAW65538:TAW65615 TAW131074:TAW131151 TAW196610:TAW196687 TAW262146:TAW262223 TAW327682:TAW327759 TAW393218:TAW393295 TAW458754:TAW458831 TAW524290:TAW524367 TAW589826:TAW589903 TAW655362:TAW655439 TAW720898:TAW720975 TAW786434:TAW786511 TAW851970:TAW852047 TAW917506:TAW917583 TAW983042:TAW983119 TKS2:TKS79 TKS65538:TKS65615 TKS131074:TKS131151 TKS196610:TKS196687 TKS262146:TKS262223 TKS327682:TKS327759 TKS393218:TKS393295 TKS458754:TKS458831 TKS524290:TKS524367 TKS589826:TKS589903 TKS655362:TKS655439 TKS720898:TKS720975 TKS786434:TKS786511 TKS851970:TKS852047 TKS917506:TKS917583 TKS983042:TKS983119 TUO2:TUO79 TUO65538:TUO65615 TUO131074:TUO131151 TUO196610:TUO196687 TUO262146:TUO262223 TUO327682:TUO327759 TUO393218:TUO393295 TUO458754:TUO458831 TUO524290:TUO524367 TUO589826:TUO589903 TUO655362:TUO655439 TUO720898:TUO720975 TUO786434:TUO786511 TUO851970:TUO852047 TUO917506:TUO917583 TUO983042:TUO983119 UEK2:UEK79 UEK65538:UEK65615 UEK131074:UEK131151 UEK196610:UEK196687 UEK262146:UEK262223 UEK327682:UEK327759 UEK393218:UEK393295 UEK458754:UEK458831 UEK524290:UEK524367 UEK589826:UEK589903 UEK655362:UEK655439 UEK720898:UEK720975 UEK786434:UEK786511 UEK851970:UEK852047 UEK917506:UEK917583 UEK983042:UEK983119 UOG2:UOG79 UOG65538:UOG65615 UOG131074:UOG131151 UOG196610:UOG196687 UOG262146:UOG262223 UOG327682:UOG327759 UOG393218:UOG393295 UOG458754:UOG458831 UOG524290:UOG524367 UOG589826:UOG589903 UOG655362:UOG655439 UOG720898:UOG720975 UOG786434:UOG786511 UOG851970:UOG852047 UOG917506:UOG917583 UOG983042:UOG983119 UYC2:UYC79 UYC65538:UYC65615 UYC131074:UYC131151 UYC196610:UYC196687 UYC262146:UYC262223 UYC327682:UYC327759 UYC393218:UYC393295 UYC458754:UYC458831 UYC524290:UYC524367 UYC589826:UYC589903 UYC655362:UYC655439 UYC720898:UYC720975 UYC786434:UYC786511 UYC851970:UYC852047 UYC917506:UYC917583 UYC983042:UYC983119 VHY2:VHY79 VHY65538:VHY65615 VHY131074:VHY131151 VHY196610:VHY196687 VHY262146:VHY262223 VHY327682:VHY327759 VHY393218:VHY393295 VHY458754:VHY458831 VHY524290:VHY524367 VHY589826:VHY589903 VHY655362:VHY655439 VHY720898:VHY720975 VHY786434:VHY786511 VHY851970:VHY852047 VHY917506:VHY917583 VHY983042:VHY983119 VRU2:VRU79 VRU65538:VRU65615 VRU131074:VRU131151 VRU196610:VRU196687 VRU262146:VRU262223 VRU327682:VRU327759 VRU393218:VRU393295 VRU458754:VRU458831 VRU524290:VRU524367 VRU589826:VRU589903 VRU655362:VRU655439 VRU720898:VRU720975 VRU786434:VRU786511 VRU851970:VRU852047 VRU917506:VRU917583 VRU983042:VRU983119 WBQ2:WBQ79 WBQ65538:WBQ65615 WBQ131074:WBQ131151 WBQ196610:WBQ196687 WBQ262146:WBQ262223 WBQ327682:WBQ327759 WBQ393218:WBQ393295 WBQ458754:WBQ458831 WBQ524290:WBQ524367 WBQ589826:WBQ589903 WBQ655362:WBQ655439 WBQ720898:WBQ720975 WBQ786434:WBQ786511 WBQ851970:WBQ852047 WBQ917506:WBQ917583 WBQ983042:WBQ983119 WLM2:WLM79 WLM65538:WLM65615 WLM131074:WLM131151 WLM196610:WLM196687 WLM262146:WLM262223 WLM327682:WLM327759 WLM393218:WLM393295 WLM458754:WLM458831 WLM524290:WLM524367 WLM589826:WLM589903 WLM655362:WLM655439 WLM720898:WLM720975 WLM786434:WLM786511 WLM851970:WLM852047 WLM917506:WLM917583 WLM983042:WLM983119 WVI2:WVI79 WVI65538:WVI65615 WVI131074:WVI131151 WVI196610:WVI196687 WVI262146:WVI262223 WVI327682:WVI327759 WVI393218:WVI393295 WVI458754:WVI458831 WVI524290:WVI524367 WVI589826:WVI589903 WVI655362:WVI655439 WVI720898:WVI720975 WVI786434:WVI786511 WVI851970:WVI852047 WVI917506:WVI917583 WVI983042:WVI983119" xr:uid="{81FDCFC9-C197-4272-AEC6-53CE7453E451}">
      <formula1>$AE$2:$AE$19</formula1>
    </dataValidation>
    <dataValidation type="list" allowBlank="1" showInputMessage="1" showErrorMessage="1" sqref="G2:G500 G65538:G65615 G131074:G131151 G196610:G196687 G262146:G262223 G327682:G327759 G393218:G393295 G458754:G458831 G524290:G524367 G589826:G589903 G655362:G655439 G720898:G720975 G786434:G786511 G851970:G852047 G917506:G917583 G983042:G983119 JC2:JC79 JC65538:JC65615 JC131074:JC131151 JC196610:JC196687 JC262146:JC262223 JC327682:JC327759 JC393218:JC393295 JC458754:JC458831 JC524290:JC524367 JC589826:JC589903 JC655362:JC655439 JC720898:JC720975 JC786434:JC786511 JC851970:JC852047 JC917506:JC917583 JC983042:JC983119 SY2:SY79 SY65538:SY65615 SY131074:SY131151 SY196610:SY196687 SY262146:SY262223 SY327682:SY327759 SY393218:SY393295 SY458754:SY458831 SY524290:SY524367 SY589826:SY589903 SY655362:SY655439 SY720898:SY720975 SY786434:SY786511 SY851970:SY852047 SY917506:SY917583 SY983042:SY983119 ACU2:ACU79 ACU65538:ACU65615 ACU131074:ACU131151 ACU196610:ACU196687 ACU262146:ACU262223 ACU327682:ACU327759 ACU393218:ACU393295 ACU458754:ACU458831 ACU524290:ACU524367 ACU589826:ACU589903 ACU655362:ACU655439 ACU720898:ACU720975 ACU786434:ACU786511 ACU851970:ACU852047 ACU917506:ACU917583 ACU983042:ACU983119 AMQ2:AMQ79 AMQ65538:AMQ65615 AMQ131074:AMQ131151 AMQ196610:AMQ196687 AMQ262146:AMQ262223 AMQ327682:AMQ327759 AMQ393218:AMQ393295 AMQ458754:AMQ458831 AMQ524290:AMQ524367 AMQ589826:AMQ589903 AMQ655362:AMQ655439 AMQ720898:AMQ720975 AMQ786434:AMQ786511 AMQ851970:AMQ852047 AMQ917506:AMQ917583 AMQ983042:AMQ983119 AWM2:AWM79 AWM65538:AWM65615 AWM131074:AWM131151 AWM196610:AWM196687 AWM262146:AWM262223 AWM327682:AWM327759 AWM393218:AWM393295 AWM458754:AWM458831 AWM524290:AWM524367 AWM589826:AWM589903 AWM655362:AWM655439 AWM720898:AWM720975 AWM786434:AWM786511 AWM851970:AWM852047 AWM917506:AWM917583 AWM983042:AWM983119 BGI2:BGI79 BGI65538:BGI65615 BGI131074:BGI131151 BGI196610:BGI196687 BGI262146:BGI262223 BGI327682:BGI327759 BGI393218:BGI393295 BGI458754:BGI458831 BGI524290:BGI524367 BGI589826:BGI589903 BGI655362:BGI655439 BGI720898:BGI720975 BGI786434:BGI786511 BGI851970:BGI852047 BGI917506:BGI917583 BGI983042:BGI983119 BQE2:BQE79 BQE65538:BQE65615 BQE131074:BQE131151 BQE196610:BQE196687 BQE262146:BQE262223 BQE327682:BQE327759 BQE393218:BQE393295 BQE458754:BQE458831 BQE524290:BQE524367 BQE589826:BQE589903 BQE655362:BQE655439 BQE720898:BQE720975 BQE786434:BQE786511 BQE851970:BQE852047 BQE917506:BQE917583 BQE983042:BQE983119 CAA2:CAA79 CAA65538:CAA65615 CAA131074:CAA131151 CAA196610:CAA196687 CAA262146:CAA262223 CAA327682:CAA327759 CAA393218:CAA393295 CAA458754:CAA458831 CAA524290:CAA524367 CAA589826:CAA589903 CAA655362:CAA655439 CAA720898:CAA720975 CAA786434:CAA786511 CAA851970:CAA852047 CAA917506:CAA917583 CAA983042:CAA983119 CJW2:CJW79 CJW65538:CJW65615 CJW131074:CJW131151 CJW196610:CJW196687 CJW262146:CJW262223 CJW327682:CJW327759 CJW393218:CJW393295 CJW458754:CJW458831 CJW524290:CJW524367 CJW589826:CJW589903 CJW655362:CJW655439 CJW720898:CJW720975 CJW786434:CJW786511 CJW851970:CJW852047 CJW917506:CJW917583 CJW983042:CJW983119 CTS2:CTS79 CTS65538:CTS65615 CTS131074:CTS131151 CTS196610:CTS196687 CTS262146:CTS262223 CTS327682:CTS327759 CTS393218:CTS393295 CTS458754:CTS458831 CTS524290:CTS524367 CTS589826:CTS589903 CTS655362:CTS655439 CTS720898:CTS720975 CTS786434:CTS786511 CTS851970:CTS852047 CTS917506:CTS917583 CTS983042:CTS983119 DDO2:DDO79 DDO65538:DDO65615 DDO131074:DDO131151 DDO196610:DDO196687 DDO262146:DDO262223 DDO327682:DDO327759 DDO393218:DDO393295 DDO458754:DDO458831 DDO524290:DDO524367 DDO589826:DDO589903 DDO655362:DDO655439 DDO720898:DDO720975 DDO786434:DDO786511 DDO851970:DDO852047 DDO917506:DDO917583 DDO983042:DDO983119 DNK2:DNK79 DNK65538:DNK65615 DNK131074:DNK131151 DNK196610:DNK196687 DNK262146:DNK262223 DNK327682:DNK327759 DNK393218:DNK393295 DNK458754:DNK458831 DNK524290:DNK524367 DNK589826:DNK589903 DNK655362:DNK655439 DNK720898:DNK720975 DNK786434:DNK786511 DNK851970:DNK852047 DNK917506:DNK917583 DNK983042:DNK983119 DXG2:DXG79 DXG65538:DXG65615 DXG131074:DXG131151 DXG196610:DXG196687 DXG262146:DXG262223 DXG327682:DXG327759 DXG393218:DXG393295 DXG458754:DXG458831 DXG524290:DXG524367 DXG589826:DXG589903 DXG655362:DXG655439 DXG720898:DXG720975 DXG786434:DXG786511 DXG851970:DXG852047 DXG917506:DXG917583 DXG983042:DXG983119 EHC2:EHC79 EHC65538:EHC65615 EHC131074:EHC131151 EHC196610:EHC196687 EHC262146:EHC262223 EHC327682:EHC327759 EHC393218:EHC393295 EHC458754:EHC458831 EHC524290:EHC524367 EHC589826:EHC589903 EHC655362:EHC655439 EHC720898:EHC720975 EHC786434:EHC786511 EHC851970:EHC852047 EHC917506:EHC917583 EHC983042:EHC983119 EQY2:EQY79 EQY65538:EQY65615 EQY131074:EQY131151 EQY196610:EQY196687 EQY262146:EQY262223 EQY327682:EQY327759 EQY393218:EQY393295 EQY458754:EQY458831 EQY524290:EQY524367 EQY589826:EQY589903 EQY655362:EQY655439 EQY720898:EQY720975 EQY786434:EQY786511 EQY851970:EQY852047 EQY917506:EQY917583 EQY983042:EQY983119 FAU2:FAU79 FAU65538:FAU65615 FAU131074:FAU131151 FAU196610:FAU196687 FAU262146:FAU262223 FAU327682:FAU327759 FAU393218:FAU393295 FAU458754:FAU458831 FAU524290:FAU524367 FAU589826:FAU589903 FAU655362:FAU655439 FAU720898:FAU720975 FAU786434:FAU786511 FAU851970:FAU852047 FAU917506:FAU917583 FAU983042:FAU983119 FKQ2:FKQ79 FKQ65538:FKQ65615 FKQ131074:FKQ131151 FKQ196610:FKQ196687 FKQ262146:FKQ262223 FKQ327682:FKQ327759 FKQ393218:FKQ393295 FKQ458754:FKQ458831 FKQ524290:FKQ524367 FKQ589826:FKQ589903 FKQ655362:FKQ655439 FKQ720898:FKQ720975 FKQ786434:FKQ786511 FKQ851970:FKQ852047 FKQ917506:FKQ917583 FKQ983042:FKQ983119 FUM2:FUM79 FUM65538:FUM65615 FUM131074:FUM131151 FUM196610:FUM196687 FUM262146:FUM262223 FUM327682:FUM327759 FUM393218:FUM393295 FUM458754:FUM458831 FUM524290:FUM524367 FUM589826:FUM589903 FUM655362:FUM655439 FUM720898:FUM720975 FUM786434:FUM786511 FUM851970:FUM852047 FUM917506:FUM917583 FUM983042:FUM983119 GEI2:GEI79 GEI65538:GEI65615 GEI131074:GEI131151 GEI196610:GEI196687 GEI262146:GEI262223 GEI327682:GEI327759 GEI393218:GEI393295 GEI458754:GEI458831 GEI524290:GEI524367 GEI589826:GEI589903 GEI655362:GEI655439 GEI720898:GEI720975 GEI786434:GEI786511 GEI851970:GEI852047 GEI917506:GEI917583 GEI983042:GEI983119 GOE2:GOE79 GOE65538:GOE65615 GOE131074:GOE131151 GOE196610:GOE196687 GOE262146:GOE262223 GOE327682:GOE327759 GOE393218:GOE393295 GOE458754:GOE458831 GOE524290:GOE524367 GOE589826:GOE589903 GOE655362:GOE655439 GOE720898:GOE720975 GOE786434:GOE786511 GOE851970:GOE852047 GOE917506:GOE917583 GOE983042:GOE983119 GYA2:GYA79 GYA65538:GYA65615 GYA131074:GYA131151 GYA196610:GYA196687 GYA262146:GYA262223 GYA327682:GYA327759 GYA393218:GYA393295 GYA458754:GYA458831 GYA524290:GYA524367 GYA589826:GYA589903 GYA655362:GYA655439 GYA720898:GYA720975 GYA786434:GYA786511 GYA851970:GYA852047 GYA917506:GYA917583 GYA983042:GYA983119 HHW2:HHW79 HHW65538:HHW65615 HHW131074:HHW131151 HHW196610:HHW196687 HHW262146:HHW262223 HHW327682:HHW327759 HHW393218:HHW393295 HHW458754:HHW458831 HHW524290:HHW524367 HHW589826:HHW589903 HHW655362:HHW655439 HHW720898:HHW720975 HHW786434:HHW786511 HHW851970:HHW852047 HHW917506:HHW917583 HHW983042:HHW983119 HRS2:HRS79 HRS65538:HRS65615 HRS131074:HRS131151 HRS196610:HRS196687 HRS262146:HRS262223 HRS327682:HRS327759 HRS393218:HRS393295 HRS458754:HRS458831 HRS524290:HRS524367 HRS589826:HRS589903 HRS655362:HRS655439 HRS720898:HRS720975 HRS786434:HRS786511 HRS851970:HRS852047 HRS917506:HRS917583 HRS983042:HRS983119 IBO2:IBO79 IBO65538:IBO65615 IBO131074:IBO131151 IBO196610:IBO196687 IBO262146:IBO262223 IBO327682:IBO327759 IBO393218:IBO393295 IBO458754:IBO458831 IBO524290:IBO524367 IBO589826:IBO589903 IBO655362:IBO655439 IBO720898:IBO720975 IBO786434:IBO786511 IBO851970:IBO852047 IBO917506:IBO917583 IBO983042:IBO983119 ILK2:ILK79 ILK65538:ILK65615 ILK131074:ILK131151 ILK196610:ILK196687 ILK262146:ILK262223 ILK327682:ILK327759 ILK393218:ILK393295 ILK458754:ILK458831 ILK524290:ILK524367 ILK589826:ILK589903 ILK655362:ILK655439 ILK720898:ILK720975 ILK786434:ILK786511 ILK851970:ILK852047 ILK917506:ILK917583 ILK983042:ILK983119 IVG2:IVG79 IVG65538:IVG65615 IVG131074:IVG131151 IVG196610:IVG196687 IVG262146:IVG262223 IVG327682:IVG327759 IVG393218:IVG393295 IVG458754:IVG458831 IVG524290:IVG524367 IVG589826:IVG589903 IVG655362:IVG655439 IVG720898:IVG720975 IVG786434:IVG786511 IVG851970:IVG852047 IVG917506:IVG917583 IVG983042:IVG983119 JFC2:JFC79 JFC65538:JFC65615 JFC131074:JFC131151 JFC196610:JFC196687 JFC262146:JFC262223 JFC327682:JFC327759 JFC393218:JFC393295 JFC458754:JFC458831 JFC524290:JFC524367 JFC589826:JFC589903 JFC655362:JFC655439 JFC720898:JFC720975 JFC786434:JFC786511 JFC851970:JFC852047 JFC917506:JFC917583 JFC983042:JFC983119 JOY2:JOY79 JOY65538:JOY65615 JOY131074:JOY131151 JOY196610:JOY196687 JOY262146:JOY262223 JOY327682:JOY327759 JOY393218:JOY393295 JOY458754:JOY458831 JOY524290:JOY524367 JOY589826:JOY589903 JOY655362:JOY655439 JOY720898:JOY720975 JOY786434:JOY786511 JOY851970:JOY852047 JOY917506:JOY917583 JOY983042:JOY983119 JYU2:JYU79 JYU65538:JYU65615 JYU131074:JYU131151 JYU196610:JYU196687 JYU262146:JYU262223 JYU327682:JYU327759 JYU393218:JYU393295 JYU458754:JYU458831 JYU524290:JYU524367 JYU589826:JYU589903 JYU655362:JYU655439 JYU720898:JYU720975 JYU786434:JYU786511 JYU851970:JYU852047 JYU917506:JYU917583 JYU983042:JYU983119 KIQ2:KIQ79 KIQ65538:KIQ65615 KIQ131074:KIQ131151 KIQ196610:KIQ196687 KIQ262146:KIQ262223 KIQ327682:KIQ327759 KIQ393218:KIQ393295 KIQ458754:KIQ458831 KIQ524290:KIQ524367 KIQ589826:KIQ589903 KIQ655362:KIQ655439 KIQ720898:KIQ720975 KIQ786434:KIQ786511 KIQ851970:KIQ852047 KIQ917506:KIQ917583 KIQ983042:KIQ983119 KSM2:KSM79 KSM65538:KSM65615 KSM131074:KSM131151 KSM196610:KSM196687 KSM262146:KSM262223 KSM327682:KSM327759 KSM393218:KSM393295 KSM458754:KSM458831 KSM524290:KSM524367 KSM589826:KSM589903 KSM655362:KSM655439 KSM720898:KSM720975 KSM786434:KSM786511 KSM851970:KSM852047 KSM917506:KSM917583 KSM983042:KSM983119 LCI2:LCI79 LCI65538:LCI65615 LCI131074:LCI131151 LCI196610:LCI196687 LCI262146:LCI262223 LCI327682:LCI327759 LCI393218:LCI393295 LCI458754:LCI458831 LCI524290:LCI524367 LCI589826:LCI589903 LCI655362:LCI655439 LCI720898:LCI720975 LCI786434:LCI786511 LCI851970:LCI852047 LCI917506:LCI917583 LCI983042:LCI983119 LME2:LME79 LME65538:LME65615 LME131074:LME131151 LME196610:LME196687 LME262146:LME262223 LME327682:LME327759 LME393218:LME393295 LME458754:LME458831 LME524290:LME524367 LME589826:LME589903 LME655362:LME655439 LME720898:LME720975 LME786434:LME786511 LME851970:LME852047 LME917506:LME917583 LME983042:LME983119 LWA2:LWA79 LWA65538:LWA65615 LWA131074:LWA131151 LWA196610:LWA196687 LWA262146:LWA262223 LWA327682:LWA327759 LWA393218:LWA393295 LWA458754:LWA458831 LWA524290:LWA524367 LWA589826:LWA589903 LWA655362:LWA655439 LWA720898:LWA720975 LWA786434:LWA786511 LWA851970:LWA852047 LWA917506:LWA917583 LWA983042:LWA983119 MFW2:MFW79 MFW65538:MFW65615 MFW131074:MFW131151 MFW196610:MFW196687 MFW262146:MFW262223 MFW327682:MFW327759 MFW393218:MFW393295 MFW458754:MFW458831 MFW524290:MFW524367 MFW589826:MFW589903 MFW655362:MFW655439 MFW720898:MFW720975 MFW786434:MFW786511 MFW851970:MFW852047 MFW917506:MFW917583 MFW983042:MFW983119 MPS2:MPS79 MPS65538:MPS65615 MPS131074:MPS131151 MPS196610:MPS196687 MPS262146:MPS262223 MPS327682:MPS327759 MPS393218:MPS393295 MPS458754:MPS458831 MPS524290:MPS524367 MPS589826:MPS589903 MPS655362:MPS655439 MPS720898:MPS720975 MPS786434:MPS786511 MPS851970:MPS852047 MPS917506:MPS917583 MPS983042:MPS983119 MZO2:MZO79 MZO65538:MZO65615 MZO131074:MZO131151 MZO196610:MZO196687 MZO262146:MZO262223 MZO327682:MZO327759 MZO393218:MZO393295 MZO458754:MZO458831 MZO524290:MZO524367 MZO589826:MZO589903 MZO655362:MZO655439 MZO720898:MZO720975 MZO786434:MZO786511 MZO851970:MZO852047 MZO917506:MZO917583 MZO983042:MZO983119 NJK2:NJK79 NJK65538:NJK65615 NJK131074:NJK131151 NJK196610:NJK196687 NJK262146:NJK262223 NJK327682:NJK327759 NJK393218:NJK393295 NJK458754:NJK458831 NJK524290:NJK524367 NJK589826:NJK589903 NJK655362:NJK655439 NJK720898:NJK720975 NJK786434:NJK786511 NJK851970:NJK852047 NJK917506:NJK917583 NJK983042:NJK983119 NTG2:NTG79 NTG65538:NTG65615 NTG131074:NTG131151 NTG196610:NTG196687 NTG262146:NTG262223 NTG327682:NTG327759 NTG393218:NTG393295 NTG458754:NTG458831 NTG524290:NTG524367 NTG589826:NTG589903 NTG655362:NTG655439 NTG720898:NTG720975 NTG786434:NTG786511 NTG851970:NTG852047 NTG917506:NTG917583 NTG983042:NTG983119 ODC2:ODC79 ODC65538:ODC65615 ODC131074:ODC131151 ODC196610:ODC196687 ODC262146:ODC262223 ODC327682:ODC327759 ODC393218:ODC393295 ODC458754:ODC458831 ODC524290:ODC524367 ODC589826:ODC589903 ODC655362:ODC655439 ODC720898:ODC720975 ODC786434:ODC786511 ODC851970:ODC852047 ODC917506:ODC917583 ODC983042:ODC983119 OMY2:OMY79 OMY65538:OMY65615 OMY131074:OMY131151 OMY196610:OMY196687 OMY262146:OMY262223 OMY327682:OMY327759 OMY393218:OMY393295 OMY458754:OMY458831 OMY524290:OMY524367 OMY589826:OMY589903 OMY655362:OMY655439 OMY720898:OMY720975 OMY786434:OMY786511 OMY851970:OMY852047 OMY917506:OMY917583 OMY983042:OMY983119 OWU2:OWU79 OWU65538:OWU65615 OWU131074:OWU131151 OWU196610:OWU196687 OWU262146:OWU262223 OWU327682:OWU327759 OWU393218:OWU393295 OWU458754:OWU458831 OWU524290:OWU524367 OWU589826:OWU589903 OWU655362:OWU655439 OWU720898:OWU720975 OWU786434:OWU786511 OWU851970:OWU852047 OWU917506:OWU917583 OWU983042:OWU983119 PGQ2:PGQ79 PGQ65538:PGQ65615 PGQ131074:PGQ131151 PGQ196610:PGQ196687 PGQ262146:PGQ262223 PGQ327682:PGQ327759 PGQ393218:PGQ393295 PGQ458754:PGQ458831 PGQ524290:PGQ524367 PGQ589826:PGQ589903 PGQ655362:PGQ655439 PGQ720898:PGQ720975 PGQ786434:PGQ786511 PGQ851970:PGQ852047 PGQ917506:PGQ917583 PGQ983042:PGQ983119 PQM2:PQM79 PQM65538:PQM65615 PQM131074:PQM131151 PQM196610:PQM196687 PQM262146:PQM262223 PQM327682:PQM327759 PQM393218:PQM393295 PQM458754:PQM458831 PQM524290:PQM524367 PQM589826:PQM589903 PQM655362:PQM655439 PQM720898:PQM720975 PQM786434:PQM786511 PQM851970:PQM852047 PQM917506:PQM917583 PQM983042:PQM983119 QAI2:QAI79 QAI65538:QAI65615 QAI131074:QAI131151 QAI196610:QAI196687 QAI262146:QAI262223 QAI327682:QAI327759 QAI393218:QAI393295 QAI458754:QAI458831 QAI524290:QAI524367 QAI589826:QAI589903 QAI655362:QAI655439 QAI720898:QAI720975 QAI786434:QAI786511 QAI851970:QAI852047 QAI917506:QAI917583 QAI983042:QAI983119 QKE2:QKE79 QKE65538:QKE65615 QKE131074:QKE131151 QKE196610:QKE196687 QKE262146:QKE262223 QKE327682:QKE327759 QKE393218:QKE393295 QKE458754:QKE458831 QKE524290:QKE524367 QKE589826:QKE589903 QKE655362:QKE655439 QKE720898:QKE720975 QKE786434:QKE786511 QKE851970:QKE852047 QKE917506:QKE917583 QKE983042:QKE983119 QUA2:QUA79 QUA65538:QUA65615 QUA131074:QUA131151 QUA196610:QUA196687 QUA262146:QUA262223 QUA327682:QUA327759 QUA393218:QUA393295 QUA458754:QUA458831 QUA524290:QUA524367 QUA589826:QUA589903 QUA655362:QUA655439 QUA720898:QUA720975 QUA786434:QUA786511 QUA851970:QUA852047 QUA917506:QUA917583 QUA983042:QUA983119 RDW2:RDW79 RDW65538:RDW65615 RDW131074:RDW131151 RDW196610:RDW196687 RDW262146:RDW262223 RDW327682:RDW327759 RDW393218:RDW393295 RDW458754:RDW458831 RDW524290:RDW524367 RDW589826:RDW589903 RDW655362:RDW655439 RDW720898:RDW720975 RDW786434:RDW786511 RDW851970:RDW852047 RDW917506:RDW917583 RDW983042:RDW983119 RNS2:RNS79 RNS65538:RNS65615 RNS131074:RNS131151 RNS196610:RNS196687 RNS262146:RNS262223 RNS327682:RNS327759 RNS393218:RNS393295 RNS458754:RNS458831 RNS524290:RNS524367 RNS589826:RNS589903 RNS655362:RNS655439 RNS720898:RNS720975 RNS786434:RNS786511 RNS851970:RNS852047 RNS917506:RNS917583 RNS983042:RNS983119 RXO2:RXO79 RXO65538:RXO65615 RXO131074:RXO131151 RXO196610:RXO196687 RXO262146:RXO262223 RXO327682:RXO327759 RXO393218:RXO393295 RXO458754:RXO458831 RXO524290:RXO524367 RXO589826:RXO589903 RXO655362:RXO655439 RXO720898:RXO720975 RXO786434:RXO786511 RXO851970:RXO852047 RXO917506:RXO917583 RXO983042:RXO983119 SHK2:SHK79 SHK65538:SHK65615 SHK131074:SHK131151 SHK196610:SHK196687 SHK262146:SHK262223 SHK327682:SHK327759 SHK393218:SHK393295 SHK458754:SHK458831 SHK524290:SHK524367 SHK589826:SHK589903 SHK655362:SHK655439 SHK720898:SHK720975 SHK786434:SHK786511 SHK851970:SHK852047 SHK917506:SHK917583 SHK983042:SHK983119 SRG2:SRG79 SRG65538:SRG65615 SRG131074:SRG131151 SRG196610:SRG196687 SRG262146:SRG262223 SRG327682:SRG327759 SRG393218:SRG393295 SRG458754:SRG458831 SRG524290:SRG524367 SRG589826:SRG589903 SRG655362:SRG655439 SRG720898:SRG720975 SRG786434:SRG786511 SRG851970:SRG852047 SRG917506:SRG917583 SRG983042:SRG983119 TBC2:TBC79 TBC65538:TBC65615 TBC131074:TBC131151 TBC196610:TBC196687 TBC262146:TBC262223 TBC327682:TBC327759 TBC393218:TBC393295 TBC458754:TBC458831 TBC524290:TBC524367 TBC589826:TBC589903 TBC655362:TBC655439 TBC720898:TBC720975 TBC786434:TBC786511 TBC851970:TBC852047 TBC917506:TBC917583 TBC983042:TBC983119 TKY2:TKY79 TKY65538:TKY65615 TKY131074:TKY131151 TKY196610:TKY196687 TKY262146:TKY262223 TKY327682:TKY327759 TKY393218:TKY393295 TKY458754:TKY458831 TKY524290:TKY524367 TKY589826:TKY589903 TKY655362:TKY655439 TKY720898:TKY720975 TKY786434:TKY786511 TKY851970:TKY852047 TKY917506:TKY917583 TKY983042:TKY983119 TUU2:TUU79 TUU65538:TUU65615 TUU131074:TUU131151 TUU196610:TUU196687 TUU262146:TUU262223 TUU327682:TUU327759 TUU393218:TUU393295 TUU458754:TUU458831 TUU524290:TUU524367 TUU589826:TUU589903 TUU655362:TUU655439 TUU720898:TUU720975 TUU786434:TUU786511 TUU851970:TUU852047 TUU917506:TUU917583 TUU983042:TUU983119 UEQ2:UEQ79 UEQ65538:UEQ65615 UEQ131074:UEQ131151 UEQ196610:UEQ196687 UEQ262146:UEQ262223 UEQ327682:UEQ327759 UEQ393218:UEQ393295 UEQ458754:UEQ458831 UEQ524290:UEQ524367 UEQ589826:UEQ589903 UEQ655362:UEQ655439 UEQ720898:UEQ720975 UEQ786434:UEQ786511 UEQ851970:UEQ852047 UEQ917506:UEQ917583 UEQ983042:UEQ983119 UOM2:UOM79 UOM65538:UOM65615 UOM131074:UOM131151 UOM196610:UOM196687 UOM262146:UOM262223 UOM327682:UOM327759 UOM393218:UOM393295 UOM458754:UOM458831 UOM524290:UOM524367 UOM589826:UOM589903 UOM655362:UOM655439 UOM720898:UOM720975 UOM786434:UOM786511 UOM851970:UOM852047 UOM917506:UOM917583 UOM983042:UOM983119 UYI2:UYI79 UYI65538:UYI65615 UYI131074:UYI131151 UYI196610:UYI196687 UYI262146:UYI262223 UYI327682:UYI327759 UYI393218:UYI393295 UYI458754:UYI458831 UYI524290:UYI524367 UYI589826:UYI589903 UYI655362:UYI655439 UYI720898:UYI720975 UYI786434:UYI786511 UYI851970:UYI852047 UYI917506:UYI917583 UYI983042:UYI983119 VIE2:VIE79 VIE65538:VIE65615 VIE131074:VIE131151 VIE196610:VIE196687 VIE262146:VIE262223 VIE327682:VIE327759 VIE393218:VIE393295 VIE458754:VIE458831 VIE524290:VIE524367 VIE589826:VIE589903 VIE655362:VIE655439 VIE720898:VIE720975 VIE786434:VIE786511 VIE851970:VIE852047 VIE917506:VIE917583 VIE983042:VIE983119 VSA2:VSA79 VSA65538:VSA65615 VSA131074:VSA131151 VSA196610:VSA196687 VSA262146:VSA262223 VSA327682:VSA327759 VSA393218:VSA393295 VSA458754:VSA458831 VSA524290:VSA524367 VSA589826:VSA589903 VSA655362:VSA655439 VSA720898:VSA720975 VSA786434:VSA786511 VSA851970:VSA852047 VSA917506:VSA917583 VSA983042:VSA983119 WBW2:WBW79 WBW65538:WBW65615 WBW131074:WBW131151 WBW196610:WBW196687 WBW262146:WBW262223 WBW327682:WBW327759 WBW393218:WBW393295 WBW458754:WBW458831 WBW524290:WBW524367 WBW589826:WBW589903 WBW655362:WBW655439 WBW720898:WBW720975 WBW786434:WBW786511 WBW851970:WBW852047 WBW917506:WBW917583 WBW983042:WBW983119 WLS2:WLS79 WLS65538:WLS65615 WLS131074:WLS131151 WLS196610:WLS196687 WLS262146:WLS262223 WLS327682:WLS327759 WLS393218:WLS393295 WLS458754:WLS458831 WLS524290:WLS524367 WLS589826:WLS589903 WLS655362:WLS655439 WLS720898:WLS720975 WLS786434:WLS786511 WLS851970:WLS852047 WLS917506:WLS917583 WLS983042:WLS983119 WVO2:WVO79 WVO65538:WVO65615 WVO131074:WVO131151 WVO196610:WVO196687 WVO262146:WVO262223 WVO327682:WVO327759 WVO393218:WVO393295 WVO458754:WVO458831 WVO524290:WVO524367 WVO589826:WVO589903 WVO655362:WVO655439 WVO720898:WVO720975 WVO786434:WVO786511 WVO851970:WVO852047 WVO917506:WVO917583 WVO983042:WVO983119" xr:uid="{1DF7BD43-2C5C-41FC-B307-2C320624AD82}">
      <formula1>$AJ$2:$AJ$4</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59722-4B56-45AF-AF37-403C57661F68}">
  <sheetPr>
    <pageSetUpPr fitToPage="1"/>
  </sheetPr>
  <dimension ref="A1:BA108"/>
  <sheetViews>
    <sheetView zoomScale="85" zoomScaleNormal="85" workbookViewId="0">
      <selection activeCell="Z64" sqref="Z64"/>
    </sheetView>
  </sheetViews>
  <sheetFormatPr defaultRowHeight="13.5" x14ac:dyDescent="0.15"/>
  <cols>
    <col min="1" max="3" width="9" style="53" customWidth="1"/>
    <col min="4" max="4" width="10.375" style="53" customWidth="1"/>
    <col min="5" max="5" width="11.25" style="53" bestFit="1" customWidth="1"/>
    <col min="6" max="7" width="9" style="53"/>
    <col min="8" max="10" width="9" style="53" customWidth="1"/>
    <col min="11" max="11" width="11.375" style="53" customWidth="1"/>
    <col min="12" max="16" width="9" style="53" customWidth="1"/>
    <col min="17" max="17" width="9" style="16" customWidth="1"/>
    <col min="18" max="18" width="9" style="53"/>
    <col min="19" max="19" width="9.375" style="53" bestFit="1" customWidth="1"/>
    <col min="20" max="20" width="9" style="16" customWidth="1"/>
    <col min="21" max="21" width="9" style="53"/>
    <col min="22" max="22" width="9" style="16" customWidth="1"/>
    <col min="23" max="28" width="9" style="53"/>
    <col min="29" max="29" width="26.375" style="53" customWidth="1"/>
    <col min="30" max="32" width="9" style="53"/>
    <col min="33" max="33" width="15.75" style="53" bestFit="1" customWidth="1"/>
    <col min="34" max="34" width="15" style="53" bestFit="1" customWidth="1"/>
    <col min="35" max="256" width="9" style="53"/>
    <col min="257" max="259" width="9" style="53" customWidth="1"/>
    <col min="260" max="260" width="10.375" style="53" customWidth="1"/>
    <col min="261" max="261" width="11.25" style="53" bestFit="1" customWidth="1"/>
    <col min="262" max="263" width="9" style="53"/>
    <col min="264" max="273" width="9" style="53" customWidth="1"/>
    <col min="274" max="274" width="9" style="53"/>
    <col min="275" max="275" width="9.375" style="53" bestFit="1" customWidth="1"/>
    <col min="276" max="276" width="9" style="53" customWidth="1"/>
    <col min="277" max="277" width="9" style="53"/>
    <col min="278" max="278" width="9" style="53" customWidth="1"/>
    <col min="279" max="284" width="9" style="53"/>
    <col min="285" max="285" width="26.375" style="53" customWidth="1"/>
    <col min="286" max="288" width="9" style="53"/>
    <col min="289" max="289" width="14.75" style="53" bestFit="1" customWidth="1"/>
    <col min="290" max="512" width="9" style="53"/>
    <col min="513" max="515" width="9" style="53" customWidth="1"/>
    <col min="516" max="516" width="10.375" style="53" customWidth="1"/>
    <col min="517" max="517" width="11.25" style="53" bestFit="1" customWidth="1"/>
    <col min="518" max="519" width="9" style="53"/>
    <col min="520" max="529" width="9" style="53" customWidth="1"/>
    <col min="530" max="530" width="9" style="53"/>
    <col min="531" max="531" width="9.375" style="53" bestFit="1" customWidth="1"/>
    <col min="532" max="532" width="9" style="53" customWidth="1"/>
    <col min="533" max="533" width="9" style="53"/>
    <col min="534" max="534" width="9" style="53" customWidth="1"/>
    <col min="535" max="540" width="9" style="53"/>
    <col min="541" max="541" width="26.375" style="53" customWidth="1"/>
    <col min="542" max="544" width="9" style="53"/>
    <col min="545" max="545" width="14.75" style="53" bestFit="1" customWidth="1"/>
    <col min="546" max="768" width="9" style="53"/>
    <col min="769" max="771" width="9" style="53" customWidth="1"/>
    <col min="772" max="772" width="10.375" style="53" customWidth="1"/>
    <col min="773" max="773" width="11.25" style="53" bestFit="1" customWidth="1"/>
    <col min="774" max="775" width="9" style="53"/>
    <col min="776" max="785" width="9" style="53" customWidth="1"/>
    <col min="786" max="786" width="9" style="53"/>
    <col min="787" max="787" width="9.375" style="53" bestFit="1" customWidth="1"/>
    <col min="788" max="788" width="9" style="53" customWidth="1"/>
    <col min="789" max="789" width="9" style="53"/>
    <col min="790" max="790" width="9" style="53" customWidth="1"/>
    <col min="791" max="796" width="9" style="53"/>
    <col min="797" max="797" width="26.375" style="53" customWidth="1"/>
    <col min="798" max="800" width="9" style="53"/>
    <col min="801" max="801" width="14.75" style="53" bestFit="1" customWidth="1"/>
    <col min="802" max="1024" width="9" style="53"/>
    <col min="1025" max="1027" width="9" style="53" customWidth="1"/>
    <col min="1028" max="1028" width="10.375" style="53" customWidth="1"/>
    <col min="1029" max="1029" width="11.25" style="53" bestFit="1" customWidth="1"/>
    <col min="1030" max="1031" width="9" style="53"/>
    <col min="1032" max="1041" width="9" style="53" customWidth="1"/>
    <col min="1042" max="1042" width="9" style="53"/>
    <col min="1043" max="1043" width="9.375" style="53" bestFit="1" customWidth="1"/>
    <col min="1044" max="1044" width="9" style="53" customWidth="1"/>
    <col min="1045" max="1045" width="9" style="53"/>
    <col min="1046" max="1046" width="9" style="53" customWidth="1"/>
    <col min="1047" max="1052" width="9" style="53"/>
    <col min="1053" max="1053" width="26.375" style="53" customWidth="1"/>
    <col min="1054" max="1056" width="9" style="53"/>
    <col min="1057" max="1057" width="14.75" style="53" bestFit="1" customWidth="1"/>
    <col min="1058" max="1280" width="9" style="53"/>
    <col min="1281" max="1283" width="9" style="53" customWidth="1"/>
    <col min="1284" max="1284" width="10.375" style="53" customWidth="1"/>
    <col min="1285" max="1285" width="11.25" style="53" bestFit="1" customWidth="1"/>
    <col min="1286" max="1287" width="9" style="53"/>
    <col min="1288" max="1297" width="9" style="53" customWidth="1"/>
    <col min="1298" max="1298" width="9" style="53"/>
    <col min="1299" max="1299" width="9.375" style="53" bestFit="1" customWidth="1"/>
    <col min="1300" max="1300" width="9" style="53" customWidth="1"/>
    <col min="1301" max="1301" width="9" style="53"/>
    <col min="1302" max="1302" width="9" style="53" customWidth="1"/>
    <col min="1303" max="1308" width="9" style="53"/>
    <col min="1309" max="1309" width="26.375" style="53" customWidth="1"/>
    <col min="1310" max="1312" width="9" style="53"/>
    <col min="1313" max="1313" width="14.75" style="53" bestFit="1" customWidth="1"/>
    <col min="1314" max="1536" width="9" style="53"/>
    <col min="1537" max="1539" width="9" style="53" customWidth="1"/>
    <col min="1540" max="1540" width="10.375" style="53" customWidth="1"/>
    <col min="1541" max="1541" width="11.25" style="53" bestFit="1" customWidth="1"/>
    <col min="1542" max="1543" width="9" style="53"/>
    <col min="1544" max="1553" width="9" style="53" customWidth="1"/>
    <col min="1554" max="1554" width="9" style="53"/>
    <col min="1555" max="1555" width="9.375" style="53" bestFit="1" customWidth="1"/>
    <col min="1556" max="1556" width="9" style="53" customWidth="1"/>
    <col min="1557" max="1557" width="9" style="53"/>
    <col min="1558" max="1558" width="9" style="53" customWidth="1"/>
    <col min="1559" max="1564" width="9" style="53"/>
    <col min="1565" max="1565" width="26.375" style="53" customWidth="1"/>
    <col min="1566" max="1568" width="9" style="53"/>
    <col min="1569" max="1569" width="14.75" style="53" bestFit="1" customWidth="1"/>
    <col min="1570" max="1792" width="9" style="53"/>
    <col min="1793" max="1795" width="9" style="53" customWidth="1"/>
    <col min="1796" max="1796" width="10.375" style="53" customWidth="1"/>
    <col min="1797" max="1797" width="11.25" style="53" bestFit="1" customWidth="1"/>
    <col min="1798" max="1799" width="9" style="53"/>
    <col min="1800" max="1809" width="9" style="53" customWidth="1"/>
    <col min="1810" max="1810" width="9" style="53"/>
    <col min="1811" max="1811" width="9.375" style="53" bestFit="1" customWidth="1"/>
    <col min="1812" max="1812" width="9" style="53" customWidth="1"/>
    <col min="1813" max="1813" width="9" style="53"/>
    <col min="1814" max="1814" width="9" style="53" customWidth="1"/>
    <col min="1815" max="1820" width="9" style="53"/>
    <col min="1821" max="1821" width="26.375" style="53" customWidth="1"/>
    <col min="1822" max="1824" width="9" style="53"/>
    <col min="1825" max="1825" width="14.75" style="53" bestFit="1" customWidth="1"/>
    <col min="1826" max="2048" width="9" style="53"/>
    <col min="2049" max="2051" width="9" style="53" customWidth="1"/>
    <col min="2052" max="2052" width="10.375" style="53" customWidth="1"/>
    <col min="2053" max="2053" width="11.25" style="53" bestFit="1" customWidth="1"/>
    <col min="2054" max="2055" width="9" style="53"/>
    <col min="2056" max="2065" width="9" style="53" customWidth="1"/>
    <col min="2066" max="2066" width="9" style="53"/>
    <col min="2067" max="2067" width="9.375" style="53" bestFit="1" customWidth="1"/>
    <col min="2068" max="2068" width="9" style="53" customWidth="1"/>
    <col min="2069" max="2069" width="9" style="53"/>
    <col min="2070" max="2070" width="9" style="53" customWidth="1"/>
    <col min="2071" max="2076" width="9" style="53"/>
    <col min="2077" max="2077" width="26.375" style="53" customWidth="1"/>
    <col min="2078" max="2080" width="9" style="53"/>
    <col min="2081" max="2081" width="14.75" style="53" bestFit="1" customWidth="1"/>
    <col min="2082" max="2304" width="9" style="53"/>
    <col min="2305" max="2307" width="9" style="53" customWidth="1"/>
    <col min="2308" max="2308" width="10.375" style="53" customWidth="1"/>
    <col min="2309" max="2309" width="11.25" style="53" bestFit="1" customWidth="1"/>
    <col min="2310" max="2311" width="9" style="53"/>
    <col min="2312" max="2321" width="9" style="53" customWidth="1"/>
    <col min="2322" max="2322" width="9" style="53"/>
    <col min="2323" max="2323" width="9.375" style="53" bestFit="1" customWidth="1"/>
    <col min="2324" max="2324" width="9" style="53" customWidth="1"/>
    <col min="2325" max="2325" width="9" style="53"/>
    <col min="2326" max="2326" width="9" style="53" customWidth="1"/>
    <col min="2327" max="2332" width="9" style="53"/>
    <col min="2333" max="2333" width="26.375" style="53" customWidth="1"/>
    <col min="2334" max="2336" width="9" style="53"/>
    <col min="2337" max="2337" width="14.75" style="53" bestFit="1" customWidth="1"/>
    <col min="2338" max="2560" width="9" style="53"/>
    <col min="2561" max="2563" width="9" style="53" customWidth="1"/>
    <col min="2564" max="2564" width="10.375" style="53" customWidth="1"/>
    <col min="2565" max="2565" width="11.25" style="53" bestFit="1" customWidth="1"/>
    <col min="2566" max="2567" width="9" style="53"/>
    <col min="2568" max="2577" width="9" style="53" customWidth="1"/>
    <col min="2578" max="2578" width="9" style="53"/>
    <col min="2579" max="2579" width="9.375" style="53" bestFit="1" customWidth="1"/>
    <col min="2580" max="2580" width="9" style="53" customWidth="1"/>
    <col min="2581" max="2581" width="9" style="53"/>
    <col min="2582" max="2582" width="9" style="53" customWidth="1"/>
    <col min="2583" max="2588" width="9" style="53"/>
    <col min="2589" max="2589" width="26.375" style="53" customWidth="1"/>
    <col min="2590" max="2592" width="9" style="53"/>
    <col min="2593" max="2593" width="14.75" style="53" bestFit="1" customWidth="1"/>
    <col min="2594" max="2816" width="9" style="53"/>
    <col min="2817" max="2819" width="9" style="53" customWidth="1"/>
    <col min="2820" max="2820" width="10.375" style="53" customWidth="1"/>
    <col min="2821" max="2821" width="11.25" style="53" bestFit="1" customWidth="1"/>
    <col min="2822" max="2823" width="9" style="53"/>
    <col min="2824" max="2833" width="9" style="53" customWidth="1"/>
    <col min="2834" max="2834" width="9" style="53"/>
    <col min="2835" max="2835" width="9.375" style="53" bestFit="1" customWidth="1"/>
    <col min="2836" max="2836" width="9" style="53" customWidth="1"/>
    <col min="2837" max="2837" width="9" style="53"/>
    <col min="2838" max="2838" width="9" style="53" customWidth="1"/>
    <col min="2839" max="2844" width="9" style="53"/>
    <col min="2845" max="2845" width="26.375" style="53" customWidth="1"/>
    <col min="2846" max="2848" width="9" style="53"/>
    <col min="2849" max="2849" width="14.75" style="53" bestFit="1" customWidth="1"/>
    <col min="2850" max="3072" width="9" style="53"/>
    <col min="3073" max="3075" width="9" style="53" customWidth="1"/>
    <col min="3076" max="3076" width="10.375" style="53" customWidth="1"/>
    <col min="3077" max="3077" width="11.25" style="53" bestFit="1" customWidth="1"/>
    <col min="3078" max="3079" width="9" style="53"/>
    <col min="3080" max="3089" width="9" style="53" customWidth="1"/>
    <col min="3090" max="3090" width="9" style="53"/>
    <col min="3091" max="3091" width="9.375" style="53" bestFit="1" customWidth="1"/>
    <col min="3092" max="3092" width="9" style="53" customWidth="1"/>
    <col min="3093" max="3093" width="9" style="53"/>
    <col min="3094" max="3094" width="9" style="53" customWidth="1"/>
    <col min="3095" max="3100" width="9" style="53"/>
    <col min="3101" max="3101" width="26.375" style="53" customWidth="1"/>
    <col min="3102" max="3104" width="9" style="53"/>
    <col min="3105" max="3105" width="14.75" style="53" bestFit="1" customWidth="1"/>
    <col min="3106" max="3328" width="9" style="53"/>
    <col min="3329" max="3331" width="9" style="53" customWidth="1"/>
    <col min="3332" max="3332" width="10.375" style="53" customWidth="1"/>
    <col min="3333" max="3333" width="11.25" style="53" bestFit="1" customWidth="1"/>
    <col min="3334" max="3335" width="9" style="53"/>
    <col min="3336" max="3345" width="9" style="53" customWidth="1"/>
    <col min="3346" max="3346" width="9" style="53"/>
    <col min="3347" max="3347" width="9.375" style="53" bestFit="1" customWidth="1"/>
    <col min="3348" max="3348" width="9" style="53" customWidth="1"/>
    <col min="3349" max="3349" width="9" style="53"/>
    <col min="3350" max="3350" width="9" style="53" customWidth="1"/>
    <col min="3351" max="3356" width="9" style="53"/>
    <col min="3357" max="3357" width="26.375" style="53" customWidth="1"/>
    <col min="3358" max="3360" width="9" style="53"/>
    <col min="3361" max="3361" width="14.75" style="53" bestFit="1" customWidth="1"/>
    <col min="3362" max="3584" width="9" style="53"/>
    <col min="3585" max="3587" width="9" style="53" customWidth="1"/>
    <col min="3588" max="3588" width="10.375" style="53" customWidth="1"/>
    <col min="3589" max="3589" width="11.25" style="53" bestFit="1" customWidth="1"/>
    <col min="3590" max="3591" width="9" style="53"/>
    <col min="3592" max="3601" width="9" style="53" customWidth="1"/>
    <col min="3602" max="3602" width="9" style="53"/>
    <col min="3603" max="3603" width="9.375" style="53" bestFit="1" customWidth="1"/>
    <col min="3604" max="3604" width="9" style="53" customWidth="1"/>
    <col min="3605" max="3605" width="9" style="53"/>
    <col min="3606" max="3606" width="9" style="53" customWidth="1"/>
    <col min="3607" max="3612" width="9" style="53"/>
    <col min="3613" max="3613" width="26.375" style="53" customWidth="1"/>
    <col min="3614" max="3616" width="9" style="53"/>
    <col min="3617" max="3617" width="14.75" style="53" bestFit="1" customWidth="1"/>
    <col min="3618" max="3840" width="9" style="53"/>
    <col min="3841" max="3843" width="9" style="53" customWidth="1"/>
    <col min="3844" max="3844" width="10.375" style="53" customWidth="1"/>
    <col min="3845" max="3845" width="11.25" style="53" bestFit="1" customWidth="1"/>
    <col min="3846" max="3847" width="9" style="53"/>
    <col min="3848" max="3857" width="9" style="53" customWidth="1"/>
    <col min="3858" max="3858" width="9" style="53"/>
    <col min="3859" max="3859" width="9.375" style="53" bestFit="1" customWidth="1"/>
    <col min="3860" max="3860" width="9" style="53" customWidth="1"/>
    <col min="3861" max="3861" width="9" style="53"/>
    <col min="3862" max="3862" width="9" style="53" customWidth="1"/>
    <col min="3863" max="3868" width="9" style="53"/>
    <col min="3869" max="3869" width="26.375" style="53" customWidth="1"/>
    <col min="3870" max="3872" width="9" style="53"/>
    <col min="3873" max="3873" width="14.75" style="53" bestFit="1" customWidth="1"/>
    <col min="3874" max="4096" width="9" style="53"/>
    <col min="4097" max="4099" width="9" style="53" customWidth="1"/>
    <col min="4100" max="4100" width="10.375" style="53" customWidth="1"/>
    <col min="4101" max="4101" width="11.25" style="53" bestFit="1" customWidth="1"/>
    <col min="4102" max="4103" width="9" style="53"/>
    <col min="4104" max="4113" width="9" style="53" customWidth="1"/>
    <col min="4114" max="4114" width="9" style="53"/>
    <col min="4115" max="4115" width="9.375" style="53" bestFit="1" customWidth="1"/>
    <col min="4116" max="4116" width="9" style="53" customWidth="1"/>
    <col min="4117" max="4117" width="9" style="53"/>
    <col min="4118" max="4118" width="9" style="53" customWidth="1"/>
    <col min="4119" max="4124" width="9" style="53"/>
    <col min="4125" max="4125" width="26.375" style="53" customWidth="1"/>
    <col min="4126" max="4128" width="9" style="53"/>
    <col min="4129" max="4129" width="14.75" style="53" bestFit="1" customWidth="1"/>
    <col min="4130" max="4352" width="9" style="53"/>
    <col min="4353" max="4355" width="9" style="53" customWidth="1"/>
    <col min="4356" max="4356" width="10.375" style="53" customWidth="1"/>
    <col min="4357" max="4357" width="11.25" style="53" bestFit="1" customWidth="1"/>
    <col min="4358" max="4359" width="9" style="53"/>
    <col min="4360" max="4369" width="9" style="53" customWidth="1"/>
    <col min="4370" max="4370" width="9" style="53"/>
    <col min="4371" max="4371" width="9.375" style="53" bestFit="1" customWidth="1"/>
    <col min="4372" max="4372" width="9" style="53" customWidth="1"/>
    <col min="4373" max="4373" width="9" style="53"/>
    <col min="4374" max="4374" width="9" style="53" customWidth="1"/>
    <col min="4375" max="4380" width="9" style="53"/>
    <col min="4381" max="4381" width="26.375" style="53" customWidth="1"/>
    <col min="4382" max="4384" width="9" style="53"/>
    <col min="4385" max="4385" width="14.75" style="53" bestFit="1" customWidth="1"/>
    <col min="4386" max="4608" width="9" style="53"/>
    <col min="4609" max="4611" width="9" style="53" customWidth="1"/>
    <col min="4612" max="4612" width="10.375" style="53" customWidth="1"/>
    <col min="4613" max="4613" width="11.25" style="53" bestFit="1" customWidth="1"/>
    <col min="4614" max="4615" width="9" style="53"/>
    <col min="4616" max="4625" width="9" style="53" customWidth="1"/>
    <col min="4626" max="4626" width="9" style="53"/>
    <col min="4627" max="4627" width="9.375" style="53" bestFit="1" customWidth="1"/>
    <col min="4628" max="4628" width="9" style="53" customWidth="1"/>
    <col min="4629" max="4629" width="9" style="53"/>
    <col min="4630" max="4630" width="9" style="53" customWidth="1"/>
    <col min="4631" max="4636" width="9" style="53"/>
    <col min="4637" max="4637" width="26.375" style="53" customWidth="1"/>
    <col min="4638" max="4640" width="9" style="53"/>
    <col min="4641" max="4641" width="14.75" style="53" bestFit="1" customWidth="1"/>
    <col min="4642" max="4864" width="9" style="53"/>
    <col min="4865" max="4867" width="9" style="53" customWidth="1"/>
    <col min="4868" max="4868" width="10.375" style="53" customWidth="1"/>
    <col min="4869" max="4869" width="11.25" style="53" bestFit="1" customWidth="1"/>
    <col min="4870" max="4871" width="9" style="53"/>
    <col min="4872" max="4881" width="9" style="53" customWidth="1"/>
    <col min="4882" max="4882" width="9" style="53"/>
    <col min="4883" max="4883" width="9.375" style="53" bestFit="1" customWidth="1"/>
    <col min="4884" max="4884" width="9" style="53" customWidth="1"/>
    <col min="4885" max="4885" width="9" style="53"/>
    <col min="4886" max="4886" width="9" style="53" customWidth="1"/>
    <col min="4887" max="4892" width="9" style="53"/>
    <col min="4893" max="4893" width="26.375" style="53" customWidth="1"/>
    <col min="4894" max="4896" width="9" style="53"/>
    <col min="4897" max="4897" width="14.75" style="53" bestFit="1" customWidth="1"/>
    <col min="4898" max="5120" width="9" style="53"/>
    <col min="5121" max="5123" width="9" style="53" customWidth="1"/>
    <col min="5124" max="5124" width="10.375" style="53" customWidth="1"/>
    <col min="5125" max="5125" width="11.25" style="53" bestFit="1" customWidth="1"/>
    <col min="5126" max="5127" width="9" style="53"/>
    <col min="5128" max="5137" width="9" style="53" customWidth="1"/>
    <col min="5138" max="5138" width="9" style="53"/>
    <col min="5139" max="5139" width="9.375" style="53" bestFit="1" customWidth="1"/>
    <col min="5140" max="5140" width="9" style="53" customWidth="1"/>
    <col min="5141" max="5141" width="9" style="53"/>
    <col min="5142" max="5142" width="9" style="53" customWidth="1"/>
    <col min="5143" max="5148" width="9" style="53"/>
    <col min="5149" max="5149" width="26.375" style="53" customWidth="1"/>
    <col min="5150" max="5152" width="9" style="53"/>
    <col min="5153" max="5153" width="14.75" style="53" bestFit="1" customWidth="1"/>
    <col min="5154" max="5376" width="9" style="53"/>
    <col min="5377" max="5379" width="9" style="53" customWidth="1"/>
    <col min="5380" max="5380" width="10.375" style="53" customWidth="1"/>
    <col min="5381" max="5381" width="11.25" style="53" bestFit="1" customWidth="1"/>
    <col min="5382" max="5383" width="9" style="53"/>
    <col min="5384" max="5393" width="9" style="53" customWidth="1"/>
    <col min="5394" max="5394" width="9" style="53"/>
    <col min="5395" max="5395" width="9.375" style="53" bestFit="1" customWidth="1"/>
    <col min="5396" max="5396" width="9" style="53" customWidth="1"/>
    <col min="5397" max="5397" width="9" style="53"/>
    <col min="5398" max="5398" width="9" style="53" customWidth="1"/>
    <col min="5399" max="5404" width="9" style="53"/>
    <col min="5405" max="5405" width="26.375" style="53" customWidth="1"/>
    <col min="5406" max="5408" width="9" style="53"/>
    <col min="5409" max="5409" width="14.75" style="53" bestFit="1" customWidth="1"/>
    <col min="5410" max="5632" width="9" style="53"/>
    <col min="5633" max="5635" width="9" style="53" customWidth="1"/>
    <col min="5636" max="5636" width="10.375" style="53" customWidth="1"/>
    <col min="5637" max="5637" width="11.25" style="53" bestFit="1" customWidth="1"/>
    <col min="5638" max="5639" width="9" style="53"/>
    <col min="5640" max="5649" width="9" style="53" customWidth="1"/>
    <col min="5650" max="5650" width="9" style="53"/>
    <col min="5651" max="5651" width="9.375" style="53" bestFit="1" customWidth="1"/>
    <col min="5652" max="5652" width="9" style="53" customWidth="1"/>
    <col min="5653" max="5653" width="9" style="53"/>
    <col min="5654" max="5654" width="9" style="53" customWidth="1"/>
    <col min="5655" max="5660" width="9" style="53"/>
    <col min="5661" max="5661" width="26.375" style="53" customWidth="1"/>
    <col min="5662" max="5664" width="9" style="53"/>
    <col min="5665" max="5665" width="14.75" style="53" bestFit="1" customWidth="1"/>
    <col min="5666" max="5888" width="9" style="53"/>
    <col min="5889" max="5891" width="9" style="53" customWidth="1"/>
    <col min="5892" max="5892" width="10.375" style="53" customWidth="1"/>
    <col min="5893" max="5893" width="11.25" style="53" bestFit="1" customWidth="1"/>
    <col min="5894" max="5895" width="9" style="53"/>
    <col min="5896" max="5905" width="9" style="53" customWidth="1"/>
    <col min="5906" max="5906" width="9" style="53"/>
    <col min="5907" max="5907" width="9.375" style="53" bestFit="1" customWidth="1"/>
    <col min="5908" max="5908" width="9" style="53" customWidth="1"/>
    <col min="5909" max="5909" width="9" style="53"/>
    <col min="5910" max="5910" width="9" style="53" customWidth="1"/>
    <col min="5911" max="5916" width="9" style="53"/>
    <col min="5917" max="5917" width="26.375" style="53" customWidth="1"/>
    <col min="5918" max="5920" width="9" style="53"/>
    <col min="5921" max="5921" width="14.75" style="53" bestFit="1" customWidth="1"/>
    <col min="5922" max="6144" width="9" style="53"/>
    <col min="6145" max="6147" width="9" style="53" customWidth="1"/>
    <col min="6148" max="6148" width="10.375" style="53" customWidth="1"/>
    <col min="6149" max="6149" width="11.25" style="53" bestFit="1" customWidth="1"/>
    <col min="6150" max="6151" width="9" style="53"/>
    <col min="6152" max="6161" width="9" style="53" customWidth="1"/>
    <col min="6162" max="6162" width="9" style="53"/>
    <col min="6163" max="6163" width="9.375" style="53" bestFit="1" customWidth="1"/>
    <col min="6164" max="6164" width="9" style="53" customWidth="1"/>
    <col min="6165" max="6165" width="9" style="53"/>
    <col min="6166" max="6166" width="9" style="53" customWidth="1"/>
    <col min="6167" max="6172" width="9" style="53"/>
    <col min="6173" max="6173" width="26.375" style="53" customWidth="1"/>
    <col min="6174" max="6176" width="9" style="53"/>
    <col min="6177" max="6177" width="14.75" style="53" bestFit="1" customWidth="1"/>
    <col min="6178" max="6400" width="9" style="53"/>
    <col min="6401" max="6403" width="9" style="53" customWidth="1"/>
    <col min="6404" max="6404" width="10.375" style="53" customWidth="1"/>
    <col min="6405" max="6405" width="11.25" style="53" bestFit="1" customWidth="1"/>
    <col min="6406" max="6407" width="9" style="53"/>
    <col min="6408" max="6417" width="9" style="53" customWidth="1"/>
    <col min="6418" max="6418" width="9" style="53"/>
    <col min="6419" max="6419" width="9.375" style="53" bestFit="1" customWidth="1"/>
    <col min="6420" max="6420" width="9" style="53" customWidth="1"/>
    <col min="6421" max="6421" width="9" style="53"/>
    <col min="6422" max="6422" width="9" style="53" customWidth="1"/>
    <col min="6423" max="6428" width="9" style="53"/>
    <col min="6429" max="6429" width="26.375" style="53" customWidth="1"/>
    <col min="6430" max="6432" width="9" style="53"/>
    <col min="6433" max="6433" width="14.75" style="53" bestFit="1" customWidth="1"/>
    <col min="6434" max="6656" width="9" style="53"/>
    <col min="6657" max="6659" width="9" style="53" customWidth="1"/>
    <col min="6660" max="6660" width="10.375" style="53" customWidth="1"/>
    <col min="6661" max="6661" width="11.25" style="53" bestFit="1" customWidth="1"/>
    <col min="6662" max="6663" width="9" style="53"/>
    <col min="6664" max="6673" width="9" style="53" customWidth="1"/>
    <col min="6674" max="6674" width="9" style="53"/>
    <col min="6675" max="6675" width="9.375" style="53" bestFit="1" customWidth="1"/>
    <col min="6676" max="6676" width="9" style="53" customWidth="1"/>
    <col min="6677" max="6677" width="9" style="53"/>
    <col min="6678" max="6678" width="9" style="53" customWidth="1"/>
    <col min="6679" max="6684" width="9" style="53"/>
    <col min="6685" max="6685" width="26.375" style="53" customWidth="1"/>
    <col min="6686" max="6688" width="9" style="53"/>
    <col min="6689" max="6689" width="14.75" style="53" bestFit="1" customWidth="1"/>
    <col min="6690" max="6912" width="9" style="53"/>
    <col min="6913" max="6915" width="9" style="53" customWidth="1"/>
    <col min="6916" max="6916" width="10.375" style="53" customWidth="1"/>
    <col min="6917" max="6917" width="11.25" style="53" bestFit="1" customWidth="1"/>
    <col min="6918" max="6919" width="9" style="53"/>
    <col min="6920" max="6929" width="9" style="53" customWidth="1"/>
    <col min="6930" max="6930" width="9" style="53"/>
    <col min="6931" max="6931" width="9.375" style="53" bestFit="1" customWidth="1"/>
    <col min="6932" max="6932" width="9" style="53" customWidth="1"/>
    <col min="6933" max="6933" width="9" style="53"/>
    <col min="6934" max="6934" width="9" style="53" customWidth="1"/>
    <col min="6935" max="6940" width="9" style="53"/>
    <col min="6941" max="6941" width="26.375" style="53" customWidth="1"/>
    <col min="6942" max="6944" width="9" style="53"/>
    <col min="6945" max="6945" width="14.75" style="53" bestFit="1" customWidth="1"/>
    <col min="6946" max="7168" width="9" style="53"/>
    <col min="7169" max="7171" width="9" style="53" customWidth="1"/>
    <col min="7172" max="7172" width="10.375" style="53" customWidth="1"/>
    <col min="7173" max="7173" width="11.25" style="53" bestFit="1" customWidth="1"/>
    <col min="7174" max="7175" width="9" style="53"/>
    <col min="7176" max="7185" width="9" style="53" customWidth="1"/>
    <col min="7186" max="7186" width="9" style="53"/>
    <col min="7187" max="7187" width="9.375" style="53" bestFit="1" customWidth="1"/>
    <col min="7188" max="7188" width="9" style="53" customWidth="1"/>
    <col min="7189" max="7189" width="9" style="53"/>
    <col min="7190" max="7190" width="9" style="53" customWidth="1"/>
    <col min="7191" max="7196" width="9" style="53"/>
    <col min="7197" max="7197" width="26.375" style="53" customWidth="1"/>
    <col min="7198" max="7200" width="9" style="53"/>
    <col min="7201" max="7201" width="14.75" style="53" bestFit="1" customWidth="1"/>
    <col min="7202" max="7424" width="9" style="53"/>
    <col min="7425" max="7427" width="9" style="53" customWidth="1"/>
    <col min="7428" max="7428" width="10.375" style="53" customWidth="1"/>
    <col min="7429" max="7429" width="11.25" style="53" bestFit="1" customWidth="1"/>
    <col min="7430" max="7431" width="9" style="53"/>
    <col min="7432" max="7441" width="9" style="53" customWidth="1"/>
    <col min="7442" max="7442" width="9" style="53"/>
    <col min="7443" max="7443" width="9.375" style="53" bestFit="1" customWidth="1"/>
    <col min="7444" max="7444" width="9" style="53" customWidth="1"/>
    <col min="7445" max="7445" width="9" style="53"/>
    <col min="7446" max="7446" width="9" style="53" customWidth="1"/>
    <col min="7447" max="7452" width="9" style="53"/>
    <col min="7453" max="7453" width="26.375" style="53" customWidth="1"/>
    <col min="7454" max="7456" width="9" style="53"/>
    <col min="7457" max="7457" width="14.75" style="53" bestFit="1" customWidth="1"/>
    <col min="7458" max="7680" width="9" style="53"/>
    <col min="7681" max="7683" width="9" style="53" customWidth="1"/>
    <col min="7684" max="7684" width="10.375" style="53" customWidth="1"/>
    <col min="7685" max="7685" width="11.25" style="53" bestFit="1" customWidth="1"/>
    <col min="7686" max="7687" width="9" style="53"/>
    <col min="7688" max="7697" width="9" style="53" customWidth="1"/>
    <col min="7698" max="7698" width="9" style="53"/>
    <col min="7699" max="7699" width="9.375" style="53" bestFit="1" customWidth="1"/>
    <col min="7700" max="7700" width="9" style="53" customWidth="1"/>
    <col min="7701" max="7701" width="9" style="53"/>
    <col min="7702" max="7702" width="9" style="53" customWidth="1"/>
    <col min="7703" max="7708" width="9" style="53"/>
    <col min="7709" max="7709" width="26.375" style="53" customWidth="1"/>
    <col min="7710" max="7712" width="9" style="53"/>
    <col min="7713" max="7713" width="14.75" style="53" bestFit="1" customWidth="1"/>
    <col min="7714" max="7936" width="9" style="53"/>
    <col min="7937" max="7939" width="9" style="53" customWidth="1"/>
    <col min="7940" max="7940" width="10.375" style="53" customWidth="1"/>
    <col min="7941" max="7941" width="11.25" style="53" bestFit="1" customWidth="1"/>
    <col min="7942" max="7943" width="9" style="53"/>
    <col min="7944" max="7953" width="9" style="53" customWidth="1"/>
    <col min="7954" max="7954" width="9" style="53"/>
    <col min="7955" max="7955" width="9.375" style="53" bestFit="1" customWidth="1"/>
    <col min="7956" max="7956" width="9" style="53" customWidth="1"/>
    <col min="7957" max="7957" width="9" style="53"/>
    <col min="7958" max="7958" width="9" style="53" customWidth="1"/>
    <col min="7959" max="7964" width="9" style="53"/>
    <col min="7965" max="7965" width="26.375" style="53" customWidth="1"/>
    <col min="7966" max="7968" width="9" style="53"/>
    <col min="7969" max="7969" width="14.75" style="53" bestFit="1" customWidth="1"/>
    <col min="7970" max="8192" width="9" style="53"/>
    <col min="8193" max="8195" width="9" style="53" customWidth="1"/>
    <col min="8196" max="8196" width="10.375" style="53" customWidth="1"/>
    <col min="8197" max="8197" width="11.25" style="53" bestFit="1" customWidth="1"/>
    <col min="8198" max="8199" width="9" style="53"/>
    <col min="8200" max="8209" width="9" style="53" customWidth="1"/>
    <col min="8210" max="8210" width="9" style="53"/>
    <col min="8211" max="8211" width="9.375" style="53" bestFit="1" customWidth="1"/>
    <col min="8212" max="8212" width="9" style="53" customWidth="1"/>
    <col min="8213" max="8213" width="9" style="53"/>
    <col min="8214" max="8214" width="9" style="53" customWidth="1"/>
    <col min="8215" max="8220" width="9" style="53"/>
    <col min="8221" max="8221" width="26.375" style="53" customWidth="1"/>
    <col min="8222" max="8224" width="9" style="53"/>
    <col min="8225" max="8225" width="14.75" style="53" bestFit="1" customWidth="1"/>
    <col min="8226" max="8448" width="9" style="53"/>
    <col min="8449" max="8451" width="9" style="53" customWidth="1"/>
    <col min="8452" max="8452" width="10.375" style="53" customWidth="1"/>
    <col min="8453" max="8453" width="11.25" style="53" bestFit="1" customWidth="1"/>
    <col min="8454" max="8455" width="9" style="53"/>
    <col min="8456" max="8465" width="9" style="53" customWidth="1"/>
    <col min="8466" max="8466" width="9" style="53"/>
    <col min="8467" max="8467" width="9.375" style="53" bestFit="1" customWidth="1"/>
    <col min="8468" max="8468" width="9" style="53" customWidth="1"/>
    <col min="8469" max="8469" width="9" style="53"/>
    <col min="8470" max="8470" width="9" style="53" customWidth="1"/>
    <col min="8471" max="8476" width="9" style="53"/>
    <col min="8477" max="8477" width="26.375" style="53" customWidth="1"/>
    <col min="8478" max="8480" width="9" style="53"/>
    <col min="8481" max="8481" width="14.75" style="53" bestFit="1" customWidth="1"/>
    <col min="8482" max="8704" width="9" style="53"/>
    <col min="8705" max="8707" width="9" style="53" customWidth="1"/>
    <col min="8708" max="8708" width="10.375" style="53" customWidth="1"/>
    <col min="8709" max="8709" width="11.25" style="53" bestFit="1" customWidth="1"/>
    <col min="8710" max="8711" width="9" style="53"/>
    <col min="8712" max="8721" width="9" style="53" customWidth="1"/>
    <col min="8722" max="8722" width="9" style="53"/>
    <col min="8723" max="8723" width="9.375" style="53" bestFit="1" customWidth="1"/>
    <col min="8724" max="8724" width="9" style="53" customWidth="1"/>
    <col min="8725" max="8725" width="9" style="53"/>
    <col min="8726" max="8726" width="9" style="53" customWidth="1"/>
    <col min="8727" max="8732" width="9" style="53"/>
    <col min="8733" max="8733" width="26.375" style="53" customWidth="1"/>
    <col min="8734" max="8736" width="9" style="53"/>
    <col min="8737" max="8737" width="14.75" style="53" bestFit="1" customWidth="1"/>
    <col min="8738" max="8960" width="9" style="53"/>
    <col min="8961" max="8963" width="9" style="53" customWidth="1"/>
    <col min="8964" max="8964" width="10.375" style="53" customWidth="1"/>
    <col min="8965" max="8965" width="11.25" style="53" bestFit="1" customWidth="1"/>
    <col min="8966" max="8967" width="9" style="53"/>
    <col min="8968" max="8977" width="9" style="53" customWidth="1"/>
    <col min="8978" max="8978" width="9" style="53"/>
    <col min="8979" max="8979" width="9.375" style="53" bestFit="1" customWidth="1"/>
    <col min="8980" max="8980" width="9" style="53" customWidth="1"/>
    <col min="8981" max="8981" width="9" style="53"/>
    <col min="8982" max="8982" width="9" style="53" customWidth="1"/>
    <col min="8983" max="8988" width="9" style="53"/>
    <col min="8989" max="8989" width="26.375" style="53" customWidth="1"/>
    <col min="8990" max="8992" width="9" style="53"/>
    <col min="8993" max="8993" width="14.75" style="53" bestFit="1" customWidth="1"/>
    <col min="8994" max="9216" width="9" style="53"/>
    <col min="9217" max="9219" width="9" style="53" customWidth="1"/>
    <col min="9220" max="9220" width="10.375" style="53" customWidth="1"/>
    <col min="9221" max="9221" width="11.25" style="53" bestFit="1" customWidth="1"/>
    <col min="9222" max="9223" width="9" style="53"/>
    <col min="9224" max="9233" width="9" style="53" customWidth="1"/>
    <col min="9234" max="9234" width="9" style="53"/>
    <col min="9235" max="9235" width="9.375" style="53" bestFit="1" customWidth="1"/>
    <col min="9236" max="9236" width="9" style="53" customWidth="1"/>
    <col min="9237" max="9237" width="9" style="53"/>
    <col min="9238" max="9238" width="9" style="53" customWidth="1"/>
    <col min="9239" max="9244" width="9" style="53"/>
    <col min="9245" max="9245" width="26.375" style="53" customWidth="1"/>
    <col min="9246" max="9248" width="9" style="53"/>
    <col min="9249" max="9249" width="14.75" style="53" bestFit="1" customWidth="1"/>
    <col min="9250" max="9472" width="9" style="53"/>
    <col min="9473" max="9475" width="9" style="53" customWidth="1"/>
    <col min="9476" max="9476" width="10.375" style="53" customWidth="1"/>
    <col min="9477" max="9477" width="11.25" style="53" bestFit="1" customWidth="1"/>
    <col min="9478" max="9479" width="9" style="53"/>
    <col min="9480" max="9489" width="9" style="53" customWidth="1"/>
    <col min="9490" max="9490" width="9" style="53"/>
    <col min="9491" max="9491" width="9.375" style="53" bestFit="1" customWidth="1"/>
    <col min="9492" max="9492" width="9" style="53" customWidth="1"/>
    <col min="9493" max="9493" width="9" style="53"/>
    <col min="9494" max="9494" width="9" style="53" customWidth="1"/>
    <col min="9495" max="9500" width="9" style="53"/>
    <col min="9501" max="9501" width="26.375" style="53" customWidth="1"/>
    <col min="9502" max="9504" width="9" style="53"/>
    <col min="9505" max="9505" width="14.75" style="53" bestFit="1" customWidth="1"/>
    <col min="9506" max="9728" width="9" style="53"/>
    <col min="9729" max="9731" width="9" style="53" customWidth="1"/>
    <col min="9732" max="9732" width="10.375" style="53" customWidth="1"/>
    <col min="9733" max="9733" width="11.25" style="53" bestFit="1" customWidth="1"/>
    <col min="9734" max="9735" width="9" style="53"/>
    <col min="9736" max="9745" width="9" style="53" customWidth="1"/>
    <col min="9746" max="9746" width="9" style="53"/>
    <col min="9747" max="9747" width="9.375" style="53" bestFit="1" customWidth="1"/>
    <col min="9748" max="9748" width="9" style="53" customWidth="1"/>
    <col min="9749" max="9749" width="9" style="53"/>
    <col min="9750" max="9750" width="9" style="53" customWidth="1"/>
    <col min="9751" max="9756" width="9" style="53"/>
    <col min="9757" max="9757" width="26.375" style="53" customWidth="1"/>
    <col min="9758" max="9760" width="9" style="53"/>
    <col min="9761" max="9761" width="14.75" style="53" bestFit="1" customWidth="1"/>
    <col min="9762" max="9984" width="9" style="53"/>
    <col min="9985" max="9987" width="9" style="53" customWidth="1"/>
    <col min="9988" max="9988" width="10.375" style="53" customWidth="1"/>
    <col min="9989" max="9989" width="11.25" style="53" bestFit="1" customWidth="1"/>
    <col min="9990" max="9991" width="9" style="53"/>
    <col min="9992" max="10001" width="9" style="53" customWidth="1"/>
    <col min="10002" max="10002" width="9" style="53"/>
    <col min="10003" max="10003" width="9.375" style="53" bestFit="1" customWidth="1"/>
    <col min="10004" max="10004" width="9" style="53" customWidth="1"/>
    <col min="10005" max="10005" width="9" style="53"/>
    <col min="10006" max="10006" width="9" style="53" customWidth="1"/>
    <col min="10007" max="10012" width="9" style="53"/>
    <col min="10013" max="10013" width="26.375" style="53" customWidth="1"/>
    <col min="10014" max="10016" width="9" style="53"/>
    <col min="10017" max="10017" width="14.75" style="53" bestFit="1" customWidth="1"/>
    <col min="10018" max="10240" width="9" style="53"/>
    <col min="10241" max="10243" width="9" style="53" customWidth="1"/>
    <col min="10244" max="10244" width="10.375" style="53" customWidth="1"/>
    <col min="10245" max="10245" width="11.25" style="53" bestFit="1" customWidth="1"/>
    <col min="10246" max="10247" width="9" style="53"/>
    <col min="10248" max="10257" width="9" style="53" customWidth="1"/>
    <col min="10258" max="10258" width="9" style="53"/>
    <col min="10259" max="10259" width="9.375" style="53" bestFit="1" customWidth="1"/>
    <col min="10260" max="10260" width="9" style="53" customWidth="1"/>
    <col min="10261" max="10261" width="9" style="53"/>
    <col min="10262" max="10262" width="9" style="53" customWidth="1"/>
    <col min="10263" max="10268" width="9" style="53"/>
    <col min="10269" max="10269" width="26.375" style="53" customWidth="1"/>
    <col min="10270" max="10272" width="9" style="53"/>
    <col min="10273" max="10273" width="14.75" style="53" bestFit="1" customWidth="1"/>
    <col min="10274" max="10496" width="9" style="53"/>
    <col min="10497" max="10499" width="9" style="53" customWidth="1"/>
    <col min="10500" max="10500" width="10.375" style="53" customWidth="1"/>
    <col min="10501" max="10501" width="11.25" style="53" bestFit="1" customWidth="1"/>
    <col min="10502" max="10503" width="9" style="53"/>
    <col min="10504" max="10513" width="9" style="53" customWidth="1"/>
    <col min="10514" max="10514" width="9" style="53"/>
    <col min="10515" max="10515" width="9.375" style="53" bestFit="1" customWidth="1"/>
    <col min="10516" max="10516" width="9" style="53" customWidth="1"/>
    <col min="10517" max="10517" width="9" style="53"/>
    <col min="10518" max="10518" width="9" style="53" customWidth="1"/>
    <col min="10519" max="10524" width="9" style="53"/>
    <col min="10525" max="10525" width="26.375" style="53" customWidth="1"/>
    <col min="10526" max="10528" width="9" style="53"/>
    <col min="10529" max="10529" width="14.75" style="53" bestFit="1" customWidth="1"/>
    <col min="10530" max="10752" width="9" style="53"/>
    <col min="10753" max="10755" width="9" style="53" customWidth="1"/>
    <col min="10756" max="10756" width="10.375" style="53" customWidth="1"/>
    <col min="10757" max="10757" width="11.25" style="53" bestFit="1" customWidth="1"/>
    <col min="10758" max="10759" width="9" style="53"/>
    <col min="10760" max="10769" width="9" style="53" customWidth="1"/>
    <col min="10770" max="10770" width="9" style="53"/>
    <col min="10771" max="10771" width="9.375" style="53" bestFit="1" customWidth="1"/>
    <col min="10772" max="10772" width="9" style="53" customWidth="1"/>
    <col min="10773" max="10773" width="9" style="53"/>
    <col min="10774" max="10774" width="9" style="53" customWidth="1"/>
    <col min="10775" max="10780" width="9" style="53"/>
    <col min="10781" max="10781" width="26.375" style="53" customWidth="1"/>
    <col min="10782" max="10784" width="9" style="53"/>
    <col min="10785" max="10785" width="14.75" style="53" bestFit="1" customWidth="1"/>
    <col min="10786" max="11008" width="9" style="53"/>
    <col min="11009" max="11011" width="9" style="53" customWidth="1"/>
    <col min="11012" max="11012" width="10.375" style="53" customWidth="1"/>
    <col min="11013" max="11013" width="11.25" style="53" bestFit="1" customWidth="1"/>
    <col min="11014" max="11015" width="9" style="53"/>
    <col min="11016" max="11025" width="9" style="53" customWidth="1"/>
    <col min="11026" max="11026" width="9" style="53"/>
    <col min="11027" max="11027" width="9.375" style="53" bestFit="1" customWidth="1"/>
    <col min="11028" max="11028" width="9" style="53" customWidth="1"/>
    <col min="11029" max="11029" width="9" style="53"/>
    <col min="11030" max="11030" width="9" style="53" customWidth="1"/>
    <col min="11031" max="11036" width="9" style="53"/>
    <col min="11037" max="11037" width="26.375" style="53" customWidth="1"/>
    <col min="11038" max="11040" width="9" style="53"/>
    <col min="11041" max="11041" width="14.75" style="53" bestFit="1" customWidth="1"/>
    <col min="11042" max="11264" width="9" style="53"/>
    <col min="11265" max="11267" width="9" style="53" customWidth="1"/>
    <col min="11268" max="11268" width="10.375" style="53" customWidth="1"/>
    <col min="11269" max="11269" width="11.25" style="53" bestFit="1" customWidth="1"/>
    <col min="11270" max="11271" width="9" style="53"/>
    <col min="11272" max="11281" width="9" style="53" customWidth="1"/>
    <col min="11282" max="11282" width="9" style="53"/>
    <col min="11283" max="11283" width="9.375" style="53" bestFit="1" customWidth="1"/>
    <col min="11284" max="11284" width="9" style="53" customWidth="1"/>
    <col min="11285" max="11285" width="9" style="53"/>
    <col min="11286" max="11286" width="9" style="53" customWidth="1"/>
    <col min="11287" max="11292" width="9" style="53"/>
    <col min="11293" max="11293" width="26.375" style="53" customWidth="1"/>
    <col min="11294" max="11296" width="9" style="53"/>
    <col min="11297" max="11297" width="14.75" style="53" bestFit="1" customWidth="1"/>
    <col min="11298" max="11520" width="9" style="53"/>
    <col min="11521" max="11523" width="9" style="53" customWidth="1"/>
    <col min="11524" max="11524" width="10.375" style="53" customWidth="1"/>
    <col min="11525" max="11525" width="11.25" style="53" bestFit="1" customWidth="1"/>
    <col min="11526" max="11527" width="9" style="53"/>
    <col min="11528" max="11537" width="9" style="53" customWidth="1"/>
    <col min="11538" max="11538" width="9" style="53"/>
    <col min="11539" max="11539" width="9.375" style="53" bestFit="1" customWidth="1"/>
    <col min="11540" max="11540" width="9" style="53" customWidth="1"/>
    <col min="11541" max="11541" width="9" style="53"/>
    <col min="11542" max="11542" width="9" style="53" customWidth="1"/>
    <col min="11543" max="11548" width="9" style="53"/>
    <col min="11549" max="11549" width="26.375" style="53" customWidth="1"/>
    <col min="11550" max="11552" width="9" style="53"/>
    <col min="11553" max="11553" width="14.75" style="53" bestFit="1" customWidth="1"/>
    <col min="11554" max="11776" width="9" style="53"/>
    <col min="11777" max="11779" width="9" style="53" customWidth="1"/>
    <col min="11780" max="11780" width="10.375" style="53" customWidth="1"/>
    <col min="11781" max="11781" width="11.25" style="53" bestFit="1" customWidth="1"/>
    <col min="11782" max="11783" width="9" style="53"/>
    <col min="11784" max="11793" width="9" style="53" customWidth="1"/>
    <col min="11794" max="11794" width="9" style="53"/>
    <col min="11795" max="11795" width="9.375" style="53" bestFit="1" customWidth="1"/>
    <col min="11796" max="11796" width="9" style="53" customWidth="1"/>
    <col min="11797" max="11797" width="9" style="53"/>
    <col min="11798" max="11798" width="9" style="53" customWidth="1"/>
    <col min="11799" max="11804" width="9" style="53"/>
    <col min="11805" max="11805" width="26.375" style="53" customWidth="1"/>
    <col min="11806" max="11808" width="9" style="53"/>
    <col min="11809" max="11809" width="14.75" style="53" bestFit="1" customWidth="1"/>
    <col min="11810" max="12032" width="9" style="53"/>
    <col min="12033" max="12035" width="9" style="53" customWidth="1"/>
    <col min="12036" max="12036" width="10.375" style="53" customWidth="1"/>
    <col min="12037" max="12037" width="11.25" style="53" bestFit="1" customWidth="1"/>
    <col min="12038" max="12039" width="9" style="53"/>
    <col min="12040" max="12049" width="9" style="53" customWidth="1"/>
    <col min="12050" max="12050" width="9" style="53"/>
    <col min="12051" max="12051" width="9.375" style="53" bestFit="1" customWidth="1"/>
    <col min="12052" max="12052" width="9" style="53" customWidth="1"/>
    <col min="12053" max="12053" width="9" style="53"/>
    <col min="12054" max="12054" width="9" style="53" customWidth="1"/>
    <col min="12055" max="12060" width="9" style="53"/>
    <col min="12061" max="12061" width="26.375" style="53" customWidth="1"/>
    <col min="12062" max="12064" width="9" style="53"/>
    <col min="12065" max="12065" width="14.75" style="53" bestFit="1" customWidth="1"/>
    <col min="12066" max="12288" width="9" style="53"/>
    <col min="12289" max="12291" width="9" style="53" customWidth="1"/>
    <col min="12292" max="12292" width="10.375" style="53" customWidth="1"/>
    <col min="12293" max="12293" width="11.25" style="53" bestFit="1" customWidth="1"/>
    <col min="12294" max="12295" width="9" style="53"/>
    <col min="12296" max="12305" width="9" style="53" customWidth="1"/>
    <col min="12306" max="12306" width="9" style="53"/>
    <col min="12307" max="12307" width="9.375" style="53" bestFit="1" customWidth="1"/>
    <col min="12308" max="12308" width="9" style="53" customWidth="1"/>
    <col min="12309" max="12309" width="9" style="53"/>
    <col min="12310" max="12310" width="9" style="53" customWidth="1"/>
    <col min="12311" max="12316" width="9" style="53"/>
    <col min="12317" max="12317" width="26.375" style="53" customWidth="1"/>
    <col min="12318" max="12320" width="9" style="53"/>
    <col min="12321" max="12321" width="14.75" style="53" bestFit="1" customWidth="1"/>
    <col min="12322" max="12544" width="9" style="53"/>
    <col min="12545" max="12547" width="9" style="53" customWidth="1"/>
    <col min="12548" max="12548" width="10.375" style="53" customWidth="1"/>
    <col min="12549" max="12549" width="11.25" style="53" bestFit="1" customWidth="1"/>
    <col min="12550" max="12551" width="9" style="53"/>
    <col min="12552" max="12561" width="9" style="53" customWidth="1"/>
    <col min="12562" max="12562" width="9" style="53"/>
    <col min="12563" max="12563" width="9.375" style="53" bestFit="1" customWidth="1"/>
    <col min="12564" max="12564" width="9" style="53" customWidth="1"/>
    <col min="12565" max="12565" width="9" style="53"/>
    <col min="12566" max="12566" width="9" style="53" customWidth="1"/>
    <col min="12567" max="12572" width="9" style="53"/>
    <col min="12573" max="12573" width="26.375" style="53" customWidth="1"/>
    <col min="12574" max="12576" width="9" style="53"/>
    <col min="12577" max="12577" width="14.75" style="53" bestFit="1" customWidth="1"/>
    <col min="12578" max="12800" width="9" style="53"/>
    <col min="12801" max="12803" width="9" style="53" customWidth="1"/>
    <col min="12804" max="12804" width="10.375" style="53" customWidth="1"/>
    <col min="12805" max="12805" width="11.25" style="53" bestFit="1" customWidth="1"/>
    <col min="12806" max="12807" width="9" style="53"/>
    <col min="12808" max="12817" width="9" style="53" customWidth="1"/>
    <col min="12818" max="12818" width="9" style="53"/>
    <col min="12819" max="12819" width="9.375" style="53" bestFit="1" customWidth="1"/>
    <col min="12820" max="12820" width="9" style="53" customWidth="1"/>
    <col min="12821" max="12821" width="9" style="53"/>
    <col min="12822" max="12822" width="9" style="53" customWidth="1"/>
    <col min="12823" max="12828" width="9" style="53"/>
    <col min="12829" max="12829" width="26.375" style="53" customWidth="1"/>
    <col min="12830" max="12832" width="9" style="53"/>
    <col min="12833" max="12833" width="14.75" style="53" bestFit="1" customWidth="1"/>
    <col min="12834" max="13056" width="9" style="53"/>
    <col min="13057" max="13059" width="9" style="53" customWidth="1"/>
    <col min="13060" max="13060" width="10.375" style="53" customWidth="1"/>
    <col min="13061" max="13061" width="11.25" style="53" bestFit="1" customWidth="1"/>
    <col min="13062" max="13063" width="9" style="53"/>
    <col min="13064" max="13073" width="9" style="53" customWidth="1"/>
    <col min="13074" max="13074" width="9" style="53"/>
    <col min="13075" max="13075" width="9.375" style="53" bestFit="1" customWidth="1"/>
    <col min="13076" max="13076" width="9" style="53" customWidth="1"/>
    <col min="13077" max="13077" width="9" style="53"/>
    <col min="13078" max="13078" width="9" style="53" customWidth="1"/>
    <col min="13079" max="13084" width="9" style="53"/>
    <col min="13085" max="13085" width="26.375" style="53" customWidth="1"/>
    <col min="13086" max="13088" width="9" style="53"/>
    <col min="13089" max="13089" width="14.75" style="53" bestFit="1" customWidth="1"/>
    <col min="13090" max="13312" width="9" style="53"/>
    <col min="13313" max="13315" width="9" style="53" customWidth="1"/>
    <col min="13316" max="13316" width="10.375" style="53" customWidth="1"/>
    <col min="13317" max="13317" width="11.25" style="53" bestFit="1" customWidth="1"/>
    <col min="13318" max="13319" width="9" style="53"/>
    <col min="13320" max="13329" width="9" style="53" customWidth="1"/>
    <col min="13330" max="13330" width="9" style="53"/>
    <col min="13331" max="13331" width="9.375" style="53" bestFit="1" customWidth="1"/>
    <col min="13332" max="13332" width="9" style="53" customWidth="1"/>
    <col min="13333" max="13333" width="9" style="53"/>
    <col min="13334" max="13334" width="9" style="53" customWidth="1"/>
    <col min="13335" max="13340" width="9" style="53"/>
    <col min="13341" max="13341" width="26.375" style="53" customWidth="1"/>
    <col min="13342" max="13344" width="9" style="53"/>
    <col min="13345" max="13345" width="14.75" style="53" bestFit="1" customWidth="1"/>
    <col min="13346" max="13568" width="9" style="53"/>
    <col min="13569" max="13571" width="9" style="53" customWidth="1"/>
    <col min="13572" max="13572" width="10.375" style="53" customWidth="1"/>
    <col min="13573" max="13573" width="11.25" style="53" bestFit="1" customWidth="1"/>
    <col min="13574" max="13575" width="9" style="53"/>
    <col min="13576" max="13585" width="9" style="53" customWidth="1"/>
    <col min="13586" max="13586" width="9" style="53"/>
    <col min="13587" max="13587" width="9.375" style="53" bestFit="1" customWidth="1"/>
    <col min="13588" max="13588" width="9" style="53" customWidth="1"/>
    <col min="13589" max="13589" width="9" style="53"/>
    <col min="13590" max="13590" width="9" style="53" customWidth="1"/>
    <col min="13591" max="13596" width="9" style="53"/>
    <col min="13597" max="13597" width="26.375" style="53" customWidth="1"/>
    <col min="13598" max="13600" width="9" style="53"/>
    <col min="13601" max="13601" width="14.75" style="53" bestFit="1" customWidth="1"/>
    <col min="13602" max="13824" width="9" style="53"/>
    <col min="13825" max="13827" width="9" style="53" customWidth="1"/>
    <col min="13828" max="13828" width="10.375" style="53" customWidth="1"/>
    <col min="13829" max="13829" width="11.25" style="53" bestFit="1" customWidth="1"/>
    <col min="13830" max="13831" width="9" style="53"/>
    <col min="13832" max="13841" width="9" style="53" customWidth="1"/>
    <col min="13842" max="13842" width="9" style="53"/>
    <col min="13843" max="13843" width="9.375" style="53" bestFit="1" customWidth="1"/>
    <col min="13844" max="13844" width="9" style="53" customWidth="1"/>
    <col min="13845" max="13845" width="9" style="53"/>
    <col min="13846" max="13846" width="9" style="53" customWidth="1"/>
    <col min="13847" max="13852" width="9" style="53"/>
    <col min="13853" max="13853" width="26.375" style="53" customWidth="1"/>
    <col min="13854" max="13856" width="9" style="53"/>
    <col min="13857" max="13857" width="14.75" style="53" bestFit="1" customWidth="1"/>
    <col min="13858" max="14080" width="9" style="53"/>
    <col min="14081" max="14083" width="9" style="53" customWidth="1"/>
    <col min="14084" max="14084" width="10.375" style="53" customWidth="1"/>
    <col min="14085" max="14085" width="11.25" style="53" bestFit="1" customWidth="1"/>
    <col min="14086" max="14087" width="9" style="53"/>
    <col min="14088" max="14097" width="9" style="53" customWidth="1"/>
    <col min="14098" max="14098" width="9" style="53"/>
    <col min="14099" max="14099" width="9.375" style="53" bestFit="1" customWidth="1"/>
    <col min="14100" max="14100" width="9" style="53" customWidth="1"/>
    <col min="14101" max="14101" width="9" style="53"/>
    <col min="14102" max="14102" width="9" style="53" customWidth="1"/>
    <col min="14103" max="14108" width="9" style="53"/>
    <col min="14109" max="14109" width="26.375" style="53" customWidth="1"/>
    <col min="14110" max="14112" width="9" style="53"/>
    <col min="14113" max="14113" width="14.75" style="53" bestFit="1" customWidth="1"/>
    <col min="14114" max="14336" width="9" style="53"/>
    <col min="14337" max="14339" width="9" style="53" customWidth="1"/>
    <col min="14340" max="14340" width="10.375" style="53" customWidth="1"/>
    <col min="14341" max="14341" width="11.25" style="53" bestFit="1" customWidth="1"/>
    <col min="14342" max="14343" width="9" style="53"/>
    <col min="14344" max="14353" width="9" style="53" customWidth="1"/>
    <col min="14354" max="14354" width="9" style="53"/>
    <col min="14355" max="14355" width="9.375" style="53" bestFit="1" customWidth="1"/>
    <col min="14356" max="14356" width="9" style="53" customWidth="1"/>
    <col min="14357" max="14357" width="9" style="53"/>
    <col min="14358" max="14358" width="9" style="53" customWidth="1"/>
    <col min="14359" max="14364" width="9" style="53"/>
    <col min="14365" max="14365" width="26.375" style="53" customWidth="1"/>
    <col min="14366" max="14368" width="9" style="53"/>
    <col min="14369" max="14369" width="14.75" style="53" bestFit="1" customWidth="1"/>
    <col min="14370" max="14592" width="9" style="53"/>
    <col min="14593" max="14595" width="9" style="53" customWidth="1"/>
    <col min="14596" max="14596" width="10.375" style="53" customWidth="1"/>
    <col min="14597" max="14597" width="11.25" style="53" bestFit="1" customWidth="1"/>
    <col min="14598" max="14599" width="9" style="53"/>
    <col min="14600" max="14609" width="9" style="53" customWidth="1"/>
    <col min="14610" max="14610" width="9" style="53"/>
    <col min="14611" max="14611" width="9.375" style="53" bestFit="1" customWidth="1"/>
    <col min="14612" max="14612" width="9" style="53" customWidth="1"/>
    <col min="14613" max="14613" width="9" style="53"/>
    <col min="14614" max="14614" width="9" style="53" customWidth="1"/>
    <col min="14615" max="14620" width="9" style="53"/>
    <col min="14621" max="14621" width="26.375" style="53" customWidth="1"/>
    <col min="14622" max="14624" width="9" style="53"/>
    <col min="14625" max="14625" width="14.75" style="53" bestFit="1" customWidth="1"/>
    <col min="14626" max="14848" width="9" style="53"/>
    <col min="14849" max="14851" width="9" style="53" customWidth="1"/>
    <col min="14852" max="14852" width="10.375" style="53" customWidth="1"/>
    <col min="14853" max="14853" width="11.25" style="53" bestFit="1" customWidth="1"/>
    <col min="14854" max="14855" width="9" style="53"/>
    <col min="14856" max="14865" width="9" style="53" customWidth="1"/>
    <col min="14866" max="14866" width="9" style="53"/>
    <col min="14867" max="14867" width="9.375" style="53" bestFit="1" customWidth="1"/>
    <col min="14868" max="14868" width="9" style="53" customWidth="1"/>
    <col min="14869" max="14869" width="9" style="53"/>
    <col min="14870" max="14870" width="9" style="53" customWidth="1"/>
    <col min="14871" max="14876" width="9" style="53"/>
    <col min="14877" max="14877" width="26.375" style="53" customWidth="1"/>
    <col min="14878" max="14880" width="9" style="53"/>
    <col min="14881" max="14881" width="14.75" style="53" bestFit="1" customWidth="1"/>
    <col min="14882" max="15104" width="9" style="53"/>
    <col min="15105" max="15107" width="9" style="53" customWidth="1"/>
    <col min="15108" max="15108" width="10.375" style="53" customWidth="1"/>
    <col min="15109" max="15109" width="11.25" style="53" bestFit="1" customWidth="1"/>
    <col min="15110" max="15111" width="9" style="53"/>
    <col min="15112" max="15121" width="9" style="53" customWidth="1"/>
    <col min="15122" max="15122" width="9" style="53"/>
    <col min="15123" max="15123" width="9.375" style="53" bestFit="1" customWidth="1"/>
    <col min="15124" max="15124" width="9" style="53" customWidth="1"/>
    <col min="15125" max="15125" width="9" style="53"/>
    <col min="15126" max="15126" width="9" style="53" customWidth="1"/>
    <col min="15127" max="15132" width="9" style="53"/>
    <col min="15133" max="15133" width="26.375" style="53" customWidth="1"/>
    <col min="15134" max="15136" width="9" style="53"/>
    <col min="15137" max="15137" width="14.75" style="53" bestFit="1" customWidth="1"/>
    <col min="15138" max="15360" width="9" style="53"/>
    <col min="15361" max="15363" width="9" style="53" customWidth="1"/>
    <col min="15364" max="15364" width="10.375" style="53" customWidth="1"/>
    <col min="15365" max="15365" width="11.25" style="53" bestFit="1" customWidth="1"/>
    <col min="15366" max="15367" width="9" style="53"/>
    <col min="15368" max="15377" width="9" style="53" customWidth="1"/>
    <col min="15378" max="15378" width="9" style="53"/>
    <col min="15379" max="15379" width="9.375" style="53" bestFit="1" customWidth="1"/>
    <col min="15380" max="15380" width="9" style="53" customWidth="1"/>
    <col min="15381" max="15381" width="9" style="53"/>
    <col min="15382" max="15382" width="9" style="53" customWidth="1"/>
    <col min="15383" max="15388" width="9" style="53"/>
    <col min="15389" max="15389" width="26.375" style="53" customWidth="1"/>
    <col min="15390" max="15392" width="9" style="53"/>
    <col min="15393" max="15393" width="14.75" style="53" bestFit="1" customWidth="1"/>
    <col min="15394" max="15616" width="9" style="53"/>
    <col min="15617" max="15619" width="9" style="53" customWidth="1"/>
    <col min="15620" max="15620" width="10.375" style="53" customWidth="1"/>
    <col min="15621" max="15621" width="11.25" style="53" bestFit="1" customWidth="1"/>
    <col min="15622" max="15623" width="9" style="53"/>
    <col min="15624" max="15633" width="9" style="53" customWidth="1"/>
    <col min="15634" max="15634" width="9" style="53"/>
    <col min="15635" max="15635" width="9.375" style="53" bestFit="1" customWidth="1"/>
    <col min="15636" max="15636" width="9" style="53" customWidth="1"/>
    <col min="15637" max="15637" width="9" style="53"/>
    <col min="15638" max="15638" width="9" style="53" customWidth="1"/>
    <col min="15639" max="15644" width="9" style="53"/>
    <col min="15645" max="15645" width="26.375" style="53" customWidth="1"/>
    <col min="15646" max="15648" width="9" style="53"/>
    <col min="15649" max="15649" width="14.75" style="53" bestFit="1" customWidth="1"/>
    <col min="15650" max="15872" width="9" style="53"/>
    <col min="15873" max="15875" width="9" style="53" customWidth="1"/>
    <col min="15876" max="15876" width="10.375" style="53" customWidth="1"/>
    <col min="15877" max="15877" width="11.25" style="53" bestFit="1" customWidth="1"/>
    <col min="15878" max="15879" width="9" style="53"/>
    <col min="15880" max="15889" width="9" style="53" customWidth="1"/>
    <col min="15890" max="15890" width="9" style="53"/>
    <col min="15891" max="15891" width="9.375" style="53" bestFit="1" customWidth="1"/>
    <col min="15892" max="15892" width="9" style="53" customWidth="1"/>
    <col min="15893" max="15893" width="9" style="53"/>
    <col min="15894" max="15894" width="9" style="53" customWidth="1"/>
    <col min="15895" max="15900" width="9" style="53"/>
    <col min="15901" max="15901" width="26.375" style="53" customWidth="1"/>
    <col min="15902" max="15904" width="9" style="53"/>
    <col min="15905" max="15905" width="14.75" style="53" bestFit="1" customWidth="1"/>
    <col min="15906" max="16128" width="9" style="53"/>
    <col min="16129" max="16131" width="9" style="53" customWidth="1"/>
    <col min="16132" max="16132" width="10.375" style="53" customWidth="1"/>
    <col min="16133" max="16133" width="11.25" style="53" bestFit="1" customWidth="1"/>
    <col min="16134" max="16135" width="9" style="53"/>
    <col min="16136" max="16145" width="9" style="53" customWidth="1"/>
    <col min="16146" max="16146" width="9" style="53"/>
    <col min="16147" max="16147" width="9.375" style="53" bestFit="1" customWidth="1"/>
    <col min="16148" max="16148" width="9" style="53" customWidth="1"/>
    <col min="16149" max="16149" width="9" style="53"/>
    <col min="16150" max="16150" width="9" style="53" customWidth="1"/>
    <col min="16151" max="16156" width="9" style="53"/>
    <col min="16157" max="16157" width="26.375" style="53" customWidth="1"/>
    <col min="16158" max="16160" width="9" style="53"/>
    <col min="16161" max="16161" width="14.75" style="53" bestFit="1" customWidth="1"/>
    <col min="16162" max="16384" width="9" style="53"/>
  </cols>
  <sheetData>
    <row r="1" spans="1:53" ht="44.25" customHeight="1" x14ac:dyDescent="0.15">
      <c r="A1" s="123" t="s">
        <v>279</v>
      </c>
      <c r="B1" s="55" t="s">
        <v>1</v>
      </c>
      <c r="C1" s="55" t="s">
        <v>2</v>
      </c>
      <c r="D1" s="56" t="s">
        <v>3</v>
      </c>
      <c r="E1" s="56" t="s">
        <v>280</v>
      </c>
      <c r="F1" s="56" t="s">
        <v>5</v>
      </c>
      <c r="G1" s="56" t="s">
        <v>6</v>
      </c>
      <c r="H1" s="56" t="s">
        <v>281</v>
      </c>
      <c r="I1" s="56" t="s">
        <v>8</v>
      </c>
      <c r="J1" s="56" t="s">
        <v>9</v>
      </c>
      <c r="K1" s="56" t="s">
        <v>10</v>
      </c>
      <c r="L1" s="56" t="s">
        <v>11</v>
      </c>
      <c r="M1" s="56" t="s">
        <v>12</v>
      </c>
      <c r="N1" s="56" t="s">
        <v>13</v>
      </c>
      <c r="O1" s="56" t="s">
        <v>14</v>
      </c>
      <c r="P1" s="56" t="s">
        <v>15</v>
      </c>
      <c r="Q1" s="3" t="s">
        <v>16</v>
      </c>
      <c r="R1" s="56"/>
      <c r="S1" s="56" t="s">
        <v>18</v>
      </c>
      <c r="T1" s="3" t="s">
        <v>19</v>
      </c>
      <c r="U1" s="58" t="s">
        <v>108</v>
      </c>
      <c r="V1" s="5" t="s">
        <v>20</v>
      </c>
      <c r="W1" s="56" t="s">
        <v>21</v>
      </c>
      <c r="X1" s="56" t="s">
        <v>22</v>
      </c>
      <c r="Y1" s="56" t="s">
        <v>23</v>
      </c>
      <c r="Z1" s="56" t="s">
        <v>24</v>
      </c>
      <c r="AA1" s="124" t="s">
        <v>25</v>
      </c>
      <c r="AB1" s="125" t="s">
        <v>26</v>
      </c>
      <c r="AC1" s="126"/>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s="127" customFormat="1" x14ac:dyDescent="0.15">
      <c r="A2" s="127" t="s">
        <v>61</v>
      </c>
      <c r="B2" s="127" t="s">
        <v>231</v>
      </c>
      <c r="C2" s="127">
        <v>2019</v>
      </c>
      <c r="D2" s="128" t="s">
        <v>282</v>
      </c>
      <c r="E2" s="127" t="s">
        <v>283</v>
      </c>
      <c r="F2" s="127" t="s">
        <v>284</v>
      </c>
      <c r="G2" s="127" t="s">
        <v>42</v>
      </c>
      <c r="H2" s="53" t="s">
        <v>164</v>
      </c>
      <c r="I2" s="53" t="s">
        <v>159</v>
      </c>
      <c r="J2" s="127" t="s">
        <v>38</v>
      </c>
      <c r="K2" s="53" t="s">
        <v>161</v>
      </c>
      <c r="L2" s="53">
        <v>1</v>
      </c>
      <c r="M2" s="53"/>
      <c r="N2" s="53">
        <v>4</v>
      </c>
      <c r="O2" s="53">
        <v>0.5</v>
      </c>
      <c r="P2" s="53">
        <v>0.5</v>
      </c>
      <c r="Q2" s="75">
        <f t="shared" ref="Q2:Q65" si="0">IF(OR(O2="",P2=""),"",AVERAGE(O2,P2))</f>
        <v>0.5</v>
      </c>
      <c r="R2" s="53">
        <v>17</v>
      </c>
      <c r="S2" s="53">
        <v>106</v>
      </c>
      <c r="T2" s="16">
        <f t="shared" ref="T2:T65" si="1">IF(H2="","",IF(OR(H2="GREEN",H2="GK"),IF(S2&gt;=$AX$2,VLOOKUP(S2,$AX$2:$AY$15,2,1),""),IF(S2&gt;=$AZ$2,VLOOKUP(S2,$AZ$2:$BA$15,2,1),"")))</f>
        <v>33</v>
      </c>
      <c r="U2" s="53">
        <v>350</v>
      </c>
      <c r="V2" s="129">
        <f t="shared" ref="V2:V65" si="2">IF(OR(N2="",U2="",T2=""),"",U2/N2*T2)</f>
        <v>2887.5</v>
      </c>
      <c r="W2" s="53">
        <v>4</v>
      </c>
      <c r="X2" s="127" t="s">
        <v>39</v>
      </c>
      <c r="Y2" s="53" t="s">
        <v>78</v>
      </c>
      <c r="Z2" s="53" t="s">
        <v>102</v>
      </c>
      <c r="AA2" s="53" t="s">
        <v>90</v>
      </c>
      <c r="AB2" s="127" t="s">
        <v>235</v>
      </c>
      <c r="AC2" s="34"/>
      <c r="AE2" s="64" t="s">
        <v>35</v>
      </c>
      <c r="AG2" s="49" t="s">
        <v>283</v>
      </c>
      <c r="AH2" s="49" t="s">
        <v>284</v>
      </c>
      <c r="AJ2" s="130" t="s">
        <v>36</v>
      </c>
      <c r="AL2" s="67" t="s">
        <v>127</v>
      </c>
      <c r="AN2" s="130" t="s">
        <v>37</v>
      </c>
      <c r="AP2" s="67" t="s">
        <v>38</v>
      </c>
      <c r="AR2" s="67" t="s">
        <v>120</v>
      </c>
      <c r="AT2" s="130" t="s">
        <v>39</v>
      </c>
      <c r="AV2" s="67" t="s">
        <v>40</v>
      </c>
      <c r="AX2" s="131">
        <v>1</v>
      </c>
      <c r="AY2" s="132">
        <v>50</v>
      </c>
      <c r="AZ2" s="132">
        <v>1</v>
      </c>
      <c r="BA2" s="133">
        <v>50</v>
      </c>
    </row>
    <row r="3" spans="1:53" x14ac:dyDescent="0.15">
      <c r="A3" s="127" t="s">
        <v>61</v>
      </c>
      <c r="B3" s="127" t="s">
        <v>231</v>
      </c>
      <c r="C3" s="127">
        <v>2019</v>
      </c>
      <c r="D3" s="128" t="s">
        <v>282</v>
      </c>
      <c r="E3" s="127" t="s">
        <v>283</v>
      </c>
      <c r="F3" s="127" t="s">
        <v>284</v>
      </c>
      <c r="G3" s="127" t="s">
        <v>42</v>
      </c>
      <c r="H3" s="53" t="s">
        <v>164</v>
      </c>
      <c r="I3" s="53" t="s">
        <v>159</v>
      </c>
      <c r="J3" s="127" t="s">
        <v>38</v>
      </c>
      <c r="K3" s="53" t="s">
        <v>161</v>
      </c>
      <c r="L3" s="53">
        <v>2</v>
      </c>
      <c r="N3" s="53">
        <v>4</v>
      </c>
      <c r="O3" s="53">
        <v>0.5</v>
      </c>
      <c r="P3" s="53">
        <v>0.5</v>
      </c>
      <c r="Q3" s="75">
        <f t="shared" si="0"/>
        <v>0.5</v>
      </c>
      <c r="R3" s="53">
        <v>15.6</v>
      </c>
      <c r="S3" s="53">
        <v>105</v>
      </c>
      <c r="T3" s="16">
        <f t="shared" si="1"/>
        <v>33</v>
      </c>
      <c r="U3" s="53">
        <v>350</v>
      </c>
      <c r="V3" s="129">
        <f t="shared" si="2"/>
        <v>2887.5</v>
      </c>
      <c r="W3" s="53">
        <v>4</v>
      </c>
      <c r="X3" s="127" t="s">
        <v>39</v>
      </c>
      <c r="Y3" s="53" t="s">
        <v>78</v>
      </c>
      <c r="Z3" s="53" t="s">
        <v>102</v>
      </c>
      <c r="AA3" s="53" t="s">
        <v>90</v>
      </c>
      <c r="AB3" s="127" t="s">
        <v>235</v>
      </c>
      <c r="AC3" s="34"/>
      <c r="AE3" s="22" t="s">
        <v>41</v>
      </c>
      <c r="AG3" s="49" t="s">
        <v>285</v>
      </c>
      <c r="AH3" s="49" t="s">
        <v>286</v>
      </c>
      <c r="AJ3" s="23" t="s">
        <v>42</v>
      </c>
      <c r="AL3" s="23" t="s">
        <v>128</v>
      </c>
      <c r="AN3" s="23" t="s">
        <v>43</v>
      </c>
      <c r="AP3" s="23" t="s">
        <v>44</v>
      </c>
      <c r="AR3" s="23" t="s">
        <v>45</v>
      </c>
      <c r="AT3" s="23" t="s">
        <v>46</v>
      </c>
      <c r="AV3" s="23" t="s">
        <v>47</v>
      </c>
      <c r="AX3" s="24">
        <v>72</v>
      </c>
      <c r="AY3" s="25">
        <v>46</v>
      </c>
      <c r="AZ3" s="25">
        <v>71</v>
      </c>
      <c r="BA3" s="26">
        <v>42</v>
      </c>
    </row>
    <row r="4" spans="1:53" x14ac:dyDescent="0.15">
      <c r="A4" s="127" t="s">
        <v>61</v>
      </c>
      <c r="B4" s="127" t="s">
        <v>231</v>
      </c>
      <c r="C4" s="127">
        <v>2019</v>
      </c>
      <c r="D4" s="128" t="s">
        <v>282</v>
      </c>
      <c r="E4" s="127" t="s">
        <v>283</v>
      </c>
      <c r="F4" s="127" t="s">
        <v>284</v>
      </c>
      <c r="G4" s="127" t="s">
        <v>42</v>
      </c>
      <c r="H4" s="53" t="s">
        <v>164</v>
      </c>
      <c r="I4" s="53" t="s">
        <v>159</v>
      </c>
      <c r="J4" s="127" t="s">
        <v>38</v>
      </c>
      <c r="K4" s="53" t="s">
        <v>161</v>
      </c>
      <c r="L4" s="53">
        <v>3</v>
      </c>
      <c r="N4" s="53">
        <v>4</v>
      </c>
      <c r="O4" s="53">
        <v>0.5</v>
      </c>
      <c r="P4" s="53">
        <v>0.5</v>
      </c>
      <c r="Q4" s="75">
        <f t="shared" si="0"/>
        <v>0.5</v>
      </c>
      <c r="R4" s="53">
        <v>12.2</v>
      </c>
      <c r="S4" s="53">
        <v>94</v>
      </c>
      <c r="T4" s="16">
        <f t="shared" si="1"/>
        <v>36</v>
      </c>
      <c r="U4" s="53">
        <v>350</v>
      </c>
      <c r="V4" s="129">
        <f t="shared" si="2"/>
        <v>3150</v>
      </c>
      <c r="W4" s="53">
        <v>4</v>
      </c>
      <c r="X4" s="127" t="s">
        <v>39</v>
      </c>
      <c r="Y4" s="53" t="s">
        <v>78</v>
      </c>
      <c r="Z4" s="53" t="s">
        <v>102</v>
      </c>
      <c r="AA4" s="53" t="s">
        <v>90</v>
      </c>
      <c r="AB4" s="127" t="s">
        <v>235</v>
      </c>
      <c r="AC4" s="34"/>
      <c r="AE4" s="22" t="s">
        <v>34</v>
      </c>
      <c r="AG4" s="49" t="s">
        <v>287</v>
      </c>
      <c r="AH4" s="49" t="s">
        <v>288</v>
      </c>
      <c r="AJ4" s="27" t="s">
        <v>48</v>
      </c>
      <c r="AL4" s="27" t="s">
        <v>129</v>
      </c>
      <c r="AN4" s="28" t="s">
        <v>49</v>
      </c>
      <c r="AP4" s="23" t="s">
        <v>93</v>
      </c>
      <c r="AR4" s="23" t="s">
        <v>121</v>
      </c>
      <c r="AT4" s="28"/>
      <c r="AV4" s="23" t="s">
        <v>50</v>
      </c>
      <c r="AX4" s="24">
        <v>75</v>
      </c>
      <c r="AY4" s="25">
        <v>42</v>
      </c>
      <c r="AZ4" s="25">
        <v>76</v>
      </c>
      <c r="BA4" s="26">
        <v>39</v>
      </c>
    </row>
    <row r="5" spans="1:53" x14ac:dyDescent="0.15">
      <c r="A5" s="127" t="s">
        <v>61</v>
      </c>
      <c r="B5" s="127" t="s">
        <v>231</v>
      </c>
      <c r="C5" s="127">
        <v>2019</v>
      </c>
      <c r="D5" s="128" t="s">
        <v>282</v>
      </c>
      <c r="E5" s="127" t="s">
        <v>283</v>
      </c>
      <c r="F5" s="127" t="s">
        <v>284</v>
      </c>
      <c r="G5" s="127" t="s">
        <v>42</v>
      </c>
      <c r="H5" s="53" t="s">
        <v>160</v>
      </c>
      <c r="I5" s="53" t="s">
        <v>159</v>
      </c>
      <c r="J5" s="127" t="s">
        <v>38</v>
      </c>
      <c r="K5" s="53" t="s">
        <v>161</v>
      </c>
      <c r="L5" s="53">
        <v>1</v>
      </c>
      <c r="N5" s="53">
        <v>1</v>
      </c>
      <c r="O5" s="53">
        <v>0.5</v>
      </c>
      <c r="P5" s="53">
        <v>0.65</v>
      </c>
      <c r="Q5" s="75">
        <f t="shared" si="0"/>
        <v>0.57499999999999996</v>
      </c>
      <c r="R5" s="53">
        <v>17.399999999999999</v>
      </c>
      <c r="S5" s="53">
        <v>128</v>
      </c>
      <c r="T5" s="16">
        <f t="shared" si="1"/>
        <v>27</v>
      </c>
      <c r="U5" s="53">
        <v>138</v>
      </c>
      <c r="V5" s="129">
        <f t="shared" si="2"/>
        <v>3726</v>
      </c>
      <c r="W5" s="53">
        <v>4</v>
      </c>
      <c r="X5" s="127" t="s">
        <v>39</v>
      </c>
      <c r="Y5" s="53" t="s">
        <v>78</v>
      </c>
      <c r="Z5" s="53" t="s">
        <v>102</v>
      </c>
      <c r="AA5" s="53" t="s">
        <v>90</v>
      </c>
      <c r="AB5" s="127" t="s">
        <v>235</v>
      </c>
      <c r="AC5" s="34"/>
      <c r="AE5" s="22" t="s">
        <v>51</v>
      </c>
      <c r="AG5" s="49" t="s">
        <v>289</v>
      </c>
      <c r="AH5" s="49" t="s">
        <v>290</v>
      </c>
      <c r="AJ5" s="27"/>
      <c r="AL5" s="73" t="s">
        <v>66</v>
      </c>
      <c r="AN5" s="73" t="s">
        <v>52</v>
      </c>
      <c r="AP5" s="23" t="s">
        <v>119</v>
      </c>
      <c r="AR5" s="23" t="s">
        <v>54</v>
      </c>
      <c r="AV5" s="23" t="s">
        <v>55</v>
      </c>
      <c r="AX5" s="24">
        <v>84</v>
      </c>
      <c r="AY5" s="25">
        <v>39</v>
      </c>
      <c r="AZ5" s="25">
        <v>84</v>
      </c>
      <c r="BA5" s="26">
        <v>36</v>
      </c>
    </row>
    <row r="6" spans="1:53" x14ac:dyDescent="0.15">
      <c r="A6" s="127" t="s">
        <v>61</v>
      </c>
      <c r="B6" s="127" t="s">
        <v>231</v>
      </c>
      <c r="C6" s="127">
        <v>2019</v>
      </c>
      <c r="D6" s="128" t="s">
        <v>282</v>
      </c>
      <c r="E6" s="127" t="s">
        <v>283</v>
      </c>
      <c r="F6" s="127" t="s">
        <v>284</v>
      </c>
      <c r="G6" s="127" t="s">
        <v>42</v>
      </c>
      <c r="H6" s="53" t="s">
        <v>160</v>
      </c>
      <c r="I6" s="53" t="s">
        <v>159</v>
      </c>
      <c r="J6" s="127" t="s">
        <v>38</v>
      </c>
      <c r="K6" s="53" t="s">
        <v>161</v>
      </c>
      <c r="L6" s="53">
        <v>2</v>
      </c>
      <c r="N6" s="53">
        <v>1</v>
      </c>
      <c r="O6" s="53">
        <v>0.6</v>
      </c>
      <c r="P6" s="53">
        <v>0.5</v>
      </c>
      <c r="Q6" s="75">
        <f t="shared" si="0"/>
        <v>0.55000000000000004</v>
      </c>
      <c r="R6" s="53">
        <v>17.7</v>
      </c>
      <c r="S6" s="53">
        <v>132</v>
      </c>
      <c r="T6" s="16">
        <f t="shared" si="1"/>
        <v>25</v>
      </c>
      <c r="U6" s="53">
        <v>138</v>
      </c>
      <c r="V6" s="129">
        <f t="shared" si="2"/>
        <v>3450</v>
      </c>
      <c r="W6" s="53">
        <v>4</v>
      </c>
      <c r="X6" s="127" t="s">
        <v>39</v>
      </c>
      <c r="Y6" s="53" t="s">
        <v>78</v>
      </c>
      <c r="Z6" s="53" t="s">
        <v>102</v>
      </c>
      <c r="AA6" s="53" t="s">
        <v>90</v>
      </c>
      <c r="AB6" s="127" t="s">
        <v>235</v>
      </c>
      <c r="AC6" s="34"/>
      <c r="AE6" s="22" t="s">
        <v>56</v>
      </c>
      <c r="AG6" s="49" t="s">
        <v>291</v>
      </c>
      <c r="AH6" s="49" t="s">
        <v>292</v>
      </c>
      <c r="AJ6" s="27"/>
      <c r="AL6" s="73" t="s">
        <v>99</v>
      </c>
      <c r="AN6" s="73" t="s">
        <v>57</v>
      </c>
      <c r="AP6" s="23" t="s">
        <v>53</v>
      </c>
      <c r="AR6" s="23" t="s">
        <v>59</v>
      </c>
      <c r="AV6" s="23" t="s">
        <v>60</v>
      </c>
      <c r="AX6" s="24">
        <v>97</v>
      </c>
      <c r="AY6" s="25">
        <v>36</v>
      </c>
      <c r="AZ6" s="25">
        <v>99</v>
      </c>
      <c r="BA6" s="26">
        <v>33</v>
      </c>
    </row>
    <row r="7" spans="1:53" x14ac:dyDescent="0.15">
      <c r="A7" s="127" t="s">
        <v>61</v>
      </c>
      <c r="B7" s="127" t="s">
        <v>231</v>
      </c>
      <c r="C7" s="127">
        <v>2019</v>
      </c>
      <c r="D7" s="128" t="s">
        <v>282</v>
      </c>
      <c r="E7" s="127" t="s">
        <v>283</v>
      </c>
      <c r="F7" s="127" t="s">
        <v>284</v>
      </c>
      <c r="G7" s="127" t="s">
        <v>42</v>
      </c>
      <c r="H7" s="53" t="s">
        <v>160</v>
      </c>
      <c r="I7" s="53" t="s">
        <v>159</v>
      </c>
      <c r="J7" s="127" t="s">
        <v>38</v>
      </c>
      <c r="K7" s="53" t="s">
        <v>161</v>
      </c>
      <c r="L7" s="53">
        <v>3</v>
      </c>
      <c r="N7" s="53">
        <v>1</v>
      </c>
      <c r="O7" s="53">
        <v>0.65</v>
      </c>
      <c r="P7" s="53">
        <v>0.5</v>
      </c>
      <c r="Q7" s="75">
        <f t="shared" si="0"/>
        <v>0.57499999999999996</v>
      </c>
      <c r="R7" s="53">
        <v>19.600000000000001</v>
      </c>
      <c r="S7" s="53">
        <v>125</v>
      </c>
      <c r="T7" s="16">
        <f t="shared" si="1"/>
        <v>27</v>
      </c>
      <c r="U7" s="53">
        <v>138</v>
      </c>
      <c r="V7" s="129">
        <f t="shared" si="2"/>
        <v>3726</v>
      </c>
      <c r="W7" s="53">
        <v>4</v>
      </c>
      <c r="X7" s="127" t="s">
        <v>39</v>
      </c>
      <c r="Y7" s="53" t="s">
        <v>78</v>
      </c>
      <c r="Z7" s="53" t="s">
        <v>102</v>
      </c>
      <c r="AA7" s="53" t="s">
        <v>90</v>
      </c>
      <c r="AB7" s="127" t="s">
        <v>235</v>
      </c>
      <c r="AC7" s="34"/>
      <c r="AE7" s="22" t="s">
        <v>61</v>
      </c>
      <c r="AG7" s="49" t="s">
        <v>293</v>
      </c>
      <c r="AH7" s="49" t="s">
        <v>294</v>
      </c>
      <c r="AJ7" s="27"/>
      <c r="AL7" s="34" t="s">
        <v>109</v>
      </c>
      <c r="AN7" s="73"/>
      <c r="AP7" s="23" t="s">
        <v>58</v>
      </c>
      <c r="AR7" s="23" t="s">
        <v>122</v>
      </c>
      <c r="AV7" s="23" t="s">
        <v>64</v>
      </c>
      <c r="AX7" s="24">
        <v>109</v>
      </c>
      <c r="AY7" s="25">
        <v>33</v>
      </c>
      <c r="AZ7" s="25">
        <v>113</v>
      </c>
      <c r="BA7" s="26">
        <v>30</v>
      </c>
    </row>
    <row r="8" spans="1:53" x14ac:dyDescent="0.15">
      <c r="A8" s="127" t="s">
        <v>61</v>
      </c>
      <c r="B8" s="127" t="s">
        <v>231</v>
      </c>
      <c r="C8" s="127">
        <v>2019</v>
      </c>
      <c r="D8" s="128" t="s">
        <v>282</v>
      </c>
      <c r="E8" s="127" t="s">
        <v>285</v>
      </c>
      <c r="F8" s="127" t="s">
        <v>286</v>
      </c>
      <c r="G8" s="127" t="s">
        <v>42</v>
      </c>
      <c r="H8" s="53" t="s">
        <v>164</v>
      </c>
      <c r="I8" s="53" t="s">
        <v>159</v>
      </c>
      <c r="J8" s="127" t="s">
        <v>38</v>
      </c>
      <c r="K8" s="53" t="s">
        <v>161</v>
      </c>
      <c r="L8" s="53">
        <v>1</v>
      </c>
      <c r="N8" s="53">
        <v>4</v>
      </c>
      <c r="O8" s="53">
        <v>0.75</v>
      </c>
      <c r="P8" s="53">
        <v>0.8</v>
      </c>
      <c r="Q8" s="75">
        <f t="shared" si="0"/>
        <v>0.77500000000000002</v>
      </c>
      <c r="R8" s="53">
        <v>17</v>
      </c>
      <c r="S8" s="53">
        <v>93</v>
      </c>
      <c r="T8" s="16">
        <f t="shared" si="1"/>
        <v>36</v>
      </c>
      <c r="U8" s="53">
        <v>398</v>
      </c>
      <c r="V8" s="129">
        <f t="shared" si="2"/>
        <v>3582</v>
      </c>
      <c r="W8" s="53">
        <v>5</v>
      </c>
      <c r="X8" s="127" t="s">
        <v>46</v>
      </c>
      <c r="Y8" s="53" t="s">
        <v>102</v>
      </c>
      <c r="Z8" s="53" t="s">
        <v>78</v>
      </c>
      <c r="AA8" s="53" t="s">
        <v>90</v>
      </c>
      <c r="AB8" s="127" t="s">
        <v>235</v>
      </c>
      <c r="AC8" s="34"/>
      <c r="AE8" s="22" t="s">
        <v>59</v>
      </c>
      <c r="AG8" s="49" t="s">
        <v>295</v>
      </c>
      <c r="AH8" s="49" t="s">
        <v>296</v>
      </c>
      <c r="AJ8" s="28"/>
      <c r="AL8" s="34" t="s">
        <v>134</v>
      </c>
      <c r="AN8" s="73"/>
      <c r="AP8" s="23" t="s">
        <v>62</v>
      </c>
      <c r="AR8" s="23" t="s">
        <v>81</v>
      </c>
      <c r="AV8" s="23" t="s">
        <v>97</v>
      </c>
      <c r="AX8" s="24">
        <v>119</v>
      </c>
      <c r="AY8" s="25">
        <v>30</v>
      </c>
      <c r="AZ8" s="25">
        <v>121</v>
      </c>
      <c r="BA8" s="26">
        <v>27</v>
      </c>
    </row>
    <row r="9" spans="1:53" x14ac:dyDescent="0.15">
      <c r="A9" s="127" t="s">
        <v>61</v>
      </c>
      <c r="B9" s="127" t="s">
        <v>231</v>
      </c>
      <c r="C9" s="127">
        <v>2019</v>
      </c>
      <c r="D9" s="128" t="s">
        <v>282</v>
      </c>
      <c r="E9" s="127" t="s">
        <v>285</v>
      </c>
      <c r="F9" s="127" t="s">
        <v>286</v>
      </c>
      <c r="G9" s="127" t="s">
        <v>42</v>
      </c>
      <c r="H9" s="53" t="s">
        <v>164</v>
      </c>
      <c r="I9" s="53" t="s">
        <v>159</v>
      </c>
      <c r="J9" s="127" t="s">
        <v>38</v>
      </c>
      <c r="K9" s="53" t="s">
        <v>161</v>
      </c>
      <c r="L9" s="53">
        <v>2</v>
      </c>
      <c r="N9" s="53">
        <v>4</v>
      </c>
      <c r="O9" s="53">
        <v>1.25</v>
      </c>
      <c r="P9" s="53">
        <v>1.2</v>
      </c>
      <c r="Q9" s="75">
        <f t="shared" si="0"/>
        <v>1.2250000000000001</v>
      </c>
      <c r="R9" s="34">
        <v>17.2</v>
      </c>
      <c r="S9" s="53">
        <v>97</v>
      </c>
      <c r="T9" s="16">
        <f t="shared" si="1"/>
        <v>36</v>
      </c>
      <c r="U9" s="53">
        <v>398</v>
      </c>
      <c r="V9" s="129">
        <f t="shared" si="2"/>
        <v>3582</v>
      </c>
      <c r="W9" s="53">
        <v>5</v>
      </c>
      <c r="X9" s="127" t="s">
        <v>46</v>
      </c>
      <c r="Y9" s="53" t="s">
        <v>102</v>
      </c>
      <c r="Z9" s="53" t="s">
        <v>78</v>
      </c>
      <c r="AA9" s="53" t="s">
        <v>90</v>
      </c>
      <c r="AB9" s="127" t="s">
        <v>235</v>
      </c>
      <c r="AC9" s="34"/>
      <c r="AE9" s="22" t="s">
        <v>98</v>
      </c>
      <c r="AG9" s="49" t="s">
        <v>133</v>
      </c>
      <c r="AH9" s="49" t="s">
        <v>297</v>
      </c>
      <c r="AL9" s="73"/>
      <c r="AN9" s="73"/>
      <c r="AP9" s="23" t="s">
        <v>95</v>
      </c>
      <c r="AR9" s="23" t="s">
        <v>89</v>
      </c>
      <c r="AV9" s="23" t="s">
        <v>102</v>
      </c>
      <c r="AX9" s="24">
        <v>128</v>
      </c>
      <c r="AY9" s="25">
        <v>27</v>
      </c>
      <c r="AZ9" s="25">
        <v>129</v>
      </c>
      <c r="BA9" s="26">
        <v>25</v>
      </c>
    </row>
    <row r="10" spans="1:53" x14ac:dyDescent="0.15">
      <c r="A10" s="127" t="s">
        <v>61</v>
      </c>
      <c r="B10" s="127" t="s">
        <v>231</v>
      </c>
      <c r="C10" s="127">
        <v>2019</v>
      </c>
      <c r="D10" s="128" t="s">
        <v>282</v>
      </c>
      <c r="E10" s="127" t="s">
        <v>285</v>
      </c>
      <c r="F10" s="127" t="s">
        <v>286</v>
      </c>
      <c r="G10" s="127" t="s">
        <v>42</v>
      </c>
      <c r="H10" s="53" t="s">
        <v>164</v>
      </c>
      <c r="I10" s="53" t="s">
        <v>159</v>
      </c>
      <c r="J10" s="127" t="s">
        <v>38</v>
      </c>
      <c r="K10" s="53" t="s">
        <v>161</v>
      </c>
      <c r="L10" s="53">
        <v>3</v>
      </c>
      <c r="N10" s="53">
        <v>4</v>
      </c>
      <c r="O10" s="53">
        <v>1</v>
      </c>
      <c r="P10" s="53">
        <v>0.85</v>
      </c>
      <c r="Q10" s="75">
        <f t="shared" si="0"/>
        <v>0.92500000000000004</v>
      </c>
      <c r="R10" s="53">
        <v>17.2</v>
      </c>
      <c r="S10" s="53">
        <v>95</v>
      </c>
      <c r="T10" s="16">
        <f t="shared" si="1"/>
        <v>36</v>
      </c>
      <c r="U10" s="53">
        <v>398</v>
      </c>
      <c r="V10" s="129">
        <f t="shared" si="2"/>
        <v>3582</v>
      </c>
      <c r="W10" s="53">
        <v>5</v>
      </c>
      <c r="X10" s="127" t="s">
        <v>46</v>
      </c>
      <c r="Y10" s="53" t="s">
        <v>102</v>
      </c>
      <c r="Z10" s="53" t="s">
        <v>78</v>
      </c>
      <c r="AA10" s="53" t="s">
        <v>90</v>
      </c>
      <c r="AB10" s="127" t="s">
        <v>235</v>
      </c>
      <c r="AC10" s="34"/>
      <c r="AE10" s="22" t="s">
        <v>103</v>
      </c>
      <c r="AG10" s="49" t="s">
        <v>298</v>
      </c>
      <c r="AH10" s="49" t="s">
        <v>299</v>
      </c>
      <c r="AL10" s="27"/>
      <c r="AP10" s="23" t="s">
        <v>100</v>
      </c>
      <c r="AR10" s="23" t="s">
        <v>123</v>
      </c>
      <c r="AV10" s="23" t="s">
        <v>106</v>
      </c>
      <c r="AX10" s="24">
        <v>138</v>
      </c>
      <c r="AY10" s="25">
        <v>25</v>
      </c>
      <c r="AZ10" s="25">
        <v>138</v>
      </c>
      <c r="BA10" s="26">
        <v>22</v>
      </c>
    </row>
    <row r="11" spans="1:53" x14ac:dyDescent="0.15">
      <c r="A11" s="127" t="s">
        <v>61</v>
      </c>
      <c r="B11" s="127" t="s">
        <v>231</v>
      </c>
      <c r="C11" s="127">
        <v>2019</v>
      </c>
      <c r="D11" s="128" t="s">
        <v>282</v>
      </c>
      <c r="E11" s="127" t="s">
        <v>285</v>
      </c>
      <c r="F11" s="127" t="s">
        <v>286</v>
      </c>
      <c r="G11" s="127" t="s">
        <v>42</v>
      </c>
      <c r="H11" s="53" t="s">
        <v>160</v>
      </c>
      <c r="I11" s="53" t="s">
        <v>159</v>
      </c>
      <c r="J11" s="127" t="s">
        <v>38</v>
      </c>
      <c r="K11" s="53" t="s">
        <v>161</v>
      </c>
      <c r="L11" s="53">
        <v>1</v>
      </c>
      <c r="N11" s="53">
        <v>1</v>
      </c>
      <c r="O11" s="53">
        <v>0.6</v>
      </c>
      <c r="P11" s="53">
        <v>0.5</v>
      </c>
      <c r="Q11" s="75">
        <f t="shared" si="0"/>
        <v>0.55000000000000004</v>
      </c>
      <c r="R11" s="53">
        <v>19.100000000000001</v>
      </c>
      <c r="S11" s="53">
        <v>128</v>
      </c>
      <c r="T11" s="16">
        <f t="shared" si="1"/>
        <v>27</v>
      </c>
      <c r="U11" s="53">
        <v>128</v>
      </c>
      <c r="V11" s="129">
        <f t="shared" si="2"/>
        <v>3456</v>
      </c>
      <c r="W11" s="53">
        <v>5</v>
      </c>
      <c r="X11" s="127" t="s">
        <v>46</v>
      </c>
      <c r="Y11" s="53" t="s">
        <v>102</v>
      </c>
      <c r="Z11" s="53" t="s">
        <v>78</v>
      </c>
      <c r="AA11" s="53" t="s">
        <v>90</v>
      </c>
      <c r="AB11" s="127" t="s">
        <v>235</v>
      </c>
      <c r="AC11" s="34"/>
      <c r="AE11" s="22" t="s">
        <v>65</v>
      </c>
      <c r="AG11" s="49" t="s">
        <v>300</v>
      </c>
      <c r="AH11" s="49" t="s">
        <v>299</v>
      </c>
      <c r="AL11" s="134"/>
      <c r="AP11" s="23" t="s">
        <v>104</v>
      </c>
      <c r="AR11" s="23" t="s">
        <v>87</v>
      </c>
      <c r="AV11" s="135" t="s">
        <v>301</v>
      </c>
      <c r="AX11" s="24">
        <v>151</v>
      </c>
      <c r="AY11" s="25">
        <v>22</v>
      </c>
      <c r="AZ11" s="25">
        <v>152</v>
      </c>
      <c r="BA11" s="26">
        <v>18</v>
      </c>
    </row>
    <row r="12" spans="1:53" x14ac:dyDescent="0.15">
      <c r="A12" s="127" t="s">
        <v>61</v>
      </c>
      <c r="B12" s="127" t="s">
        <v>231</v>
      </c>
      <c r="C12" s="127">
        <v>2019</v>
      </c>
      <c r="D12" s="128" t="s">
        <v>282</v>
      </c>
      <c r="E12" s="127" t="s">
        <v>285</v>
      </c>
      <c r="F12" s="127" t="s">
        <v>286</v>
      </c>
      <c r="G12" s="127" t="s">
        <v>42</v>
      </c>
      <c r="H12" s="53" t="s">
        <v>160</v>
      </c>
      <c r="I12" s="53" t="s">
        <v>159</v>
      </c>
      <c r="J12" s="127" t="s">
        <v>38</v>
      </c>
      <c r="K12" s="53" t="s">
        <v>161</v>
      </c>
      <c r="L12" s="53">
        <v>2</v>
      </c>
      <c r="N12" s="53">
        <v>1</v>
      </c>
      <c r="O12" s="53">
        <v>0.75</v>
      </c>
      <c r="P12" s="53">
        <v>0.6</v>
      </c>
      <c r="Q12" s="75">
        <f t="shared" si="0"/>
        <v>0.67500000000000004</v>
      </c>
      <c r="R12" s="34">
        <v>19.8</v>
      </c>
      <c r="S12" s="53">
        <v>121</v>
      </c>
      <c r="T12" s="16">
        <f t="shared" si="1"/>
        <v>27</v>
      </c>
      <c r="U12" s="53">
        <v>128</v>
      </c>
      <c r="V12" s="129">
        <f t="shared" si="2"/>
        <v>3456</v>
      </c>
      <c r="W12" s="53">
        <v>5</v>
      </c>
      <c r="X12" s="127" t="s">
        <v>46</v>
      </c>
      <c r="Y12" s="53" t="s">
        <v>102</v>
      </c>
      <c r="Z12" s="53" t="s">
        <v>78</v>
      </c>
      <c r="AA12" s="53" t="s">
        <v>90</v>
      </c>
      <c r="AB12" s="127" t="s">
        <v>235</v>
      </c>
      <c r="AC12" s="34"/>
      <c r="AE12" s="22" t="s">
        <v>70</v>
      </c>
      <c r="AG12" s="23"/>
      <c r="AH12" s="22"/>
      <c r="AL12" s="134"/>
      <c r="AP12" s="23" t="s">
        <v>67</v>
      </c>
      <c r="AR12" s="23" t="s">
        <v>124</v>
      </c>
      <c r="AV12" s="135" t="s">
        <v>302</v>
      </c>
      <c r="AX12" s="24">
        <v>180</v>
      </c>
      <c r="AY12" s="25">
        <v>18</v>
      </c>
      <c r="AZ12" s="25">
        <v>181</v>
      </c>
      <c r="BA12" s="26">
        <v>16</v>
      </c>
    </row>
    <row r="13" spans="1:53" x14ac:dyDescent="0.15">
      <c r="A13" s="127" t="s">
        <v>61</v>
      </c>
      <c r="B13" s="127" t="s">
        <v>231</v>
      </c>
      <c r="C13" s="127">
        <v>2019</v>
      </c>
      <c r="D13" s="128" t="s">
        <v>282</v>
      </c>
      <c r="E13" s="127" t="s">
        <v>285</v>
      </c>
      <c r="F13" s="127" t="s">
        <v>286</v>
      </c>
      <c r="G13" s="127" t="s">
        <v>42</v>
      </c>
      <c r="H13" s="53" t="s">
        <v>160</v>
      </c>
      <c r="I13" s="53" t="s">
        <v>159</v>
      </c>
      <c r="J13" s="127" t="s">
        <v>38</v>
      </c>
      <c r="K13" s="53" t="s">
        <v>161</v>
      </c>
      <c r="L13" s="53">
        <v>3</v>
      </c>
      <c r="N13" s="53">
        <v>1</v>
      </c>
      <c r="O13" s="53">
        <v>0.8</v>
      </c>
      <c r="P13" s="53">
        <v>0.75</v>
      </c>
      <c r="Q13" s="75">
        <f t="shared" si="0"/>
        <v>0.77500000000000002</v>
      </c>
      <c r="R13" s="53">
        <v>17.3</v>
      </c>
      <c r="S13" s="53">
        <v>123</v>
      </c>
      <c r="T13" s="16">
        <f t="shared" si="1"/>
        <v>27</v>
      </c>
      <c r="U13" s="53">
        <v>128</v>
      </c>
      <c r="V13" s="129">
        <f t="shared" si="2"/>
        <v>3456</v>
      </c>
      <c r="W13" s="53">
        <v>5</v>
      </c>
      <c r="X13" s="127" t="s">
        <v>46</v>
      </c>
      <c r="Y13" s="53" t="s">
        <v>102</v>
      </c>
      <c r="Z13" s="53" t="s">
        <v>78</v>
      </c>
      <c r="AA13" s="53" t="s">
        <v>90</v>
      </c>
      <c r="AB13" s="127" t="s">
        <v>235</v>
      </c>
      <c r="AC13" s="34"/>
      <c r="AE13" s="22" t="s">
        <v>73</v>
      </c>
      <c r="AG13" s="23"/>
      <c r="AH13" s="22"/>
      <c r="AL13" s="136"/>
      <c r="AP13" s="23" t="s">
        <v>71</v>
      </c>
      <c r="AR13" s="23" t="s">
        <v>103</v>
      </c>
      <c r="AV13" s="135" t="s">
        <v>303</v>
      </c>
      <c r="AX13" s="24"/>
      <c r="AY13" s="25"/>
      <c r="AZ13" s="25"/>
      <c r="BA13" s="26"/>
    </row>
    <row r="14" spans="1:53" x14ac:dyDescent="0.15">
      <c r="A14" s="127" t="s">
        <v>61</v>
      </c>
      <c r="B14" s="127" t="s">
        <v>231</v>
      </c>
      <c r="C14" s="127">
        <v>2019</v>
      </c>
      <c r="D14" s="128" t="s">
        <v>282</v>
      </c>
      <c r="E14" s="127" t="s">
        <v>287</v>
      </c>
      <c r="F14" s="127" t="s">
        <v>288</v>
      </c>
      <c r="G14" s="127" t="s">
        <v>42</v>
      </c>
      <c r="H14" s="53" t="s">
        <v>164</v>
      </c>
      <c r="I14" s="53" t="s">
        <v>159</v>
      </c>
      <c r="J14" s="127" t="s">
        <v>38</v>
      </c>
      <c r="K14" s="53" t="s">
        <v>161</v>
      </c>
      <c r="L14" s="53">
        <v>1</v>
      </c>
      <c r="N14" s="53">
        <v>4</v>
      </c>
      <c r="O14" s="53">
        <v>0.95</v>
      </c>
      <c r="P14" s="53">
        <v>1.1000000000000001</v>
      </c>
      <c r="Q14" s="75">
        <f t="shared" si="0"/>
        <v>1.0249999999999999</v>
      </c>
      <c r="R14" s="53">
        <v>14.4</v>
      </c>
      <c r="S14" s="53">
        <v>69</v>
      </c>
      <c r="T14" s="16">
        <f t="shared" si="1"/>
        <v>50</v>
      </c>
      <c r="U14" s="53">
        <v>298</v>
      </c>
      <c r="V14" s="129">
        <f t="shared" si="2"/>
        <v>3725</v>
      </c>
      <c r="W14" s="53">
        <v>8</v>
      </c>
      <c r="X14" s="127" t="s">
        <v>46</v>
      </c>
      <c r="Y14" s="53" t="s">
        <v>69</v>
      </c>
      <c r="Z14" s="53" t="s">
        <v>78</v>
      </c>
      <c r="AA14" s="53" t="s">
        <v>102</v>
      </c>
      <c r="AB14" s="127" t="s">
        <v>235</v>
      </c>
      <c r="AC14" s="34"/>
      <c r="AE14" s="22" t="s">
        <v>76</v>
      </c>
      <c r="AG14" s="23"/>
      <c r="AH14" s="22"/>
      <c r="AL14" s="34"/>
      <c r="AP14" s="23" t="s">
        <v>74</v>
      </c>
      <c r="AR14" s="23" t="s">
        <v>125</v>
      </c>
      <c r="AV14" s="135" t="s">
        <v>304</v>
      </c>
      <c r="AX14" s="24"/>
      <c r="AY14" s="25"/>
      <c r="AZ14" s="25"/>
      <c r="BA14" s="26"/>
    </row>
    <row r="15" spans="1:53" x14ac:dyDescent="0.15">
      <c r="A15" s="127" t="s">
        <v>61</v>
      </c>
      <c r="B15" s="127" t="s">
        <v>231</v>
      </c>
      <c r="C15" s="127">
        <v>2019</v>
      </c>
      <c r="D15" s="128" t="s">
        <v>282</v>
      </c>
      <c r="E15" s="127" t="s">
        <v>287</v>
      </c>
      <c r="F15" s="127" t="s">
        <v>288</v>
      </c>
      <c r="G15" s="127" t="s">
        <v>42</v>
      </c>
      <c r="H15" s="53" t="s">
        <v>164</v>
      </c>
      <c r="I15" s="53" t="s">
        <v>159</v>
      </c>
      <c r="J15" s="127" t="s">
        <v>38</v>
      </c>
      <c r="K15" s="53" t="s">
        <v>161</v>
      </c>
      <c r="L15" s="53">
        <v>2</v>
      </c>
      <c r="N15" s="53">
        <v>4</v>
      </c>
      <c r="O15" s="53">
        <v>1.25</v>
      </c>
      <c r="P15" s="53">
        <v>1</v>
      </c>
      <c r="Q15" s="75">
        <f t="shared" si="0"/>
        <v>1.125</v>
      </c>
      <c r="R15" s="34">
        <v>16.100000000000001</v>
      </c>
      <c r="S15" s="53">
        <v>74</v>
      </c>
      <c r="T15" s="16">
        <f t="shared" si="1"/>
        <v>42</v>
      </c>
      <c r="U15" s="53">
        <v>298</v>
      </c>
      <c r="V15" s="129">
        <f t="shared" si="2"/>
        <v>3129</v>
      </c>
      <c r="W15" s="53">
        <v>8</v>
      </c>
      <c r="X15" s="127" t="s">
        <v>46</v>
      </c>
      <c r="Y15" s="53" t="s">
        <v>69</v>
      </c>
      <c r="Z15" s="53" t="s">
        <v>78</v>
      </c>
      <c r="AA15" s="53" t="s">
        <v>102</v>
      </c>
      <c r="AB15" s="127" t="s">
        <v>235</v>
      </c>
      <c r="AC15" s="34"/>
      <c r="AE15" s="22" t="s">
        <v>79</v>
      </c>
      <c r="AG15" s="23"/>
      <c r="AH15" s="23"/>
      <c r="AL15" s="34"/>
      <c r="AP15" s="23" t="s">
        <v>77</v>
      </c>
      <c r="AR15" s="23" t="s">
        <v>94</v>
      </c>
      <c r="AV15" s="135" t="s">
        <v>305</v>
      </c>
      <c r="AX15" s="31"/>
      <c r="AY15" s="32"/>
      <c r="AZ15" s="32"/>
      <c r="BA15" s="33"/>
    </row>
    <row r="16" spans="1:53" x14ac:dyDescent="0.15">
      <c r="A16" s="127" t="s">
        <v>61</v>
      </c>
      <c r="B16" s="127" t="s">
        <v>231</v>
      </c>
      <c r="C16" s="127">
        <v>2019</v>
      </c>
      <c r="D16" s="128" t="s">
        <v>282</v>
      </c>
      <c r="E16" s="127" t="s">
        <v>287</v>
      </c>
      <c r="F16" s="127" t="s">
        <v>288</v>
      </c>
      <c r="G16" s="127" t="s">
        <v>42</v>
      </c>
      <c r="H16" s="53" t="s">
        <v>164</v>
      </c>
      <c r="I16" s="53" t="s">
        <v>159</v>
      </c>
      <c r="J16" s="127" t="s">
        <v>38</v>
      </c>
      <c r="K16" s="53" t="s">
        <v>161</v>
      </c>
      <c r="L16" s="53">
        <v>3</v>
      </c>
      <c r="N16" s="53">
        <v>4</v>
      </c>
      <c r="O16" s="53">
        <v>0.9</v>
      </c>
      <c r="P16" s="53">
        <v>1.05</v>
      </c>
      <c r="Q16" s="75">
        <f t="shared" si="0"/>
        <v>0.97500000000000009</v>
      </c>
      <c r="R16" s="53">
        <v>18.100000000000001</v>
      </c>
      <c r="S16" s="53">
        <v>80</v>
      </c>
      <c r="T16" s="16">
        <f t="shared" si="1"/>
        <v>39</v>
      </c>
      <c r="U16" s="53">
        <v>298</v>
      </c>
      <c r="V16" s="129">
        <f t="shared" si="2"/>
        <v>2905.5</v>
      </c>
      <c r="W16" s="53">
        <v>8</v>
      </c>
      <c r="X16" s="127" t="s">
        <v>46</v>
      </c>
      <c r="Y16" s="53" t="s">
        <v>69</v>
      </c>
      <c r="Z16" s="53" t="s">
        <v>78</v>
      </c>
      <c r="AA16" s="53" t="s">
        <v>102</v>
      </c>
      <c r="AB16" s="127" t="s">
        <v>235</v>
      </c>
      <c r="AC16" s="34"/>
      <c r="AE16" s="22" t="s">
        <v>82</v>
      </c>
      <c r="AG16" s="23"/>
      <c r="AH16" s="23"/>
      <c r="AP16" s="23" t="s">
        <v>80</v>
      </c>
      <c r="AR16" s="23" t="s">
        <v>63</v>
      </c>
      <c r="AV16" s="135" t="s">
        <v>306</v>
      </c>
    </row>
    <row r="17" spans="1:48" x14ac:dyDescent="0.15">
      <c r="A17" s="127" t="s">
        <v>61</v>
      </c>
      <c r="B17" s="127" t="s">
        <v>231</v>
      </c>
      <c r="C17" s="127">
        <v>2019</v>
      </c>
      <c r="D17" s="128" t="s">
        <v>282</v>
      </c>
      <c r="E17" s="127" t="s">
        <v>287</v>
      </c>
      <c r="F17" s="127" t="s">
        <v>288</v>
      </c>
      <c r="G17" s="127" t="s">
        <v>42</v>
      </c>
      <c r="H17" s="53" t="s">
        <v>160</v>
      </c>
      <c r="I17" s="53" t="s">
        <v>159</v>
      </c>
      <c r="J17" s="127" t="s">
        <v>38</v>
      </c>
      <c r="K17" s="53" t="s">
        <v>161</v>
      </c>
      <c r="L17" s="53">
        <v>1</v>
      </c>
      <c r="N17" s="53">
        <v>1</v>
      </c>
      <c r="O17" s="53">
        <v>0.6</v>
      </c>
      <c r="P17" s="53">
        <v>0.8</v>
      </c>
      <c r="Q17" s="75">
        <f t="shared" si="0"/>
        <v>0.7</v>
      </c>
      <c r="R17" s="53">
        <v>17.399999999999999</v>
      </c>
      <c r="S17" s="53">
        <v>149</v>
      </c>
      <c r="T17" s="16">
        <f t="shared" si="1"/>
        <v>22</v>
      </c>
      <c r="U17" s="53">
        <v>158</v>
      </c>
      <c r="V17" s="129">
        <f t="shared" si="2"/>
        <v>3476</v>
      </c>
      <c r="W17" s="53">
        <v>8</v>
      </c>
      <c r="X17" s="127" t="s">
        <v>46</v>
      </c>
      <c r="Y17" s="53" t="s">
        <v>69</v>
      </c>
      <c r="Z17" s="53" t="s">
        <v>78</v>
      </c>
      <c r="AA17" s="53" t="s">
        <v>102</v>
      </c>
      <c r="AB17" s="127" t="s">
        <v>235</v>
      </c>
      <c r="AC17" s="34"/>
      <c r="AE17" s="22" t="s">
        <v>85</v>
      </c>
      <c r="AP17" s="27" t="s">
        <v>110</v>
      </c>
      <c r="AR17" s="23" t="s">
        <v>96</v>
      </c>
      <c r="AV17" s="135" t="s">
        <v>253</v>
      </c>
    </row>
    <row r="18" spans="1:48" x14ac:dyDescent="0.15">
      <c r="A18" s="127" t="s">
        <v>61</v>
      </c>
      <c r="B18" s="127" t="s">
        <v>231</v>
      </c>
      <c r="C18" s="127">
        <v>2019</v>
      </c>
      <c r="D18" s="128" t="s">
        <v>282</v>
      </c>
      <c r="E18" s="127" t="s">
        <v>287</v>
      </c>
      <c r="F18" s="127" t="s">
        <v>288</v>
      </c>
      <c r="G18" s="127" t="s">
        <v>42</v>
      </c>
      <c r="H18" s="53" t="s">
        <v>160</v>
      </c>
      <c r="I18" s="53" t="s">
        <v>159</v>
      </c>
      <c r="J18" s="127" t="s">
        <v>38</v>
      </c>
      <c r="K18" s="53" t="s">
        <v>161</v>
      </c>
      <c r="L18" s="53">
        <v>2</v>
      </c>
      <c r="N18" s="53">
        <v>1</v>
      </c>
      <c r="O18" s="53">
        <v>0.65</v>
      </c>
      <c r="P18" s="53">
        <v>0.75</v>
      </c>
      <c r="Q18" s="75">
        <f t="shared" si="0"/>
        <v>0.7</v>
      </c>
      <c r="R18" s="34">
        <v>16.899999999999999</v>
      </c>
      <c r="S18" s="53">
        <v>160</v>
      </c>
      <c r="T18" s="16">
        <f t="shared" si="1"/>
        <v>18</v>
      </c>
      <c r="U18" s="53">
        <v>158</v>
      </c>
      <c r="V18" s="129">
        <f t="shared" si="2"/>
        <v>2844</v>
      </c>
      <c r="W18" s="53">
        <v>8</v>
      </c>
      <c r="X18" s="127" t="s">
        <v>46</v>
      </c>
      <c r="Y18" s="53" t="s">
        <v>69</v>
      </c>
      <c r="Z18" s="53" t="s">
        <v>78</v>
      </c>
      <c r="AA18" s="53" t="s">
        <v>102</v>
      </c>
      <c r="AB18" s="127" t="s">
        <v>235</v>
      </c>
      <c r="AC18" s="34"/>
      <c r="AE18" s="22" t="s">
        <v>87</v>
      </c>
      <c r="AP18" s="27" t="s">
        <v>111</v>
      </c>
      <c r="AR18" s="23" t="s">
        <v>101</v>
      </c>
      <c r="AV18" s="135" t="s">
        <v>135</v>
      </c>
    </row>
    <row r="19" spans="1:48" x14ac:dyDescent="0.15">
      <c r="A19" s="127" t="s">
        <v>61</v>
      </c>
      <c r="B19" s="127" t="s">
        <v>231</v>
      </c>
      <c r="C19" s="127">
        <v>2019</v>
      </c>
      <c r="D19" s="128" t="s">
        <v>282</v>
      </c>
      <c r="E19" s="127" t="s">
        <v>287</v>
      </c>
      <c r="F19" s="127" t="s">
        <v>288</v>
      </c>
      <c r="G19" s="127" t="s">
        <v>42</v>
      </c>
      <c r="H19" s="53" t="s">
        <v>160</v>
      </c>
      <c r="I19" s="53" t="s">
        <v>159</v>
      </c>
      <c r="J19" s="127" t="s">
        <v>38</v>
      </c>
      <c r="K19" s="53" t="s">
        <v>161</v>
      </c>
      <c r="L19" s="53">
        <v>3</v>
      </c>
      <c r="N19" s="53">
        <v>1</v>
      </c>
      <c r="O19" s="34">
        <v>0.85</v>
      </c>
      <c r="P19" s="53">
        <v>0.65</v>
      </c>
      <c r="Q19" s="75">
        <f t="shared" si="0"/>
        <v>0.75</v>
      </c>
      <c r="R19" s="53">
        <v>18.2</v>
      </c>
      <c r="S19" s="53">
        <v>158</v>
      </c>
      <c r="T19" s="16">
        <f t="shared" si="1"/>
        <v>18</v>
      </c>
      <c r="U19" s="53">
        <v>158</v>
      </c>
      <c r="V19" s="129">
        <f t="shared" si="2"/>
        <v>2844</v>
      </c>
      <c r="W19" s="53">
        <v>8</v>
      </c>
      <c r="X19" s="127" t="s">
        <v>46</v>
      </c>
      <c r="Y19" s="53" t="s">
        <v>69</v>
      </c>
      <c r="Z19" s="53" t="s">
        <v>78</v>
      </c>
      <c r="AA19" s="53" t="s">
        <v>102</v>
      </c>
      <c r="AB19" s="127" t="s">
        <v>235</v>
      </c>
      <c r="AC19" s="34"/>
      <c r="AE19" s="35" t="s">
        <v>89</v>
      </c>
      <c r="AP19" s="27" t="s">
        <v>112</v>
      </c>
      <c r="AR19" s="23" t="s">
        <v>126</v>
      </c>
      <c r="AV19" s="135" t="s">
        <v>307</v>
      </c>
    </row>
    <row r="20" spans="1:48" x14ac:dyDescent="0.15">
      <c r="A20" s="127" t="s">
        <v>61</v>
      </c>
      <c r="B20" s="127" t="s">
        <v>231</v>
      </c>
      <c r="C20" s="127">
        <v>2019</v>
      </c>
      <c r="D20" s="128" t="s">
        <v>282</v>
      </c>
      <c r="E20" s="127" t="s">
        <v>289</v>
      </c>
      <c r="F20" s="127" t="s">
        <v>290</v>
      </c>
      <c r="G20" s="127" t="s">
        <v>42</v>
      </c>
      <c r="H20" s="53" t="s">
        <v>164</v>
      </c>
      <c r="I20" s="53" t="s">
        <v>159</v>
      </c>
      <c r="J20" s="127" t="s">
        <v>38</v>
      </c>
      <c r="K20" s="53" t="s">
        <v>161</v>
      </c>
      <c r="L20" s="53">
        <v>1</v>
      </c>
      <c r="N20" s="53">
        <v>1</v>
      </c>
      <c r="O20" s="53">
        <v>0.5</v>
      </c>
      <c r="P20" s="53">
        <v>0.5</v>
      </c>
      <c r="Q20" s="75">
        <f t="shared" si="0"/>
        <v>0.5</v>
      </c>
      <c r="R20" s="53">
        <v>18.899999999999999</v>
      </c>
      <c r="S20" s="53">
        <v>122</v>
      </c>
      <c r="T20" s="16">
        <f t="shared" si="1"/>
        <v>27</v>
      </c>
      <c r="U20" s="53">
        <v>128</v>
      </c>
      <c r="V20" s="129">
        <f t="shared" si="2"/>
        <v>3456</v>
      </c>
      <c r="W20" s="53">
        <v>10</v>
      </c>
      <c r="X20" s="127" t="s">
        <v>46</v>
      </c>
      <c r="Y20" s="53" t="s">
        <v>102</v>
      </c>
      <c r="Z20" s="53" t="s">
        <v>308</v>
      </c>
      <c r="AA20" s="53" t="s">
        <v>78</v>
      </c>
      <c r="AB20" s="127" t="s">
        <v>235</v>
      </c>
      <c r="AC20" s="34"/>
      <c r="AE20" s="22"/>
      <c r="AP20" s="27" t="s">
        <v>113</v>
      </c>
      <c r="AR20" s="23" t="s">
        <v>105</v>
      </c>
      <c r="AV20" s="135" t="s">
        <v>309</v>
      </c>
    </row>
    <row r="21" spans="1:48" x14ac:dyDescent="0.15">
      <c r="A21" s="127" t="s">
        <v>61</v>
      </c>
      <c r="B21" s="127" t="s">
        <v>231</v>
      </c>
      <c r="C21" s="127">
        <v>2019</v>
      </c>
      <c r="D21" s="128" t="s">
        <v>282</v>
      </c>
      <c r="E21" s="127" t="s">
        <v>289</v>
      </c>
      <c r="F21" s="127" t="s">
        <v>290</v>
      </c>
      <c r="G21" s="127" t="s">
        <v>42</v>
      </c>
      <c r="H21" s="53" t="s">
        <v>164</v>
      </c>
      <c r="I21" s="53" t="s">
        <v>159</v>
      </c>
      <c r="J21" s="127" t="s">
        <v>38</v>
      </c>
      <c r="K21" s="53" t="s">
        <v>161</v>
      </c>
      <c r="L21" s="53">
        <v>2</v>
      </c>
      <c r="N21" s="53">
        <v>1</v>
      </c>
      <c r="O21" s="53">
        <v>0.85</v>
      </c>
      <c r="P21" s="53">
        <v>0.5</v>
      </c>
      <c r="Q21" s="75">
        <f t="shared" si="0"/>
        <v>0.67500000000000004</v>
      </c>
      <c r="R21" s="53">
        <v>17.399999999999999</v>
      </c>
      <c r="S21" s="53">
        <v>121</v>
      </c>
      <c r="T21" s="16">
        <f t="shared" si="1"/>
        <v>27</v>
      </c>
      <c r="U21" s="53">
        <v>128</v>
      </c>
      <c r="V21" s="129">
        <f t="shared" si="2"/>
        <v>3456</v>
      </c>
      <c r="W21" s="53">
        <v>10</v>
      </c>
      <c r="X21" s="127" t="s">
        <v>46</v>
      </c>
      <c r="Y21" s="53" t="s">
        <v>102</v>
      </c>
      <c r="Z21" s="53" t="s">
        <v>308</v>
      </c>
      <c r="AA21" s="53" t="s">
        <v>78</v>
      </c>
      <c r="AB21" s="127" t="s">
        <v>235</v>
      </c>
      <c r="AC21" s="34"/>
      <c r="AE21" s="22"/>
      <c r="AP21" s="27" t="s">
        <v>114</v>
      </c>
      <c r="AR21" s="23" t="s">
        <v>68</v>
      </c>
      <c r="AV21" s="135" t="s">
        <v>310</v>
      </c>
    </row>
    <row r="22" spans="1:48" x14ac:dyDescent="0.15">
      <c r="A22" s="127" t="s">
        <v>61</v>
      </c>
      <c r="B22" s="127" t="s">
        <v>231</v>
      </c>
      <c r="C22" s="127">
        <v>2019</v>
      </c>
      <c r="D22" s="128" t="s">
        <v>282</v>
      </c>
      <c r="E22" s="127" t="s">
        <v>289</v>
      </c>
      <c r="F22" s="127" t="s">
        <v>290</v>
      </c>
      <c r="G22" s="127" t="s">
        <v>42</v>
      </c>
      <c r="H22" s="53" t="s">
        <v>164</v>
      </c>
      <c r="I22" s="53" t="s">
        <v>159</v>
      </c>
      <c r="J22" s="127" t="s">
        <v>38</v>
      </c>
      <c r="K22" s="53" t="s">
        <v>161</v>
      </c>
      <c r="L22" s="53">
        <v>3</v>
      </c>
      <c r="N22" s="53">
        <v>1</v>
      </c>
      <c r="O22" s="53">
        <v>0.65</v>
      </c>
      <c r="P22" s="53">
        <v>0.85</v>
      </c>
      <c r="Q22" s="75">
        <f t="shared" si="0"/>
        <v>0.75</v>
      </c>
      <c r="R22" s="53">
        <v>17.3</v>
      </c>
      <c r="S22" s="53">
        <v>126</v>
      </c>
      <c r="T22" s="16">
        <f t="shared" si="1"/>
        <v>27</v>
      </c>
      <c r="U22" s="53">
        <v>128</v>
      </c>
      <c r="V22" s="129">
        <f t="shared" si="2"/>
        <v>3456</v>
      </c>
      <c r="W22" s="53">
        <v>10</v>
      </c>
      <c r="X22" s="127" t="s">
        <v>46</v>
      </c>
      <c r="Y22" s="53" t="s">
        <v>102</v>
      </c>
      <c r="Z22" s="53" t="s">
        <v>308</v>
      </c>
      <c r="AA22" s="53" t="s">
        <v>78</v>
      </c>
      <c r="AB22" s="127" t="s">
        <v>235</v>
      </c>
      <c r="AC22" s="34"/>
      <c r="AE22" s="35"/>
      <c r="AP22" s="27" t="s">
        <v>115</v>
      </c>
      <c r="AR22" s="23" t="s">
        <v>83</v>
      </c>
      <c r="AV22" s="23"/>
    </row>
    <row r="23" spans="1:48" x14ac:dyDescent="0.15">
      <c r="A23" s="127" t="s">
        <v>61</v>
      </c>
      <c r="B23" s="127" t="s">
        <v>231</v>
      </c>
      <c r="C23" s="127">
        <v>2019</v>
      </c>
      <c r="D23" s="128" t="s">
        <v>282</v>
      </c>
      <c r="E23" s="127" t="s">
        <v>289</v>
      </c>
      <c r="F23" s="127" t="s">
        <v>290</v>
      </c>
      <c r="G23" s="127" t="s">
        <v>42</v>
      </c>
      <c r="H23" s="53" t="s">
        <v>160</v>
      </c>
      <c r="I23" s="53" t="s">
        <v>159</v>
      </c>
      <c r="J23" s="127" t="s">
        <v>38</v>
      </c>
      <c r="K23" s="53" t="s">
        <v>161</v>
      </c>
      <c r="L23" s="53">
        <v>1</v>
      </c>
      <c r="N23" s="53">
        <v>4</v>
      </c>
      <c r="O23" s="53">
        <v>0.5</v>
      </c>
      <c r="P23" s="53">
        <v>0.5</v>
      </c>
      <c r="Q23" s="75">
        <f t="shared" si="0"/>
        <v>0.5</v>
      </c>
      <c r="R23" s="53">
        <v>17.100000000000001</v>
      </c>
      <c r="S23" s="53">
        <v>98</v>
      </c>
      <c r="T23" s="16">
        <f t="shared" si="1"/>
        <v>36</v>
      </c>
      <c r="U23" s="53">
        <v>398</v>
      </c>
      <c r="V23" s="129">
        <f t="shared" si="2"/>
        <v>3582</v>
      </c>
      <c r="W23" s="53">
        <v>10</v>
      </c>
      <c r="X23" s="127" t="s">
        <v>46</v>
      </c>
      <c r="Y23" s="53" t="s">
        <v>102</v>
      </c>
      <c r="Z23" s="53" t="s">
        <v>308</v>
      </c>
      <c r="AA23" s="53" t="s">
        <v>78</v>
      </c>
      <c r="AB23" s="127" t="s">
        <v>235</v>
      </c>
      <c r="AC23" s="34"/>
      <c r="AE23" s="22"/>
      <c r="AP23" s="27" t="s">
        <v>137</v>
      </c>
      <c r="AR23" s="23" t="s">
        <v>61</v>
      </c>
    </row>
    <row r="24" spans="1:48" x14ac:dyDescent="0.15">
      <c r="A24" s="127" t="s">
        <v>61</v>
      </c>
      <c r="B24" s="127" t="s">
        <v>231</v>
      </c>
      <c r="C24" s="127">
        <v>2019</v>
      </c>
      <c r="D24" s="128" t="s">
        <v>282</v>
      </c>
      <c r="E24" s="127" t="s">
        <v>289</v>
      </c>
      <c r="F24" s="127" t="s">
        <v>290</v>
      </c>
      <c r="G24" s="127" t="s">
        <v>42</v>
      </c>
      <c r="H24" s="53" t="s">
        <v>160</v>
      </c>
      <c r="I24" s="53" t="s">
        <v>159</v>
      </c>
      <c r="J24" s="127" t="s">
        <v>38</v>
      </c>
      <c r="K24" s="53" t="s">
        <v>161</v>
      </c>
      <c r="L24" s="53">
        <v>2</v>
      </c>
      <c r="N24" s="53">
        <v>4</v>
      </c>
      <c r="O24" s="53">
        <v>0.5</v>
      </c>
      <c r="P24" s="53">
        <v>0.5</v>
      </c>
      <c r="Q24" s="75">
        <f t="shared" si="0"/>
        <v>0.5</v>
      </c>
      <c r="R24" s="53">
        <v>18.100000000000001</v>
      </c>
      <c r="S24" s="53">
        <v>98</v>
      </c>
      <c r="T24" s="16">
        <f t="shared" si="1"/>
        <v>36</v>
      </c>
      <c r="U24" s="53">
        <v>398</v>
      </c>
      <c r="V24" s="129">
        <f t="shared" si="2"/>
        <v>3582</v>
      </c>
      <c r="W24" s="53">
        <v>10</v>
      </c>
      <c r="X24" s="127" t="s">
        <v>46</v>
      </c>
      <c r="Y24" s="53" t="s">
        <v>102</v>
      </c>
      <c r="Z24" s="53" t="s">
        <v>308</v>
      </c>
      <c r="AA24" s="53" t="s">
        <v>78</v>
      </c>
      <c r="AB24" s="127" t="s">
        <v>235</v>
      </c>
      <c r="AC24" s="34"/>
      <c r="AE24" s="22"/>
      <c r="AP24" s="27" t="s">
        <v>138</v>
      </c>
      <c r="AR24" s="23" t="s">
        <v>91</v>
      </c>
    </row>
    <row r="25" spans="1:48" x14ac:dyDescent="0.15">
      <c r="A25" s="127" t="s">
        <v>61</v>
      </c>
      <c r="B25" s="127" t="s">
        <v>231</v>
      </c>
      <c r="C25" s="127">
        <v>2019</v>
      </c>
      <c r="D25" s="128" t="s">
        <v>282</v>
      </c>
      <c r="E25" s="127" t="s">
        <v>289</v>
      </c>
      <c r="F25" s="127" t="s">
        <v>290</v>
      </c>
      <c r="G25" s="127" t="s">
        <v>42</v>
      </c>
      <c r="H25" s="53" t="s">
        <v>160</v>
      </c>
      <c r="I25" s="53" t="s">
        <v>159</v>
      </c>
      <c r="J25" s="127" t="s">
        <v>38</v>
      </c>
      <c r="K25" s="53" t="s">
        <v>161</v>
      </c>
      <c r="L25" s="53">
        <v>3</v>
      </c>
      <c r="N25" s="53">
        <v>4</v>
      </c>
      <c r="O25" s="34">
        <v>0.5</v>
      </c>
      <c r="P25" s="53">
        <v>0.5</v>
      </c>
      <c r="Q25" s="75">
        <f t="shared" si="0"/>
        <v>0.5</v>
      </c>
      <c r="R25" s="53">
        <v>17.600000000000001</v>
      </c>
      <c r="S25" s="53">
        <v>93</v>
      </c>
      <c r="T25" s="16">
        <f t="shared" si="1"/>
        <v>36</v>
      </c>
      <c r="U25" s="53">
        <v>398</v>
      </c>
      <c r="V25" s="129">
        <f t="shared" si="2"/>
        <v>3582</v>
      </c>
      <c r="W25" s="53">
        <v>10</v>
      </c>
      <c r="X25" s="127" t="s">
        <v>46</v>
      </c>
      <c r="Y25" s="53" t="s">
        <v>102</v>
      </c>
      <c r="Z25" s="53" t="s">
        <v>308</v>
      </c>
      <c r="AA25" s="53" t="s">
        <v>78</v>
      </c>
      <c r="AB25" s="127" t="s">
        <v>235</v>
      </c>
      <c r="AC25" s="34"/>
      <c r="AE25" s="35"/>
      <c r="AP25" s="27" t="s">
        <v>116</v>
      </c>
      <c r="AR25" s="27" t="s">
        <v>92</v>
      </c>
    </row>
    <row r="26" spans="1:48" x14ac:dyDescent="0.15">
      <c r="A26" s="127" t="s">
        <v>61</v>
      </c>
      <c r="B26" s="127" t="s">
        <v>231</v>
      </c>
      <c r="C26" s="127">
        <v>2019</v>
      </c>
      <c r="D26" s="128" t="s">
        <v>282</v>
      </c>
      <c r="E26" s="127" t="s">
        <v>291</v>
      </c>
      <c r="F26" s="127" t="s">
        <v>292</v>
      </c>
      <c r="G26" s="127" t="s">
        <v>42</v>
      </c>
      <c r="H26" s="53" t="s">
        <v>164</v>
      </c>
      <c r="I26" s="53" t="s">
        <v>196</v>
      </c>
      <c r="J26" s="127" t="s">
        <v>38</v>
      </c>
      <c r="K26" s="53" t="s">
        <v>161</v>
      </c>
      <c r="L26" s="53">
        <v>1</v>
      </c>
      <c r="N26" s="53">
        <v>1</v>
      </c>
      <c r="O26" s="34">
        <v>0.75</v>
      </c>
      <c r="P26" s="53">
        <v>0.75</v>
      </c>
      <c r="Q26" s="75">
        <f t="shared" si="0"/>
        <v>0.75</v>
      </c>
      <c r="R26" s="53">
        <v>16.899999999999999</v>
      </c>
      <c r="S26" s="53">
        <v>109</v>
      </c>
      <c r="T26" s="16">
        <f t="shared" si="1"/>
        <v>33</v>
      </c>
      <c r="U26" s="53">
        <v>100</v>
      </c>
      <c r="V26" s="129">
        <f t="shared" si="2"/>
        <v>3300</v>
      </c>
      <c r="W26" s="53">
        <v>6</v>
      </c>
      <c r="X26" s="127" t="s">
        <v>39</v>
      </c>
      <c r="Y26" s="53" t="s">
        <v>78</v>
      </c>
      <c r="Z26" s="53" t="s">
        <v>102</v>
      </c>
      <c r="AA26" s="53" t="s">
        <v>90</v>
      </c>
      <c r="AB26" s="127" t="s">
        <v>235</v>
      </c>
      <c r="AC26" s="34"/>
      <c r="AD26" s="34"/>
      <c r="AE26" s="35"/>
      <c r="AP26" s="27" t="s">
        <v>117</v>
      </c>
      <c r="AR26" s="23" t="s">
        <v>153</v>
      </c>
    </row>
    <row r="27" spans="1:48" x14ac:dyDescent="0.15">
      <c r="A27" s="127" t="s">
        <v>61</v>
      </c>
      <c r="B27" s="127" t="s">
        <v>231</v>
      </c>
      <c r="C27" s="127">
        <v>2019</v>
      </c>
      <c r="D27" s="128" t="s">
        <v>282</v>
      </c>
      <c r="E27" s="127" t="s">
        <v>291</v>
      </c>
      <c r="F27" s="127" t="s">
        <v>292</v>
      </c>
      <c r="G27" s="127" t="s">
        <v>42</v>
      </c>
      <c r="H27" s="53" t="s">
        <v>164</v>
      </c>
      <c r="I27" s="53" t="s">
        <v>196</v>
      </c>
      <c r="J27" s="127" t="s">
        <v>38</v>
      </c>
      <c r="K27" s="53" t="s">
        <v>161</v>
      </c>
      <c r="L27" s="53">
        <v>2</v>
      </c>
      <c r="N27" s="53">
        <v>1</v>
      </c>
      <c r="O27" s="34">
        <v>0.8</v>
      </c>
      <c r="P27" s="53">
        <v>0.75</v>
      </c>
      <c r="Q27" s="75">
        <f t="shared" si="0"/>
        <v>0.77500000000000002</v>
      </c>
      <c r="R27" s="53">
        <v>18.2</v>
      </c>
      <c r="S27" s="53">
        <v>120</v>
      </c>
      <c r="T27" s="16">
        <f t="shared" si="1"/>
        <v>30</v>
      </c>
      <c r="U27" s="53">
        <v>100</v>
      </c>
      <c r="V27" s="129">
        <f t="shared" si="2"/>
        <v>3000</v>
      </c>
      <c r="W27" s="53">
        <v>6</v>
      </c>
      <c r="X27" s="127" t="s">
        <v>39</v>
      </c>
      <c r="Y27" s="53" t="s">
        <v>78</v>
      </c>
      <c r="Z27" s="53" t="s">
        <v>102</v>
      </c>
      <c r="AA27" s="53" t="s">
        <v>90</v>
      </c>
      <c r="AB27" s="127" t="s">
        <v>235</v>
      </c>
      <c r="AC27" s="34"/>
      <c r="AD27" s="34"/>
      <c r="AE27" s="28"/>
      <c r="AP27" s="27" t="s">
        <v>118</v>
      </c>
      <c r="AR27" s="23"/>
    </row>
    <row r="28" spans="1:48" x14ac:dyDescent="0.15">
      <c r="A28" s="127" t="s">
        <v>61</v>
      </c>
      <c r="B28" s="127" t="s">
        <v>231</v>
      </c>
      <c r="C28" s="127">
        <v>2019</v>
      </c>
      <c r="D28" s="128" t="s">
        <v>282</v>
      </c>
      <c r="E28" s="127" t="s">
        <v>291</v>
      </c>
      <c r="F28" s="127" t="s">
        <v>292</v>
      </c>
      <c r="G28" s="127" t="s">
        <v>42</v>
      </c>
      <c r="H28" s="53" t="s">
        <v>164</v>
      </c>
      <c r="I28" s="53" t="s">
        <v>196</v>
      </c>
      <c r="J28" s="127" t="s">
        <v>38</v>
      </c>
      <c r="K28" s="53" t="s">
        <v>161</v>
      </c>
      <c r="L28" s="53">
        <v>3</v>
      </c>
      <c r="N28" s="53">
        <v>1</v>
      </c>
      <c r="O28" s="34">
        <v>0.65</v>
      </c>
      <c r="P28" s="53">
        <v>0.5</v>
      </c>
      <c r="Q28" s="75">
        <f t="shared" si="0"/>
        <v>0.57499999999999996</v>
      </c>
      <c r="R28" s="53">
        <v>16.2</v>
      </c>
      <c r="S28" s="53">
        <v>118</v>
      </c>
      <c r="T28" s="16">
        <f t="shared" si="1"/>
        <v>30</v>
      </c>
      <c r="U28" s="53">
        <v>100</v>
      </c>
      <c r="V28" s="129">
        <f t="shared" si="2"/>
        <v>3000</v>
      </c>
      <c r="W28" s="53">
        <v>6</v>
      </c>
      <c r="X28" s="127" t="s">
        <v>39</v>
      </c>
      <c r="Y28" s="53" t="s">
        <v>78</v>
      </c>
      <c r="Z28" s="53" t="s">
        <v>102</v>
      </c>
      <c r="AA28" s="53" t="s">
        <v>90</v>
      </c>
      <c r="AB28" s="127" t="s">
        <v>235</v>
      </c>
      <c r="AC28" s="34"/>
      <c r="AD28" s="34"/>
      <c r="AP28" s="27"/>
      <c r="AR28" s="23"/>
    </row>
    <row r="29" spans="1:48" x14ac:dyDescent="0.15">
      <c r="A29" s="127" t="s">
        <v>61</v>
      </c>
      <c r="B29" s="127" t="s">
        <v>231</v>
      </c>
      <c r="C29" s="127">
        <v>2019</v>
      </c>
      <c r="D29" s="128" t="s">
        <v>282</v>
      </c>
      <c r="E29" s="127" t="s">
        <v>291</v>
      </c>
      <c r="F29" s="127" t="s">
        <v>292</v>
      </c>
      <c r="G29" s="127" t="s">
        <v>42</v>
      </c>
      <c r="H29" s="53" t="s">
        <v>160</v>
      </c>
      <c r="I29" s="53" t="s">
        <v>159</v>
      </c>
      <c r="J29" s="127" t="s">
        <v>38</v>
      </c>
      <c r="K29" s="53" t="s">
        <v>161</v>
      </c>
      <c r="L29" s="53">
        <v>1</v>
      </c>
      <c r="N29" s="53">
        <v>1</v>
      </c>
      <c r="O29" s="34">
        <v>0.65</v>
      </c>
      <c r="P29" s="53">
        <v>0.8</v>
      </c>
      <c r="Q29" s="75">
        <f t="shared" si="0"/>
        <v>0.72500000000000009</v>
      </c>
      <c r="R29" s="53">
        <v>17.2</v>
      </c>
      <c r="S29" s="53">
        <v>131</v>
      </c>
      <c r="T29" s="16">
        <f t="shared" si="1"/>
        <v>25</v>
      </c>
      <c r="U29" s="53">
        <v>128</v>
      </c>
      <c r="V29" s="129">
        <f t="shared" si="2"/>
        <v>3200</v>
      </c>
      <c r="W29" s="53">
        <v>6</v>
      </c>
      <c r="X29" s="127" t="s">
        <v>39</v>
      </c>
      <c r="Y29" s="53" t="s">
        <v>78</v>
      </c>
      <c r="Z29" s="53" t="s">
        <v>102</v>
      </c>
      <c r="AA29" s="53" t="s">
        <v>90</v>
      </c>
      <c r="AB29" s="127" t="s">
        <v>235</v>
      </c>
      <c r="AC29" s="34"/>
    </row>
    <row r="30" spans="1:48" x14ac:dyDescent="0.15">
      <c r="A30" s="127" t="s">
        <v>61</v>
      </c>
      <c r="B30" s="127" t="s">
        <v>231</v>
      </c>
      <c r="C30" s="127">
        <v>2019</v>
      </c>
      <c r="D30" s="128" t="s">
        <v>282</v>
      </c>
      <c r="E30" s="127" t="s">
        <v>291</v>
      </c>
      <c r="F30" s="127" t="s">
        <v>292</v>
      </c>
      <c r="G30" s="127" t="s">
        <v>42</v>
      </c>
      <c r="H30" s="53" t="s">
        <v>160</v>
      </c>
      <c r="I30" s="53" t="s">
        <v>159</v>
      </c>
      <c r="J30" s="127" t="s">
        <v>38</v>
      </c>
      <c r="K30" s="53" t="s">
        <v>161</v>
      </c>
      <c r="L30" s="53">
        <v>2</v>
      </c>
      <c r="N30" s="53">
        <v>1</v>
      </c>
      <c r="O30" s="34">
        <v>0.75</v>
      </c>
      <c r="P30" s="53">
        <v>0.75</v>
      </c>
      <c r="Q30" s="75">
        <f t="shared" si="0"/>
        <v>0.75</v>
      </c>
      <c r="R30" s="53">
        <v>17.399999999999999</v>
      </c>
      <c r="S30" s="53">
        <v>124</v>
      </c>
      <c r="T30" s="16">
        <f t="shared" si="1"/>
        <v>27</v>
      </c>
      <c r="U30" s="53">
        <v>128</v>
      </c>
      <c r="V30" s="129">
        <f t="shared" si="2"/>
        <v>3456</v>
      </c>
      <c r="W30" s="53">
        <v>6</v>
      </c>
      <c r="X30" s="127" t="s">
        <v>39</v>
      </c>
      <c r="Y30" s="53" t="s">
        <v>78</v>
      </c>
      <c r="Z30" s="53" t="s">
        <v>102</v>
      </c>
      <c r="AA30" s="53" t="s">
        <v>90</v>
      </c>
      <c r="AB30" s="127" t="s">
        <v>235</v>
      </c>
      <c r="AC30" s="34"/>
    </row>
    <row r="31" spans="1:48" x14ac:dyDescent="0.15">
      <c r="A31" s="127" t="s">
        <v>61</v>
      </c>
      <c r="B31" s="127" t="s">
        <v>231</v>
      </c>
      <c r="C31" s="127">
        <v>2019</v>
      </c>
      <c r="D31" s="128" t="s">
        <v>282</v>
      </c>
      <c r="E31" s="127" t="s">
        <v>291</v>
      </c>
      <c r="F31" s="127" t="s">
        <v>292</v>
      </c>
      <c r="G31" s="127" t="s">
        <v>42</v>
      </c>
      <c r="H31" s="53" t="s">
        <v>160</v>
      </c>
      <c r="I31" s="53" t="s">
        <v>159</v>
      </c>
      <c r="J31" s="127" t="s">
        <v>38</v>
      </c>
      <c r="K31" s="53" t="s">
        <v>161</v>
      </c>
      <c r="L31" s="53">
        <v>3</v>
      </c>
      <c r="N31" s="53">
        <v>1</v>
      </c>
      <c r="O31" s="34">
        <v>0.5</v>
      </c>
      <c r="P31" s="53">
        <v>0.7</v>
      </c>
      <c r="Q31" s="75">
        <f t="shared" si="0"/>
        <v>0.6</v>
      </c>
      <c r="R31" s="53">
        <v>18.100000000000001</v>
      </c>
      <c r="S31" s="53">
        <v>128</v>
      </c>
      <c r="T31" s="16">
        <f t="shared" si="1"/>
        <v>27</v>
      </c>
      <c r="U31" s="53">
        <v>128</v>
      </c>
      <c r="V31" s="129">
        <f t="shared" si="2"/>
        <v>3456</v>
      </c>
      <c r="W31" s="53">
        <v>6</v>
      </c>
      <c r="X31" s="127" t="s">
        <v>39</v>
      </c>
      <c r="Y31" s="53" t="s">
        <v>78</v>
      </c>
      <c r="Z31" s="53" t="s">
        <v>102</v>
      </c>
      <c r="AA31" s="53" t="s">
        <v>90</v>
      </c>
      <c r="AB31" s="127" t="s">
        <v>235</v>
      </c>
      <c r="AC31" s="34"/>
    </row>
    <row r="32" spans="1:48" x14ac:dyDescent="0.15">
      <c r="A32" s="127" t="s">
        <v>61</v>
      </c>
      <c r="B32" s="127" t="s">
        <v>231</v>
      </c>
      <c r="C32" s="127">
        <v>2019</v>
      </c>
      <c r="D32" s="128" t="s">
        <v>282</v>
      </c>
      <c r="E32" s="127" t="s">
        <v>293</v>
      </c>
      <c r="F32" s="127" t="s">
        <v>294</v>
      </c>
      <c r="G32" s="127" t="s">
        <v>42</v>
      </c>
      <c r="H32" s="53" t="s">
        <v>164</v>
      </c>
      <c r="I32" s="53" t="s">
        <v>159</v>
      </c>
      <c r="J32" s="127" t="s">
        <v>38</v>
      </c>
      <c r="K32" s="53" t="s">
        <v>161</v>
      </c>
      <c r="L32" s="53">
        <v>1</v>
      </c>
      <c r="N32" s="53">
        <v>1</v>
      </c>
      <c r="O32" s="34">
        <v>0.5</v>
      </c>
      <c r="P32" s="53">
        <v>0.5</v>
      </c>
      <c r="Q32" s="75">
        <f t="shared" si="0"/>
        <v>0.5</v>
      </c>
      <c r="R32" s="53">
        <v>16.2</v>
      </c>
      <c r="S32" s="53">
        <v>131</v>
      </c>
      <c r="T32" s="16">
        <f t="shared" si="1"/>
        <v>25</v>
      </c>
      <c r="U32" s="53">
        <v>98</v>
      </c>
      <c r="V32" s="129">
        <f t="shared" si="2"/>
        <v>2450</v>
      </c>
      <c r="W32" s="53">
        <v>6</v>
      </c>
      <c r="X32" s="127" t="s">
        <v>46</v>
      </c>
      <c r="Y32" s="53" t="s">
        <v>69</v>
      </c>
      <c r="Z32" s="53" t="s">
        <v>311</v>
      </c>
      <c r="AA32" s="53" t="s">
        <v>90</v>
      </c>
      <c r="AB32" s="127" t="s">
        <v>235</v>
      </c>
      <c r="AC32" s="34"/>
    </row>
    <row r="33" spans="1:29" x14ac:dyDescent="0.15">
      <c r="A33" s="127" t="s">
        <v>61</v>
      </c>
      <c r="B33" s="127" t="s">
        <v>231</v>
      </c>
      <c r="C33" s="127">
        <v>2019</v>
      </c>
      <c r="D33" s="128" t="s">
        <v>282</v>
      </c>
      <c r="E33" s="127" t="s">
        <v>293</v>
      </c>
      <c r="F33" s="127" t="s">
        <v>294</v>
      </c>
      <c r="G33" s="127" t="s">
        <v>42</v>
      </c>
      <c r="H33" s="53" t="s">
        <v>164</v>
      </c>
      <c r="I33" s="53" t="s">
        <v>159</v>
      </c>
      <c r="J33" s="127" t="s">
        <v>38</v>
      </c>
      <c r="K33" s="53" t="s">
        <v>161</v>
      </c>
      <c r="L33" s="53">
        <v>2</v>
      </c>
      <c r="N33" s="53">
        <v>1</v>
      </c>
      <c r="O33" s="34">
        <v>0.5</v>
      </c>
      <c r="P33" s="53">
        <v>0.5</v>
      </c>
      <c r="Q33" s="75">
        <f t="shared" si="0"/>
        <v>0.5</v>
      </c>
      <c r="R33" s="53">
        <v>14.9</v>
      </c>
      <c r="S33" s="53">
        <v>129</v>
      </c>
      <c r="T33" s="16">
        <f t="shared" si="1"/>
        <v>25</v>
      </c>
      <c r="U33" s="53">
        <v>98</v>
      </c>
      <c r="V33" s="129">
        <f t="shared" si="2"/>
        <v>2450</v>
      </c>
      <c r="W33" s="53">
        <v>6</v>
      </c>
      <c r="X33" s="127" t="s">
        <v>46</v>
      </c>
      <c r="Y33" s="53" t="s">
        <v>69</v>
      </c>
      <c r="Z33" s="53" t="s">
        <v>311</v>
      </c>
      <c r="AA33" s="53" t="s">
        <v>90</v>
      </c>
      <c r="AB33" s="127" t="s">
        <v>235</v>
      </c>
      <c r="AC33" s="34"/>
    </row>
    <row r="34" spans="1:29" x14ac:dyDescent="0.15">
      <c r="A34" s="127" t="s">
        <v>61</v>
      </c>
      <c r="B34" s="127" t="s">
        <v>231</v>
      </c>
      <c r="C34" s="127">
        <v>2019</v>
      </c>
      <c r="D34" s="128" t="s">
        <v>282</v>
      </c>
      <c r="E34" s="127" t="s">
        <v>293</v>
      </c>
      <c r="F34" s="127" t="s">
        <v>294</v>
      </c>
      <c r="G34" s="127" t="s">
        <v>42</v>
      </c>
      <c r="H34" s="53" t="s">
        <v>164</v>
      </c>
      <c r="I34" s="53" t="s">
        <v>159</v>
      </c>
      <c r="J34" s="127" t="s">
        <v>38</v>
      </c>
      <c r="K34" s="53" t="s">
        <v>161</v>
      </c>
      <c r="L34" s="53">
        <v>3</v>
      </c>
      <c r="N34" s="53">
        <v>1</v>
      </c>
      <c r="O34" s="34">
        <v>0.5</v>
      </c>
      <c r="P34" s="53">
        <v>0.5</v>
      </c>
      <c r="Q34" s="75">
        <f t="shared" si="0"/>
        <v>0.5</v>
      </c>
      <c r="R34" s="53">
        <v>17.2</v>
      </c>
      <c r="S34" s="53">
        <v>132</v>
      </c>
      <c r="T34" s="16">
        <f t="shared" si="1"/>
        <v>25</v>
      </c>
      <c r="U34" s="53">
        <v>98</v>
      </c>
      <c r="V34" s="129">
        <f t="shared" si="2"/>
        <v>2450</v>
      </c>
      <c r="W34" s="53">
        <v>6</v>
      </c>
      <c r="X34" s="127" t="s">
        <v>46</v>
      </c>
      <c r="Y34" s="53" t="s">
        <v>69</v>
      </c>
      <c r="Z34" s="53" t="s">
        <v>311</v>
      </c>
      <c r="AA34" s="53" t="s">
        <v>90</v>
      </c>
      <c r="AB34" s="127" t="s">
        <v>235</v>
      </c>
      <c r="AC34" s="34"/>
    </row>
    <row r="35" spans="1:29" x14ac:dyDescent="0.15">
      <c r="A35" s="127" t="s">
        <v>61</v>
      </c>
      <c r="B35" s="127" t="s">
        <v>231</v>
      </c>
      <c r="C35" s="127">
        <v>2019</v>
      </c>
      <c r="D35" s="128" t="s">
        <v>282</v>
      </c>
      <c r="E35" s="127" t="s">
        <v>293</v>
      </c>
      <c r="F35" s="127" t="s">
        <v>294</v>
      </c>
      <c r="G35" s="127" t="s">
        <v>42</v>
      </c>
      <c r="H35" s="53" t="s">
        <v>160</v>
      </c>
      <c r="I35" s="53" t="s">
        <v>159</v>
      </c>
      <c r="J35" s="127" t="s">
        <v>38</v>
      </c>
      <c r="K35" s="53" t="s">
        <v>161</v>
      </c>
      <c r="L35" s="53">
        <v>1</v>
      </c>
      <c r="N35" s="53">
        <v>1</v>
      </c>
      <c r="O35" s="34">
        <v>0.5</v>
      </c>
      <c r="P35" s="53">
        <v>0.6</v>
      </c>
      <c r="Q35" s="75">
        <f t="shared" si="0"/>
        <v>0.55000000000000004</v>
      </c>
      <c r="R35" s="53">
        <v>18.100000000000001</v>
      </c>
      <c r="S35" s="53">
        <v>140</v>
      </c>
      <c r="T35" s="16">
        <f t="shared" si="1"/>
        <v>22</v>
      </c>
      <c r="U35" s="53">
        <v>128</v>
      </c>
      <c r="V35" s="129">
        <f t="shared" si="2"/>
        <v>2816</v>
      </c>
      <c r="W35" s="53">
        <v>6</v>
      </c>
      <c r="X35" s="127" t="s">
        <v>46</v>
      </c>
      <c r="Y35" s="53" t="s">
        <v>69</v>
      </c>
      <c r="Z35" s="53" t="s">
        <v>311</v>
      </c>
      <c r="AA35" s="53" t="s">
        <v>90</v>
      </c>
      <c r="AB35" s="127" t="s">
        <v>235</v>
      </c>
      <c r="AC35" s="34"/>
    </row>
    <row r="36" spans="1:29" x14ac:dyDescent="0.15">
      <c r="A36" s="127" t="s">
        <v>61</v>
      </c>
      <c r="B36" s="127" t="s">
        <v>231</v>
      </c>
      <c r="C36" s="127">
        <v>2019</v>
      </c>
      <c r="D36" s="128" t="s">
        <v>282</v>
      </c>
      <c r="E36" s="127" t="s">
        <v>293</v>
      </c>
      <c r="F36" s="127" t="s">
        <v>294</v>
      </c>
      <c r="G36" s="127" t="s">
        <v>42</v>
      </c>
      <c r="H36" s="53" t="s">
        <v>160</v>
      </c>
      <c r="I36" s="53" t="s">
        <v>159</v>
      </c>
      <c r="J36" s="127" t="s">
        <v>38</v>
      </c>
      <c r="K36" s="53" t="s">
        <v>161</v>
      </c>
      <c r="L36" s="53">
        <v>2</v>
      </c>
      <c r="N36" s="53">
        <v>1</v>
      </c>
      <c r="O36" s="34">
        <v>0.5</v>
      </c>
      <c r="P36" s="53">
        <v>0.5</v>
      </c>
      <c r="Q36" s="75">
        <f t="shared" si="0"/>
        <v>0.5</v>
      </c>
      <c r="R36" s="53">
        <v>19.100000000000001</v>
      </c>
      <c r="S36" s="53">
        <v>141</v>
      </c>
      <c r="T36" s="16">
        <f t="shared" si="1"/>
        <v>22</v>
      </c>
      <c r="U36" s="53">
        <v>128</v>
      </c>
      <c r="V36" s="129">
        <f t="shared" si="2"/>
        <v>2816</v>
      </c>
      <c r="W36" s="53">
        <v>6</v>
      </c>
      <c r="X36" s="127" t="s">
        <v>46</v>
      </c>
      <c r="Y36" s="53" t="s">
        <v>69</v>
      </c>
      <c r="Z36" s="53" t="s">
        <v>311</v>
      </c>
      <c r="AA36" s="53" t="s">
        <v>90</v>
      </c>
      <c r="AB36" s="127" t="s">
        <v>235</v>
      </c>
      <c r="AC36" s="34"/>
    </row>
    <row r="37" spans="1:29" x14ac:dyDescent="0.15">
      <c r="A37" s="127" t="s">
        <v>61</v>
      </c>
      <c r="B37" s="127" t="s">
        <v>231</v>
      </c>
      <c r="C37" s="127">
        <v>2019</v>
      </c>
      <c r="D37" s="128" t="s">
        <v>282</v>
      </c>
      <c r="E37" s="127" t="s">
        <v>293</v>
      </c>
      <c r="F37" s="127" t="s">
        <v>294</v>
      </c>
      <c r="G37" s="127" t="s">
        <v>42</v>
      </c>
      <c r="H37" s="53" t="s">
        <v>160</v>
      </c>
      <c r="I37" s="53" t="s">
        <v>159</v>
      </c>
      <c r="J37" s="127" t="s">
        <v>38</v>
      </c>
      <c r="K37" s="53" t="s">
        <v>161</v>
      </c>
      <c r="L37" s="53">
        <v>3</v>
      </c>
      <c r="N37" s="53">
        <v>1</v>
      </c>
      <c r="O37" s="53">
        <v>0.5</v>
      </c>
      <c r="P37" s="53">
        <v>0.65</v>
      </c>
      <c r="Q37" s="75">
        <f t="shared" si="0"/>
        <v>0.57499999999999996</v>
      </c>
      <c r="R37" s="53">
        <v>19.2</v>
      </c>
      <c r="S37" s="53">
        <v>128</v>
      </c>
      <c r="T37" s="16">
        <f t="shared" si="1"/>
        <v>27</v>
      </c>
      <c r="U37" s="53">
        <v>128</v>
      </c>
      <c r="V37" s="129">
        <f t="shared" si="2"/>
        <v>3456</v>
      </c>
      <c r="W37" s="53">
        <v>6</v>
      </c>
      <c r="X37" s="127" t="s">
        <v>46</v>
      </c>
      <c r="Y37" s="53" t="s">
        <v>69</v>
      </c>
      <c r="Z37" s="53" t="s">
        <v>311</v>
      </c>
      <c r="AA37" s="53" t="s">
        <v>90</v>
      </c>
      <c r="AB37" s="127" t="s">
        <v>235</v>
      </c>
      <c r="AC37" s="34"/>
    </row>
    <row r="38" spans="1:29" x14ac:dyDescent="0.15">
      <c r="A38" s="127" t="s">
        <v>61</v>
      </c>
      <c r="B38" s="127" t="s">
        <v>231</v>
      </c>
      <c r="C38" s="127">
        <v>2019</v>
      </c>
      <c r="D38" s="128" t="s">
        <v>282</v>
      </c>
      <c r="E38" s="127" t="s">
        <v>295</v>
      </c>
      <c r="F38" s="127" t="s">
        <v>296</v>
      </c>
      <c r="G38" s="127" t="s">
        <v>42</v>
      </c>
      <c r="H38" s="53" t="s">
        <v>164</v>
      </c>
      <c r="I38" s="53" t="s">
        <v>159</v>
      </c>
      <c r="J38" s="127" t="s">
        <v>38</v>
      </c>
      <c r="K38" s="53" t="s">
        <v>161</v>
      </c>
      <c r="L38" s="53">
        <v>1</v>
      </c>
      <c r="N38" s="53">
        <v>1</v>
      </c>
      <c r="O38" s="34">
        <v>0.5</v>
      </c>
      <c r="P38" s="53">
        <v>0.5</v>
      </c>
      <c r="Q38" s="75">
        <f t="shared" si="0"/>
        <v>0.5</v>
      </c>
      <c r="R38" s="53">
        <v>17.2</v>
      </c>
      <c r="S38" s="53">
        <v>112</v>
      </c>
      <c r="T38" s="16">
        <f t="shared" si="1"/>
        <v>33</v>
      </c>
      <c r="U38" s="53">
        <v>116</v>
      </c>
      <c r="V38" s="129">
        <f t="shared" si="2"/>
        <v>3828</v>
      </c>
      <c r="W38" s="53">
        <v>6</v>
      </c>
      <c r="X38" s="127" t="s">
        <v>39</v>
      </c>
      <c r="Y38" s="53" t="s">
        <v>102</v>
      </c>
      <c r="Z38" s="53" t="s">
        <v>90</v>
      </c>
      <c r="AA38" s="53" t="s">
        <v>69</v>
      </c>
      <c r="AB38" s="127" t="s">
        <v>235</v>
      </c>
    </row>
    <row r="39" spans="1:29" x14ac:dyDescent="0.15">
      <c r="A39" s="127" t="s">
        <v>61</v>
      </c>
      <c r="B39" s="127" t="s">
        <v>231</v>
      </c>
      <c r="C39" s="127">
        <v>2020</v>
      </c>
      <c r="D39" s="128" t="s">
        <v>282</v>
      </c>
      <c r="E39" s="127" t="s">
        <v>295</v>
      </c>
      <c r="F39" s="127" t="s">
        <v>296</v>
      </c>
      <c r="G39" s="127" t="s">
        <v>42</v>
      </c>
      <c r="H39" s="53" t="s">
        <v>164</v>
      </c>
      <c r="I39" s="53" t="s">
        <v>159</v>
      </c>
      <c r="J39" s="127" t="s">
        <v>38</v>
      </c>
      <c r="K39" s="53" t="s">
        <v>161</v>
      </c>
      <c r="L39" s="53">
        <v>2</v>
      </c>
      <c r="N39" s="53">
        <v>1</v>
      </c>
      <c r="O39" s="34">
        <v>0.5</v>
      </c>
      <c r="P39" s="53">
        <v>0.5</v>
      </c>
      <c r="Q39" s="75">
        <f t="shared" si="0"/>
        <v>0.5</v>
      </c>
      <c r="R39" s="53">
        <v>14.5</v>
      </c>
      <c r="S39" s="53">
        <v>107</v>
      </c>
      <c r="T39" s="16">
        <f t="shared" si="1"/>
        <v>33</v>
      </c>
      <c r="U39" s="53">
        <v>116</v>
      </c>
      <c r="V39" s="129">
        <f t="shared" si="2"/>
        <v>3828</v>
      </c>
      <c r="W39" s="53">
        <v>6</v>
      </c>
      <c r="X39" s="127" t="s">
        <v>39</v>
      </c>
      <c r="Y39" s="53" t="s">
        <v>102</v>
      </c>
      <c r="Z39" s="53" t="s">
        <v>90</v>
      </c>
      <c r="AA39" s="53" t="s">
        <v>69</v>
      </c>
      <c r="AB39" s="127" t="s">
        <v>235</v>
      </c>
    </row>
    <row r="40" spans="1:29" x14ac:dyDescent="0.15">
      <c r="A40" s="127" t="s">
        <v>61</v>
      </c>
      <c r="B40" s="127" t="s">
        <v>231</v>
      </c>
      <c r="C40" s="127">
        <v>2021</v>
      </c>
      <c r="D40" s="128" t="s">
        <v>282</v>
      </c>
      <c r="E40" s="127" t="s">
        <v>295</v>
      </c>
      <c r="F40" s="127" t="s">
        <v>296</v>
      </c>
      <c r="G40" s="127" t="s">
        <v>42</v>
      </c>
      <c r="H40" s="53" t="s">
        <v>164</v>
      </c>
      <c r="I40" s="53" t="s">
        <v>159</v>
      </c>
      <c r="J40" s="127" t="s">
        <v>38</v>
      </c>
      <c r="K40" s="53" t="s">
        <v>161</v>
      </c>
      <c r="L40" s="53">
        <v>3</v>
      </c>
      <c r="N40" s="53">
        <v>1</v>
      </c>
      <c r="O40" s="34">
        <v>0.5</v>
      </c>
      <c r="P40" s="53">
        <v>0.5</v>
      </c>
      <c r="Q40" s="75">
        <f t="shared" si="0"/>
        <v>0.5</v>
      </c>
      <c r="R40" s="53">
        <v>17.3</v>
      </c>
      <c r="S40" s="53">
        <v>105</v>
      </c>
      <c r="T40" s="16">
        <f t="shared" si="1"/>
        <v>33</v>
      </c>
      <c r="U40" s="53">
        <v>116</v>
      </c>
      <c r="V40" s="129">
        <f t="shared" si="2"/>
        <v>3828</v>
      </c>
      <c r="W40" s="53">
        <v>6</v>
      </c>
      <c r="X40" s="127" t="s">
        <v>39</v>
      </c>
      <c r="Y40" s="53" t="s">
        <v>102</v>
      </c>
      <c r="Z40" s="53" t="s">
        <v>90</v>
      </c>
      <c r="AA40" s="53" t="s">
        <v>69</v>
      </c>
      <c r="AB40" s="127" t="s">
        <v>235</v>
      </c>
    </row>
    <row r="41" spans="1:29" x14ac:dyDescent="0.15">
      <c r="A41" s="127" t="s">
        <v>61</v>
      </c>
      <c r="B41" s="127" t="s">
        <v>231</v>
      </c>
      <c r="C41" s="127">
        <v>2022</v>
      </c>
      <c r="D41" s="128" t="s">
        <v>282</v>
      </c>
      <c r="E41" s="127" t="s">
        <v>295</v>
      </c>
      <c r="F41" s="127" t="s">
        <v>296</v>
      </c>
      <c r="G41" s="127" t="s">
        <v>42</v>
      </c>
      <c r="H41" s="53" t="s">
        <v>160</v>
      </c>
      <c r="I41" s="53" t="s">
        <v>159</v>
      </c>
      <c r="J41" s="127" t="s">
        <v>38</v>
      </c>
      <c r="K41" s="53" t="s">
        <v>161</v>
      </c>
      <c r="L41" s="53">
        <v>1</v>
      </c>
      <c r="N41" s="53">
        <v>1</v>
      </c>
      <c r="O41" s="34">
        <v>0.5</v>
      </c>
      <c r="P41" s="53">
        <v>0.5</v>
      </c>
      <c r="Q41" s="75">
        <f t="shared" si="0"/>
        <v>0.5</v>
      </c>
      <c r="R41" s="53">
        <v>17.3</v>
      </c>
      <c r="S41" s="53">
        <v>133</v>
      </c>
      <c r="T41" s="16">
        <f t="shared" si="1"/>
        <v>25</v>
      </c>
      <c r="U41" s="53">
        <v>149</v>
      </c>
      <c r="V41" s="129">
        <f t="shared" si="2"/>
        <v>3725</v>
      </c>
      <c r="W41" s="53">
        <v>6</v>
      </c>
      <c r="X41" s="127" t="s">
        <v>39</v>
      </c>
      <c r="Y41" s="53" t="s">
        <v>102</v>
      </c>
      <c r="Z41" s="53" t="s">
        <v>90</v>
      </c>
      <c r="AA41" s="53" t="s">
        <v>69</v>
      </c>
      <c r="AB41" s="127" t="s">
        <v>235</v>
      </c>
      <c r="AC41" s="34"/>
    </row>
    <row r="42" spans="1:29" x14ac:dyDescent="0.15">
      <c r="A42" s="127" t="s">
        <v>61</v>
      </c>
      <c r="B42" s="127" t="s">
        <v>231</v>
      </c>
      <c r="C42" s="127">
        <v>2023</v>
      </c>
      <c r="D42" s="128" t="s">
        <v>282</v>
      </c>
      <c r="E42" s="127" t="s">
        <v>295</v>
      </c>
      <c r="F42" s="127" t="s">
        <v>296</v>
      </c>
      <c r="G42" s="127" t="s">
        <v>42</v>
      </c>
      <c r="H42" s="53" t="s">
        <v>160</v>
      </c>
      <c r="I42" s="53" t="s">
        <v>159</v>
      </c>
      <c r="J42" s="127" t="s">
        <v>38</v>
      </c>
      <c r="K42" s="53" t="s">
        <v>161</v>
      </c>
      <c r="L42" s="53">
        <v>2</v>
      </c>
      <c r="N42" s="53">
        <v>1</v>
      </c>
      <c r="O42" s="34">
        <v>0.6</v>
      </c>
      <c r="P42" s="53">
        <v>0.5</v>
      </c>
      <c r="Q42" s="75">
        <f t="shared" si="0"/>
        <v>0.55000000000000004</v>
      </c>
      <c r="R42" s="53">
        <v>16.899999999999999</v>
      </c>
      <c r="S42" s="53">
        <v>131</v>
      </c>
      <c r="T42" s="16">
        <f t="shared" si="1"/>
        <v>25</v>
      </c>
      <c r="U42" s="53">
        <v>149</v>
      </c>
      <c r="V42" s="129">
        <f t="shared" si="2"/>
        <v>3725</v>
      </c>
      <c r="W42" s="53">
        <v>6</v>
      </c>
      <c r="X42" s="127" t="s">
        <v>39</v>
      </c>
      <c r="Y42" s="53" t="s">
        <v>102</v>
      </c>
      <c r="Z42" s="53" t="s">
        <v>90</v>
      </c>
      <c r="AA42" s="53" t="s">
        <v>69</v>
      </c>
      <c r="AB42" s="127" t="s">
        <v>235</v>
      </c>
      <c r="AC42" s="34"/>
    </row>
    <row r="43" spans="1:29" x14ac:dyDescent="0.15">
      <c r="A43" s="127" t="s">
        <v>61</v>
      </c>
      <c r="B43" s="127" t="s">
        <v>231</v>
      </c>
      <c r="C43" s="127">
        <v>2024</v>
      </c>
      <c r="D43" s="128" t="s">
        <v>282</v>
      </c>
      <c r="E43" s="127" t="s">
        <v>295</v>
      </c>
      <c r="F43" s="127" t="s">
        <v>296</v>
      </c>
      <c r="G43" s="127" t="s">
        <v>42</v>
      </c>
      <c r="H43" s="53" t="s">
        <v>160</v>
      </c>
      <c r="I43" s="53" t="s">
        <v>159</v>
      </c>
      <c r="J43" s="127" t="s">
        <v>38</v>
      </c>
      <c r="K43" s="53" t="s">
        <v>161</v>
      </c>
      <c r="L43" s="53">
        <v>3</v>
      </c>
      <c r="N43" s="53">
        <v>1</v>
      </c>
      <c r="O43" s="34">
        <v>0.5</v>
      </c>
      <c r="P43" s="53">
        <v>0.5</v>
      </c>
      <c r="Q43" s="75">
        <f t="shared" si="0"/>
        <v>0.5</v>
      </c>
      <c r="R43" s="34">
        <v>18.8</v>
      </c>
      <c r="S43" s="53">
        <v>132</v>
      </c>
      <c r="T43" s="16">
        <f t="shared" si="1"/>
        <v>25</v>
      </c>
      <c r="U43" s="53">
        <v>149</v>
      </c>
      <c r="V43" s="129">
        <f t="shared" si="2"/>
        <v>3725</v>
      </c>
      <c r="W43" s="53">
        <v>6</v>
      </c>
      <c r="X43" s="127" t="s">
        <v>39</v>
      </c>
      <c r="Y43" s="53" t="s">
        <v>102</v>
      </c>
      <c r="Z43" s="53" t="s">
        <v>90</v>
      </c>
      <c r="AA43" s="53" t="s">
        <v>69</v>
      </c>
      <c r="AB43" s="127" t="s">
        <v>235</v>
      </c>
      <c r="AC43" s="34"/>
    </row>
    <row r="44" spans="1:29" x14ac:dyDescent="0.15">
      <c r="A44" s="127" t="s">
        <v>61</v>
      </c>
      <c r="B44" s="127" t="s">
        <v>231</v>
      </c>
      <c r="C44" s="127">
        <v>2019</v>
      </c>
      <c r="D44" s="128" t="s">
        <v>282</v>
      </c>
      <c r="E44" s="127" t="s">
        <v>133</v>
      </c>
      <c r="F44" s="127" t="s">
        <v>297</v>
      </c>
      <c r="G44" s="127" t="s">
        <v>42</v>
      </c>
      <c r="H44" s="53" t="s">
        <v>164</v>
      </c>
      <c r="I44" s="53" t="s">
        <v>159</v>
      </c>
      <c r="J44" s="127" t="s">
        <v>38</v>
      </c>
      <c r="K44" s="53" t="s">
        <v>161</v>
      </c>
      <c r="L44" s="53">
        <v>1</v>
      </c>
      <c r="N44" s="53">
        <v>1</v>
      </c>
      <c r="O44" s="53">
        <v>0.75</v>
      </c>
      <c r="P44" s="53">
        <v>0.75</v>
      </c>
      <c r="Q44" s="75">
        <f t="shared" si="0"/>
        <v>0.75</v>
      </c>
      <c r="R44" s="53">
        <v>17.2</v>
      </c>
      <c r="S44" s="53">
        <v>127</v>
      </c>
      <c r="T44" s="16">
        <f t="shared" si="1"/>
        <v>27</v>
      </c>
      <c r="U44" s="53">
        <v>98</v>
      </c>
      <c r="V44" s="129">
        <f t="shared" si="2"/>
        <v>2646</v>
      </c>
      <c r="W44" s="53">
        <v>16</v>
      </c>
      <c r="X44" s="127" t="s">
        <v>46</v>
      </c>
      <c r="Y44" s="53" t="s">
        <v>78</v>
      </c>
      <c r="Z44" s="53" t="s">
        <v>102</v>
      </c>
      <c r="AA44" s="53" t="s">
        <v>90</v>
      </c>
      <c r="AB44" s="127" t="s">
        <v>235</v>
      </c>
      <c r="AC44" s="34"/>
    </row>
    <row r="45" spans="1:29" x14ac:dyDescent="0.15">
      <c r="A45" s="127" t="s">
        <v>61</v>
      </c>
      <c r="B45" s="127" t="s">
        <v>231</v>
      </c>
      <c r="C45" s="127">
        <v>2019</v>
      </c>
      <c r="D45" s="128" t="s">
        <v>282</v>
      </c>
      <c r="E45" s="127" t="s">
        <v>133</v>
      </c>
      <c r="F45" s="127" t="s">
        <v>297</v>
      </c>
      <c r="G45" s="127" t="s">
        <v>42</v>
      </c>
      <c r="H45" s="53" t="s">
        <v>164</v>
      </c>
      <c r="I45" s="53" t="s">
        <v>159</v>
      </c>
      <c r="J45" s="127" t="s">
        <v>38</v>
      </c>
      <c r="K45" s="53" t="s">
        <v>161</v>
      </c>
      <c r="L45" s="53">
        <v>2</v>
      </c>
      <c r="N45" s="53">
        <v>1</v>
      </c>
      <c r="O45" s="53">
        <v>0.65</v>
      </c>
      <c r="P45" s="53">
        <v>0.65</v>
      </c>
      <c r="Q45" s="75">
        <f t="shared" si="0"/>
        <v>0.65</v>
      </c>
      <c r="R45" s="53">
        <v>17.3</v>
      </c>
      <c r="S45" s="53">
        <v>128</v>
      </c>
      <c r="T45" s="16">
        <f t="shared" si="1"/>
        <v>27</v>
      </c>
      <c r="U45" s="53">
        <v>98</v>
      </c>
      <c r="V45" s="129">
        <f t="shared" si="2"/>
        <v>2646</v>
      </c>
      <c r="W45" s="53">
        <v>16</v>
      </c>
      <c r="X45" s="127" t="s">
        <v>46</v>
      </c>
      <c r="Y45" s="53" t="s">
        <v>78</v>
      </c>
      <c r="Z45" s="53" t="s">
        <v>102</v>
      </c>
      <c r="AA45" s="53" t="s">
        <v>90</v>
      </c>
      <c r="AB45" s="127" t="s">
        <v>235</v>
      </c>
      <c r="AC45" s="34"/>
    </row>
    <row r="46" spans="1:29" x14ac:dyDescent="0.15">
      <c r="A46" s="127" t="s">
        <v>61</v>
      </c>
      <c r="B46" s="127" t="s">
        <v>231</v>
      </c>
      <c r="C46" s="127">
        <v>2019</v>
      </c>
      <c r="D46" s="128" t="s">
        <v>282</v>
      </c>
      <c r="E46" s="127" t="s">
        <v>133</v>
      </c>
      <c r="F46" s="127" t="s">
        <v>297</v>
      </c>
      <c r="G46" s="127" t="s">
        <v>42</v>
      </c>
      <c r="H46" s="53" t="s">
        <v>164</v>
      </c>
      <c r="I46" s="53" t="s">
        <v>159</v>
      </c>
      <c r="J46" s="127" t="s">
        <v>38</v>
      </c>
      <c r="K46" s="53" t="s">
        <v>161</v>
      </c>
      <c r="L46" s="53">
        <v>3</v>
      </c>
      <c r="N46" s="53">
        <v>1</v>
      </c>
      <c r="O46" s="53">
        <v>0.75</v>
      </c>
      <c r="P46" s="53">
        <v>0.75</v>
      </c>
      <c r="Q46" s="75">
        <f t="shared" si="0"/>
        <v>0.75</v>
      </c>
      <c r="R46" s="53">
        <v>17.2</v>
      </c>
      <c r="S46" s="53">
        <v>122</v>
      </c>
      <c r="T46" s="16">
        <f t="shared" si="1"/>
        <v>27</v>
      </c>
      <c r="U46" s="53">
        <v>98</v>
      </c>
      <c r="V46" s="129">
        <f t="shared" si="2"/>
        <v>2646</v>
      </c>
      <c r="W46" s="53">
        <v>16</v>
      </c>
      <c r="X46" s="127" t="s">
        <v>46</v>
      </c>
      <c r="Y46" s="53" t="s">
        <v>78</v>
      </c>
      <c r="Z46" s="53" t="s">
        <v>102</v>
      </c>
      <c r="AA46" s="53" t="s">
        <v>90</v>
      </c>
      <c r="AB46" s="127" t="s">
        <v>235</v>
      </c>
      <c r="AC46" s="34"/>
    </row>
    <row r="47" spans="1:29" x14ac:dyDescent="0.15">
      <c r="A47" s="127" t="s">
        <v>61</v>
      </c>
      <c r="B47" s="127" t="s">
        <v>231</v>
      </c>
      <c r="C47" s="127">
        <v>2019</v>
      </c>
      <c r="D47" s="128" t="s">
        <v>282</v>
      </c>
      <c r="E47" s="127" t="s">
        <v>133</v>
      </c>
      <c r="F47" s="127" t="s">
        <v>297</v>
      </c>
      <c r="G47" s="127" t="s">
        <v>42</v>
      </c>
      <c r="H47" s="53" t="s">
        <v>160</v>
      </c>
      <c r="I47" s="53" t="s">
        <v>159</v>
      </c>
      <c r="J47" s="127" t="s">
        <v>38</v>
      </c>
      <c r="K47" s="53" t="s">
        <v>161</v>
      </c>
      <c r="L47" s="53">
        <v>1</v>
      </c>
      <c r="N47" s="53">
        <v>1</v>
      </c>
      <c r="O47" s="53">
        <v>0.5</v>
      </c>
      <c r="P47" s="53">
        <v>0.5</v>
      </c>
      <c r="Q47" s="75">
        <f t="shared" si="0"/>
        <v>0.5</v>
      </c>
      <c r="R47" s="53">
        <v>19.5</v>
      </c>
      <c r="S47" s="53">
        <v>134</v>
      </c>
      <c r="T47" s="16">
        <f t="shared" si="1"/>
        <v>25</v>
      </c>
      <c r="U47" s="53">
        <v>148</v>
      </c>
      <c r="V47" s="129">
        <f t="shared" si="2"/>
        <v>3700</v>
      </c>
      <c r="W47" s="53">
        <v>16</v>
      </c>
      <c r="X47" s="127" t="s">
        <v>46</v>
      </c>
      <c r="Y47" s="53" t="s">
        <v>78</v>
      </c>
      <c r="Z47" s="53" t="s">
        <v>102</v>
      </c>
      <c r="AA47" s="53" t="s">
        <v>90</v>
      </c>
      <c r="AB47" s="127" t="s">
        <v>235</v>
      </c>
      <c r="AC47" s="34"/>
    </row>
    <row r="48" spans="1:29" x14ac:dyDescent="0.15">
      <c r="A48" s="127" t="s">
        <v>61</v>
      </c>
      <c r="B48" s="127" t="s">
        <v>231</v>
      </c>
      <c r="C48" s="127">
        <v>2019</v>
      </c>
      <c r="D48" s="128" t="s">
        <v>282</v>
      </c>
      <c r="E48" s="127" t="s">
        <v>133</v>
      </c>
      <c r="F48" s="127" t="s">
        <v>297</v>
      </c>
      <c r="G48" s="127" t="s">
        <v>42</v>
      </c>
      <c r="H48" s="53" t="s">
        <v>160</v>
      </c>
      <c r="I48" s="53" t="s">
        <v>159</v>
      </c>
      <c r="J48" s="127" t="s">
        <v>38</v>
      </c>
      <c r="K48" s="53" t="s">
        <v>161</v>
      </c>
      <c r="L48" s="53">
        <v>2</v>
      </c>
      <c r="N48" s="53">
        <v>1</v>
      </c>
      <c r="O48" s="53">
        <v>0.8</v>
      </c>
      <c r="P48" s="53">
        <v>0.6</v>
      </c>
      <c r="Q48" s="75">
        <f t="shared" si="0"/>
        <v>0.7</v>
      </c>
      <c r="R48" s="53">
        <v>17.8</v>
      </c>
      <c r="S48" s="53">
        <v>139</v>
      </c>
      <c r="T48" s="16">
        <f t="shared" si="1"/>
        <v>22</v>
      </c>
      <c r="U48" s="53">
        <v>148</v>
      </c>
      <c r="V48" s="129">
        <f t="shared" si="2"/>
        <v>3256</v>
      </c>
      <c r="W48" s="53">
        <v>16</v>
      </c>
      <c r="X48" s="127" t="s">
        <v>46</v>
      </c>
      <c r="Y48" s="53" t="s">
        <v>78</v>
      </c>
      <c r="Z48" s="53" t="s">
        <v>102</v>
      </c>
      <c r="AA48" s="53" t="s">
        <v>90</v>
      </c>
      <c r="AB48" s="127" t="s">
        <v>235</v>
      </c>
      <c r="AC48" s="34"/>
    </row>
    <row r="49" spans="1:29" x14ac:dyDescent="0.15">
      <c r="A49" s="127" t="s">
        <v>61</v>
      </c>
      <c r="B49" s="127" t="s">
        <v>231</v>
      </c>
      <c r="C49" s="127">
        <v>2019</v>
      </c>
      <c r="D49" s="128" t="s">
        <v>282</v>
      </c>
      <c r="E49" s="127" t="s">
        <v>133</v>
      </c>
      <c r="F49" s="127" t="s">
        <v>297</v>
      </c>
      <c r="G49" s="127" t="s">
        <v>42</v>
      </c>
      <c r="H49" s="53" t="s">
        <v>160</v>
      </c>
      <c r="I49" s="53" t="s">
        <v>159</v>
      </c>
      <c r="J49" s="127" t="s">
        <v>38</v>
      </c>
      <c r="K49" s="53" t="s">
        <v>161</v>
      </c>
      <c r="L49" s="53">
        <v>3</v>
      </c>
      <c r="N49" s="53">
        <v>1</v>
      </c>
      <c r="O49" s="53">
        <v>0.75</v>
      </c>
      <c r="P49" s="53">
        <v>0.5</v>
      </c>
      <c r="Q49" s="75">
        <f t="shared" si="0"/>
        <v>0.625</v>
      </c>
      <c r="R49" s="53">
        <v>18</v>
      </c>
      <c r="S49" s="53">
        <v>139</v>
      </c>
      <c r="T49" s="16">
        <f t="shared" si="1"/>
        <v>22</v>
      </c>
      <c r="U49" s="53">
        <v>148</v>
      </c>
      <c r="V49" s="129">
        <f t="shared" si="2"/>
        <v>3256</v>
      </c>
      <c r="W49" s="53">
        <v>16</v>
      </c>
      <c r="X49" s="127" t="s">
        <v>46</v>
      </c>
      <c r="Y49" s="53" t="s">
        <v>78</v>
      </c>
      <c r="Z49" s="53" t="s">
        <v>102</v>
      </c>
      <c r="AA49" s="53" t="s">
        <v>90</v>
      </c>
      <c r="AB49" s="127" t="s">
        <v>235</v>
      </c>
      <c r="AC49" s="34"/>
    </row>
    <row r="50" spans="1:29" x14ac:dyDescent="0.15">
      <c r="A50" s="127" t="s">
        <v>61</v>
      </c>
      <c r="B50" s="127" t="s">
        <v>231</v>
      </c>
      <c r="C50" s="127">
        <v>2019</v>
      </c>
      <c r="D50" s="128" t="s">
        <v>282</v>
      </c>
      <c r="E50" s="127" t="s">
        <v>298</v>
      </c>
      <c r="F50" s="127" t="s">
        <v>299</v>
      </c>
      <c r="G50" s="127" t="s">
        <v>42</v>
      </c>
      <c r="H50" s="53" t="s">
        <v>164</v>
      </c>
      <c r="I50" s="53" t="s">
        <v>159</v>
      </c>
      <c r="J50" s="127" t="s">
        <v>38</v>
      </c>
      <c r="K50" s="53" t="s">
        <v>161</v>
      </c>
      <c r="L50" s="53">
        <v>1</v>
      </c>
      <c r="N50" s="53">
        <v>1</v>
      </c>
      <c r="O50" s="53">
        <v>0.7</v>
      </c>
      <c r="P50" s="53">
        <v>0.8</v>
      </c>
      <c r="Q50" s="75">
        <f t="shared" si="0"/>
        <v>0.75</v>
      </c>
      <c r="R50" s="53">
        <v>17.100000000000001</v>
      </c>
      <c r="S50" s="53">
        <v>138</v>
      </c>
      <c r="T50" s="16">
        <f t="shared" si="1"/>
        <v>22</v>
      </c>
      <c r="U50" s="53">
        <v>98</v>
      </c>
      <c r="V50" s="129">
        <f t="shared" si="2"/>
        <v>2156</v>
      </c>
      <c r="W50" s="53">
        <v>12</v>
      </c>
      <c r="X50" s="127" t="s">
        <v>46</v>
      </c>
      <c r="Y50" s="53" t="s">
        <v>78</v>
      </c>
      <c r="Z50" s="53" t="s">
        <v>102</v>
      </c>
      <c r="AA50" s="53" t="s">
        <v>90</v>
      </c>
      <c r="AB50" s="127" t="s">
        <v>235</v>
      </c>
      <c r="AC50" s="34"/>
    </row>
    <row r="51" spans="1:29" x14ac:dyDescent="0.15">
      <c r="A51" s="127" t="s">
        <v>61</v>
      </c>
      <c r="B51" s="127" t="s">
        <v>231</v>
      </c>
      <c r="C51" s="127">
        <v>2019</v>
      </c>
      <c r="D51" s="128" t="s">
        <v>282</v>
      </c>
      <c r="E51" s="127" t="s">
        <v>298</v>
      </c>
      <c r="F51" s="127" t="s">
        <v>299</v>
      </c>
      <c r="G51" s="127" t="s">
        <v>42</v>
      </c>
      <c r="H51" s="53" t="s">
        <v>164</v>
      </c>
      <c r="I51" s="53" t="s">
        <v>159</v>
      </c>
      <c r="J51" s="127" t="s">
        <v>38</v>
      </c>
      <c r="K51" s="53" t="s">
        <v>161</v>
      </c>
      <c r="L51" s="53">
        <v>2</v>
      </c>
      <c r="N51" s="53">
        <v>1</v>
      </c>
      <c r="O51" s="53">
        <v>0.75</v>
      </c>
      <c r="P51" s="53">
        <v>1</v>
      </c>
      <c r="Q51" s="75">
        <f t="shared" si="0"/>
        <v>0.875</v>
      </c>
      <c r="R51" s="53">
        <v>16.899999999999999</v>
      </c>
      <c r="S51" s="53">
        <v>145</v>
      </c>
      <c r="T51" s="16">
        <f t="shared" si="1"/>
        <v>22</v>
      </c>
      <c r="U51" s="53">
        <v>98</v>
      </c>
      <c r="V51" s="129">
        <f t="shared" si="2"/>
        <v>2156</v>
      </c>
      <c r="W51" s="53">
        <v>12</v>
      </c>
      <c r="X51" s="127" t="s">
        <v>46</v>
      </c>
      <c r="Y51" s="53" t="s">
        <v>78</v>
      </c>
      <c r="Z51" s="53" t="s">
        <v>102</v>
      </c>
      <c r="AA51" s="53" t="s">
        <v>90</v>
      </c>
      <c r="AB51" s="127" t="s">
        <v>235</v>
      </c>
      <c r="AC51" s="34"/>
    </row>
    <row r="52" spans="1:29" x14ac:dyDescent="0.15">
      <c r="A52" s="127" t="s">
        <v>61</v>
      </c>
      <c r="B52" s="127" t="s">
        <v>231</v>
      </c>
      <c r="C52" s="127">
        <v>2019</v>
      </c>
      <c r="D52" s="128" t="s">
        <v>282</v>
      </c>
      <c r="E52" s="127" t="s">
        <v>298</v>
      </c>
      <c r="F52" s="127" t="s">
        <v>299</v>
      </c>
      <c r="G52" s="127" t="s">
        <v>42</v>
      </c>
      <c r="H52" s="53" t="s">
        <v>164</v>
      </c>
      <c r="I52" s="53" t="s">
        <v>159</v>
      </c>
      <c r="J52" s="127" t="s">
        <v>38</v>
      </c>
      <c r="K52" s="53" t="s">
        <v>161</v>
      </c>
      <c r="L52" s="53">
        <v>3</v>
      </c>
      <c r="N52" s="53">
        <v>1</v>
      </c>
      <c r="O52" s="53">
        <v>1</v>
      </c>
      <c r="P52" s="53">
        <v>0.85</v>
      </c>
      <c r="Q52" s="75">
        <f t="shared" si="0"/>
        <v>0.92500000000000004</v>
      </c>
      <c r="R52" s="53">
        <v>17.2</v>
      </c>
      <c r="S52" s="53">
        <v>146</v>
      </c>
      <c r="T52" s="16">
        <f t="shared" si="1"/>
        <v>22</v>
      </c>
      <c r="U52" s="53">
        <v>98</v>
      </c>
      <c r="V52" s="129">
        <f t="shared" si="2"/>
        <v>2156</v>
      </c>
      <c r="W52" s="53">
        <v>12</v>
      </c>
      <c r="X52" s="127" t="s">
        <v>46</v>
      </c>
      <c r="Y52" s="53" t="s">
        <v>78</v>
      </c>
      <c r="Z52" s="53" t="s">
        <v>102</v>
      </c>
      <c r="AA52" s="53" t="s">
        <v>90</v>
      </c>
      <c r="AB52" s="127" t="s">
        <v>235</v>
      </c>
      <c r="AC52" s="34"/>
    </row>
    <row r="53" spans="1:29" x14ac:dyDescent="0.15">
      <c r="A53" s="127" t="s">
        <v>61</v>
      </c>
      <c r="B53" s="127" t="s">
        <v>231</v>
      </c>
      <c r="C53" s="127">
        <v>2019</v>
      </c>
      <c r="D53" s="128" t="s">
        <v>282</v>
      </c>
      <c r="E53" s="127" t="s">
        <v>298</v>
      </c>
      <c r="F53" s="127" t="s">
        <v>299</v>
      </c>
      <c r="G53" s="127" t="s">
        <v>42</v>
      </c>
      <c r="H53" s="53" t="s">
        <v>160</v>
      </c>
      <c r="I53" s="53" t="s">
        <v>159</v>
      </c>
      <c r="J53" s="127" t="s">
        <v>38</v>
      </c>
      <c r="K53" s="53" t="s">
        <v>161</v>
      </c>
      <c r="L53" s="53">
        <v>1</v>
      </c>
      <c r="N53" s="53">
        <v>1</v>
      </c>
      <c r="O53" s="53">
        <v>0.65</v>
      </c>
      <c r="P53" s="53">
        <v>0.5</v>
      </c>
      <c r="Q53" s="75">
        <f t="shared" si="0"/>
        <v>0.57499999999999996</v>
      </c>
      <c r="R53" s="53">
        <v>17.600000000000001</v>
      </c>
      <c r="S53" s="53">
        <v>138</v>
      </c>
      <c r="T53" s="16">
        <f t="shared" si="1"/>
        <v>22</v>
      </c>
      <c r="U53" s="53">
        <v>138</v>
      </c>
      <c r="V53" s="129">
        <f t="shared" si="2"/>
        <v>3036</v>
      </c>
      <c r="W53" s="53">
        <v>12</v>
      </c>
      <c r="X53" s="127" t="s">
        <v>46</v>
      </c>
      <c r="Y53" s="53" t="s">
        <v>78</v>
      </c>
      <c r="Z53" s="53" t="s">
        <v>102</v>
      </c>
      <c r="AA53" s="53" t="s">
        <v>90</v>
      </c>
      <c r="AB53" s="127" t="s">
        <v>235</v>
      </c>
      <c r="AC53" s="34"/>
    </row>
    <row r="54" spans="1:29" x14ac:dyDescent="0.15">
      <c r="A54" s="127" t="s">
        <v>61</v>
      </c>
      <c r="B54" s="127" t="s">
        <v>231</v>
      </c>
      <c r="C54" s="127">
        <v>2019</v>
      </c>
      <c r="D54" s="128" t="s">
        <v>282</v>
      </c>
      <c r="E54" s="127" t="s">
        <v>298</v>
      </c>
      <c r="F54" s="127" t="s">
        <v>299</v>
      </c>
      <c r="G54" s="127" t="s">
        <v>42</v>
      </c>
      <c r="H54" s="53" t="s">
        <v>160</v>
      </c>
      <c r="I54" s="53" t="s">
        <v>159</v>
      </c>
      <c r="J54" s="127" t="s">
        <v>38</v>
      </c>
      <c r="K54" s="53" t="s">
        <v>161</v>
      </c>
      <c r="L54" s="53">
        <v>2</v>
      </c>
      <c r="N54" s="53">
        <v>1</v>
      </c>
      <c r="O54" s="53">
        <v>0.75</v>
      </c>
      <c r="P54" s="53">
        <v>0.7</v>
      </c>
      <c r="Q54" s="75">
        <f t="shared" si="0"/>
        <v>0.72499999999999998</v>
      </c>
      <c r="R54" s="53">
        <v>17.600000000000001</v>
      </c>
      <c r="S54" s="53">
        <v>131</v>
      </c>
      <c r="T54" s="16">
        <f t="shared" si="1"/>
        <v>25</v>
      </c>
      <c r="U54" s="53">
        <v>138</v>
      </c>
      <c r="V54" s="129">
        <f t="shared" si="2"/>
        <v>3450</v>
      </c>
      <c r="W54" s="53">
        <v>12</v>
      </c>
      <c r="X54" s="127" t="s">
        <v>46</v>
      </c>
      <c r="Y54" s="53" t="s">
        <v>78</v>
      </c>
      <c r="Z54" s="53" t="s">
        <v>102</v>
      </c>
      <c r="AA54" s="53" t="s">
        <v>90</v>
      </c>
      <c r="AB54" s="127" t="s">
        <v>235</v>
      </c>
      <c r="AC54" s="34"/>
    </row>
    <row r="55" spans="1:29" x14ac:dyDescent="0.15">
      <c r="A55" s="127" t="s">
        <v>61</v>
      </c>
      <c r="B55" s="127" t="s">
        <v>231</v>
      </c>
      <c r="C55" s="127">
        <v>2019</v>
      </c>
      <c r="D55" s="128" t="s">
        <v>282</v>
      </c>
      <c r="E55" s="127" t="s">
        <v>298</v>
      </c>
      <c r="F55" s="127" t="s">
        <v>299</v>
      </c>
      <c r="G55" s="127" t="s">
        <v>42</v>
      </c>
      <c r="H55" s="53" t="s">
        <v>160</v>
      </c>
      <c r="I55" s="53" t="s">
        <v>159</v>
      </c>
      <c r="J55" s="127" t="s">
        <v>38</v>
      </c>
      <c r="K55" s="53" t="s">
        <v>161</v>
      </c>
      <c r="L55" s="53">
        <v>3</v>
      </c>
      <c r="N55" s="53">
        <v>1</v>
      </c>
      <c r="O55" s="53">
        <v>0.7</v>
      </c>
      <c r="P55" s="53">
        <v>0.75</v>
      </c>
      <c r="Q55" s="75">
        <f t="shared" si="0"/>
        <v>0.72499999999999998</v>
      </c>
      <c r="R55" s="53">
        <v>18.100000000000001</v>
      </c>
      <c r="S55" s="53">
        <v>143</v>
      </c>
      <c r="T55" s="16">
        <f t="shared" si="1"/>
        <v>22</v>
      </c>
      <c r="U55" s="53">
        <v>138</v>
      </c>
      <c r="V55" s="129">
        <f t="shared" si="2"/>
        <v>3036</v>
      </c>
      <c r="W55" s="53">
        <v>12</v>
      </c>
      <c r="X55" s="127" t="s">
        <v>46</v>
      </c>
      <c r="Y55" s="53" t="s">
        <v>78</v>
      </c>
      <c r="Z55" s="53" t="s">
        <v>102</v>
      </c>
      <c r="AA55" s="53" t="s">
        <v>90</v>
      </c>
      <c r="AB55" s="127" t="s">
        <v>235</v>
      </c>
      <c r="AC55" s="34"/>
    </row>
    <row r="56" spans="1:29" x14ac:dyDescent="0.15">
      <c r="A56" s="127" t="s">
        <v>61</v>
      </c>
      <c r="B56" s="127" t="s">
        <v>231</v>
      </c>
      <c r="C56" s="127">
        <v>2019</v>
      </c>
      <c r="D56" s="128" t="s">
        <v>282</v>
      </c>
      <c r="E56" s="127" t="s">
        <v>300</v>
      </c>
      <c r="F56" s="127" t="s">
        <v>299</v>
      </c>
      <c r="G56" s="127" t="s">
        <v>42</v>
      </c>
      <c r="H56" s="53" t="s">
        <v>164</v>
      </c>
      <c r="I56" s="53" t="s">
        <v>159</v>
      </c>
      <c r="J56" s="127" t="s">
        <v>38</v>
      </c>
      <c r="K56" s="53" t="s">
        <v>161</v>
      </c>
      <c r="L56" s="53">
        <v>1</v>
      </c>
      <c r="N56" s="53">
        <v>1</v>
      </c>
      <c r="O56" s="53">
        <v>0.65</v>
      </c>
      <c r="P56" s="53">
        <v>0.5</v>
      </c>
      <c r="Q56" s="75">
        <f t="shared" si="0"/>
        <v>0.57499999999999996</v>
      </c>
      <c r="R56" s="53">
        <v>16.8</v>
      </c>
      <c r="S56" s="53">
        <v>133</v>
      </c>
      <c r="T56" s="16">
        <f t="shared" si="1"/>
        <v>25</v>
      </c>
      <c r="U56" s="53">
        <v>138</v>
      </c>
      <c r="V56" s="129">
        <f t="shared" si="2"/>
        <v>3450</v>
      </c>
      <c r="W56" s="53">
        <v>16</v>
      </c>
      <c r="X56" s="127" t="s">
        <v>46</v>
      </c>
      <c r="Y56" s="53" t="s">
        <v>102</v>
      </c>
      <c r="Z56" s="53" t="s">
        <v>90</v>
      </c>
      <c r="AA56" s="53" t="s">
        <v>78</v>
      </c>
      <c r="AB56" s="127" t="s">
        <v>235</v>
      </c>
      <c r="AC56" s="34"/>
    </row>
    <row r="57" spans="1:29" x14ac:dyDescent="0.15">
      <c r="A57" s="127" t="s">
        <v>61</v>
      </c>
      <c r="B57" s="127" t="s">
        <v>231</v>
      </c>
      <c r="C57" s="127">
        <v>2019</v>
      </c>
      <c r="D57" s="128" t="s">
        <v>282</v>
      </c>
      <c r="E57" s="127" t="s">
        <v>300</v>
      </c>
      <c r="F57" s="127" t="s">
        <v>299</v>
      </c>
      <c r="G57" s="127" t="s">
        <v>42</v>
      </c>
      <c r="H57" s="53" t="s">
        <v>164</v>
      </c>
      <c r="I57" s="53" t="s">
        <v>159</v>
      </c>
      <c r="J57" s="127" t="s">
        <v>38</v>
      </c>
      <c r="K57" s="53" t="s">
        <v>161</v>
      </c>
      <c r="L57" s="53">
        <v>2</v>
      </c>
      <c r="N57" s="53">
        <v>1</v>
      </c>
      <c r="O57" s="53">
        <v>0.5</v>
      </c>
      <c r="P57" s="53">
        <v>0.5</v>
      </c>
      <c r="Q57" s="75">
        <f t="shared" si="0"/>
        <v>0.5</v>
      </c>
      <c r="R57" s="53">
        <v>17</v>
      </c>
      <c r="S57" s="53">
        <v>141</v>
      </c>
      <c r="T57" s="16">
        <f t="shared" si="1"/>
        <v>22</v>
      </c>
      <c r="U57" s="53">
        <v>138</v>
      </c>
      <c r="V57" s="129">
        <f t="shared" si="2"/>
        <v>3036</v>
      </c>
      <c r="W57" s="53">
        <v>16</v>
      </c>
      <c r="X57" s="127" t="s">
        <v>46</v>
      </c>
      <c r="Y57" s="53" t="s">
        <v>102</v>
      </c>
      <c r="Z57" s="53" t="s">
        <v>90</v>
      </c>
      <c r="AA57" s="53" t="s">
        <v>78</v>
      </c>
      <c r="AB57" s="127" t="s">
        <v>235</v>
      </c>
      <c r="AC57" s="34"/>
    </row>
    <row r="58" spans="1:29" x14ac:dyDescent="0.15">
      <c r="A58" s="127" t="s">
        <v>61</v>
      </c>
      <c r="B58" s="127" t="s">
        <v>231</v>
      </c>
      <c r="C58" s="127">
        <v>2019</v>
      </c>
      <c r="D58" s="128" t="s">
        <v>282</v>
      </c>
      <c r="E58" s="127" t="s">
        <v>300</v>
      </c>
      <c r="F58" s="127" t="s">
        <v>299</v>
      </c>
      <c r="G58" s="127" t="s">
        <v>42</v>
      </c>
      <c r="H58" s="53" t="s">
        <v>164</v>
      </c>
      <c r="I58" s="53" t="s">
        <v>159</v>
      </c>
      <c r="J58" s="127" t="s">
        <v>38</v>
      </c>
      <c r="K58" s="53" t="s">
        <v>161</v>
      </c>
      <c r="L58" s="53">
        <v>3</v>
      </c>
      <c r="N58" s="53">
        <v>1</v>
      </c>
      <c r="O58" s="53">
        <v>0.5</v>
      </c>
      <c r="P58" s="53">
        <v>0.5</v>
      </c>
      <c r="Q58" s="75">
        <f t="shared" si="0"/>
        <v>0.5</v>
      </c>
      <c r="R58" s="53">
        <v>17.600000000000001</v>
      </c>
      <c r="S58" s="53">
        <v>139</v>
      </c>
      <c r="T58" s="16">
        <f t="shared" si="1"/>
        <v>22</v>
      </c>
      <c r="U58" s="53">
        <v>138</v>
      </c>
      <c r="V58" s="129">
        <f t="shared" si="2"/>
        <v>3036</v>
      </c>
      <c r="W58" s="53">
        <v>16</v>
      </c>
      <c r="X58" s="127" t="s">
        <v>46</v>
      </c>
      <c r="Y58" s="53" t="s">
        <v>102</v>
      </c>
      <c r="Z58" s="53" t="s">
        <v>90</v>
      </c>
      <c r="AA58" s="53" t="s">
        <v>78</v>
      </c>
      <c r="AB58" s="127" t="s">
        <v>235</v>
      </c>
      <c r="AC58" s="34"/>
    </row>
    <row r="59" spans="1:29" x14ac:dyDescent="0.15">
      <c r="A59" s="127" t="s">
        <v>61</v>
      </c>
      <c r="B59" s="127" t="s">
        <v>231</v>
      </c>
      <c r="C59" s="127">
        <v>2019</v>
      </c>
      <c r="D59" s="128" t="s">
        <v>282</v>
      </c>
      <c r="E59" s="127" t="s">
        <v>300</v>
      </c>
      <c r="F59" s="127" t="s">
        <v>299</v>
      </c>
      <c r="G59" s="127" t="s">
        <v>42</v>
      </c>
      <c r="H59" s="53" t="s">
        <v>160</v>
      </c>
      <c r="I59" s="53" t="s">
        <v>159</v>
      </c>
      <c r="J59" s="127" t="s">
        <v>38</v>
      </c>
      <c r="K59" s="53" t="s">
        <v>161</v>
      </c>
      <c r="L59" s="53">
        <v>1</v>
      </c>
      <c r="N59" s="53">
        <v>1</v>
      </c>
      <c r="O59" s="53">
        <v>0.5</v>
      </c>
      <c r="P59" s="53">
        <v>0.5</v>
      </c>
      <c r="Q59" s="75">
        <f t="shared" si="0"/>
        <v>0.5</v>
      </c>
      <c r="R59" s="53">
        <v>17.8</v>
      </c>
      <c r="S59" s="53">
        <v>121</v>
      </c>
      <c r="T59" s="16">
        <f t="shared" si="1"/>
        <v>27</v>
      </c>
      <c r="U59" s="53">
        <v>138</v>
      </c>
      <c r="V59" s="129">
        <f t="shared" si="2"/>
        <v>3726</v>
      </c>
      <c r="W59" s="53">
        <v>16</v>
      </c>
      <c r="X59" s="127" t="s">
        <v>46</v>
      </c>
      <c r="Y59" s="53" t="s">
        <v>102</v>
      </c>
      <c r="Z59" s="53" t="s">
        <v>90</v>
      </c>
      <c r="AA59" s="53" t="s">
        <v>78</v>
      </c>
      <c r="AB59" s="127" t="s">
        <v>235</v>
      </c>
    </row>
    <row r="60" spans="1:29" x14ac:dyDescent="0.15">
      <c r="A60" s="127" t="s">
        <v>61</v>
      </c>
      <c r="B60" s="127" t="s">
        <v>231</v>
      </c>
      <c r="C60" s="127">
        <v>2019</v>
      </c>
      <c r="D60" s="128" t="s">
        <v>282</v>
      </c>
      <c r="E60" s="127" t="s">
        <v>300</v>
      </c>
      <c r="F60" s="127" t="s">
        <v>299</v>
      </c>
      <c r="G60" s="127" t="s">
        <v>42</v>
      </c>
      <c r="H60" s="53" t="s">
        <v>160</v>
      </c>
      <c r="I60" s="53" t="s">
        <v>159</v>
      </c>
      <c r="J60" s="127" t="s">
        <v>38</v>
      </c>
      <c r="K60" s="53" t="s">
        <v>161</v>
      </c>
      <c r="L60" s="53">
        <v>2</v>
      </c>
      <c r="N60" s="53">
        <v>1</v>
      </c>
      <c r="O60" s="53">
        <v>0.5</v>
      </c>
      <c r="P60" s="53">
        <v>0.5</v>
      </c>
      <c r="Q60" s="75">
        <f t="shared" si="0"/>
        <v>0.5</v>
      </c>
      <c r="R60" s="53">
        <v>18.100000000000001</v>
      </c>
      <c r="S60" s="53">
        <v>121</v>
      </c>
      <c r="T60" s="16">
        <f t="shared" si="1"/>
        <v>27</v>
      </c>
      <c r="U60" s="53">
        <v>138</v>
      </c>
      <c r="V60" s="129">
        <f t="shared" si="2"/>
        <v>3726</v>
      </c>
      <c r="W60" s="53">
        <v>16</v>
      </c>
      <c r="X60" s="127" t="s">
        <v>46</v>
      </c>
      <c r="Y60" s="53" t="s">
        <v>102</v>
      </c>
      <c r="Z60" s="53" t="s">
        <v>90</v>
      </c>
      <c r="AA60" s="53" t="s">
        <v>78</v>
      </c>
      <c r="AB60" s="127" t="s">
        <v>235</v>
      </c>
    </row>
    <row r="61" spans="1:29" x14ac:dyDescent="0.15">
      <c r="A61" s="127" t="s">
        <v>61</v>
      </c>
      <c r="B61" s="127" t="s">
        <v>231</v>
      </c>
      <c r="C61" s="127">
        <v>2019</v>
      </c>
      <c r="D61" s="128" t="s">
        <v>282</v>
      </c>
      <c r="E61" s="127" t="s">
        <v>300</v>
      </c>
      <c r="F61" s="127" t="s">
        <v>299</v>
      </c>
      <c r="G61" s="127" t="s">
        <v>42</v>
      </c>
      <c r="H61" s="53" t="s">
        <v>160</v>
      </c>
      <c r="I61" s="53" t="s">
        <v>159</v>
      </c>
      <c r="J61" s="127" t="s">
        <v>38</v>
      </c>
      <c r="K61" s="53" t="s">
        <v>161</v>
      </c>
      <c r="L61" s="53">
        <v>3</v>
      </c>
      <c r="N61" s="53">
        <v>1</v>
      </c>
      <c r="O61" s="53">
        <v>0.5</v>
      </c>
      <c r="P61" s="53">
        <v>0.5</v>
      </c>
      <c r="Q61" s="75">
        <f t="shared" si="0"/>
        <v>0.5</v>
      </c>
      <c r="R61" s="53">
        <v>18.2</v>
      </c>
      <c r="S61" s="53">
        <v>120</v>
      </c>
      <c r="T61" s="16">
        <f t="shared" si="1"/>
        <v>30</v>
      </c>
      <c r="U61" s="53">
        <v>138</v>
      </c>
      <c r="V61" s="129">
        <f t="shared" si="2"/>
        <v>4140</v>
      </c>
      <c r="W61" s="53">
        <v>16</v>
      </c>
      <c r="X61" s="127" t="s">
        <v>46</v>
      </c>
      <c r="Y61" s="53" t="s">
        <v>102</v>
      </c>
      <c r="Z61" s="53" t="s">
        <v>90</v>
      </c>
      <c r="AA61" s="53" t="s">
        <v>78</v>
      </c>
      <c r="AB61" s="127" t="s">
        <v>235</v>
      </c>
    </row>
    <row r="62" spans="1:29" x14ac:dyDescent="0.15">
      <c r="A62" s="127"/>
      <c r="B62" s="127"/>
      <c r="C62" s="127"/>
      <c r="D62" s="128"/>
      <c r="E62" s="127"/>
      <c r="F62" s="127"/>
      <c r="G62" s="127"/>
      <c r="J62" s="127"/>
      <c r="Q62" s="75" t="str">
        <f t="shared" si="0"/>
        <v/>
      </c>
      <c r="T62" s="16" t="str">
        <f t="shared" si="1"/>
        <v/>
      </c>
      <c r="V62" s="129" t="str">
        <f t="shared" si="2"/>
        <v/>
      </c>
      <c r="X62" s="127"/>
      <c r="AB62" s="127"/>
      <c r="AC62" s="34"/>
    </row>
    <row r="63" spans="1:29" x14ac:dyDescent="0.15">
      <c r="A63" s="127"/>
      <c r="B63" s="127"/>
      <c r="C63" s="127"/>
      <c r="D63" s="128"/>
      <c r="E63" s="127"/>
      <c r="F63" s="127"/>
      <c r="G63" s="127"/>
      <c r="J63" s="127"/>
      <c r="Q63" s="75" t="str">
        <f t="shared" si="0"/>
        <v/>
      </c>
      <c r="R63" s="34"/>
      <c r="T63" s="16" t="str">
        <f t="shared" si="1"/>
        <v/>
      </c>
      <c r="V63" s="129" t="str">
        <f t="shared" si="2"/>
        <v/>
      </c>
      <c r="X63" s="127"/>
      <c r="AB63" s="127"/>
      <c r="AC63" s="34"/>
    </row>
    <row r="64" spans="1:29" x14ac:dyDescent="0.15">
      <c r="A64" s="127"/>
      <c r="B64" s="127"/>
      <c r="C64" s="127"/>
      <c r="D64" s="128"/>
      <c r="F64" s="127"/>
      <c r="G64" s="127"/>
      <c r="J64" s="127"/>
      <c r="Q64" s="75" t="str">
        <f t="shared" si="0"/>
        <v/>
      </c>
      <c r="R64" s="34"/>
      <c r="T64" s="16" t="str">
        <f t="shared" si="1"/>
        <v/>
      </c>
      <c r="V64" s="129" t="str">
        <f t="shared" si="2"/>
        <v/>
      </c>
      <c r="X64" s="127"/>
      <c r="AB64" s="127"/>
      <c r="AC64" s="34"/>
    </row>
    <row r="65" spans="1:29" x14ac:dyDescent="0.15">
      <c r="A65" s="127"/>
      <c r="B65" s="127"/>
      <c r="C65" s="127"/>
      <c r="D65" s="128"/>
      <c r="F65" s="127"/>
      <c r="G65" s="127"/>
      <c r="J65" s="127"/>
      <c r="Q65" s="75" t="str">
        <f t="shared" si="0"/>
        <v/>
      </c>
      <c r="T65" s="16" t="str">
        <f t="shared" si="1"/>
        <v/>
      </c>
      <c r="V65" s="129" t="str">
        <f t="shared" si="2"/>
        <v/>
      </c>
      <c r="X65" s="127"/>
      <c r="AB65" s="127"/>
      <c r="AC65" s="34"/>
    </row>
    <row r="66" spans="1:29" x14ac:dyDescent="0.15">
      <c r="A66" s="127"/>
      <c r="B66" s="127"/>
      <c r="C66" s="127"/>
      <c r="D66" s="128"/>
      <c r="F66" s="127"/>
      <c r="G66" s="127"/>
      <c r="J66" s="127"/>
      <c r="Q66" s="75" t="str">
        <f t="shared" ref="Q66:Q71" si="3">IF(OR(O66="",P66=""),"",AVERAGE(O66,P66))</f>
        <v/>
      </c>
      <c r="T66" s="16" t="str">
        <f t="shared" ref="T66:T73" si="4">IF(H66="","",IF(OR(H66="GREEN",H66="GK"),IF(S66&gt;=$AX$2,VLOOKUP(S66,$AX$2:$AY$15,2,1),""),IF(S66&gt;=$AZ$2,VLOOKUP(S66,$AZ$2:$BA$15,2,1),"")))</f>
        <v/>
      </c>
      <c r="V66" s="129" t="str">
        <f t="shared" ref="V66:V71" si="5">IF(OR(N66="",U66="",T66=""),"",U66/N66*T66)</f>
        <v/>
      </c>
      <c r="X66" s="127"/>
      <c r="AB66" s="127"/>
      <c r="AC66" s="34"/>
    </row>
    <row r="67" spans="1:29" x14ac:dyDescent="0.15">
      <c r="A67" s="127"/>
      <c r="B67" s="127"/>
      <c r="C67" s="127"/>
      <c r="D67" s="128"/>
      <c r="G67" s="127"/>
      <c r="J67" s="127"/>
      <c r="Q67" s="75" t="str">
        <f t="shared" si="3"/>
        <v/>
      </c>
      <c r="T67" s="16" t="str">
        <f t="shared" si="4"/>
        <v/>
      </c>
      <c r="V67" s="129" t="str">
        <f t="shared" si="5"/>
        <v/>
      </c>
      <c r="X67" s="127"/>
      <c r="AB67" s="127"/>
      <c r="AC67" s="34"/>
    </row>
    <row r="68" spans="1:29" x14ac:dyDescent="0.15">
      <c r="A68" s="127"/>
      <c r="B68" s="127"/>
      <c r="C68" s="127"/>
      <c r="D68" s="128"/>
      <c r="G68" s="127"/>
      <c r="J68" s="127"/>
      <c r="Q68" s="75"/>
      <c r="V68" s="129"/>
      <c r="X68" s="127"/>
      <c r="AB68" s="127"/>
    </row>
    <row r="69" spans="1:29" x14ac:dyDescent="0.15">
      <c r="A69" s="127"/>
      <c r="B69" s="127"/>
      <c r="C69" s="127"/>
      <c r="D69" s="128"/>
      <c r="G69" s="127"/>
      <c r="J69" s="127"/>
      <c r="Q69" s="75"/>
      <c r="V69" s="129"/>
      <c r="X69" s="127"/>
      <c r="AB69" s="127"/>
    </row>
    <row r="70" spans="1:29" x14ac:dyDescent="0.15">
      <c r="A70" s="127"/>
      <c r="B70" s="127"/>
      <c r="C70" s="127"/>
      <c r="D70" s="128"/>
      <c r="G70" s="127"/>
      <c r="J70" s="127"/>
      <c r="Q70" s="75"/>
      <c r="V70" s="129"/>
      <c r="X70" s="127"/>
      <c r="AB70" s="127"/>
    </row>
    <row r="71" spans="1:29" x14ac:dyDescent="0.15">
      <c r="A71" s="127"/>
      <c r="B71" s="127"/>
      <c r="C71" s="127"/>
      <c r="D71" s="128"/>
      <c r="G71" s="127"/>
      <c r="J71" s="127"/>
      <c r="Q71" s="75" t="str">
        <f t="shared" ref="Q71:Q73" si="6">IF(OR(O71="",P71=""),"",AVERAGE(O71,P71))</f>
        <v/>
      </c>
      <c r="T71" s="16" t="str">
        <f>IF(H71="","",IF(OR(H71="GREEN",H71="GK"),IF(S71&gt;=$AX$2,VLOOKUP(S71,$AX$2:$AY$15,2,1),""),IF(S71&gt;=$AZ$2,VLOOKUP(S71,$AZ$2:$BA$15,2,1),"")))</f>
        <v/>
      </c>
      <c r="V71" s="129" t="str">
        <f t="shared" ref="V71:V73" si="7">IF(OR(N71="",U71="",T71=""),"",U71/N71*T71)</f>
        <v/>
      </c>
      <c r="X71" s="127"/>
      <c r="AB71" s="127"/>
    </row>
    <row r="72" spans="1:29" x14ac:dyDescent="0.15">
      <c r="A72" s="127"/>
      <c r="B72" s="127"/>
      <c r="C72" s="127"/>
      <c r="D72" s="128"/>
      <c r="G72" s="127"/>
      <c r="J72" s="127"/>
      <c r="Q72" s="75" t="str">
        <f t="shared" si="6"/>
        <v/>
      </c>
      <c r="T72" s="16" t="str">
        <f>IF(H72="","",IF(OR(H72="GREEN",H72="GK"),IF(S72&gt;=$AX$2,VLOOKUP(S72,$AX$2:$AY$15,2,1),""),IF(S72&gt;=$AZ$2,VLOOKUP(S72,$AZ$2:$BA$15,2,1),"")))</f>
        <v/>
      </c>
      <c r="V72" s="129" t="str">
        <f t="shared" si="7"/>
        <v/>
      </c>
      <c r="X72" s="127"/>
      <c r="AB72" s="127"/>
    </row>
    <row r="73" spans="1:29" x14ac:dyDescent="0.15">
      <c r="A73" s="127"/>
      <c r="B73" s="127"/>
      <c r="C73" s="127"/>
      <c r="D73" s="128"/>
      <c r="G73" s="127"/>
      <c r="J73" s="127"/>
      <c r="Q73" s="75" t="str">
        <f t="shared" si="6"/>
        <v/>
      </c>
      <c r="T73" s="16" t="str">
        <f>IF(H73="","",IF(OR(H73="GREEN",H73="GK"),IF(S73&gt;=$AX$2,VLOOKUP(S73,$AX$2:$AY$15,2,1),""),IF(S73&gt;=$AZ$2,VLOOKUP(S73,$AZ$2:$BA$15,2,1),"")))</f>
        <v/>
      </c>
      <c r="V73" s="129" t="str">
        <f t="shared" si="7"/>
        <v/>
      </c>
      <c r="X73" s="127"/>
      <c r="AB73" s="127"/>
    </row>
    <row r="74" spans="1:29" x14ac:dyDescent="0.15">
      <c r="A74" s="127"/>
      <c r="B74" s="127"/>
      <c r="C74" s="127"/>
      <c r="D74" s="128"/>
      <c r="G74" s="127"/>
      <c r="J74" s="127"/>
      <c r="Q74" s="75"/>
      <c r="V74" s="129"/>
      <c r="X74" s="127"/>
      <c r="AB74" s="127"/>
    </row>
    <row r="75" spans="1:29" x14ac:dyDescent="0.15">
      <c r="A75" s="127"/>
      <c r="B75" s="127"/>
      <c r="C75" s="127"/>
      <c r="D75" s="128"/>
      <c r="G75" s="127"/>
      <c r="J75" s="127"/>
      <c r="Q75" s="75"/>
      <c r="V75" s="129"/>
      <c r="X75" s="127"/>
      <c r="AB75" s="127"/>
    </row>
    <row r="76" spans="1:29" x14ac:dyDescent="0.15">
      <c r="A76" s="127"/>
      <c r="B76" s="127"/>
      <c r="C76" s="127"/>
      <c r="D76" s="128"/>
      <c r="G76" s="127"/>
      <c r="J76" s="127"/>
      <c r="Q76" s="75"/>
      <c r="V76" s="129"/>
      <c r="X76" s="127"/>
      <c r="AB76" s="127"/>
    </row>
    <row r="77" spans="1:29" x14ac:dyDescent="0.15">
      <c r="A77" s="127"/>
      <c r="B77" s="127"/>
      <c r="C77" s="127"/>
      <c r="D77" s="128"/>
      <c r="G77" s="127"/>
      <c r="J77" s="127"/>
      <c r="Q77" s="75"/>
      <c r="V77" s="129"/>
      <c r="X77" s="127"/>
      <c r="AB77" s="127"/>
    </row>
    <row r="78" spans="1:29" x14ac:dyDescent="0.15">
      <c r="A78" s="127"/>
      <c r="B78" s="127"/>
      <c r="C78" s="127"/>
      <c r="D78" s="128"/>
      <c r="G78" s="127"/>
      <c r="J78" s="127"/>
      <c r="Q78" s="75"/>
      <c r="V78" s="129"/>
      <c r="X78" s="127"/>
      <c r="AB78" s="127"/>
    </row>
    <row r="79" spans="1:29" x14ac:dyDescent="0.15">
      <c r="A79" s="127"/>
      <c r="B79" s="127"/>
      <c r="C79" s="127"/>
      <c r="D79" s="128"/>
      <c r="G79" s="127"/>
      <c r="J79" s="127"/>
      <c r="Q79" s="75"/>
      <c r="V79" s="129"/>
      <c r="X79" s="127"/>
      <c r="AB79" s="127"/>
    </row>
    <row r="80" spans="1:29" x14ac:dyDescent="0.15">
      <c r="A80" s="127"/>
      <c r="B80" s="127"/>
      <c r="C80" s="127"/>
      <c r="D80" s="128"/>
      <c r="G80" s="127"/>
      <c r="J80" s="127"/>
      <c r="Q80" s="75"/>
      <c r="V80" s="129"/>
      <c r="X80" s="127"/>
      <c r="AB80" s="127"/>
    </row>
    <row r="81" spans="1:28" x14ac:dyDescent="0.15">
      <c r="A81" s="127"/>
      <c r="B81" s="127"/>
      <c r="C81" s="127"/>
      <c r="D81" s="128"/>
      <c r="G81" s="127"/>
      <c r="J81" s="127"/>
      <c r="Q81" s="75"/>
      <c r="V81" s="129"/>
      <c r="X81" s="127"/>
      <c r="AB81" s="127"/>
    </row>
    <row r="82" spans="1:28" x14ac:dyDescent="0.15">
      <c r="A82" s="127"/>
      <c r="B82" s="127"/>
      <c r="C82" s="127"/>
      <c r="D82" s="128"/>
      <c r="G82" s="127"/>
      <c r="J82" s="127"/>
      <c r="Q82" s="75"/>
      <c r="V82" s="129"/>
      <c r="X82" s="127"/>
      <c r="AB82" s="127"/>
    </row>
    <row r="83" spans="1:28" x14ac:dyDescent="0.15">
      <c r="A83" s="127"/>
      <c r="B83" s="127"/>
      <c r="C83" s="127"/>
      <c r="D83" s="128"/>
      <c r="G83" s="127"/>
      <c r="J83" s="127"/>
      <c r="Q83" s="75"/>
      <c r="V83" s="129"/>
      <c r="X83" s="127"/>
      <c r="AB83" s="127"/>
    </row>
    <row r="84" spans="1:28" x14ac:dyDescent="0.15">
      <c r="A84" s="127"/>
      <c r="B84" s="127"/>
      <c r="C84" s="127"/>
      <c r="D84" s="128"/>
      <c r="G84" s="127"/>
      <c r="J84" s="127"/>
      <c r="Q84" s="75"/>
      <c r="V84" s="129"/>
      <c r="X84" s="127"/>
      <c r="AB84" s="127"/>
    </row>
    <row r="85" spans="1:28" x14ac:dyDescent="0.15">
      <c r="A85" s="127"/>
      <c r="B85" s="127"/>
      <c r="C85" s="127"/>
      <c r="D85" s="128"/>
      <c r="G85" s="127"/>
      <c r="J85" s="127"/>
      <c r="Q85" s="75"/>
      <c r="V85" s="129"/>
      <c r="X85" s="127"/>
      <c r="AB85" s="127"/>
    </row>
    <row r="86" spans="1:28" x14ac:dyDescent="0.15">
      <c r="A86" s="127"/>
      <c r="B86" s="127"/>
      <c r="C86" s="127"/>
      <c r="D86" s="128"/>
      <c r="G86" s="127"/>
      <c r="J86" s="127"/>
      <c r="Q86" s="75"/>
      <c r="V86" s="129"/>
      <c r="X86" s="127"/>
      <c r="AB86" s="127"/>
    </row>
    <row r="87" spans="1:28" x14ac:dyDescent="0.15">
      <c r="A87" s="127"/>
      <c r="B87" s="127"/>
      <c r="C87" s="127"/>
      <c r="D87" s="128"/>
      <c r="G87" s="127"/>
      <c r="J87" s="127"/>
      <c r="Q87" s="75"/>
      <c r="V87" s="129"/>
      <c r="X87" s="127"/>
      <c r="AB87" s="127"/>
    </row>
    <row r="88" spans="1:28" x14ac:dyDescent="0.15">
      <c r="A88" s="127"/>
      <c r="B88" s="127"/>
      <c r="C88" s="127"/>
      <c r="D88" s="128"/>
      <c r="G88" s="127"/>
      <c r="J88" s="127"/>
      <c r="Q88" s="75"/>
      <c r="V88" s="129"/>
      <c r="X88" s="127"/>
      <c r="AB88" s="127"/>
    </row>
    <row r="89" spans="1:28" x14ac:dyDescent="0.15">
      <c r="D89" s="128"/>
    </row>
    <row r="90" spans="1:28" x14ac:dyDescent="0.15">
      <c r="A90" s="127"/>
      <c r="B90" s="127"/>
      <c r="C90" s="127"/>
      <c r="D90" s="128"/>
      <c r="G90" s="127"/>
      <c r="J90" s="127"/>
      <c r="Q90" s="75"/>
      <c r="V90" s="129"/>
      <c r="X90" s="127"/>
      <c r="AB90" s="127"/>
    </row>
    <row r="91" spans="1:28" x14ac:dyDescent="0.15">
      <c r="A91" s="127"/>
      <c r="B91" s="127"/>
      <c r="C91" s="127"/>
      <c r="G91" s="127"/>
      <c r="J91" s="127"/>
      <c r="Q91" s="75"/>
      <c r="V91" s="129"/>
      <c r="X91" s="127"/>
      <c r="AB91" s="127"/>
    </row>
    <row r="92" spans="1:28" x14ac:dyDescent="0.15">
      <c r="A92" s="127"/>
      <c r="B92" s="127"/>
      <c r="C92" s="127"/>
      <c r="D92" s="128"/>
      <c r="G92" s="127"/>
      <c r="J92" s="127"/>
      <c r="Q92" s="75"/>
      <c r="V92" s="129"/>
      <c r="X92" s="127"/>
      <c r="AB92" s="127"/>
    </row>
    <row r="93" spans="1:28" x14ac:dyDescent="0.15">
      <c r="A93" s="127"/>
      <c r="B93" s="127"/>
      <c r="C93" s="127"/>
      <c r="D93" s="128"/>
      <c r="G93" s="127"/>
      <c r="J93" s="127"/>
      <c r="Q93" s="75"/>
      <c r="V93" s="129"/>
      <c r="X93" s="127"/>
      <c r="AB93" s="127"/>
    </row>
    <row r="94" spans="1:28" x14ac:dyDescent="0.15">
      <c r="A94" s="127"/>
      <c r="B94" s="127"/>
      <c r="C94" s="127"/>
      <c r="D94" s="128"/>
      <c r="G94" s="127"/>
      <c r="J94" s="127"/>
      <c r="Q94" s="75"/>
      <c r="V94" s="129"/>
      <c r="X94" s="127"/>
      <c r="AB94" s="127"/>
    </row>
    <row r="95" spans="1:28" x14ac:dyDescent="0.15">
      <c r="A95" s="127"/>
      <c r="B95" s="127"/>
      <c r="C95" s="127"/>
      <c r="D95" s="128"/>
      <c r="G95" s="127"/>
      <c r="J95" s="127"/>
      <c r="Q95" s="75"/>
      <c r="V95" s="129"/>
      <c r="X95" s="127"/>
      <c r="AB95" s="127"/>
    </row>
    <row r="96" spans="1:28" x14ac:dyDescent="0.15">
      <c r="A96" s="127"/>
      <c r="B96" s="127"/>
      <c r="C96" s="127"/>
      <c r="D96" s="128"/>
      <c r="G96" s="127"/>
      <c r="J96" s="127"/>
      <c r="Q96" s="75"/>
      <c r="V96" s="129"/>
      <c r="X96" s="127"/>
      <c r="AB96" s="127"/>
    </row>
    <row r="97" spans="1:28" x14ac:dyDescent="0.15">
      <c r="A97" s="127"/>
      <c r="B97" s="127"/>
      <c r="C97" s="127"/>
      <c r="D97" s="128"/>
      <c r="G97" s="127"/>
      <c r="J97" s="127"/>
      <c r="Q97" s="75"/>
      <c r="V97" s="129"/>
      <c r="X97" s="127"/>
      <c r="AB97" s="127"/>
    </row>
    <row r="98" spans="1:28" x14ac:dyDescent="0.15">
      <c r="A98" s="127"/>
      <c r="B98" s="127"/>
      <c r="C98" s="127"/>
      <c r="D98" s="128"/>
      <c r="G98" s="127"/>
      <c r="J98" s="127"/>
      <c r="Q98" s="75"/>
      <c r="V98" s="129"/>
      <c r="X98" s="127"/>
      <c r="AB98" s="127"/>
    </row>
    <row r="99" spans="1:28" x14ac:dyDescent="0.15">
      <c r="A99" s="127"/>
      <c r="B99" s="127"/>
      <c r="C99" s="127"/>
      <c r="D99" s="128"/>
      <c r="G99" s="127"/>
      <c r="J99" s="127"/>
      <c r="Q99" s="75"/>
      <c r="V99" s="129"/>
      <c r="X99" s="127"/>
      <c r="AB99" s="127"/>
    </row>
    <row r="100" spans="1:28" x14ac:dyDescent="0.15">
      <c r="A100" s="127"/>
      <c r="B100" s="127"/>
      <c r="C100" s="127"/>
      <c r="D100" s="128"/>
      <c r="G100" s="127"/>
      <c r="J100" s="127"/>
      <c r="Q100" s="75"/>
      <c r="V100" s="129"/>
      <c r="X100" s="127"/>
      <c r="AB100" s="127"/>
    </row>
    <row r="101" spans="1:28" x14ac:dyDescent="0.15">
      <c r="A101" s="127"/>
      <c r="B101" s="127"/>
      <c r="C101" s="127"/>
      <c r="D101" s="128"/>
      <c r="G101" s="127"/>
      <c r="J101" s="127"/>
      <c r="Q101" s="75"/>
      <c r="V101" s="129"/>
      <c r="X101" s="127"/>
      <c r="AB101" s="127"/>
    </row>
    <row r="102" spans="1:28" x14ac:dyDescent="0.15">
      <c r="A102" s="127"/>
      <c r="B102" s="127"/>
      <c r="C102" s="127"/>
      <c r="D102" s="128"/>
      <c r="G102" s="127"/>
      <c r="J102" s="127"/>
      <c r="Q102" s="75"/>
      <c r="V102" s="129"/>
      <c r="X102" s="127"/>
      <c r="AB102" s="127"/>
    </row>
    <row r="103" spans="1:28" x14ac:dyDescent="0.15">
      <c r="A103" s="127"/>
      <c r="B103" s="127"/>
      <c r="C103" s="127"/>
      <c r="D103" s="128"/>
      <c r="G103" s="127"/>
      <c r="J103" s="127"/>
      <c r="Q103" s="75"/>
      <c r="V103" s="129"/>
      <c r="X103" s="127"/>
      <c r="AB103" s="127"/>
    </row>
    <row r="104" spans="1:28" x14ac:dyDescent="0.15">
      <c r="A104" s="127"/>
      <c r="B104" s="127"/>
      <c r="C104" s="127"/>
      <c r="D104" s="128"/>
      <c r="G104" s="127"/>
      <c r="J104" s="127"/>
      <c r="Q104" s="75"/>
      <c r="V104" s="129"/>
      <c r="X104" s="127"/>
      <c r="AB104" s="127"/>
    </row>
    <row r="105" spans="1:28" x14ac:dyDescent="0.15">
      <c r="A105" s="127"/>
      <c r="B105" s="127"/>
      <c r="C105" s="127"/>
      <c r="D105" s="128"/>
      <c r="G105" s="127"/>
      <c r="J105" s="127"/>
      <c r="Q105" s="75"/>
      <c r="V105" s="129"/>
      <c r="X105" s="127"/>
      <c r="AB105" s="127"/>
    </row>
    <row r="106" spans="1:28" x14ac:dyDescent="0.15">
      <c r="A106" s="127"/>
      <c r="B106" s="127"/>
      <c r="C106" s="127"/>
      <c r="D106" s="128"/>
      <c r="G106" s="127"/>
      <c r="J106" s="127"/>
      <c r="Q106" s="75"/>
      <c r="V106" s="129"/>
      <c r="X106" s="127"/>
      <c r="AB106" s="127"/>
    </row>
    <row r="107" spans="1:28" x14ac:dyDescent="0.15">
      <c r="D107" s="128"/>
    </row>
    <row r="108" spans="1:28" x14ac:dyDescent="0.15">
      <c r="D108" s="128"/>
    </row>
  </sheetData>
  <autoFilter ref="A1:BA1" xr:uid="{00000000-0009-0000-0000-000004000000}"/>
  <phoneticPr fontId="3"/>
  <dataValidations count="20">
    <dataValidation type="list" allowBlank="1" showInputMessage="1" showErrorMessage="1" sqref="K2:K494" xr:uid="{BC9A6378-18CB-4965-AC0A-AC425C96D5ED}">
      <formula1>$AR$2:$AR$25</formula1>
    </dataValidation>
    <dataValidation type="list" allowBlank="1" showInputMessage="1" showErrorMessage="1" sqref="I64400:I64405 WVQ981883:WVQ981888 WLU981883:WLU981888 WBY981883:WBY981888 VSC981883:VSC981888 VIG981883:VIG981888 UYK981883:UYK981888 UOO981883:UOO981888 UES981883:UES981888 TUW981883:TUW981888 TLA981883:TLA981888 TBE981883:TBE981888 SRI981883:SRI981888 SHM981883:SHM981888 RXQ981883:RXQ981888 RNU981883:RNU981888 RDY981883:RDY981888 QUC981883:QUC981888 QKG981883:QKG981888 QAK981883:QAK981888 PQO981883:PQO981888 PGS981883:PGS981888 OWW981883:OWW981888 ONA981883:ONA981888 ODE981883:ODE981888 NTI981883:NTI981888 NJM981883:NJM981888 MZQ981883:MZQ981888 MPU981883:MPU981888 MFY981883:MFY981888 LWC981883:LWC981888 LMG981883:LMG981888 LCK981883:LCK981888 KSO981883:KSO981888 KIS981883:KIS981888 JYW981883:JYW981888 JPA981883:JPA981888 JFE981883:JFE981888 IVI981883:IVI981888 ILM981883:ILM981888 IBQ981883:IBQ981888 HRU981883:HRU981888 HHY981883:HHY981888 GYC981883:GYC981888 GOG981883:GOG981888 GEK981883:GEK981888 FUO981883:FUO981888 FKS981883:FKS981888 FAW981883:FAW981888 ERA981883:ERA981888 EHE981883:EHE981888 DXI981883:DXI981888 DNM981883:DNM981888 DDQ981883:DDQ981888 CTU981883:CTU981888 CJY981883:CJY981888 CAC981883:CAC981888 BQG981883:BQG981888 BGK981883:BGK981888 AWO981883:AWO981888 AMS981883:AMS981888 ACW981883:ACW981888 TA981883:TA981888 JE981883:JE981888 I981904:I981909 WVQ916347:WVQ916352 WLU916347:WLU916352 WBY916347:WBY916352 VSC916347:VSC916352 VIG916347:VIG916352 UYK916347:UYK916352 UOO916347:UOO916352 UES916347:UES916352 TUW916347:TUW916352 TLA916347:TLA916352 TBE916347:TBE916352 SRI916347:SRI916352 SHM916347:SHM916352 RXQ916347:RXQ916352 RNU916347:RNU916352 RDY916347:RDY916352 QUC916347:QUC916352 QKG916347:QKG916352 QAK916347:QAK916352 PQO916347:PQO916352 PGS916347:PGS916352 OWW916347:OWW916352 ONA916347:ONA916352 ODE916347:ODE916352 NTI916347:NTI916352 NJM916347:NJM916352 MZQ916347:MZQ916352 MPU916347:MPU916352 MFY916347:MFY916352 LWC916347:LWC916352 LMG916347:LMG916352 LCK916347:LCK916352 KSO916347:KSO916352 KIS916347:KIS916352 JYW916347:JYW916352 JPA916347:JPA916352 JFE916347:JFE916352 IVI916347:IVI916352 ILM916347:ILM916352 IBQ916347:IBQ916352 HRU916347:HRU916352 HHY916347:HHY916352 GYC916347:GYC916352 GOG916347:GOG916352 GEK916347:GEK916352 FUO916347:FUO916352 FKS916347:FKS916352 FAW916347:FAW916352 ERA916347:ERA916352 EHE916347:EHE916352 DXI916347:DXI916352 DNM916347:DNM916352 DDQ916347:DDQ916352 CTU916347:CTU916352 CJY916347:CJY916352 CAC916347:CAC916352 BQG916347:BQG916352 BGK916347:BGK916352 AWO916347:AWO916352 AMS916347:AMS916352 ACW916347:ACW916352 TA916347:TA916352 JE916347:JE916352 I916368:I916373 WVQ850811:WVQ850816 WLU850811:WLU850816 WBY850811:WBY850816 VSC850811:VSC850816 VIG850811:VIG850816 UYK850811:UYK850816 UOO850811:UOO850816 UES850811:UES850816 TUW850811:TUW850816 TLA850811:TLA850816 TBE850811:TBE850816 SRI850811:SRI850816 SHM850811:SHM850816 RXQ850811:RXQ850816 RNU850811:RNU850816 RDY850811:RDY850816 QUC850811:QUC850816 QKG850811:QKG850816 QAK850811:QAK850816 PQO850811:PQO850816 PGS850811:PGS850816 OWW850811:OWW850816 ONA850811:ONA850816 ODE850811:ODE850816 NTI850811:NTI850816 NJM850811:NJM850816 MZQ850811:MZQ850816 MPU850811:MPU850816 MFY850811:MFY850816 LWC850811:LWC850816 LMG850811:LMG850816 LCK850811:LCK850816 KSO850811:KSO850816 KIS850811:KIS850816 JYW850811:JYW850816 JPA850811:JPA850816 JFE850811:JFE850816 IVI850811:IVI850816 ILM850811:ILM850816 IBQ850811:IBQ850816 HRU850811:HRU850816 HHY850811:HHY850816 GYC850811:GYC850816 GOG850811:GOG850816 GEK850811:GEK850816 FUO850811:FUO850816 FKS850811:FKS850816 FAW850811:FAW850816 ERA850811:ERA850816 EHE850811:EHE850816 DXI850811:DXI850816 DNM850811:DNM850816 DDQ850811:DDQ850816 CTU850811:CTU850816 CJY850811:CJY850816 CAC850811:CAC850816 BQG850811:BQG850816 BGK850811:BGK850816 AWO850811:AWO850816 AMS850811:AMS850816 ACW850811:ACW850816 TA850811:TA850816 JE850811:JE850816 I850832:I850837 WVQ785275:WVQ785280 WLU785275:WLU785280 WBY785275:WBY785280 VSC785275:VSC785280 VIG785275:VIG785280 UYK785275:UYK785280 UOO785275:UOO785280 UES785275:UES785280 TUW785275:TUW785280 TLA785275:TLA785280 TBE785275:TBE785280 SRI785275:SRI785280 SHM785275:SHM785280 RXQ785275:RXQ785280 RNU785275:RNU785280 RDY785275:RDY785280 QUC785275:QUC785280 QKG785275:QKG785280 QAK785275:QAK785280 PQO785275:PQO785280 PGS785275:PGS785280 OWW785275:OWW785280 ONA785275:ONA785280 ODE785275:ODE785280 NTI785275:NTI785280 NJM785275:NJM785280 MZQ785275:MZQ785280 MPU785275:MPU785280 MFY785275:MFY785280 LWC785275:LWC785280 LMG785275:LMG785280 LCK785275:LCK785280 KSO785275:KSO785280 KIS785275:KIS785280 JYW785275:JYW785280 JPA785275:JPA785280 JFE785275:JFE785280 IVI785275:IVI785280 ILM785275:ILM785280 IBQ785275:IBQ785280 HRU785275:HRU785280 HHY785275:HHY785280 GYC785275:GYC785280 GOG785275:GOG785280 GEK785275:GEK785280 FUO785275:FUO785280 FKS785275:FKS785280 FAW785275:FAW785280 ERA785275:ERA785280 EHE785275:EHE785280 DXI785275:DXI785280 DNM785275:DNM785280 DDQ785275:DDQ785280 CTU785275:CTU785280 CJY785275:CJY785280 CAC785275:CAC785280 BQG785275:BQG785280 BGK785275:BGK785280 AWO785275:AWO785280 AMS785275:AMS785280 ACW785275:ACW785280 TA785275:TA785280 JE785275:JE785280 I785296:I785301 WVQ719739:WVQ719744 WLU719739:WLU719744 WBY719739:WBY719744 VSC719739:VSC719744 VIG719739:VIG719744 UYK719739:UYK719744 UOO719739:UOO719744 UES719739:UES719744 TUW719739:TUW719744 TLA719739:TLA719744 TBE719739:TBE719744 SRI719739:SRI719744 SHM719739:SHM719744 RXQ719739:RXQ719744 RNU719739:RNU719744 RDY719739:RDY719744 QUC719739:QUC719744 QKG719739:QKG719744 QAK719739:QAK719744 PQO719739:PQO719744 PGS719739:PGS719744 OWW719739:OWW719744 ONA719739:ONA719744 ODE719739:ODE719744 NTI719739:NTI719744 NJM719739:NJM719744 MZQ719739:MZQ719744 MPU719739:MPU719744 MFY719739:MFY719744 LWC719739:LWC719744 LMG719739:LMG719744 LCK719739:LCK719744 KSO719739:KSO719744 KIS719739:KIS719744 JYW719739:JYW719744 JPA719739:JPA719744 JFE719739:JFE719744 IVI719739:IVI719744 ILM719739:ILM719744 IBQ719739:IBQ719744 HRU719739:HRU719744 HHY719739:HHY719744 GYC719739:GYC719744 GOG719739:GOG719744 GEK719739:GEK719744 FUO719739:FUO719744 FKS719739:FKS719744 FAW719739:FAW719744 ERA719739:ERA719744 EHE719739:EHE719744 DXI719739:DXI719744 DNM719739:DNM719744 DDQ719739:DDQ719744 CTU719739:CTU719744 CJY719739:CJY719744 CAC719739:CAC719744 BQG719739:BQG719744 BGK719739:BGK719744 AWO719739:AWO719744 AMS719739:AMS719744 ACW719739:ACW719744 TA719739:TA719744 JE719739:JE719744 I719760:I719765 WVQ654203:WVQ654208 WLU654203:WLU654208 WBY654203:WBY654208 VSC654203:VSC654208 VIG654203:VIG654208 UYK654203:UYK654208 UOO654203:UOO654208 UES654203:UES654208 TUW654203:TUW654208 TLA654203:TLA654208 TBE654203:TBE654208 SRI654203:SRI654208 SHM654203:SHM654208 RXQ654203:RXQ654208 RNU654203:RNU654208 RDY654203:RDY654208 QUC654203:QUC654208 QKG654203:QKG654208 QAK654203:QAK654208 PQO654203:PQO654208 PGS654203:PGS654208 OWW654203:OWW654208 ONA654203:ONA654208 ODE654203:ODE654208 NTI654203:NTI654208 NJM654203:NJM654208 MZQ654203:MZQ654208 MPU654203:MPU654208 MFY654203:MFY654208 LWC654203:LWC654208 LMG654203:LMG654208 LCK654203:LCK654208 KSO654203:KSO654208 KIS654203:KIS654208 JYW654203:JYW654208 JPA654203:JPA654208 JFE654203:JFE654208 IVI654203:IVI654208 ILM654203:ILM654208 IBQ654203:IBQ654208 HRU654203:HRU654208 HHY654203:HHY654208 GYC654203:GYC654208 GOG654203:GOG654208 GEK654203:GEK654208 FUO654203:FUO654208 FKS654203:FKS654208 FAW654203:FAW654208 ERA654203:ERA654208 EHE654203:EHE654208 DXI654203:DXI654208 DNM654203:DNM654208 DDQ654203:DDQ654208 CTU654203:CTU654208 CJY654203:CJY654208 CAC654203:CAC654208 BQG654203:BQG654208 BGK654203:BGK654208 AWO654203:AWO654208 AMS654203:AMS654208 ACW654203:ACW654208 TA654203:TA654208 JE654203:JE654208 I654224:I654229 WVQ588667:WVQ588672 WLU588667:WLU588672 WBY588667:WBY588672 VSC588667:VSC588672 VIG588667:VIG588672 UYK588667:UYK588672 UOO588667:UOO588672 UES588667:UES588672 TUW588667:TUW588672 TLA588667:TLA588672 TBE588667:TBE588672 SRI588667:SRI588672 SHM588667:SHM588672 RXQ588667:RXQ588672 RNU588667:RNU588672 RDY588667:RDY588672 QUC588667:QUC588672 QKG588667:QKG588672 QAK588667:QAK588672 PQO588667:PQO588672 PGS588667:PGS588672 OWW588667:OWW588672 ONA588667:ONA588672 ODE588667:ODE588672 NTI588667:NTI588672 NJM588667:NJM588672 MZQ588667:MZQ588672 MPU588667:MPU588672 MFY588667:MFY588672 LWC588667:LWC588672 LMG588667:LMG588672 LCK588667:LCK588672 KSO588667:KSO588672 KIS588667:KIS588672 JYW588667:JYW588672 JPA588667:JPA588672 JFE588667:JFE588672 IVI588667:IVI588672 ILM588667:ILM588672 IBQ588667:IBQ588672 HRU588667:HRU588672 HHY588667:HHY588672 GYC588667:GYC588672 GOG588667:GOG588672 GEK588667:GEK588672 FUO588667:FUO588672 FKS588667:FKS588672 FAW588667:FAW588672 ERA588667:ERA588672 EHE588667:EHE588672 DXI588667:DXI588672 DNM588667:DNM588672 DDQ588667:DDQ588672 CTU588667:CTU588672 CJY588667:CJY588672 CAC588667:CAC588672 BQG588667:BQG588672 BGK588667:BGK588672 AWO588667:AWO588672 AMS588667:AMS588672 ACW588667:ACW588672 TA588667:TA588672 JE588667:JE588672 I588688:I588693 WVQ523131:WVQ523136 WLU523131:WLU523136 WBY523131:WBY523136 VSC523131:VSC523136 VIG523131:VIG523136 UYK523131:UYK523136 UOO523131:UOO523136 UES523131:UES523136 TUW523131:TUW523136 TLA523131:TLA523136 TBE523131:TBE523136 SRI523131:SRI523136 SHM523131:SHM523136 RXQ523131:RXQ523136 RNU523131:RNU523136 RDY523131:RDY523136 QUC523131:QUC523136 QKG523131:QKG523136 QAK523131:QAK523136 PQO523131:PQO523136 PGS523131:PGS523136 OWW523131:OWW523136 ONA523131:ONA523136 ODE523131:ODE523136 NTI523131:NTI523136 NJM523131:NJM523136 MZQ523131:MZQ523136 MPU523131:MPU523136 MFY523131:MFY523136 LWC523131:LWC523136 LMG523131:LMG523136 LCK523131:LCK523136 KSO523131:KSO523136 KIS523131:KIS523136 JYW523131:JYW523136 JPA523131:JPA523136 JFE523131:JFE523136 IVI523131:IVI523136 ILM523131:ILM523136 IBQ523131:IBQ523136 HRU523131:HRU523136 HHY523131:HHY523136 GYC523131:GYC523136 GOG523131:GOG523136 GEK523131:GEK523136 FUO523131:FUO523136 FKS523131:FKS523136 FAW523131:FAW523136 ERA523131:ERA523136 EHE523131:EHE523136 DXI523131:DXI523136 DNM523131:DNM523136 DDQ523131:DDQ523136 CTU523131:CTU523136 CJY523131:CJY523136 CAC523131:CAC523136 BQG523131:BQG523136 BGK523131:BGK523136 AWO523131:AWO523136 AMS523131:AMS523136 ACW523131:ACW523136 TA523131:TA523136 JE523131:JE523136 I523152:I523157 WVQ457595:WVQ457600 WLU457595:WLU457600 WBY457595:WBY457600 VSC457595:VSC457600 VIG457595:VIG457600 UYK457595:UYK457600 UOO457595:UOO457600 UES457595:UES457600 TUW457595:TUW457600 TLA457595:TLA457600 TBE457595:TBE457600 SRI457595:SRI457600 SHM457595:SHM457600 RXQ457595:RXQ457600 RNU457595:RNU457600 RDY457595:RDY457600 QUC457595:QUC457600 QKG457595:QKG457600 QAK457595:QAK457600 PQO457595:PQO457600 PGS457595:PGS457600 OWW457595:OWW457600 ONA457595:ONA457600 ODE457595:ODE457600 NTI457595:NTI457600 NJM457595:NJM457600 MZQ457595:MZQ457600 MPU457595:MPU457600 MFY457595:MFY457600 LWC457595:LWC457600 LMG457595:LMG457600 LCK457595:LCK457600 KSO457595:KSO457600 KIS457595:KIS457600 JYW457595:JYW457600 JPA457595:JPA457600 JFE457595:JFE457600 IVI457595:IVI457600 ILM457595:ILM457600 IBQ457595:IBQ457600 HRU457595:HRU457600 HHY457595:HHY457600 GYC457595:GYC457600 GOG457595:GOG457600 GEK457595:GEK457600 FUO457595:FUO457600 FKS457595:FKS457600 FAW457595:FAW457600 ERA457595:ERA457600 EHE457595:EHE457600 DXI457595:DXI457600 DNM457595:DNM457600 DDQ457595:DDQ457600 CTU457595:CTU457600 CJY457595:CJY457600 CAC457595:CAC457600 BQG457595:BQG457600 BGK457595:BGK457600 AWO457595:AWO457600 AMS457595:AMS457600 ACW457595:ACW457600 TA457595:TA457600 JE457595:JE457600 I457616:I457621 WVQ392059:WVQ392064 WLU392059:WLU392064 WBY392059:WBY392064 VSC392059:VSC392064 VIG392059:VIG392064 UYK392059:UYK392064 UOO392059:UOO392064 UES392059:UES392064 TUW392059:TUW392064 TLA392059:TLA392064 TBE392059:TBE392064 SRI392059:SRI392064 SHM392059:SHM392064 RXQ392059:RXQ392064 RNU392059:RNU392064 RDY392059:RDY392064 QUC392059:QUC392064 QKG392059:QKG392064 QAK392059:QAK392064 PQO392059:PQO392064 PGS392059:PGS392064 OWW392059:OWW392064 ONA392059:ONA392064 ODE392059:ODE392064 NTI392059:NTI392064 NJM392059:NJM392064 MZQ392059:MZQ392064 MPU392059:MPU392064 MFY392059:MFY392064 LWC392059:LWC392064 LMG392059:LMG392064 LCK392059:LCK392064 KSO392059:KSO392064 KIS392059:KIS392064 JYW392059:JYW392064 JPA392059:JPA392064 JFE392059:JFE392064 IVI392059:IVI392064 ILM392059:ILM392064 IBQ392059:IBQ392064 HRU392059:HRU392064 HHY392059:HHY392064 GYC392059:GYC392064 GOG392059:GOG392064 GEK392059:GEK392064 FUO392059:FUO392064 FKS392059:FKS392064 FAW392059:FAW392064 ERA392059:ERA392064 EHE392059:EHE392064 DXI392059:DXI392064 DNM392059:DNM392064 DDQ392059:DDQ392064 CTU392059:CTU392064 CJY392059:CJY392064 CAC392059:CAC392064 BQG392059:BQG392064 BGK392059:BGK392064 AWO392059:AWO392064 AMS392059:AMS392064 ACW392059:ACW392064 TA392059:TA392064 JE392059:JE392064 I392080:I392085 WVQ326523:WVQ326528 WLU326523:WLU326528 WBY326523:WBY326528 VSC326523:VSC326528 VIG326523:VIG326528 UYK326523:UYK326528 UOO326523:UOO326528 UES326523:UES326528 TUW326523:TUW326528 TLA326523:TLA326528 TBE326523:TBE326528 SRI326523:SRI326528 SHM326523:SHM326528 RXQ326523:RXQ326528 RNU326523:RNU326528 RDY326523:RDY326528 QUC326523:QUC326528 QKG326523:QKG326528 QAK326523:QAK326528 PQO326523:PQO326528 PGS326523:PGS326528 OWW326523:OWW326528 ONA326523:ONA326528 ODE326523:ODE326528 NTI326523:NTI326528 NJM326523:NJM326528 MZQ326523:MZQ326528 MPU326523:MPU326528 MFY326523:MFY326528 LWC326523:LWC326528 LMG326523:LMG326528 LCK326523:LCK326528 KSO326523:KSO326528 KIS326523:KIS326528 JYW326523:JYW326528 JPA326523:JPA326528 JFE326523:JFE326528 IVI326523:IVI326528 ILM326523:ILM326528 IBQ326523:IBQ326528 HRU326523:HRU326528 HHY326523:HHY326528 GYC326523:GYC326528 GOG326523:GOG326528 GEK326523:GEK326528 FUO326523:FUO326528 FKS326523:FKS326528 FAW326523:FAW326528 ERA326523:ERA326528 EHE326523:EHE326528 DXI326523:DXI326528 DNM326523:DNM326528 DDQ326523:DDQ326528 CTU326523:CTU326528 CJY326523:CJY326528 CAC326523:CAC326528 BQG326523:BQG326528 BGK326523:BGK326528 AWO326523:AWO326528 AMS326523:AMS326528 ACW326523:ACW326528 TA326523:TA326528 JE326523:JE326528 I326544:I326549 WVQ260987:WVQ260992 WLU260987:WLU260992 WBY260987:WBY260992 VSC260987:VSC260992 VIG260987:VIG260992 UYK260987:UYK260992 UOO260987:UOO260992 UES260987:UES260992 TUW260987:TUW260992 TLA260987:TLA260992 TBE260987:TBE260992 SRI260987:SRI260992 SHM260987:SHM260992 RXQ260987:RXQ260992 RNU260987:RNU260992 RDY260987:RDY260992 QUC260987:QUC260992 QKG260987:QKG260992 QAK260987:QAK260992 PQO260987:PQO260992 PGS260987:PGS260992 OWW260987:OWW260992 ONA260987:ONA260992 ODE260987:ODE260992 NTI260987:NTI260992 NJM260987:NJM260992 MZQ260987:MZQ260992 MPU260987:MPU260992 MFY260987:MFY260992 LWC260987:LWC260992 LMG260987:LMG260992 LCK260987:LCK260992 KSO260987:KSO260992 KIS260987:KIS260992 JYW260987:JYW260992 JPA260987:JPA260992 JFE260987:JFE260992 IVI260987:IVI260992 ILM260987:ILM260992 IBQ260987:IBQ260992 HRU260987:HRU260992 HHY260987:HHY260992 GYC260987:GYC260992 GOG260987:GOG260992 GEK260987:GEK260992 FUO260987:FUO260992 FKS260987:FKS260992 FAW260987:FAW260992 ERA260987:ERA260992 EHE260987:EHE260992 DXI260987:DXI260992 DNM260987:DNM260992 DDQ260987:DDQ260992 CTU260987:CTU260992 CJY260987:CJY260992 CAC260987:CAC260992 BQG260987:BQG260992 BGK260987:BGK260992 AWO260987:AWO260992 AMS260987:AMS260992 ACW260987:ACW260992 TA260987:TA260992 JE260987:JE260992 I261008:I261013 WVQ195451:WVQ195456 WLU195451:WLU195456 WBY195451:WBY195456 VSC195451:VSC195456 VIG195451:VIG195456 UYK195451:UYK195456 UOO195451:UOO195456 UES195451:UES195456 TUW195451:TUW195456 TLA195451:TLA195456 TBE195451:TBE195456 SRI195451:SRI195456 SHM195451:SHM195456 RXQ195451:RXQ195456 RNU195451:RNU195456 RDY195451:RDY195456 QUC195451:QUC195456 QKG195451:QKG195456 QAK195451:QAK195456 PQO195451:PQO195456 PGS195451:PGS195456 OWW195451:OWW195456 ONA195451:ONA195456 ODE195451:ODE195456 NTI195451:NTI195456 NJM195451:NJM195456 MZQ195451:MZQ195456 MPU195451:MPU195456 MFY195451:MFY195456 LWC195451:LWC195456 LMG195451:LMG195456 LCK195451:LCK195456 KSO195451:KSO195456 KIS195451:KIS195456 JYW195451:JYW195456 JPA195451:JPA195456 JFE195451:JFE195456 IVI195451:IVI195456 ILM195451:ILM195456 IBQ195451:IBQ195456 HRU195451:HRU195456 HHY195451:HHY195456 GYC195451:GYC195456 GOG195451:GOG195456 GEK195451:GEK195456 FUO195451:FUO195456 FKS195451:FKS195456 FAW195451:FAW195456 ERA195451:ERA195456 EHE195451:EHE195456 DXI195451:DXI195456 DNM195451:DNM195456 DDQ195451:DDQ195456 CTU195451:CTU195456 CJY195451:CJY195456 CAC195451:CAC195456 BQG195451:BQG195456 BGK195451:BGK195456 AWO195451:AWO195456 AMS195451:AMS195456 ACW195451:ACW195456 TA195451:TA195456 JE195451:JE195456 I195472:I195477 WVQ129915:WVQ129920 WLU129915:WLU129920 WBY129915:WBY129920 VSC129915:VSC129920 VIG129915:VIG129920 UYK129915:UYK129920 UOO129915:UOO129920 UES129915:UES129920 TUW129915:TUW129920 TLA129915:TLA129920 TBE129915:TBE129920 SRI129915:SRI129920 SHM129915:SHM129920 RXQ129915:RXQ129920 RNU129915:RNU129920 RDY129915:RDY129920 QUC129915:QUC129920 QKG129915:QKG129920 QAK129915:QAK129920 PQO129915:PQO129920 PGS129915:PGS129920 OWW129915:OWW129920 ONA129915:ONA129920 ODE129915:ODE129920 NTI129915:NTI129920 NJM129915:NJM129920 MZQ129915:MZQ129920 MPU129915:MPU129920 MFY129915:MFY129920 LWC129915:LWC129920 LMG129915:LMG129920 LCK129915:LCK129920 KSO129915:KSO129920 KIS129915:KIS129920 JYW129915:JYW129920 JPA129915:JPA129920 JFE129915:JFE129920 IVI129915:IVI129920 ILM129915:ILM129920 IBQ129915:IBQ129920 HRU129915:HRU129920 HHY129915:HHY129920 GYC129915:GYC129920 GOG129915:GOG129920 GEK129915:GEK129920 FUO129915:FUO129920 FKS129915:FKS129920 FAW129915:FAW129920 ERA129915:ERA129920 EHE129915:EHE129920 DXI129915:DXI129920 DNM129915:DNM129920 DDQ129915:DDQ129920 CTU129915:CTU129920 CJY129915:CJY129920 CAC129915:CAC129920 BQG129915:BQG129920 BGK129915:BGK129920 AWO129915:AWO129920 AMS129915:AMS129920 ACW129915:ACW129920 TA129915:TA129920 JE129915:JE129920 I129936:I129941 WVQ64379:WVQ64384 WLU64379:WLU64384 WBY64379:WBY64384 VSC64379:VSC64384 VIG64379:VIG64384 UYK64379:UYK64384 UOO64379:UOO64384 UES64379:UES64384 TUW64379:TUW64384 TLA64379:TLA64384 TBE64379:TBE64384 SRI64379:SRI64384 SHM64379:SHM64384 RXQ64379:RXQ64384 RNU64379:RNU64384 RDY64379:RDY64384 QUC64379:QUC64384 QKG64379:QKG64384 QAK64379:QAK64384 PQO64379:PQO64384 PGS64379:PGS64384 OWW64379:OWW64384 ONA64379:ONA64384 ODE64379:ODE64384 NTI64379:NTI64384 NJM64379:NJM64384 MZQ64379:MZQ64384 MPU64379:MPU64384 MFY64379:MFY64384 LWC64379:LWC64384 LMG64379:LMG64384 LCK64379:LCK64384 KSO64379:KSO64384 KIS64379:KIS64384 JYW64379:JYW64384 JPA64379:JPA64384 JFE64379:JFE64384 IVI64379:IVI64384 ILM64379:ILM64384 IBQ64379:IBQ64384 HRU64379:HRU64384 HHY64379:HHY64384 GYC64379:GYC64384 GOG64379:GOG64384 GEK64379:GEK64384 FUO64379:FUO64384 FKS64379:FKS64384 FAW64379:FAW64384 ERA64379:ERA64384 EHE64379:EHE64384 DXI64379:DXI64384 DNM64379:DNM64384 DDQ64379:DDQ64384 CTU64379:CTU64384 CJY64379:CJY64384 CAC64379:CAC64384 BQG64379:BQG64384 BGK64379:BGK64384 AWO64379:AWO64384 AMS64379:AMS64384 ACW64379:ACW64384 TA64379:TA64384 JE64379:JE64384" xr:uid="{80A4A821-CF71-461D-ABE8-5ED160D40C11}">
      <formula1>$AN$8:$AN$9</formula1>
    </dataValidation>
    <dataValidation type="list" allowBlank="1" showInputMessage="1" showErrorMessage="1" sqref="WVS981799:WVS981888 WLW981799:WLW981888 WCA981799:WCA981888 VSE981799:VSE981888 VII981799:VII981888 UYM981799:UYM981888 UOQ981799:UOQ981888 UEU981799:UEU981888 TUY981799:TUY981888 TLC981799:TLC981888 TBG981799:TBG981888 SRK981799:SRK981888 SHO981799:SHO981888 RXS981799:RXS981888 RNW981799:RNW981888 REA981799:REA981888 QUE981799:QUE981888 QKI981799:QKI981888 QAM981799:QAM981888 PQQ981799:PQQ981888 PGU981799:PGU981888 OWY981799:OWY981888 ONC981799:ONC981888 ODG981799:ODG981888 NTK981799:NTK981888 NJO981799:NJO981888 MZS981799:MZS981888 MPW981799:MPW981888 MGA981799:MGA981888 LWE981799:LWE981888 LMI981799:LMI981888 LCM981799:LCM981888 KSQ981799:KSQ981888 KIU981799:KIU981888 JYY981799:JYY981888 JPC981799:JPC981888 JFG981799:JFG981888 IVK981799:IVK981888 ILO981799:ILO981888 IBS981799:IBS981888 HRW981799:HRW981888 HIA981799:HIA981888 GYE981799:GYE981888 GOI981799:GOI981888 GEM981799:GEM981888 FUQ981799:FUQ981888 FKU981799:FKU981888 FAY981799:FAY981888 ERC981799:ERC981888 EHG981799:EHG981888 DXK981799:DXK981888 DNO981799:DNO981888 DDS981799:DDS981888 CTW981799:CTW981888 CKA981799:CKA981888 CAE981799:CAE981888 BQI981799:BQI981888 BGM981799:BGM981888 AWQ981799:AWQ981888 AMU981799:AMU981888 ACY981799:ACY981888 TC981799:TC981888 JG981799:JG981888 K981808:K981897 WVS916263:WVS916352 WLW916263:WLW916352 WCA916263:WCA916352 VSE916263:VSE916352 VII916263:VII916352 UYM916263:UYM916352 UOQ916263:UOQ916352 UEU916263:UEU916352 TUY916263:TUY916352 TLC916263:TLC916352 TBG916263:TBG916352 SRK916263:SRK916352 SHO916263:SHO916352 RXS916263:RXS916352 RNW916263:RNW916352 REA916263:REA916352 QUE916263:QUE916352 QKI916263:QKI916352 QAM916263:QAM916352 PQQ916263:PQQ916352 PGU916263:PGU916352 OWY916263:OWY916352 ONC916263:ONC916352 ODG916263:ODG916352 NTK916263:NTK916352 NJO916263:NJO916352 MZS916263:MZS916352 MPW916263:MPW916352 MGA916263:MGA916352 LWE916263:LWE916352 LMI916263:LMI916352 LCM916263:LCM916352 KSQ916263:KSQ916352 KIU916263:KIU916352 JYY916263:JYY916352 JPC916263:JPC916352 JFG916263:JFG916352 IVK916263:IVK916352 ILO916263:ILO916352 IBS916263:IBS916352 HRW916263:HRW916352 HIA916263:HIA916352 GYE916263:GYE916352 GOI916263:GOI916352 GEM916263:GEM916352 FUQ916263:FUQ916352 FKU916263:FKU916352 FAY916263:FAY916352 ERC916263:ERC916352 EHG916263:EHG916352 DXK916263:DXK916352 DNO916263:DNO916352 DDS916263:DDS916352 CTW916263:CTW916352 CKA916263:CKA916352 CAE916263:CAE916352 BQI916263:BQI916352 BGM916263:BGM916352 AWQ916263:AWQ916352 AMU916263:AMU916352 ACY916263:ACY916352 TC916263:TC916352 JG916263:JG916352 K916272:K916361 WVS850727:WVS850816 WLW850727:WLW850816 WCA850727:WCA850816 VSE850727:VSE850816 VII850727:VII850816 UYM850727:UYM850816 UOQ850727:UOQ850816 UEU850727:UEU850816 TUY850727:TUY850816 TLC850727:TLC850816 TBG850727:TBG850816 SRK850727:SRK850816 SHO850727:SHO850816 RXS850727:RXS850816 RNW850727:RNW850816 REA850727:REA850816 QUE850727:QUE850816 QKI850727:QKI850816 QAM850727:QAM850816 PQQ850727:PQQ850816 PGU850727:PGU850816 OWY850727:OWY850816 ONC850727:ONC850816 ODG850727:ODG850816 NTK850727:NTK850816 NJO850727:NJO850816 MZS850727:MZS850816 MPW850727:MPW850816 MGA850727:MGA850816 LWE850727:LWE850816 LMI850727:LMI850816 LCM850727:LCM850816 KSQ850727:KSQ850816 KIU850727:KIU850816 JYY850727:JYY850816 JPC850727:JPC850816 JFG850727:JFG850816 IVK850727:IVK850816 ILO850727:ILO850816 IBS850727:IBS850816 HRW850727:HRW850816 HIA850727:HIA850816 GYE850727:GYE850816 GOI850727:GOI850816 GEM850727:GEM850816 FUQ850727:FUQ850816 FKU850727:FKU850816 FAY850727:FAY850816 ERC850727:ERC850816 EHG850727:EHG850816 DXK850727:DXK850816 DNO850727:DNO850816 DDS850727:DDS850816 CTW850727:CTW850816 CKA850727:CKA850816 CAE850727:CAE850816 BQI850727:BQI850816 BGM850727:BGM850816 AWQ850727:AWQ850816 AMU850727:AMU850816 ACY850727:ACY850816 TC850727:TC850816 JG850727:JG850816 K850736:K850825 WVS785191:WVS785280 WLW785191:WLW785280 WCA785191:WCA785280 VSE785191:VSE785280 VII785191:VII785280 UYM785191:UYM785280 UOQ785191:UOQ785280 UEU785191:UEU785280 TUY785191:TUY785280 TLC785191:TLC785280 TBG785191:TBG785280 SRK785191:SRK785280 SHO785191:SHO785280 RXS785191:RXS785280 RNW785191:RNW785280 REA785191:REA785280 QUE785191:QUE785280 QKI785191:QKI785280 QAM785191:QAM785280 PQQ785191:PQQ785280 PGU785191:PGU785280 OWY785191:OWY785280 ONC785191:ONC785280 ODG785191:ODG785280 NTK785191:NTK785280 NJO785191:NJO785280 MZS785191:MZS785280 MPW785191:MPW785280 MGA785191:MGA785280 LWE785191:LWE785280 LMI785191:LMI785280 LCM785191:LCM785280 KSQ785191:KSQ785280 KIU785191:KIU785280 JYY785191:JYY785280 JPC785191:JPC785280 JFG785191:JFG785280 IVK785191:IVK785280 ILO785191:ILO785280 IBS785191:IBS785280 HRW785191:HRW785280 HIA785191:HIA785280 GYE785191:GYE785280 GOI785191:GOI785280 GEM785191:GEM785280 FUQ785191:FUQ785280 FKU785191:FKU785280 FAY785191:FAY785280 ERC785191:ERC785280 EHG785191:EHG785280 DXK785191:DXK785280 DNO785191:DNO785280 DDS785191:DDS785280 CTW785191:CTW785280 CKA785191:CKA785280 CAE785191:CAE785280 BQI785191:BQI785280 BGM785191:BGM785280 AWQ785191:AWQ785280 AMU785191:AMU785280 ACY785191:ACY785280 TC785191:TC785280 JG785191:JG785280 K785200:K785289 WVS719655:WVS719744 WLW719655:WLW719744 WCA719655:WCA719744 VSE719655:VSE719744 VII719655:VII719744 UYM719655:UYM719744 UOQ719655:UOQ719744 UEU719655:UEU719744 TUY719655:TUY719744 TLC719655:TLC719744 TBG719655:TBG719744 SRK719655:SRK719744 SHO719655:SHO719744 RXS719655:RXS719744 RNW719655:RNW719744 REA719655:REA719744 QUE719655:QUE719744 QKI719655:QKI719744 QAM719655:QAM719744 PQQ719655:PQQ719744 PGU719655:PGU719744 OWY719655:OWY719744 ONC719655:ONC719744 ODG719655:ODG719744 NTK719655:NTK719744 NJO719655:NJO719744 MZS719655:MZS719744 MPW719655:MPW719744 MGA719655:MGA719744 LWE719655:LWE719744 LMI719655:LMI719744 LCM719655:LCM719744 KSQ719655:KSQ719744 KIU719655:KIU719744 JYY719655:JYY719744 JPC719655:JPC719744 JFG719655:JFG719744 IVK719655:IVK719744 ILO719655:ILO719744 IBS719655:IBS719744 HRW719655:HRW719744 HIA719655:HIA719744 GYE719655:GYE719744 GOI719655:GOI719744 GEM719655:GEM719744 FUQ719655:FUQ719744 FKU719655:FKU719744 FAY719655:FAY719744 ERC719655:ERC719744 EHG719655:EHG719744 DXK719655:DXK719744 DNO719655:DNO719744 DDS719655:DDS719744 CTW719655:CTW719744 CKA719655:CKA719744 CAE719655:CAE719744 BQI719655:BQI719744 BGM719655:BGM719744 AWQ719655:AWQ719744 AMU719655:AMU719744 ACY719655:ACY719744 TC719655:TC719744 JG719655:JG719744 K719664:K719753 WVS654119:WVS654208 WLW654119:WLW654208 WCA654119:WCA654208 VSE654119:VSE654208 VII654119:VII654208 UYM654119:UYM654208 UOQ654119:UOQ654208 UEU654119:UEU654208 TUY654119:TUY654208 TLC654119:TLC654208 TBG654119:TBG654208 SRK654119:SRK654208 SHO654119:SHO654208 RXS654119:RXS654208 RNW654119:RNW654208 REA654119:REA654208 QUE654119:QUE654208 QKI654119:QKI654208 QAM654119:QAM654208 PQQ654119:PQQ654208 PGU654119:PGU654208 OWY654119:OWY654208 ONC654119:ONC654208 ODG654119:ODG654208 NTK654119:NTK654208 NJO654119:NJO654208 MZS654119:MZS654208 MPW654119:MPW654208 MGA654119:MGA654208 LWE654119:LWE654208 LMI654119:LMI654208 LCM654119:LCM654208 KSQ654119:KSQ654208 KIU654119:KIU654208 JYY654119:JYY654208 JPC654119:JPC654208 JFG654119:JFG654208 IVK654119:IVK654208 ILO654119:ILO654208 IBS654119:IBS654208 HRW654119:HRW654208 HIA654119:HIA654208 GYE654119:GYE654208 GOI654119:GOI654208 GEM654119:GEM654208 FUQ654119:FUQ654208 FKU654119:FKU654208 FAY654119:FAY654208 ERC654119:ERC654208 EHG654119:EHG654208 DXK654119:DXK654208 DNO654119:DNO654208 DDS654119:DDS654208 CTW654119:CTW654208 CKA654119:CKA654208 CAE654119:CAE654208 BQI654119:BQI654208 BGM654119:BGM654208 AWQ654119:AWQ654208 AMU654119:AMU654208 ACY654119:ACY654208 TC654119:TC654208 JG654119:JG654208 K654128:K654217 WVS588583:WVS588672 WLW588583:WLW588672 WCA588583:WCA588672 VSE588583:VSE588672 VII588583:VII588672 UYM588583:UYM588672 UOQ588583:UOQ588672 UEU588583:UEU588672 TUY588583:TUY588672 TLC588583:TLC588672 TBG588583:TBG588672 SRK588583:SRK588672 SHO588583:SHO588672 RXS588583:RXS588672 RNW588583:RNW588672 REA588583:REA588672 QUE588583:QUE588672 QKI588583:QKI588672 QAM588583:QAM588672 PQQ588583:PQQ588672 PGU588583:PGU588672 OWY588583:OWY588672 ONC588583:ONC588672 ODG588583:ODG588672 NTK588583:NTK588672 NJO588583:NJO588672 MZS588583:MZS588672 MPW588583:MPW588672 MGA588583:MGA588672 LWE588583:LWE588672 LMI588583:LMI588672 LCM588583:LCM588672 KSQ588583:KSQ588672 KIU588583:KIU588672 JYY588583:JYY588672 JPC588583:JPC588672 JFG588583:JFG588672 IVK588583:IVK588672 ILO588583:ILO588672 IBS588583:IBS588672 HRW588583:HRW588672 HIA588583:HIA588672 GYE588583:GYE588672 GOI588583:GOI588672 GEM588583:GEM588672 FUQ588583:FUQ588672 FKU588583:FKU588672 FAY588583:FAY588672 ERC588583:ERC588672 EHG588583:EHG588672 DXK588583:DXK588672 DNO588583:DNO588672 DDS588583:DDS588672 CTW588583:CTW588672 CKA588583:CKA588672 CAE588583:CAE588672 BQI588583:BQI588672 BGM588583:BGM588672 AWQ588583:AWQ588672 AMU588583:AMU588672 ACY588583:ACY588672 TC588583:TC588672 JG588583:JG588672 K588592:K588681 WVS523047:WVS523136 WLW523047:WLW523136 WCA523047:WCA523136 VSE523047:VSE523136 VII523047:VII523136 UYM523047:UYM523136 UOQ523047:UOQ523136 UEU523047:UEU523136 TUY523047:TUY523136 TLC523047:TLC523136 TBG523047:TBG523136 SRK523047:SRK523136 SHO523047:SHO523136 RXS523047:RXS523136 RNW523047:RNW523136 REA523047:REA523136 QUE523047:QUE523136 QKI523047:QKI523136 QAM523047:QAM523136 PQQ523047:PQQ523136 PGU523047:PGU523136 OWY523047:OWY523136 ONC523047:ONC523136 ODG523047:ODG523136 NTK523047:NTK523136 NJO523047:NJO523136 MZS523047:MZS523136 MPW523047:MPW523136 MGA523047:MGA523136 LWE523047:LWE523136 LMI523047:LMI523136 LCM523047:LCM523136 KSQ523047:KSQ523136 KIU523047:KIU523136 JYY523047:JYY523136 JPC523047:JPC523136 JFG523047:JFG523136 IVK523047:IVK523136 ILO523047:ILO523136 IBS523047:IBS523136 HRW523047:HRW523136 HIA523047:HIA523136 GYE523047:GYE523136 GOI523047:GOI523136 GEM523047:GEM523136 FUQ523047:FUQ523136 FKU523047:FKU523136 FAY523047:FAY523136 ERC523047:ERC523136 EHG523047:EHG523136 DXK523047:DXK523136 DNO523047:DNO523136 DDS523047:DDS523136 CTW523047:CTW523136 CKA523047:CKA523136 CAE523047:CAE523136 BQI523047:BQI523136 BGM523047:BGM523136 AWQ523047:AWQ523136 AMU523047:AMU523136 ACY523047:ACY523136 TC523047:TC523136 JG523047:JG523136 K523056:K523145 WVS457511:WVS457600 WLW457511:WLW457600 WCA457511:WCA457600 VSE457511:VSE457600 VII457511:VII457600 UYM457511:UYM457600 UOQ457511:UOQ457600 UEU457511:UEU457600 TUY457511:TUY457600 TLC457511:TLC457600 TBG457511:TBG457600 SRK457511:SRK457600 SHO457511:SHO457600 RXS457511:RXS457600 RNW457511:RNW457600 REA457511:REA457600 QUE457511:QUE457600 QKI457511:QKI457600 QAM457511:QAM457600 PQQ457511:PQQ457600 PGU457511:PGU457600 OWY457511:OWY457600 ONC457511:ONC457600 ODG457511:ODG457600 NTK457511:NTK457600 NJO457511:NJO457600 MZS457511:MZS457600 MPW457511:MPW457600 MGA457511:MGA457600 LWE457511:LWE457600 LMI457511:LMI457600 LCM457511:LCM457600 KSQ457511:KSQ457600 KIU457511:KIU457600 JYY457511:JYY457600 JPC457511:JPC457600 JFG457511:JFG457600 IVK457511:IVK457600 ILO457511:ILO457600 IBS457511:IBS457600 HRW457511:HRW457600 HIA457511:HIA457600 GYE457511:GYE457600 GOI457511:GOI457600 GEM457511:GEM457600 FUQ457511:FUQ457600 FKU457511:FKU457600 FAY457511:FAY457600 ERC457511:ERC457600 EHG457511:EHG457600 DXK457511:DXK457600 DNO457511:DNO457600 DDS457511:DDS457600 CTW457511:CTW457600 CKA457511:CKA457600 CAE457511:CAE457600 BQI457511:BQI457600 BGM457511:BGM457600 AWQ457511:AWQ457600 AMU457511:AMU457600 ACY457511:ACY457600 TC457511:TC457600 JG457511:JG457600 K457520:K457609 WVS391975:WVS392064 WLW391975:WLW392064 WCA391975:WCA392064 VSE391975:VSE392064 VII391975:VII392064 UYM391975:UYM392064 UOQ391975:UOQ392064 UEU391975:UEU392064 TUY391975:TUY392064 TLC391975:TLC392064 TBG391975:TBG392064 SRK391975:SRK392064 SHO391975:SHO392064 RXS391975:RXS392064 RNW391975:RNW392064 REA391975:REA392064 QUE391975:QUE392064 QKI391975:QKI392064 QAM391975:QAM392064 PQQ391975:PQQ392064 PGU391975:PGU392064 OWY391975:OWY392064 ONC391975:ONC392064 ODG391975:ODG392064 NTK391975:NTK392064 NJO391975:NJO392064 MZS391975:MZS392064 MPW391975:MPW392064 MGA391975:MGA392064 LWE391975:LWE392064 LMI391975:LMI392064 LCM391975:LCM392064 KSQ391975:KSQ392064 KIU391975:KIU392064 JYY391975:JYY392064 JPC391975:JPC392064 JFG391975:JFG392064 IVK391975:IVK392064 ILO391975:ILO392064 IBS391975:IBS392064 HRW391975:HRW392064 HIA391975:HIA392064 GYE391975:GYE392064 GOI391975:GOI392064 GEM391975:GEM392064 FUQ391975:FUQ392064 FKU391975:FKU392064 FAY391975:FAY392064 ERC391975:ERC392064 EHG391975:EHG392064 DXK391975:DXK392064 DNO391975:DNO392064 DDS391975:DDS392064 CTW391975:CTW392064 CKA391975:CKA392064 CAE391975:CAE392064 BQI391975:BQI392064 BGM391975:BGM392064 AWQ391975:AWQ392064 AMU391975:AMU392064 ACY391975:ACY392064 TC391975:TC392064 JG391975:JG392064 K391984:K392073 WVS326439:WVS326528 WLW326439:WLW326528 WCA326439:WCA326528 VSE326439:VSE326528 VII326439:VII326528 UYM326439:UYM326528 UOQ326439:UOQ326528 UEU326439:UEU326528 TUY326439:TUY326528 TLC326439:TLC326528 TBG326439:TBG326528 SRK326439:SRK326528 SHO326439:SHO326528 RXS326439:RXS326528 RNW326439:RNW326528 REA326439:REA326528 QUE326439:QUE326528 QKI326439:QKI326528 QAM326439:QAM326528 PQQ326439:PQQ326528 PGU326439:PGU326528 OWY326439:OWY326528 ONC326439:ONC326528 ODG326439:ODG326528 NTK326439:NTK326528 NJO326439:NJO326528 MZS326439:MZS326528 MPW326439:MPW326528 MGA326439:MGA326528 LWE326439:LWE326528 LMI326439:LMI326528 LCM326439:LCM326528 KSQ326439:KSQ326528 KIU326439:KIU326528 JYY326439:JYY326528 JPC326439:JPC326528 JFG326439:JFG326528 IVK326439:IVK326528 ILO326439:ILO326528 IBS326439:IBS326528 HRW326439:HRW326528 HIA326439:HIA326528 GYE326439:GYE326528 GOI326439:GOI326528 GEM326439:GEM326528 FUQ326439:FUQ326528 FKU326439:FKU326528 FAY326439:FAY326528 ERC326439:ERC326528 EHG326439:EHG326528 DXK326439:DXK326528 DNO326439:DNO326528 DDS326439:DDS326528 CTW326439:CTW326528 CKA326439:CKA326528 CAE326439:CAE326528 BQI326439:BQI326528 BGM326439:BGM326528 AWQ326439:AWQ326528 AMU326439:AMU326528 ACY326439:ACY326528 TC326439:TC326528 JG326439:JG326528 K326448:K326537 WVS260903:WVS260992 WLW260903:WLW260992 WCA260903:WCA260992 VSE260903:VSE260992 VII260903:VII260992 UYM260903:UYM260992 UOQ260903:UOQ260992 UEU260903:UEU260992 TUY260903:TUY260992 TLC260903:TLC260992 TBG260903:TBG260992 SRK260903:SRK260992 SHO260903:SHO260992 RXS260903:RXS260992 RNW260903:RNW260992 REA260903:REA260992 QUE260903:QUE260992 QKI260903:QKI260992 QAM260903:QAM260992 PQQ260903:PQQ260992 PGU260903:PGU260992 OWY260903:OWY260992 ONC260903:ONC260992 ODG260903:ODG260992 NTK260903:NTK260992 NJO260903:NJO260992 MZS260903:MZS260992 MPW260903:MPW260992 MGA260903:MGA260992 LWE260903:LWE260992 LMI260903:LMI260992 LCM260903:LCM260992 KSQ260903:KSQ260992 KIU260903:KIU260992 JYY260903:JYY260992 JPC260903:JPC260992 JFG260903:JFG260992 IVK260903:IVK260992 ILO260903:ILO260992 IBS260903:IBS260992 HRW260903:HRW260992 HIA260903:HIA260992 GYE260903:GYE260992 GOI260903:GOI260992 GEM260903:GEM260992 FUQ260903:FUQ260992 FKU260903:FKU260992 FAY260903:FAY260992 ERC260903:ERC260992 EHG260903:EHG260992 DXK260903:DXK260992 DNO260903:DNO260992 DDS260903:DDS260992 CTW260903:CTW260992 CKA260903:CKA260992 CAE260903:CAE260992 BQI260903:BQI260992 BGM260903:BGM260992 AWQ260903:AWQ260992 AMU260903:AMU260992 ACY260903:ACY260992 TC260903:TC260992 JG260903:JG260992 K260912:K261001 WVS195367:WVS195456 WLW195367:WLW195456 WCA195367:WCA195456 VSE195367:VSE195456 VII195367:VII195456 UYM195367:UYM195456 UOQ195367:UOQ195456 UEU195367:UEU195456 TUY195367:TUY195456 TLC195367:TLC195456 TBG195367:TBG195456 SRK195367:SRK195456 SHO195367:SHO195456 RXS195367:RXS195456 RNW195367:RNW195456 REA195367:REA195456 QUE195367:QUE195456 QKI195367:QKI195456 QAM195367:QAM195456 PQQ195367:PQQ195456 PGU195367:PGU195456 OWY195367:OWY195456 ONC195367:ONC195456 ODG195367:ODG195456 NTK195367:NTK195456 NJO195367:NJO195456 MZS195367:MZS195456 MPW195367:MPW195456 MGA195367:MGA195456 LWE195367:LWE195456 LMI195367:LMI195456 LCM195367:LCM195456 KSQ195367:KSQ195456 KIU195367:KIU195456 JYY195367:JYY195456 JPC195367:JPC195456 JFG195367:JFG195456 IVK195367:IVK195456 ILO195367:ILO195456 IBS195367:IBS195456 HRW195367:HRW195456 HIA195367:HIA195456 GYE195367:GYE195456 GOI195367:GOI195456 GEM195367:GEM195456 FUQ195367:FUQ195456 FKU195367:FKU195456 FAY195367:FAY195456 ERC195367:ERC195456 EHG195367:EHG195456 DXK195367:DXK195456 DNO195367:DNO195456 DDS195367:DDS195456 CTW195367:CTW195456 CKA195367:CKA195456 CAE195367:CAE195456 BQI195367:BQI195456 BGM195367:BGM195456 AWQ195367:AWQ195456 AMU195367:AMU195456 ACY195367:ACY195456 TC195367:TC195456 JG195367:JG195456 K195376:K195465 WVS129831:WVS129920 WLW129831:WLW129920 WCA129831:WCA129920 VSE129831:VSE129920 VII129831:VII129920 UYM129831:UYM129920 UOQ129831:UOQ129920 UEU129831:UEU129920 TUY129831:TUY129920 TLC129831:TLC129920 TBG129831:TBG129920 SRK129831:SRK129920 SHO129831:SHO129920 RXS129831:RXS129920 RNW129831:RNW129920 REA129831:REA129920 QUE129831:QUE129920 QKI129831:QKI129920 QAM129831:QAM129920 PQQ129831:PQQ129920 PGU129831:PGU129920 OWY129831:OWY129920 ONC129831:ONC129920 ODG129831:ODG129920 NTK129831:NTK129920 NJO129831:NJO129920 MZS129831:MZS129920 MPW129831:MPW129920 MGA129831:MGA129920 LWE129831:LWE129920 LMI129831:LMI129920 LCM129831:LCM129920 KSQ129831:KSQ129920 KIU129831:KIU129920 JYY129831:JYY129920 JPC129831:JPC129920 JFG129831:JFG129920 IVK129831:IVK129920 ILO129831:ILO129920 IBS129831:IBS129920 HRW129831:HRW129920 HIA129831:HIA129920 GYE129831:GYE129920 GOI129831:GOI129920 GEM129831:GEM129920 FUQ129831:FUQ129920 FKU129831:FKU129920 FAY129831:FAY129920 ERC129831:ERC129920 EHG129831:EHG129920 DXK129831:DXK129920 DNO129831:DNO129920 DDS129831:DDS129920 CTW129831:CTW129920 CKA129831:CKA129920 CAE129831:CAE129920 BQI129831:BQI129920 BGM129831:BGM129920 AWQ129831:AWQ129920 AMU129831:AMU129920 ACY129831:ACY129920 TC129831:TC129920 JG129831:JG129920 K129840:K129929 WVS64295:WVS64384 WLW64295:WLW64384 WCA64295:WCA64384 VSE64295:VSE64384 VII64295:VII64384 UYM64295:UYM64384 UOQ64295:UOQ64384 UEU64295:UEU64384 TUY64295:TUY64384 TLC64295:TLC64384 TBG64295:TBG64384 SRK64295:SRK64384 SHO64295:SHO64384 RXS64295:RXS64384 RNW64295:RNW64384 REA64295:REA64384 QUE64295:QUE64384 QKI64295:QKI64384 QAM64295:QAM64384 PQQ64295:PQQ64384 PGU64295:PGU64384 OWY64295:OWY64384 ONC64295:ONC64384 ODG64295:ODG64384 NTK64295:NTK64384 NJO64295:NJO64384 MZS64295:MZS64384 MPW64295:MPW64384 MGA64295:MGA64384 LWE64295:LWE64384 LMI64295:LMI64384 LCM64295:LCM64384 KSQ64295:KSQ64384 KIU64295:KIU64384 JYY64295:JYY64384 JPC64295:JPC64384 JFG64295:JFG64384 IVK64295:IVK64384 ILO64295:ILO64384 IBS64295:IBS64384 HRW64295:HRW64384 HIA64295:HIA64384 GYE64295:GYE64384 GOI64295:GOI64384 GEM64295:GEM64384 FUQ64295:FUQ64384 FKU64295:FKU64384 FAY64295:FAY64384 ERC64295:ERC64384 EHG64295:EHG64384 DXK64295:DXK64384 DNO64295:DNO64384 DDS64295:DDS64384 CTW64295:CTW64384 CKA64295:CKA64384 CAE64295:CAE64384 BQI64295:BQI64384 BGM64295:BGM64384 AWQ64295:AWQ64384 AMU64295:AMU64384 ACY64295:ACY64384 TC64295:TC64384 JG64295:JG64384 K64304:K64393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xr:uid="{DAC6B133-4C5A-4458-8888-93469FC01879}">
      <formula1>$AR$2:$AR$24</formula1>
    </dataValidation>
    <dataValidation type="list" allowBlank="1" showInputMessage="1" showErrorMessage="1" sqref="WVR981799:WVR981888 WLV981799:WLV981888 WBZ981799:WBZ981888 VSD981799:VSD981888 VIH981799:VIH981888 UYL981799:UYL981888 UOP981799:UOP981888 UET981799:UET981888 TUX981799:TUX981888 TLB981799:TLB981888 TBF981799:TBF981888 SRJ981799:SRJ981888 SHN981799:SHN981888 RXR981799:RXR981888 RNV981799:RNV981888 RDZ981799:RDZ981888 QUD981799:QUD981888 QKH981799:QKH981888 QAL981799:QAL981888 PQP981799:PQP981888 PGT981799:PGT981888 OWX981799:OWX981888 ONB981799:ONB981888 ODF981799:ODF981888 NTJ981799:NTJ981888 NJN981799:NJN981888 MZR981799:MZR981888 MPV981799:MPV981888 MFZ981799:MFZ981888 LWD981799:LWD981888 LMH981799:LMH981888 LCL981799:LCL981888 KSP981799:KSP981888 KIT981799:KIT981888 JYX981799:JYX981888 JPB981799:JPB981888 JFF981799:JFF981888 IVJ981799:IVJ981888 ILN981799:ILN981888 IBR981799:IBR981888 HRV981799:HRV981888 HHZ981799:HHZ981888 GYD981799:GYD981888 GOH981799:GOH981888 GEL981799:GEL981888 FUP981799:FUP981888 FKT981799:FKT981888 FAX981799:FAX981888 ERB981799:ERB981888 EHF981799:EHF981888 DXJ981799:DXJ981888 DNN981799:DNN981888 DDR981799:DDR981888 CTV981799:CTV981888 CJZ981799:CJZ981888 CAD981799:CAD981888 BQH981799:BQH981888 BGL981799:BGL981888 AWP981799:AWP981888 AMT981799:AMT981888 ACX981799:ACX981888 TB981799:TB981888 JF981799:JF981888 J981808:J981897 WVR916263:WVR916352 WLV916263:WLV916352 WBZ916263:WBZ916352 VSD916263:VSD916352 VIH916263:VIH916352 UYL916263:UYL916352 UOP916263:UOP916352 UET916263:UET916352 TUX916263:TUX916352 TLB916263:TLB916352 TBF916263:TBF916352 SRJ916263:SRJ916352 SHN916263:SHN916352 RXR916263:RXR916352 RNV916263:RNV916352 RDZ916263:RDZ916352 QUD916263:QUD916352 QKH916263:QKH916352 QAL916263:QAL916352 PQP916263:PQP916352 PGT916263:PGT916352 OWX916263:OWX916352 ONB916263:ONB916352 ODF916263:ODF916352 NTJ916263:NTJ916352 NJN916263:NJN916352 MZR916263:MZR916352 MPV916263:MPV916352 MFZ916263:MFZ916352 LWD916263:LWD916352 LMH916263:LMH916352 LCL916263:LCL916352 KSP916263:KSP916352 KIT916263:KIT916352 JYX916263:JYX916352 JPB916263:JPB916352 JFF916263:JFF916352 IVJ916263:IVJ916352 ILN916263:ILN916352 IBR916263:IBR916352 HRV916263:HRV916352 HHZ916263:HHZ916352 GYD916263:GYD916352 GOH916263:GOH916352 GEL916263:GEL916352 FUP916263:FUP916352 FKT916263:FKT916352 FAX916263:FAX916352 ERB916263:ERB916352 EHF916263:EHF916352 DXJ916263:DXJ916352 DNN916263:DNN916352 DDR916263:DDR916352 CTV916263:CTV916352 CJZ916263:CJZ916352 CAD916263:CAD916352 BQH916263:BQH916352 BGL916263:BGL916352 AWP916263:AWP916352 AMT916263:AMT916352 ACX916263:ACX916352 TB916263:TB916352 JF916263:JF916352 J916272:J916361 WVR850727:WVR850816 WLV850727:WLV850816 WBZ850727:WBZ850816 VSD850727:VSD850816 VIH850727:VIH850816 UYL850727:UYL850816 UOP850727:UOP850816 UET850727:UET850816 TUX850727:TUX850816 TLB850727:TLB850816 TBF850727:TBF850816 SRJ850727:SRJ850816 SHN850727:SHN850816 RXR850727:RXR850816 RNV850727:RNV850816 RDZ850727:RDZ850816 QUD850727:QUD850816 QKH850727:QKH850816 QAL850727:QAL850816 PQP850727:PQP850816 PGT850727:PGT850816 OWX850727:OWX850816 ONB850727:ONB850816 ODF850727:ODF850816 NTJ850727:NTJ850816 NJN850727:NJN850816 MZR850727:MZR850816 MPV850727:MPV850816 MFZ850727:MFZ850816 LWD850727:LWD850816 LMH850727:LMH850816 LCL850727:LCL850816 KSP850727:KSP850816 KIT850727:KIT850816 JYX850727:JYX850816 JPB850727:JPB850816 JFF850727:JFF850816 IVJ850727:IVJ850816 ILN850727:ILN850816 IBR850727:IBR850816 HRV850727:HRV850816 HHZ850727:HHZ850816 GYD850727:GYD850816 GOH850727:GOH850816 GEL850727:GEL850816 FUP850727:FUP850816 FKT850727:FKT850816 FAX850727:FAX850816 ERB850727:ERB850816 EHF850727:EHF850816 DXJ850727:DXJ850816 DNN850727:DNN850816 DDR850727:DDR850816 CTV850727:CTV850816 CJZ850727:CJZ850816 CAD850727:CAD850816 BQH850727:BQH850816 BGL850727:BGL850816 AWP850727:AWP850816 AMT850727:AMT850816 ACX850727:ACX850816 TB850727:TB850816 JF850727:JF850816 J850736:J850825 WVR785191:WVR785280 WLV785191:WLV785280 WBZ785191:WBZ785280 VSD785191:VSD785280 VIH785191:VIH785280 UYL785191:UYL785280 UOP785191:UOP785280 UET785191:UET785280 TUX785191:TUX785280 TLB785191:TLB785280 TBF785191:TBF785280 SRJ785191:SRJ785280 SHN785191:SHN785280 RXR785191:RXR785280 RNV785191:RNV785280 RDZ785191:RDZ785280 QUD785191:QUD785280 QKH785191:QKH785280 QAL785191:QAL785280 PQP785191:PQP785280 PGT785191:PGT785280 OWX785191:OWX785280 ONB785191:ONB785280 ODF785191:ODF785280 NTJ785191:NTJ785280 NJN785191:NJN785280 MZR785191:MZR785280 MPV785191:MPV785280 MFZ785191:MFZ785280 LWD785191:LWD785280 LMH785191:LMH785280 LCL785191:LCL785280 KSP785191:KSP785280 KIT785191:KIT785280 JYX785191:JYX785280 JPB785191:JPB785280 JFF785191:JFF785280 IVJ785191:IVJ785280 ILN785191:ILN785280 IBR785191:IBR785280 HRV785191:HRV785280 HHZ785191:HHZ785280 GYD785191:GYD785280 GOH785191:GOH785280 GEL785191:GEL785280 FUP785191:FUP785280 FKT785191:FKT785280 FAX785191:FAX785280 ERB785191:ERB785280 EHF785191:EHF785280 DXJ785191:DXJ785280 DNN785191:DNN785280 DDR785191:DDR785280 CTV785191:CTV785280 CJZ785191:CJZ785280 CAD785191:CAD785280 BQH785191:BQH785280 BGL785191:BGL785280 AWP785191:AWP785280 AMT785191:AMT785280 ACX785191:ACX785280 TB785191:TB785280 JF785191:JF785280 J785200:J785289 WVR719655:WVR719744 WLV719655:WLV719744 WBZ719655:WBZ719744 VSD719655:VSD719744 VIH719655:VIH719744 UYL719655:UYL719744 UOP719655:UOP719744 UET719655:UET719744 TUX719655:TUX719744 TLB719655:TLB719744 TBF719655:TBF719744 SRJ719655:SRJ719744 SHN719655:SHN719744 RXR719655:RXR719744 RNV719655:RNV719744 RDZ719655:RDZ719744 QUD719655:QUD719744 QKH719655:QKH719744 QAL719655:QAL719744 PQP719655:PQP719744 PGT719655:PGT719744 OWX719655:OWX719744 ONB719655:ONB719744 ODF719655:ODF719744 NTJ719655:NTJ719744 NJN719655:NJN719744 MZR719655:MZR719744 MPV719655:MPV719744 MFZ719655:MFZ719744 LWD719655:LWD719744 LMH719655:LMH719744 LCL719655:LCL719744 KSP719655:KSP719744 KIT719655:KIT719744 JYX719655:JYX719744 JPB719655:JPB719744 JFF719655:JFF719744 IVJ719655:IVJ719744 ILN719655:ILN719744 IBR719655:IBR719744 HRV719655:HRV719744 HHZ719655:HHZ719744 GYD719655:GYD719744 GOH719655:GOH719744 GEL719655:GEL719744 FUP719655:FUP719744 FKT719655:FKT719744 FAX719655:FAX719744 ERB719655:ERB719744 EHF719655:EHF719744 DXJ719655:DXJ719744 DNN719655:DNN719744 DDR719655:DDR719744 CTV719655:CTV719744 CJZ719655:CJZ719744 CAD719655:CAD719744 BQH719655:BQH719744 BGL719655:BGL719744 AWP719655:AWP719744 AMT719655:AMT719744 ACX719655:ACX719744 TB719655:TB719744 JF719655:JF719744 J719664:J719753 WVR654119:WVR654208 WLV654119:WLV654208 WBZ654119:WBZ654208 VSD654119:VSD654208 VIH654119:VIH654208 UYL654119:UYL654208 UOP654119:UOP654208 UET654119:UET654208 TUX654119:TUX654208 TLB654119:TLB654208 TBF654119:TBF654208 SRJ654119:SRJ654208 SHN654119:SHN654208 RXR654119:RXR654208 RNV654119:RNV654208 RDZ654119:RDZ654208 QUD654119:QUD654208 QKH654119:QKH654208 QAL654119:QAL654208 PQP654119:PQP654208 PGT654119:PGT654208 OWX654119:OWX654208 ONB654119:ONB654208 ODF654119:ODF654208 NTJ654119:NTJ654208 NJN654119:NJN654208 MZR654119:MZR654208 MPV654119:MPV654208 MFZ654119:MFZ654208 LWD654119:LWD654208 LMH654119:LMH654208 LCL654119:LCL654208 KSP654119:KSP654208 KIT654119:KIT654208 JYX654119:JYX654208 JPB654119:JPB654208 JFF654119:JFF654208 IVJ654119:IVJ654208 ILN654119:ILN654208 IBR654119:IBR654208 HRV654119:HRV654208 HHZ654119:HHZ654208 GYD654119:GYD654208 GOH654119:GOH654208 GEL654119:GEL654208 FUP654119:FUP654208 FKT654119:FKT654208 FAX654119:FAX654208 ERB654119:ERB654208 EHF654119:EHF654208 DXJ654119:DXJ654208 DNN654119:DNN654208 DDR654119:DDR654208 CTV654119:CTV654208 CJZ654119:CJZ654208 CAD654119:CAD654208 BQH654119:BQH654208 BGL654119:BGL654208 AWP654119:AWP654208 AMT654119:AMT654208 ACX654119:ACX654208 TB654119:TB654208 JF654119:JF654208 J654128:J654217 WVR588583:WVR588672 WLV588583:WLV588672 WBZ588583:WBZ588672 VSD588583:VSD588672 VIH588583:VIH588672 UYL588583:UYL588672 UOP588583:UOP588672 UET588583:UET588672 TUX588583:TUX588672 TLB588583:TLB588672 TBF588583:TBF588672 SRJ588583:SRJ588672 SHN588583:SHN588672 RXR588583:RXR588672 RNV588583:RNV588672 RDZ588583:RDZ588672 QUD588583:QUD588672 QKH588583:QKH588672 QAL588583:QAL588672 PQP588583:PQP588672 PGT588583:PGT588672 OWX588583:OWX588672 ONB588583:ONB588672 ODF588583:ODF588672 NTJ588583:NTJ588672 NJN588583:NJN588672 MZR588583:MZR588672 MPV588583:MPV588672 MFZ588583:MFZ588672 LWD588583:LWD588672 LMH588583:LMH588672 LCL588583:LCL588672 KSP588583:KSP588672 KIT588583:KIT588672 JYX588583:JYX588672 JPB588583:JPB588672 JFF588583:JFF588672 IVJ588583:IVJ588672 ILN588583:ILN588672 IBR588583:IBR588672 HRV588583:HRV588672 HHZ588583:HHZ588672 GYD588583:GYD588672 GOH588583:GOH588672 GEL588583:GEL588672 FUP588583:FUP588672 FKT588583:FKT588672 FAX588583:FAX588672 ERB588583:ERB588672 EHF588583:EHF588672 DXJ588583:DXJ588672 DNN588583:DNN588672 DDR588583:DDR588672 CTV588583:CTV588672 CJZ588583:CJZ588672 CAD588583:CAD588672 BQH588583:BQH588672 BGL588583:BGL588672 AWP588583:AWP588672 AMT588583:AMT588672 ACX588583:ACX588672 TB588583:TB588672 JF588583:JF588672 J588592:J588681 WVR523047:WVR523136 WLV523047:WLV523136 WBZ523047:WBZ523136 VSD523047:VSD523136 VIH523047:VIH523136 UYL523047:UYL523136 UOP523047:UOP523136 UET523047:UET523136 TUX523047:TUX523136 TLB523047:TLB523136 TBF523047:TBF523136 SRJ523047:SRJ523136 SHN523047:SHN523136 RXR523047:RXR523136 RNV523047:RNV523136 RDZ523047:RDZ523136 QUD523047:QUD523136 QKH523047:QKH523136 QAL523047:QAL523136 PQP523047:PQP523136 PGT523047:PGT523136 OWX523047:OWX523136 ONB523047:ONB523136 ODF523047:ODF523136 NTJ523047:NTJ523136 NJN523047:NJN523136 MZR523047:MZR523136 MPV523047:MPV523136 MFZ523047:MFZ523136 LWD523047:LWD523136 LMH523047:LMH523136 LCL523047:LCL523136 KSP523047:KSP523136 KIT523047:KIT523136 JYX523047:JYX523136 JPB523047:JPB523136 JFF523047:JFF523136 IVJ523047:IVJ523136 ILN523047:ILN523136 IBR523047:IBR523136 HRV523047:HRV523136 HHZ523047:HHZ523136 GYD523047:GYD523136 GOH523047:GOH523136 GEL523047:GEL523136 FUP523047:FUP523136 FKT523047:FKT523136 FAX523047:FAX523136 ERB523047:ERB523136 EHF523047:EHF523136 DXJ523047:DXJ523136 DNN523047:DNN523136 DDR523047:DDR523136 CTV523047:CTV523136 CJZ523047:CJZ523136 CAD523047:CAD523136 BQH523047:BQH523136 BGL523047:BGL523136 AWP523047:AWP523136 AMT523047:AMT523136 ACX523047:ACX523136 TB523047:TB523136 JF523047:JF523136 J523056:J523145 WVR457511:WVR457600 WLV457511:WLV457600 WBZ457511:WBZ457600 VSD457511:VSD457600 VIH457511:VIH457600 UYL457511:UYL457600 UOP457511:UOP457600 UET457511:UET457600 TUX457511:TUX457600 TLB457511:TLB457600 TBF457511:TBF457600 SRJ457511:SRJ457600 SHN457511:SHN457600 RXR457511:RXR457600 RNV457511:RNV457600 RDZ457511:RDZ457600 QUD457511:QUD457600 QKH457511:QKH457600 QAL457511:QAL457600 PQP457511:PQP457600 PGT457511:PGT457600 OWX457511:OWX457600 ONB457511:ONB457600 ODF457511:ODF457600 NTJ457511:NTJ457600 NJN457511:NJN457600 MZR457511:MZR457600 MPV457511:MPV457600 MFZ457511:MFZ457600 LWD457511:LWD457600 LMH457511:LMH457600 LCL457511:LCL457600 KSP457511:KSP457600 KIT457511:KIT457600 JYX457511:JYX457600 JPB457511:JPB457600 JFF457511:JFF457600 IVJ457511:IVJ457600 ILN457511:ILN457600 IBR457511:IBR457600 HRV457511:HRV457600 HHZ457511:HHZ457600 GYD457511:GYD457600 GOH457511:GOH457600 GEL457511:GEL457600 FUP457511:FUP457600 FKT457511:FKT457600 FAX457511:FAX457600 ERB457511:ERB457600 EHF457511:EHF457600 DXJ457511:DXJ457600 DNN457511:DNN457600 DDR457511:DDR457600 CTV457511:CTV457600 CJZ457511:CJZ457600 CAD457511:CAD457600 BQH457511:BQH457600 BGL457511:BGL457600 AWP457511:AWP457600 AMT457511:AMT457600 ACX457511:ACX457600 TB457511:TB457600 JF457511:JF457600 J457520:J457609 WVR391975:WVR392064 WLV391975:WLV392064 WBZ391975:WBZ392064 VSD391975:VSD392064 VIH391975:VIH392064 UYL391975:UYL392064 UOP391975:UOP392064 UET391975:UET392064 TUX391975:TUX392064 TLB391975:TLB392064 TBF391975:TBF392064 SRJ391975:SRJ392064 SHN391975:SHN392064 RXR391975:RXR392064 RNV391975:RNV392064 RDZ391975:RDZ392064 QUD391975:QUD392064 QKH391975:QKH392064 QAL391975:QAL392064 PQP391975:PQP392064 PGT391975:PGT392064 OWX391975:OWX392064 ONB391975:ONB392064 ODF391975:ODF392064 NTJ391975:NTJ392064 NJN391975:NJN392064 MZR391975:MZR392064 MPV391975:MPV392064 MFZ391975:MFZ392064 LWD391975:LWD392064 LMH391975:LMH392064 LCL391975:LCL392064 KSP391975:KSP392064 KIT391975:KIT392064 JYX391975:JYX392064 JPB391975:JPB392064 JFF391975:JFF392064 IVJ391975:IVJ392064 ILN391975:ILN392064 IBR391975:IBR392064 HRV391975:HRV392064 HHZ391975:HHZ392064 GYD391975:GYD392064 GOH391975:GOH392064 GEL391975:GEL392064 FUP391975:FUP392064 FKT391975:FKT392064 FAX391975:FAX392064 ERB391975:ERB392064 EHF391975:EHF392064 DXJ391975:DXJ392064 DNN391975:DNN392064 DDR391975:DDR392064 CTV391975:CTV392064 CJZ391975:CJZ392064 CAD391975:CAD392064 BQH391975:BQH392064 BGL391975:BGL392064 AWP391975:AWP392064 AMT391975:AMT392064 ACX391975:ACX392064 TB391975:TB392064 JF391975:JF392064 J391984:J392073 WVR326439:WVR326528 WLV326439:WLV326528 WBZ326439:WBZ326528 VSD326439:VSD326528 VIH326439:VIH326528 UYL326439:UYL326528 UOP326439:UOP326528 UET326439:UET326528 TUX326439:TUX326528 TLB326439:TLB326528 TBF326439:TBF326528 SRJ326439:SRJ326528 SHN326439:SHN326528 RXR326439:RXR326528 RNV326439:RNV326528 RDZ326439:RDZ326528 QUD326439:QUD326528 QKH326439:QKH326528 QAL326439:QAL326528 PQP326439:PQP326528 PGT326439:PGT326528 OWX326439:OWX326528 ONB326439:ONB326528 ODF326439:ODF326528 NTJ326439:NTJ326528 NJN326439:NJN326528 MZR326439:MZR326528 MPV326439:MPV326528 MFZ326439:MFZ326528 LWD326439:LWD326528 LMH326439:LMH326528 LCL326439:LCL326528 KSP326439:KSP326528 KIT326439:KIT326528 JYX326439:JYX326528 JPB326439:JPB326528 JFF326439:JFF326528 IVJ326439:IVJ326528 ILN326439:ILN326528 IBR326439:IBR326528 HRV326439:HRV326528 HHZ326439:HHZ326528 GYD326439:GYD326528 GOH326439:GOH326528 GEL326439:GEL326528 FUP326439:FUP326528 FKT326439:FKT326528 FAX326439:FAX326528 ERB326439:ERB326528 EHF326439:EHF326528 DXJ326439:DXJ326528 DNN326439:DNN326528 DDR326439:DDR326528 CTV326439:CTV326528 CJZ326439:CJZ326528 CAD326439:CAD326528 BQH326439:BQH326528 BGL326439:BGL326528 AWP326439:AWP326528 AMT326439:AMT326528 ACX326439:ACX326528 TB326439:TB326528 JF326439:JF326528 J326448:J326537 WVR260903:WVR260992 WLV260903:WLV260992 WBZ260903:WBZ260992 VSD260903:VSD260992 VIH260903:VIH260992 UYL260903:UYL260992 UOP260903:UOP260992 UET260903:UET260992 TUX260903:TUX260992 TLB260903:TLB260992 TBF260903:TBF260992 SRJ260903:SRJ260992 SHN260903:SHN260992 RXR260903:RXR260992 RNV260903:RNV260992 RDZ260903:RDZ260992 QUD260903:QUD260992 QKH260903:QKH260992 QAL260903:QAL260992 PQP260903:PQP260992 PGT260903:PGT260992 OWX260903:OWX260992 ONB260903:ONB260992 ODF260903:ODF260992 NTJ260903:NTJ260992 NJN260903:NJN260992 MZR260903:MZR260992 MPV260903:MPV260992 MFZ260903:MFZ260992 LWD260903:LWD260992 LMH260903:LMH260992 LCL260903:LCL260992 KSP260903:KSP260992 KIT260903:KIT260992 JYX260903:JYX260992 JPB260903:JPB260992 JFF260903:JFF260992 IVJ260903:IVJ260992 ILN260903:ILN260992 IBR260903:IBR260992 HRV260903:HRV260992 HHZ260903:HHZ260992 GYD260903:GYD260992 GOH260903:GOH260992 GEL260903:GEL260992 FUP260903:FUP260992 FKT260903:FKT260992 FAX260903:FAX260992 ERB260903:ERB260992 EHF260903:EHF260992 DXJ260903:DXJ260992 DNN260903:DNN260992 DDR260903:DDR260992 CTV260903:CTV260992 CJZ260903:CJZ260992 CAD260903:CAD260992 BQH260903:BQH260992 BGL260903:BGL260992 AWP260903:AWP260992 AMT260903:AMT260992 ACX260903:ACX260992 TB260903:TB260992 JF260903:JF260992 J260912:J261001 WVR195367:WVR195456 WLV195367:WLV195456 WBZ195367:WBZ195456 VSD195367:VSD195456 VIH195367:VIH195456 UYL195367:UYL195456 UOP195367:UOP195456 UET195367:UET195456 TUX195367:TUX195456 TLB195367:TLB195456 TBF195367:TBF195456 SRJ195367:SRJ195456 SHN195367:SHN195456 RXR195367:RXR195456 RNV195367:RNV195456 RDZ195367:RDZ195456 QUD195367:QUD195456 QKH195367:QKH195456 QAL195367:QAL195456 PQP195367:PQP195456 PGT195367:PGT195456 OWX195367:OWX195456 ONB195367:ONB195456 ODF195367:ODF195456 NTJ195367:NTJ195456 NJN195367:NJN195456 MZR195367:MZR195456 MPV195367:MPV195456 MFZ195367:MFZ195456 LWD195367:LWD195456 LMH195367:LMH195456 LCL195367:LCL195456 KSP195367:KSP195456 KIT195367:KIT195456 JYX195367:JYX195456 JPB195367:JPB195456 JFF195367:JFF195456 IVJ195367:IVJ195456 ILN195367:ILN195456 IBR195367:IBR195456 HRV195367:HRV195456 HHZ195367:HHZ195456 GYD195367:GYD195456 GOH195367:GOH195456 GEL195367:GEL195456 FUP195367:FUP195456 FKT195367:FKT195456 FAX195367:FAX195456 ERB195367:ERB195456 EHF195367:EHF195456 DXJ195367:DXJ195456 DNN195367:DNN195456 DDR195367:DDR195456 CTV195367:CTV195456 CJZ195367:CJZ195456 CAD195367:CAD195456 BQH195367:BQH195456 BGL195367:BGL195456 AWP195367:AWP195456 AMT195367:AMT195456 ACX195367:ACX195456 TB195367:TB195456 JF195367:JF195456 J195376:J195465 WVR129831:WVR129920 WLV129831:WLV129920 WBZ129831:WBZ129920 VSD129831:VSD129920 VIH129831:VIH129920 UYL129831:UYL129920 UOP129831:UOP129920 UET129831:UET129920 TUX129831:TUX129920 TLB129831:TLB129920 TBF129831:TBF129920 SRJ129831:SRJ129920 SHN129831:SHN129920 RXR129831:RXR129920 RNV129831:RNV129920 RDZ129831:RDZ129920 QUD129831:QUD129920 QKH129831:QKH129920 QAL129831:QAL129920 PQP129831:PQP129920 PGT129831:PGT129920 OWX129831:OWX129920 ONB129831:ONB129920 ODF129831:ODF129920 NTJ129831:NTJ129920 NJN129831:NJN129920 MZR129831:MZR129920 MPV129831:MPV129920 MFZ129831:MFZ129920 LWD129831:LWD129920 LMH129831:LMH129920 LCL129831:LCL129920 KSP129831:KSP129920 KIT129831:KIT129920 JYX129831:JYX129920 JPB129831:JPB129920 JFF129831:JFF129920 IVJ129831:IVJ129920 ILN129831:ILN129920 IBR129831:IBR129920 HRV129831:HRV129920 HHZ129831:HHZ129920 GYD129831:GYD129920 GOH129831:GOH129920 GEL129831:GEL129920 FUP129831:FUP129920 FKT129831:FKT129920 FAX129831:FAX129920 ERB129831:ERB129920 EHF129831:EHF129920 DXJ129831:DXJ129920 DNN129831:DNN129920 DDR129831:DDR129920 CTV129831:CTV129920 CJZ129831:CJZ129920 CAD129831:CAD129920 BQH129831:BQH129920 BGL129831:BGL129920 AWP129831:AWP129920 AMT129831:AMT129920 ACX129831:ACX129920 TB129831:TB129920 JF129831:JF129920 J129840:J129929 WVR64295:WVR64384 WLV64295:WLV64384 WBZ64295:WBZ64384 VSD64295:VSD64384 VIH64295:VIH64384 UYL64295:UYL64384 UOP64295:UOP64384 UET64295:UET64384 TUX64295:TUX64384 TLB64295:TLB64384 TBF64295:TBF64384 SRJ64295:SRJ64384 SHN64295:SHN64384 RXR64295:RXR64384 RNV64295:RNV64384 RDZ64295:RDZ64384 QUD64295:QUD64384 QKH64295:QKH64384 QAL64295:QAL64384 PQP64295:PQP64384 PGT64295:PGT64384 OWX64295:OWX64384 ONB64295:ONB64384 ODF64295:ODF64384 NTJ64295:NTJ64384 NJN64295:NJN64384 MZR64295:MZR64384 MPV64295:MPV64384 MFZ64295:MFZ64384 LWD64295:LWD64384 LMH64295:LMH64384 LCL64295:LCL64384 KSP64295:KSP64384 KIT64295:KIT64384 JYX64295:JYX64384 JPB64295:JPB64384 JFF64295:JFF64384 IVJ64295:IVJ64384 ILN64295:ILN64384 IBR64295:IBR64384 HRV64295:HRV64384 HHZ64295:HHZ64384 GYD64295:GYD64384 GOH64295:GOH64384 GEL64295:GEL64384 FUP64295:FUP64384 FKT64295:FKT64384 FAX64295:FAX64384 ERB64295:ERB64384 EHF64295:EHF64384 DXJ64295:DXJ64384 DNN64295:DNN64384 DDR64295:DDR64384 CTV64295:CTV64384 CJZ64295:CJZ64384 CAD64295:CAD64384 BQH64295:BQH64384 BGL64295:BGL64384 AWP64295:AWP64384 AMT64295:AMT64384 ACX64295:ACX64384 TB64295:TB64384 JF64295:JF64384 J64304:J64393 WVR2:WVR67 WLV2:WLV67 WBZ2:WBZ67 VSD2:VSD67 VIH2:VIH67 UYL2:UYL67 UOP2:UOP67 UET2:UET67 TUX2:TUX67 TLB2:TLB67 TBF2:TBF67 SRJ2:SRJ67 SHN2:SHN67 RXR2:RXR67 RNV2:RNV67 RDZ2:RDZ67 QUD2:QUD67 QKH2:QKH67 QAL2:QAL67 PQP2:PQP67 PGT2:PGT67 OWX2:OWX67 ONB2:ONB67 ODF2:ODF67 NTJ2:NTJ67 NJN2:NJN67 MZR2:MZR67 MPV2:MPV67 MFZ2:MFZ67 LWD2:LWD67 LMH2:LMH67 LCL2:LCL67 KSP2:KSP67 KIT2:KIT67 JYX2:JYX67 JPB2:JPB67 JFF2:JFF67 IVJ2:IVJ67 ILN2:ILN67 IBR2:IBR67 HRV2:HRV67 HHZ2:HHZ67 GYD2:GYD67 GOH2:GOH67 GEL2:GEL67 FUP2:FUP67 FKT2:FKT67 FAX2:FAX67 ERB2:ERB67 EHF2:EHF67 DXJ2:DXJ67 DNN2:DNN67 DDR2:DDR67 CTV2:CTV67 CJZ2:CJZ67 CAD2:CAD67 BQH2:BQH67 BGL2:BGL67 AWP2:AWP67 AMT2:AMT67 ACX2:ACX67 TB2:TB67 JF2:JF67" xr:uid="{234371F1-A871-438C-91E0-087CAE5E7CBE}">
      <formula1>$AP$2:$AP$15</formula1>
    </dataValidation>
    <dataValidation type="list" allowBlank="1" showInputMessage="1" showErrorMessage="1" sqref="WVN981799:WVN981888 WLR981799:WLR981888 WBV981799:WBV981888 VRZ981799:VRZ981888 VID981799:VID981888 UYH981799:UYH981888 UOL981799:UOL981888 UEP981799:UEP981888 TUT981799:TUT981888 TKX981799:TKX981888 TBB981799:TBB981888 SRF981799:SRF981888 SHJ981799:SHJ981888 RXN981799:RXN981888 RNR981799:RNR981888 RDV981799:RDV981888 QTZ981799:QTZ981888 QKD981799:QKD981888 QAH981799:QAH981888 PQL981799:PQL981888 PGP981799:PGP981888 OWT981799:OWT981888 OMX981799:OMX981888 ODB981799:ODB981888 NTF981799:NTF981888 NJJ981799:NJJ981888 MZN981799:MZN981888 MPR981799:MPR981888 MFV981799:MFV981888 LVZ981799:LVZ981888 LMD981799:LMD981888 LCH981799:LCH981888 KSL981799:KSL981888 KIP981799:KIP981888 JYT981799:JYT981888 JOX981799:JOX981888 JFB981799:JFB981888 IVF981799:IVF981888 ILJ981799:ILJ981888 IBN981799:IBN981888 HRR981799:HRR981888 HHV981799:HHV981888 GXZ981799:GXZ981888 GOD981799:GOD981888 GEH981799:GEH981888 FUL981799:FUL981888 FKP981799:FKP981888 FAT981799:FAT981888 EQX981799:EQX981888 EHB981799:EHB981888 DXF981799:DXF981888 DNJ981799:DNJ981888 DDN981799:DDN981888 CTR981799:CTR981888 CJV981799:CJV981888 BZZ981799:BZZ981888 BQD981799:BQD981888 BGH981799:BGH981888 AWL981799:AWL981888 AMP981799:AMP981888 ACT981799:ACT981888 SX981799:SX981888 JB981799:JB981888 F981810:F981899 WVN916263:WVN916352 WLR916263:WLR916352 WBV916263:WBV916352 VRZ916263:VRZ916352 VID916263:VID916352 UYH916263:UYH916352 UOL916263:UOL916352 UEP916263:UEP916352 TUT916263:TUT916352 TKX916263:TKX916352 TBB916263:TBB916352 SRF916263:SRF916352 SHJ916263:SHJ916352 RXN916263:RXN916352 RNR916263:RNR916352 RDV916263:RDV916352 QTZ916263:QTZ916352 QKD916263:QKD916352 QAH916263:QAH916352 PQL916263:PQL916352 PGP916263:PGP916352 OWT916263:OWT916352 OMX916263:OMX916352 ODB916263:ODB916352 NTF916263:NTF916352 NJJ916263:NJJ916352 MZN916263:MZN916352 MPR916263:MPR916352 MFV916263:MFV916352 LVZ916263:LVZ916352 LMD916263:LMD916352 LCH916263:LCH916352 KSL916263:KSL916352 KIP916263:KIP916352 JYT916263:JYT916352 JOX916263:JOX916352 JFB916263:JFB916352 IVF916263:IVF916352 ILJ916263:ILJ916352 IBN916263:IBN916352 HRR916263:HRR916352 HHV916263:HHV916352 GXZ916263:GXZ916352 GOD916263:GOD916352 GEH916263:GEH916352 FUL916263:FUL916352 FKP916263:FKP916352 FAT916263:FAT916352 EQX916263:EQX916352 EHB916263:EHB916352 DXF916263:DXF916352 DNJ916263:DNJ916352 DDN916263:DDN916352 CTR916263:CTR916352 CJV916263:CJV916352 BZZ916263:BZZ916352 BQD916263:BQD916352 BGH916263:BGH916352 AWL916263:AWL916352 AMP916263:AMP916352 ACT916263:ACT916352 SX916263:SX916352 JB916263:JB916352 F916274:F916363 WVN850727:WVN850816 WLR850727:WLR850816 WBV850727:WBV850816 VRZ850727:VRZ850816 VID850727:VID850816 UYH850727:UYH850816 UOL850727:UOL850816 UEP850727:UEP850816 TUT850727:TUT850816 TKX850727:TKX850816 TBB850727:TBB850816 SRF850727:SRF850816 SHJ850727:SHJ850816 RXN850727:RXN850816 RNR850727:RNR850816 RDV850727:RDV850816 QTZ850727:QTZ850816 QKD850727:QKD850816 QAH850727:QAH850816 PQL850727:PQL850816 PGP850727:PGP850816 OWT850727:OWT850816 OMX850727:OMX850816 ODB850727:ODB850816 NTF850727:NTF850816 NJJ850727:NJJ850816 MZN850727:MZN850816 MPR850727:MPR850816 MFV850727:MFV850816 LVZ850727:LVZ850816 LMD850727:LMD850816 LCH850727:LCH850816 KSL850727:KSL850816 KIP850727:KIP850816 JYT850727:JYT850816 JOX850727:JOX850816 JFB850727:JFB850816 IVF850727:IVF850816 ILJ850727:ILJ850816 IBN850727:IBN850816 HRR850727:HRR850816 HHV850727:HHV850816 GXZ850727:GXZ850816 GOD850727:GOD850816 GEH850727:GEH850816 FUL850727:FUL850816 FKP850727:FKP850816 FAT850727:FAT850816 EQX850727:EQX850816 EHB850727:EHB850816 DXF850727:DXF850816 DNJ850727:DNJ850816 DDN850727:DDN850816 CTR850727:CTR850816 CJV850727:CJV850816 BZZ850727:BZZ850816 BQD850727:BQD850816 BGH850727:BGH850816 AWL850727:AWL850816 AMP850727:AMP850816 ACT850727:ACT850816 SX850727:SX850816 JB850727:JB850816 F850738:F850827 WVN785191:WVN785280 WLR785191:WLR785280 WBV785191:WBV785280 VRZ785191:VRZ785280 VID785191:VID785280 UYH785191:UYH785280 UOL785191:UOL785280 UEP785191:UEP785280 TUT785191:TUT785280 TKX785191:TKX785280 TBB785191:TBB785280 SRF785191:SRF785280 SHJ785191:SHJ785280 RXN785191:RXN785280 RNR785191:RNR785280 RDV785191:RDV785280 QTZ785191:QTZ785280 QKD785191:QKD785280 QAH785191:QAH785280 PQL785191:PQL785280 PGP785191:PGP785280 OWT785191:OWT785280 OMX785191:OMX785280 ODB785191:ODB785280 NTF785191:NTF785280 NJJ785191:NJJ785280 MZN785191:MZN785280 MPR785191:MPR785280 MFV785191:MFV785280 LVZ785191:LVZ785280 LMD785191:LMD785280 LCH785191:LCH785280 KSL785191:KSL785280 KIP785191:KIP785280 JYT785191:JYT785280 JOX785191:JOX785280 JFB785191:JFB785280 IVF785191:IVF785280 ILJ785191:ILJ785280 IBN785191:IBN785280 HRR785191:HRR785280 HHV785191:HHV785280 GXZ785191:GXZ785280 GOD785191:GOD785280 GEH785191:GEH785280 FUL785191:FUL785280 FKP785191:FKP785280 FAT785191:FAT785280 EQX785191:EQX785280 EHB785191:EHB785280 DXF785191:DXF785280 DNJ785191:DNJ785280 DDN785191:DDN785280 CTR785191:CTR785280 CJV785191:CJV785280 BZZ785191:BZZ785280 BQD785191:BQD785280 BGH785191:BGH785280 AWL785191:AWL785280 AMP785191:AMP785280 ACT785191:ACT785280 SX785191:SX785280 JB785191:JB785280 F785202:F785291 WVN719655:WVN719744 WLR719655:WLR719744 WBV719655:WBV719744 VRZ719655:VRZ719744 VID719655:VID719744 UYH719655:UYH719744 UOL719655:UOL719744 UEP719655:UEP719744 TUT719655:TUT719744 TKX719655:TKX719744 TBB719655:TBB719744 SRF719655:SRF719744 SHJ719655:SHJ719744 RXN719655:RXN719744 RNR719655:RNR719744 RDV719655:RDV719744 QTZ719655:QTZ719744 QKD719655:QKD719744 QAH719655:QAH719744 PQL719655:PQL719744 PGP719655:PGP719744 OWT719655:OWT719744 OMX719655:OMX719744 ODB719655:ODB719744 NTF719655:NTF719744 NJJ719655:NJJ719744 MZN719655:MZN719744 MPR719655:MPR719744 MFV719655:MFV719744 LVZ719655:LVZ719744 LMD719655:LMD719744 LCH719655:LCH719744 KSL719655:KSL719744 KIP719655:KIP719744 JYT719655:JYT719744 JOX719655:JOX719744 JFB719655:JFB719744 IVF719655:IVF719744 ILJ719655:ILJ719744 IBN719655:IBN719744 HRR719655:HRR719744 HHV719655:HHV719744 GXZ719655:GXZ719744 GOD719655:GOD719744 GEH719655:GEH719744 FUL719655:FUL719744 FKP719655:FKP719744 FAT719655:FAT719744 EQX719655:EQX719744 EHB719655:EHB719744 DXF719655:DXF719744 DNJ719655:DNJ719744 DDN719655:DDN719744 CTR719655:CTR719744 CJV719655:CJV719744 BZZ719655:BZZ719744 BQD719655:BQD719744 BGH719655:BGH719744 AWL719655:AWL719744 AMP719655:AMP719744 ACT719655:ACT719744 SX719655:SX719744 JB719655:JB719744 F719666:F719755 WVN654119:WVN654208 WLR654119:WLR654208 WBV654119:WBV654208 VRZ654119:VRZ654208 VID654119:VID654208 UYH654119:UYH654208 UOL654119:UOL654208 UEP654119:UEP654208 TUT654119:TUT654208 TKX654119:TKX654208 TBB654119:TBB654208 SRF654119:SRF654208 SHJ654119:SHJ654208 RXN654119:RXN654208 RNR654119:RNR654208 RDV654119:RDV654208 QTZ654119:QTZ654208 QKD654119:QKD654208 QAH654119:QAH654208 PQL654119:PQL654208 PGP654119:PGP654208 OWT654119:OWT654208 OMX654119:OMX654208 ODB654119:ODB654208 NTF654119:NTF654208 NJJ654119:NJJ654208 MZN654119:MZN654208 MPR654119:MPR654208 MFV654119:MFV654208 LVZ654119:LVZ654208 LMD654119:LMD654208 LCH654119:LCH654208 KSL654119:KSL654208 KIP654119:KIP654208 JYT654119:JYT654208 JOX654119:JOX654208 JFB654119:JFB654208 IVF654119:IVF654208 ILJ654119:ILJ654208 IBN654119:IBN654208 HRR654119:HRR654208 HHV654119:HHV654208 GXZ654119:GXZ654208 GOD654119:GOD654208 GEH654119:GEH654208 FUL654119:FUL654208 FKP654119:FKP654208 FAT654119:FAT654208 EQX654119:EQX654208 EHB654119:EHB654208 DXF654119:DXF654208 DNJ654119:DNJ654208 DDN654119:DDN654208 CTR654119:CTR654208 CJV654119:CJV654208 BZZ654119:BZZ654208 BQD654119:BQD654208 BGH654119:BGH654208 AWL654119:AWL654208 AMP654119:AMP654208 ACT654119:ACT654208 SX654119:SX654208 JB654119:JB654208 F654130:F654219 WVN588583:WVN588672 WLR588583:WLR588672 WBV588583:WBV588672 VRZ588583:VRZ588672 VID588583:VID588672 UYH588583:UYH588672 UOL588583:UOL588672 UEP588583:UEP588672 TUT588583:TUT588672 TKX588583:TKX588672 TBB588583:TBB588672 SRF588583:SRF588672 SHJ588583:SHJ588672 RXN588583:RXN588672 RNR588583:RNR588672 RDV588583:RDV588672 QTZ588583:QTZ588672 QKD588583:QKD588672 QAH588583:QAH588672 PQL588583:PQL588672 PGP588583:PGP588672 OWT588583:OWT588672 OMX588583:OMX588672 ODB588583:ODB588672 NTF588583:NTF588672 NJJ588583:NJJ588672 MZN588583:MZN588672 MPR588583:MPR588672 MFV588583:MFV588672 LVZ588583:LVZ588672 LMD588583:LMD588672 LCH588583:LCH588672 KSL588583:KSL588672 KIP588583:KIP588672 JYT588583:JYT588672 JOX588583:JOX588672 JFB588583:JFB588672 IVF588583:IVF588672 ILJ588583:ILJ588672 IBN588583:IBN588672 HRR588583:HRR588672 HHV588583:HHV588672 GXZ588583:GXZ588672 GOD588583:GOD588672 GEH588583:GEH588672 FUL588583:FUL588672 FKP588583:FKP588672 FAT588583:FAT588672 EQX588583:EQX588672 EHB588583:EHB588672 DXF588583:DXF588672 DNJ588583:DNJ588672 DDN588583:DDN588672 CTR588583:CTR588672 CJV588583:CJV588672 BZZ588583:BZZ588672 BQD588583:BQD588672 BGH588583:BGH588672 AWL588583:AWL588672 AMP588583:AMP588672 ACT588583:ACT588672 SX588583:SX588672 JB588583:JB588672 F588594:F588683 WVN523047:WVN523136 WLR523047:WLR523136 WBV523047:WBV523136 VRZ523047:VRZ523136 VID523047:VID523136 UYH523047:UYH523136 UOL523047:UOL523136 UEP523047:UEP523136 TUT523047:TUT523136 TKX523047:TKX523136 TBB523047:TBB523136 SRF523047:SRF523136 SHJ523047:SHJ523136 RXN523047:RXN523136 RNR523047:RNR523136 RDV523047:RDV523136 QTZ523047:QTZ523136 QKD523047:QKD523136 QAH523047:QAH523136 PQL523047:PQL523136 PGP523047:PGP523136 OWT523047:OWT523136 OMX523047:OMX523136 ODB523047:ODB523136 NTF523047:NTF523136 NJJ523047:NJJ523136 MZN523047:MZN523136 MPR523047:MPR523136 MFV523047:MFV523136 LVZ523047:LVZ523136 LMD523047:LMD523136 LCH523047:LCH523136 KSL523047:KSL523136 KIP523047:KIP523136 JYT523047:JYT523136 JOX523047:JOX523136 JFB523047:JFB523136 IVF523047:IVF523136 ILJ523047:ILJ523136 IBN523047:IBN523136 HRR523047:HRR523136 HHV523047:HHV523136 GXZ523047:GXZ523136 GOD523047:GOD523136 GEH523047:GEH523136 FUL523047:FUL523136 FKP523047:FKP523136 FAT523047:FAT523136 EQX523047:EQX523136 EHB523047:EHB523136 DXF523047:DXF523136 DNJ523047:DNJ523136 DDN523047:DDN523136 CTR523047:CTR523136 CJV523047:CJV523136 BZZ523047:BZZ523136 BQD523047:BQD523136 BGH523047:BGH523136 AWL523047:AWL523136 AMP523047:AMP523136 ACT523047:ACT523136 SX523047:SX523136 JB523047:JB523136 F523058:F523147 WVN457511:WVN457600 WLR457511:WLR457600 WBV457511:WBV457600 VRZ457511:VRZ457600 VID457511:VID457600 UYH457511:UYH457600 UOL457511:UOL457600 UEP457511:UEP457600 TUT457511:TUT457600 TKX457511:TKX457600 TBB457511:TBB457600 SRF457511:SRF457600 SHJ457511:SHJ457600 RXN457511:RXN457600 RNR457511:RNR457600 RDV457511:RDV457600 QTZ457511:QTZ457600 QKD457511:QKD457600 QAH457511:QAH457600 PQL457511:PQL457600 PGP457511:PGP457600 OWT457511:OWT457600 OMX457511:OMX457600 ODB457511:ODB457600 NTF457511:NTF457600 NJJ457511:NJJ457600 MZN457511:MZN457600 MPR457511:MPR457600 MFV457511:MFV457600 LVZ457511:LVZ457600 LMD457511:LMD457600 LCH457511:LCH457600 KSL457511:KSL457600 KIP457511:KIP457600 JYT457511:JYT457600 JOX457511:JOX457600 JFB457511:JFB457600 IVF457511:IVF457600 ILJ457511:ILJ457600 IBN457511:IBN457600 HRR457511:HRR457600 HHV457511:HHV457600 GXZ457511:GXZ457600 GOD457511:GOD457600 GEH457511:GEH457600 FUL457511:FUL457600 FKP457511:FKP457600 FAT457511:FAT457600 EQX457511:EQX457600 EHB457511:EHB457600 DXF457511:DXF457600 DNJ457511:DNJ457600 DDN457511:DDN457600 CTR457511:CTR457600 CJV457511:CJV457600 BZZ457511:BZZ457600 BQD457511:BQD457600 BGH457511:BGH457600 AWL457511:AWL457600 AMP457511:AMP457600 ACT457511:ACT457600 SX457511:SX457600 JB457511:JB457600 F457522:F457611 WVN391975:WVN392064 WLR391975:WLR392064 WBV391975:WBV392064 VRZ391975:VRZ392064 VID391975:VID392064 UYH391975:UYH392064 UOL391975:UOL392064 UEP391975:UEP392064 TUT391975:TUT392064 TKX391975:TKX392064 TBB391975:TBB392064 SRF391975:SRF392064 SHJ391975:SHJ392064 RXN391975:RXN392064 RNR391975:RNR392064 RDV391975:RDV392064 QTZ391975:QTZ392064 QKD391975:QKD392064 QAH391975:QAH392064 PQL391975:PQL392064 PGP391975:PGP392064 OWT391975:OWT392064 OMX391975:OMX392064 ODB391975:ODB392064 NTF391975:NTF392064 NJJ391975:NJJ392064 MZN391975:MZN392064 MPR391975:MPR392064 MFV391975:MFV392064 LVZ391975:LVZ392064 LMD391975:LMD392064 LCH391975:LCH392064 KSL391975:KSL392064 KIP391975:KIP392064 JYT391975:JYT392064 JOX391975:JOX392064 JFB391975:JFB392064 IVF391975:IVF392064 ILJ391975:ILJ392064 IBN391975:IBN392064 HRR391975:HRR392064 HHV391975:HHV392064 GXZ391975:GXZ392064 GOD391975:GOD392064 GEH391975:GEH392064 FUL391975:FUL392064 FKP391975:FKP392064 FAT391975:FAT392064 EQX391975:EQX392064 EHB391975:EHB392064 DXF391975:DXF392064 DNJ391975:DNJ392064 DDN391975:DDN392064 CTR391975:CTR392064 CJV391975:CJV392064 BZZ391975:BZZ392064 BQD391975:BQD392064 BGH391975:BGH392064 AWL391975:AWL392064 AMP391975:AMP392064 ACT391975:ACT392064 SX391975:SX392064 JB391975:JB392064 F391986:F392075 WVN326439:WVN326528 WLR326439:WLR326528 WBV326439:WBV326528 VRZ326439:VRZ326528 VID326439:VID326528 UYH326439:UYH326528 UOL326439:UOL326528 UEP326439:UEP326528 TUT326439:TUT326528 TKX326439:TKX326528 TBB326439:TBB326528 SRF326439:SRF326528 SHJ326439:SHJ326528 RXN326439:RXN326528 RNR326439:RNR326528 RDV326439:RDV326528 QTZ326439:QTZ326528 QKD326439:QKD326528 QAH326439:QAH326528 PQL326439:PQL326528 PGP326439:PGP326528 OWT326439:OWT326528 OMX326439:OMX326528 ODB326439:ODB326528 NTF326439:NTF326528 NJJ326439:NJJ326528 MZN326439:MZN326528 MPR326439:MPR326528 MFV326439:MFV326528 LVZ326439:LVZ326528 LMD326439:LMD326528 LCH326439:LCH326528 KSL326439:KSL326528 KIP326439:KIP326528 JYT326439:JYT326528 JOX326439:JOX326528 JFB326439:JFB326528 IVF326439:IVF326528 ILJ326439:ILJ326528 IBN326439:IBN326528 HRR326439:HRR326528 HHV326439:HHV326528 GXZ326439:GXZ326528 GOD326439:GOD326528 GEH326439:GEH326528 FUL326439:FUL326528 FKP326439:FKP326528 FAT326439:FAT326528 EQX326439:EQX326528 EHB326439:EHB326528 DXF326439:DXF326528 DNJ326439:DNJ326528 DDN326439:DDN326528 CTR326439:CTR326528 CJV326439:CJV326528 BZZ326439:BZZ326528 BQD326439:BQD326528 BGH326439:BGH326528 AWL326439:AWL326528 AMP326439:AMP326528 ACT326439:ACT326528 SX326439:SX326528 JB326439:JB326528 F326450:F326539 WVN260903:WVN260992 WLR260903:WLR260992 WBV260903:WBV260992 VRZ260903:VRZ260992 VID260903:VID260992 UYH260903:UYH260992 UOL260903:UOL260992 UEP260903:UEP260992 TUT260903:TUT260992 TKX260903:TKX260992 TBB260903:TBB260992 SRF260903:SRF260992 SHJ260903:SHJ260992 RXN260903:RXN260992 RNR260903:RNR260992 RDV260903:RDV260992 QTZ260903:QTZ260992 QKD260903:QKD260992 QAH260903:QAH260992 PQL260903:PQL260992 PGP260903:PGP260992 OWT260903:OWT260992 OMX260903:OMX260992 ODB260903:ODB260992 NTF260903:NTF260992 NJJ260903:NJJ260992 MZN260903:MZN260992 MPR260903:MPR260992 MFV260903:MFV260992 LVZ260903:LVZ260992 LMD260903:LMD260992 LCH260903:LCH260992 KSL260903:KSL260992 KIP260903:KIP260992 JYT260903:JYT260992 JOX260903:JOX260992 JFB260903:JFB260992 IVF260903:IVF260992 ILJ260903:ILJ260992 IBN260903:IBN260992 HRR260903:HRR260992 HHV260903:HHV260992 GXZ260903:GXZ260992 GOD260903:GOD260992 GEH260903:GEH260992 FUL260903:FUL260992 FKP260903:FKP260992 FAT260903:FAT260992 EQX260903:EQX260992 EHB260903:EHB260992 DXF260903:DXF260992 DNJ260903:DNJ260992 DDN260903:DDN260992 CTR260903:CTR260992 CJV260903:CJV260992 BZZ260903:BZZ260992 BQD260903:BQD260992 BGH260903:BGH260992 AWL260903:AWL260992 AMP260903:AMP260992 ACT260903:ACT260992 SX260903:SX260992 JB260903:JB260992 F260914:F261003 WVN195367:WVN195456 WLR195367:WLR195456 WBV195367:WBV195456 VRZ195367:VRZ195456 VID195367:VID195456 UYH195367:UYH195456 UOL195367:UOL195456 UEP195367:UEP195456 TUT195367:TUT195456 TKX195367:TKX195456 TBB195367:TBB195456 SRF195367:SRF195456 SHJ195367:SHJ195456 RXN195367:RXN195456 RNR195367:RNR195456 RDV195367:RDV195456 QTZ195367:QTZ195456 QKD195367:QKD195456 QAH195367:QAH195456 PQL195367:PQL195456 PGP195367:PGP195456 OWT195367:OWT195456 OMX195367:OMX195456 ODB195367:ODB195456 NTF195367:NTF195456 NJJ195367:NJJ195456 MZN195367:MZN195456 MPR195367:MPR195456 MFV195367:MFV195456 LVZ195367:LVZ195456 LMD195367:LMD195456 LCH195367:LCH195456 KSL195367:KSL195456 KIP195367:KIP195456 JYT195367:JYT195456 JOX195367:JOX195456 JFB195367:JFB195456 IVF195367:IVF195456 ILJ195367:ILJ195456 IBN195367:IBN195456 HRR195367:HRR195456 HHV195367:HHV195456 GXZ195367:GXZ195456 GOD195367:GOD195456 GEH195367:GEH195456 FUL195367:FUL195456 FKP195367:FKP195456 FAT195367:FAT195456 EQX195367:EQX195456 EHB195367:EHB195456 DXF195367:DXF195456 DNJ195367:DNJ195456 DDN195367:DDN195456 CTR195367:CTR195456 CJV195367:CJV195456 BZZ195367:BZZ195456 BQD195367:BQD195456 BGH195367:BGH195456 AWL195367:AWL195456 AMP195367:AMP195456 ACT195367:ACT195456 SX195367:SX195456 JB195367:JB195456 F195378:F195467 WVN129831:WVN129920 WLR129831:WLR129920 WBV129831:WBV129920 VRZ129831:VRZ129920 VID129831:VID129920 UYH129831:UYH129920 UOL129831:UOL129920 UEP129831:UEP129920 TUT129831:TUT129920 TKX129831:TKX129920 TBB129831:TBB129920 SRF129831:SRF129920 SHJ129831:SHJ129920 RXN129831:RXN129920 RNR129831:RNR129920 RDV129831:RDV129920 QTZ129831:QTZ129920 QKD129831:QKD129920 QAH129831:QAH129920 PQL129831:PQL129920 PGP129831:PGP129920 OWT129831:OWT129920 OMX129831:OMX129920 ODB129831:ODB129920 NTF129831:NTF129920 NJJ129831:NJJ129920 MZN129831:MZN129920 MPR129831:MPR129920 MFV129831:MFV129920 LVZ129831:LVZ129920 LMD129831:LMD129920 LCH129831:LCH129920 KSL129831:KSL129920 KIP129831:KIP129920 JYT129831:JYT129920 JOX129831:JOX129920 JFB129831:JFB129920 IVF129831:IVF129920 ILJ129831:ILJ129920 IBN129831:IBN129920 HRR129831:HRR129920 HHV129831:HHV129920 GXZ129831:GXZ129920 GOD129831:GOD129920 GEH129831:GEH129920 FUL129831:FUL129920 FKP129831:FKP129920 FAT129831:FAT129920 EQX129831:EQX129920 EHB129831:EHB129920 DXF129831:DXF129920 DNJ129831:DNJ129920 DDN129831:DDN129920 CTR129831:CTR129920 CJV129831:CJV129920 BZZ129831:BZZ129920 BQD129831:BQD129920 BGH129831:BGH129920 AWL129831:AWL129920 AMP129831:AMP129920 ACT129831:ACT129920 SX129831:SX129920 JB129831:JB129920 F129842:F129931 WVN64295:WVN64384 WLR64295:WLR64384 WBV64295:WBV64384 VRZ64295:VRZ64384 VID64295:VID64384 UYH64295:UYH64384 UOL64295:UOL64384 UEP64295:UEP64384 TUT64295:TUT64384 TKX64295:TKX64384 TBB64295:TBB64384 SRF64295:SRF64384 SHJ64295:SHJ64384 RXN64295:RXN64384 RNR64295:RNR64384 RDV64295:RDV64384 QTZ64295:QTZ64384 QKD64295:QKD64384 QAH64295:QAH64384 PQL64295:PQL64384 PGP64295:PGP64384 OWT64295:OWT64384 OMX64295:OMX64384 ODB64295:ODB64384 NTF64295:NTF64384 NJJ64295:NJJ64384 MZN64295:MZN64384 MPR64295:MPR64384 MFV64295:MFV64384 LVZ64295:LVZ64384 LMD64295:LMD64384 LCH64295:LCH64384 KSL64295:KSL64384 KIP64295:KIP64384 JYT64295:JYT64384 JOX64295:JOX64384 JFB64295:JFB64384 IVF64295:IVF64384 ILJ64295:ILJ64384 IBN64295:IBN64384 HRR64295:HRR64384 HHV64295:HHV64384 GXZ64295:GXZ64384 GOD64295:GOD64384 GEH64295:GEH64384 FUL64295:FUL64384 FKP64295:FKP64384 FAT64295:FAT64384 EQX64295:EQX64384 EHB64295:EHB64384 DXF64295:DXF64384 DNJ64295:DNJ64384 DDN64295:DDN64384 CTR64295:CTR64384 CJV64295:CJV64384 BZZ64295:BZZ64384 BQD64295:BQD64384 BGH64295:BGH64384 AWL64295:AWL64384 AMP64295:AMP64384 ACT64295:ACT64384 SX64295:SX64384 JB64295:JB64384 F64306:F64395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xr:uid="{E5D3B79C-F009-4921-9928-17C1E7BD6E1F}">
      <formula1>$AH$2:$AH$13</formula1>
    </dataValidation>
    <dataValidation type="list" allowBlank="1" showInputMessage="1" showErrorMessage="1" sqref="WVM981799:WVM981888 WLQ981799:WLQ981888 WBU981799:WBU981888 VRY981799:VRY981888 VIC981799:VIC981888 UYG981799:UYG981888 UOK981799:UOK981888 UEO981799:UEO981888 TUS981799:TUS981888 TKW981799:TKW981888 TBA981799:TBA981888 SRE981799:SRE981888 SHI981799:SHI981888 RXM981799:RXM981888 RNQ981799:RNQ981888 RDU981799:RDU981888 QTY981799:QTY981888 QKC981799:QKC981888 QAG981799:QAG981888 PQK981799:PQK981888 PGO981799:PGO981888 OWS981799:OWS981888 OMW981799:OMW981888 ODA981799:ODA981888 NTE981799:NTE981888 NJI981799:NJI981888 MZM981799:MZM981888 MPQ981799:MPQ981888 MFU981799:MFU981888 LVY981799:LVY981888 LMC981799:LMC981888 LCG981799:LCG981888 KSK981799:KSK981888 KIO981799:KIO981888 JYS981799:JYS981888 JOW981799:JOW981888 JFA981799:JFA981888 IVE981799:IVE981888 ILI981799:ILI981888 IBM981799:IBM981888 HRQ981799:HRQ981888 HHU981799:HHU981888 GXY981799:GXY981888 GOC981799:GOC981888 GEG981799:GEG981888 FUK981799:FUK981888 FKO981799:FKO981888 FAS981799:FAS981888 EQW981799:EQW981888 EHA981799:EHA981888 DXE981799:DXE981888 DNI981799:DNI981888 DDM981799:DDM981888 CTQ981799:CTQ981888 CJU981799:CJU981888 BZY981799:BZY981888 BQC981799:BQC981888 BGG981799:BGG981888 AWK981799:AWK981888 AMO981799:AMO981888 ACS981799:ACS981888 SW981799:SW981888 JA981799:JA981888 E981810:E981899 WVM916263:WVM916352 WLQ916263:WLQ916352 WBU916263:WBU916352 VRY916263:VRY916352 VIC916263:VIC916352 UYG916263:UYG916352 UOK916263:UOK916352 UEO916263:UEO916352 TUS916263:TUS916352 TKW916263:TKW916352 TBA916263:TBA916352 SRE916263:SRE916352 SHI916263:SHI916352 RXM916263:RXM916352 RNQ916263:RNQ916352 RDU916263:RDU916352 QTY916263:QTY916352 QKC916263:QKC916352 QAG916263:QAG916352 PQK916263:PQK916352 PGO916263:PGO916352 OWS916263:OWS916352 OMW916263:OMW916352 ODA916263:ODA916352 NTE916263:NTE916352 NJI916263:NJI916352 MZM916263:MZM916352 MPQ916263:MPQ916352 MFU916263:MFU916352 LVY916263:LVY916352 LMC916263:LMC916352 LCG916263:LCG916352 KSK916263:KSK916352 KIO916263:KIO916352 JYS916263:JYS916352 JOW916263:JOW916352 JFA916263:JFA916352 IVE916263:IVE916352 ILI916263:ILI916352 IBM916263:IBM916352 HRQ916263:HRQ916352 HHU916263:HHU916352 GXY916263:GXY916352 GOC916263:GOC916352 GEG916263:GEG916352 FUK916263:FUK916352 FKO916263:FKO916352 FAS916263:FAS916352 EQW916263:EQW916352 EHA916263:EHA916352 DXE916263:DXE916352 DNI916263:DNI916352 DDM916263:DDM916352 CTQ916263:CTQ916352 CJU916263:CJU916352 BZY916263:BZY916352 BQC916263:BQC916352 BGG916263:BGG916352 AWK916263:AWK916352 AMO916263:AMO916352 ACS916263:ACS916352 SW916263:SW916352 JA916263:JA916352 E916274:E916363 WVM850727:WVM850816 WLQ850727:WLQ850816 WBU850727:WBU850816 VRY850727:VRY850816 VIC850727:VIC850816 UYG850727:UYG850816 UOK850727:UOK850816 UEO850727:UEO850816 TUS850727:TUS850816 TKW850727:TKW850816 TBA850727:TBA850816 SRE850727:SRE850816 SHI850727:SHI850816 RXM850727:RXM850816 RNQ850727:RNQ850816 RDU850727:RDU850816 QTY850727:QTY850816 QKC850727:QKC850816 QAG850727:QAG850816 PQK850727:PQK850816 PGO850727:PGO850816 OWS850727:OWS850816 OMW850727:OMW850816 ODA850727:ODA850816 NTE850727:NTE850816 NJI850727:NJI850816 MZM850727:MZM850816 MPQ850727:MPQ850816 MFU850727:MFU850816 LVY850727:LVY850816 LMC850727:LMC850816 LCG850727:LCG850816 KSK850727:KSK850816 KIO850727:KIO850816 JYS850727:JYS850816 JOW850727:JOW850816 JFA850727:JFA850816 IVE850727:IVE850816 ILI850727:ILI850816 IBM850727:IBM850816 HRQ850727:HRQ850816 HHU850727:HHU850816 GXY850727:GXY850816 GOC850727:GOC850816 GEG850727:GEG850816 FUK850727:FUK850816 FKO850727:FKO850816 FAS850727:FAS850816 EQW850727:EQW850816 EHA850727:EHA850816 DXE850727:DXE850816 DNI850727:DNI850816 DDM850727:DDM850816 CTQ850727:CTQ850816 CJU850727:CJU850816 BZY850727:BZY850816 BQC850727:BQC850816 BGG850727:BGG850816 AWK850727:AWK850816 AMO850727:AMO850816 ACS850727:ACS850816 SW850727:SW850816 JA850727:JA850816 E850738:E850827 WVM785191:WVM785280 WLQ785191:WLQ785280 WBU785191:WBU785280 VRY785191:VRY785280 VIC785191:VIC785280 UYG785191:UYG785280 UOK785191:UOK785280 UEO785191:UEO785280 TUS785191:TUS785280 TKW785191:TKW785280 TBA785191:TBA785280 SRE785191:SRE785280 SHI785191:SHI785280 RXM785191:RXM785280 RNQ785191:RNQ785280 RDU785191:RDU785280 QTY785191:QTY785280 QKC785191:QKC785280 QAG785191:QAG785280 PQK785191:PQK785280 PGO785191:PGO785280 OWS785191:OWS785280 OMW785191:OMW785280 ODA785191:ODA785280 NTE785191:NTE785280 NJI785191:NJI785280 MZM785191:MZM785280 MPQ785191:MPQ785280 MFU785191:MFU785280 LVY785191:LVY785280 LMC785191:LMC785280 LCG785191:LCG785280 KSK785191:KSK785280 KIO785191:KIO785280 JYS785191:JYS785280 JOW785191:JOW785280 JFA785191:JFA785280 IVE785191:IVE785280 ILI785191:ILI785280 IBM785191:IBM785280 HRQ785191:HRQ785280 HHU785191:HHU785280 GXY785191:GXY785280 GOC785191:GOC785280 GEG785191:GEG785280 FUK785191:FUK785280 FKO785191:FKO785280 FAS785191:FAS785280 EQW785191:EQW785280 EHA785191:EHA785280 DXE785191:DXE785280 DNI785191:DNI785280 DDM785191:DDM785280 CTQ785191:CTQ785280 CJU785191:CJU785280 BZY785191:BZY785280 BQC785191:BQC785280 BGG785191:BGG785280 AWK785191:AWK785280 AMO785191:AMO785280 ACS785191:ACS785280 SW785191:SW785280 JA785191:JA785280 E785202:E785291 WVM719655:WVM719744 WLQ719655:WLQ719744 WBU719655:WBU719744 VRY719655:VRY719744 VIC719655:VIC719744 UYG719655:UYG719744 UOK719655:UOK719744 UEO719655:UEO719744 TUS719655:TUS719744 TKW719655:TKW719744 TBA719655:TBA719744 SRE719655:SRE719744 SHI719655:SHI719744 RXM719655:RXM719744 RNQ719655:RNQ719744 RDU719655:RDU719744 QTY719655:QTY719744 QKC719655:QKC719744 QAG719655:QAG719744 PQK719655:PQK719744 PGO719655:PGO719744 OWS719655:OWS719744 OMW719655:OMW719744 ODA719655:ODA719744 NTE719655:NTE719744 NJI719655:NJI719744 MZM719655:MZM719744 MPQ719655:MPQ719744 MFU719655:MFU719744 LVY719655:LVY719744 LMC719655:LMC719744 LCG719655:LCG719744 KSK719655:KSK719744 KIO719655:KIO719744 JYS719655:JYS719744 JOW719655:JOW719744 JFA719655:JFA719744 IVE719655:IVE719744 ILI719655:ILI719744 IBM719655:IBM719744 HRQ719655:HRQ719744 HHU719655:HHU719744 GXY719655:GXY719744 GOC719655:GOC719744 GEG719655:GEG719744 FUK719655:FUK719744 FKO719655:FKO719744 FAS719655:FAS719744 EQW719655:EQW719744 EHA719655:EHA719744 DXE719655:DXE719744 DNI719655:DNI719744 DDM719655:DDM719744 CTQ719655:CTQ719744 CJU719655:CJU719744 BZY719655:BZY719744 BQC719655:BQC719744 BGG719655:BGG719744 AWK719655:AWK719744 AMO719655:AMO719744 ACS719655:ACS719744 SW719655:SW719744 JA719655:JA719744 E719666:E719755 WVM654119:WVM654208 WLQ654119:WLQ654208 WBU654119:WBU654208 VRY654119:VRY654208 VIC654119:VIC654208 UYG654119:UYG654208 UOK654119:UOK654208 UEO654119:UEO654208 TUS654119:TUS654208 TKW654119:TKW654208 TBA654119:TBA654208 SRE654119:SRE654208 SHI654119:SHI654208 RXM654119:RXM654208 RNQ654119:RNQ654208 RDU654119:RDU654208 QTY654119:QTY654208 QKC654119:QKC654208 QAG654119:QAG654208 PQK654119:PQK654208 PGO654119:PGO654208 OWS654119:OWS654208 OMW654119:OMW654208 ODA654119:ODA654208 NTE654119:NTE654208 NJI654119:NJI654208 MZM654119:MZM654208 MPQ654119:MPQ654208 MFU654119:MFU654208 LVY654119:LVY654208 LMC654119:LMC654208 LCG654119:LCG654208 KSK654119:KSK654208 KIO654119:KIO654208 JYS654119:JYS654208 JOW654119:JOW654208 JFA654119:JFA654208 IVE654119:IVE654208 ILI654119:ILI654208 IBM654119:IBM654208 HRQ654119:HRQ654208 HHU654119:HHU654208 GXY654119:GXY654208 GOC654119:GOC654208 GEG654119:GEG654208 FUK654119:FUK654208 FKO654119:FKO654208 FAS654119:FAS654208 EQW654119:EQW654208 EHA654119:EHA654208 DXE654119:DXE654208 DNI654119:DNI654208 DDM654119:DDM654208 CTQ654119:CTQ654208 CJU654119:CJU654208 BZY654119:BZY654208 BQC654119:BQC654208 BGG654119:BGG654208 AWK654119:AWK654208 AMO654119:AMO654208 ACS654119:ACS654208 SW654119:SW654208 JA654119:JA654208 E654130:E654219 WVM588583:WVM588672 WLQ588583:WLQ588672 WBU588583:WBU588672 VRY588583:VRY588672 VIC588583:VIC588672 UYG588583:UYG588672 UOK588583:UOK588672 UEO588583:UEO588672 TUS588583:TUS588672 TKW588583:TKW588672 TBA588583:TBA588672 SRE588583:SRE588672 SHI588583:SHI588672 RXM588583:RXM588672 RNQ588583:RNQ588672 RDU588583:RDU588672 QTY588583:QTY588672 QKC588583:QKC588672 QAG588583:QAG588672 PQK588583:PQK588672 PGO588583:PGO588672 OWS588583:OWS588672 OMW588583:OMW588672 ODA588583:ODA588672 NTE588583:NTE588672 NJI588583:NJI588672 MZM588583:MZM588672 MPQ588583:MPQ588672 MFU588583:MFU588672 LVY588583:LVY588672 LMC588583:LMC588672 LCG588583:LCG588672 KSK588583:KSK588672 KIO588583:KIO588672 JYS588583:JYS588672 JOW588583:JOW588672 JFA588583:JFA588672 IVE588583:IVE588672 ILI588583:ILI588672 IBM588583:IBM588672 HRQ588583:HRQ588672 HHU588583:HHU588672 GXY588583:GXY588672 GOC588583:GOC588672 GEG588583:GEG588672 FUK588583:FUK588672 FKO588583:FKO588672 FAS588583:FAS588672 EQW588583:EQW588672 EHA588583:EHA588672 DXE588583:DXE588672 DNI588583:DNI588672 DDM588583:DDM588672 CTQ588583:CTQ588672 CJU588583:CJU588672 BZY588583:BZY588672 BQC588583:BQC588672 BGG588583:BGG588672 AWK588583:AWK588672 AMO588583:AMO588672 ACS588583:ACS588672 SW588583:SW588672 JA588583:JA588672 E588594:E588683 WVM523047:WVM523136 WLQ523047:WLQ523136 WBU523047:WBU523136 VRY523047:VRY523136 VIC523047:VIC523136 UYG523047:UYG523136 UOK523047:UOK523136 UEO523047:UEO523136 TUS523047:TUS523136 TKW523047:TKW523136 TBA523047:TBA523136 SRE523047:SRE523136 SHI523047:SHI523136 RXM523047:RXM523136 RNQ523047:RNQ523136 RDU523047:RDU523136 QTY523047:QTY523136 QKC523047:QKC523136 QAG523047:QAG523136 PQK523047:PQK523136 PGO523047:PGO523136 OWS523047:OWS523136 OMW523047:OMW523136 ODA523047:ODA523136 NTE523047:NTE523136 NJI523047:NJI523136 MZM523047:MZM523136 MPQ523047:MPQ523136 MFU523047:MFU523136 LVY523047:LVY523136 LMC523047:LMC523136 LCG523047:LCG523136 KSK523047:KSK523136 KIO523047:KIO523136 JYS523047:JYS523136 JOW523047:JOW523136 JFA523047:JFA523136 IVE523047:IVE523136 ILI523047:ILI523136 IBM523047:IBM523136 HRQ523047:HRQ523136 HHU523047:HHU523136 GXY523047:GXY523136 GOC523047:GOC523136 GEG523047:GEG523136 FUK523047:FUK523136 FKO523047:FKO523136 FAS523047:FAS523136 EQW523047:EQW523136 EHA523047:EHA523136 DXE523047:DXE523136 DNI523047:DNI523136 DDM523047:DDM523136 CTQ523047:CTQ523136 CJU523047:CJU523136 BZY523047:BZY523136 BQC523047:BQC523136 BGG523047:BGG523136 AWK523047:AWK523136 AMO523047:AMO523136 ACS523047:ACS523136 SW523047:SW523136 JA523047:JA523136 E523058:E523147 WVM457511:WVM457600 WLQ457511:WLQ457600 WBU457511:WBU457600 VRY457511:VRY457600 VIC457511:VIC457600 UYG457511:UYG457600 UOK457511:UOK457600 UEO457511:UEO457600 TUS457511:TUS457600 TKW457511:TKW457600 TBA457511:TBA457600 SRE457511:SRE457600 SHI457511:SHI457600 RXM457511:RXM457600 RNQ457511:RNQ457600 RDU457511:RDU457600 QTY457511:QTY457600 QKC457511:QKC457600 QAG457511:QAG457600 PQK457511:PQK457600 PGO457511:PGO457600 OWS457511:OWS457600 OMW457511:OMW457600 ODA457511:ODA457600 NTE457511:NTE457600 NJI457511:NJI457600 MZM457511:MZM457600 MPQ457511:MPQ457600 MFU457511:MFU457600 LVY457511:LVY457600 LMC457511:LMC457600 LCG457511:LCG457600 KSK457511:KSK457600 KIO457511:KIO457600 JYS457511:JYS457600 JOW457511:JOW457600 JFA457511:JFA457600 IVE457511:IVE457600 ILI457511:ILI457600 IBM457511:IBM457600 HRQ457511:HRQ457600 HHU457511:HHU457600 GXY457511:GXY457600 GOC457511:GOC457600 GEG457511:GEG457600 FUK457511:FUK457600 FKO457511:FKO457600 FAS457511:FAS457600 EQW457511:EQW457600 EHA457511:EHA457600 DXE457511:DXE457600 DNI457511:DNI457600 DDM457511:DDM457600 CTQ457511:CTQ457600 CJU457511:CJU457600 BZY457511:BZY457600 BQC457511:BQC457600 BGG457511:BGG457600 AWK457511:AWK457600 AMO457511:AMO457600 ACS457511:ACS457600 SW457511:SW457600 JA457511:JA457600 E457522:E457611 WVM391975:WVM392064 WLQ391975:WLQ392064 WBU391975:WBU392064 VRY391975:VRY392064 VIC391975:VIC392064 UYG391975:UYG392064 UOK391975:UOK392064 UEO391975:UEO392064 TUS391975:TUS392064 TKW391975:TKW392064 TBA391975:TBA392064 SRE391975:SRE392064 SHI391975:SHI392064 RXM391975:RXM392064 RNQ391975:RNQ392064 RDU391975:RDU392064 QTY391975:QTY392064 QKC391975:QKC392064 QAG391975:QAG392064 PQK391975:PQK392064 PGO391975:PGO392064 OWS391975:OWS392064 OMW391975:OMW392064 ODA391975:ODA392064 NTE391975:NTE392064 NJI391975:NJI392064 MZM391975:MZM392064 MPQ391975:MPQ392064 MFU391975:MFU392064 LVY391975:LVY392064 LMC391975:LMC392064 LCG391975:LCG392064 KSK391975:KSK392064 KIO391975:KIO392064 JYS391975:JYS392064 JOW391975:JOW392064 JFA391975:JFA392064 IVE391975:IVE392064 ILI391975:ILI392064 IBM391975:IBM392064 HRQ391975:HRQ392064 HHU391975:HHU392064 GXY391975:GXY392064 GOC391975:GOC392064 GEG391975:GEG392064 FUK391975:FUK392064 FKO391975:FKO392064 FAS391975:FAS392064 EQW391975:EQW392064 EHA391975:EHA392064 DXE391975:DXE392064 DNI391975:DNI392064 DDM391975:DDM392064 CTQ391975:CTQ392064 CJU391975:CJU392064 BZY391975:BZY392064 BQC391975:BQC392064 BGG391975:BGG392064 AWK391975:AWK392064 AMO391975:AMO392064 ACS391975:ACS392064 SW391975:SW392064 JA391975:JA392064 E391986:E392075 WVM326439:WVM326528 WLQ326439:WLQ326528 WBU326439:WBU326528 VRY326439:VRY326528 VIC326439:VIC326528 UYG326439:UYG326528 UOK326439:UOK326528 UEO326439:UEO326528 TUS326439:TUS326528 TKW326439:TKW326528 TBA326439:TBA326528 SRE326439:SRE326528 SHI326439:SHI326528 RXM326439:RXM326528 RNQ326439:RNQ326528 RDU326439:RDU326528 QTY326439:QTY326528 QKC326439:QKC326528 QAG326439:QAG326528 PQK326439:PQK326528 PGO326439:PGO326528 OWS326439:OWS326528 OMW326439:OMW326528 ODA326439:ODA326528 NTE326439:NTE326528 NJI326439:NJI326528 MZM326439:MZM326528 MPQ326439:MPQ326528 MFU326439:MFU326528 LVY326439:LVY326528 LMC326439:LMC326528 LCG326439:LCG326528 KSK326439:KSK326528 KIO326439:KIO326528 JYS326439:JYS326528 JOW326439:JOW326528 JFA326439:JFA326528 IVE326439:IVE326528 ILI326439:ILI326528 IBM326439:IBM326528 HRQ326439:HRQ326528 HHU326439:HHU326528 GXY326439:GXY326528 GOC326439:GOC326528 GEG326439:GEG326528 FUK326439:FUK326528 FKO326439:FKO326528 FAS326439:FAS326528 EQW326439:EQW326528 EHA326439:EHA326528 DXE326439:DXE326528 DNI326439:DNI326528 DDM326439:DDM326528 CTQ326439:CTQ326528 CJU326439:CJU326528 BZY326439:BZY326528 BQC326439:BQC326528 BGG326439:BGG326528 AWK326439:AWK326528 AMO326439:AMO326528 ACS326439:ACS326528 SW326439:SW326528 JA326439:JA326528 E326450:E326539 WVM260903:WVM260992 WLQ260903:WLQ260992 WBU260903:WBU260992 VRY260903:VRY260992 VIC260903:VIC260992 UYG260903:UYG260992 UOK260903:UOK260992 UEO260903:UEO260992 TUS260903:TUS260992 TKW260903:TKW260992 TBA260903:TBA260992 SRE260903:SRE260992 SHI260903:SHI260992 RXM260903:RXM260992 RNQ260903:RNQ260992 RDU260903:RDU260992 QTY260903:QTY260992 QKC260903:QKC260992 QAG260903:QAG260992 PQK260903:PQK260992 PGO260903:PGO260992 OWS260903:OWS260992 OMW260903:OMW260992 ODA260903:ODA260992 NTE260903:NTE260992 NJI260903:NJI260992 MZM260903:MZM260992 MPQ260903:MPQ260992 MFU260903:MFU260992 LVY260903:LVY260992 LMC260903:LMC260992 LCG260903:LCG260992 KSK260903:KSK260992 KIO260903:KIO260992 JYS260903:JYS260992 JOW260903:JOW260992 JFA260903:JFA260992 IVE260903:IVE260992 ILI260903:ILI260992 IBM260903:IBM260992 HRQ260903:HRQ260992 HHU260903:HHU260992 GXY260903:GXY260992 GOC260903:GOC260992 GEG260903:GEG260992 FUK260903:FUK260992 FKO260903:FKO260992 FAS260903:FAS260992 EQW260903:EQW260992 EHA260903:EHA260992 DXE260903:DXE260992 DNI260903:DNI260992 DDM260903:DDM260992 CTQ260903:CTQ260992 CJU260903:CJU260992 BZY260903:BZY260992 BQC260903:BQC260992 BGG260903:BGG260992 AWK260903:AWK260992 AMO260903:AMO260992 ACS260903:ACS260992 SW260903:SW260992 JA260903:JA260992 E260914:E261003 WVM195367:WVM195456 WLQ195367:WLQ195456 WBU195367:WBU195456 VRY195367:VRY195456 VIC195367:VIC195456 UYG195367:UYG195456 UOK195367:UOK195456 UEO195367:UEO195456 TUS195367:TUS195456 TKW195367:TKW195456 TBA195367:TBA195456 SRE195367:SRE195456 SHI195367:SHI195456 RXM195367:RXM195456 RNQ195367:RNQ195456 RDU195367:RDU195456 QTY195367:QTY195456 QKC195367:QKC195456 QAG195367:QAG195456 PQK195367:PQK195456 PGO195367:PGO195456 OWS195367:OWS195456 OMW195367:OMW195456 ODA195367:ODA195456 NTE195367:NTE195456 NJI195367:NJI195456 MZM195367:MZM195456 MPQ195367:MPQ195456 MFU195367:MFU195456 LVY195367:LVY195456 LMC195367:LMC195456 LCG195367:LCG195456 KSK195367:KSK195456 KIO195367:KIO195456 JYS195367:JYS195456 JOW195367:JOW195456 JFA195367:JFA195456 IVE195367:IVE195456 ILI195367:ILI195456 IBM195367:IBM195456 HRQ195367:HRQ195456 HHU195367:HHU195456 GXY195367:GXY195456 GOC195367:GOC195456 GEG195367:GEG195456 FUK195367:FUK195456 FKO195367:FKO195456 FAS195367:FAS195456 EQW195367:EQW195456 EHA195367:EHA195456 DXE195367:DXE195456 DNI195367:DNI195456 DDM195367:DDM195456 CTQ195367:CTQ195456 CJU195367:CJU195456 BZY195367:BZY195456 BQC195367:BQC195456 BGG195367:BGG195456 AWK195367:AWK195456 AMO195367:AMO195456 ACS195367:ACS195456 SW195367:SW195456 JA195367:JA195456 E195378:E195467 WVM129831:WVM129920 WLQ129831:WLQ129920 WBU129831:WBU129920 VRY129831:VRY129920 VIC129831:VIC129920 UYG129831:UYG129920 UOK129831:UOK129920 UEO129831:UEO129920 TUS129831:TUS129920 TKW129831:TKW129920 TBA129831:TBA129920 SRE129831:SRE129920 SHI129831:SHI129920 RXM129831:RXM129920 RNQ129831:RNQ129920 RDU129831:RDU129920 QTY129831:QTY129920 QKC129831:QKC129920 QAG129831:QAG129920 PQK129831:PQK129920 PGO129831:PGO129920 OWS129831:OWS129920 OMW129831:OMW129920 ODA129831:ODA129920 NTE129831:NTE129920 NJI129831:NJI129920 MZM129831:MZM129920 MPQ129831:MPQ129920 MFU129831:MFU129920 LVY129831:LVY129920 LMC129831:LMC129920 LCG129831:LCG129920 KSK129831:KSK129920 KIO129831:KIO129920 JYS129831:JYS129920 JOW129831:JOW129920 JFA129831:JFA129920 IVE129831:IVE129920 ILI129831:ILI129920 IBM129831:IBM129920 HRQ129831:HRQ129920 HHU129831:HHU129920 GXY129831:GXY129920 GOC129831:GOC129920 GEG129831:GEG129920 FUK129831:FUK129920 FKO129831:FKO129920 FAS129831:FAS129920 EQW129831:EQW129920 EHA129831:EHA129920 DXE129831:DXE129920 DNI129831:DNI129920 DDM129831:DDM129920 CTQ129831:CTQ129920 CJU129831:CJU129920 BZY129831:BZY129920 BQC129831:BQC129920 BGG129831:BGG129920 AWK129831:AWK129920 AMO129831:AMO129920 ACS129831:ACS129920 SW129831:SW129920 JA129831:JA129920 E129842:E129931 WVM64295:WVM64384 WLQ64295:WLQ64384 WBU64295:WBU64384 VRY64295:VRY64384 VIC64295:VIC64384 UYG64295:UYG64384 UOK64295:UOK64384 UEO64295:UEO64384 TUS64295:TUS64384 TKW64295:TKW64384 TBA64295:TBA64384 SRE64295:SRE64384 SHI64295:SHI64384 RXM64295:RXM64384 RNQ64295:RNQ64384 RDU64295:RDU64384 QTY64295:QTY64384 QKC64295:QKC64384 QAG64295:QAG64384 PQK64295:PQK64384 PGO64295:PGO64384 OWS64295:OWS64384 OMW64295:OMW64384 ODA64295:ODA64384 NTE64295:NTE64384 NJI64295:NJI64384 MZM64295:MZM64384 MPQ64295:MPQ64384 MFU64295:MFU64384 LVY64295:LVY64384 LMC64295:LMC64384 LCG64295:LCG64384 KSK64295:KSK64384 KIO64295:KIO64384 JYS64295:JYS64384 JOW64295:JOW64384 JFA64295:JFA64384 IVE64295:IVE64384 ILI64295:ILI64384 IBM64295:IBM64384 HRQ64295:HRQ64384 HHU64295:HHU64384 GXY64295:GXY64384 GOC64295:GOC64384 GEG64295:GEG64384 FUK64295:FUK64384 FKO64295:FKO64384 FAS64295:FAS64384 EQW64295:EQW64384 EHA64295:EHA64384 DXE64295:DXE64384 DNI64295:DNI64384 DDM64295:DDM64384 CTQ64295:CTQ64384 CJU64295:CJU64384 BZY64295:BZY64384 BQC64295:BQC64384 BGG64295:BGG64384 AWK64295:AWK64384 AMO64295:AMO64384 ACS64295:ACS64384 SW64295:SW64384 JA64295:JA64384 E64306:E64395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xr:uid="{43D01D39-5425-4974-BBBC-7281E14015EA}">
      <formula1>$AG$2:$AG$13</formula1>
    </dataValidation>
    <dataValidation type="list" allowBlank="1" showInputMessage="1" showErrorMessage="1" sqref="WWF981799:WWF981882 WMJ981799:WMJ981882 WCN981799:WCN981882 VSR981799:VSR981882 VIV981799:VIV981882 UYZ981799:UYZ981882 UPD981799:UPD981882 UFH981799:UFH981882 TVL981799:TVL981882 TLP981799:TLP981882 TBT981799:TBT981882 SRX981799:SRX981882 SIB981799:SIB981882 RYF981799:RYF981882 ROJ981799:ROJ981882 REN981799:REN981882 QUR981799:QUR981882 QKV981799:QKV981882 QAZ981799:QAZ981882 PRD981799:PRD981882 PHH981799:PHH981882 OXL981799:OXL981882 ONP981799:ONP981882 ODT981799:ODT981882 NTX981799:NTX981882 NKB981799:NKB981882 NAF981799:NAF981882 MQJ981799:MQJ981882 MGN981799:MGN981882 LWR981799:LWR981882 LMV981799:LMV981882 LCZ981799:LCZ981882 KTD981799:KTD981882 KJH981799:KJH981882 JZL981799:JZL981882 JPP981799:JPP981882 JFT981799:JFT981882 IVX981799:IVX981882 IMB981799:IMB981882 ICF981799:ICF981882 HSJ981799:HSJ981882 HIN981799:HIN981882 GYR981799:GYR981882 GOV981799:GOV981882 GEZ981799:GEZ981882 FVD981799:FVD981882 FLH981799:FLH981882 FBL981799:FBL981882 ERP981799:ERP981882 EHT981799:EHT981882 DXX981799:DXX981882 DOB981799:DOB981882 DEF981799:DEF981882 CUJ981799:CUJ981882 CKN981799:CKN981882 CAR981799:CAR981882 BQV981799:BQV981882 BGZ981799:BGZ981882 AXD981799:AXD981882 ANH981799:ANH981882 ADL981799:ADL981882 TP981799:TP981882 JT981799:JT981882 X981799:X981882 WWF916263:WWF916346 WMJ916263:WMJ916346 WCN916263:WCN916346 VSR916263:VSR916346 VIV916263:VIV916346 UYZ916263:UYZ916346 UPD916263:UPD916346 UFH916263:UFH916346 TVL916263:TVL916346 TLP916263:TLP916346 TBT916263:TBT916346 SRX916263:SRX916346 SIB916263:SIB916346 RYF916263:RYF916346 ROJ916263:ROJ916346 REN916263:REN916346 QUR916263:QUR916346 QKV916263:QKV916346 QAZ916263:QAZ916346 PRD916263:PRD916346 PHH916263:PHH916346 OXL916263:OXL916346 ONP916263:ONP916346 ODT916263:ODT916346 NTX916263:NTX916346 NKB916263:NKB916346 NAF916263:NAF916346 MQJ916263:MQJ916346 MGN916263:MGN916346 LWR916263:LWR916346 LMV916263:LMV916346 LCZ916263:LCZ916346 KTD916263:KTD916346 KJH916263:KJH916346 JZL916263:JZL916346 JPP916263:JPP916346 JFT916263:JFT916346 IVX916263:IVX916346 IMB916263:IMB916346 ICF916263:ICF916346 HSJ916263:HSJ916346 HIN916263:HIN916346 GYR916263:GYR916346 GOV916263:GOV916346 GEZ916263:GEZ916346 FVD916263:FVD916346 FLH916263:FLH916346 FBL916263:FBL916346 ERP916263:ERP916346 EHT916263:EHT916346 DXX916263:DXX916346 DOB916263:DOB916346 DEF916263:DEF916346 CUJ916263:CUJ916346 CKN916263:CKN916346 CAR916263:CAR916346 BQV916263:BQV916346 BGZ916263:BGZ916346 AXD916263:AXD916346 ANH916263:ANH916346 ADL916263:ADL916346 TP916263:TP916346 JT916263:JT916346 X916263:X916346 WWF850727:WWF850810 WMJ850727:WMJ850810 WCN850727:WCN850810 VSR850727:VSR850810 VIV850727:VIV850810 UYZ850727:UYZ850810 UPD850727:UPD850810 UFH850727:UFH850810 TVL850727:TVL850810 TLP850727:TLP850810 TBT850727:TBT850810 SRX850727:SRX850810 SIB850727:SIB850810 RYF850727:RYF850810 ROJ850727:ROJ850810 REN850727:REN850810 QUR850727:QUR850810 QKV850727:QKV850810 QAZ850727:QAZ850810 PRD850727:PRD850810 PHH850727:PHH850810 OXL850727:OXL850810 ONP850727:ONP850810 ODT850727:ODT850810 NTX850727:NTX850810 NKB850727:NKB850810 NAF850727:NAF850810 MQJ850727:MQJ850810 MGN850727:MGN850810 LWR850727:LWR850810 LMV850727:LMV850810 LCZ850727:LCZ850810 KTD850727:KTD850810 KJH850727:KJH850810 JZL850727:JZL850810 JPP850727:JPP850810 JFT850727:JFT850810 IVX850727:IVX850810 IMB850727:IMB850810 ICF850727:ICF850810 HSJ850727:HSJ850810 HIN850727:HIN850810 GYR850727:GYR850810 GOV850727:GOV850810 GEZ850727:GEZ850810 FVD850727:FVD850810 FLH850727:FLH850810 FBL850727:FBL850810 ERP850727:ERP850810 EHT850727:EHT850810 DXX850727:DXX850810 DOB850727:DOB850810 DEF850727:DEF850810 CUJ850727:CUJ850810 CKN850727:CKN850810 CAR850727:CAR850810 BQV850727:BQV850810 BGZ850727:BGZ850810 AXD850727:AXD850810 ANH850727:ANH850810 ADL850727:ADL850810 TP850727:TP850810 JT850727:JT850810 X850727:X850810 WWF785191:WWF785274 WMJ785191:WMJ785274 WCN785191:WCN785274 VSR785191:VSR785274 VIV785191:VIV785274 UYZ785191:UYZ785274 UPD785191:UPD785274 UFH785191:UFH785274 TVL785191:TVL785274 TLP785191:TLP785274 TBT785191:TBT785274 SRX785191:SRX785274 SIB785191:SIB785274 RYF785191:RYF785274 ROJ785191:ROJ785274 REN785191:REN785274 QUR785191:QUR785274 QKV785191:QKV785274 QAZ785191:QAZ785274 PRD785191:PRD785274 PHH785191:PHH785274 OXL785191:OXL785274 ONP785191:ONP785274 ODT785191:ODT785274 NTX785191:NTX785274 NKB785191:NKB785274 NAF785191:NAF785274 MQJ785191:MQJ785274 MGN785191:MGN785274 LWR785191:LWR785274 LMV785191:LMV785274 LCZ785191:LCZ785274 KTD785191:KTD785274 KJH785191:KJH785274 JZL785191:JZL785274 JPP785191:JPP785274 JFT785191:JFT785274 IVX785191:IVX785274 IMB785191:IMB785274 ICF785191:ICF785274 HSJ785191:HSJ785274 HIN785191:HIN785274 GYR785191:GYR785274 GOV785191:GOV785274 GEZ785191:GEZ785274 FVD785191:FVD785274 FLH785191:FLH785274 FBL785191:FBL785274 ERP785191:ERP785274 EHT785191:EHT785274 DXX785191:DXX785274 DOB785191:DOB785274 DEF785191:DEF785274 CUJ785191:CUJ785274 CKN785191:CKN785274 CAR785191:CAR785274 BQV785191:BQV785274 BGZ785191:BGZ785274 AXD785191:AXD785274 ANH785191:ANH785274 ADL785191:ADL785274 TP785191:TP785274 JT785191:JT785274 X785191:X785274 WWF719655:WWF719738 WMJ719655:WMJ719738 WCN719655:WCN719738 VSR719655:VSR719738 VIV719655:VIV719738 UYZ719655:UYZ719738 UPD719655:UPD719738 UFH719655:UFH719738 TVL719655:TVL719738 TLP719655:TLP719738 TBT719655:TBT719738 SRX719655:SRX719738 SIB719655:SIB719738 RYF719655:RYF719738 ROJ719655:ROJ719738 REN719655:REN719738 QUR719655:QUR719738 QKV719655:QKV719738 QAZ719655:QAZ719738 PRD719655:PRD719738 PHH719655:PHH719738 OXL719655:OXL719738 ONP719655:ONP719738 ODT719655:ODT719738 NTX719655:NTX719738 NKB719655:NKB719738 NAF719655:NAF719738 MQJ719655:MQJ719738 MGN719655:MGN719738 LWR719655:LWR719738 LMV719655:LMV719738 LCZ719655:LCZ719738 KTD719655:KTD719738 KJH719655:KJH719738 JZL719655:JZL719738 JPP719655:JPP719738 JFT719655:JFT719738 IVX719655:IVX719738 IMB719655:IMB719738 ICF719655:ICF719738 HSJ719655:HSJ719738 HIN719655:HIN719738 GYR719655:GYR719738 GOV719655:GOV719738 GEZ719655:GEZ719738 FVD719655:FVD719738 FLH719655:FLH719738 FBL719655:FBL719738 ERP719655:ERP719738 EHT719655:EHT719738 DXX719655:DXX719738 DOB719655:DOB719738 DEF719655:DEF719738 CUJ719655:CUJ719738 CKN719655:CKN719738 CAR719655:CAR719738 BQV719655:BQV719738 BGZ719655:BGZ719738 AXD719655:AXD719738 ANH719655:ANH719738 ADL719655:ADL719738 TP719655:TP719738 JT719655:JT719738 X719655:X719738 WWF654119:WWF654202 WMJ654119:WMJ654202 WCN654119:WCN654202 VSR654119:VSR654202 VIV654119:VIV654202 UYZ654119:UYZ654202 UPD654119:UPD654202 UFH654119:UFH654202 TVL654119:TVL654202 TLP654119:TLP654202 TBT654119:TBT654202 SRX654119:SRX654202 SIB654119:SIB654202 RYF654119:RYF654202 ROJ654119:ROJ654202 REN654119:REN654202 QUR654119:QUR654202 QKV654119:QKV654202 QAZ654119:QAZ654202 PRD654119:PRD654202 PHH654119:PHH654202 OXL654119:OXL654202 ONP654119:ONP654202 ODT654119:ODT654202 NTX654119:NTX654202 NKB654119:NKB654202 NAF654119:NAF654202 MQJ654119:MQJ654202 MGN654119:MGN654202 LWR654119:LWR654202 LMV654119:LMV654202 LCZ654119:LCZ654202 KTD654119:KTD654202 KJH654119:KJH654202 JZL654119:JZL654202 JPP654119:JPP654202 JFT654119:JFT654202 IVX654119:IVX654202 IMB654119:IMB654202 ICF654119:ICF654202 HSJ654119:HSJ654202 HIN654119:HIN654202 GYR654119:GYR654202 GOV654119:GOV654202 GEZ654119:GEZ654202 FVD654119:FVD654202 FLH654119:FLH654202 FBL654119:FBL654202 ERP654119:ERP654202 EHT654119:EHT654202 DXX654119:DXX654202 DOB654119:DOB654202 DEF654119:DEF654202 CUJ654119:CUJ654202 CKN654119:CKN654202 CAR654119:CAR654202 BQV654119:BQV654202 BGZ654119:BGZ654202 AXD654119:AXD654202 ANH654119:ANH654202 ADL654119:ADL654202 TP654119:TP654202 JT654119:JT654202 X654119:X654202 WWF588583:WWF588666 WMJ588583:WMJ588666 WCN588583:WCN588666 VSR588583:VSR588666 VIV588583:VIV588666 UYZ588583:UYZ588666 UPD588583:UPD588666 UFH588583:UFH588666 TVL588583:TVL588666 TLP588583:TLP588666 TBT588583:TBT588666 SRX588583:SRX588666 SIB588583:SIB588666 RYF588583:RYF588666 ROJ588583:ROJ588666 REN588583:REN588666 QUR588583:QUR588666 QKV588583:QKV588666 QAZ588583:QAZ588666 PRD588583:PRD588666 PHH588583:PHH588666 OXL588583:OXL588666 ONP588583:ONP588666 ODT588583:ODT588666 NTX588583:NTX588666 NKB588583:NKB588666 NAF588583:NAF588666 MQJ588583:MQJ588666 MGN588583:MGN588666 LWR588583:LWR588666 LMV588583:LMV588666 LCZ588583:LCZ588666 KTD588583:KTD588666 KJH588583:KJH588666 JZL588583:JZL588666 JPP588583:JPP588666 JFT588583:JFT588666 IVX588583:IVX588666 IMB588583:IMB588666 ICF588583:ICF588666 HSJ588583:HSJ588666 HIN588583:HIN588666 GYR588583:GYR588666 GOV588583:GOV588666 GEZ588583:GEZ588666 FVD588583:FVD588666 FLH588583:FLH588666 FBL588583:FBL588666 ERP588583:ERP588666 EHT588583:EHT588666 DXX588583:DXX588666 DOB588583:DOB588666 DEF588583:DEF588666 CUJ588583:CUJ588666 CKN588583:CKN588666 CAR588583:CAR588666 BQV588583:BQV588666 BGZ588583:BGZ588666 AXD588583:AXD588666 ANH588583:ANH588666 ADL588583:ADL588666 TP588583:TP588666 JT588583:JT588666 X588583:X588666 WWF523047:WWF523130 WMJ523047:WMJ523130 WCN523047:WCN523130 VSR523047:VSR523130 VIV523047:VIV523130 UYZ523047:UYZ523130 UPD523047:UPD523130 UFH523047:UFH523130 TVL523047:TVL523130 TLP523047:TLP523130 TBT523047:TBT523130 SRX523047:SRX523130 SIB523047:SIB523130 RYF523047:RYF523130 ROJ523047:ROJ523130 REN523047:REN523130 QUR523047:QUR523130 QKV523047:QKV523130 QAZ523047:QAZ523130 PRD523047:PRD523130 PHH523047:PHH523130 OXL523047:OXL523130 ONP523047:ONP523130 ODT523047:ODT523130 NTX523047:NTX523130 NKB523047:NKB523130 NAF523047:NAF523130 MQJ523047:MQJ523130 MGN523047:MGN523130 LWR523047:LWR523130 LMV523047:LMV523130 LCZ523047:LCZ523130 KTD523047:KTD523130 KJH523047:KJH523130 JZL523047:JZL523130 JPP523047:JPP523130 JFT523047:JFT523130 IVX523047:IVX523130 IMB523047:IMB523130 ICF523047:ICF523130 HSJ523047:HSJ523130 HIN523047:HIN523130 GYR523047:GYR523130 GOV523047:GOV523130 GEZ523047:GEZ523130 FVD523047:FVD523130 FLH523047:FLH523130 FBL523047:FBL523130 ERP523047:ERP523130 EHT523047:EHT523130 DXX523047:DXX523130 DOB523047:DOB523130 DEF523047:DEF523130 CUJ523047:CUJ523130 CKN523047:CKN523130 CAR523047:CAR523130 BQV523047:BQV523130 BGZ523047:BGZ523130 AXD523047:AXD523130 ANH523047:ANH523130 ADL523047:ADL523130 TP523047:TP523130 JT523047:JT523130 X523047:X523130 WWF457511:WWF457594 WMJ457511:WMJ457594 WCN457511:WCN457594 VSR457511:VSR457594 VIV457511:VIV457594 UYZ457511:UYZ457594 UPD457511:UPD457594 UFH457511:UFH457594 TVL457511:TVL457594 TLP457511:TLP457594 TBT457511:TBT457594 SRX457511:SRX457594 SIB457511:SIB457594 RYF457511:RYF457594 ROJ457511:ROJ457594 REN457511:REN457594 QUR457511:QUR457594 QKV457511:QKV457594 QAZ457511:QAZ457594 PRD457511:PRD457594 PHH457511:PHH457594 OXL457511:OXL457594 ONP457511:ONP457594 ODT457511:ODT457594 NTX457511:NTX457594 NKB457511:NKB457594 NAF457511:NAF457594 MQJ457511:MQJ457594 MGN457511:MGN457594 LWR457511:LWR457594 LMV457511:LMV457594 LCZ457511:LCZ457594 KTD457511:KTD457594 KJH457511:KJH457594 JZL457511:JZL457594 JPP457511:JPP457594 JFT457511:JFT457594 IVX457511:IVX457594 IMB457511:IMB457594 ICF457511:ICF457594 HSJ457511:HSJ457594 HIN457511:HIN457594 GYR457511:GYR457594 GOV457511:GOV457594 GEZ457511:GEZ457594 FVD457511:FVD457594 FLH457511:FLH457594 FBL457511:FBL457594 ERP457511:ERP457594 EHT457511:EHT457594 DXX457511:DXX457594 DOB457511:DOB457594 DEF457511:DEF457594 CUJ457511:CUJ457594 CKN457511:CKN457594 CAR457511:CAR457594 BQV457511:BQV457594 BGZ457511:BGZ457594 AXD457511:AXD457594 ANH457511:ANH457594 ADL457511:ADL457594 TP457511:TP457594 JT457511:JT457594 X457511:X457594 WWF391975:WWF392058 WMJ391975:WMJ392058 WCN391975:WCN392058 VSR391975:VSR392058 VIV391975:VIV392058 UYZ391975:UYZ392058 UPD391975:UPD392058 UFH391975:UFH392058 TVL391975:TVL392058 TLP391975:TLP392058 TBT391975:TBT392058 SRX391975:SRX392058 SIB391975:SIB392058 RYF391975:RYF392058 ROJ391975:ROJ392058 REN391975:REN392058 QUR391975:QUR392058 QKV391975:QKV392058 QAZ391975:QAZ392058 PRD391975:PRD392058 PHH391975:PHH392058 OXL391975:OXL392058 ONP391975:ONP392058 ODT391975:ODT392058 NTX391975:NTX392058 NKB391975:NKB392058 NAF391975:NAF392058 MQJ391975:MQJ392058 MGN391975:MGN392058 LWR391975:LWR392058 LMV391975:LMV392058 LCZ391975:LCZ392058 KTD391975:KTD392058 KJH391975:KJH392058 JZL391975:JZL392058 JPP391975:JPP392058 JFT391975:JFT392058 IVX391975:IVX392058 IMB391975:IMB392058 ICF391975:ICF392058 HSJ391975:HSJ392058 HIN391975:HIN392058 GYR391975:GYR392058 GOV391975:GOV392058 GEZ391975:GEZ392058 FVD391975:FVD392058 FLH391975:FLH392058 FBL391975:FBL392058 ERP391975:ERP392058 EHT391975:EHT392058 DXX391975:DXX392058 DOB391975:DOB392058 DEF391975:DEF392058 CUJ391975:CUJ392058 CKN391975:CKN392058 CAR391975:CAR392058 BQV391975:BQV392058 BGZ391975:BGZ392058 AXD391975:AXD392058 ANH391975:ANH392058 ADL391975:ADL392058 TP391975:TP392058 JT391975:JT392058 X391975:X392058 WWF326439:WWF326522 WMJ326439:WMJ326522 WCN326439:WCN326522 VSR326439:VSR326522 VIV326439:VIV326522 UYZ326439:UYZ326522 UPD326439:UPD326522 UFH326439:UFH326522 TVL326439:TVL326522 TLP326439:TLP326522 TBT326439:TBT326522 SRX326439:SRX326522 SIB326439:SIB326522 RYF326439:RYF326522 ROJ326439:ROJ326522 REN326439:REN326522 QUR326439:QUR326522 QKV326439:QKV326522 QAZ326439:QAZ326522 PRD326439:PRD326522 PHH326439:PHH326522 OXL326439:OXL326522 ONP326439:ONP326522 ODT326439:ODT326522 NTX326439:NTX326522 NKB326439:NKB326522 NAF326439:NAF326522 MQJ326439:MQJ326522 MGN326439:MGN326522 LWR326439:LWR326522 LMV326439:LMV326522 LCZ326439:LCZ326522 KTD326439:KTD326522 KJH326439:KJH326522 JZL326439:JZL326522 JPP326439:JPP326522 JFT326439:JFT326522 IVX326439:IVX326522 IMB326439:IMB326522 ICF326439:ICF326522 HSJ326439:HSJ326522 HIN326439:HIN326522 GYR326439:GYR326522 GOV326439:GOV326522 GEZ326439:GEZ326522 FVD326439:FVD326522 FLH326439:FLH326522 FBL326439:FBL326522 ERP326439:ERP326522 EHT326439:EHT326522 DXX326439:DXX326522 DOB326439:DOB326522 DEF326439:DEF326522 CUJ326439:CUJ326522 CKN326439:CKN326522 CAR326439:CAR326522 BQV326439:BQV326522 BGZ326439:BGZ326522 AXD326439:AXD326522 ANH326439:ANH326522 ADL326439:ADL326522 TP326439:TP326522 JT326439:JT326522 X326439:X326522 WWF260903:WWF260986 WMJ260903:WMJ260986 WCN260903:WCN260986 VSR260903:VSR260986 VIV260903:VIV260986 UYZ260903:UYZ260986 UPD260903:UPD260986 UFH260903:UFH260986 TVL260903:TVL260986 TLP260903:TLP260986 TBT260903:TBT260986 SRX260903:SRX260986 SIB260903:SIB260986 RYF260903:RYF260986 ROJ260903:ROJ260986 REN260903:REN260986 QUR260903:QUR260986 QKV260903:QKV260986 QAZ260903:QAZ260986 PRD260903:PRD260986 PHH260903:PHH260986 OXL260903:OXL260986 ONP260903:ONP260986 ODT260903:ODT260986 NTX260903:NTX260986 NKB260903:NKB260986 NAF260903:NAF260986 MQJ260903:MQJ260986 MGN260903:MGN260986 LWR260903:LWR260986 LMV260903:LMV260986 LCZ260903:LCZ260986 KTD260903:KTD260986 KJH260903:KJH260986 JZL260903:JZL260986 JPP260903:JPP260986 JFT260903:JFT260986 IVX260903:IVX260986 IMB260903:IMB260986 ICF260903:ICF260986 HSJ260903:HSJ260986 HIN260903:HIN260986 GYR260903:GYR260986 GOV260903:GOV260986 GEZ260903:GEZ260986 FVD260903:FVD260986 FLH260903:FLH260986 FBL260903:FBL260986 ERP260903:ERP260986 EHT260903:EHT260986 DXX260903:DXX260986 DOB260903:DOB260986 DEF260903:DEF260986 CUJ260903:CUJ260986 CKN260903:CKN260986 CAR260903:CAR260986 BQV260903:BQV260986 BGZ260903:BGZ260986 AXD260903:AXD260986 ANH260903:ANH260986 ADL260903:ADL260986 TP260903:TP260986 JT260903:JT260986 X260903:X260986 WWF195367:WWF195450 WMJ195367:WMJ195450 WCN195367:WCN195450 VSR195367:VSR195450 VIV195367:VIV195450 UYZ195367:UYZ195450 UPD195367:UPD195450 UFH195367:UFH195450 TVL195367:TVL195450 TLP195367:TLP195450 TBT195367:TBT195450 SRX195367:SRX195450 SIB195367:SIB195450 RYF195367:RYF195450 ROJ195367:ROJ195450 REN195367:REN195450 QUR195367:QUR195450 QKV195367:QKV195450 QAZ195367:QAZ195450 PRD195367:PRD195450 PHH195367:PHH195450 OXL195367:OXL195450 ONP195367:ONP195450 ODT195367:ODT195450 NTX195367:NTX195450 NKB195367:NKB195450 NAF195367:NAF195450 MQJ195367:MQJ195450 MGN195367:MGN195450 LWR195367:LWR195450 LMV195367:LMV195450 LCZ195367:LCZ195450 KTD195367:KTD195450 KJH195367:KJH195450 JZL195367:JZL195450 JPP195367:JPP195450 JFT195367:JFT195450 IVX195367:IVX195450 IMB195367:IMB195450 ICF195367:ICF195450 HSJ195367:HSJ195450 HIN195367:HIN195450 GYR195367:GYR195450 GOV195367:GOV195450 GEZ195367:GEZ195450 FVD195367:FVD195450 FLH195367:FLH195450 FBL195367:FBL195450 ERP195367:ERP195450 EHT195367:EHT195450 DXX195367:DXX195450 DOB195367:DOB195450 DEF195367:DEF195450 CUJ195367:CUJ195450 CKN195367:CKN195450 CAR195367:CAR195450 BQV195367:BQV195450 BGZ195367:BGZ195450 AXD195367:AXD195450 ANH195367:ANH195450 ADL195367:ADL195450 TP195367:TP195450 JT195367:JT195450 X195367:X195450 WWF129831:WWF129914 WMJ129831:WMJ129914 WCN129831:WCN129914 VSR129831:VSR129914 VIV129831:VIV129914 UYZ129831:UYZ129914 UPD129831:UPD129914 UFH129831:UFH129914 TVL129831:TVL129914 TLP129831:TLP129914 TBT129831:TBT129914 SRX129831:SRX129914 SIB129831:SIB129914 RYF129831:RYF129914 ROJ129831:ROJ129914 REN129831:REN129914 QUR129831:QUR129914 QKV129831:QKV129914 QAZ129831:QAZ129914 PRD129831:PRD129914 PHH129831:PHH129914 OXL129831:OXL129914 ONP129831:ONP129914 ODT129831:ODT129914 NTX129831:NTX129914 NKB129831:NKB129914 NAF129831:NAF129914 MQJ129831:MQJ129914 MGN129831:MGN129914 LWR129831:LWR129914 LMV129831:LMV129914 LCZ129831:LCZ129914 KTD129831:KTD129914 KJH129831:KJH129914 JZL129831:JZL129914 JPP129831:JPP129914 JFT129831:JFT129914 IVX129831:IVX129914 IMB129831:IMB129914 ICF129831:ICF129914 HSJ129831:HSJ129914 HIN129831:HIN129914 GYR129831:GYR129914 GOV129831:GOV129914 GEZ129831:GEZ129914 FVD129831:FVD129914 FLH129831:FLH129914 FBL129831:FBL129914 ERP129831:ERP129914 EHT129831:EHT129914 DXX129831:DXX129914 DOB129831:DOB129914 DEF129831:DEF129914 CUJ129831:CUJ129914 CKN129831:CKN129914 CAR129831:CAR129914 BQV129831:BQV129914 BGZ129831:BGZ129914 AXD129831:AXD129914 ANH129831:ANH129914 ADL129831:ADL129914 TP129831:TP129914 JT129831:JT129914 X129831:X129914 WWF64295:WWF64378 WMJ64295:WMJ64378 WCN64295:WCN64378 VSR64295:VSR64378 VIV64295:VIV64378 UYZ64295:UYZ64378 UPD64295:UPD64378 UFH64295:UFH64378 TVL64295:TVL64378 TLP64295:TLP64378 TBT64295:TBT64378 SRX64295:SRX64378 SIB64295:SIB64378 RYF64295:RYF64378 ROJ64295:ROJ64378 REN64295:REN64378 QUR64295:QUR64378 QKV64295:QKV64378 QAZ64295:QAZ64378 PRD64295:PRD64378 PHH64295:PHH64378 OXL64295:OXL64378 ONP64295:ONP64378 ODT64295:ODT64378 NTX64295:NTX64378 NKB64295:NKB64378 NAF64295:NAF64378 MQJ64295:MQJ64378 MGN64295:MGN64378 LWR64295:LWR64378 LMV64295:LMV64378 LCZ64295:LCZ64378 KTD64295:KTD64378 KJH64295:KJH64378 JZL64295:JZL64378 JPP64295:JPP64378 JFT64295:JFT64378 IVX64295:IVX64378 IMB64295:IMB64378 ICF64295:ICF64378 HSJ64295:HSJ64378 HIN64295:HIN64378 GYR64295:GYR64378 GOV64295:GOV64378 GEZ64295:GEZ64378 FVD64295:FVD64378 FLH64295:FLH64378 FBL64295:FBL64378 ERP64295:ERP64378 EHT64295:EHT64378 DXX64295:DXX64378 DOB64295:DOB64378 DEF64295:DEF64378 CUJ64295:CUJ64378 CKN64295:CKN64378 CAR64295:CAR64378 BQV64295:BQV64378 BGZ64295:BGZ64378 AXD64295:AXD64378 ANH64295:ANH64378 ADL64295:ADL64378 TP64295:TP64378 JT64295:JT64378 X64295:X64378 X90:X494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88" xr:uid="{F88E69FA-3021-49AF-80F6-EE6FB8F43586}">
      <formula1>$AT$2:$AT$3</formula1>
    </dataValidation>
    <dataValidation operator="equal" allowBlank="1" showInputMessage="1" showErrorMessage="1" sqref="WVJ981799:WVJ981888 WLN981799:WLN981888 WBR981799:WBR981888 VRV981799:VRV981888 VHZ981799:VHZ981888 UYD981799:UYD981888 UOH981799:UOH981888 UEL981799:UEL981888 TUP981799:TUP981888 TKT981799:TKT981888 TAX981799:TAX981888 SRB981799:SRB981888 SHF981799:SHF981888 RXJ981799:RXJ981888 RNN981799:RNN981888 RDR981799:RDR981888 QTV981799:QTV981888 QJZ981799:QJZ981888 QAD981799:QAD981888 PQH981799:PQH981888 PGL981799:PGL981888 OWP981799:OWP981888 OMT981799:OMT981888 OCX981799:OCX981888 NTB981799:NTB981888 NJF981799:NJF981888 MZJ981799:MZJ981888 MPN981799:MPN981888 MFR981799:MFR981888 LVV981799:LVV981888 LLZ981799:LLZ981888 LCD981799:LCD981888 KSH981799:KSH981888 KIL981799:KIL981888 JYP981799:JYP981888 JOT981799:JOT981888 JEX981799:JEX981888 IVB981799:IVB981888 ILF981799:ILF981888 IBJ981799:IBJ981888 HRN981799:HRN981888 HHR981799:HHR981888 GXV981799:GXV981888 GNZ981799:GNZ981888 GED981799:GED981888 FUH981799:FUH981888 FKL981799:FKL981888 FAP981799:FAP981888 EQT981799:EQT981888 EGX981799:EGX981888 DXB981799:DXB981888 DNF981799:DNF981888 DDJ981799:DDJ981888 CTN981799:CTN981888 CJR981799:CJR981888 BZV981799:BZV981888 BPZ981799:BPZ981888 BGD981799:BGD981888 AWH981799:AWH981888 AML981799:AML981888 ACP981799:ACP981888 ST981799:ST981888 IX981799:IX981888 B981805:B981894 WVJ916263:WVJ916352 WLN916263:WLN916352 WBR916263:WBR916352 VRV916263:VRV916352 VHZ916263:VHZ916352 UYD916263:UYD916352 UOH916263:UOH916352 UEL916263:UEL916352 TUP916263:TUP916352 TKT916263:TKT916352 TAX916263:TAX916352 SRB916263:SRB916352 SHF916263:SHF916352 RXJ916263:RXJ916352 RNN916263:RNN916352 RDR916263:RDR916352 QTV916263:QTV916352 QJZ916263:QJZ916352 QAD916263:QAD916352 PQH916263:PQH916352 PGL916263:PGL916352 OWP916263:OWP916352 OMT916263:OMT916352 OCX916263:OCX916352 NTB916263:NTB916352 NJF916263:NJF916352 MZJ916263:MZJ916352 MPN916263:MPN916352 MFR916263:MFR916352 LVV916263:LVV916352 LLZ916263:LLZ916352 LCD916263:LCD916352 KSH916263:KSH916352 KIL916263:KIL916352 JYP916263:JYP916352 JOT916263:JOT916352 JEX916263:JEX916352 IVB916263:IVB916352 ILF916263:ILF916352 IBJ916263:IBJ916352 HRN916263:HRN916352 HHR916263:HHR916352 GXV916263:GXV916352 GNZ916263:GNZ916352 GED916263:GED916352 FUH916263:FUH916352 FKL916263:FKL916352 FAP916263:FAP916352 EQT916263:EQT916352 EGX916263:EGX916352 DXB916263:DXB916352 DNF916263:DNF916352 DDJ916263:DDJ916352 CTN916263:CTN916352 CJR916263:CJR916352 BZV916263:BZV916352 BPZ916263:BPZ916352 BGD916263:BGD916352 AWH916263:AWH916352 AML916263:AML916352 ACP916263:ACP916352 ST916263:ST916352 IX916263:IX916352 B916269:B916358 WVJ850727:WVJ850816 WLN850727:WLN850816 WBR850727:WBR850816 VRV850727:VRV850816 VHZ850727:VHZ850816 UYD850727:UYD850816 UOH850727:UOH850816 UEL850727:UEL850816 TUP850727:TUP850816 TKT850727:TKT850816 TAX850727:TAX850816 SRB850727:SRB850816 SHF850727:SHF850816 RXJ850727:RXJ850816 RNN850727:RNN850816 RDR850727:RDR850816 QTV850727:QTV850816 QJZ850727:QJZ850816 QAD850727:QAD850816 PQH850727:PQH850816 PGL850727:PGL850816 OWP850727:OWP850816 OMT850727:OMT850816 OCX850727:OCX850816 NTB850727:NTB850816 NJF850727:NJF850816 MZJ850727:MZJ850816 MPN850727:MPN850816 MFR850727:MFR850816 LVV850727:LVV850816 LLZ850727:LLZ850816 LCD850727:LCD850816 KSH850727:KSH850816 KIL850727:KIL850816 JYP850727:JYP850816 JOT850727:JOT850816 JEX850727:JEX850816 IVB850727:IVB850816 ILF850727:ILF850816 IBJ850727:IBJ850816 HRN850727:HRN850816 HHR850727:HHR850816 GXV850727:GXV850816 GNZ850727:GNZ850816 GED850727:GED850816 FUH850727:FUH850816 FKL850727:FKL850816 FAP850727:FAP850816 EQT850727:EQT850816 EGX850727:EGX850816 DXB850727:DXB850816 DNF850727:DNF850816 DDJ850727:DDJ850816 CTN850727:CTN850816 CJR850727:CJR850816 BZV850727:BZV850816 BPZ850727:BPZ850816 BGD850727:BGD850816 AWH850727:AWH850816 AML850727:AML850816 ACP850727:ACP850816 ST850727:ST850816 IX850727:IX850816 B850733:B850822 WVJ785191:WVJ785280 WLN785191:WLN785280 WBR785191:WBR785280 VRV785191:VRV785280 VHZ785191:VHZ785280 UYD785191:UYD785280 UOH785191:UOH785280 UEL785191:UEL785280 TUP785191:TUP785280 TKT785191:TKT785280 TAX785191:TAX785280 SRB785191:SRB785280 SHF785191:SHF785280 RXJ785191:RXJ785280 RNN785191:RNN785280 RDR785191:RDR785280 QTV785191:QTV785280 QJZ785191:QJZ785280 QAD785191:QAD785280 PQH785191:PQH785280 PGL785191:PGL785280 OWP785191:OWP785280 OMT785191:OMT785280 OCX785191:OCX785280 NTB785191:NTB785280 NJF785191:NJF785280 MZJ785191:MZJ785280 MPN785191:MPN785280 MFR785191:MFR785280 LVV785191:LVV785280 LLZ785191:LLZ785280 LCD785191:LCD785280 KSH785191:KSH785280 KIL785191:KIL785280 JYP785191:JYP785280 JOT785191:JOT785280 JEX785191:JEX785280 IVB785191:IVB785280 ILF785191:ILF785280 IBJ785191:IBJ785280 HRN785191:HRN785280 HHR785191:HHR785280 GXV785191:GXV785280 GNZ785191:GNZ785280 GED785191:GED785280 FUH785191:FUH785280 FKL785191:FKL785280 FAP785191:FAP785280 EQT785191:EQT785280 EGX785191:EGX785280 DXB785191:DXB785280 DNF785191:DNF785280 DDJ785191:DDJ785280 CTN785191:CTN785280 CJR785191:CJR785280 BZV785191:BZV785280 BPZ785191:BPZ785280 BGD785191:BGD785280 AWH785191:AWH785280 AML785191:AML785280 ACP785191:ACP785280 ST785191:ST785280 IX785191:IX785280 B785197:B785286 WVJ719655:WVJ719744 WLN719655:WLN719744 WBR719655:WBR719744 VRV719655:VRV719744 VHZ719655:VHZ719744 UYD719655:UYD719744 UOH719655:UOH719744 UEL719655:UEL719744 TUP719655:TUP719744 TKT719655:TKT719744 TAX719655:TAX719744 SRB719655:SRB719744 SHF719655:SHF719744 RXJ719655:RXJ719744 RNN719655:RNN719744 RDR719655:RDR719744 QTV719655:QTV719744 QJZ719655:QJZ719744 QAD719655:QAD719744 PQH719655:PQH719744 PGL719655:PGL719744 OWP719655:OWP719744 OMT719655:OMT719744 OCX719655:OCX719744 NTB719655:NTB719744 NJF719655:NJF719744 MZJ719655:MZJ719744 MPN719655:MPN719744 MFR719655:MFR719744 LVV719655:LVV719744 LLZ719655:LLZ719744 LCD719655:LCD719744 KSH719655:KSH719744 KIL719655:KIL719744 JYP719655:JYP719744 JOT719655:JOT719744 JEX719655:JEX719744 IVB719655:IVB719744 ILF719655:ILF719744 IBJ719655:IBJ719744 HRN719655:HRN719744 HHR719655:HHR719744 GXV719655:GXV719744 GNZ719655:GNZ719744 GED719655:GED719744 FUH719655:FUH719744 FKL719655:FKL719744 FAP719655:FAP719744 EQT719655:EQT719744 EGX719655:EGX719744 DXB719655:DXB719744 DNF719655:DNF719744 DDJ719655:DDJ719744 CTN719655:CTN719744 CJR719655:CJR719744 BZV719655:BZV719744 BPZ719655:BPZ719744 BGD719655:BGD719744 AWH719655:AWH719744 AML719655:AML719744 ACP719655:ACP719744 ST719655:ST719744 IX719655:IX719744 B719661:B719750 WVJ654119:WVJ654208 WLN654119:WLN654208 WBR654119:WBR654208 VRV654119:VRV654208 VHZ654119:VHZ654208 UYD654119:UYD654208 UOH654119:UOH654208 UEL654119:UEL654208 TUP654119:TUP654208 TKT654119:TKT654208 TAX654119:TAX654208 SRB654119:SRB654208 SHF654119:SHF654208 RXJ654119:RXJ654208 RNN654119:RNN654208 RDR654119:RDR654208 QTV654119:QTV654208 QJZ654119:QJZ654208 QAD654119:QAD654208 PQH654119:PQH654208 PGL654119:PGL654208 OWP654119:OWP654208 OMT654119:OMT654208 OCX654119:OCX654208 NTB654119:NTB654208 NJF654119:NJF654208 MZJ654119:MZJ654208 MPN654119:MPN654208 MFR654119:MFR654208 LVV654119:LVV654208 LLZ654119:LLZ654208 LCD654119:LCD654208 KSH654119:KSH654208 KIL654119:KIL654208 JYP654119:JYP654208 JOT654119:JOT654208 JEX654119:JEX654208 IVB654119:IVB654208 ILF654119:ILF654208 IBJ654119:IBJ654208 HRN654119:HRN654208 HHR654119:HHR654208 GXV654119:GXV654208 GNZ654119:GNZ654208 GED654119:GED654208 FUH654119:FUH654208 FKL654119:FKL654208 FAP654119:FAP654208 EQT654119:EQT654208 EGX654119:EGX654208 DXB654119:DXB654208 DNF654119:DNF654208 DDJ654119:DDJ654208 CTN654119:CTN654208 CJR654119:CJR654208 BZV654119:BZV654208 BPZ654119:BPZ654208 BGD654119:BGD654208 AWH654119:AWH654208 AML654119:AML654208 ACP654119:ACP654208 ST654119:ST654208 IX654119:IX654208 B654125:B654214 WVJ588583:WVJ588672 WLN588583:WLN588672 WBR588583:WBR588672 VRV588583:VRV588672 VHZ588583:VHZ588672 UYD588583:UYD588672 UOH588583:UOH588672 UEL588583:UEL588672 TUP588583:TUP588672 TKT588583:TKT588672 TAX588583:TAX588672 SRB588583:SRB588672 SHF588583:SHF588672 RXJ588583:RXJ588672 RNN588583:RNN588672 RDR588583:RDR588672 QTV588583:QTV588672 QJZ588583:QJZ588672 QAD588583:QAD588672 PQH588583:PQH588672 PGL588583:PGL588672 OWP588583:OWP588672 OMT588583:OMT588672 OCX588583:OCX588672 NTB588583:NTB588672 NJF588583:NJF588672 MZJ588583:MZJ588672 MPN588583:MPN588672 MFR588583:MFR588672 LVV588583:LVV588672 LLZ588583:LLZ588672 LCD588583:LCD588672 KSH588583:KSH588672 KIL588583:KIL588672 JYP588583:JYP588672 JOT588583:JOT588672 JEX588583:JEX588672 IVB588583:IVB588672 ILF588583:ILF588672 IBJ588583:IBJ588672 HRN588583:HRN588672 HHR588583:HHR588672 GXV588583:GXV588672 GNZ588583:GNZ588672 GED588583:GED588672 FUH588583:FUH588672 FKL588583:FKL588672 FAP588583:FAP588672 EQT588583:EQT588672 EGX588583:EGX588672 DXB588583:DXB588672 DNF588583:DNF588672 DDJ588583:DDJ588672 CTN588583:CTN588672 CJR588583:CJR588672 BZV588583:BZV588672 BPZ588583:BPZ588672 BGD588583:BGD588672 AWH588583:AWH588672 AML588583:AML588672 ACP588583:ACP588672 ST588583:ST588672 IX588583:IX588672 B588589:B588678 WVJ523047:WVJ523136 WLN523047:WLN523136 WBR523047:WBR523136 VRV523047:VRV523136 VHZ523047:VHZ523136 UYD523047:UYD523136 UOH523047:UOH523136 UEL523047:UEL523136 TUP523047:TUP523136 TKT523047:TKT523136 TAX523047:TAX523136 SRB523047:SRB523136 SHF523047:SHF523136 RXJ523047:RXJ523136 RNN523047:RNN523136 RDR523047:RDR523136 QTV523047:QTV523136 QJZ523047:QJZ523136 QAD523047:QAD523136 PQH523047:PQH523136 PGL523047:PGL523136 OWP523047:OWP523136 OMT523047:OMT523136 OCX523047:OCX523136 NTB523047:NTB523136 NJF523047:NJF523136 MZJ523047:MZJ523136 MPN523047:MPN523136 MFR523047:MFR523136 LVV523047:LVV523136 LLZ523047:LLZ523136 LCD523047:LCD523136 KSH523047:KSH523136 KIL523047:KIL523136 JYP523047:JYP523136 JOT523047:JOT523136 JEX523047:JEX523136 IVB523047:IVB523136 ILF523047:ILF523136 IBJ523047:IBJ523136 HRN523047:HRN523136 HHR523047:HHR523136 GXV523047:GXV523136 GNZ523047:GNZ523136 GED523047:GED523136 FUH523047:FUH523136 FKL523047:FKL523136 FAP523047:FAP523136 EQT523047:EQT523136 EGX523047:EGX523136 DXB523047:DXB523136 DNF523047:DNF523136 DDJ523047:DDJ523136 CTN523047:CTN523136 CJR523047:CJR523136 BZV523047:BZV523136 BPZ523047:BPZ523136 BGD523047:BGD523136 AWH523047:AWH523136 AML523047:AML523136 ACP523047:ACP523136 ST523047:ST523136 IX523047:IX523136 B523053:B523142 WVJ457511:WVJ457600 WLN457511:WLN457600 WBR457511:WBR457600 VRV457511:VRV457600 VHZ457511:VHZ457600 UYD457511:UYD457600 UOH457511:UOH457600 UEL457511:UEL457600 TUP457511:TUP457600 TKT457511:TKT457600 TAX457511:TAX457600 SRB457511:SRB457600 SHF457511:SHF457600 RXJ457511:RXJ457600 RNN457511:RNN457600 RDR457511:RDR457600 QTV457511:QTV457600 QJZ457511:QJZ457600 QAD457511:QAD457600 PQH457511:PQH457600 PGL457511:PGL457600 OWP457511:OWP457600 OMT457511:OMT457600 OCX457511:OCX457600 NTB457511:NTB457600 NJF457511:NJF457600 MZJ457511:MZJ457600 MPN457511:MPN457600 MFR457511:MFR457600 LVV457511:LVV457600 LLZ457511:LLZ457600 LCD457511:LCD457600 KSH457511:KSH457600 KIL457511:KIL457600 JYP457511:JYP457600 JOT457511:JOT457600 JEX457511:JEX457600 IVB457511:IVB457600 ILF457511:ILF457600 IBJ457511:IBJ457600 HRN457511:HRN457600 HHR457511:HHR457600 GXV457511:GXV457600 GNZ457511:GNZ457600 GED457511:GED457600 FUH457511:FUH457600 FKL457511:FKL457600 FAP457511:FAP457600 EQT457511:EQT457600 EGX457511:EGX457600 DXB457511:DXB457600 DNF457511:DNF457600 DDJ457511:DDJ457600 CTN457511:CTN457600 CJR457511:CJR457600 BZV457511:BZV457600 BPZ457511:BPZ457600 BGD457511:BGD457600 AWH457511:AWH457600 AML457511:AML457600 ACP457511:ACP457600 ST457511:ST457600 IX457511:IX457600 B457517:B457606 WVJ391975:WVJ392064 WLN391975:WLN392064 WBR391975:WBR392064 VRV391975:VRV392064 VHZ391975:VHZ392064 UYD391975:UYD392064 UOH391975:UOH392064 UEL391975:UEL392064 TUP391975:TUP392064 TKT391975:TKT392064 TAX391975:TAX392064 SRB391975:SRB392064 SHF391975:SHF392064 RXJ391975:RXJ392064 RNN391975:RNN392064 RDR391975:RDR392064 QTV391975:QTV392064 QJZ391975:QJZ392064 QAD391975:QAD392064 PQH391975:PQH392064 PGL391975:PGL392064 OWP391975:OWP392064 OMT391975:OMT392064 OCX391975:OCX392064 NTB391975:NTB392064 NJF391975:NJF392064 MZJ391975:MZJ392064 MPN391975:MPN392064 MFR391975:MFR392064 LVV391975:LVV392064 LLZ391975:LLZ392064 LCD391975:LCD392064 KSH391975:KSH392064 KIL391975:KIL392064 JYP391975:JYP392064 JOT391975:JOT392064 JEX391975:JEX392064 IVB391975:IVB392064 ILF391975:ILF392064 IBJ391975:IBJ392064 HRN391975:HRN392064 HHR391975:HHR392064 GXV391975:GXV392064 GNZ391975:GNZ392064 GED391975:GED392064 FUH391975:FUH392064 FKL391975:FKL392064 FAP391975:FAP392064 EQT391975:EQT392064 EGX391975:EGX392064 DXB391975:DXB392064 DNF391975:DNF392064 DDJ391975:DDJ392064 CTN391975:CTN392064 CJR391975:CJR392064 BZV391975:BZV392064 BPZ391975:BPZ392064 BGD391975:BGD392064 AWH391975:AWH392064 AML391975:AML392064 ACP391975:ACP392064 ST391975:ST392064 IX391975:IX392064 B391981:B392070 WVJ326439:WVJ326528 WLN326439:WLN326528 WBR326439:WBR326528 VRV326439:VRV326528 VHZ326439:VHZ326528 UYD326439:UYD326528 UOH326439:UOH326528 UEL326439:UEL326528 TUP326439:TUP326528 TKT326439:TKT326528 TAX326439:TAX326528 SRB326439:SRB326528 SHF326439:SHF326528 RXJ326439:RXJ326528 RNN326439:RNN326528 RDR326439:RDR326528 QTV326439:QTV326528 QJZ326439:QJZ326528 QAD326439:QAD326528 PQH326439:PQH326528 PGL326439:PGL326528 OWP326439:OWP326528 OMT326439:OMT326528 OCX326439:OCX326528 NTB326439:NTB326528 NJF326439:NJF326528 MZJ326439:MZJ326528 MPN326439:MPN326528 MFR326439:MFR326528 LVV326439:LVV326528 LLZ326439:LLZ326528 LCD326439:LCD326528 KSH326439:KSH326528 KIL326439:KIL326528 JYP326439:JYP326528 JOT326439:JOT326528 JEX326439:JEX326528 IVB326439:IVB326528 ILF326439:ILF326528 IBJ326439:IBJ326528 HRN326439:HRN326528 HHR326439:HHR326528 GXV326439:GXV326528 GNZ326439:GNZ326528 GED326439:GED326528 FUH326439:FUH326528 FKL326439:FKL326528 FAP326439:FAP326528 EQT326439:EQT326528 EGX326439:EGX326528 DXB326439:DXB326528 DNF326439:DNF326528 DDJ326439:DDJ326528 CTN326439:CTN326528 CJR326439:CJR326528 BZV326439:BZV326528 BPZ326439:BPZ326528 BGD326439:BGD326528 AWH326439:AWH326528 AML326439:AML326528 ACP326439:ACP326528 ST326439:ST326528 IX326439:IX326528 B326445:B326534 WVJ260903:WVJ260992 WLN260903:WLN260992 WBR260903:WBR260992 VRV260903:VRV260992 VHZ260903:VHZ260992 UYD260903:UYD260992 UOH260903:UOH260992 UEL260903:UEL260992 TUP260903:TUP260992 TKT260903:TKT260992 TAX260903:TAX260992 SRB260903:SRB260992 SHF260903:SHF260992 RXJ260903:RXJ260992 RNN260903:RNN260992 RDR260903:RDR260992 QTV260903:QTV260992 QJZ260903:QJZ260992 QAD260903:QAD260992 PQH260903:PQH260992 PGL260903:PGL260992 OWP260903:OWP260992 OMT260903:OMT260992 OCX260903:OCX260992 NTB260903:NTB260992 NJF260903:NJF260992 MZJ260903:MZJ260992 MPN260903:MPN260992 MFR260903:MFR260992 LVV260903:LVV260992 LLZ260903:LLZ260992 LCD260903:LCD260992 KSH260903:KSH260992 KIL260903:KIL260992 JYP260903:JYP260992 JOT260903:JOT260992 JEX260903:JEX260992 IVB260903:IVB260992 ILF260903:ILF260992 IBJ260903:IBJ260992 HRN260903:HRN260992 HHR260903:HHR260992 GXV260903:GXV260992 GNZ260903:GNZ260992 GED260903:GED260992 FUH260903:FUH260992 FKL260903:FKL260992 FAP260903:FAP260992 EQT260903:EQT260992 EGX260903:EGX260992 DXB260903:DXB260992 DNF260903:DNF260992 DDJ260903:DDJ260992 CTN260903:CTN260992 CJR260903:CJR260992 BZV260903:BZV260992 BPZ260903:BPZ260992 BGD260903:BGD260992 AWH260903:AWH260992 AML260903:AML260992 ACP260903:ACP260992 ST260903:ST260992 IX260903:IX260992 B260909:B260998 WVJ195367:WVJ195456 WLN195367:WLN195456 WBR195367:WBR195456 VRV195367:VRV195456 VHZ195367:VHZ195456 UYD195367:UYD195456 UOH195367:UOH195456 UEL195367:UEL195456 TUP195367:TUP195456 TKT195367:TKT195456 TAX195367:TAX195456 SRB195367:SRB195456 SHF195367:SHF195456 RXJ195367:RXJ195456 RNN195367:RNN195456 RDR195367:RDR195456 QTV195367:QTV195456 QJZ195367:QJZ195456 QAD195367:QAD195456 PQH195367:PQH195456 PGL195367:PGL195456 OWP195367:OWP195456 OMT195367:OMT195456 OCX195367:OCX195456 NTB195367:NTB195456 NJF195367:NJF195456 MZJ195367:MZJ195456 MPN195367:MPN195456 MFR195367:MFR195456 LVV195367:LVV195456 LLZ195367:LLZ195456 LCD195367:LCD195456 KSH195367:KSH195456 KIL195367:KIL195456 JYP195367:JYP195456 JOT195367:JOT195456 JEX195367:JEX195456 IVB195367:IVB195456 ILF195367:ILF195456 IBJ195367:IBJ195456 HRN195367:HRN195456 HHR195367:HHR195456 GXV195367:GXV195456 GNZ195367:GNZ195456 GED195367:GED195456 FUH195367:FUH195456 FKL195367:FKL195456 FAP195367:FAP195456 EQT195367:EQT195456 EGX195367:EGX195456 DXB195367:DXB195456 DNF195367:DNF195456 DDJ195367:DDJ195456 CTN195367:CTN195456 CJR195367:CJR195456 BZV195367:BZV195456 BPZ195367:BPZ195456 BGD195367:BGD195456 AWH195367:AWH195456 AML195367:AML195456 ACP195367:ACP195456 ST195367:ST195456 IX195367:IX195456 B195373:B195462 WVJ129831:WVJ129920 WLN129831:WLN129920 WBR129831:WBR129920 VRV129831:VRV129920 VHZ129831:VHZ129920 UYD129831:UYD129920 UOH129831:UOH129920 UEL129831:UEL129920 TUP129831:TUP129920 TKT129831:TKT129920 TAX129831:TAX129920 SRB129831:SRB129920 SHF129831:SHF129920 RXJ129831:RXJ129920 RNN129831:RNN129920 RDR129831:RDR129920 QTV129831:QTV129920 QJZ129831:QJZ129920 QAD129831:QAD129920 PQH129831:PQH129920 PGL129831:PGL129920 OWP129831:OWP129920 OMT129831:OMT129920 OCX129831:OCX129920 NTB129831:NTB129920 NJF129831:NJF129920 MZJ129831:MZJ129920 MPN129831:MPN129920 MFR129831:MFR129920 LVV129831:LVV129920 LLZ129831:LLZ129920 LCD129831:LCD129920 KSH129831:KSH129920 KIL129831:KIL129920 JYP129831:JYP129920 JOT129831:JOT129920 JEX129831:JEX129920 IVB129831:IVB129920 ILF129831:ILF129920 IBJ129831:IBJ129920 HRN129831:HRN129920 HHR129831:HHR129920 GXV129831:GXV129920 GNZ129831:GNZ129920 GED129831:GED129920 FUH129831:FUH129920 FKL129831:FKL129920 FAP129831:FAP129920 EQT129831:EQT129920 EGX129831:EGX129920 DXB129831:DXB129920 DNF129831:DNF129920 DDJ129831:DDJ129920 CTN129831:CTN129920 CJR129831:CJR129920 BZV129831:BZV129920 BPZ129831:BPZ129920 BGD129831:BGD129920 AWH129831:AWH129920 AML129831:AML129920 ACP129831:ACP129920 ST129831:ST129920 IX129831:IX129920 B129837:B129926 WVJ64295:WVJ64384 WLN64295:WLN64384 WBR64295:WBR64384 VRV64295:VRV64384 VHZ64295:VHZ64384 UYD64295:UYD64384 UOH64295:UOH64384 UEL64295:UEL64384 TUP64295:TUP64384 TKT64295:TKT64384 TAX64295:TAX64384 SRB64295:SRB64384 SHF64295:SHF64384 RXJ64295:RXJ64384 RNN64295:RNN64384 RDR64295:RDR64384 QTV64295:QTV64384 QJZ64295:QJZ64384 QAD64295:QAD64384 PQH64295:PQH64384 PGL64295:PGL64384 OWP64295:OWP64384 OMT64295:OMT64384 OCX64295:OCX64384 NTB64295:NTB64384 NJF64295:NJF64384 MZJ64295:MZJ64384 MPN64295:MPN64384 MFR64295:MFR64384 LVV64295:LVV64384 LLZ64295:LLZ64384 LCD64295:LCD64384 KSH64295:KSH64384 KIL64295:KIL64384 JYP64295:JYP64384 JOT64295:JOT64384 JEX64295:JEX64384 IVB64295:IVB64384 ILF64295:ILF64384 IBJ64295:IBJ64384 HRN64295:HRN64384 HHR64295:HHR64384 GXV64295:GXV64384 GNZ64295:GNZ64384 GED64295:GED64384 FUH64295:FUH64384 FKL64295:FKL64384 FAP64295:FAP64384 EQT64295:EQT64384 EGX64295:EGX64384 DXB64295:DXB64384 DNF64295:DNF64384 DDJ64295:DDJ64384 CTN64295:CTN64384 CJR64295:CJR64384 BZV64295:BZV64384 BPZ64295:BPZ64384 BGD64295:BGD64384 AWH64295:AWH64384 AML64295:AML64384 ACP64295:ACP64384 ST64295:ST64384 IX64295:IX64384 B64301:B64390 B90:B106 B2:B88 ST2:ST67 ACP2:ACP67 AML2:AML67 AWH2:AWH67 BGD2:BGD67 BPZ2:BPZ67 BZV2:BZV67 CJR2:CJR67 CTN2:CTN67 DDJ2:DDJ67 DNF2:DNF67 DXB2:DXB67 EGX2:EGX67 EQT2:EQT67 FAP2:FAP67 FKL2:FKL67 FUH2:FUH67 GED2:GED67 GNZ2:GNZ67 GXV2:GXV67 HHR2:HHR67 HRN2:HRN67 IBJ2:IBJ67 ILF2:ILF67 IVB2:IVB67 JEX2:JEX67 JOT2:JOT67 JYP2:JYP67 KIL2:KIL67 KSH2:KSH67 LCD2:LCD67 LLZ2:LLZ67 LVV2:LVV67 MFR2:MFR67 MPN2:MPN67 MZJ2:MZJ67 NJF2:NJF67 NTB2:NTB67 OCX2:OCX67 OMT2:OMT67 OWP2:OWP67 PGL2:PGL67 PQH2:PQH67 QAD2:QAD67 QJZ2:QJZ67 QTV2:QTV67 RDR2:RDR67 RNN2:RNN67 RXJ2:RXJ67 SHF2:SHF67 SRB2:SRB67 TAX2:TAX67 TKT2:TKT67 TUP2:TUP67 UEL2:UEL67 UOH2:UOH67 UYD2:UYD67 VHZ2:VHZ67 VRV2:VRV67 WBR2:WBR67 WLN2:WLN67 WVJ2:WVJ67 IX2:IX67" xr:uid="{AEB1DBBF-9DDA-4AAB-B57A-0FB98311E91A}"/>
    <dataValidation type="list" allowBlank="1" showInputMessage="1" showErrorMessage="1" sqref="WVI981799:WVI981888 WLM981799:WLM981888 WBQ981799:WBQ981888 VRU981799:VRU981888 VHY981799:VHY981888 UYC981799:UYC981888 UOG981799:UOG981888 UEK981799:UEK981888 TUO981799:TUO981888 TKS981799:TKS981888 TAW981799:TAW981888 SRA981799:SRA981888 SHE981799:SHE981888 RXI981799:RXI981888 RNM981799:RNM981888 RDQ981799:RDQ981888 QTU981799:QTU981888 QJY981799:QJY981888 QAC981799:QAC981888 PQG981799:PQG981888 PGK981799:PGK981888 OWO981799:OWO981888 OMS981799:OMS981888 OCW981799:OCW981888 NTA981799:NTA981888 NJE981799:NJE981888 MZI981799:MZI981888 MPM981799:MPM981888 MFQ981799:MFQ981888 LVU981799:LVU981888 LLY981799:LLY981888 LCC981799:LCC981888 KSG981799:KSG981888 KIK981799:KIK981888 JYO981799:JYO981888 JOS981799:JOS981888 JEW981799:JEW981888 IVA981799:IVA981888 ILE981799:ILE981888 IBI981799:IBI981888 HRM981799:HRM981888 HHQ981799:HHQ981888 GXU981799:GXU981888 GNY981799:GNY981888 GEC981799:GEC981888 FUG981799:FUG981888 FKK981799:FKK981888 FAO981799:FAO981888 EQS981799:EQS981888 EGW981799:EGW981888 DXA981799:DXA981888 DNE981799:DNE981888 DDI981799:DDI981888 CTM981799:CTM981888 CJQ981799:CJQ981888 BZU981799:BZU981888 BPY981799:BPY981888 BGC981799:BGC981888 AWG981799:AWG981888 AMK981799:AMK981888 ACO981799:ACO981888 SS981799:SS981888 IW981799:IW981888 A981805:A981894 WVI916263:WVI916352 WLM916263:WLM916352 WBQ916263:WBQ916352 VRU916263:VRU916352 VHY916263:VHY916352 UYC916263:UYC916352 UOG916263:UOG916352 UEK916263:UEK916352 TUO916263:TUO916352 TKS916263:TKS916352 TAW916263:TAW916352 SRA916263:SRA916352 SHE916263:SHE916352 RXI916263:RXI916352 RNM916263:RNM916352 RDQ916263:RDQ916352 QTU916263:QTU916352 QJY916263:QJY916352 QAC916263:QAC916352 PQG916263:PQG916352 PGK916263:PGK916352 OWO916263:OWO916352 OMS916263:OMS916352 OCW916263:OCW916352 NTA916263:NTA916352 NJE916263:NJE916352 MZI916263:MZI916352 MPM916263:MPM916352 MFQ916263:MFQ916352 LVU916263:LVU916352 LLY916263:LLY916352 LCC916263:LCC916352 KSG916263:KSG916352 KIK916263:KIK916352 JYO916263:JYO916352 JOS916263:JOS916352 JEW916263:JEW916352 IVA916263:IVA916352 ILE916263:ILE916352 IBI916263:IBI916352 HRM916263:HRM916352 HHQ916263:HHQ916352 GXU916263:GXU916352 GNY916263:GNY916352 GEC916263:GEC916352 FUG916263:FUG916352 FKK916263:FKK916352 FAO916263:FAO916352 EQS916263:EQS916352 EGW916263:EGW916352 DXA916263:DXA916352 DNE916263:DNE916352 DDI916263:DDI916352 CTM916263:CTM916352 CJQ916263:CJQ916352 BZU916263:BZU916352 BPY916263:BPY916352 BGC916263:BGC916352 AWG916263:AWG916352 AMK916263:AMK916352 ACO916263:ACO916352 SS916263:SS916352 IW916263:IW916352 A916269:A916358 WVI850727:WVI850816 WLM850727:WLM850816 WBQ850727:WBQ850816 VRU850727:VRU850816 VHY850727:VHY850816 UYC850727:UYC850816 UOG850727:UOG850816 UEK850727:UEK850816 TUO850727:TUO850816 TKS850727:TKS850816 TAW850727:TAW850816 SRA850727:SRA850816 SHE850727:SHE850816 RXI850727:RXI850816 RNM850727:RNM850816 RDQ850727:RDQ850816 QTU850727:QTU850816 QJY850727:QJY850816 QAC850727:QAC850816 PQG850727:PQG850816 PGK850727:PGK850816 OWO850727:OWO850816 OMS850727:OMS850816 OCW850727:OCW850816 NTA850727:NTA850816 NJE850727:NJE850816 MZI850727:MZI850816 MPM850727:MPM850816 MFQ850727:MFQ850816 LVU850727:LVU850816 LLY850727:LLY850816 LCC850727:LCC850816 KSG850727:KSG850816 KIK850727:KIK850816 JYO850727:JYO850816 JOS850727:JOS850816 JEW850727:JEW850816 IVA850727:IVA850816 ILE850727:ILE850816 IBI850727:IBI850816 HRM850727:HRM850816 HHQ850727:HHQ850816 GXU850727:GXU850816 GNY850727:GNY850816 GEC850727:GEC850816 FUG850727:FUG850816 FKK850727:FKK850816 FAO850727:FAO850816 EQS850727:EQS850816 EGW850727:EGW850816 DXA850727:DXA850816 DNE850727:DNE850816 DDI850727:DDI850816 CTM850727:CTM850816 CJQ850727:CJQ850816 BZU850727:BZU850816 BPY850727:BPY850816 BGC850727:BGC850816 AWG850727:AWG850816 AMK850727:AMK850816 ACO850727:ACO850816 SS850727:SS850816 IW850727:IW850816 A850733:A850822 WVI785191:WVI785280 WLM785191:WLM785280 WBQ785191:WBQ785280 VRU785191:VRU785280 VHY785191:VHY785280 UYC785191:UYC785280 UOG785191:UOG785280 UEK785191:UEK785280 TUO785191:TUO785280 TKS785191:TKS785280 TAW785191:TAW785280 SRA785191:SRA785280 SHE785191:SHE785280 RXI785191:RXI785280 RNM785191:RNM785280 RDQ785191:RDQ785280 QTU785191:QTU785280 QJY785191:QJY785280 QAC785191:QAC785280 PQG785191:PQG785280 PGK785191:PGK785280 OWO785191:OWO785280 OMS785191:OMS785280 OCW785191:OCW785280 NTA785191:NTA785280 NJE785191:NJE785280 MZI785191:MZI785280 MPM785191:MPM785280 MFQ785191:MFQ785280 LVU785191:LVU785280 LLY785191:LLY785280 LCC785191:LCC785280 KSG785191:KSG785280 KIK785191:KIK785280 JYO785191:JYO785280 JOS785191:JOS785280 JEW785191:JEW785280 IVA785191:IVA785280 ILE785191:ILE785280 IBI785191:IBI785280 HRM785191:HRM785280 HHQ785191:HHQ785280 GXU785191:GXU785280 GNY785191:GNY785280 GEC785191:GEC785280 FUG785191:FUG785280 FKK785191:FKK785280 FAO785191:FAO785280 EQS785191:EQS785280 EGW785191:EGW785280 DXA785191:DXA785280 DNE785191:DNE785280 DDI785191:DDI785280 CTM785191:CTM785280 CJQ785191:CJQ785280 BZU785191:BZU785280 BPY785191:BPY785280 BGC785191:BGC785280 AWG785191:AWG785280 AMK785191:AMK785280 ACO785191:ACO785280 SS785191:SS785280 IW785191:IW785280 A785197:A785286 WVI719655:WVI719744 WLM719655:WLM719744 WBQ719655:WBQ719744 VRU719655:VRU719744 VHY719655:VHY719744 UYC719655:UYC719744 UOG719655:UOG719744 UEK719655:UEK719744 TUO719655:TUO719744 TKS719655:TKS719744 TAW719655:TAW719744 SRA719655:SRA719744 SHE719655:SHE719744 RXI719655:RXI719744 RNM719655:RNM719744 RDQ719655:RDQ719744 QTU719655:QTU719744 QJY719655:QJY719744 QAC719655:QAC719744 PQG719655:PQG719744 PGK719655:PGK719744 OWO719655:OWO719744 OMS719655:OMS719744 OCW719655:OCW719744 NTA719655:NTA719744 NJE719655:NJE719744 MZI719655:MZI719744 MPM719655:MPM719744 MFQ719655:MFQ719744 LVU719655:LVU719744 LLY719655:LLY719744 LCC719655:LCC719744 KSG719655:KSG719744 KIK719655:KIK719744 JYO719655:JYO719744 JOS719655:JOS719744 JEW719655:JEW719744 IVA719655:IVA719744 ILE719655:ILE719744 IBI719655:IBI719744 HRM719655:HRM719744 HHQ719655:HHQ719744 GXU719655:GXU719744 GNY719655:GNY719744 GEC719655:GEC719744 FUG719655:FUG719744 FKK719655:FKK719744 FAO719655:FAO719744 EQS719655:EQS719744 EGW719655:EGW719744 DXA719655:DXA719744 DNE719655:DNE719744 DDI719655:DDI719744 CTM719655:CTM719744 CJQ719655:CJQ719744 BZU719655:BZU719744 BPY719655:BPY719744 BGC719655:BGC719744 AWG719655:AWG719744 AMK719655:AMK719744 ACO719655:ACO719744 SS719655:SS719744 IW719655:IW719744 A719661:A719750 WVI654119:WVI654208 WLM654119:WLM654208 WBQ654119:WBQ654208 VRU654119:VRU654208 VHY654119:VHY654208 UYC654119:UYC654208 UOG654119:UOG654208 UEK654119:UEK654208 TUO654119:TUO654208 TKS654119:TKS654208 TAW654119:TAW654208 SRA654119:SRA654208 SHE654119:SHE654208 RXI654119:RXI654208 RNM654119:RNM654208 RDQ654119:RDQ654208 QTU654119:QTU654208 QJY654119:QJY654208 QAC654119:QAC654208 PQG654119:PQG654208 PGK654119:PGK654208 OWO654119:OWO654208 OMS654119:OMS654208 OCW654119:OCW654208 NTA654119:NTA654208 NJE654119:NJE654208 MZI654119:MZI654208 MPM654119:MPM654208 MFQ654119:MFQ654208 LVU654119:LVU654208 LLY654119:LLY654208 LCC654119:LCC654208 KSG654119:KSG654208 KIK654119:KIK654208 JYO654119:JYO654208 JOS654119:JOS654208 JEW654119:JEW654208 IVA654119:IVA654208 ILE654119:ILE654208 IBI654119:IBI654208 HRM654119:HRM654208 HHQ654119:HHQ654208 GXU654119:GXU654208 GNY654119:GNY654208 GEC654119:GEC654208 FUG654119:FUG654208 FKK654119:FKK654208 FAO654119:FAO654208 EQS654119:EQS654208 EGW654119:EGW654208 DXA654119:DXA654208 DNE654119:DNE654208 DDI654119:DDI654208 CTM654119:CTM654208 CJQ654119:CJQ654208 BZU654119:BZU654208 BPY654119:BPY654208 BGC654119:BGC654208 AWG654119:AWG654208 AMK654119:AMK654208 ACO654119:ACO654208 SS654119:SS654208 IW654119:IW654208 A654125:A654214 WVI588583:WVI588672 WLM588583:WLM588672 WBQ588583:WBQ588672 VRU588583:VRU588672 VHY588583:VHY588672 UYC588583:UYC588672 UOG588583:UOG588672 UEK588583:UEK588672 TUO588583:TUO588672 TKS588583:TKS588672 TAW588583:TAW588672 SRA588583:SRA588672 SHE588583:SHE588672 RXI588583:RXI588672 RNM588583:RNM588672 RDQ588583:RDQ588672 QTU588583:QTU588672 QJY588583:QJY588672 QAC588583:QAC588672 PQG588583:PQG588672 PGK588583:PGK588672 OWO588583:OWO588672 OMS588583:OMS588672 OCW588583:OCW588672 NTA588583:NTA588672 NJE588583:NJE588672 MZI588583:MZI588672 MPM588583:MPM588672 MFQ588583:MFQ588672 LVU588583:LVU588672 LLY588583:LLY588672 LCC588583:LCC588672 KSG588583:KSG588672 KIK588583:KIK588672 JYO588583:JYO588672 JOS588583:JOS588672 JEW588583:JEW588672 IVA588583:IVA588672 ILE588583:ILE588672 IBI588583:IBI588672 HRM588583:HRM588672 HHQ588583:HHQ588672 GXU588583:GXU588672 GNY588583:GNY588672 GEC588583:GEC588672 FUG588583:FUG588672 FKK588583:FKK588672 FAO588583:FAO588672 EQS588583:EQS588672 EGW588583:EGW588672 DXA588583:DXA588672 DNE588583:DNE588672 DDI588583:DDI588672 CTM588583:CTM588672 CJQ588583:CJQ588672 BZU588583:BZU588672 BPY588583:BPY588672 BGC588583:BGC588672 AWG588583:AWG588672 AMK588583:AMK588672 ACO588583:ACO588672 SS588583:SS588672 IW588583:IW588672 A588589:A588678 WVI523047:WVI523136 WLM523047:WLM523136 WBQ523047:WBQ523136 VRU523047:VRU523136 VHY523047:VHY523136 UYC523047:UYC523136 UOG523047:UOG523136 UEK523047:UEK523136 TUO523047:TUO523136 TKS523047:TKS523136 TAW523047:TAW523136 SRA523047:SRA523136 SHE523047:SHE523136 RXI523047:RXI523136 RNM523047:RNM523136 RDQ523047:RDQ523136 QTU523047:QTU523136 QJY523047:QJY523136 QAC523047:QAC523136 PQG523047:PQG523136 PGK523047:PGK523136 OWO523047:OWO523136 OMS523047:OMS523136 OCW523047:OCW523136 NTA523047:NTA523136 NJE523047:NJE523136 MZI523047:MZI523136 MPM523047:MPM523136 MFQ523047:MFQ523136 LVU523047:LVU523136 LLY523047:LLY523136 LCC523047:LCC523136 KSG523047:KSG523136 KIK523047:KIK523136 JYO523047:JYO523136 JOS523047:JOS523136 JEW523047:JEW523136 IVA523047:IVA523136 ILE523047:ILE523136 IBI523047:IBI523136 HRM523047:HRM523136 HHQ523047:HHQ523136 GXU523047:GXU523136 GNY523047:GNY523136 GEC523047:GEC523136 FUG523047:FUG523136 FKK523047:FKK523136 FAO523047:FAO523136 EQS523047:EQS523136 EGW523047:EGW523136 DXA523047:DXA523136 DNE523047:DNE523136 DDI523047:DDI523136 CTM523047:CTM523136 CJQ523047:CJQ523136 BZU523047:BZU523136 BPY523047:BPY523136 BGC523047:BGC523136 AWG523047:AWG523136 AMK523047:AMK523136 ACO523047:ACO523136 SS523047:SS523136 IW523047:IW523136 A523053:A523142 WVI457511:WVI457600 WLM457511:WLM457600 WBQ457511:WBQ457600 VRU457511:VRU457600 VHY457511:VHY457600 UYC457511:UYC457600 UOG457511:UOG457600 UEK457511:UEK457600 TUO457511:TUO457600 TKS457511:TKS457600 TAW457511:TAW457600 SRA457511:SRA457600 SHE457511:SHE457600 RXI457511:RXI457600 RNM457511:RNM457600 RDQ457511:RDQ457600 QTU457511:QTU457600 QJY457511:QJY457600 QAC457511:QAC457600 PQG457511:PQG457600 PGK457511:PGK457600 OWO457511:OWO457600 OMS457511:OMS457600 OCW457511:OCW457600 NTA457511:NTA457600 NJE457511:NJE457600 MZI457511:MZI457600 MPM457511:MPM457600 MFQ457511:MFQ457600 LVU457511:LVU457600 LLY457511:LLY457600 LCC457511:LCC457600 KSG457511:KSG457600 KIK457511:KIK457600 JYO457511:JYO457600 JOS457511:JOS457600 JEW457511:JEW457600 IVA457511:IVA457600 ILE457511:ILE457600 IBI457511:IBI457600 HRM457511:HRM457600 HHQ457511:HHQ457600 GXU457511:GXU457600 GNY457511:GNY457600 GEC457511:GEC457600 FUG457511:FUG457600 FKK457511:FKK457600 FAO457511:FAO457600 EQS457511:EQS457600 EGW457511:EGW457600 DXA457511:DXA457600 DNE457511:DNE457600 DDI457511:DDI457600 CTM457511:CTM457600 CJQ457511:CJQ457600 BZU457511:BZU457600 BPY457511:BPY457600 BGC457511:BGC457600 AWG457511:AWG457600 AMK457511:AMK457600 ACO457511:ACO457600 SS457511:SS457600 IW457511:IW457600 A457517:A457606 WVI391975:WVI392064 WLM391975:WLM392064 WBQ391975:WBQ392064 VRU391975:VRU392064 VHY391975:VHY392064 UYC391975:UYC392064 UOG391975:UOG392064 UEK391975:UEK392064 TUO391975:TUO392064 TKS391975:TKS392064 TAW391975:TAW392064 SRA391975:SRA392064 SHE391975:SHE392064 RXI391975:RXI392064 RNM391975:RNM392064 RDQ391975:RDQ392064 QTU391975:QTU392064 QJY391975:QJY392064 QAC391975:QAC392064 PQG391975:PQG392064 PGK391975:PGK392064 OWO391975:OWO392064 OMS391975:OMS392064 OCW391975:OCW392064 NTA391975:NTA392064 NJE391975:NJE392064 MZI391975:MZI392064 MPM391975:MPM392064 MFQ391975:MFQ392064 LVU391975:LVU392064 LLY391975:LLY392064 LCC391975:LCC392064 KSG391975:KSG392064 KIK391975:KIK392064 JYO391975:JYO392064 JOS391975:JOS392064 JEW391975:JEW392064 IVA391975:IVA392064 ILE391975:ILE392064 IBI391975:IBI392064 HRM391975:HRM392064 HHQ391975:HHQ392064 GXU391975:GXU392064 GNY391975:GNY392064 GEC391975:GEC392064 FUG391975:FUG392064 FKK391975:FKK392064 FAO391975:FAO392064 EQS391975:EQS392064 EGW391975:EGW392064 DXA391975:DXA392064 DNE391975:DNE392064 DDI391975:DDI392064 CTM391975:CTM392064 CJQ391975:CJQ392064 BZU391975:BZU392064 BPY391975:BPY392064 BGC391975:BGC392064 AWG391975:AWG392064 AMK391975:AMK392064 ACO391975:ACO392064 SS391975:SS392064 IW391975:IW392064 A391981:A392070 WVI326439:WVI326528 WLM326439:WLM326528 WBQ326439:WBQ326528 VRU326439:VRU326528 VHY326439:VHY326528 UYC326439:UYC326528 UOG326439:UOG326528 UEK326439:UEK326528 TUO326439:TUO326528 TKS326439:TKS326528 TAW326439:TAW326528 SRA326439:SRA326528 SHE326439:SHE326528 RXI326439:RXI326528 RNM326439:RNM326528 RDQ326439:RDQ326528 QTU326439:QTU326528 QJY326439:QJY326528 QAC326439:QAC326528 PQG326439:PQG326528 PGK326439:PGK326528 OWO326439:OWO326528 OMS326439:OMS326528 OCW326439:OCW326528 NTA326439:NTA326528 NJE326439:NJE326528 MZI326439:MZI326528 MPM326439:MPM326528 MFQ326439:MFQ326528 LVU326439:LVU326528 LLY326439:LLY326528 LCC326439:LCC326528 KSG326439:KSG326528 KIK326439:KIK326528 JYO326439:JYO326528 JOS326439:JOS326528 JEW326439:JEW326528 IVA326439:IVA326528 ILE326439:ILE326528 IBI326439:IBI326528 HRM326439:HRM326528 HHQ326439:HHQ326528 GXU326439:GXU326528 GNY326439:GNY326528 GEC326439:GEC326528 FUG326439:FUG326528 FKK326439:FKK326528 FAO326439:FAO326528 EQS326439:EQS326528 EGW326439:EGW326528 DXA326439:DXA326528 DNE326439:DNE326528 DDI326439:DDI326528 CTM326439:CTM326528 CJQ326439:CJQ326528 BZU326439:BZU326528 BPY326439:BPY326528 BGC326439:BGC326528 AWG326439:AWG326528 AMK326439:AMK326528 ACO326439:ACO326528 SS326439:SS326528 IW326439:IW326528 A326445:A326534 WVI260903:WVI260992 WLM260903:WLM260992 WBQ260903:WBQ260992 VRU260903:VRU260992 VHY260903:VHY260992 UYC260903:UYC260992 UOG260903:UOG260992 UEK260903:UEK260992 TUO260903:TUO260992 TKS260903:TKS260992 TAW260903:TAW260992 SRA260903:SRA260992 SHE260903:SHE260992 RXI260903:RXI260992 RNM260903:RNM260992 RDQ260903:RDQ260992 QTU260903:QTU260992 QJY260903:QJY260992 QAC260903:QAC260992 PQG260903:PQG260992 PGK260903:PGK260992 OWO260903:OWO260992 OMS260903:OMS260992 OCW260903:OCW260992 NTA260903:NTA260992 NJE260903:NJE260992 MZI260903:MZI260992 MPM260903:MPM260992 MFQ260903:MFQ260992 LVU260903:LVU260992 LLY260903:LLY260992 LCC260903:LCC260992 KSG260903:KSG260992 KIK260903:KIK260992 JYO260903:JYO260992 JOS260903:JOS260992 JEW260903:JEW260992 IVA260903:IVA260992 ILE260903:ILE260992 IBI260903:IBI260992 HRM260903:HRM260992 HHQ260903:HHQ260992 GXU260903:GXU260992 GNY260903:GNY260992 GEC260903:GEC260992 FUG260903:FUG260992 FKK260903:FKK260992 FAO260903:FAO260992 EQS260903:EQS260992 EGW260903:EGW260992 DXA260903:DXA260992 DNE260903:DNE260992 DDI260903:DDI260992 CTM260903:CTM260992 CJQ260903:CJQ260992 BZU260903:BZU260992 BPY260903:BPY260992 BGC260903:BGC260992 AWG260903:AWG260992 AMK260903:AMK260992 ACO260903:ACO260992 SS260903:SS260992 IW260903:IW260992 A260909:A260998 WVI195367:WVI195456 WLM195367:WLM195456 WBQ195367:WBQ195456 VRU195367:VRU195456 VHY195367:VHY195456 UYC195367:UYC195456 UOG195367:UOG195456 UEK195367:UEK195456 TUO195367:TUO195456 TKS195367:TKS195456 TAW195367:TAW195456 SRA195367:SRA195456 SHE195367:SHE195456 RXI195367:RXI195456 RNM195367:RNM195456 RDQ195367:RDQ195456 QTU195367:QTU195456 QJY195367:QJY195456 QAC195367:QAC195456 PQG195367:PQG195456 PGK195367:PGK195456 OWO195367:OWO195456 OMS195367:OMS195456 OCW195367:OCW195456 NTA195367:NTA195456 NJE195367:NJE195456 MZI195367:MZI195456 MPM195367:MPM195456 MFQ195367:MFQ195456 LVU195367:LVU195456 LLY195367:LLY195456 LCC195367:LCC195456 KSG195367:KSG195456 KIK195367:KIK195456 JYO195367:JYO195456 JOS195367:JOS195456 JEW195367:JEW195456 IVA195367:IVA195456 ILE195367:ILE195456 IBI195367:IBI195456 HRM195367:HRM195456 HHQ195367:HHQ195456 GXU195367:GXU195456 GNY195367:GNY195456 GEC195367:GEC195456 FUG195367:FUG195456 FKK195367:FKK195456 FAO195367:FAO195456 EQS195367:EQS195456 EGW195367:EGW195456 DXA195367:DXA195456 DNE195367:DNE195456 DDI195367:DDI195456 CTM195367:CTM195456 CJQ195367:CJQ195456 BZU195367:BZU195456 BPY195367:BPY195456 BGC195367:BGC195456 AWG195367:AWG195456 AMK195367:AMK195456 ACO195367:ACO195456 SS195367:SS195456 IW195367:IW195456 A195373:A195462 WVI129831:WVI129920 WLM129831:WLM129920 WBQ129831:WBQ129920 VRU129831:VRU129920 VHY129831:VHY129920 UYC129831:UYC129920 UOG129831:UOG129920 UEK129831:UEK129920 TUO129831:TUO129920 TKS129831:TKS129920 TAW129831:TAW129920 SRA129831:SRA129920 SHE129831:SHE129920 RXI129831:RXI129920 RNM129831:RNM129920 RDQ129831:RDQ129920 QTU129831:QTU129920 QJY129831:QJY129920 QAC129831:QAC129920 PQG129831:PQG129920 PGK129831:PGK129920 OWO129831:OWO129920 OMS129831:OMS129920 OCW129831:OCW129920 NTA129831:NTA129920 NJE129831:NJE129920 MZI129831:MZI129920 MPM129831:MPM129920 MFQ129831:MFQ129920 LVU129831:LVU129920 LLY129831:LLY129920 LCC129831:LCC129920 KSG129831:KSG129920 KIK129831:KIK129920 JYO129831:JYO129920 JOS129831:JOS129920 JEW129831:JEW129920 IVA129831:IVA129920 ILE129831:ILE129920 IBI129831:IBI129920 HRM129831:HRM129920 HHQ129831:HHQ129920 GXU129831:GXU129920 GNY129831:GNY129920 GEC129831:GEC129920 FUG129831:FUG129920 FKK129831:FKK129920 FAO129831:FAO129920 EQS129831:EQS129920 EGW129831:EGW129920 DXA129831:DXA129920 DNE129831:DNE129920 DDI129831:DDI129920 CTM129831:CTM129920 CJQ129831:CJQ129920 BZU129831:BZU129920 BPY129831:BPY129920 BGC129831:BGC129920 AWG129831:AWG129920 AMK129831:AMK129920 ACO129831:ACO129920 SS129831:SS129920 IW129831:IW129920 A129837:A129926 WVI64295:WVI64384 WLM64295:WLM64384 WBQ64295:WBQ64384 VRU64295:VRU64384 VHY64295:VHY64384 UYC64295:UYC64384 UOG64295:UOG64384 UEK64295:UEK64384 TUO64295:TUO64384 TKS64295:TKS64384 TAW64295:TAW64384 SRA64295:SRA64384 SHE64295:SHE64384 RXI64295:RXI64384 RNM64295:RNM64384 RDQ64295:RDQ64384 QTU64295:QTU64384 QJY64295:QJY64384 QAC64295:QAC64384 PQG64295:PQG64384 PGK64295:PGK64384 OWO64295:OWO64384 OMS64295:OMS64384 OCW64295:OCW64384 NTA64295:NTA64384 NJE64295:NJE64384 MZI64295:MZI64384 MPM64295:MPM64384 MFQ64295:MFQ64384 LVU64295:LVU64384 LLY64295:LLY64384 LCC64295:LCC64384 KSG64295:KSG64384 KIK64295:KIK64384 JYO64295:JYO64384 JOS64295:JOS64384 JEW64295:JEW64384 IVA64295:IVA64384 ILE64295:ILE64384 IBI64295:IBI64384 HRM64295:HRM64384 HHQ64295:HHQ64384 GXU64295:GXU64384 GNY64295:GNY64384 GEC64295:GEC64384 FUG64295:FUG64384 FKK64295:FKK64384 FAO64295:FAO64384 EQS64295:EQS64384 EGW64295:EGW64384 DXA64295:DXA64384 DNE64295:DNE64384 DDI64295:DDI64384 CTM64295:CTM64384 CJQ64295:CJQ64384 BZU64295:BZU64384 BPY64295:BPY64384 BGC64295:BGC64384 AWG64295:AWG64384 AMK64295:AMK64384 ACO64295:ACO64384 SS64295:SS64384 IW64295:IW64384 A64301:A64390 WVI2:WVI67 WLM2:WLM67 WBQ2:WBQ67 VRU2:VRU67 VHY2:VHY67 UYC2:UYC67 UOG2:UOG67 UEK2:UEK67 TUO2:TUO67 TKS2:TKS67 TAW2:TAW67 SRA2:SRA67 SHE2:SHE67 RXI2:RXI67 RNM2:RNM67 RDQ2:RDQ67 QTU2:QTU67 QJY2:QJY67 QAC2:QAC67 PQG2:PQG67 PGK2:PGK67 OWO2:OWO67 OMS2:OMS67 OCW2:OCW67 NTA2:NTA67 NJE2:NJE67 MZI2:MZI67 MPM2:MPM67 MFQ2:MFQ67 LVU2:LVU67 LLY2:LLY67 LCC2:LCC67 KSG2:KSG67 KIK2:KIK67 JYO2:JYO67 JOS2:JOS67 JEW2:JEW67 IVA2:IVA67 ILE2:ILE67 IBI2:IBI67 HRM2:HRM67 HHQ2:HHQ67 GXU2:GXU67 GNY2:GNY67 GEC2:GEC67 FUG2:FUG67 FKK2:FKK67 FAO2:FAO67 EQS2:EQS67 EGW2:EGW67 DXA2:DXA67 DNE2:DNE67 DDI2:DDI67 CTM2:CTM67 CJQ2:CJQ67 BZU2:BZU67 BPY2:BPY67 BGC2:BGC67 AWG2:AWG67 AMK2:AMK67 ACO2:ACO67 SS2:SS67 IW2:IW67" xr:uid="{3B06976D-B59D-4F70-BECC-64D0F4AAF171}">
      <formula1>$AE$2:$AE$22</formula1>
    </dataValidation>
    <dataValidation type="list" allowBlank="1" showInputMessage="1" showErrorMessage="1" sqref="WVO981799:WVO981888 WLS981799:WLS981888 WBW981799:WBW981888 VSA981799:VSA981888 VIE981799:VIE981888 UYI981799:UYI981888 UOM981799:UOM981888 UEQ981799:UEQ981888 TUU981799:TUU981888 TKY981799:TKY981888 TBC981799:TBC981888 SRG981799:SRG981888 SHK981799:SHK981888 RXO981799:RXO981888 RNS981799:RNS981888 RDW981799:RDW981888 QUA981799:QUA981888 QKE981799:QKE981888 QAI981799:QAI981888 PQM981799:PQM981888 PGQ981799:PGQ981888 OWU981799:OWU981888 OMY981799:OMY981888 ODC981799:ODC981888 NTG981799:NTG981888 NJK981799:NJK981888 MZO981799:MZO981888 MPS981799:MPS981888 MFW981799:MFW981888 LWA981799:LWA981888 LME981799:LME981888 LCI981799:LCI981888 KSM981799:KSM981888 KIQ981799:KIQ981888 JYU981799:JYU981888 JOY981799:JOY981888 JFC981799:JFC981888 IVG981799:IVG981888 ILK981799:ILK981888 IBO981799:IBO981888 HRS981799:HRS981888 HHW981799:HHW981888 GYA981799:GYA981888 GOE981799:GOE981888 GEI981799:GEI981888 FUM981799:FUM981888 FKQ981799:FKQ981888 FAU981799:FAU981888 EQY981799:EQY981888 EHC981799:EHC981888 DXG981799:DXG981888 DNK981799:DNK981888 DDO981799:DDO981888 CTS981799:CTS981888 CJW981799:CJW981888 CAA981799:CAA981888 BQE981799:BQE981888 BGI981799:BGI981888 AWM981799:AWM981888 AMQ981799:AMQ981888 ACU981799:ACU981888 SY981799:SY981888 JC981799:JC981888 G981808:G981897 WVO916263:WVO916352 WLS916263:WLS916352 WBW916263:WBW916352 VSA916263:VSA916352 VIE916263:VIE916352 UYI916263:UYI916352 UOM916263:UOM916352 UEQ916263:UEQ916352 TUU916263:TUU916352 TKY916263:TKY916352 TBC916263:TBC916352 SRG916263:SRG916352 SHK916263:SHK916352 RXO916263:RXO916352 RNS916263:RNS916352 RDW916263:RDW916352 QUA916263:QUA916352 QKE916263:QKE916352 QAI916263:QAI916352 PQM916263:PQM916352 PGQ916263:PGQ916352 OWU916263:OWU916352 OMY916263:OMY916352 ODC916263:ODC916352 NTG916263:NTG916352 NJK916263:NJK916352 MZO916263:MZO916352 MPS916263:MPS916352 MFW916263:MFW916352 LWA916263:LWA916352 LME916263:LME916352 LCI916263:LCI916352 KSM916263:KSM916352 KIQ916263:KIQ916352 JYU916263:JYU916352 JOY916263:JOY916352 JFC916263:JFC916352 IVG916263:IVG916352 ILK916263:ILK916352 IBO916263:IBO916352 HRS916263:HRS916352 HHW916263:HHW916352 GYA916263:GYA916352 GOE916263:GOE916352 GEI916263:GEI916352 FUM916263:FUM916352 FKQ916263:FKQ916352 FAU916263:FAU916352 EQY916263:EQY916352 EHC916263:EHC916352 DXG916263:DXG916352 DNK916263:DNK916352 DDO916263:DDO916352 CTS916263:CTS916352 CJW916263:CJW916352 CAA916263:CAA916352 BQE916263:BQE916352 BGI916263:BGI916352 AWM916263:AWM916352 AMQ916263:AMQ916352 ACU916263:ACU916352 SY916263:SY916352 JC916263:JC916352 G916272:G916361 WVO850727:WVO850816 WLS850727:WLS850816 WBW850727:WBW850816 VSA850727:VSA850816 VIE850727:VIE850816 UYI850727:UYI850816 UOM850727:UOM850816 UEQ850727:UEQ850816 TUU850727:TUU850816 TKY850727:TKY850816 TBC850727:TBC850816 SRG850727:SRG850816 SHK850727:SHK850816 RXO850727:RXO850816 RNS850727:RNS850816 RDW850727:RDW850816 QUA850727:QUA850816 QKE850727:QKE850816 QAI850727:QAI850816 PQM850727:PQM850816 PGQ850727:PGQ850816 OWU850727:OWU850816 OMY850727:OMY850816 ODC850727:ODC850816 NTG850727:NTG850816 NJK850727:NJK850816 MZO850727:MZO850816 MPS850727:MPS850816 MFW850727:MFW850816 LWA850727:LWA850816 LME850727:LME850816 LCI850727:LCI850816 KSM850727:KSM850816 KIQ850727:KIQ850816 JYU850727:JYU850816 JOY850727:JOY850816 JFC850727:JFC850816 IVG850727:IVG850816 ILK850727:ILK850816 IBO850727:IBO850816 HRS850727:HRS850816 HHW850727:HHW850816 GYA850727:GYA850816 GOE850727:GOE850816 GEI850727:GEI850816 FUM850727:FUM850816 FKQ850727:FKQ850816 FAU850727:FAU850816 EQY850727:EQY850816 EHC850727:EHC850816 DXG850727:DXG850816 DNK850727:DNK850816 DDO850727:DDO850816 CTS850727:CTS850816 CJW850727:CJW850816 CAA850727:CAA850816 BQE850727:BQE850816 BGI850727:BGI850816 AWM850727:AWM850816 AMQ850727:AMQ850816 ACU850727:ACU850816 SY850727:SY850816 JC850727:JC850816 G850736:G850825 WVO785191:WVO785280 WLS785191:WLS785280 WBW785191:WBW785280 VSA785191:VSA785280 VIE785191:VIE785280 UYI785191:UYI785280 UOM785191:UOM785280 UEQ785191:UEQ785280 TUU785191:TUU785280 TKY785191:TKY785280 TBC785191:TBC785280 SRG785191:SRG785280 SHK785191:SHK785280 RXO785191:RXO785280 RNS785191:RNS785280 RDW785191:RDW785280 QUA785191:QUA785280 QKE785191:QKE785280 QAI785191:QAI785280 PQM785191:PQM785280 PGQ785191:PGQ785280 OWU785191:OWU785280 OMY785191:OMY785280 ODC785191:ODC785280 NTG785191:NTG785280 NJK785191:NJK785280 MZO785191:MZO785280 MPS785191:MPS785280 MFW785191:MFW785280 LWA785191:LWA785280 LME785191:LME785280 LCI785191:LCI785280 KSM785191:KSM785280 KIQ785191:KIQ785280 JYU785191:JYU785280 JOY785191:JOY785280 JFC785191:JFC785280 IVG785191:IVG785280 ILK785191:ILK785280 IBO785191:IBO785280 HRS785191:HRS785280 HHW785191:HHW785280 GYA785191:GYA785280 GOE785191:GOE785280 GEI785191:GEI785280 FUM785191:FUM785280 FKQ785191:FKQ785280 FAU785191:FAU785280 EQY785191:EQY785280 EHC785191:EHC785280 DXG785191:DXG785280 DNK785191:DNK785280 DDO785191:DDO785280 CTS785191:CTS785280 CJW785191:CJW785280 CAA785191:CAA785280 BQE785191:BQE785280 BGI785191:BGI785280 AWM785191:AWM785280 AMQ785191:AMQ785280 ACU785191:ACU785280 SY785191:SY785280 JC785191:JC785280 G785200:G785289 WVO719655:WVO719744 WLS719655:WLS719744 WBW719655:WBW719744 VSA719655:VSA719744 VIE719655:VIE719744 UYI719655:UYI719744 UOM719655:UOM719744 UEQ719655:UEQ719744 TUU719655:TUU719744 TKY719655:TKY719744 TBC719655:TBC719744 SRG719655:SRG719744 SHK719655:SHK719744 RXO719655:RXO719744 RNS719655:RNS719744 RDW719655:RDW719744 QUA719655:QUA719744 QKE719655:QKE719744 QAI719655:QAI719744 PQM719655:PQM719744 PGQ719655:PGQ719744 OWU719655:OWU719744 OMY719655:OMY719744 ODC719655:ODC719744 NTG719655:NTG719744 NJK719655:NJK719744 MZO719655:MZO719744 MPS719655:MPS719744 MFW719655:MFW719744 LWA719655:LWA719744 LME719655:LME719744 LCI719655:LCI719744 KSM719655:KSM719744 KIQ719655:KIQ719744 JYU719655:JYU719744 JOY719655:JOY719744 JFC719655:JFC719744 IVG719655:IVG719744 ILK719655:ILK719744 IBO719655:IBO719744 HRS719655:HRS719744 HHW719655:HHW719744 GYA719655:GYA719744 GOE719655:GOE719744 GEI719655:GEI719744 FUM719655:FUM719744 FKQ719655:FKQ719744 FAU719655:FAU719744 EQY719655:EQY719744 EHC719655:EHC719744 DXG719655:DXG719744 DNK719655:DNK719744 DDO719655:DDO719744 CTS719655:CTS719744 CJW719655:CJW719744 CAA719655:CAA719744 BQE719655:BQE719744 BGI719655:BGI719744 AWM719655:AWM719744 AMQ719655:AMQ719744 ACU719655:ACU719744 SY719655:SY719744 JC719655:JC719744 G719664:G719753 WVO654119:WVO654208 WLS654119:WLS654208 WBW654119:WBW654208 VSA654119:VSA654208 VIE654119:VIE654208 UYI654119:UYI654208 UOM654119:UOM654208 UEQ654119:UEQ654208 TUU654119:TUU654208 TKY654119:TKY654208 TBC654119:TBC654208 SRG654119:SRG654208 SHK654119:SHK654208 RXO654119:RXO654208 RNS654119:RNS654208 RDW654119:RDW654208 QUA654119:QUA654208 QKE654119:QKE654208 QAI654119:QAI654208 PQM654119:PQM654208 PGQ654119:PGQ654208 OWU654119:OWU654208 OMY654119:OMY654208 ODC654119:ODC654208 NTG654119:NTG654208 NJK654119:NJK654208 MZO654119:MZO654208 MPS654119:MPS654208 MFW654119:MFW654208 LWA654119:LWA654208 LME654119:LME654208 LCI654119:LCI654208 KSM654119:KSM654208 KIQ654119:KIQ654208 JYU654119:JYU654208 JOY654119:JOY654208 JFC654119:JFC654208 IVG654119:IVG654208 ILK654119:ILK654208 IBO654119:IBO654208 HRS654119:HRS654208 HHW654119:HHW654208 GYA654119:GYA654208 GOE654119:GOE654208 GEI654119:GEI654208 FUM654119:FUM654208 FKQ654119:FKQ654208 FAU654119:FAU654208 EQY654119:EQY654208 EHC654119:EHC654208 DXG654119:DXG654208 DNK654119:DNK654208 DDO654119:DDO654208 CTS654119:CTS654208 CJW654119:CJW654208 CAA654119:CAA654208 BQE654119:BQE654208 BGI654119:BGI654208 AWM654119:AWM654208 AMQ654119:AMQ654208 ACU654119:ACU654208 SY654119:SY654208 JC654119:JC654208 G654128:G654217 WVO588583:WVO588672 WLS588583:WLS588672 WBW588583:WBW588672 VSA588583:VSA588672 VIE588583:VIE588672 UYI588583:UYI588672 UOM588583:UOM588672 UEQ588583:UEQ588672 TUU588583:TUU588672 TKY588583:TKY588672 TBC588583:TBC588672 SRG588583:SRG588672 SHK588583:SHK588672 RXO588583:RXO588672 RNS588583:RNS588672 RDW588583:RDW588672 QUA588583:QUA588672 QKE588583:QKE588672 QAI588583:QAI588672 PQM588583:PQM588672 PGQ588583:PGQ588672 OWU588583:OWU588672 OMY588583:OMY588672 ODC588583:ODC588672 NTG588583:NTG588672 NJK588583:NJK588672 MZO588583:MZO588672 MPS588583:MPS588672 MFW588583:MFW588672 LWA588583:LWA588672 LME588583:LME588672 LCI588583:LCI588672 KSM588583:KSM588672 KIQ588583:KIQ588672 JYU588583:JYU588672 JOY588583:JOY588672 JFC588583:JFC588672 IVG588583:IVG588672 ILK588583:ILK588672 IBO588583:IBO588672 HRS588583:HRS588672 HHW588583:HHW588672 GYA588583:GYA588672 GOE588583:GOE588672 GEI588583:GEI588672 FUM588583:FUM588672 FKQ588583:FKQ588672 FAU588583:FAU588672 EQY588583:EQY588672 EHC588583:EHC588672 DXG588583:DXG588672 DNK588583:DNK588672 DDO588583:DDO588672 CTS588583:CTS588672 CJW588583:CJW588672 CAA588583:CAA588672 BQE588583:BQE588672 BGI588583:BGI588672 AWM588583:AWM588672 AMQ588583:AMQ588672 ACU588583:ACU588672 SY588583:SY588672 JC588583:JC588672 G588592:G588681 WVO523047:WVO523136 WLS523047:WLS523136 WBW523047:WBW523136 VSA523047:VSA523136 VIE523047:VIE523136 UYI523047:UYI523136 UOM523047:UOM523136 UEQ523047:UEQ523136 TUU523047:TUU523136 TKY523047:TKY523136 TBC523047:TBC523136 SRG523047:SRG523136 SHK523047:SHK523136 RXO523047:RXO523136 RNS523047:RNS523136 RDW523047:RDW523136 QUA523047:QUA523136 QKE523047:QKE523136 QAI523047:QAI523136 PQM523047:PQM523136 PGQ523047:PGQ523136 OWU523047:OWU523136 OMY523047:OMY523136 ODC523047:ODC523136 NTG523047:NTG523136 NJK523047:NJK523136 MZO523047:MZO523136 MPS523047:MPS523136 MFW523047:MFW523136 LWA523047:LWA523136 LME523047:LME523136 LCI523047:LCI523136 KSM523047:KSM523136 KIQ523047:KIQ523136 JYU523047:JYU523136 JOY523047:JOY523136 JFC523047:JFC523136 IVG523047:IVG523136 ILK523047:ILK523136 IBO523047:IBO523136 HRS523047:HRS523136 HHW523047:HHW523136 GYA523047:GYA523136 GOE523047:GOE523136 GEI523047:GEI523136 FUM523047:FUM523136 FKQ523047:FKQ523136 FAU523047:FAU523136 EQY523047:EQY523136 EHC523047:EHC523136 DXG523047:DXG523136 DNK523047:DNK523136 DDO523047:DDO523136 CTS523047:CTS523136 CJW523047:CJW523136 CAA523047:CAA523136 BQE523047:BQE523136 BGI523047:BGI523136 AWM523047:AWM523136 AMQ523047:AMQ523136 ACU523047:ACU523136 SY523047:SY523136 JC523047:JC523136 G523056:G523145 WVO457511:WVO457600 WLS457511:WLS457600 WBW457511:WBW457600 VSA457511:VSA457600 VIE457511:VIE457600 UYI457511:UYI457600 UOM457511:UOM457600 UEQ457511:UEQ457600 TUU457511:TUU457600 TKY457511:TKY457600 TBC457511:TBC457600 SRG457511:SRG457600 SHK457511:SHK457600 RXO457511:RXO457600 RNS457511:RNS457600 RDW457511:RDW457600 QUA457511:QUA457600 QKE457511:QKE457600 QAI457511:QAI457600 PQM457511:PQM457600 PGQ457511:PGQ457600 OWU457511:OWU457600 OMY457511:OMY457600 ODC457511:ODC457600 NTG457511:NTG457600 NJK457511:NJK457600 MZO457511:MZO457600 MPS457511:MPS457600 MFW457511:MFW457600 LWA457511:LWA457600 LME457511:LME457600 LCI457511:LCI457600 KSM457511:KSM457600 KIQ457511:KIQ457600 JYU457511:JYU457600 JOY457511:JOY457600 JFC457511:JFC457600 IVG457511:IVG457600 ILK457511:ILK457600 IBO457511:IBO457600 HRS457511:HRS457600 HHW457511:HHW457600 GYA457511:GYA457600 GOE457511:GOE457600 GEI457511:GEI457600 FUM457511:FUM457600 FKQ457511:FKQ457600 FAU457511:FAU457600 EQY457511:EQY457600 EHC457511:EHC457600 DXG457511:DXG457600 DNK457511:DNK457600 DDO457511:DDO457600 CTS457511:CTS457600 CJW457511:CJW457600 CAA457511:CAA457600 BQE457511:BQE457600 BGI457511:BGI457600 AWM457511:AWM457600 AMQ457511:AMQ457600 ACU457511:ACU457600 SY457511:SY457600 JC457511:JC457600 G457520:G457609 WVO391975:WVO392064 WLS391975:WLS392064 WBW391975:WBW392064 VSA391975:VSA392064 VIE391975:VIE392064 UYI391975:UYI392064 UOM391975:UOM392064 UEQ391975:UEQ392064 TUU391975:TUU392064 TKY391975:TKY392064 TBC391975:TBC392064 SRG391975:SRG392064 SHK391975:SHK392064 RXO391975:RXO392064 RNS391975:RNS392064 RDW391975:RDW392064 QUA391975:QUA392064 QKE391975:QKE392064 QAI391975:QAI392064 PQM391975:PQM392064 PGQ391975:PGQ392064 OWU391975:OWU392064 OMY391975:OMY392064 ODC391975:ODC392064 NTG391975:NTG392064 NJK391975:NJK392064 MZO391975:MZO392064 MPS391975:MPS392064 MFW391975:MFW392064 LWA391975:LWA392064 LME391975:LME392064 LCI391975:LCI392064 KSM391975:KSM392064 KIQ391975:KIQ392064 JYU391975:JYU392064 JOY391975:JOY392064 JFC391975:JFC392064 IVG391975:IVG392064 ILK391975:ILK392064 IBO391975:IBO392064 HRS391975:HRS392064 HHW391975:HHW392064 GYA391975:GYA392064 GOE391975:GOE392064 GEI391975:GEI392064 FUM391975:FUM392064 FKQ391975:FKQ392064 FAU391975:FAU392064 EQY391975:EQY392064 EHC391975:EHC392064 DXG391975:DXG392064 DNK391975:DNK392064 DDO391975:DDO392064 CTS391975:CTS392064 CJW391975:CJW392064 CAA391975:CAA392064 BQE391975:BQE392064 BGI391975:BGI392064 AWM391975:AWM392064 AMQ391975:AMQ392064 ACU391975:ACU392064 SY391975:SY392064 JC391975:JC392064 G391984:G392073 WVO326439:WVO326528 WLS326439:WLS326528 WBW326439:WBW326528 VSA326439:VSA326528 VIE326439:VIE326528 UYI326439:UYI326528 UOM326439:UOM326528 UEQ326439:UEQ326528 TUU326439:TUU326528 TKY326439:TKY326528 TBC326439:TBC326528 SRG326439:SRG326528 SHK326439:SHK326528 RXO326439:RXO326528 RNS326439:RNS326528 RDW326439:RDW326528 QUA326439:QUA326528 QKE326439:QKE326528 QAI326439:QAI326528 PQM326439:PQM326528 PGQ326439:PGQ326528 OWU326439:OWU326528 OMY326439:OMY326528 ODC326439:ODC326528 NTG326439:NTG326528 NJK326439:NJK326528 MZO326439:MZO326528 MPS326439:MPS326528 MFW326439:MFW326528 LWA326439:LWA326528 LME326439:LME326528 LCI326439:LCI326528 KSM326439:KSM326528 KIQ326439:KIQ326528 JYU326439:JYU326528 JOY326439:JOY326528 JFC326439:JFC326528 IVG326439:IVG326528 ILK326439:ILK326528 IBO326439:IBO326528 HRS326439:HRS326528 HHW326439:HHW326528 GYA326439:GYA326528 GOE326439:GOE326528 GEI326439:GEI326528 FUM326439:FUM326528 FKQ326439:FKQ326528 FAU326439:FAU326528 EQY326439:EQY326528 EHC326439:EHC326528 DXG326439:DXG326528 DNK326439:DNK326528 DDO326439:DDO326528 CTS326439:CTS326528 CJW326439:CJW326528 CAA326439:CAA326528 BQE326439:BQE326528 BGI326439:BGI326528 AWM326439:AWM326528 AMQ326439:AMQ326528 ACU326439:ACU326528 SY326439:SY326528 JC326439:JC326528 G326448:G326537 WVO260903:WVO260992 WLS260903:WLS260992 WBW260903:WBW260992 VSA260903:VSA260992 VIE260903:VIE260992 UYI260903:UYI260992 UOM260903:UOM260992 UEQ260903:UEQ260992 TUU260903:TUU260992 TKY260903:TKY260992 TBC260903:TBC260992 SRG260903:SRG260992 SHK260903:SHK260992 RXO260903:RXO260992 RNS260903:RNS260992 RDW260903:RDW260992 QUA260903:QUA260992 QKE260903:QKE260992 QAI260903:QAI260992 PQM260903:PQM260992 PGQ260903:PGQ260992 OWU260903:OWU260992 OMY260903:OMY260992 ODC260903:ODC260992 NTG260903:NTG260992 NJK260903:NJK260992 MZO260903:MZO260992 MPS260903:MPS260992 MFW260903:MFW260992 LWA260903:LWA260992 LME260903:LME260992 LCI260903:LCI260992 KSM260903:KSM260992 KIQ260903:KIQ260992 JYU260903:JYU260992 JOY260903:JOY260992 JFC260903:JFC260992 IVG260903:IVG260992 ILK260903:ILK260992 IBO260903:IBO260992 HRS260903:HRS260992 HHW260903:HHW260992 GYA260903:GYA260992 GOE260903:GOE260992 GEI260903:GEI260992 FUM260903:FUM260992 FKQ260903:FKQ260992 FAU260903:FAU260992 EQY260903:EQY260992 EHC260903:EHC260992 DXG260903:DXG260992 DNK260903:DNK260992 DDO260903:DDO260992 CTS260903:CTS260992 CJW260903:CJW260992 CAA260903:CAA260992 BQE260903:BQE260992 BGI260903:BGI260992 AWM260903:AWM260992 AMQ260903:AMQ260992 ACU260903:ACU260992 SY260903:SY260992 JC260903:JC260992 G260912:G261001 WVO195367:WVO195456 WLS195367:WLS195456 WBW195367:WBW195456 VSA195367:VSA195456 VIE195367:VIE195456 UYI195367:UYI195456 UOM195367:UOM195456 UEQ195367:UEQ195456 TUU195367:TUU195456 TKY195367:TKY195456 TBC195367:TBC195456 SRG195367:SRG195456 SHK195367:SHK195456 RXO195367:RXO195456 RNS195367:RNS195456 RDW195367:RDW195456 QUA195367:QUA195456 QKE195367:QKE195456 QAI195367:QAI195456 PQM195367:PQM195456 PGQ195367:PGQ195456 OWU195367:OWU195456 OMY195367:OMY195456 ODC195367:ODC195456 NTG195367:NTG195456 NJK195367:NJK195456 MZO195367:MZO195456 MPS195367:MPS195456 MFW195367:MFW195456 LWA195367:LWA195456 LME195367:LME195456 LCI195367:LCI195456 KSM195367:KSM195456 KIQ195367:KIQ195456 JYU195367:JYU195456 JOY195367:JOY195456 JFC195367:JFC195456 IVG195367:IVG195456 ILK195367:ILK195456 IBO195367:IBO195456 HRS195367:HRS195456 HHW195367:HHW195456 GYA195367:GYA195456 GOE195367:GOE195456 GEI195367:GEI195456 FUM195367:FUM195456 FKQ195367:FKQ195456 FAU195367:FAU195456 EQY195367:EQY195456 EHC195367:EHC195456 DXG195367:DXG195456 DNK195367:DNK195456 DDO195367:DDO195456 CTS195367:CTS195456 CJW195367:CJW195456 CAA195367:CAA195456 BQE195367:BQE195456 BGI195367:BGI195456 AWM195367:AWM195456 AMQ195367:AMQ195456 ACU195367:ACU195456 SY195367:SY195456 JC195367:JC195456 G195376:G195465 WVO129831:WVO129920 WLS129831:WLS129920 WBW129831:WBW129920 VSA129831:VSA129920 VIE129831:VIE129920 UYI129831:UYI129920 UOM129831:UOM129920 UEQ129831:UEQ129920 TUU129831:TUU129920 TKY129831:TKY129920 TBC129831:TBC129920 SRG129831:SRG129920 SHK129831:SHK129920 RXO129831:RXO129920 RNS129831:RNS129920 RDW129831:RDW129920 QUA129831:QUA129920 QKE129831:QKE129920 QAI129831:QAI129920 PQM129831:PQM129920 PGQ129831:PGQ129920 OWU129831:OWU129920 OMY129831:OMY129920 ODC129831:ODC129920 NTG129831:NTG129920 NJK129831:NJK129920 MZO129831:MZO129920 MPS129831:MPS129920 MFW129831:MFW129920 LWA129831:LWA129920 LME129831:LME129920 LCI129831:LCI129920 KSM129831:KSM129920 KIQ129831:KIQ129920 JYU129831:JYU129920 JOY129831:JOY129920 JFC129831:JFC129920 IVG129831:IVG129920 ILK129831:ILK129920 IBO129831:IBO129920 HRS129831:HRS129920 HHW129831:HHW129920 GYA129831:GYA129920 GOE129831:GOE129920 GEI129831:GEI129920 FUM129831:FUM129920 FKQ129831:FKQ129920 FAU129831:FAU129920 EQY129831:EQY129920 EHC129831:EHC129920 DXG129831:DXG129920 DNK129831:DNK129920 DDO129831:DDO129920 CTS129831:CTS129920 CJW129831:CJW129920 CAA129831:CAA129920 BQE129831:BQE129920 BGI129831:BGI129920 AWM129831:AWM129920 AMQ129831:AMQ129920 ACU129831:ACU129920 SY129831:SY129920 JC129831:JC129920 G129840:G129929 WVO64295:WVO64384 WLS64295:WLS64384 WBW64295:WBW64384 VSA64295:VSA64384 VIE64295:VIE64384 UYI64295:UYI64384 UOM64295:UOM64384 UEQ64295:UEQ64384 TUU64295:TUU64384 TKY64295:TKY64384 TBC64295:TBC64384 SRG64295:SRG64384 SHK64295:SHK64384 RXO64295:RXO64384 RNS64295:RNS64384 RDW64295:RDW64384 QUA64295:QUA64384 QKE64295:QKE64384 QAI64295:QAI64384 PQM64295:PQM64384 PGQ64295:PGQ64384 OWU64295:OWU64384 OMY64295:OMY64384 ODC64295:ODC64384 NTG64295:NTG64384 NJK64295:NJK64384 MZO64295:MZO64384 MPS64295:MPS64384 MFW64295:MFW64384 LWA64295:LWA64384 LME64295:LME64384 LCI64295:LCI64384 KSM64295:KSM64384 KIQ64295:KIQ64384 JYU64295:JYU64384 JOY64295:JOY64384 JFC64295:JFC64384 IVG64295:IVG64384 ILK64295:ILK64384 IBO64295:IBO64384 HRS64295:HRS64384 HHW64295:HHW64384 GYA64295:GYA64384 GOE64295:GOE64384 GEI64295:GEI64384 FUM64295:FUM64384 FKQ64295:FKQ64384 FAU64295:FAU64384 EQY64295:EQY64384 EHC64295:EHC64384 DXG64295:DXG64384 DNK64295:DNK64384 DDO64295:DDO64384 CTS64295:CTS64384 CJW64295:CJW64384 CAA64295:CAA64384 BQE64295:BQE64384 BGI64295:BGI64384 AWM64295:AWM64384 AMQ64295:AMQ64384 ACU64295:ACU64384 SY64295:SY64384 JC64295:JC64384 G64304:G64393 G90:G494 G2:G88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JC2:JC67" xr:uid="{EF3E344B-873B-4CCE-89D3-71F4D7C3B3E7}">
      <formula1>$AJ$2:$AJ$4</formula1>
    </dataValidation>
    <dataValidation type="list" allowBlank="1" showInputMessage="1" showErrorMessage="1" sqref="WVP981799:WVP981888 WLT981799:WLT981888 WBX981799:WBX981888 VSB981799:VSB981888 VIF981799:VIF981888 UYJ981799:UYJ981888 UON981799:UON981888 UER981799:UER981888 TUV981799:TUV981888 TKZ981799:TKZ981888 TBD981799:TBD981888 SRH981799:SRH981888 SHL981799:SHL981888 RXP981799:RXP981888 RNT981799:RNT981888 RDX981799:RDX981888 QUB981799:QUB981888 QKF981799:QKF981888 QAJ981799:QAJ981888 PQN981799:PQN981888 PGR981799:PGR981888 OWV981799:OWV981888 OMZ981799:OMZ981888 ODD981799:ODD981888 NTH981799:NTH981888 NJL981799:NJL981888 MZP981799:MZP981888 MPT981799:MPT981888 MFX981799:MFX981888 LWB981799:LWB981888 LMF981799:LMF981888 LCJ981799:LCJ981888 KSN981799:KSN981888 KIR981799:KIR981888 JYV981799:JYV981888 JOZ981799:JOZ981888 JFD981799:JFD981888 IVH981799:IVH981888 ILL981799:ILL981888 IBP981799:IBP981888 HRT981799:HRT981888 HHX981799:HHX981888 GYB981799:GYB981888 GOF981799:GOF981888 GEJ981799:GEJ981888 FUN981799:FUN981888 FKR981799:FKR981888 FAV981799:FAV981888 EQZ981799:EQZ981888 EHD981799:EHD981888 DXH981799:DXH981888 DNL981799:DNL981888 DDP981799:DDP981888 CTT981799:CTT981888 CJX981799:CJX981888 CAB981799:CAB981888 BQF981799:BQF981888 BGJ981799:BGJ981888 AWN981799:AWN981888 AMR981799:AMR981888 ACV981799:ACV981888 SZ981799:SZ981888 JD981799:JD981888 H981820:H981909 WVP916263:WVP916352 WLT916263:WLT916352 WBX916263:WBX916352 VSB916263:VSB916352 VIF916263:VIF916352 UYJ916263:UYJ916352 UON916263:UON916352 UER916263:UER916352 TUV916263:TUV916352 TKZ916263:TKZ916352 TBD916263:TBD916352 SRH916263:SRH916352 SHL916263:SHL916352 RXP916263:RXP916352 RNT916263:RNT916352 RDX916263:RDX916352 QUB916263:QUB916352 QKF916263:QKF916352 QAJ916263:QAJ916352 PQN916263:PQN916352 PGR916263:PGR916352 OWV916263:OWV916352 OMZ916263:OMZ916352 ODD916263:ODD916352 NTH916263:NTH916352 NJL916263:NJL916352 MZP916263:MZP916352 MPT916263:MPT916352 MFX916263:MFX916352 LWB916263:LWB916352 LMF916263:LMF916352 LCJ916263:LCJ916352 KSN916263:KSN916352 KIR916263:KIR916352 JYV916263:JYV916352 JOZ916263:JOZ916352 JFD916263:JFD916352 IVH916263:IVH916352 ILL916263:ILL916352 IBP916263:IBP916352 HRT916263:HRT916352 HHX916263:HHX916352 GYB916263:GYB916352 GOF916263:GOF916352 GEJ916263:GEJ916352 FUN916263:FUN916352 FKR916263:FKR916352 FAV916263:FAV916352 EQZ916263:EQZ916352 EHD916263:EHD916352 DXH916263:DXH916352 DNL916263:DNL916352 DDP916263:DDP916352 CTT916263:CTT916352 CJX916263:CJX916352 CAB916263:CAB916352 BQF916263:BQF916352 BGJ916263:BGJ916352 AWN916263:AWN916352 AMR916263:AMR916352 ACV916263:ACV916352 SZ916263:SZ916352 JD916263:JD916352 H916284:H916373 WVP850727:WVP850816 WLT850727:WLT850816 WBX850727:WBX850816 VSB850727:VSB850816 VIF850727:VIF850816 UYJ850727:UYJ850816 UON850727:UON850816 UER850727:UER850816 TUV850727:TUV850816 TKZ850727:TKZ850816 TBD850727:TBD850816 SRH850727:SRH850816 SHL850727:SHL850816 RXP850727:RXP850816 RNT850727:RNT850816 RDX850727:RDX850816 QUB850727:QUB850816 QKF850727:QKF850816 QAJ850727:QAJ850816 PQN850727:PQN850816 PGR850727:PGR850816 OWV850727:OWV850816 OMZ850727:OMZ850816 ODD850727:ODD850816 NTH850727:NTH850816 NJL850727:NJL850816 MZP850727:MZP850816 MPT850727:MPT850816 MFX850727:MFX850816 LWB850727:LWB850816 LMF850727:LMF850816 LCJ850727:LCJ850816 KSN850727:KSN850816 KIR850727:KIR850816 JYV850727:JYV850816 JOZ850727:JOZ850816 JFD850727:JFD850816 IVH850727:IVH850816 ILL850727:ILL850816 IBP850727:IBP850816 HRT850727:HRT850816 HHX850727:HHX850816 GYB850727:GYB850816 GOF850727:GOF850816 GEJ850727:GEJ850816 FUN850727:FUN850816 FKR850727:FKR850816 FAV850727:FAV850816 EQZ850727:EQZ850816 EHD850727:EHD850816 DXH850727:DXH850816 DNL850727:DNL850816 DDP850727:DDP850816 CTT850727:CTT850816 CJX850727:CJX850816 CAB850727:CAB850816 BQF850727:BQF850816 BGJ850727:BGJ850816 AWN850727:AWN850816 AMR850727:AMR850816 ACV850727:ACV850816 SZ850727:SZ850816 JD850727:JD850816 H850748:H850837 WVP785191:WVP785280 WLT785191:WLT785280 WBX785191:WBX785280 VSB785191:VSB785280 VIF785191:VIF785280 UYJ785191:UYJ785280 UON785191:UON785280 UER785191:UER785280 TUV785191:TUV785280 TKZ785191:TKZ785280 TBD785191:TBD785280 SRH785191:SRH785280 SHL785191:SHL785280 RXP785191:RXP785280 RNT785191:RNT785280 RDX785191:RDX785280 QUB785191:QUB785280 QKF785191:QKF785280 QAJ785191:QAJ785280 PQN785191:PQN785280 PGR785191:PGR785280 OWV785191:OWV785280 OMZ785191:OMZ785280 ODD785191:ODD785280 NTH785191:NTH785280 NJL785191:NJL785280 MZP785191:MZP785280 MPT785191:MPT785280 MFX785191:MFX785280 LWB785191:LWB785280 LMF785191:LMF785280 LCJ785191:LCJ785280 KSN785191:KSN785280 KIR785191:KIR785280 JYV785191:JYV785280 JOZ785191:JOZ785280 JFD785191:JFD785280 IVH785191:IVH785280 ILL785191:ILL785280 IBP785191:IBP785280 HRT785191:HRT785280 HHX785191:HHX785280 GYB785191:GYB785280 GOF785191:GOF785280 GEJ785191:GEJ785280 FUN785191:FUN785280 FKR785191:FKR785280 FAV785191:FAV785280 EQZ785191:EQZ785280 EHD785191:EHD785280 DXH785191:DXH785280 DNL785191:DNL785280 DDP785191:DDP785280 CTT785191:CTT785280 CJX785191:CJX785280 CAB785191:CAB785280 BQF785191:BQF785280 BGJ785191:BGJ785280 AWN785191:AWN785280 AMR785191:AMR785280 ACV785191:ACV785280 SZ785191:SZ785280 JD785191:JD785280 H785212:H785301 WVP719655:WVP719744 WLT719655:WLT719744 WBX719655:WBX719744 VSB719655:VSB719744 VIF719655:VIF719744 UYJ719655:UYJ719744 UON719655:UON719744 UER719655:UER719744 TUV719655:TUV719744 TKZ719655:TKZ719744 TBD719655:TBD719744 SRH719655:SRH719744 SHL719655:SHL719744 RXP719655:RXP719744 RNT719655:RNT719744 RDX719655:RDX719744 QUB719655:QUB719744 QKF719655:QKF719744 QAJ719655:QAJ719744 PQN719655:PQN719744 PGR719655:PGR719744 OWV719655:OWV719744 OMZ719655:OMZ719744 ODD719655:ODD719744 NTH719655:NTH719744 NJL719655:NJL719744 MZP719655:MZP719744 MPT719655:MPT719744 MFX719655:MFX719744 LWB719655:LWB719744 LMF719655:LMF719744 LCJ719655:LCJ719744 KSN719655:KSN719744 KIR719655:KIR719744 JYV719655:JYV719744 JOZ719655:JOZ719744 JFD719655:JFD719744 IVH719655:IVH719744 ILL719655:ILL719744 IBP719655:IBP719744 HRT719655:HRT719744 HHX719655:HHX719744 GYB719655:GYB719744 GOF719655:GOF719744 GEJ719655:GEJ719744 FUN719655:FUN719744 FKR719655:FKR719744 FAV719655:FAV719744 EQZ719655:EQZ719744 EHD719655:EHD719744 DXH719655:DXH719744 DNL719655:DNL719744 DDP719655:DDP719744 CTT719655:CTT719744 CJX719655:CJX719744 CAB719655:CAB719744 BQF719655:BQF719744 BGJ719655:BGJ719744 AWN719655:AWN719744 AMR719655:AMR719744 ACV719655:ACV719744 SZ719655:SZ719744 JD719655:JD719744 H719676:H719765 WVP654119:WVP654208 WLT654119:WLT654208 WBX654119:WBX654208 VSB654119:VSB654208 VIF654119:VIF654208 UYJ654119:UYJ654208 UON654119:UON654208 UER654119:UER654208 TUV654119:TUV654208 TKZ654119:TKZ654208 TBD654119:TBD654208 SRH654119:SRH654208 SHL654119:SHL654208 RXP654119:RXP654208 RNT654119:RNT654208 RDX654119:RDX654208 QUB654119:QUB654208 QKF654119:QKF654208 QAJ654119:QAJ654208 PQN654119:PQN654208 PGR654119:PGR654208 OWV654119:OWV654208 OMZ654119:OMZ654208 ODD654119:ODD654208 NTH654119:NTH654208 NJL654119:NJL654208 MZP654119:MZP654208 MPT654119:MPT654208 MFX654119:MFX654208 LWB654119:LWB654208 LMF654119:LMF654208 LCJ654119:LCJ654208 KSN654119:KSN654208 KIR654119:KIR654208 JYV654119:JYV654208 JOZ654119:JOZ654208 JFD654119:JFD654208 IVH654119:IVH654208 ILL654119:ILL654208 IBP654119:IBP654208 HRT654119:HRT654208 HHX654119:HHX654208 GYB654119:GYB654208 GOF654119:GOF654208 GEJ654119:GEJ654208 FUN654119:FUN654208 FKR654119:FKR654208 FAV654119:FAV654208 EQZ654119:EQZ654208 EHD654119:EHD654208 DXH654119:DXH654208 DNL654119:DNL654208 DDP654119:DDP654208 CTT654119:CTT654208 CJX654119:CJX654208 CAB654119:CAB654208 BQF654119:BQF654208 BGJ654119:BGJ654208 AWN654119:AWN654208 AMR654119:AMR654208 ACV654119:ACV654208 SZ654119:SZ654208 JD654119:JD654208 H654140:H654229 WVP588583:WVP588672 WLT588583:WLT588672 WBX588583:WBX588672 VSB588583:VSB588672 VIF588583:VIF588672 UYJ588583:UYJ588672 UON588583:UON588672 UER588583:UER588672 TUV588583:TUV588672 TKZ588583:TKZ588672 TBD588583:TBD588672 SRH588583:SRH588672 SHL588583:SHL588672 RXP588583:RXP588672 RNT588583:RNT588672 RDX588583:RDX588672 QUB588583:QUB588672 QKF588583:QKF588672 QAJ588583:QAJ588672 PQN588583:PQN588672 PGR588583:PGR588672 OWV588583:OWV588672 OMZ588583:OMZ588672 ODD588583:ODD588672 NTH588583:NTH588672 NJL588583:NJL588672 MZP588583:MZP588672 MPT588583:MPT588672 MFX588583:MFX588672 LWB588583:LWB588672 LMF588583:LMF588672 LCJ588583:LCJ588672 KSN588583:KSN588672 KIR588583:KIR588672 JYV588583:JYV588672 JOZ588583:JOZ588672 JFD588583:JFD588672 IVH588583:IVH588672 ILL588583:ILL588672 IBP588583:IBP588672 HRT588583:HRT588672 HHX588583:HHX588672 GYB588583:GYB588672 GOF588583:GOF588672 GEJ588583:GEJ588672 FUN588583:FUN588672 FKR588583:FKR588672 FAV588583:FAV588672 EQZ588583:EQZ588672 EHD588583:EHD588672 DXH588583:DXH588672 DNL588583:DNL588672 DDP588583:DDP588672 CTT588583:CTT588672 CJX588583:CJX588672 CAB588583:CAB588672 BQF588583:BQF588672 BGJ588583:BGJ588672 AWN588583:AWN588672 AMR588583:AMR588672 ACV588583:ACV588672 SZ588583:SZ588672 JD588583:JD588672 H588604:H588693 WVP523047:WVP523136 WLT523047:WLT523136 WBX523047:WBX523136 VSB523047:VSB523136 VIF523047:VIF523136 UYJ523047:UYJ523136 UON523047:UON523136 UER523047:UER523136 TUV523047:TUV523136 TKZ523047:TKZ523136 TBD523047:TBD523136 SRH523047:SRH523136 SHL523047:SHL523136 RXP523047:RXP523136 RNT523047:RNT523136 RDX523047:RDX523136 QUB523047:QUB523136 QKF523047:QKF523136 QAJ523047:QAJ523136 PQN523047:PQN523136 PGR523047:PGR523136 OWV523047:OWV523136 OMZ523047:OMZ523136 ODD523047:ODD523136 NTH523047:NTH523136 NJL523047:NJL523136 MZP523047:MZP523136 MPT523047:MPT523136 MFX523047:MFX523136 LWB523047:LWB523136 LMF523047:LMF523136 LCJ523047:LCJ523136 KSN523047:KSN523136 KIR523047:KIR523136 JYV523047:JYV523136 JOZ523047:JOZ523136 JFD523047:JFD523136 IVH523047:IVH523136 ILL523047:ILL523136 IBP523047:IBP523136 HRT523047:HRT523136 HHX523047:HHX523136 GYB523047:GYB523136 GOF523047:GOF523136 GEJ523047:GEJ523136 FUN523047:FUN523136 FKR523047:FKR523136 FAV523047:FAV523136 EQZ523047:EQZ523136 EHD523047:EHD523136 DXH523047:DXH523136 DNL523047:DNL523136 DDP523047:DDP523136 CTT523047:CTT523136 CJX523047:CJX523136 CAB523047:CAB523136 BQF523047:BQF523136 BGJ523047:BGJ523136 AWN523047:AWN523136 AMR523047:AMR523136 ACV523047:ACV523136 SZ523047:SZ523136 JD523047:JD523136 H523068:H523157 WVP457511:WVP457600 WLT457511:WLT457600 WBX457511:WBX457600 VSB457511:VSB457600 VIF457511:VIF457600 UYJ457511:UYJ457600 UON457511:UON457600 UER457511:UER457600 TUV457511:TUV457600 TKZ457511:TKZ457600 TBD457511:TBD457600 SRH457511:SRH457600 SHL457511:SHL457600 RXP457511:RXP457600 RNT457511:RNT457600 RDX457511:RDX457600 QUB457511:QUB457600 QKF457511:QKF457600 QAJ457511:QAJ457600 PQN457511:PQN457600 PGR457511:PGR457600 OWV457511:OWV457600 OMZ457511:OMZ457600 ODD457511:ODD457600 NTH457511:NTH457600 NJL457511:NJL457600 MZP457511:MZP457600 MPT457511:MPT457600 MFX457511:MFX457600 LWB457511:LWB457600 LMF457511:LMF457600 LCJ457511:LCJ457600 KSN457511:KSN457600 KIR457511:KIR457600 JYV457511:JYV457600 JOZ457511:JOZ457600 JFD457511:JFD457600 IVH457511:IVH457600 ILL457511:ILL457600 IBP457511:IBP457600 HRT457511:HRT457600 HHX457511:HHX457600 GYB457511:GYB457600 GOF457511:GOF457600 GEJ457511:GEJ457600 FUN457511:FUN457600 FKR457511:FKR457600 FAV457511:FAV457600 EQZ457511:EQZ457600 EHD457511:EHD457600 DXH457511:DXH457600 DNL457511:DNL457600 DDP457511:DDP457600 CTT457511:CTT457600 CJX457511:CJX457600 CAB457511:CAB457600 BQF457511:BQF457600 BGJ457511:BGJ457600 AWN457511:AWN457600 AMR457511:AMR457600 ACV457511:ACV457600 SZ457511:SZ457600 JD457511:JD457600 H457532:H457621 WVP391975:WVP392064 WLT391975:WLT392064 WBX391975:WBX392064 VSB391975:VSB392064 VIF391975:VIF392064 UYJ391975:UYJ392064 UON391975:UON392064 UER391975:UER392064 TUV391975:TUV392064 TKZ391975:TKZ392064 TBD391975:TBD392064 SRH391975:SRH392064 SHL391975:SHL392064 RXP391975:RXP392064 RNT391975:RNT392064 RDX391975:RDX392064 QUB391975:QUB392064 QKF391975:QKF392064 QAJ391975:QAJ392064 PQN391975:PQN392064 PGR391975:PGR392064 OWV391975:OWV392064 OMZ391975:OMZ392064 ODD391975:ODD392064 NTH391975:NTH392064 NJL391975:NJL392064 MZP391975:MZP392064 MPT391975:MPT392064 MFX391975:MFX392064 LWB391975:LWB392064 LMF391975:LMF392064 LCJ391975:LCJ392064 KSN391975:KSN392064 KIR391975:KIR392064 JYV391975:JYV392064 JOZ391975:JOZ392064 JFD391975:JFD392064 IVH391975:IVH392064 ILL391975:ILL392064 IBP391975:IBP392064 HRT391975:HRT392064 HHX391975:HHX392064 GYB391975:GYB392064 GOF391975:GOF392064 GEJ391975:GEJ392064 FUN391975:FUN392064 FKR391975:FKR392064 FAV391975:FAV392064 EQZ391975:EQZ392064 EHD391975:EHD392064 DXH391975:DXH392064 DNL391975:DNL392064 DDP391975:DDP392064 CTT391975:CTT392064 CJX391975:CJX392064 CAB391975:CAB392064 BQF391975:BQF392064 BGJ391975:BGJ392064 AWN391975:AWN392064 AMR391975:AMR392064 ACV391975:ACV392064 SZ391975:SZ392064 JD391975:JD392064 H391996:H392085 WVP326439:WVP326528 WLT326439:WLT326528 WBX326439:WBX326528 VSB326439:VSB326528 VIF326439:VIF326528 UYJ326439:UYJ326528 UON326439:UON326528 UER326439:UER326528 TUV326439:TUV326528 TKZ326439:TKZ326528 TBD326439:TBD326528 SRH326439:SRH326528 SHL326439:SHL326528 RXP326439:RXP326528 RNT326439:RNT326528 RDX326439:RDX326528 QUB326439:QUB326528 QKF326439:QKF326528 QAJ326439:QAJ326528 PQN326439:PQN326528 PGR326439:PGR326528 OWV326439:OWV326528 OMZ326439:OMZ326528 ODD326439:ODD326528 NTH326439:NTH326528 NJL326439:NJL326528 MZP326439:MZP326528 MPT326439:MPT326528 MFX326439:MFX326528 LWB326439:LWB326528 LMF326439:LMF326528 LCJ326439:LCJ326528 KSN326439:KSN326528 KIR326439:KIR326528 JYV326439:JYV326528 JOZ326439:JOZ326528 JFD326439:JFD326528 IVH326439:IVH326528 ILL326439:ILL326528 IBP326439:IBP326528 HRT326439:HRT326528 HHX326439:HHX326528 GYB326439:GYB326528 GOF326439:GOF326528 GEJ326439:GEJ326528 FUN326439:FUN326528 FKR326439:FKR326528 FAV326439:FAV326528 EQZ326439:EQZ326528 EHD326439:EHD326528 DXH326439:DXH326528 DNL326439:DNL326528 DDP326439:DDP326528 CTT326439:CTT326528 CJX326439:CJX326528 CAB326439:CAB326528 BQF326439:BQF326528 BGJ326439:BGJ326528 AWN326439:AWN326528 AMR326439:AMR326528 ACV326439:ACV326528 SZ326439:SZ326528 JD326439:JD326528 H326460:H326549 WVP260903:WVP260992 WLT260903:WLT260992 WBX260903:WBX260992 VSB260903:VSB260992 VIF260903:VIF260992 UYJ260903:UYJ260992 UON260903:UON260992 UER260903:UER260992 TUV260903:TUV260992 TKZ260903:TKZ260992 TBD260903:TBD260992 SRH260903:SRH260992 SHL260903:SHL260992 RXP260903:RXP260992 RNT260903:RNT260992 RDX260903:RDX260992 QUB260903:QUB260992 QKF260903:QKF260992 QAJ260903:QAJ260992 PQN260903:PQN260992 PGR260903:PGR260992 OWV260903:OWV260992 OMZ260903:OMZ260992 ODD260903:ODD260992 NTH260903:NTH260992 NJL260903:NJL260992 MZP260903:MZP260992 MPT260903:MPT260992 MFX260903:MFX260992 LWB260903:LWB260992 LMF260903:LMF260992 LCJ260903:LCJ260992 KSN260903:KSN260992 KIR260903:KIR260992 JYV260903:JYV260992 JOZ260903:JOZ260992 JFD260903:JFD260992 IVH260903:IVH260992 ILL260903:ILL260992 IBP260903:IBP260992 HRT260903:HRT260992 HHX260903:HHX260992 GYB260903:GYB260992 GOF260903:GOF260992 GEJ260903:GEJ260992 FUN260903:FUN260992 FKR260903:FKR260992 FAV260903:FAV260992 EQZ260903:EQZ260992 EHD260903:EHD260992 DXH260903:DXH260992 DNL260903:DNL260992 DDP260903:DDP260992 CTT260903:CTT260992 CJX260903:CJX260992 CAB260903:CAB260992 BQF260903:BQF260992 BGJ260903:BGJ260992 AWN260903:AWN260992 AMR260903:AMR260992 ACV260903:ACV260992 SZ260903:SZ260992 JD260903:JD260992 H260924:H261013 WVP195367:WVP195456 WLT195367:WLT195456 WBX195367:WBX195456 VSB195367:VSB195456 VIF195367:VIF195456 UYJ195367:UYJ195456 UON195367:UON195456 UER195367:UER195456 TUV195367:TUV195456 TKZ195367:TKZ195456 TBD195367:TBD195456 SRH195367:SRH195456 SHL195367:SHL195456 RXP195367:RXP195456 RNT195367:RNT195456 RDX195367:RDX195456 QUB195367:QUB195456 QKF195367:QKF195456 QAJ195367:QAJ195456 PQN195367:PQN195456 PGR195367:PGR195456 OWV195367:OWV195456 OMZ195367:OMZ195456 ODD195367:ODD195456 NTH195367:NTH195456 NJL195367:NJL195456 MZP195367:MZP195456 MPT195367:MPT195456 MFX195367:MFX195456 LWB195367:LWB195456 LMF195367:LMF195456 LCJ195367:LCJ195456 KSN195367:KSN195456 KIR195367:KIR195456 JYV195367:JYV195456 JOZ195367:JOZ195456 JFD195367:JFD195456 IVH195367:IVH195456 ILL195367:ILL195456 IBP195367:IBP195456 HRT195367:HRT195456 HHX195367:HHX195456 GYB195367:GYB195456 GOF195367:GOF195456 GEJ195367:GEJ195456 FUN195367:FUN195456 FKR195367:FKR195456 FAV195367:FAV195456 EQZ195367:EQZ195456 EHD195367:EHD195456 DXH195367:DXH195456 DNL195367:DNL195456 DDP195367:DDP195456 CTT195367:CTT195456 CJX195367:CJX195456 CAB195367:CAB195456 BQF195367:BQF195456 BGJ195367:BGJ195456 AWN195367:AWN195456 AMR195367:AMR195456 ACV195367:ACV195456 SZ195367:SZ195456 JD195367:JD195456 H195388:H195477 WVP129831:WVP129920 WLT129831:WLT129920 WBX129831:WBX129920 VSB129831:VSB129920 VIF129831:VIF129920 UYJ129831:UYJ129920 UON129831:UON129920 UER129831:UER129920 TUV129831:TUV129920 TKZ129831:TKZ129920 TBD129831:TBD129920 SRH129831:SRH129920 SHL129831:SHL129920 RXP129831:RXP129920 RNT129831:RNT129920 RDX129831:RDX129920 QUB129831:QUB129920 QKF129831:QKF129920 QAJ129831:QAJ129920 PQN129831:PQN129920 PGR129831:PGR129920 OWV129831:OWV129920 OMZ129831:OMZ129920 ODD129831:ODD129920 NTH129831:NTH129920 NJL129831:NJL129920 MZP129831:MZP129920 MPT129831:MPT129920 MFX129831:MFX129920 LWB129831:LWB129920 LMF129831:LMF129920 LCJ129831:LCJ129920 KSN129831:KSN129920 KIR129831:KIR129920 JYV129831:JYV129920 JOZ129831:JOZ129920 JFD129831:JFD129920 IVH129831:IVH129920 ILL129831:ILL129920 IBP129831:IBP129920 HRT129831:HRT129920 HHX129831:HHX129920 GYB129831:GYB129920 GOF129831:GOF129920 GEJ129831:GEJ129920 FUN129831:FUN129920 FKR129831:FKR129920 FAV129831:FAV129920 EQZ129831:EQZ129920 EHD129831:EHD129920 DXH129831:DXH129920 DNL129831:DNL129920 DDP129831:DDP129920 CTT129831:CTT129920 CJX129831:CJX129920 CAB129831:CAB129920 BQF129831:BQF129920 BGJ129831:BGJ129920 AWN129831:AWN129920 AMR129831:AMR129920 ACV129831:ACV129920 SZ129831:SZ129920 JD129831:JD129920 H129852:H129941 WVP64295:WVP64384 WLT64295:WLT64384 WBX64295:WBX64384 VSB64295:VSB64384 VIF64295:VIF64384 UYJ64295:UYJ64384 UON64295:UON64384 UER64295:UER64384 TUV64295:TUV64384 TKZ64295:TKZ64384 TBD64295:TBD64384 SRH64295:SRH64384 SHL64295:SHL64384 RXP64295:RXP64384 RNT64295:RNT64384 RDX64295:RDX64384 QUB64295:QUB64384 QKF64295:QKF64384 QAJ64295:QAJ64384 PQN64295:PQN64384 PGR64295:PGR64384 OWV64295:OWV64384 OMZ64295:OMZ64384 ODD64295:ODD64384 NTH64295:NTH64384 NJL64295:NJL64384 MZP64295:MZP64384 MPT64295:MPT64384 MFX64295:MFX64384 LWB64295:LWB64384 LMF64295:LMF64384 LCJ64295:LCJ64384 KSN64295:KSN64384 KIR64295:KIR64384 JYV64295:JYV64384 JOZ64295:JOZ64384 JFD64295:JFD64384 IVH64295:IVH64384 ILL64295:ILL64384 IBP64295:IBP64384 HRT64295:HRT64384 HHX64295:HHX64384 GYB64295:GYB64384 GOF64295:GOF64384 GEJ64295:GEJ64384 FUN64295:FUN64384 FKR64295:FKR64384 FAV64295:FAV64384 EQZ64295:EQZ64384 EHD64295:EHD64384 DXH64295:DXH64384 DNL64295:DNL64384 DDP64295:DDP64384 CTT64295:CTT64384 CJX64295:CJX64384 CAB64295:CAB64384 BQF64295:BQF64384 BGJ64295:BGJ64384 AWN64295:AWN64384 AMR64295:AMR64384 ACV64295:ACV64384 SZ64295:SZ64384 JD64295:JD64384 H64316:H64405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xr:uid="{BE0E8DC6-87E9-45A3-980A-4E5EBA5CDDA3}">
      <formula1>$AL$8:$AL$13</formula1>
    </dataValidation>
    <dataValidation type="list" allowBlank="1" showInputMessage="1" showErrorMessage="1" sqref="WVQ981799:WVQ981882 WLU981799:WLU981882 WBY981799:WBY981882 VSC981799:VSC981882 VIG981799:VIG981882 UYK981799:UYK981882 UOO981799:UOO981882 UES981799:UES981882 TUW981799:TUW981882 TLA981799:TLA981882 TBE981799:TBE981882 SRI981799:SRI981882 SHM981799:SHM981882 RXQ981799:RXQ981882 RNU981799:RNU981882 RDY981799:RDY981882 QUC981799:QUC981882 QKG981799:QKG981882 QAK981799:QAK981882 PQO981799:PQO981882 PGS981799:PGS981882 OWW981799:OWW981882 ONA981799:ONA981882 ODE981799:ODE981882 NTI981799:NTI981882 NJM981799:NJM981882 MZQ981799:MZQ981882 MPU981799:MPU981882 MFY981799:MFY981882 LWC981799:LWC981882 LMG981799:LMG981882 LCK981799:LCK981882 KSO981799:KSO981882 KIS981799:KIS981882 JYW981799:JYW981882 JPA981799:JPA981882 JFE981799:JFE981882 IVI981799:IVI981882 ILM981799:ILM981882 IBQ981799:IBQ981882 HRU981799:HRU981882 HHY981799:HHY981882 GYC981799:GYC981882 GOG981799:GOG981882 GEK981799:GEK981882 FUO981799:FUO981882 FKS981799:FKS981882 FAW981799:FAW981882 ERA981799:ERA981882 EHE981799:EHE981882 DXI981799:DXI981882 DNM981799:DNM981882 DDQ981799:DDQ981882 CTU981799:CTU981882 CJY981799:CJY981882 CAC981799:CAC981882 BQG981799:BQG981882 BGK981799:BGK981882 AWO981799:AWO981882 AMS981799:AMS981882 ACW981799:ACW981882 TA981799:TA981882 JE981799:JE981882 I981820:I981903 WVQ916263:WVQ916346 WLU916263:WLU916346 WBY916263:WBY916346 VSC916263:VSC916346 VIG916263:VIG916346 UYK916263:UYK916346 UOO916263:UOO916346 UES916263:UES916346 TUW916263:TUW916346 TLA916263:TLA916346 TBE916263:TBE916346 SRI916263:SRI916346 SHM916263:SHM916346 RXQ916263:RXQ916346 RNU916263:RNU916346 RDY916263:RDY916346 QUC916263:QUC916346 QKG916263:QKG916346 QAK916263:QAK916346 PQO916263:PQO916346 PGS916263:PGS916346 OWW916263:OWW916346 ONA916263:ONA916346 ODE916263:ODE916346 NTI916263:NTI916346 NJM916263:NJM916346 MZQ916263:MZQ916346 MPU916263:MPU916346 MFY916263:MFY916346 LWC916263:LWC916346 LMG916263:LMG916346 LCK916263:LCK916346 KSO916263:KSO916346 KIS916263:KIS916346 JYW916263:JYW916346 JPA916263:JPA916346 JFE916263:JFE916346 IVI916263:IVI916346 ILM916263:ILM916346 IBQ916263:IBQ916346 HRU916263:HRU916346 HHY916263:HHY916346 GYC916263:GYC916346 GOG916263:GOG916346 GEK916263:GEK916346 FUO916263:FUO916346 FKS916263:FKS916346 FAW916263:FAW916346 ERA916263:ERA916346 EHE916263:EHE916346 DXI916263:DXI916346 DNM916263:DNM916346 DDQ916263:DDQ916346 CTU916263:CTU916346 CJY916263:CJY916346 CAC916263:CAC916346 BQG916263:BQG916346 BGK916263:BGK916346 AWO916263:AWO916346 AMS916263:AMS916346 ACW916263:ACW916346 TA916263:TA916346 JE916263:JE916346 I916284:I916367 WVQ850727:WVQ850810 WLU850727:WLU850810 WBY850727:WBY850810 VSC850727:VSC850810 VIG850727:VIG850810 UYK850727:UYK850810 UOO850727:UOO850810 UES850727:UES850810 TUW850727:TUW850810 TLA850727:TLA850810 TBE850727:TBE850810 SRI850727:SRI850810 SHM850727:SHM850810 RXQ850727:RXQ850810 RNU850727:RNU850810 RDY850727:RDY850810 QUC850727:QUC850810 QKG850727:QKG850810 QAK850727:QAK850810 PQO850727:PQO850810 PGS850727:PGS850810 OWW850727:OWW850810 ONA850727:ONA850810 ODE850727:ODE850810 NTI850727:NTI850810 NJM850727:NJM850810 MZQ850727:MZQ850810 MPU850727:MPU850810 MFY850727:MFY850810 LWC850727:LWC850810 LMG850727:LMG850810 LCK850727:LCK850810 KSO850727:KSO850810 KIS850727:KIS850810 JYW850727:JYW850810 JPA850727:JPA850810 JFE850727:JFE850810 IVI850727:IVI850810 ILM850727:ILM850810 IBQ850727:IBQ850810 HRU850727:HRU850810 HHY850727:HHY850810 GYC850727:GYC850810 GOG850727:GOG850810 GEK850727:GEK850810 FUO850727:FUO850810 FKS850727:FKS850810 FAW850727:FAW850810 ERA850727:ERA850810 EHE850727:EHE850810 DXI850727:DXI850810 DNM850727:DNM850810 DDQ850727:DDQ850810 CTU850727:CTU850810 CJY850727:CJY850810 CAC850727:CAC850810 BQG850727:BQG850810 BGK850727:BGK850810 AWO850727:AWO850810 AMS850727:AMS850810 ACW850727:ACW850810 TA850727:TA850810 JE850727:JE850810 I850748:I850831 WVQ785191:WVQ785274 WLU785191:WLU785274 WBY785191:WBY785274 VSC785191:VSC785274 VIG785191:VIG785274 UYK785191:UYK785274 UOO785191:UOO785274 UES785191:UES785274 TUW785191:TUW785274 TLA785191:TLA785274 TBE785191:TBE785274 SRI785191:SRI785274 SHM785191:SHM785274 RXQ785191:RXQ785274 RNU785191:RNU785274 RDY785191:RDY785274 QUC785191:QUC785274 QKG785191:QKG785274 QAK785191:QAK785274 PQO785191:PQO785274 PGS785191:PGS785274 OWW785191:OWW785274 ONA785191:ONA785274 ODE785191:ODE785274 NTI785191:NTI785274 NJM785191:NJM785274 MZQ785191:MZQ785274 MPU785191:MPU785274 MFY785191:MFY785274 LWC785191:LWC785274 LMG785191:LMG785274 LCK785191:LCK785274 KSO785191:KSO785274 KIS785191:KIS785274 JYW785191:JYW785274 JPA785191:JPA785274 JFE785191:JFE785274 IVI785191:IVI785274 ILM785191:ILM785274 IBQ785191:IBQ785274 HRU785191:HRU785274 HHY785191:HHY785274 GYC785191:GYC785274 GOG785191:GOG785274 GEK785191:GEK785274 FUO785191:FUO785274 FKS785191:FKS785274 FAW785191:FAW785274 ERA785191:ERA785274 EHE785191:EHE785274 DXI785191:DXI785274 DNM785191:DNM785274 DDQ785191:DDQ785274 CTU785191:CTU785274 CJY785191:CJY785274 CAC785191:CAC785274 BQG785191:BQG785274 BGK785191:BGK785274 AWO785191:AWO785274 AMS785191:AMS785274 ACW785191:ACW785274 TA785191:TA785274 JE785191:JE785274 I785212:I785295 WVQ719655:WVQ719738 WLU719655:WLU719738 WBY719655:WBY719738 VSC719655:VSC719738 VIG719655:VIG719738 UYK719655:UYK719738 UOO719655:UOO719738 UES719655:UES719738 TUW719655:TUW719738 TLA719655:TLA719738 TBE719655:TBE719738 SRI719655:SRI719738 SHM719655:SHM719738 RXQ719655:RXQ719738 RNU719655:RNU719738 RDY719655:RDY719738 QUC719655:QUC719738 QKG719655:QKG719738 QAK719655:QAK719738 PQO719655:PQO719738 PGS719655:PGS719738 OWW719655:OWW719738 ONA719655:ONA719738 ODE719655:ODE719738 NTI719655:NTI719738 NJM719655:NJM719738 MZQ719655:MZQ719738 MPU719655:MPU719738 MFY719655:MFY719738 LWC719655:LWC719738 LMG719655:LMG719738 LCK719655:LCK719738 KSO719655:KSO719738 KIS719655:KIS719738 JYW719655:JYW719738 JPA719655:JPA719738 JFE719655:JFE719738 IVI719655:IVI719738 ILM719655:ILM719738 IBQ719655:IBQ719738 HRU719655:HRU719738 HHY719655:HHY719738 GYC719655:GYC719738 GOG719655:GOG719738 GEK719655:GEK719738 FUO719655:FUO719738 FKS719655:FKS719738 FAW719655:FAW719738 ERA719655:ERA719738 EHE719655:EHE719738 DXI719655:DXI719738 DNM719655:DNM719738 DDQ719655:DDQ719738 CTU719655:CTU719738 CJY719655:CJY719738 CAC719655:CAC719738 BQG719655:BQG719738 BGK719655:BGK719738 AWO719655:AWO719738 AMS719655:AMS719738 ACW719655:ACW719738 TA719655:TA719738 JE719655:JE719738 I719676:I719759 WVQ654119:WVQ654202 WLU654119:WLU654202 WBY654119:WBY654202 VSC654119:VSC654202 VIG654119:VIG654202 UYK654119:UYK654202 UOO654119:UOO654202 UES654119:UES654202 TUW654119:TUW654202 TLA654119:TLA654202 TBE654119:TBE654202 SRI654119:SRI654202 SHM654119:SHM654202 RXQ654119:RXQ654202 RNU654119:RNU654202 RDY654119:RDY654202 QUC654119:QUC654202 QKG654119:QKG654202 QAK654119:QAK654202 PQO654119:PQO654202 PGS654119:PGS654202 OWW654119:OWW654202 ONA654119:ONA654202 ODE654119:ODE654202 NTI654119:NTI654202 NJM654119:NJM654202 MZQ654119:MZQ654202 MPU654119:MPU654202 MFY654119:MFY654202 LWC654119:LWC654202 LMG654119:LMG654202 LCK654119:LCK654202 KSO654119:KSO654202 KIS654119:KIS654202 JYW654119:JYW654202 JPA654119:JPA654202 JFE654119:JFE654202 IVI654119:IVI654202 ILM654119:ILM654202 IBQ654119:IBQ654202 HRU654119:HRU654202 HHY654119:HHY654202 GYC654119:GYC654202 GOG654119:GOG654202 GEK654119:GEK654202 FUO654119:FUO654202 FKS654119:FKS654202 FAW654119:FAW654202 ERA654119:ERA654202 EHE654119:EHE654202 DXI654119:DXI654202 DNM654119:DNM654202 DDQ654119:DDQ654202 CTU654119:CTU654202 CJY654119:CJY654202 CAC654119:CAC654202 BQG654119:BQG654202 BGK654119:BGK654202 AWO654119:AWO654202 AMS654119:AMS654202 ACW654119:ACW654202 TA654119:TA654202 JE654119:JE654202 I654140:I654223 WVQ588583:WVQ588666 WLU588583:WLU588666 WBY588583:WBY588666 VSC588583:VSC588666 VIG588583:VIG588666 UYK588583:UYK588666 UOO588583:UOO588666 UES588583:UES588666 TUW588583:TUW588666 TLA588583:TLA588666 TBE588583:TBE588666 SRI588583:SRI588666 SHM588583:SHM588666 RXQ588583:RXQ588666 RNU588583:RNU588666 RDY588583:RDY588666 QUC588583:QUC588666 QKG588583:QKG588666 QAK588583:QAK588666 PQO588583:PQO588666 PGS588583:PGS588666 OWW588583:OWW588666 ONA588583:ONA588666 ODE588583:ODE588666 NTI588583:NTI588666 NJM588583:NJM588666 MZQ588583:MZQ588666 MPU588583:MPU588666 MFY588583:MFY588666 LWC588583:LWC588666 LMG588583:LMG588666 LCK588583:LCK588666 KSO588583:KSO588666 KIS588583:KIS588666 JYW588583:JYW588666 JPA588583:JPA588666 JFE588583:JFE588666 IVI588583:IVI588666 ILM588583:ILM588666 IBQ588583:IBQ588666 HRU588583:HRU588666 HHY588583:HHY588666 GYC588583:GYC588666 GOG588583:GOG588666 GEK588583:GEK588666 FUO588583:FUO588666 FKS588583:FKS588666 FAW588583:FAW588666 ERA588583:ERA588666 EHE588583:EHE588666 DXI588583:DXI588666 DNM588583:DNM588666 DDQ588583:DDQ588666 CTU588583:CTU588666 CJY588583:CJY588666 CAC588583:CAC588666 BQG588583:BQG588666 BGK588583:BGK588666 AWO588583:AWO588666 AMS588583:AMS588666 ACW588583:ACW588666 TA588583:TA588666 JE588583:JE588666 I588604:I588687 WVQ523047:WVQ523130 WLU523047:WLU523130 WBY523047:WBY523130 VSC523047:VSC523130 VIG523047:VIG523130 UYK523047:UYK523130 UOO523047:UOO523130 UES523047:UES523130 TUW523047:TUW523130 TLA523047:TLA523130 TBE523047:TBE523130 SRI523047:SRI523130 SHM523047:SHM523130 RXQ523047:RXQ523130 RNU523047:RNU523130 RDY523047:RDY523130 QUC523047:QUC523130 QKG523047:QKG523130 QAK523047:QAK523130 PQO523047:PQO523130 PGS523047:PGS523130 OWW523047:OWW523130 ONA523047:ONA523130 ODE523047:ODE523130 NTI523047:NTI523130 NJM523047:NJM523130 MZQ523047:MZQ523130 MPU523047:MPU523130 MFY523047:MFY523130 LWC523047:LWC523130 LMG523047:LMG523130 LCK523047:LCK523130 KSO523047:KSO523130 KIS523047:KIS523130 JYW523047:JYW523130 JPA523047:JPA523130 JFE523047:JFE523130 IVI523047:IVI523130 ILM523047:ILM523130 IBQ523047:IBQ523130 HRU523047:HRU523130 HHY523047:HHY523130 GYC523047:GYC523130 GOG523047:GOG523130 GEK523047:GEK523130 FUO523047:FUO523130 FKS523047:FKS523130 FAW523047:FAW523130 ERA523047:ERA523130 EHE523047:EHE523130 DXI523047:DXI523130 DNM523047:DNM523130 DDQ523047:DDQ523130 CTU523047:CTU523130 CJY523047:CJY523130 CAC523047:CAC523130 BQG523047:BQG523130 BGK523047:BGK523130 AWO523047:AWO523130 AMS523047:AMS523130 ACW523047:ACW523130 TA523047:TA523130 JE523047:JE523130 I523068:I523151 WVQ457511:WVQ457594 WLU457511:WLU457594 WBY457511:WBY457594 VSC457511:VSC457594 VIG457511:VIG457594 UYK457511:UYK457594 UOO457511:UOO457594 UES457511:UES457594 TUW457511:TUW457594 TLA457511:TLA457594 TBE457511:TBE457594 SRI457511:SRI457594 SHM457511:SHM457594 RXQ457511:RXQ457594 RNU457511:RNU457594 RDY457511:RDY457594 QUC457511:QUC457594 QKG457511:QKG457594 QAK457511:QAK457594 PQO457511:PQO457594 PGS457511:PGS457594 OWW457511:OWW457594 ONA457511:ONA457594 ODE457511:ODE457594 NTI457511:NTI457594 NJM457511:NJM457594 MZQ457511:MZQ457594 MPU457511:MPU457594 MFY457511:MFY457594 LWC457511:LWC457594 LMG457511:LMG457594 LCK457511:LCK457594 KSO457511:KSO457594 KIS457511:KIS457594 JYW457511:JYW457594 JPA457511:JPA457594 JFE457511:JFE457594 IVI457511:IVI457594 ILM457511:ILM457594 IBQ457511:IBQ457594 HRU457511:HRU457594 HHY457511:HHY457594 GYC457511:GYC457594 GOG457511:GOG457594 GEK457511:GEK457594 FUO457511:FUO457594 FKS457511:FKS457594 FAW457511:FAW457594 ERA457511:ERA457594 EHE457511:EHE457594 DXI457511:DXI457594 DNM457511:DNM457594 DDQ457511:DDQ457594 CTU457511:CTU457594 CJY457511:CJY457594 CAC457511:CAC457594 BQG457511:BQG457594 BGK457511:BGK457594 AWO457511:AWO457594 AMS457511:AMS457594 ACW457511:ACW457594 TA457511:TA457594 JE457511:JE457594 I457532:I457615 WVQ391975:WVQ392058 WLU391975:WLU392058 WBY391975:WBY392058 VSC391975:VSC392058 VIG391975:VIG392058 UYK391975:UYK392058 UOO391975:UOO392058 UES391975:UES392058 TUW391975:TUW392058 TLA391975:TLA392058 TBE391975:TBE392058 SRI391975:SRI392058 SHM391975:SHM392058 RXQ391975:RXQ392058 RNU391975:RNU392058 RDY391975:RDY392058 QUC391975:QUC392058 QKG391975:QKG392058 QAK391975:QAK392058 PQO391975:PQO392058 PGS391975:PGS392058 OWW391975:OWW392058 ONA391975:ONA392058 ODE391975:ODE392058 NTI391975:NTI392058 NJM391975:NJM392058 MZQ391975:MZQ392058 MPU391975:MPU392058 MFY391975:MFY392058 LWC391975:LWC392058 LMG391975:LMG392058 LCK391975:LCK392058 KSO391975:KSO392058 KIS391975:KIS392058 JYW391975:JYW392058 JPA391975:JPA392058 JFE391975:JFE392058 IVI391975:IVI392058 ILM391975:ILM392058 IBQ391975:IBQ392058 HRU391975:HRU392058 HHY391975:HHY392058 GYC391975:GYC392058 GOG391975:GOG392058 GEK391975:GEK392058 FUO391975:FUO392058 FKS391975:FKS392058 FAW391975:FAW392058 ERA391975:ERA392058 EHE391975:EHE392058 DXI391975:DXI392058 DNM391975:DNM392058 DDQ391975:DDQ392058 CTU391975:CTU392058 CJY391975:CJY392058 CAC391975:CAC392058 BQG391975:BQG392058 BGK391975:BGK392058 AWO391975:AWO392058 AMS391975:AMS392058 ACW391975:ACW392058 TA391975:TA392058 JE391975:JE392058 I391996:I392079 WVQ326439:WVQ326522 WLU326439:WLU326522 WBY326439:WBY326522 VSC326439:VSC326522 VIG326439:VIG326522 UYK326439:UYK326522 UOO326439:UOO326522 UES326439:UES326522 TUW326439:TUW326522 TLA326439:TLA326522 TBE326439:TBE326522 SRI326439:SRI326522 SHM326439:SHM326522 RXQ326439:RXQ326522 RNU326439:RNU326522 RDY326439:RDY326522 QUC326439:QUC326522 QKG326439:QKG326522 QAK326439:QAK326522 PQO326439:PQO326522 PGS326439:PGS326522 OWW326439:OWW326522 ONA326439:ONA326522 ODE326439:ODE326522 NTI326439:NTI326522 NJM326439:NJM326522 MZQ326439:MZQ326522 MPU326439:MPU326522 MFY326439:MFY326522 LWC326439:LWC326522 LMG326439:LMG326522 LCK326439:LCK326522 KSO326439:KSO326522 KIS326439:KIS326522 JYW326439:JYW326522 JPA326439:JPA326522 JFE326439:JFE326522 IVI326439:IVI326522 ILM326439:ILM326522 IBQ326439:IBQ326522 HRU326439:HRU326522 HHY326439:HHY326522 GYC326439:GYC326522 GOG326439:GOG326522 GEK326439:GEK326522 FUO326439:FUO326522 FKS326439:FKS326522 FAW326439:FAW326522 ERA326439:ERA326522 EHE326439:EHE326522 DXI326439:DXI326522 DNM326439:DNM326522 DDQ326439:DDQ326522 CTU326439:CTU326522 CJY326439:CJY326522 CAC326439:CAC326522 BQG326439:BQG326522 BGK326439:BGK326522 AWO326439:AWO326522 AMS326439:AMS326522 ACW326439:ACW326522 TA326439:TA326522 JE326439:JE326522 I326460:I326543 WVQ260903:WVQ260986 WLU260903:WLU260986 WBY260903:WBY260986 VSC260903:VSC260986 VIG260903:VIG260986 UYK260903:UYK260986 UOO260903:UOO260986 UES260903:UES260986 TUW260903:TUW260986 TLA260903:TLA260986 TBE260903:TBE260986 SRI260903:SRI260986 SHM260903:SHM260986 RXQ260903:RXQ260986 RNU260903:RNU260986 RDY260903:RDY260986 QUC260903:QUC260986 QKG260903:QKG260986 QAK260903:QAK260986 PQO260903:PQO260986 PGS260903:PGS260986 OWW260903:OWW260986 ONA260903:ONA260986 ODE260903:ODE260986 NTI260903:NTI260986 NJM260903:NJM260986 MZQ260903:MZQ260986 MPU260903:MPU260986 MFY260903:MFY260986 LWC260903:LWC260986 LMG260903:LMG260986 LCK260903:LCK260986 KSO260903:KSO260986 KIS260903:KIS260986 JYW260903:JYW260986 JPA260903:JPA260986 JFE260903:JFE260986 IVI260903:IVI260986 ILM260903:ILM260986 IBQ260903:IBQ260986 HRU260903:HRU260986 HHY260903:HHY260986 GYC260903:GYC260986 GOG260903:GOG260986 GEK260903:GEK260986 FUO260903:FUO260986 FKS260903:FKS260986 FAW260903:FAW260986 ERA260903:ERA260986 EHE260903:EHE260986 DXI260903:DXI260986 DNM260903:DNM260986 DDQ260903:DDQ260986 CTU260903:CTU260986 CJY260903:CJY260986 CAC260903:CAC260986 BQG260903:BQG260986 BGK260903:BGK260986 AWO260903:AWO260986 AMS260903:AMS260986 ACW260903:ACW260986 TA260903:TA260986 JE260903:JE260986 I260924:I261007 WVQ195367:WVQ195450 WLU195367:WLU195450 WBY195367:WBY195450 VSC195367:VSC195450 VIG195367:VIG195450 UYK195367:UYK195450 UOO195367:UOO195450 UES195367:UES195450 TUW195367:TUW195450 TLA195367:TLA195450 TBE195367:TBE195450 SRI195367:SRI195450 SHM195367:SHM195450 RXQ195367:RXQ195450 RNU195367:RNU195450 RDY195367:RDY195450 QUC195367:QUC195450 QKG195367:QKG195450 QAK195367:QAK195450 PQO195367:PQO195450 PGS195367:PGS195450 OWW195367:OWW195450 ONA195367:ONA195450 ODE195367:ODE195450 NTI195367:NTI195450 NJM195367:NJM195450 MZQ195367:MZQ195450 MPU195367:MPU195450 MFY195367:MFY195450 LWC195367:LWC195450 LMG195367:LMG195450 LCK195367:LCK195450 KSO195367:KSO195450 KIS195367:KIS195450 JYW195367:JYW195450 JPA195367:JPA195450 JFE195367:JFE195450 IVI195367:IVI195450 ILM195367:ILM195450 IBQ195367:IBQ195450 HRU195367:HRU195450 HHY195367:HHY195450 GYC195367:GYC195450 GOG195367:GOG195450 GEK195367:GEK195450 FUO195367:FUO195450 FKS195367:FKS195450 FAW195367:FAW195450 ERA195367:ERA195450 EHE195367:EHE195450 DXI195367:DXI195450 DNM195367:DNM195450 DDQ195367:DDQ195450 CTU195367:CTU195450 CJY195367:CJY195450 CAC195367:CAC195450 BQG195367:BQG195450 BGK195367:BGK195450 AWO195367:AWO195450 AMS195367:AMS195450 ACW195367:ACW195450 TA195367:TA195450 JE195367:JE195450 I195388:I195471 WVQ129831:WVQ129914 WLU129831:WLU129914 WBY129831:WBY129914 VSC129831:VSC129914 VIG129831:VIG129914 UYK129831:UYK129914 UOO129831:UOO129914 UES129831:UES129914 TUW129831:TUW129914 TLA129831:TLA129914 TBE129831:TBE129914 SRI129831:SRI129914 SHM129831:SHM129914 RXQ129831:RXQ129914 RNU129831:RNU129914 RDY129831:RDY129914 QUC129831:QUC129914 QKG129831:QKG129914 QAK129831:QAK129914 PQO129831:PQO129914 PGS129831:PGS129914 OWW129831:OWW129914 ONA129831:ONA129914 ODE129831:ODE129914 NTI129831:NTI129914 NJM129831:NJM129914 MZQ129831:MZQ129914 MPU129831:MPU129914 MFY129831:MFY129914 LWC129831:LWC129914 LMG129831:LMG129914 LCK129831:LCK129914 KSO129831:KSO129914 KIS129831:KIS129914 JYW129831:JYW129914 JPA129831:JPA129914 JFE129831:JFE129914 IVI129831:IVI129914 ILM129831:ILM129914 IBQ129831:IBQ129914 HRU129831:HRU129914 HHY129831:HHY129914 GYC129831:GYC129914 GOG129831:GOG129914 GEK129831:GEK129914 FUO129831:FUO129914 FKS129831:FKS129914 FAW129831:FAW129914 ERA129831:ERA129914 EHE129831:EHE129914 DXI129831:DXI129914 DNM129831:DNM129914 DDQ129831:DDQ129914 CTU129831:CTU129914 CJY129831:CJY129914 CAC129831:CAC129914 BQG129831:BQG129914 BGK129831:BGK129914 AWO129831:AWO129914 AMS129831:AMS129914 ACW129831:ACW129914 TA129831:TA129914 JE129831:JE129914 I129852:I129935 WVQ64295:WVQ64378 WLU64295:WLU64378 WBY64295:WBY64378 VSC64295:VSC64378 VIG64295:VIG64378 UYK64295:UYK64378 UOO64295:UOO64378 UES64295:UES64378 TUW64295:TUW64378 TLA64295:TLA64378 TBE64295:TBE64378 SRI64295:SRI64378 SHM64295:SHM64378 RXQ64295:RXQ64378 RNU64295:RNU64378 RDY64295:RDY64378 QUC64295:QUC64378 QKG64295:QKG64378 QAK64295:QAK64378 PQO64295:PQO64378 PGS64295:PGS64378 OWW64295:OWW64378 ONA64295:ONA64378 ODE64295:ODE64378 NTI64295:NTI64378 NJM64295:NJM64378 MZQ64295:MZQ64378 MPU64295:MPU64378 MFY64295:MFY64378 LWC64295:LWC64378 LMG64295:LMG64378 LCK64295:LCK64378 KSO64295:KSO64378 KIS64295:KIS64378 JYW64295:JYW64378 JPA64295:JPA64378 JFE64295:JFE64378 IVI64295:IVI64378 ILM64295:ILM64378 IBQ64295:IBQ64378 HRU64295:HRU64378 HHY64295:HHY64378 GYC64295:GYC64378 GOG64295:GOG64378 GEK64295:GEK64378 FUO64295:FUO64378 FKS64295:FKS64378 FAW64295:FAW64378 ERA64295:ERA64378 EHE64295:EHE64378 DXI64295:DXI64378 DNM64295:DNM64378 DDQ64295:DDQ64378 CTU64295:CTU64378 CJY64295:CJY64378 CAC64295:CAC64378 BQG64295:BQG64378 BGK64295:BGK64378 AWO64295:AWO64378 AMS64295:AMS64378 ACW64295:ACW64378 TA64295:TA64378 JE64295:JE64378 I64316:I64399 I90:I494 I2:I88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JE2:JE67" xr:uid="{B71B3410-76F7-47BA-815F-5CFAFA22EEE1}">
      <formula1>$AN$5:$AN$6</formula1>
    </dataValidation>
    <dataValidation type="list" allowBlank="1" showInputMessage="1" showErrorMessage="1" sqref="WWG981799:WWI981882 WCO981799:WCQ981882 WMK981799:WMM981882 Y64295:AA64378 JU64295:JW64378 TQ64295:TS64378 ADM64295:ADO64378 ANI64295:ANK64378 AXE64295:AXG64378 BHA64295:BHC64378 BQW64295:BQY64378 CAS64295:CAU64378 CKO64295:CKQ64378 CUK64295:CUM64378 DEG64295:DEI64378 DOC64295:DOE64378 DXY64295:DYA64378 EHU64295:EHW64378 ERQ64295:ERS64378 FBM64295:FBO64378 FLI64295:FLK64378 FVE64295:FVG64378 GFA64295:GFC64378 GOW64295:GOY64378 GYS64295:GYU64378 HIO64295:HIQ64378 HSK64295:HSM64378 ICG64295:ICI64378 IMC64295:IME64378 IVY64295:IWA64378 JFU64295:JFW64378 JPQ64295:JPS64378 JZM64295:JZO64378 KJI64295:KJK64378 KTE64295:KTG64378 LDA64295:LDC64378 LMW64295:LMY64378 LWS64295:LWU64378 MGO64295:MGQ64378 MQK64295:MQM64378 NAG64295:NAI64378 NKC64295:NKE64378 NTY64295:NUA64378 ODU64295:ODW64378 ONQ64295:ONS64378 OXM64295:OXO64378 PHI64295:PHK64378 PRE64295:PRG64378 QBA64295:QBC64378 QKW64295:QKY64378 QUS64295:QUU64378 REO64295:REQ64378 ROK64295:ROM64378 RYG64295:RYI64378 SIC64295:SIE64378 SRY64295:SSA64378 TBU64295:TBW64378 TLQ64295:TLS64378 TVM64295:TVO64378 UFI64295:UFK64378 UPE64295:UPG64378 UZA64295:UZC64378 VIW64295:VIY64378 VSS64295:VSU64378 WCO64295:WCQ64378 WMK64295:WMM64378 WWG64295:WWI64378 Y129831:AA129914 JU129831:JW129914 TQ129831:TS129914 ADM129831:ADO129914 ANI129831:ANK129914 AXE129831:AXG129914 BHA129831:BHC129914 BQW129831:BQY129914 CAS129831:CAU129914 CKO129831:CKQ129914 CUK129831:CUM129914 DEG129831:DEI129914 DOC129831:DOE129914 DXY129831:DYA129914 EHU129831:EHW129914 ERQ129831:ERS129914 FBM129831:FBO129914 FLI129831:FLK129914 FVE129831:FVG129914 GFA129831:GFC129914 GOW129831:GOY129914 GYS129831:GYU129914 HIO129831:HIQ129914 HSK129831:HSM129914 ICG129831:ICI129914 IMC129831:IME129914 IVY129831:IWA129914 JFU129831:JFW129914 JPQ129831:JPS129914 JZM129831:JZO129914 KJI129831:KJK129914 KTE129831:KTG129914 LDA129831:LDC129914 LMW129831:LMY129914 LWS129831:LWU129914 MGO129831:MGQ129914 MQK129831:MQM129914 NAG129831:NAI129914 NKC129831:NKE129914 NTY129831:NUA129914 ODU129831:ODW129914 ONQ129831:ONS129914 OXM129831:OXO129914 PHI129831:PHK129914 PRE129831:PRG129914 QBA129831:QBC129914 QKW129831:QKY129914 QUS129831:QUU129914 REO129831:REQ129914 ROK129831:ROM129914 RYG129831:RYI129914 SIC129831:SIE129914 SRY129831:SSA129914 TBU129831:TBW129914 TLQ129831:TLS129914 TVM129831:TVO129914 UFI129831:UFK129914 UPE129831:UPG129914 UZA129831:UZC129914 VIW129831:VIY129914 VSS129831:VSU129914 WCO129831:WCQ129914 WMK129831:WMM129914 WWG129831:WWI129914 Y195367:AA195450 JU195367:JW195450 TQ195367:TS195450 ADM195367:ADO195450 ANI195367:ANK195450 AXE195367:AXG195450 BHA195367:BHC195450 BQW195367:BQY195450 CAS195367:CAU195450 CKO195367:CKQ195450 CUK195367:CUM195450 DEG195367:DEI195450 DOC195367:DOE195450 DXY195367:DYA195450 EHU195367:EHW195450 ERQ195367:ERS195450 FBM195367:FBO195450 FLI195367:FLK195450 FVE195367:FVG195450 GFA195367:GFC195450 GOW195367:GOY195450 GYS195367:GYU195450 HIO195367:HIQ195450 HSK195367:HSM195450 ICG195367:ICI195450 IMC195367:IME195450 IVY195367:IWA195450 JFU195367:JFW195450 JPQ195367:JPS195450 JZM195367:JZO195450 KJI195367:KJK195450 KTE195367:KTG195450 LDA195367:LDC195450 LMW195367:LMY195450 LWS195367:LWU195450 MGO195367:MGQ195450 MQK195367:MQM195450 NAG195367:NAI195450 NKC195367:NKE195450 NTY195367:NUA195450 ODU195367:ODW195450 ONQ195367:ONS195450 OXM195367:OXO195450 PHI195367:PHK195450 PRE195367:PRG195450 QBA195367:QBC195450 QKW195367:QKY195450 QUS195367:QUU195450 REO195367:REQ195450 ROK195367:ROM195450 RYG195367:RYI195450 SIC195367:SIE195450 SRY195367:SSA195450 TBU195367:TBW195450 TLQ195367:TLS195450 TVM195367:TVO195450 UFI195367:UFK195450 UPE195367:UPG195450 UZA195367:UZC195450 VIW195367:VIY195450 VSS195367:VSU195450 WCO195367:WCQ195450 WMK195367:WMM195450 WWG195367:WWI195450 Y260903:AA260986 JU260903:JW260986 TQ260903:TS260986 ADM260903:ADO260986 ANI260903:ANK260986 AXE260903:AXG260986 BHA260903:BHC260986 BQW260903:BQY260986 CAS260903:CAU260986 CKO260903:CKQ260986 CUK260903:CUM260986 DEG260903:DEI260986 DOC260903:DOE260986 DXY260903:DYA260986 EHU260903:EHW260986 ERQ260903:ERS260986 FBM260903:FBO260986 FLI260903:FLK260986 FVE260903:FVG260986 GFA260903:GFC260986 GOW260903:GOY260986 GYS260903:GYU260986 HIO260903:HIQ260986 HSK260903:HSM260986 ICG260903:ICI260986 IMC260903:IME260986 IVY260903:IWA260986 JFU260903:JFW260986 JPQ260903:JPS260986 JZM260903:JZO260986 KJI260903:KJK260986 KTE260903:KTG260986 LDA260903:LDC260986 LMW260903:LMY260986 LWS260903:LWU260986 MGO260903:MGQ260986 MQK260903:MQM260986 NAG260903:NAI260986 NKC260903:NKE260986 NTY260903:NUA260986 ODU260903:ODW260986 ONQ260903:ONS260986 OXM260903:OXO260986 PHI260903:PHK260986 PRE260903:PRG260986 QBA260903:QBC260986 QKW260903:QKY260986 QUS260903:QUU260986 REO260903:REQ260986 ROK260903:ROM260986 RYG260903:RYI260986 SIC260903:SIE260986 SRY260903:SSA260986 TBU260903:TBW260986 TLQ260903:TLS260986 TVM260903:TVO260986 UFI260903:UFK260986 UPE260903:UPG260986 UZA260903:UZC260986 VIW260903:VIY260986 VSS260903:VSU260986 WCO260903:WCQ260986 WMK260903:WMM260986 WWG260903:WWI260986 Y326439:AA326522 JU326439:JW326522 TQ326439:TS326522 ADM326439:ADO326522 ANI326439:ANK326522 AXE326439:AXG326522 BHA326439:BHC326522 BQW326439:BQY326522 CAS326439:CAU326522 CKO326439:CKQ326522 CUK326439:CUM326522 DEG326439:DEI326522 DOC326439:DOE326522 DXY326439:DYA326522 EHU326439:EHW326522 ERQ326439:ERS326522 FBM326439:FBO326522 FLI326439:FLK326522 FVE326439:FVG326522 GFA326439:GFC326522 GOW326439:GOY326522 GYS326439:GYU326522 HIO326439:HIQ326522 HSK326439:HSM326522 ICG326439:ICI326522 IMC326439:IME326522 IVY326439:IWA326522 JFU326439:JFW326522 JPQ326439:JPS326522 JZM326439:JZO326522 KJI326439:KJK326522 KTE326439:KTG326522 LDA326439:LDC326522 LMW326439:LMY326522 LWS326439:LWU326522 MGO326439:MGQ326522 MQK326439:MQM326522 NAG326439:NAI326522 NKC326439:NKE326522 NTY326439:NUA326522 ODU326439:ODW326522 ONQ326439:ONS326522 OXM326439:OXO326522 PHI326439:PHK326522 PRE326439:PRG326522 QBA326439:QBC326522 QKW326439:QKY326522 QUS326439:QUU326522 REO326439:REQ326522 ROK326439:ROM326522 RYG326439:RYI326522 SIC326439:SIE326522 SRY326439:SSA326522 TBU326439:TBW326522 TLQ326439:TLS326522 TVM326439:TVO326522 UFI326439:UFK326522 UPE326439:UPG326522 UZA326439:UZC326522 VIW326439:VIY326522 VSS326439:VSU326522 WCO326439:WCQ326522 WMK326439:WMM326522 WWG326439:WWI326522 Y391975:AA392058 JU391975:JW392058 TQ391975:TS392058 ADM391975:ADO392058 ANI391975:ANK392058 AXE391975:AXG392058 BHA391975:BHC392058 BQW391975:BQY392058 CAS391975:CAU392058 CKO391975:CKQ392058 CUK391975:CUM392058 DEG391975:DEI392058 DOC391975:DOE392058 DXY391975:DYA392058 EHU391975:EHW392058 ERQ391975:ERS392058 FBM391975:FBO392058 FLI391975:FLK392058 FVE391975:FVG392058 GFA391975:GFC392058 GOW391975:GOY392058 GYS391975:GYU392058 HIO391975:HIQ392058 HSK391975:HSM392058 ICG391975:ICI392058 IMC391975:IME392058 IVY391975:IWA392058 JFU391975:JFW392058 JPQ391975:JPS392058 JZM391975:JZO392058 KJI391975:KJK392058 KTE391975:KTG392058 LDA391975:LDC392058 LMW391975:LMY392058 LWS391975:LWU392058 MGO391975:MGQ392058 MQK391975:MQM392058 NAG391975:NAI392058 NKC391975:NKE392058 NTY391975:NUA392058 ODU391975:ODW392058 ONQ391975:ONS392058 OXM391975:OXO392058 PHI391975:PHK392058 PRE391975:PRG392058 QBA391975:QBC392058 QKW391975:QKY392058 QUS391975:QUU392058 REO391975:REQ392058 ROK391975:ROM392058 RYG391975:RYI392058 SIC391975:SIE392058 SRY391975:SSA392058 TBU391975:TBW392058 TLQ391975:TLS392058 TVM391975:TVO392058 UFI391975:UFK392058 UPE391975:UPG392058 UZA391975:UZC392058 VIW391975:VIY392058 VSS391975:VSU392058 WCO391975:WCQ392058 WMK391975:WMM392058 WWG391975:WWI392058 Y457511:AA457594 JU457511:JW457594 TQ457511:TS457594 ADM457511:ADO457594 ANI457511:ANK457594 AXE457511:AXG457594 BHA457511:BHC457594 BQW457511:BQY457594 CAS457511:CAU457594 CKO457511:CKQ457594 CUK457511:CUM457594 DEG457511:DEI457594 DOC457511:DOE457594 DXY457511:DYA457594 EHU457511:EHW457594 ERQ457511:ERS457594 FBM457511:FBO457594 FLI457511:FLK457594 FVE457511:FVG457594 GFA457511:GFC457594 GOW457511:GOY457594 GYS457511:GYU457594 HIO457511:HIQ457594 HSK457511:HSM457594 ICG457511:ICI457594 IMC457511:IME457594 IVY457511:IWA457594 JFU457511:JFW457594 JPQ457511:JPS457594 JZM457511:JZO457594 KJI457511:KJK457594 KTE457511:KTG457594 LDA457511:LDC457594 LMW457511:LMY457594 LWS457511:LWU457594 MGO457511:MGQ457594 MQK457511:MQM457594 NAG457511:NAI457594 NKC457511:NKE457594 NTY457511:NUA457594 ODU457511:ODW457594 ONQ457511:ONS457594 OXM457511:OXO457594 PHI457511:PHK457594 PRE457511:PRG457594 QBA457511:QBC457594 QKW457511:QKY457594 QUS457511:QUU457594 REO457511:REQ457594 ROK457511:ROM457594 RYG457511:RYI457594 SIC457511:SIE457594 SRY457511:SSA457594 TBU457511:TBW457594 TLQ457511:TLS457594 TVM457511:TVO457594 UFI457511:UFK457594 UPE457511:UPG457594 UZA457511:UZC457594 VIW457511:VIY457594 VSS457511:VSU457594 WCO457511:WCQ457594 WMK457511:WMM457594 WWG457511:WWI457594 Y523047:AA523130 JU523047:JW523130 TQ523047:TS523130 ADM523047:ADO523130 ANI523047:ANK523130 AXE523047:AXG523130 BHA523047:BHC523130 BQW523047:BQY523130 CAS523047:CAU523130 CKO523047:CKQ523130 CUK523047:CUM523130 DEG523047:DEI523130 DOC523047:DOE523130 DXY523047:DYA523130 EHU523047:EHW523130 ERQ523047:ERS523130 FBM523047:FBO523130 FLI523047:FLK523130 FVE523047:FVG523130 GFA523047:GFC523130 GOW523047:GOY523130 GYS523047:GYU523130 HIO523047:HIQ523130 HSK523047:HSM523130 ICG523047:ICI523130 IMC523047:IME523130 IVY523047:IWA523130 JFU523047:JFW523130 JPQ523047:JPS523130 JZM523047:JZO523130 KJI523047:KJK523130 KTE523047:KTG523130 LDA523047:LDC523130 LMW523047:LMY523130 LWS523047:LWU523130 MGO523047:MGQ523130 MQK523047:MQM523130 NAG523047:NAI523130 NKC523047:NKE523130 NTY523047:NUA523130 ODU523047:ODW523130 ONQ523047:ONS523130 OXM523047:OXO523130 PHI523047:PHK523130 PRE523047:PRG523130 QBA523047:QBC523130 QKW523047:QKY523130 QUS523047:QUU523130 REO523047:REQ523130 ROK523047:ROM523130 RYG523047:RYI523130 SIC523047:SIE523130 SRY523047:SSA523130 TBU523047:TBW523130 TLQ523047:TLS523130 TVM523047:TVO523130 UFI523047:UFK523130 UPE523047:UPG523130 UZA523047:UZC523130 VIW523047:VIY523130 VSS523047:VSU523130 WCO523047:WCQ523130 WMK523047:WMM523130 WWG523047:WWI523130 Y588583:AA588666 JU588583:JW588666 TQ588583:TS588666 ADM588583:ADO588666 ANI588583:ANK588666 AXE588583:AXG588666 BHA588583:BHC588666 BQW588583:BQY588666 CAS588583:CAU588666 CKO588583:CKQ588666 CUK588583:CUM588666 DEG588583:DEI588666 DOC588583:DOE588666 DXY588583:DYA588666 EHU588583:EHW588666 ERQ588583:ERS588666 FBM588583:FBO588666 FLI588583:FLK588666 FVE588583:FVG588666 GFA588583:GFC588666 GOW588583:GOY588666 GYS588583:GYU588666 HIO588583:HIQ588666 HSK588583:HSM588666 ICG588583:ICI588666 IMC588583:IME588666 IVY588583:IWA588666 JFU588583:JFW588666 JPQ588583:JPS588666 JZM588583:JZO588666 KJI588583:KJK588666 KTE588583:KTG588666 LDA588583:LDC588666 LMW588583:LMY588666 LWS588583:LWU588666 MGO588583:MGQ588666 MQK588583:MQM588666 NAG588583:NAI588666 NKC588583:NKE588666 NTY588583:NUA588666 ODU588583:ODW588666 ONQ588583:ONS588666 OXM588583:OXO588666 PHI588583:PHK588666 PRE588583:PRG588666 QBA588583:QBC588666 QKW588583:QKY588666 QUS588583:QUU588666 REO588583:REQ588666 ROK588583:ROM588666 RYG588583:RYI588666 SIC588583:SIE588666 SRY588583:SSA588666 TBU588583:TBW588666 TLQ588583:TLS588666 TVM588583:TVO588666 UFI588583:UFK588666 UPE588583:UPG588666 UZA588583:UZC588666 VIW588583:VIY588666 VSS588583:VSU588666 WCO588583:WCQ588666 WMK588583:WMM588666 WWG588583:WWI588666 Y654119:AA654202 JU654119:JW654202 TQ654119:TS654202 ADM654119:ADO654202 ANI654119:ANK654202 AXE654119:AXG654202 BHA654119:BHC654202 BQW654119:BQY654202 CAS654119:CAU654202 CKO654119:CKQ654202 CUK654119:CUM654202 DEG654119:DEI654202 DOC654119:DOE654202 DXY654119:DYA654202 EHU654119:EHW654202 ERQ654119:ERS654202 FBM654119:FBO654202 FLI654119:FLK654202 FVE654119:FVG654202 GFA654119:GFC654202 GOW654119:GOY654202 GYS654119:GYU654202 HIO654119:HIQ654202 HSK654119:HSM654202 ICG654119:ICI654202 IMC654119:IME654202 IVY654119:IWA654202 JFU654119:JFW654202 JPQ654119:JPS654202 JZM654119:JZO654202 KJI654119:KJK654202 KTE654119:KTG654202 LDA654119:LDC654202 LMW654119:LMY654202 LWS654119:LWU654202 MGO654119:MGQ654202 MQK654119:MQM654202 NAG654119:NAI654202 NKC654119:NKE654202 NTY654119:NUA654202 ODU654119:ODW654202 ONQ654119:ONS654202 OXM654119:OXO654202 PHI654119:PHK654202 PRE654119:PRG654202 QBA654119:QBC654202 QKW654119:QKY654202 QUS654119:QUU654202 REO654119:REQ654202 ROK654119:ROM654202 RYG654119:RYI654202 SIC654119:SIE654202 SRY654119:SSA654202 TBU654119:TBW654202 TLQ654119:TLS654202 TVM654119:TVO654202 UFI654119:UFK654202 UPE654119:UPG654202 UZA654119:UZC654202 VIW654119:VIY654202 VSS654119:VSU654202 WCO654119:WCQ654202 WMK654119:WMM654202 WWG654119:WWI654202 Y719655:AA719738 JU719655:JW719738 TQ719655:TS719738 ADM719655:ADO719738 ANI719655:ANK719738 AXE719655:AXG719738 BHA719655:BHC719738 BQW719655:BQY719738 CAS719655:CAU719738 CKO719655:CKQ719738 CUK719655:CUM719738 DEG719655:DEI719738 DOC719655:DOE719738 DXY719655:DYA719738 EHU719655:EHW719738 ERQ719655:ERS719738 FBM719655:FBO719738 FLI719655:FLK719738 FVE719655:FVG719738 GFA719655:GFC719738 GOW719655:GOY719738 GYS719655:GYU719738 HIO719655:HIQ719738 HSK719655:HSM719738 ICG719655:ICI719738 IMC719655:IME719738 IVY719655:IWA719738 JFU719655:JFW719738 JPQ719655:JPS719738 JZM719655:JZO719738 KJI719655:KJK719738 KTE719655:KTG719738 LDA719655:LDC719738 LMW719655:LMY719738 LWS719655:LWU719738 MGO719655:MGQ719738 MQK719655:MQM719738 NAG719655:NAI719738 NKC719655:NKE719738 NTY719655:NUA719738 ODU719655:ODW719738 ONQ719655:ONS719738 OXM719655:OXO719738 PHI719655:PHK719738 PRE719655:PRG719738 QBA719655:QBC719738 QKW719655:QKY719738 QUS719655:QUU719738 REO719655:REQ719738 ROK719655:ROM719738 RYG719655:RYI719738 SIC719655:SIE719738 SRY719655:SSA719738 TBU719655:TBW719738 TLQ719655:TLS719738 TVM719655:TVO719738 UFI719655:UFK719738 UPE719655:UPG719738 UZA719655:UZC719738 VIW719655:VIY719738 VSS719655:VSU719738 WCO719655:WCQ719738 WMK719655:WMM719738 WWG719655:WWI719738 Y785191:AA785274 JU785191:JW785274 TQ785191:TS785274 ADM785191:ADO785274 ANI785191:ANK785274 AXE785191:AXG785274 BHA785191:BHC785274 BQW785191:BQY785274 CAS785191:CAU785274 CKO785191:CKQ785274 CUK785191:CUM785274 DEG785191:DEI785274 DOC785191:DOE785274 DXY785191:DYA785274 EHU785191:EHW785274 ERQ785191:ERS785274 FBM785191:FBO785274 FLI785191:FLK785274 FVE785191:FVG785274 GFA785191:GFC785274 GOW785191:GOY785274 GYS785191:GYU785274 HIO785191:HIQ785274 HSK785191:HSM785274 ICG785191:ICI785274 IMC785191:IME785274 IVY785191:IWA785274 JFU785191:JFW785274 JPQ785191:JPS785274 JZM785191:JZO785274 KJI785191:KJK785274 KTE785191:KTG785274 LDA785191:LDC785274 LMW785191:LMY785274 LWS785191:LWU785274 MGO785191:MGQ785274 MQK785191:MQM785274 NAG785191:NAI785274 NKC785191:NKE785274 NTY785191:NUA785274 ODU785191:ODW785274 ONQ785191:ONS785274 OXM785191:OXO785274 PHI785191:PHK785274 PRE785191:PRG785274 QBA785191:QBC785274 QKW785191:QKY785274 QUS785191:QUU785274 REO785191:REQ785274 ROK785191:ROM785274 RYG785191:RYI785274 SIC785191:SIE785274 SRY785191:SSA785274 TBU785191:TBW785274 TLQ785191:TLS785274 TVM785191:TVO785274 UFI785191:UFK785274 UPE785191:UPG785274 UZA785191:UZC785274 VIW785191:VIY785274 VSS785191:VSU785274 WCO785191:WCQ785274 WMK785191:WMM785274 WWG785191:WWI785274 Y850727:AA850810 JU850727:JW850810 TQ850727:TS850810 ADM850727:ADO850810 ANI850727:ANK850810 AXE850727:AXG850810 BHA850727:BHC850810 BQW850727:BQY850810 CAS850727:CAU850810 CKO850727:CKQ850810 CUK850727:CUM850810 DEG850727:DEI850810 DOC850727:DOE850810 DXY850727:DYA850810 EHU850727:EHW850810 ERQ850727:ERS850810 FBM850727:FBO850810 FLI850727:FLK850810 FVE850727:FVG850810 GFA850727:GFC850810 GOW850727:GOY850810 GYS850727:GYU850810 HIO850727:HIQ850810 HSK850727:HSM850810 ICG850727:ICI850810 IMC850727:IME850810 IVY850727:IWA850810 JFU850727:JFW850810 JPQ850727:JPS850810 JZM850727:JZO850810 KJI850727:KJK850810 KTE850727:KTG850810 LDA850727:LDC850810 LMW850727:LMY850810 LWS850727:LWU850810 MGO850727:MGQ850810 MQK850727:MQM850810 NAG850727:NAI850810 NKC850727:NKE850810 NTY850727:NUA850810 ODU850727:ODW850810 ONQ850727:ONS850810 OXM850727:OXO850810 PHI850727:PHK850810 PRE850727:PRG850810 QBA850727:QBC850810 QKW850727:QKY850810 QUS850727:QUU850810 REO850727:REQ850810 ROK850727:ROM850810 RYG850727:RYI850810 SIC850727:SIE850810 SRY850727:SSA850810 TBU850727:TBW850810 TLQ850727:TLS850810 TVM850727:TVO850810 UFI850727:UFK850810 UPE850727:UPG850810 UZA850727:UZC850810 VIW850727:VIY850810 VSS850727:VSU850810 WCO850727:WCQ850810 WMK850727:WMM850810 WWG850727:WWI850810 Y916263:AA916346 JU916263:JW916346 TQ916263:TS916346 ADM916263:ADO916346 ANI916263:ANK916346 AXE916263:AXG916346 BHA916263:BHC916346 BQW916263:BQY916346 CAS916263:CAU916346 CKO916263:CKQ916346 CUK916263:CUM916346 DEG916263:DEI916346 DOC916263:DOE916346 DXY916263:DYA916346 EHU916263:EHW916346 ERQ916263:ERS916346 FBM916263:FBO916346 FLI916263:FLK916346 FVE916263:FVG916346 GFA916263:GFC916346 GOW916263:GOY916346 GYS916263:GYU916346 HIO916263:HIQ916346 HSK916263:HSM916346 ICG916263:ICI916346 IMC916263:IME916346 IVY916263:IWA916346 JFU916263:JFW916346 JPQ916263:JPS916346 JZM916263:JZO916346 KJI916263:KJK916346 KTE916263:KTG916346 LDA916263:LDC916346 LMW916263:LMY916346 LWS916263:LWU916346 MGO916263:MGQ916346 MQK916263:MQM916346 NAG916263:NAI916346 NKC916263:NKE916346 NTY916263:NUA916346 ODU916263:ODW916346 ONQ916263:ONS916346 OXM916263:OXO916346 PHI916263:PHK916346 PRE916263:PRG916346 QBA916263:QBC916346 QKW916263:QKY916346 QUS916263:QUU916346 REO916263:REQ916346 ROK916263:ROM916346 RYG916263:RYI916346 SIC916263:SIE916346 SRY916263:SSA916346 TBU916263:TBW916346 TLQ916263:TLS916346 TVM916263:TVO916346 UFI916263:UFK916346 UPE916263:UPG916346 UZA916263:UZC916346 VIW916263:VIY916346 VSS916263:VSU916346 WCO916263:WCQ916346 WMK916263:WMM916346 WWG916263:WWI916346 Y981799:AA981882 JU981799:JW981882 TQ981799:TS981882 ADM981799:ADO981882 ANI981799:ANK981882 AXE981799:AXG981882 BHA981799:BHC981882 BQW981799:BQY981882 CAS981799:CAU981882 CKO981799:CKQ981882 CUK981799:CUM981882 DEG981799:DEI981882 DOC981799:DOE981882 DXY981799:DYA981882 EHU981799:EHW981882 ERQ981799:ERS981882 FBM981799:FBO981882 FLI981799:FLK981882 FVE981799:FVG981882 GFA981799:GFC981882 GOW981799:GOY981882 GYS981799:GYU981882 HIO981799:HIQ981882 HSK981799:HSM981882 ICG981799:ICI981882 IMC981799:IME981882 IVY981799:IWA981882 JFU981799:JFW981882 JPQ981799:JPS981882 JZM981799:JZO981882 KJI981799:KJK981882 KTE981799:KTG981882 LDA981799:LDC981882 LMW981799:LMY981882 LWS981799:LWU981882 MGO981799:MGQ981882 MQK981799:MQM981882 NAG981799:NAI981882 NKC981799:NKE981882 NTY981799:NUA981882 ODU981799:ODW981882 ONQ981799:ONS981882 OXM981799:OXO981882 PHI981799:PHK981882 PRE981799:PRG981882 QBA981799:QBC981882 QKW981799:QKY981882 QUS981799:QUU981882 REO981799:REQ981882 ROK981799:ROM981882 RYG981799:RYI981882 SIC981799:SIE981882 SRY981799:SSA981882 TBU981799:TBW981882 TLQ981799:TLS981882 TVM981799:TVO981882 UFI981799:UFK981882 UPE981799:UPG981882 UZA981799:UZC981882 VIW981799:VIY981882 VSS981799:VSU981882 JU2:JW67 TQ2:TS67 ADM2:ADO67 ANI2:ANK67 AXE2:AXG67 BHA2:BHC67 BQW2:BQY67 CAS2:CAU67 CKO2:CKQ67 CUK2:CUM67 DEG2:DEI67 DOC2:DOE67 DXY2:DYA67 EHU2:EHW67 ERQ2:ERS67 FBM2:FBO67 FLI2:FLK67 FVE2:FVG67 GFA2:GFC67 GOW2:GOY67 GYS2:GYU67 HIO2:HIQ67 HSK2:HSM67 ICG2:ICI67 IMC2:IME67 IVY2:IWA67 JFU2:JFW67 JPQ2:JPS67 JZM2:JZO67 KJI2:KJK67 KTE2:KTG67 LDA2:LDC67 LMW2:LMY67 LWS2:LWU67 MGO2:MGQ67 MQK2:MQM67 NAG2:NAI67 NKC2:NKE67 NTY2:NUA67 ODU2:ODW67 ONQ2:ONS67 OXM2:OXO67 PHI2:PHK67 PRE2:PRG67 QBA2:QBC67 QKW2:QKY67 QUS2:QUU67 REO2:REQ67 ROK2:ROM67 RYG2:RYI67 SIC2:SIE67 SRY2:SSA67 TBU2:TBW67 TLQ2:TLS67 TVM2:TVO67 UFI2:UFK67 UPE2:UPG67 UZA2:UZC67 VIW2:VIY67 VSS2:VSU67 WCO2:WCQ67 WMK2:WMM67 WWG2:WWI67" xr:uid="{1F80DDF2-7D42-4C4C-BFA4-131E30E7295E}">
      <formula1>$AV$2:$AV$22</formula1>
    </dataValidation>
    <dataValidation type="list" allowBlank="1" showInputMessage="1" showErrorMessage="1" sqref="J90:J494 J2:J88" xr:uid="{2A70299A-B606-4B0F-97BC-192D4FFF700B}">
      <formula1>$AP$2:$AP$25</formula1>
    </dataValidation>
    <dataValidation type="list" allowBlank="1" showInputMessage="1" showErrorMessage="1" sqref="F92:F496 F2:F90" xr:uid="{B5410C4D-D764-445B-BAE0-272D280441AD}">
      <formula1>$AH$2:$AH$10</formula1>
    </dataValidation>
    <dataValidation type="list" allowBlank="1" showInputMessage="1" showErrorMessage="1" sqref="E92:E496 E2:E90" xr:uid="{53279715-CFBC-42B3-9768-FEB2CA1F20F6}">
      <formula1>$AG$2:$AG$11</formula1>
    </dataValidation>
    <dataValidation type="list" allowBlank="1" showInputMessage="1" showErrorMessage="1" sqref="A90:A494 A2:A88" xr:uid="{C8F8CD7C-14F9-411C-B69A-EABA7DD636AA}">
      <formula1>$AE$2:$AE$19</formula1>
    </dataValidation>
    <dataValidation type="list" allowBlank="1" showInputMessage="1" showErrorMessage="1" sqref="H90:H494 H2:H88" xr:uid="{A2753600-5800-4C12-8E1A-FA8CE1CA3F0F}">
      <formula1>$AL$2:$AL$8</formula1>
    </dataValidation>
    <dataValidation type="list" allowBlank="1" showInputMessage="1" showErrorMessage="1" sqref="Y90:AA494 Y2:AA88" xr:uid="{B0F15A55-EF0F-410B-9209-9F6A09C0F210}">
      <formula1>$AV$2:$AV$21</formula1>
    </dataValidation>
    <dataValidation type="decimal" allowBlank="1" showInputMessage="1" showErrorMessage="1" error="硬度を正しく入力して下さい。" sqref="O90:P494 O18:P19 P15 P13 O62:P88 O23:P43" xr:uid="{CEE376AA-7760-43A6-B056-2EC657D0DD9B}">
      <formula1>0</formula1>
      <formula2>7</formula2>
    </dataValidation>
  </dataValidations>
  <pageMargins left="0.25" right="0.25" top="0.75" bottom="0.75" header="0.3" footer="0.3"/>
  <pageSetup paperSize="9" scale="28"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33551-B7E8-49C5-B51D-4E7BC04FB230}">
  <dimension ref="A1:BA145"/>
  <sheetViews>
    <sheetView topLeftCell="A19" zoomScale="70" zoomScaleNormal="70" workbookViewId="0"/>
  </sheetViews>
  <sheetFormatPr defaultColWidth="8.875" defaultRowHeight="13.5" x14ac:dyDescent="0.15"/>
  <cols>
    <col min="1" max="3" width="8.875" style="53"/>
    <col min="4" max="4" width="13.5" style="53" bestFit="1" customWidth="1"/>
    <col min="5" max="5" width="9.625" style="53" bestFit="1" customWidth="1"/>
    <col min="6" max="16" width="8.875" style="53"/>
    <col min="17" max="17" width="8.875" style="16"/>
    <col min="18" max="19" width="8.875" style="53"/>
    <col min="20" max="20" width="8.875" style="16"/>
    <col min="21" max="21" width="8.875" style="53"/>
    <col min="22" max="22" width="8.875" style="16"/>
    <col min="23" max="32" width="8.875" style="53"/>
    <col min="33" max="33" width="19.625" style="53" bestFit="1" customWidth="1"/>
    <col min="34" max="259" width="8.875" style="53"/>
    <col min="260" max="260" width="10.5" style="53" bestFit="1" customWidth="1"/>
    <col min="261" max="261" width="9.625" style="53" bestFit="1" customWidth="1"/>
    <col min="262" max="515" width="8.875" style="53"/>
    <col min="516" max="516" width="10.5" style="53" bestFit="1" customWidth="1"/>
    <col min="517" max="517" width="9.625" style="53" bestFit="1" customWidth="1"/>
    <col min="518" max="771" width="8.875" style="53"/>
    <col min="772" max="772" width="10.5" style="53" bestFit="1" customWidth="1"/>
    <col min="773" max="773" width="9.625" style="53" bestFit="1" customWidth="1"/>
    <col min="774" max="1027" width="8.875" style="53"/>
    <col min="1028" max="1028" width="10.5" style="53" bestFit="1" customWidth="1"/>
    <col min="1029" max="1029" width="9.625" style="53" bestFit="1" customWidth="1"/>
    <col min="1030" max="1283" width="8.875" style="53"/>
    <col min="1284" max="1284" width="10.5" style="53" bestFit="1" customWidth="1"/>
    <col min="1285" max="1285" width="9.625" style="53" bestFit="1" customWidth="1"/>
    <col min="1286" max="1539" width="8.875" style="53"/>
    <col min="1540" max="1540" width="10.5" style="53" bestFit="1" customWidth="1"/>
    <col min="1541" max="1541" width="9.625" style="53" bestFit="1" customWidth="1"/>
    <col min="1542" max="1795" width="8.875" style="53"/>
    <col min="1796" max="1796" width="10.5" style="53" bestFit="1" customWidth="1"/>
    <col min="1797" max="1797" width="9.625" style="53" bestFit="1" customWidth="1"/>
    <col min="1798" max="2051" width="8.875" style="53"/>
    <col min="2052" max="2052" width="10.5" style="53" bestFit="1" customWidth="1"/>
    <col min="2053" max="2053" width="9.625" style="53" bestFit="1" customWidth="1"/>
    <col min="2054" max="2307" width="8.875" style="53"/>
    <col min="2308" max="2308" width="10.5" style="53" bestFit="1" customWidth="1"/>
    <col min="2309" max="2309" width="9.625" style="53" bestFit="1" customWidth="1"/>
    <col min="2310" max="2563" width="8.875" style="53"/>
    <col min="2564" max="2564" width="10.5" style="53" bestFit="1" customWidth="1"/>
    <col min="2565" max="2565" width="9.625" style="53" bestFit="1" customWidth="1"/>
    <col min="2566" max="2819" width="8.875" style="53"/>
    <col min="2820" max="2820" width="10.5" style="53" bestFit="1" customWidth="1"/>
    <col min="2821" max="2821" width="9.625" style="53" bestFit="1" customWidth="1"/>
    <col min="2822" max="3075" width="8.875" style="53"/>
    <col min="3076" max="3076" width="10.5" style="53" bestFit="1" customWidth="1"/>
    <col min="3077" max="3077" width="9.625" style="53" bestFit="1" customWidth="1"/>
    <col min="3078" max="3331" width="8.875" style="53"/>
    <col min="3332" max="3332" width="10.5" style="53" bestFit="1" customWidth="1"/>
    <col min="3333" max="3333" width="9.625" style="53" bestFit="1" customWidth="1"/>
    <col min="3334" max="3587" width="8.875" style="53"/>
    <col min="3588" max="3588" width="10.5" style="53" bestFit="1" customWidth="1"/>
    <col min="3589" max="3589" width="9.625" style="53" bestFit="1" customWidth="1"/>
    <col min="3590" max="3843" width="8.875" style="53"/>
    <col min="3844" max="3844" width="10.5" style="53" bestFit="1" customWidth="1"/>
    <col min="3845" max="3845" width="9.625" style="53" bestFit="1" customWidth="1"/>
    <col min="3846" max="4099" width="8.875" style="53"/>
    <col min="4100" max="4100" width="10.5" style="53" bestFit="1" customWidth="1"/>
    <col min="4101" max="4101" width="9.625" style="53" bestFit="1" customWidth="1"/>
    <col min="4102" max="4355" width="8.875" style="53"/>
    <col min="4356" max="4356" width="10.5" style="53" bestFit="1" customWidth="1"/>
    <col min="4357" max="4357" width="9.625" style="53" bestFit="1" customWidth="1"/>
    <col min="4358" max="4611" width="8.875" style="53"/>
    <col min="4612" max="4612" width="10.5" style="53" bestFit="1" customWidth="1"/>
    <col min="4613" max="4613" width="9.625" style="53" bestFit="1" customWidth="1"/>
    <col min="4614" max="4867" width="8.875" style="53"/>
    <col min="4868" max="4868" width="10.5" style="53" bestFit="1" customWidth="1"/>
    <col min="4869" max="4869" width="9.625" style="53" bestFit="1" customWidth="1"/>
    <col min="4870" max="5123" width="8.875" style="53"/>
    <col min="5124" max="5124" width="10.5" style="53" bestFit="1" customWidth="1"/>
    <col min="5125" max="5125" width="9.625" style="53" bestFit="1" customWidth="1"/>
    <col min="5126" max="5379" width="8.875" style="53"/>
    <col min="5380" max="5380" width="10.5" style="53" bestFit="1" customWidth="1"/>
    <col min="5381" max="5381" width="9.625" style="53" bestFit="1" customWidth="1"/>
    <col min="5382" max="5635" width="8.875" style="53"/>
    <col min="5636" max="5636" width="10.5" style="53" bestFit="1" customWidth="1"/>
    <col min="5637" max="5637" width="9.625" style="53" bestFit="1" customWidth="1"/>
    <col min="5638" max="5891" width="8.875" style="53"/>
    <col min="5892" max="5892" width="10.5" style="53" bestFit="1" customWidth="1"/>
    <col min="5893" max="5893" width="9.625" style="53" bestFit="1" customWidth="1"/>
    <col min="5894" max="6147" width="8.875" style="53"/>
    <col min="6148" max="6148" width="10.5" style="53" bestFit="1" customWidth="1"/>
    <col min="6149" max="6149" width="9.625" style="53" bestFit="1" customWidth="1"/>
    <col min="6150" max="6403" width="8.875" style="53"/>
    <col min="6404" max="6404" width="10.5" style="53" bestFit="1" customWidth="1"/>
    <col min="6405" max="6405" width="9.625" style="53" bestFit="1" customWidth="1"/>
    <col min="6406" max="6659" width="8.875" style="53"/>
    <col min="6660" max="6660" width="10.5" style="53" bestFit="1" customWidth="1"/>
    <col min="6661" max="6661" width="9.625" style="53" bestFit="1" customWidth="1"/>
    <col min="6662" max="6915" width="8.875" style="53"/>
    <col min="6916" max="6916" width="10.5" style="53" bestFit="1" customWidth="1"/>
    <col min="6917" max="6917" width="9.625" style="53" bestFit="1" customWidth="1"/>
    <col min="6918" max="7171" width="8.875" style="53"/>
    <col min="7172" max="7172" width="10.5" style="53" bestFit="1" customWidth="1"/>
    <col min="7173" max="7173" width="9.625" style="53" bestFit="1" customWidth="1"/>
    <col min="7174" max="7427" width="8.875" style="53"/>
    <col min="7428" max="7428" width="10.5" style="53" bestFit="1" customWidth="1"/>
    <col min="7429" max="7429" width="9.625" style="53" bestFit="1" customWidth="1"/>
    <col min="7430" max="7683" width="8.875" style="53"/>
    <col min="7684" max="7684" width="10.5" style="53" bestFit="1" customWidth="1"/>
    <col min="7685" max="7685" width="9.625" style="53" bestFit="1" customWidth="1"/>
    <col min="7686" max="7939" width="8.875" style="53"/>
    <col min="7940" max="7940" width="10.5" style="53" bestFit="1" customWidth="1"/>
    <col min="7941" max="7941" width="9.625" style="53" bestFit="1" customWidth="1"/>
    <col min="7942" max="8195" width="8.875" style="53"/>
    <col min="8196" max="8196" width="10.5" style="53" bestFit="1" customWidth="1"/>
    <col min="8197" max="8197" width="9.625" style="53" bestFit="1" customWidth="1"/>
    <col min="8198" max="8451" width="8.875" style="53"/>
    <col min="8452" max="8452" width="10.5" style="53" bestFit="1" customWidth="1"/>
    <col min="8453" max="8453" width="9.625" style="53" bestFit="1" customWidth="1"/>
    <col min="8454" max="8707" width="8.875" style="53"/>
    <col min="8708" max="8708" width="10.5" style="53" bestFit="1" customWidth="1"/>
    <col min="8709" max="8709" width="9.625" style="53" bestFit="1" customWidth="1"/>
    <col min="8710" max="8963" width="8.875" style="53"/>
    <col min="8964" max="8964" width="10.5" style="53" bestFit="1" customWidth="1"/>
    <col min="8965" max="8965" width="9.625" style="53" bestFit="1" customWidth="1"/>
    <col min="8966" max="9219" width="8.875" style="53"/>
    <col min="9220" max="9220" width="10.5" style="53" bestFit="1" customWidth="1"/>
    <col min="9221" max="9221" width="9.625" style="53" bestFit="1" customWidth="1"/>
    <col min="9222" max="9475" width="8.875" style="53"/>
    <col min="9476" max="9476" width="10.5" style="53" bestFit="1" customWidth="1"/>
    <col min="9477" max="9477" width="9.625" style="53" bestFit="1" customWidth="1"/>
    <col min="9478" max="9731" width="8.875" style="53"/>
    <col min="9732" max="9732" width="10.5" style="53" bestFit="1" customWidth="1"/>
    <col min="9733" max="9733" width="9.625" style="53" bestFit="1" customWidth="1"/>
    <col min="9734" max="9987" width="8.875" style="53"/>
    <col min="9988" max="9988" width="10.5" style="53" bestFit="1" customWidth="1"/>
    <col min="9989" max="9989" width="9.625" style="53" bestFit="1" customWidth="1"/>
    <col min="9990" max="10243" width="8.875" style="53"/>
    <col min="10244" max="10244" width="10.5" style="53" bestFit="1" customWidth="1"/>
    <col min="10245" max="10245" width="9.625" style="53" bestFit="1" customWidth="1"/>
    <col min="10246" max="10499" width="8.875" style="53"/>
    <col min="10500" max="10500" width="10.5" style="53" bestFit="1" customWidth="1"/>
    <col min="10501" max="10501" width="9.625" style="53" bestFit="1" customWidth="1"/>
    <col min="10502" max="10755" width="8.875" style="53"/>
    <col min="10756" max="10756" width="10.5" style="53" bestFit="1" customWidth="1"/>
    <col min="10757" max="10757" width="9.625" style="53" bestFit="1" customWidth="1"/>
    <col min="10758" max="11011" width="8.875" style="53"/>
    <col min="11012" max="11012" width="10.5" style="53" bestFit="1" customWidth="1"/>
    <col min="11013" max="11013" width="9.625" style="53" bestFit="1" customWidth="1"/>
    <col min="11014" max="11267" width="8.875" style="53"/>
    <col min="11268" max="11268" width="10.5" style="53" bestFit="1" customWidth="1"/>
    <col min="11269" max="11269" width="9.625" style="53" bestFit="1" customWidth="1"/>
    <col min="11270" max="11523" width="8.875" style="53"/>
    <col min="11524" max="11524" width="10.5" style="53" bestFit="1" customWidth="1"/>
    <col min="11525" max="11525" width="9.625" style="53" bestFit="1" customWidth="1"/>
    <col min="11526" max="11779" width="8.875" style="53"/>
    <col min="11780" max="11780" width="10.5" style="53" bestFit="1" customWidth="1"/>
    <col min="11781" max="11781" width="9.625" style="53" bestFit="1" customWidth="1"/>
    <col min="11782" max="12035" width="8.875" style="53"/>
    <col min="12036" max="12036" width="10.5" style="53" bestFit="1" customWidth="1"/>
    <col min="12037" max="12037" width="9.625" style="53" bestFit="1" customWidth="1"/>
    <col min="12038" max="12291" width="8.875" style="53"/>
    <col min="12292" max="12292" width="10.5" style="53" bestFit="1" customWidth="1"/>
    <col min="12293" max="12293" width="9.625" style="53" bestFit="1" customWidth="1"/>
    <col min="12294" max="12547" width="8.875" style="53"/>
    <col min="12548" max="12548" width="10.5" style="53" bestFit="1" customWidth="1"/>
    <col min="12549" max="12549" width="9.625" style="53" bestFit="1" customWidth="1"/>
    <col min="12550" max="12803" width="8.875" style="53"/>
    <col min="12804" max="12804" width="10.5" style="53" bestFit="1" customWidth="1"/>
    <col min="12805" max="12805" width="9.625" style="53" bestFit="1" customWidth="1"/>
    <col min="12806" max="13059" width="8.875" style="53"/>
    <col min="13060" max="13060" width="10.5" style="53" bestFit="1" customWidth="1"/>
    <col min="13061" max="13061" width="9.625" style="53" bestFit="1" customWidth="1"/>
    <col min="13062" max="13315" width="8.875" style="53"/>
    <col min="13316" max="13316" width="10.5" style="53" bestFit="1" customWidth="1"/>
    <col min="13317" max="13317" width="9.625" style="53" bestFit="1" customWidth="1"/>
    <col min="13318" max="13571" width="8.875" style="53"/>
    <col min="13572" max="13572" width="10.5" style="53" bestFit="1" customWidth="1"/>
    <col min="13573" max="13573" width="9.625" style="53" bestFit="1" customWidth="1"/>
    <col min="13574" max="13827" width="8.875" style="53"/>
    <col min="13828" max="13828" width="10.5" style="53" bestFit="1" customWidth="1"/>
    <col min="13829" max="13829" width="9.625" style="53" bestFit="1" customWidth="1"/>
    <col min="13830" max="14083" width="8.875" style="53"/>
    <col min="14084" max="14084" width="10.5" style="53" bestFit="1" customWidth="1"/>
    <col min="14085" max="14085" width="9.625" style="53" bestFit="1" customWidth="1"/>
    <col min="14086" max="14339" width="8.875" style="53"/>
    <col min="14340" max="14340" width="10.5" style="53" bestFit="1" customWidth="1"/>
    <col min="14341" max="14341" width="9.625" style="53" bestFit="1" customWidth="1"/>
    <col min="14342" max="14595" width="8.875" style="53"/>
    <col min="14596" max="14596" width="10.5" style="53" bestFit="1" customWidth="1"/>
    <col min="14597" max="14597" width="9.625" style="53" bestFit="1" customWidth="1"/>
    <col min="14598" max="14851" width="8.875" style="53"/>
    <col min="14852" max="14852" width="10.5" style="53" bestFit="1" customWidth="1"/>
    <col min="14853" max="14853" width="9.625" style="53" bestFit="1" customWidth="1"/>
    <col min="14854" max="15107" width="8.875" style="53"/>
    <col min="15108" max="15108" width="10.5" style="53" bestFit="1" customWidth="1"/>
    <col min="15109" max="15109" width="9.625" style="53" bestFit="1" customWidth="1"/>
    <col min="15110" max="15363" width="8.875" style="53"/>
    <col min="15364" max="15364" width="10.5" style="53" bestFit="1" customWidth="1"/>
    <col min="15365" max="15365" width="9.625" style="53" bestFit="1" customWidth="1"/>
    <col min="15366" max="15619" width="8.875" style="53"/>
    <col min="15620" max="15620" width="10.5" style="53" bestFit="1" customWidth="1"/>
    <col min="15621" max="15621" width="9.625" style="53" bestFit="1" customWidth="1"/>
    <col min="15622" max="15875" width="8.875" style="53"/>
    <col min="15876" max="15876" width="10.5" style="53" bestFit="1" customWidth="1"/>
    <col min="15877" max="15877" width="9.625" style="53" bestFit="1" customWidth="1"/>
    <col min="15878" max="16131" width="8.875" style="53"/>
    <col min="16132" max="16132" width="10.5" style="53" bestFit="1" customWidth="1"/>
    <col min="16133" max="16133" width="9.625" style="53" bestFit="1" customWidth="1"/>
    <col min="16134" max="16384" width="8.875"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312</v>
      </c>
      <c r="O1" s="56" t="s">
        <v>14</v>
      </c>
      <c r="P1" s="56" t="s">
        <v>15</v>
      </c>
      <c r="Q1" s="3" t="s">
        <v>16</v>
      </c>
      <c r="R1" s="56" t="s">
        <v>17</v>
      </c>
      <c r="S1" s="56" t="s">
        <v>18</v>
      </c>
      <c r="T1" s="3" t="s">
        <v>19</v>
      </c>
      <c r="U1" s="58" t="s">
        <v>313</v>
      </c>
      <c r="V1" s="5" t="s">
        <v>20</v>
      </c>
      <c r="W1" s="56" t="s">
        <v>21</v>
      </c>
      <c r="X1" s="45" t="s">
        <v>22</v>
      </c>
      <c r="Y1" s="45" t="s">
        <v>23</v>
      </c>
      <c r="Z1" s="45" t="s">
        <v>24</v>
      </c>
      <c r="AA1" s="46" t="s">
        <v>25</v>
      </c>
      <c r="AB1" s="80" t="s">
        <v>26</v>
      </c>
      <c r="AE1" s="60" t="s">
        <v>0</v>
      </c>
      <c r="AF1" s="61"/>
      <c r="AG1" s="60"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59</v>
      </c>
      <c r="B2" s="53" t="s">
        <v>231</v>
      </c>
      <c r="C2" s="62">
        <v>2019</v>
      </c>
      <c r="D2" s="137" t="s">
        <v>282</v>
      </c>
      <c r="E2" s="53" t="s">
        <v>314</v>
      </c>
      <c r="F2" s="53" t="s">
        <v>315</v>
      </c>
      <c r="G2" s="53" t="s">
        <v>36</v>
      </c>
      <c r="H2" s="53" t="s">
        <v>160</v>
      </c>
      <c r="I2" s="53" t="s">
        <v>159</v>
      </c>
      <c r="J2" s="53" t="s">
        <v>38</v>
      </c>
      <c r="K2" s="53" t="s">
        <v>161</v>
      </c>
      <c r="L2" s="53">
        <v>1</v>
      </c>
      <c r="N2" s="53">
        <v>4</v>
      </c>
      <c r="O2" s="53">
        <v>0.54</v>
      </c>
      <c r="P2" s="53">
        <v>0.48</v>
      </c>
      <c r="Q2" s="75">
        <f>IF(OR(O2="",P2=""),"",AVERAGE(O2,P2))</f>
        <v>0.51</v>
      </c>
      <c r="R2" s="53">
        <v>16.2</v>
      </c>
      <c r="S2" s="53">
        <v>105</v>
      </c>
      <c r="T2" s="16">
        <f t="shared" ref="T2:T61" si="0">IF(H2="","",IF(OR(H2="GREEN",H2="GK"),IF(S2&gt;=$AX$2,VLOOKUP(S2,$AX$2:$AY$12,2,1),""),IF(S2&gt;=$AZ$2,VLOOKUP(S2,$AZ$2:$BA$12,2,1),"")))</f>
        <v>33</v>
      </c>
      <c r="U2" s="53">
        <v>398</v>
      </c>
      <c r="V2" s="16">
        <f t="shared" ref="V2:V61" si="1">IF(J2="","",IF(OR(J2="GREEN",J2="GK"),IF(U2&gt;=$AX$2,VLOOKUP(U2,$AX$2:$AY$12,2,1),""),IF(U2&gt;=$AZ$2,VLOOKUP(U2,$AZ$2:$BA$12,2,1),"")))</f>
        <v>16</v>
      </c>
      <c r="W2" s="53">
        <v>2</v>
      </c>
      <c r="X2" s="53" t="s">
        <v>46</v>
      </c>
      <c r="Y2" s="53" t="s">
        <v>78</v>
      </c>
      <c r="Z2" s="53" t="s">
        <v>90</v>
      </c>
      <c r="AA2" s="53" t="s">
        <v>102</v>
      </c>
      <c r="AB2" s="53" t="s">
        <v>316</v>
      </c>
      <c r="AE2" s="64" t="s">
        <v>35</v>
      </c>
      <c r="AG2" s="138" t="s">
        <v>317</v>
      </c>
      <c r="AH2" s="139" t="s">
        <v>318</v>
      </c>
      <c r="AJ2" s="67" t="s">
        <v>36</v>
      </c>
      <c r="AL2" s="67" t="s">
        <v>127</v>
      </c>
      <c r="AN2" s="67" t="s">
        <v>319</v>
      </c>
      <c r="AP2" s="67" t="s">
        <v>38</v>
      </c>
      <c r="AR2" s="67" t="s">
        <v>120</v>
      </c>
      <c r="AT2" s="67" t="s">
        <v>39</v>
      </c>
      <c r="AV2" s="23" t="s">
        <v>55</v>
      </c>
      <c r="AX2" s="68">
        <v>1</v>
      </c>
      <c r="AY2" s="69">
        <v>50</v>
      </c>
      <c r="AZ2" s="69">
        <v>1</v>
      </c>
      <c r="BA2" s="70">
        <v>50</v>
      </c>
    </row>
    <row r="3" spans="1:53" x14ac:dyDescent="0.15">
      <c r="A3" s="53" t="s">
        <v>59</v>
      </c>
      <c r="B3" s="53" t="s">
        <v>231</v>
      </c>
      <c r="C3" s="62">
        <v>2019</v>
      </c>
      <c r="D3" s="137" t="s">
        <v>282</v>
      </c>
      <c r="E3" s="53" t="s">
        <v>314</v>
      </c>
      <c r="F3" s="53" t="s">
        <v>315</v>
      </c>
      <c r="G3" s="53" t="s">
        <v>36</v>
      </c>
      <c r="H3" s="53" t="s">
        <v>160</v>
      </c>
      <c r="I3" s="53" t="s">
        <v>159</v>
      </c>
      <c r="J3" s="53" t="s">
        <v>38</v>
      </c>
      <c r="K3" s="53" t="s">
        <v>161</v>
      </c>
      <c r="L3" s="53">
        <v>2</v>
      </c>
      <c r="N3" s="53">
        <v>4</v>
      </c>
      <c r="O3" s="53">
        <v>0.46</v>
      </c>
      <c r="P3" s="53">
        <v>0.51</v>
      </c>
      <c r="Q3" s="75">
        <f t="shared" ref="Q3:Q61" si="2">IF(OR(O3="",P3=""),"",AVERAGE(O3,P3))</f>
        <v>0.48499999999999999</v>
      </c>
      <c r="R3" s="53">
        <v>16.5</v>
      </c>
      <c r="S3" s="53">
        <v>106</v>
      </c>
      <c r="T3" s="16">
        <f t="shared" si="0"/>
        <v>33</v>
      </c>
      <c r="U3" s="53">
        <v>398</v>
      </c>
      <c r="V3" s="16">
        <f t="shared" si="1"/>
        <v>16</v>
      </c>
      <c r="W3" s="53">
        <v>2</v>
      </c>
      <c r="X3" s="53" t="s">
        <v>46</v>
      </c>
      <c r="Y3" s="53" t="s">
        <v>78</v>
      </c>
      <c r="Z3" s="53" t="s">
        <v>90</v>
      </c>
      <c r="AA3" s="53" t="s">
        <v>102</v>
      </c>
      <c r="AB3" s="53" t="s">
        <v>316</v>
      </c>
      <c r="AE3" s="22" t="s">
        <v>41</v>
      </c>
      <c r="AG3" s="138" t="s">
        <v>320</v>
      </c>
      <c r="AH3" s="139" t="s">
        <v>315</v>
      </c>
      <c r="AJ3" s="23" t="s">
        <v>42</v>
      </c>
      <c r="AL3" s="23" t="s">
        <v>128</v>
      </c>
      <c r="AN3" s="23" t="s">
        <v>43</v>
      </c>
      <c r="AP3" s="23" t="s">
        <v>44</v>
      </c>
      <c r="AR3" s="23" t="s">
        <v>45</v>
      </c>
      <c r="AT3" s="23" t="s">
        <v>46</v>
      </c>
      <c r="AV3" s="23" t="s">
        <v>321</v>
      </c>
      <c r="AX3" s="24">
        <v>72</v>
      </c>
      <c r="AY3" s="25">
        <v>46</v>
      </c>
      <c r="AZ3" s="25">
        <v>71</v>
      </c>
      <c r="BA3" s="26">
        <v>42</v>
      </c>
    </row>
    <row r="4" spans="1:53" x14ac:dyDescent="0.15">
      <c r="A4" s="53" t="s">
        <v>59</v>
      </c>
      <c r="B4" s="53" t="s">
        <v>231</v>
      </c>
      <c r="C4" s="62">
        <v>2019</v>
      </c>
      <c r="D4" s="137" t="s">
        <v>282</v>
      </c>
      <c r="E4" s="53" t="s">
        <v>314</v>
      </c>
      <c r="F4" s="53" t="s">
        <v>315</v>
      </c>
      <c r="G4" s="53" t="s">
        <v>36</v>
      </c>
      <c r="H4" s="53" t="s">
        <v>160</v>
      </c>
      <c r="I4" s="53" t="s">
        <v>322</v>
      </c>
      <c r="J4" s="53" t="s">
        <v>38</v>
      </c>
      <c r="K4" s="53" t="s">
        <v>161</v>
      </c>
      <c r="L4" s="53">
        <v>3</v>
      </c>
      <c r="N4" s="53">
        <v>4</v>
      </c>
      <c r="O4" s="53">
        <v>0.52</v>
      </c>
      <c r="P4" s="53">
        <v>0.47</v>
      </c>
      <c r="Q4" s="75">
        <f t="shared" si="2"/>
        <v>0.495</v>
      </c>
      <c r="R4" s="53">
        <v>16.100000000000001</v>
      </c>
      <c r="S4" s="53">
        <v>98</v>
      </c>
      <c r="T4" s="16">
        <f t="shared" si="0"/>
        <v>36</v>
      </c>
      <c r="U4" s="53">
        <v>398</v>
      </c>
      <c r="V4" s="16">
        <f t="shared" si="1"/>
        <v>16</v>
      </c>
      <c r="W4" s="53">
        <v>2</v>
      </c>
      <c r="X4" s="53" t="s">
        <v>46</v>
      </c>
      <c r="Y4" s="53" t="s">
        <v>78</v>
      </c>
      <c r="Z4" s="53" t="s">
        <v>90</v>
      </c>
      <c r="AA4" s="53" t="s">
        <v>102</v>
      </c>
      <c r="AB4" s="53" t="s">
        <v>316</v>
      </c>
      <c r="AE4" s="22" t="s">
        <v>34</v>
      </c>
      <c r="AG4" s="138" t="s">
        <v>323</v>
      </c>
      <c r="AH4" s="139" t="s">
        <v>324</v>
      </c>
      <c r="AJ4" s="27" t="s">
        <v>48</v>
      </c>
      <c r="AL4" s="27" t="s">
        <v>129</v>
      </c>
      <c r="AN4" s="28" t="s">
        <v>49</v>
      </c>
      <c r="AP4" s="23" t="s">
        <v>93</v>
      </c>
      <c r="AR4" s="23" t="s">
        <v>325</v>
      </c>
      <c r="AT4" s="28"/>
      <c r="AV4" s="23" t="s">
        <v>308</v>
      </c>
      <c r="AX4" s="24">
        <v>75</v>
      </c>
      <c r="AY4" s="25">
        <v>42</v>
      </c>
      <c r="AZ4" s="25">
        <v>76</v>
      </c>
      <c r="BA4" s="26">
        <v>39</v>
      </c>
    </row>
    <row r="5" spans="1:53" x14ac:dyDescent="0.15">
      <c r="A5" s="53" t="s">
        <v>59</v>
      </c>
      <c r="B5" s="53" t="s">
        <v>231</v>
      </c>
      <c r="C5" s="62">
        <v>2019</v>
      </c>
      <c r="D5" s="137" t="s">
        <v>282</v>
      </c>
      <c r="E5" s="53" t="s">
        <v>314</v>
      </c>
      <c r="F5" s="53" t="s">
        <v>315</v>
      </c>
      <c r="G5" s="53" t="s">
        <v>36</v>
      </c>
      <c r="H5" s="53" t="s">
        <v>164</v>
      </c>
      <c r="I5" s="53" t="s">
        <v>159</v>
      </c>
      <c r="J5" s="53" t="s">
        <v>38</v>
      </c>
      <c r="K5" s="53" t="s">
        <v>161</v>
      </c>
      <c r="L5" s="53">
        <v>1</v>
      </c>
      <c r="N5" s="53">
        <v>5</v>
      </c>
      <c r="O5" s="53">
        <v>0.63</v>
      </c>
      <c r="P5" s="53">
        <v>0.6</v>
      </c>
      <c r="Q5" s="75">
        <f t="shared" si="2"/>
        <v>0.61499999999999999</v>
      </c>
      <c r="R5" s="53">
        <v>15.3</v>
      </c>
      <c r="S5" s="53">
        <v>85</v>
      </c>
      <c r="T5" s="16">
        <f t="shared" si="0"/>
        <v>36</v>
      </c>
      <c r="U5" s="53">
        <v>348</v>
      </c>
      <c r="V5" s="16">
        <f t="shared" si="1"/>
        <v>16</v>
      </c>
      <c r="W5" s="53">
        <v>2</v>
      </c>
      <c r="X5" s="53" t="s">
        <v>46</v>
      </c>
      <c r="Y5" s="53" t="s">
        <v>78</v>
      </c>
      <c r="Z5" s="53" t="s">
        <v>90</v>
      </c>
      <c r="AA5" s="53" t="s">
        <v>102</v>
      </c>
      <c r="AB5" s="53" t="s">
        <v>316</v>
      </c>
      <c r="AE5" s="22" t="s">
        <v>51</v>
      </c>
      <c r="AG5" s="138" t="s">
        <v>326</v>
      </c>
      <c r="AH5" s="139" t="s">
        <v>327</v>
      </c>
      <c r="AJ5" s="28"/>
      <c r="AL5" s="73" t="s">
        <v>66</v>
      </c>
      <c r="AN5" s="73" t="s">
        <v>52</v>
      </c>
      <c r="AP5" s="23" t="s">
        <v>244</v>
      </c>
      <c r="AR5" s="23" t="s">
        <v>54</v>
      </c>
      <c r="AV5" s="23" t="s">
        <v>328</v>
      </c>
      <c r="AX5" s="24">
        <v>84</v>
      </c>
      <c r="AY5" s="25">
        <v>39</v>
      </c>
      <c r="AZ5" s="25">
        <v>84</v>
      </c>
      <c r="BA5" s="26">
        <v>36</v>
      </c>
    </row>
    <row r="6" spans="1:53" x14ac:dyDescent="0.15">
      <c r="A6" s="53" t="s">
        <v>59</v>
      </c>
      <c r="B6" s="53" t="s">
        <v>231</v>
      </c>
      <c r="C6" s="62">
        <v>2019</v>
      </c>
      <c r="D6" s="137" t="s">
        <v>282</v>
      </c>
      <c r="E6" s="53" t="s">
        <v>314</v>
      </c>
      <c r="F6" s="53" t="s">
        <v>315</v>
      </c>
      <c r="G6" s="53" t="s">
        <v>36</v>
      </c>
      <c r="H6" s="53" t="s">
        <v>164</v>
      </c>
      <c r="I6" s="53" t="s">
        <v>159</v>
      </c>
      <c r="J6" s="53" t="s">
        <v>38</v>
      </c>
      <c r="K6" s="53" t="s">
        <v>161</v>
      </c>
      <c r="L6" s="53">
        <v>2</v>
      </c>
      <c r="N6" s="53">
        <v>5</v>
      </c>
      <c r="O6" s="53">
        <v>0.34</v>
      </c>
      <c r="P6" s="53">
        <v>0.41</v>
      </c>
      <c r="Q6" s="75">
        <f t="shared" si="2"/>
        <v>0.375</v>
      </c>
      <c r="R6" s="53">
        <v>15.7</v>
      </c>
      <c r="S6" s="53">
        <v>95</v>
      </c>
      <c r="T6" s="16">
        <f t="shared" si="0"/>
        <v>36</v>
      </c>
      <c r="U6" s="53">
        <v>348</v>
      </c>
      <c r="V6" s="16">
        <f t="shared" si="1"/>
        <v>16</v>
      </c>
      <c r="W6" s="53">
        <v>2</v>
      </c>
      <c r="X6" s="53" t="s">
        <v>46</v>
      </c>
      <c r="Y6" s="53" t="s">
        <v>78</v>
      </c>
      <c r="Z6" s="53" t="s">
        <v>90</v>
      </c>
      <c r="AA6" s="53" t="s">
        <v>102</v>
      </c>
      <c r="AB6" s="53" t="s">
        <v>316</v>
      </c>
      <c r="AE6" s="22" t="s">
        <v>56</v>
      </c>
      <c r="AG6" s="138" t="s">
        <v>329</v>
      </c>
      <c r="AH6" s="139" t="s">
        <v>330</v>
      </c>
      <c r="AL6" s="73" t="s">
        <v>99</v>
      </c>
      <c r="AN6" s="73" t="s">
        <v>57</v>
      </c>
      <c r="AP6" s="23" t="s">
        <v>53</v>
      </c>
      <c r="AR6" s="23" t="s">
        <v>331</v>
      </c>
      <c r="AV6" s="23" t="s">
        <v>60</v>
      </c>
      <c r="AX6" s="24">
        <v>97</v>
      </c>
      <c r="AY6" s="25">
        <v>36</v>
      </c>
      <c r="AZ6" s="25">
        <v>99</v>
      </c>
      <c r="BA6" s="26">
        <v>33</v>
      </c>
    </row>
    <row r="7" spans="1:53" x14ac:dyDescent="0.15">
      <c r="A7" s="53" t="s">
        <v>59</v>
      </c>
      <c r="B7" s="53" t="s">
        <v>231</v>
      </c>
      <c r="C7" s="62">
        <v>2019</v>
      </c>
      <c r="D7" s="137" t="s">
        <v>282</v>
      </c>
      <c r="E7" s="53" t="s">
        <v>314</v>
      </c>
      <c r="F7" s="53" t="s">
        <v>315</v>
      </c>
      <c r="G7" s="53" t="s">
        <v>36</v>
      </c>
      <c r="H7" s="53" t="s">
        <v>164</v>
      </c>
      <c r="I7" s="53" t="s">
        <v>159</v>
      </c>
      <c r="J7" s="53" t="s">
        <v>38</v>
      </c>
      <c r="K7" s="53" t="s">
        <v>161</v>
      </c>
      <c r="L7" s="53">
        <v>3</v>
      </c>
      <c r="N7" s="53">
        <v>5</v>
      </c>
      <c r="O7" s="53">
        <v>0.56999999999999995</v>
      </c>
      <c r="P7" s="53">
        <v>0.54</v>
      </c>
      <c r="Q7" s="75">
        <f t="shared" si="2"/>
        <v>0.55499999999999994</v>
      </c>
      <c r="R7" s="53">
        <v>14.9</v>
      </c>
      <c r="S7" s="53">
        <v>94</v>
      </c>
      <c r="T7" s="16">
        <f t="shared" si="0"/>
        <v>36</v>
      </c>
      <c r="U7" s="53">
        <v>348</v>
      </c>
      <c r="V7" s="16">
        <f t="shared" si="1"/>
        <v>16</v>
      </c>
      <c r="W7" s="53">
        <v>2</v>
      </c>
      <c r="X7" s="53" t="s">
        <v>46</v>
      </c>
      <c r="Y7" s="53" t="s">
        <v>78</v>
      </c>
      <c r="Z7" s="53" t="s">
        <v>90</v>
      </c>
      <c r="AA7" s="53" t="s">
        <v>102</v>
      </c>
      <c r="AB7" s="53" t="s">
        <v>316</v>
      </c>
      <c r="AE7" s="22" t="s">
        <v>61</v>
      </c>
      <c r="AG7" s="138" t="s">
        <v>332</v>
      </c>
      <c r="AH7" s="139" t="s">
        <v>333</v>
      </c>
      <c r="AL7" s="34" t="s">
        <v>109</v>
      </c>
      <c r="AP7" s="23" t="s">
        <v>58</v>
      </c>
      <c r="AR7" s="23" t="s">
        <v>334</v>
      </c>
      <c r="AV7" s="23" t="s">
        <v>64</v>
      </c>
      <c r="AX7" s="24">
        <v>109</v>
      </c>
      <c r="AY7" s="25">
        <v>33</v>
      </c>
      <c r="AZ7" s="25">
        <v>113</v>
      </c>
      <c r="BA7" s="26">
        <v>30</v>
      </c>
    </row>
    <row r="8" spans="1:53" x14ac:dyDescent="0.15">
      <c r="A8" s="53" t="s">
        <v>59</v>
      </c>
      <c r="B8" s="53" t="s">
        <v>231</v>
      </c>
      <c r="C8" s="62">
        <v>2019</v>
      </c>
      <c r="D8" s="137" t="s">
        <v>282</v>
      </c>
      <c r="E8" s="53" t="s">
        <v>317</v>
      </c>
      <c r="F8" s="53" t="s">
        <v>318</v>
      </c>
      <c r="G8" s="53" t="s">
        <v>36</v>
      </c>
      <c r="H8" s="53" t="s">
        <v>160</v>
      </c>
      <c r="I8" s="53" t="s">
        <v>159</v>
      </c>
      <c r="J8" s="53" t="s">
        <v>38</v>
      </c>
      <c r="K8" s="53" t="s">
        <v>161</v>
      </c>
      <c r="L8" s="53">
        <v>1</v>
      </c>
      <c r="N8" s="53">
        <v>4</v>
      </c>
      <c r="O8" s="53">
        <v>0.25</v>
      </c>
      <c r="P8" s="53">
        <v>0.27</v>
      </c>
      <c r="Q8" s="75">
        <f t="shared" si="2"/>
        <v>0.26</v>
      </c>
      <c r="R8" s="53">
        <v>17.3</v>
      </c>
      <c r="S8" s="53">
        <v>91</v>
      </c>
      <c r="T8" s="16">
        <f t="shared" si="0"/>
        <v>36</v>
      </c>
      <c r="U8" s="53">
        <v>377</v>
      </c>
      <c r="V8" s="16">
        <f t="shared" si="1"/>
        <v>16</v>
      </c>
      <c r="W8" s="53">
        <v>10</v>
      </c>
      <c r="X8" s="53" t="s">
        <v>46</v>
      </c>
      <c r="Y8" s="53" t="s">
        <v>78</v>
      </c>
      <c r="Z8" s="53" t="s">
        <v>102</v>
      </c>
      <c r="AA8" s="53" t="s">
        <v>90</v>
      </c>
      <c r="AB8" s="53" t="s">
        <v>316</v>
      </c>
      <c r="AE8" s="22" t="s">
        <v>59</v>
      </c>
      <c r="AG8" s="140" t="s">
        <v>162</v>
      </c>
      <c r="AH8" s="139" t="s">
        <v>335</v>
      </c>
      <c r="AL8" s="34" t="s">
        <v>134</v>
      </c>
      <c r="AP8" s="23" t="s">
        <v>62</v>
      </c>
      <c r="AR8" s="23" t="s">
        <v>81</v>
      </c>
      <c r="AV8" s="23" t="s">
        <v>97</v>
      </c>
      <c r="AX8" s="24">
        <v>119</v>
      </c>
      <c r="AY8" s="25">
        <v>30</v>
      </c>
      <c r="AZ8" s="25">
        <v>121</v>
      </c>
      <c r="BA8" s="26">
        <v>27</v>
      </c>
    </row>
    <row r="9" spans="1:53" x14ac:dyDescent="0.15">
      <c r="A9" s="53" t="s">
        <v>59</v>
      </c>
      <c r="B9" s="53" t="s">
        <v>231</v>
      </c>
      <c r="C9" s="62">
        <v>2019</v>
      </c>
      <c r="D9" s="137" t="s">
        <v>282</v>
      </c>
      <c r="E9" s="53" t="s">
        <v>317</v>
      </c>
      <c r="F9" s="53" t="s">
        <v>318</v>
      </c>
      <c r="G9" s="53" t="s">
        <v>36</v>
      </c>
      <c r="H9" s="53" t="s">
        <v>160</v>
      </c>
      <c r="I9" s="53" t="s">
        <v>159</v>
      </c>
      <c r="J9" s="53" t="s">
        <v>38</v>
      </c>
      <c r="K9" s="53" t="s">
        <v>161</v>
      </c>
      <c r="L9" s="53">
        <v>2</v>
      </c>
      <c r="N9" s="53">
        <v>4</v>
      </c>
      <c r="O9" s="53">
        <v>0.22</v>
      </c>
      <c r="P9" s="53">
        <v>0.22</v>
      </c>
      <c r="Q9" s="75">
        <f t="shared" si="2"/>
        <v>0.22</v>
      </c>
      <c r="R9" s="53">
        <v>16.8</v>
      </c>
      <c r="S9" s="53">
        <v>85</v>
      </c>
      <c r="T9" s="16">
        <f t="shared" si="0"/>
        <v>36</v>
      </c>
      <c r="U9" s="53">
        <v>377</v>
      </c>
      <c r="V9" s="16">
        <f t="shared" si="1"/>
        <v>16</v>
      </c>
      <c r="W9" s="53">
        <v>10</v>
      </c>
      <c r="X9" s="53" t="s">
        <v>46</v>
      </c>
      <c r="Y9" s="53" t="s">
        <v>78</v>
      </c>
      <c r="Z9" s="53" t="s">
        <v>102</v>
      </c>
      <c r="AA9" s="53" t="s">
        <v>90</v>
      </c>
      <c r="AB9" s="53" t="s">
        <v>316</v>
      </c>
      <c r="AE9" s="22" t="s">
        <v>98</v>
      </c>
      <c r="AG9" s="140" t="s">
        <v>336</v>
      </c>
      <c r="AH9" s="139" t="s">
        <v>335</v>
      </c>
      <c r="AL9" s="73"/>
      <c r="AP9" s="23" t="s">
        <v>337</v>
      </c>
      <c r="AR9" s="23" t="s">
        <v>89</v>
      </c>
      <c r="AV9" s="23" t="s">
        <v>102</v>
      </c>
      <c r="AX9" s="24">
        <v>128</v>
      </c>
      <c r="AY9" s="25">
        <v>27</v>
      </c>
      <c r="AZ9" s="25">
        <v>129</v>
      </c>
      <c r="BA9" s="26">
        <v>25</v>
      </c>
    </row>
    <row r="10" spans="1:53" x14ac:dyDescent="0.15">
      <c r="A10" s="53" t="s">
        <v>59</v>
      </c>
      <c r="B10" s="53" t="s">
        <v>231</v>
      </c>
      <c r="C10" s="62">
        <v>2019</v>
      </c>
      <c r="D10" s="137" t="s">
        <v>282</v>
      </c>
      <c r="E10" s="53" t="s">
        <v>317</v>
      </c>
      <c r="F10" s="53" t="s">
        <v>318</v>
      </c>
      <c r="G10" s="53" t="s">
        <v>36</v>
      </c>
      <c r="H10" s="53" t="s">
        <v>160</v>
      </c>
      <c r="I10" s="53" t="s">
        <v>159</v>
      </c>
      <c r="J10" s="53" t="s">
        <v>38</v>
      </c>
      <c r="K10" s="53" t="s">
        <v>161</v>
      </c>
      <c r="L10" s="53">
        <v>3</v>
      </c>
      <c r="N10" s="53">
        <v>4</v>
      </c>
      <c r="O10" s="53">
        <v>0.28999999999999998</v>
      </c>
      <c r="P10" s="53">
        <v>0.28999999999999998</v>
      </c>
      <c r="Q10" s="75">
        <f t="shared" si="2"/>
        <v>0.28999999999999998</v>
      </c>
      <c r="R10" s="53">
        <v>16.399999999999999</v>
      </c>
      <c r="S10" s="53">
        <v>108</v>
      </c>
      <c r="T10" s="16">
        <f t="shared" si="0"/>
        <v>33</v>
      </c>
      <c r="U10" s="53">
        <v>377</v>
      </c>
      <c r="V10" s="16">
        <f t="shared" si="1"/>
        <v>16</v>
      </c>
      <c r="W10" s="53">
        <v>10</v>
      </c>
      <c r="X10" s="53" t="s">
        <v>46</v>
      </c>
      <c r="Y10" s="53" t="s">
        <v>78</v>
      </c>
      <c r="Z10" s="53" t="s">
        <v>102</v>
      </c>
      <c r="AA10" s="53" t="s">
        <v>90</v>
      </c>
      <c r="AB10" s="53" t="s">
        <v>316</v>
      </c>
      <c r="AE10" s="22" t="s">
        <v>103</v>
      </c>
      <c r="AG10" s="138" t="s">
        <v>338</v>
      </c>
      <c r="AH10" s="139" t="s">
        <v>327</v>
      </c>
      <c r="AL10" s="83"/>
      <c r="AP10" s="23" t="s">
        <v>100</v>
      </c>
      <c r="AR10" s="23" t="s">
        <v>123</v>
      </c>
      <c r="AV10" s="23" t="s">
        <v>106</v>
      </c>
      <c r="AX10" s="24">
        <v>138</v>
      </c>
      <c r="AY10" s="25">
        <v>25</v>
      </c>
      <c r="AZ10" s="25">
        <v>138</v>
      </c>
      <c r="BA10" s="26">
        <v>22</v>
      </c>
    </row>
    <row r="11" spans="1:53" x14ac:dyDescent="0.15">
      <c r="A11" s="53" t="s">
        <v>59</v>
      </c>
      <c r="B11" s="53" t="s">
        <v>231</v>
      </c>
      <c r="C11" s="62">
        <v>2019</v>
      </c>
      <c r="D11" s="137" t="s">
        <v>282</v>
      </c>
      <c r="E11" s="53" t="s">
        <v>317</v>
      </c>
      <c r="F11" s="53" t="s">
        <v>318</v>
      </c>
      <c r="G11" s="53" t="s">
        <v>36</v>
      </c>
      <c r="H11" s="53" t="s">
        <v>164</v>
      </c>
      <c r="I11" s="53" t="s">
        <v>159</v>
      </c>
      <c r="J11" s="53" t="s">
        <v>38</v>
      </c>
      <c r="K11" s="53" t="s">
        <v>161</v>
      </c>
      <c r="L11" s="53">
        <v>1</v>
      </c>
      <c r="N11" s="53">
        <v>4</v>
      </c>
      <c r="O11" s="53">
        <v>0.53</v>
      </c>
      <c r="P11" s="53">
        <v>0.5</v>
      </c>
      <c r="Q11" s="75">
        <f t="shared" si="2"/>
        <v>0.51500000000000001</v>
      </c>
      <c r="R11" s="53">
        <v>13.9</v>
      </c>
      <c r="S11" s="53">
        <v>75</v>
      </c>
      <c r="T11" s="16">
        <f t="shared" si="0"/>
        <v>42</v>
      </c>
      <c r="U11" s="53">
        <v>297</v>
      </c>
      <c r="V11" s="16">
        <f t="shared" si="1"/>
        <v>16</v>
      </c>
      <c r="W11" s="53">
        <v>1</v>
      </c>
      <c r="X11" s="53" t="s">
        <v>39</v>
      </c>
      <c r="Y11" s="53" t="s">
        <v>78</v>
      </c>
      <c r="Z11" s="53" t="s">
        <v>102</v>
      </c>
      <c r="AA11" s="53" t="s">
        <v>90</v>
      </c>
      <c r="AB11" s="53" t="s">
        <v>316</v>
      </c>
      <c r="AE11" s="22" t="s">
        <v>65</v>
      </c>
      <c r="AG11" s="140" t="s">
        <v>339</v>
      </c>
      <c r="AH11" s="139" t="s">
        <v>340</v>
      </c>
      <c r="AL11" s="83"/>
      <c r="AP11" s="23" t="s">
        <v>341</v>
      </c>
      <c r="AR11" s="23" t="s">
        <v>342</v>
      </c>
      <c r="AV11" s="23" t="s">
        <v>343</v>
      </c>
      <c r="AX11" s="24">
        <v>151</v>
      </c>
      <c r="AY11" s="25">
        <v>22</v>
      </c>
      <c r="AZ11" s="25">
        <v>152</v>
      </c>
      <c r="BA11" s="26">
        <v>18</v>
      </c>
    </row>
    <row r="12" spans="1:53" x14ac:dyDescent="0.15">
      <c r="A12" s="53" t="s">
        <v>59</v>
      </c>
      <c r="B12" s="53" t="s">
        <v>231</v>
      </c>
      <c r="C12" s="62">
        <v>2019</v>
      </c>
      <c r="D12" s="137" t="s">
        <v>282</v>
      </c>
      <c r="E12" s="53" t="s">
        <v>317</v>
      </c>
      <c r="F12" s="53" t="s">
        <v>318</v>
      </c>
      <c r="G12" s="53" t="s">
        <v>36</v>
      </c>
      <c r="H12" s="53" t="s">
        <v>164</v>
      </c>
      <c r="I12" s="53" t="s">
        <v>159</v>
      </c>
      <c r="J12" s="53" t="s">
        <v>38</v>
      </c>
      <c r="K12" s="53" t="s">
        <v>161</v>
      </c>
      <c r="L12" s="53">
        <v>2</v>
      </c>
      <c r="N12" s="53">
        <v>4</v>
      </c>
      <c r="O12" s="53">
        <v>0.74</v>
      </c>
      <c r="P12" s="53">
        <v>0.75</v>
      </c>
      <c r="Q12" s="75">
        <f t="shared" si="2"/>
        <v>0.745</v>
      </c>
      <c r="R12" s="53">
        <v>13.8</v>
      </c>
      <c r="S12" s="53">
        <v>77</v>
      </c>
      <c r="T12" s="16">
        <f t="shared" si="0"/>
        <v>39</v>
      </c>
      <c r="U12" s="53">
        <v>297</v>
      </c>
      <c r="V12" s="16">
        <f t="shared" si="1"/>
        <v>16</v>
      </c>
      <c r="W12" s="53">
        <v>1</v>
      </c>
      <c r="X12" s="53" t="s">
        <v>39</v>
      </c>
      <c r="Y12" s="53" t="s">
        <v>78</v>
      </c>
      <c r="Z12" s="53" t="s">
        <v>102</v>
      </c>
      <c r="AA12" s="53" t="s">
        <v>90</v>
      </c>
      <c r="AB12" s="53" t="s">
        <v>316</v>
      </c>
      <c r="AE12" s="22" t="s">
        <v>70</v>
      </c>
      <c r="AG12" s="23"/>
      <c r="AH12" s="141"/>
      <c r="AL12" s="83"/>
      <c r="AP12" s="23" t="s">
        <v>67</v>
      </c>
      <c r="AR12" s="23" t="s">
        <v>124</v>
      </c>
      <c r="AV12" s="23" t="s">
        <v>72</v>
      </c>
      <c r="AX12" s="31">
        <v>180</v>
      </c>
      <c r="AY12" s="32">
        <v>18</v>
      </c>
      <c r="AZ12" s="32">
        <v>181</v>
      </c>
      <c r="BA12" s="33">
        <v>16</v>
      </c>
    </row>
    <row r="13" spans="1:53" x14ac:dyDescent="0.15">
      <c r="A13" s="53" t="s">
        <v>59</v>
      </c>
      <c r="B13" s="53" t="s">
        <v>231</v>
      </c>
      <c r="C13" s="62">
        <v>2019</v>
      </c>
      <c r="D13" s="137" t="s">
        <v>282</v>
      </c>
      <c r="E13" s="53" t="s">
        <v>317</v>
      </c>
      <c r="F13" s="53" t="s">
        <v>318</v>
      </c>
      <c r="G13" s="53" t="s">
        <v>36</v>
      </c>
      <c r="H13" s="53" t="s">
        <v>164</v>
      </c>
      <c r="I13" s="53" t="s">
        <v>159</v>
      </c>
      <c r="J13" s="53" t="s">
        <v>38</v>
      </c>
      <c r="K13" s="53" t="s">
        <v>161</v>
      </c>
      <c r="L13" s="53">
        <v>3</v>
      </c>
      <c r="N13" s="53">
        <v>4</v>
      </c>
      <c r="O13" s="53">
        <v>0.72</v>
      </c>
      <c r="P13" s="53">
        <v>0.66</v>
      </c>
      <c r="Q13" s="75">
        <f t="shared" si="2"/>
        <v>0.69</v>
      </c>
      <c r="R13" s="53">
        <v>14.2</v>
      </c>
      <c r="S13" s="53">
        <v>79</v>
      </c>
      <c r="T13" s="16">
        <f t="shared" si="0"/>
        <v>39</v>
      </c>
      <c r="U13" s="53">
        <v>297</v>
      </c>
      <c r="V13" s="16">
        <f t="shared" si="1"/>
        <v>16</v>
      </c>
      <c r="W13" s="53">
        <v>1</v>
      </c>
      <c r="X13" s="53" t="s">
        <v>39</v>
      </c>
      <c r="Y13" s="53" t="s">
        <v>78</v>
      </c>
      <c r="Z13" s="53" t="s">
        <v>102</v>
      </c>
      <c r="AA13" s="53" t="s">
        <v>90</v>
      </c>
      <c r="AB13" s="53" t="s">
        <v>316</v>
      </c>
      <c r="AE13" s="22" t="s">
        <v>73</v>
      </c>
      <c r="AG13" s="23"/>
      <c r="AH13" s="23"/>
      <c r="AP13" s="23" t="s">
        <v>71</v>
      </c>
      <c r="AR13" s="23" t="s">
        <v>103</v>
      </c>
      <c r="AV13" s="23" t="s">
        <v>75</v>
      </c>
    </row>
    <row r="14" spans="1:53" x14ac:dyDescent="0.15">
      <c r="A14" s="53" t="s">
        <v>59</v>
      </c>
      <c r="B14" s="53" t="s">
        <v>231</v>
      </c>
      <c r="C14" s="62">
        <v>2019</v>
      </c>
      <c r="D14" s="137" t="s">
        <v>282</v>
      </c>
      <c r="E14" s="53" t="s">
        <v>326</v>
      </c>
      <c r="F14" s="53" t="s">
        <v>327</v>
      </c>
      <c r="G14" s="53" t="s">
        <v>36</v>
      </c>
      <c r="H14" s="53" t="s">
        <v>160</v>
      </c>
      <c r="I14" s="53" t="s">
        <v>159</v>
      </c>
      <c r="J14" s="53" t="s">
        <v>38</v>
      </c>
      <c r="K14" s="53" t="s">
        <v>161</v>
      </c>
      <c r="L14" s="53">
        <v>1</v>
      </c>
      <c r="N14" s="53">
        <v>3</v>
      </c>
      <c r="O14" s="53">
        <v>0.35</v>
      </c>
      <c r="P14" s="53">
        <v>0.38</v>
      </c>
      <c r="Q14" s="75">
        <f t="shared" si="2"/>
        <v>0.36499999999999999</v>
      </c>
      <c r="R14" s="53">
        <v>16.5</v>
      </c>
      <c r="S14" s="53">
        <v>115</v>
      </c>
      <c r="T14" s="16">
        <f t="shared" si="0"/>
        <v>30</v>
      </c>
      <c r="U14" s="53">
        <v>399</v>
      </c>
      <c r="V14" s="16">
        <f t="shared" si="1"/>
        <v>16</v>
      </c>
      <c r="W14" s="53">
        <v>4</v>
      </c>
      <c r="X14" s="53" t="s">
        <v>39</v>
      </c>
      <c r="Y14" s="53" t="s">
        <v>90</v>
      </c>
      <c r="Z14" s="53" t="s">
        <v>78</v>
      </c>
      <c r="AA14" s="53" t="s">
        <v>102</v>
      </c>
      <c r="AB14" s="53" t="s">
        <v>316</v>
      </c>
      <c r="AE14" s="22" t="s">
        <v>76</v>
      </c>
      <c r="AG14" s="23"/>
      <c r="AH14" s="23"/>
      <c r="AP14" s="23" t="s">
        <v>344</v>
      </c>
      <c r="AR14" s="23" t="s">
        <v>125</v>
      </c>
      <c r="AV14" s="23" t="s">
        <v>78</v>
      </c>
    </row>
    <row r="15" spans="1:53" x14ac:dyDescent="0.15">
      <c r="A15" s="53" t="s">
        <v>59</v>
      </c>
      <c r="B15" s="53" t="s">
        <v>231</v>
      </c>
      <c r="C15" s="62">
        <v>2019</v>
      </c>
      <c r="D15" s="137" t="s">
        <v>282</v>
      </c>
      <c r="E15" s="53" t="s">
        <v>326</v>
      </c>
      <c r="F15" s="53" t="s">
        <v>327</v>
      </c>
      <c r="G15" s="53" t="s">
        <v>36</v>
      </c>
      <c r="H15" s="53" t="s">
        <v>160</v>
      </c>
      <c r="I15" s="53" t="s">
        <v>159</v>
      </c>
      <c r="J15" s="53" t="s">
        <v>38</v>
      </c>
      <c r="K15" s="53" t="s">
        <v>161</v>
      </c>
      <c r="L15" s="53">
        <v>2</v>
      </c>
      <c r="N15" s="53">
        <v>3</v>
      </c>
      <c r="O15" s="53">
        <v>0.39</v>
      </c>
      <c r="P15" s="53">
        <v>0.38</v>
      </c>
      <c r="Q15" s="75">
        <f t="shared" si="2"/>
        <v>0.38500000000000001</v>
      </c>
      <c r="R15" s="53">
        <v>16.3</v>
      </c>
      <c r="S15" s="53">
        <v>109</v>
      </c>
      <c r="T15" s="16">
        <f t="shared" si="0"/>
        <v>33</v>
      </c>
      <c r="U15" s="53">
        <v>399</v>
      </c>
      <c r="V15" s="16">
        <f t="shared" si="1"/>
        <v>16</v>
      </c>
      <c r="W15" s="53">
        <v>4</v>
      </c>
      <c r="X15" s="53" t="s">
        <v>39</v>
      </c>
      <c r="Y15" s="53" t="s">
        <v>90</v>
      </c>
      <c r="Z15" s="53" t="s">
        <v>78</v>
      </c>
      <c r="AA15" s="53" t="s">
        <v>102</v>
      </c>
      <c r="AB15" s="53" t="s">
        <v>316</v>
      </c>
      <c r="AE15" s="22" t="s">
        <v>79</v>
      </c>
      <c r="AG15" s="23"/>
      <c r="AH15" s="23"/>
      <c r="AP15" s="23" t="s">
        <v>345</v>
      </c>
      <c r="AR15" s="23" t="s">
        <v>94</v>
      </c>
      <c r="AV15" s="23" t="s">
        <v>107</v>
      </c>
    </row>
    <row r="16" spans="1:53" x14ac:dyDescent="0.15">
      <c r="A16" s="53" t="s">
        <v>59</v>
      </c>
      <c r="B16" s="53" t="s">
        <v>231</v>
      </c>
      <c r="C16" s="62">
        <v>2019</v>
      </c>
      <c r="D16" s="137" t="s">
        <v>282</v>
      </c>
      <c r="E16" s="53" t="s">
        <v>326</v>
      </c>
      <c r="F16" s="53" t="s">
        <v>327</v>
      </c>
      <c r="G16" s="53" t="s">
        <v>36</v>
      </c>
      <c r="H16" s="53" t="s">
        <v>160</v>
      </c>
      <c r="I16" s="53" t="s">
        <v>159</v>
      </c>
      <c r="J16" s="53" t="s">
        <v>38</v>
      </c>
      <c r="K16" s="53" t="s">
        <v>161</v>
      </c>
      <c r="L16" s="53">
        <v>3</v>
      </c>
      <c r="N16" s="53">
        <v>3</v>
      </c>
      <c r="O16" s="53">
        <v>0.37</v>
      </c>
      <c r="P16" s="53">
        <v>0.36</v>
      </c>
      <c r="Q16" s="75">
        <f t="shared" si="2"/>
        <v>0.36499999999999999</v>
      </c>
      <c r="R16" s="53">
        <v>16.2</v>
      </c>
      <c r="S16" s="53">
        <v>110</v>
      </c>
      <c r="T16" s="16">
        <f t="shared" si="0"/>
        <v>33</v>
      </c>
      <c r="U16" s="53">
        <v>399</v>
      </c>
      <c r="V16" s="16">
        <f t="shared" si="1"/>
        <v>16</v>
      </c>
      <c r="W16" s="53">
        <v>4</v>
      </c>
      <c r="X16" s="53" t="s">
        <v>39</v>
      </c>
      <c r="Y16" s="53" t="s">
        <v>90</v>
      </c>
      <c r="Z16" s="53" t="s">
        <v>78</v>
      </c>
      <c r="AA16" s="53" t="s">
        <v>102</v>
      </c>
      <c r="AB16" s="53" t="s">
        <v>316</v>
      </c>
      <c r="AE16" s="22" t="s">
        <v>82</v>
      </c>
      <c r="AG16" s="28"/>
      <c r="AH16" s="28"/>
      <c r="AP16" s="23" t="s">
        <v>80</v>
      </c>
      <c r="AR16" s="23" t="s">
        <v>63</v>
      </c>
      <c r="AV16" s="23" t="s">
        <v>84</v>
      </c>
    </row>
    <row r="17" spans="1:48" x14ac:dyDescent="0.15">
      <c r="A17" s="53" t="s">
        <v>59</v>
      </c>
      <c r="B17" s="53" t="s">
        <v>231</v>
      </c>
      <c r="C17" s="62">
        <v>2019</v>
      </c>
      <c r="D17" s="137" t="s">
        <v>282</v>
      </c>
      <c r="E17" s="53" t="s">
        <v>326</v>
      </c>
      <c r="F17" s="53" t="s">
        <v>327</v>
      </c>
      <c r="G17" s="53" t="s">
        <v>36</v>
      </c>
      <c r="H17" s="53" t="s">
        <v>164</v>
      </c>
      <c r="I17" s="53" t="s">
        <v>159</v>
      </c>
      <c r="J17" s="53" t="s">
        <v>38</v>
      </c>
      <c r="K17" s="53" t="s">
        <v>161</v>
      </c>
      <c r="L17" s="53">
        <v>1</v>
      </c>
      <c r="N17" s="53">
        <v>2</v>
      </c>
      <c r="O17" s="53">
        <v>0.57999999999999996</v>
      </c>
      <c r="P17" s="53">
        <v>0.54</v>
      </c>
      <c r="Q17" s="75">
        <f t="shared" si="2"/>
        <v>0.56000000000000005</v>
      </c>
      <c r="R17" s="53">
        <v>14.7</v>
      </c>
      <c r="S17" s="53">
        <v>153</v>
      </c>
      <c r="T17" s="16">
        <f t="shared" si="0"/>
        <v>18</v>
      </c>
      <c r="U17" s="53">
        <v>299</v>
      </c>
      <c r="V17" s="16">
        <f t="shared" si="1"/>
        <v>16</v>
      </c>
      <c r="W17" s="53">
        <v>4</v>
      </c>
      <c r="X17" s="53" t="s">
        <v>39</v>
      </c>
      <c r="Y17" s="53" t="s">
        <v>90</v>
      </c>
      <c r="Z17" s="53" t="s">
        <v>78</v>
      </c>
      <c r="AA17" s="53" t="s">
        <v>102</v>
      </c>
      <c r="AB17" s="53" t="s">
        <v>316</v>
      </c>
      <c r="AE17" s="22" t="s">
        <v>85</v>
      </c>
      <c r="AP17" s="27" t="s">
        <v>110</v>
      </c>
      <c r="AR17" s="23" t="s">
        <v>96</v>
      </c>
      <c r="AV17" s="23" t="s">
        <v>86</v>
      </c>
    </row>
    <row r="18" spans="1:48" x14ac:dyDescent="0.15">
      <c r="A18" s="53" t="s">
        <v>59</v>
      </c>
      <c r="B18" s="53" t="s">
        <v>231</v>
      </c>
      <c r="C18" s="62">
        <v>2019</v>
      </c>
      <c r="D18" s="137" t="s">
        <v>282</v>
      </c>
      <c r="E18" s="53" t="s">
        <v>326</v>
      </c>
      <c r="F18" s="53" t="s">
        <v>327</v>
      </c>
      <c r="G18" s="53" t="s">
        <v>36</v>
      </c>
      <c r="H18" s="53" t="s">
        <v>164</v>
      </c>
      <c r="I18" s="53" t="s">
        <v>159</v>
      </c>
      <c r="J18" s="53" t="s">
        <v>38</v>
      </c>
      <c r="K18" s="53" t="s">
        <v>161</v>
      </c>
      <c r="L18" s="53">
        <v>2</v>
      </c>
      <c r="N18" s="53">
        <v>2</v>
      </c>
      <c r="O18" s="53">
        <v>0.45</v>
      </c>
      <c r="P18" s="53">
        <v>0.52</v>
      </c>
      <c r="Q18" s="75">
        <f t="shared" si="2"/>
        <v>0.48499999999999999</v>
      </c>
      <c r="R18" s="53">
        <v>15.3</v>
      </c>
      <c r="S18" s="53">
        <v>157</v>
      </c>
      <c r="T18" s="16">
        <f t="shared" si="0"/>
        <v>18</v>
      </c>
      <c r="U18" s="53">
        <v>299</v>
      </c>
      <c r="V18" s="16">
        <f t="shared" si="1"/>
        <v>16</v>
      </c>
      <c r="W18" s="53">
        <v>4</v>
      </c>
      <c r="X18" s="53" t="s">
        <v>39</v>
      </c>
      <c r="Y18" s="53" t="s">
        <v>90</v>
      </c>
      <c r="Z18" s="53" t="s">
        <v>78</v>
      </c>
      <c r="AA18" s="53" t="s">
        <v>102</v>
      </c>
      <c r="AB18" s="53" t="s">
        <v>316</v>
      </c>
      <c r="AE18" s="22" t="s">
        <v>87</v>
      </c>
      <c r="AP18" s="27" t="s">
        <v>346</v>
      </c>
      <c r="AR18" s="23" t="s">
        <v>101</v>
      </c>
      <c r="AV18" s="23" t="s">
        <v>88</v>
      </c>
    </row>
    <row r="19" spans="1:48" x14ac:dyDescent="0.15">
      <c r="A19" s="53" t="s">
        <v>59</v>
      </c>
      <c r="B19" s="53" t="s">
        <v>231</v>
      </c>
      <c r="C19" s="62">
        <v>2019</v>
      </c>
      <c r="D19" s="137" t="s">
        <v>282</v>
      </c>
      <c r="E19" s="53" t="s">
        <v>326</v>
      </c>
      <c r="F19" s="53" t="s">
        <v>327</v>
      </c>
      <c r="G19" s="53" t="s">
        <v>36</v>
      </c>
      <c r="H19" s="53" t="s">
        <v>164</v>
      </c>
      <c r="I19" s="53" t="s">
        <v>159</v>
      </c>
      <c r="J19" s="53" t="s">
        <v>38</v>
      </c>
      <c r="K19" s="53" t="s">
        <v>161</v>
      </c>
      <c r="L19" s="53">
        <v>3</v>
      </c>
      <c r="N19" s="53">
        <v>2</v>
      </c>
      <c r="O19" s="53">
        <v>0.55000000000000004</v>
      </c>
      <c r="P19" s="53">
        <v>0.51</v>
      </c>
      <c r="Q19" s="75">
        <f t="shared" si="2"/>
        <v>0.53</v>
      </c>
      <c r="R19" s="53">
        <v>14.8</v>
      </c>
      <c r="S19" s="53">
        <v>159</v>
      </c>
      <c r="T19" s="16">
        <f t="shared" si="0"/>
        <v>18</v>
      </c>
      <c r="U19" s="53">
        <v>299</v>
      </c>
      <c r="V19" s="16">
        <f t="shared" si="1"/>
        <v>16</v>
      </c>
      <c r="W19" s="53">
        <v>4</v>
      </c>
      <c r="X19" s="53" t="s">
        <v>39</v>
      </c>
      <c r="Y19" s="53" t="s">
        <v>90</v>
      </c>
      <c r="Z19" s="53" t="s">
        <v>78</v>
      </c>
      <c r="AA19" s="53" t="s">
        <v>102</v>
      </c>
      <c r="AB19" s="53" t="s">
        <v>316</v>
      </c>
      <c r="AE19" s="35" t="s">
        <v>89</v>
      </c>
      <c r="AP19" s="27" t="s">
        <v>112</v>
      </c>
      <c r="AR19" s="23" t="s">
        <v>126</v>
      </c>
      <c r="AV19" s="23" t="s">
        <v>347</v>
      </c>
    </row>
    <row r="20" spans="1:48" x14ac:dyDescent="0.15">
      <c r="A20" s="53" t="s">
        <v>59</v>
      </c>
      <c r="B20" s="53" t="s">
        <v>231</v>
      </c>
      <c r="C20" s="62">
        <v>2019</v>
      </c>
      <c r="D20" s="137" t="s">
        <v>282</v>
      </c>
      <c r="E20" s="53" t="s">
        <v>338</v>
      </c>
      <c r="F20" s="53" t="s">
        <v>327</v>
      </c>
      <c r="G20" s="53" t="s">
        <v>36</v>
      </c>
      <c r="H20" s="53" t="s">
        <v>160</v>
      </c>
      <c r="I20" s="53" t="s">
        <v>159</v>
      </c>
      <c r="J20" s="53" t="s">
        <v>38</v>
      </c>
      <c r="K20" s="53" t="s">
        <v>161</v>
      </c>
      <c r="L20" s="53">
        <v>1</v>
      </c>
      <c r="N20" s="53">
        <v>2</v>
      </c>
      <c r="O20" s="53">
        <v>0.28999999999999998</v>
      </c>
      <c r="P20" s="53">
        <v>0.28000000000000003</v>
      </c>
      <c r="Q20" s="75">
        <f t="shared" si="2"/>
        <v>0.28500000000000003</v>
      </c>
      <c r="R20" s="53">
        <v>18.8</v>
      </c>
      <c r="S20" s="53">
        <v>175</v>
      </c>
      <c r="T20" s="16">
        <f t="shared" si="0"/>
        <v>18</v>
      </c>
      <c r="U20" s="53">
        <v>429</v>
      </c>
      <c r="V20" s="16">
        <f t="shared" si="1"/>
        <v>16</v>
      </c>
      <c r="W20" s="53">
        <v>1</v>
      </c>
      <c r="X20" s="53" t="s">
        <v>46</v>
      </c>
      <c r="Y20" s="53" t="s">
        <v>78</v>
      </c>
      <c r="Z20" s="53" t="s">
        <v>102</v>
      </c>
      <c r="AA20" s="53" t="s">
        <v>88</v>
      </c>
      <c r="AB20" s="53" t="s">
        <v>316</v>
      </c>
      <c r="AE20" s="35"/>
      <c r="AP20" s="27" t="s">
        <v>113</v>
      </c>
      <c r="AR20" s="23" t="s">
        <v>105</v>
      </c>
      <c r="AV20" s="27" t="s">
        <v>135</v>
      </c>
    </row>
    <row r="21" spans="1:48" x14ac:dyDescent="0.15">
      <c r="A21" s="53" t="s">
        <v>59</v>
      </c>
      <c r="B21" s="53" t="s">
        <v>231</v>
      </c>
      <c r="C21" s="62">
        <v>2019</v>
      </c>
      <c r="D21" s="137" t="s">
        <v>282</v>
      </c>
      <c r="E21" s="53" t="s">
        <v>338</v>
      </c>
      <c r="F21" s="53" t="s">
        <v>327</v>
      </c>
      <c r="G21" s="53" t="s">
        <v>36</v>
      </c>
      <c r="H21" s="53" t="s">
        <v>160</v>
      </c>
      <c r="I21" s="53" t="s">
        <v>159</v>
      </c>
      <c r="J21" s="53" t="s">
        <v>38</v>
      </c>
      <c r="K21" s="53" t="s">
        <v>161</v>
      </c>
      <c r="L21" s="53">
        <v>2</v>
      </c>
      <c r="N21" s="53">
        <v>2</v>
      </c>
      <c r="O21" s="53">
        <v>0.28000000000000003</v>
      </c>
      <c r="P21" s="53">
        <v>0.34</v>
      </c>
      <c r="Q21" s="75">
        <f t="shared" si="2"/>
        <v>0.31000000000000005</v>
      </c>
      <c r="R21" s="53">
        <v>18.5</v>
      </c>
      <c r="S21" s="53">
        <v>152</v>
      </c>
      <c r="T21" s="16">
        <f t="shared" si="0"/>
        <v>18</v>
      </c>
      <c r="U21" s="53">
        <v>429</v>
      </c>
      <c r="V21" s="16">
        <f t="shared" si="1"/>
        <v>16</v>
      </c>
      <c r="W21" s="53">
        <v>1</v>
      </c>
      <c r="X21" s="53" t="s">
        <v>46</v>
      </c>
      <c r="Y21" s="53" t="s">
        <v>78</v>
      </c>
      <c r="Z21" s="53" t="s">
        <v>102</v>
      </c>
      <c r="AA21" s="53" t="s">
        <v>88</v>
      </c>
      <c r="AB21" s="53" t="s">
        <v>316</v>
      </c>
      <c r="AE21" s="28"/>
      <c r="AP21" s="27" t="s">
        <v>348</v>
      </c>
      <c r="AR21" s="23" t="s">
        <v>68</v>
      </c>
      <c r="AV21" s="27" t="s">
        <v>136</v>
      </c>
    </row>
    <row r="22" spans="1:48" x14ac:dyDescent="0.15">
      <c r="A22" s="53" t="s">
        <v>59</v>
      </c>
      <c r="B22" s="53" t="s">
        <v>231</v>
      </c>
      <c r="C22" s="62">
        <v>2019</v>
      </c>
      <c r="D22" s="137" t="s">
        <v>282</v>
      </c>
      <c r="E22" s="53" t="s">
        <v>338</v>
      </c>
      <c r="F22" s="53" t="s">
        <v>327</v>
      </c>
      <c r="G22" s="53" t="s">
        <v>36</v>
      </c>
      <c r="H22" s="53" t="s">
        <v>160</v>
      </c>
      <c r="I22" s="53" t="s">
        <v>159</v>
      </c>
      <c r="J22" s="53" t="s">
        <v>38</v>
      </c>
      <c r="K22" s="53" t="s">
        <v>161</v>
      </c>
      <c r="L22" s="53">
        <v>3</v>
      </c>
      <c r="N22" s="53">
        <v>2</v>
      </c>
      <c r="O22" s="53">
        <v>0.31</v>
      </c>
      <c r="P22" s="53">
        <v>0.27</v>
      </c>
      <c r="Q22" s="75">
        <f t="shared" si="2"/>
        <v>0.29000000000000004</v>
      </c>
      <c r="R22" s="53">
        <v>18</v>
      </c>
      <c r="S22" s="53">
        <v>165</v>
      </c>
      <c r="T22" s="16">
        <f t="shared" si="0"/>
        <v>18</v>
      </c>
      <c r="U22" s="53">
        <v>429</v>
      </c>
      <c r="V22" s="16">
        <f t="shared" si="1"/>
        <v>16</v>
      </c>
      <c r="W22" s="53">
        <v>1</v>
      </c>
      <c r="X22" s="53" t="s">
        <v>46</v>
      </c>
      <c r="Y22" s="53" t="s">
        <v>78</v>
      </c>
      <c r="Z22" s="53" t="s">
        <v>102</v>
      </c>
      <c r="AA22" s="53" t="s">
        <v>88</v>
      </c>
      <c r="AB22" s="53" t="s">
        <v>316</v>
      </c>
      <c r="AP22" s="27" t="s">
        <v>349</v>
      </c>
      <c r="AR22" s="23" t="s">
        <v>83</v>
      </c>
      <c r="AV22" s="27" t="s">
        <v>350</v>
      </c>
    </row>
    <row r="23" spans="1:48" x14ac:dyDescent="0.15">
      <c r="A23" s="53" t="s">
        <v>59</v>
      </c>
      <c r="B23" s="53" t="s">
        <v>231</v>
      </c>
      <c r="C23" s="62">
        <v>2019</v>
      </c>
      <c r="D23" s="137" t="s">
        <v>282</v>
      </c>
      <c r="E23" s="53" t="s">
        <v>338</v>
      </c>
      <c r="F23" s="53" t="s">
        <v>327</v>
      </c>
      <c r="G23" s="53" t="s">
        <v>36</v>
      </c>
      <c r="H23" s="53" t="s">
        <v>164</v>
      </c>
      <c r="I23" s="53" t="s">
        <v>159</v>
      </c>
      <c r="J23" s="53" t="s">
        <v>38</v>
      </c>
      <c r="K23" s="53" t="s">
        <v>161</v>
      </c>
      <c r="L23" s="53">
        <v>1</v>
      </c>
      <c r="N23" s="53">
        <v>1</v>
      </c>
      <c r="O23" s="53">
        <v>0.65</v>
      </c>
      <c r="P23" s="53">
        <v>0.63</v>
      </c>
      <c r="Q23" s="75">
        <f t="shared" si="2"/>
        <v>0.64</v>
      </c>
      <c r="R23" s="53">
        <v>14.1</v>
      </c>
      <c r="S23" s="53">
        <v>109</v>
      </c>
      <c r="T23" s="16">
        <f t="shared" si="0"/>
        <v>33</v>
      </c>
      <c r="U23" s="53">
        <v>62</v>
      </c>
      <c r="V23" s="16">
        <f t="shared" si="1"/>
        <v>50</v>
      </c>
      <c r="W23" s="53">
        <v>1</v>
      </c>
      <c r="X23" s="53" t="s">
        <v>46</v>
      </c>
      <c r="Y23" s="53" t="s">
        <v>78</v>
      </c>
      <c r="Z23" s="53" t="s">
        <v>102</v>
      </c>
      <c r="AA23" s="53" t="s">
        <v>88</v>
      </c>
      <c r="AB23" s="53" t="s">
        <v>316</v>
      </c>
      <c r="AP23" s="27" t="s">
        <v>137</v>
      </c>
      <c r="AR23" s="23" t="s">
        <v>61</v>
      </c>
      <c r="AV23" s="27" t="s">
        <v>351</v>
      </c>
    </row>
    <row r="24" spans="1:48" x14ac:dyDescent="0.15">
      <c r="A24" s="53" t="s">
        <v>59</v>
      </c>
      <c r="B24" s="53" t="s">
        <v>231</v>
      </c>
      <c r="C24" s="62">
        <v>2019</v>
      </c>
      <c r="D24" s="137" t="s">
        <v>282</v>
      </c>
      <c r="E24" s="53" t="s">
        <v>338</v>
      </c>
      <c r="F24" s="53" t="s">
        <v>327</v>
      </c>
      <c r="G24" s="53" t="s">
        <v>36</v>
      </c>
      <c r="H24" s="53" t="s">
        <v>164</v>
      </c>
      <c r="I24" s="53" t="s">
        <v>159</v>
      </c>
      <c r="J24" s="53" t="s">
        <v>38</v>
      </c>
      <c r="K24" s="53" t="s">
        <v>161</v>
      </c>
      <c r="L24" s="53">
        <v>2</v>
      </c>
      <c r="N24" s="53">
        <v>1</v>
      </c>
      <c r="O24" s="53">
        <v>0.83</v>
      </c>
      <c r="P24" s="53">
        <v>0.9</v>
      </c>
      <c r="Q24" s="75">
        <f t="shared" si="2"/>
        <v>0.86499999999999999</v>
      </c>
      <c r="R24" s="53">
        <v>13.9</v>
      </c>
      <c r="S24" s="53">
        <v>118</v>
      </c>
      <c r="T24" s="16">
        <f t="shared" si="0"/>
        <v>30</v>
      </c>
      <c r="U24" s="53">
        <v>62</v>
      </c>
      <c r="V24" s="16">
        <f t="shared" si="1"/>
        <v>50</v>
      </c>
      <c r="W24" s="53">
        <v>1</v>
      </c>
      <c r="X24" s="53" t="s">
        <v>46</v>
      </c>
      <c r="Y24" s="53" t="s">
        <v>78</v>
      </c>
      <c r="Z24" s="53" t="s">
        <v>102</v>
      </c>
      <c r="AA24" s="53" t="s">
        <v>88</v>
      </c>
      <c r="AB24" s="53" t="s">
        <v>316</v>
      </c>
      <c r="AP24" s="27" t="s">
        <v>138</v>
      </c>
      <c r="AR24" s="23" t="s">
        <v>91</v>
      </c>
      <c r="AV24" s="27" t="s">
        <v>352</v>
      </c>
    </row>
    <row r="25" spans="1:48" x14ac:dyDescent="0.15">
      <c r="A25" s="53" t="s">
        <v>59</v>
      </c>
      <c r="B25" s="53" t="s">
        <v>231</v>
      </c>
      <c r="C25" s="62">
        <v>2019</v>
      </c>
      <c r="D25" s="137" t="s">
        <v>282</v>
      </c>
      <c r="E25" s="53" t="s">
        <v>338</v>
      </c>
      <c r="F25" s="53" t="s">
        <v>327</v>
      </c>
      <c r="G25" s="53" t="s">
        <v>36</v>
      </c>
      <c r="H25" s="53" t="s">
        <v>164</v>
      </c>
      <c r="I25" s="53" t="s">
        <v>159</v>
      </c>
      <c r="J25" s="53" t="s">
        <v>38</v>
      </c>
      <c r="K25" s="53" t="s">
        <v>161</v>
      </c>
      <c r="L25" s="53">
        <v>3</v>
      </c>
      <c r="N25" s="53">
        <v>1</v>
      </c>
      <c r="O25" s="53">
        <v>0.71</v>
      </c>
      <c r="P25" s="53">
        <v>0.66</v>
      </c>
      <c r="Q25" s="75">
        <f t="shared" si="2"/>
        <v>0.68500000000000005</v>
      </c>
      <c r="R25" s="53">
        <v>13.5</v>
      </c>
      <c r="S25" s="53">
        <v>119</v>
      </c>
      <c r="T25" s="16">
        <f t="shared" si="0"/>
        <v>30</v>
      </c>
      <c r="U25" s="53">
        <v>62</v>
      </c>
      <c r="V25" s="16">
        <f t="shared" si="1"/>
        <v>50</v>
      </c>
      <c r="W25" s="53">
        <v>1</v>
      </c>
      <c r="X25" s="53" t="s">
        <v>46</v>
      </c>
      <c r="Y25" s="53" t="s">
        <v>78</v>
      </c>
      <c r="Z25" s="53" t="s">
        <v>102</v>
      </c>
      <c r="AA25" s="53" t="s">
        <v>88</v>
      </c>
      <c r="AB25" s="53" t="s">
        <v>316</v>
      </c>
      <c r="AP25" s="27" t="s">
        <v>116</v>
      </c>
      <c r="AR25" s="27" t="s">
        <v>92</v>
      </c>
      <c r="AV25" s="27" t="s">
        <v>353</v>
      </c>
    </row>
    <row r="26" spans="1:48" x14ac:dyDescent="0.15">
      <c r="A26" s="53" t="s">
        <v>59</v>
      </c>
      <c r="B26" s="53" t="s">
        <v>231</v>
      </c>
      <c r="C26" s="62">
        <v>2019</v>
      </c>
      <c r="D26" s="137" t="s">
        <v>282</v>
      </c>
      <c r="E26" s="53" t="s">
        <v>336</v>
      </c>
      <c r="F26" s="53" t="s">
        <v>335</v>
      </c>
      <c r="G26" s="53" t="s">
        <v>36</v>
      </c>
      <c r="H26" s="53" t="s">
        <v>160</v>
      </c>
      <c r="I26" s="53" t="s">
        <v>159</v>
      </c>
      <c r="J26" s="53" t="s">
        <v>38</v>
      </c>
      <c r="K26" s="53" t="s">
        <v>161</v>
      </c>
      <c r="L26" s="53">
        <v>1</v>
      </c>
      <c r="N26" s="53">
        <v>1</v>
      </c>
      <c r="O26" s="53">
        <v>0.24</v>
      </c>
      <c r="P26" s="53">
        <v>0.28999999999999998</v>
      </c>
      <c r="Q26" s="75">
        <f t="shared" si="2"/>
        <v>0.26500000000000001</v>
      </c>
      <c r="R26" s="53">
        <v>17.7</v>
      </c>
      <c r="S26" s="53">
        <v>130</v>
      </c>
      <c r="T26" s="16">
        <f t="shared" si="0"/>
        <v>25</v>
      </c>
      <c r="U26" s="53">
        <v>138</v>
      </c>
      <c r="V26" s="16">
        <f t="shared" si="1"/>
        <v>22</v>
      </c>
      <c r="W26" s="53">
        <v>2</v>
      </c>
      <c r="X26" s="53" t="s">
        <v>39</v>
      </c>
      <c r="Y26" s="53" t="s">
        <v>78</v>
      </c>
      <c r="Z26" s="53" t="s">
        <v>102</v>
      </c>
      <c r="AA26" s="53" t="s">
        <v>90</v>
      </c>
      <c r="AB26" s="53" t="s">
        <v>316</v>
      </c>
      <c r="AP26" s="27" t="s">
        <v>117</v>
      </c>
      <c r="AR26" s="27" t="s">
        <v>354</v>
      </c>
      <c r="AV26" s="27"/>
    </row>
    <row r="27" spans="1:48" x14ac:dyDescent="0.15">
      <c r="A27" s="53" t="s">
        <v>59</v>
      </c>
      <c r="B27" s="53" t="s">
        <v>231</v>
      </c>
      <c r="C27" s="62">
        <v>2019</v>
      </c>
      <c r="D27" s="137" t="s">
        <v>282</v>
      </c>
      <c r="E27" s="53" t="s">
        <v>336</v>
      </c>
      <c r="F27" s="53" t="s">
        <v>335</v>
      </c>
      <c r="G27" s="53" t="s">
        <v>36</v>
      </c>
      <c r="H27" s="53" t="s">
        <v>160</v>
      </c>
      <c r="I27" s="53" t="s">
        <v>159</v>
      </c>
      <c r="J27" s="53" t="s">
        <v>38</v>
      </c>
      <c r="K27" s="53" t="s">
        <v>161</v>
      </c>
      <c r="L27" s="53">
        <v>2</v>
      </c>
      <c r="N27" s="53">
        <v>1</v>
      </c>
      <c r="O27" s="53">
        <v>0.27</v>
      </c>
      <c r="P27" s="53">
        <v>0.32</v>
      </c>
      <c r="Q27" s="75">
        <f t="shared" si="2"/>
        <v>0.29500000000000004</v>
      </c>
      <c r="R27" s="53">
        <v>18.100000000000001</v>
      </c>
      <c r="S27" s="53">
        <v>134</v>
      </c>
      <c r="T27" s="16">
        <f t="shared" si="0"/>
        <v>25</v>
      </c>
      <c r="U27" s="53">
        <v>138</v>
      </c>
      <c r="V27" s="16">
        <f t="shared" si="1"/>
        <v>22</v>
      </c>
      <c r="W27" s="53">
        <v>2</v>
      </c>
      <c r="X27" s="53" t="s">
        <v>39</v>
      </c>
      <c r="Y27" s="53" t="s">
        <v>78</v>
      </c>
      <c r="Z27" s="53" t="s">
        <v>102</v>
      </c>
      <c r="AA27" s="53" t="s">
        <v>90</v>
      </c>
      <c r="AB27" s="53" t="s">
        <v>316</v>
      </c>
      <c r="AP27" s="27" t="s">
        <v>118</v>
      </c>
      <c r="AR27" s="28" t="s">
        <v>153</v>
      </c>
      <c r="AV27" s="27"/>
    </row>
    <row r="28" spans="1:48" x14ac:dyDescent="0.15">
      <c r="A28" s="53" t="s">
        <v>59</v>
      </c>
      <c r="B28" s="53" t="s">
        <v>231</v>
      </c>
      <c r="C28" s="62">
        <v>2019</v>
      </c>
      <c r="D28" s="137" t="s">
        <v>282</v>
      </c>
      <c r="E28" s="53" t="s">
        <v>336</v>
      </c>
      <c r="F28" s="53" t="s">
        <v>335</v>
      </c>
      <c r="G28" s="53" t="s">
        <v>36</v>
      </c>
      <c r="H28" s="53" t="s">
        <v>160</v>
      </c>
      <c r="I28" s="53" t="s">
        <v>159</v>
      </c>
      <c r="J28" s="53" t="s">
        <v>38</v>
      </c>
      <c r="K28" s="53" t="s">
        <v>161</v>
      </c>
      <c r="L28" s="53">
        <v>3</v>
      </c>
      <c r="N28" s="53">
        <v>1</v>
      </c>
      <c r="O28" s="53">
        <v>0.32</v>
      </c>
      <c r="P28" s="53">
        <v>0.31</v>
      </c>
      <c r="Q28" s="75">
        <f t="shared" si="2"/>
        <v>0.315</v>
      </c>
      <c r="R28" s="53">
        <v>17.2</v>
      </c>
      <c r="S28" s="53">
        <v>130</v>
      </c>
      <c r="T28" s="16">
        <f t="shared" si="0"/>
        <v>25</v>
      </c>
      <c r="U28" s="53">
        <v>138</v>
      </c>
      <c r="V28" s="16">
        <f t="shared" si="1"/>
        <v>22</v>
      </c>
      <c r="W28" s="53">
        <v>2</v>
      </c>
      <c r="X28" s="53" t="s">
        <v>39</v>
      </c>
      <c r="Y28" s="53" t="s">
        <v>78</v>
      </c>
      <c r="Z28" s="53" t="s">
        <v>102</v>
      </c>
      <c r="AA28" s="53" t="s">
        <v>90</v>
      </c>
      <c r="AB28" s="53" t="s">
        <v>316</v>
      </c>
      <c r="AV28" s="27"/>
    </row>
    <row r="29" spans="1:48" x14ac:dyDescent="0.15">
      <c r="A29" s="53" t="s">
        <v>59</v>
      </c>
      <c r="B29" s="53" t="s">
        <v>231</v>
      </c>
      <c r="C29" s="62">
        <v>2019</v>
      </c>
      <c r="D29" s="137" t="s">
        <v>282</v>
      </c>
      <c r="E29" s="53" t="s">
        <v>336</v>
      </c>
      <c r="F29" s="53" t="s">
        <v>335</v>
      </c>
      <c r="G29" s="53" t="s">
        <v>36</v>
      </c>
      <c r="H29" s="53" t="s">
        <v>164</v>
      </c>
      <c r="I29" s="53" t="s">
        <v>159</v>
      </c>
      <c r="J29" s="53" t="s">
        <v>38</v>
      </c>
      <c r="K29" s="53" t="s">
        <v>161</v>
      </c>
      <c r="L29" s="53">
        <v>1</v>
      </c>
      <c r="N29" s="53">
        <v>4</v>
      </c>
      <c r="O29" s="53">
        <v>0.3</v>
      </c>
      <c r="P29" s="53">
        <v>0.25</v>
      </c>
      <c r="Q29" s="75">
        <f t="shared" si="2"/>
        <v>0.27500000000000002</v>
      </c>
      <c r="R29" s="53">
        <v>15.2</v>
      </c>
      <c r="S29" s="53">
        <v>99</v>
      </c>
      <c r="T29" s="16">
        <f t="shared" si="0"/>
        <v>33</v>
      </c>
      <c r="U29" s="53">
        <v>398</v>
      </c>
      <c r="V29" s="16">
        <f t="shared" si="1"/>
        <v>16</v>
      </c>
      <c r="W29" s="53">
        <v>3</v>
      </c>
      <c r="X29" s="53" t="s">
        <v>39</v>
      </c>
      <c r="Y29" s="53" t="s">
        <v>78</v>
      </c>
      <c r="Z29" s="53" t="s">
        <v>102</v>
      </c>
      <c r="AA29" s="53" t="s">
        <v>90</v>
      </c>
      <c r="AB29" s="53" t="s">
        <v>316</v>
      </c>
      <c r="AV29" s="27"/>
    </row>
    <row r="30" spans="1:48" x14ac:dyDescent="0.15">
      <c r="A30" s="53" t="s">
        <v>59</v>
      </c>
      <c r="B30" s="53" t="s">
        <v>231</v>
      </c>
      <c r="C30" s="62">
        <v>2019</v>
      </c>
      <c r="D30" s="137" t="s">
        <v>282</v>
      </c>
      <c r="E30" s="53" t="s">
        <v>336</v>
      </c>
      <c r="F30" s="53" t="s">
        <v>335</v>
      </c>
      <c r="G30" s="53" t="s">
        <v>36</v>
      </c>
      <c r="H30" s="53" t="s">
        <v>164</v>
      </c>
      <c r="I30" s="53" t="s">
        <v>159</v>
      </c>
      <c r="J30" s="53" t="s">
        <v>38</v>
      </c>
      <c r="K30" s="53" t="s">
        <v>161</v>
      </c>
      <c r="L30" s="53">
        <v>2</v>
      </c>
      <c r="N30" s="53">
        <v>4</v>
      </c>
      <c r="O30" s="53">
        <v>0.37</v>
      </c>
      <c r="P30" s="53">
        <v>0.44</v>
      </c>
      <c r="Q30" s="75">
        <f t="shared" si="2"/>
        <v>0.40500000000000003</v>
      </c>
      <c r="R30" s="53">
        <v>15.2</v>
      </c>
      <c r="S30" s="53">
        <v>104</v>
      </c>
      <c r="T30" s="16">
        <f t="shared" si="0"/>
        <v>33</v>
      </c>
      <c r="U30" s="53">
        <v>398</v>
      </c>
      <c r="V30" s="16">
        <f t="shared" si="1"/>
        <v>16</v>
      </c>
      <c r="W30" s="53">
        <v>3</v>
      </c>
      <c r="X30" s="53" t="s">
        <v>39</v>
      </c>
      <c r="Y30" s="53" t="s">
        <v>78</v>
      </c>
      <c r="Z30" s="53" t="s">
        <v>102</v>
      </c>
      <c r="AA30" s="53" t="s">
        <v>90</v>
      </c>
      <c r="AB30" s="53" t="s">
        <v>316</v>
      </c>
      <c r="AV30" s="27"/>
    </row>
    <row r="31" spans="1:48" x14ac:dyDescent="0.15">
      <c r="A31" s="53" t="s">
        <v>59</v>
      </c>
      <c r="B31" s="53" t="s">
        <v>231</v>
      </c>
      <c r="C31" s="62">
        <v>2019</v>
      </c>
      <c r="D31" s="137" t="s">
        <v>282</v>
      </c>
      <c r="E31" s="53" t="s">
        <v>336</v>
      </c>
      <c r="F31" s="53" t="s">
        <v>335</v>
      </c>
      <c r="G31" s="53" t="s">
        <v>36</v>
      </c>
      <c r="H31" s="53" t="s">
        <v>164</v>
      </c>
      <c r="I31" s="53" t="s">
        <v>159</v>
      </c>
      <c r="J31" s="53" t="s">
        <v>38</v>
      </c>
      <c r="K31" s="53" t="s">
        <v>161</v>
      </c>
      <c r="L31" s="53">
        <v>3</v>
      </c>
      <c r="N31" s="53">
        <v>4</v>
      </c>
      <c r="O31" s="53">
        <v>0.43</v>
      </c>
      <c r="P31" s="53">
        <v>0.42</v>
      </c>
      <c r="Q31" s="75">
        <f t="shared" si="2"/>
        <v>0.42499999999999999</v>
      </c>
      <c r="R31" s="53">
        <v>15.6</v>
      </c>
      <c r="S31" s="53">
        <v>104</v>
      </c>
      <c r="T31" s="16">
        <f t="shared" si="0"/>
        <v>33</v>
      </c>
      <c r="U31" s="53">
        <v>398</v>
      </c>
      <c r="V31" s="16">
        <f t="shared" si="1"/>
        <v>16</v>
      </c>
      <c r="W31" s="53">
        <v>3</v>
      </c>
      <c r="X31" s="53" t="s">
        <v>39</v>
      </c>
      <c r="Y31" s="53" t="s">
        <v>78</v>
      </c>
      <c r="Z31" s="53" t="s">
        <v>102</v>
      </c>
      <c r="AA31" s="53" t="s">
        <v>90</v>
      </c>
      <c r="AB31" s="53" t="s">
        <v>316</v>
      </c>
      <c r="AV31" s="27"/>
    </row>
    <row r="32" spans="1:48" x14ac:dyDescent="0.15">
      <c r="A32" s="53" t="s">
        <v>59</v>
      </c>
      <c r="B32" s="53" t="s">
        <v>231</v>
      </c>
      <c r="C32" s="62">
        <v>2019</v>
      </c>
      <c r="D32" s="137" t="s">
        <v>282</v>
      </c>
      <c r="E32" s="53" t="s">
        <v>162</v>
      </c>
      <c r="F32" s="53" t="s">
        <v>335</v>
      </c>
      <c r="G32" s="53" t="s">
        <v>36</v>
      </c>
      <c r="H32" s="53" t="s">
        <v>160</v>
      </c>
      <c r="I32" s="53" t="s">
        <v>159</v>
      </c>
      <c r="J32" s="53" t="s">
        <v>38</v>
      </c>
      <c r="K32" s="53" t="s">
        <v>161</v>
      </c>
      <c r="L32" s="53">
        <v>1</v>
      </c>
      <c r="N32" s="53">
        <v>4</v>
      </c>
      <c r="O32" s="53">
        <v>0.41</v>
      </c>
      <c r="P32" s="53">
        <v>0.37</v>
      </c>
      <c r="Q32" s="75">
        <f t="shared" si="2"/>
        <v>0.39</v>
      </c>
      <c r="R32" s="53">
        <v>15.5</v>
      </c>
      <c r="S32" s="53">
        <v>114</v>
      </c>
      <c r="T32" s="16">
        <f t="shared" si="0"/>
        <v>30</v>
      </c>
      <c r="U32" s="53">
        <v>498</v>
      </c>
      <c r="V32" s="16">
        <f t="shared" si="1"/>
        <v>16</v>
      </c>
      <c r="W32" s="53">
        <v>3</v>
      </c>
      <c r="X32" s="53" t="s">
        <v>46</v>
      </c>
      <c r="Y32" s="53" t="s">
        <v>69</v>
      </c>
      <c r="Z32" s="53" t="s">
        <v>90</v>
      </c>
      <c r="AA32" s="53" t="s">
        <v>78</v>
      </c>
      <c r="AB32" s="53" t="s">
        <v>316</v>
      </c>
      <c r="AV32" s="27"/>
    </row>
    <row r="33" spans="1:48" x14ac:dyDescent="0.15">
      <c r="A33" s="53" t="s">
        <v>59</v>
      </c>
      <c r="B33" s="53" t="s">
        <v>231</v>
      </c>
      <c r="C33" s="62">
        <v>2019</v>
      </c>
      <c r="D33" s="137" t="s">
        <v>282</v>
      </c>
      <c r="E33" s="53" t="s">
        <v>162</v>
      </c>
      <c r="F33" s="53" t="s">
        <v>335</v>
      </c>
      <c r="G33" s="53" t="s">
        <v>36</v>
      </c>
      <c r="H33" s="53" t="s">
        <v>160</v>
      </c>
      <c r="I33" s="53" t="s">
        <v>159</v>
      </c>
      <c r="J33" s="53" t="s">
        <v>38</v>
      </c>
      <c r="K33" s="53" t="s">
        <v>161</v>
      </c>
      <c r="L33" s="53">
        <v>2</v>
      </c>
      <c r="N33" s="53">
        <v>4</v>
      </c>
      <c r="O33" s="53">
        <v>0.42</v>
      </c>
      <c r="P33" s="53">
        <v>0.37</v>
      </c>
      <c r="Q33" s="75">
        <f t="shared" si="2"/>
        <v>0.39500000000000002</v>
      </c>
      <c r="R33" s="53">
        <v>15.7</v>
      </c>
      <c r="S33" s="53">
        <v>107</v>
      </c>
      <c r="T33" s="16">
        <f t="shared" si="0"/>
        <v>33</v>
      </c>
      <c r="U33" s="53">
        <v>498</v>
      </c>
      <c r="V33" s="16">
        <f t="shared" si="1"/>
        <v>16</v>
      </c>
      <c r="W33" s="53">
        <v>3</v>
      </c>
      <c r="X33" s="53" t="s">
        <v>46</v>
      </c>
      <c r="Y33" s="53" t="s">
        <v>69</v>
      </c>
      <c r="Z33" s="53" t="s">
        <v>90</v>
      </c>
      <c r="AA33" s="53" t="s">
        <v>78</v>
      </c>
      <c r="AB33" s="53" t="s">
        <v>316</v>
      </c>
      <c r="AV33" s="27"/>
    </row>
    <row r="34" spans="1:48" x14ac:dyDescent="0.15">
      <c r="A34" s="53" t="s">
        <v>59</v>
      </c>
      <c r="B34" s="53" t="s">
        <v>231</v>
      </c>
      <c r="C34" s="62">
        <v>2019</v>
      </c>
      <c r="D34" s="137" t="s">
        <v>282</v>
      </c>
      <c r="E34" s="53" t="s">
        <v>162</v>
      </c>
      <c r="F34" s="53" t="s">
        <v>335</v>
      </c>
      <c r="G34" s="53" t="s">
        <v>36</v>
      </c>
      <c r="H34" s="53" t="s">
        <v>160</v>
      </c>
      <c r="I34" s="53" t="s">
        <v>159</v>
      </c>
      <c r="J34" s="53" t="s">
        <v>38</v>
      </c>
      <c r="K34" s="53" t="s">
        <v>161</v>
      </c>
      <c r="L34" s="53">
        <v>3</v>
      </c>
      <c r="N34" s="53">
        <v>4</v>
      </c>
      <c r="O34" s="53">
        <v>0.43</v>
      </c>
      <c r="P34" s="53">
        <v>0.41</v>
      </c>
      <c r="Q34" s="75">
        <f t="shared" si="2"/>
        <v>0.42</v>
      </c>
      <c r="R34" s="53">
        <v>15.4</v>
      </c>
      <c r="S34" s="53">
        <v>116</v>
      </c>
      <c r="T34" s="16">
        <f t="shared" si="0"/>
        <v>30</v>
      </c>
      <c r="U34" s="53">
        <v>498</v>
      </c>
      <c r="V34" s="16">
        <f t="shared" si="1"/>
        <v>16</v>
      </c>
      <c r="W34" s="53">
        <v>3</v>
      </c>
      <c r="X34" s="53" t="s">
        <v>46</v>
      </c>
      <c r="Y34" s="53" t="s">
        <v>69</v>
      </c>
      <c r="Z34" s="53" t="s">
        <v>90</v>
      </c>
      <c r="AA34" s="53" t="s">
        <v>78</v>
      </c>
      <c r="AB34" s="53" t="s">
        <v>316</v>
      </c>
      <c r="AV34" s="27"/>
    </row>
    <row r="35" spans="1:48" x14ac:dyDescent="0.15">
      <c r="A35" s="53" t="s">
        <v>59</v>
      </c>
      <c r="B35" s="53" t="s">
        <v>231</v>
      </c>
      <c r="C35" s="62">
        <v>2019</v>
      </c>
      <c r="D35" s="137" t="s">
        <v>282</v>
      </c>
      <c r="E35" s="53" t="s">
        <v>162</v>
      </c>
      <c r="F35" s="53" t="s">
        <v>335</v>
      </c>
      <c r="G35" s="53" t="s">
        <v>36</v>
      </c>
      <c r="H35" s="53" t="s">
        <v>164</v>
      </c>
      <c r="I35" s="53" t="s">
        <v>159</v>
      </c>
      <c r="J35" s="53" t="s">
        <v>38</v>
      </c>
      <c r="K35" s="53" t="s">
        <v>161</v>
      </c>
      <c r="L35" s="53">
        <v>1</v>
      </c>
      <c r="N35" s="53">
        <v>4</v>
      </c>
      <c r="O35" s="53">
        <v>0.74</v>
      </c>
      <c r="P35" s="53">
        <v>0.79</v>
      </c>
      <c r="Q35" s="75">
        <f t="shared" si="2"/>
        <v>0.76500000000000001</v>
      </c>
      <c r="R35" s="53">
        <v>14.2</v>
      </c>
      <c r="S35" s="53">
        <v>86</v>
      </c>
      <c r="T35" s="16">
        <f t="shared" si="0"/>
        <v>36</v>
      </c>
      <c r="U35" s="53">
        <v>398</v>
      </c>
      <c r="V35" s="16">
        <f t="shared" si="1"/>
        <v>16</v>
      </c>
      <c r="W35" s="53">
        <v>4</v>
      </c>
      <c r="X35" s="53" t="s">
        <v>46</v>
      </c>
      <c r="Y35" s="53" t="s">
        <v>69</v>
      </c>
      <c r="Z35" s="53" t="s">
        <v>90</v>
      </c>
      <c r="AA35" s="53" t="s">
        <v>78</v>
      </c>
      <c r="AB35" s="53" t="s">
        <v>316</v>
      </c>
      <c r="AV35" s="27"/>
    </row>
    <row r="36" spans="1:48" x14ac:dyDescent="0.15">
      <c r="A36" s="53" t="s">
        <v>59</v>
      </c>
      <c r="B36" s="53" t="s">
        <v>231</v>
      </c>
      <c r="C36" s="62">
        <v>2019</v>
      </c>
      <c r="D36" s="137" t="s">
        <v>282</v>
      </c>
      <c r="E36" s="53" t="s">
        <v>162</v>
      </c>
      <c r="F36" s="53" t="s">
        <v>335</v>
      </c>
      <c r="G36" s="53" t="s">
        <v>36</v>
      </c>
      <c r="H36" s="53" t="s">
        <v>164</v>
      </c>
      <c r="I36" s="53" t="s">
        <v>159</v>
      </c>
      <c r="J36" s="53" t="s">
        <v>38</v>
      </c>
      <c r="K36" s="53" t="s">
        <v>161</v>
      </c>
      <c r="L36" s="53">
        <v>2</v>
      </c>
      <c r="N36" s="53">
        <v>4</v>
      </c>
      <c r="O36" s="53">
        <v>0.72</v>
      </c>
      <c r="P36" s="53">
        <v>0.39</v>
      </c>
      <c r="Q36" s="75">
        <f t="shared" si="2"/>
        <v>0.55499999999999994</v>
      </c>
      <c r="R36" s="53">
        <v>14.1</v>
      </c>
      <c r="S36" s="53">
        <v>85</v>
      </c>
      <c r="T36" s="16">
        <f t="shared" si="0"/>
        <v>36</v>
      </c>
      <c r="U36" s="53">
        <v>398</v>
      </c>
      <c r="V36" s="16">
        <f t="shared" si="1"/>
        <v>16</v>
      </c>
      <c r="W36" s="53">
        <v>4</v>
      </c>
      <c r="X36" s="53" t="s">
        <v>46</v>
      </c>
      <c r="Y36" s="53" t="s">
        <v>69</v>
      </c>
      <c r="Z36" s="53" t="s">
        <v>90</v>
      </c>
      <c r="AA36" s="53" t="s">
        <v>78</v>
      </c>
      <c r="AB36" s="53" t="s">
        <v>316</v>
      </c>
      <c r="AV36" s="27"/>
    </row>
    <row r="37" spans="1:48" x14ac:dyDescent="0.15">
      <c r="A37" s="53" t="s">
        <v>59</v>
      </c>
      <c r="B37" s="53" t="s">
        <v>231</v>
      </c>
      <c r="C37" s="62">
        <v>2019</v>
      </c>
      <c r="D37" s="137" t="s">
        <v>282</v>
      </c>
      <c r="E37" s="53" t="s">
        <v>162</v>
      </c>
      <c r="F37" s="53" t="s">
        <v>335</v>
      </c>
      <c r="G37" s="53" t="s">
        <v>36</v>
      </c>
      <c r="H37" s="53" t="s">
        <v>164</v>
      </c>
      <c r="I37" s="53" t="s">
        <v>159</v>
      </c>
      <c r="J37" s="53" t="s">
        <v>38</v>
      </c>
      <c r="K37" s="53" t="s">
        <v>161</v>
      </c>
      <c r="L37" s="53">
        <v>3</v>
      </c>
      <c r="N37" s="53">
        <v>4</v>
      </c>
      <c r="O37" s="53">
        <v>0.73</v>
      </c>
      <c r="P37" s="53">
        <v>0.75</v>
      </c>
      <c r="Q37" s="75">
        <f t="shared" si="2"/>
        <v>0.74</v>
      </c>
      <c r="R37" s="53">
        <v>14.4</v>
      </c>
      <c r="S37" s="53">
        <v>90</v>
      </c>
      <c r="T37" s="16">
        <f t="shared" si="0"/>
        <v>36</v>
      </c>
      <c r="U37" s="53">
        <v>398</v>
      </c>
      <c r="V37" s="16">
        <f t="shared" si="1"/>
        <v>16</v>
      </c>
      <c r="W37" s="53">
        <v>4</v>
      </c>
      <c r="X37" s="53" t="s">
        <v>46</v>
      </c>
      <c r="Y37" s="53" t="s">
        <v>69</v>
      </c>
      <c r="Z37" s="53" t="s">
        <v>90</v>
      </c>
      <c r="AA37" s="53" t="s">
        <v>78</v>
      </c>
      <c r="AB37" s="53" t="s">
        <v>316</v>
      </c>
      <c r="AV37" s="27"/>
    </row>
    <row r="38" spans="1:48" x14ac:dyDescent="0.15">
      <c r="A38" s="53" t="s">
        <v>59</v>
      </c>
      <c r="B38" s="53" t="s">
        <v>231</v>
      </c>
      <c r="C38" s="62">
        <v>2019</v>
      </c>
      <c r="D38" s="137" t="s">
        <v>282</v>
      </c>
      <c r="E38" s="53" t="s">
        <v>332</v>
      </c>
      <c r="F38" s="53" t="s">
        <v>333</v>
      </c>
      <c r="G38" s="53" t="s">
        <v>36</v>
      </c>
      <c r="H38" s="53" t="s">
        <v>160</v>
      </c>
      <c r="I38" s="53" t="s">
        <v>159</v>
      </c>
      <c r="J38" s="53" t="s">
        <v>38</v>
      </c>
      <c r="K38" s="53" t="s">
        <v>161</v>
      </c>
      <c r="L38" s="53">
        <v>1</v>
      </c>
      <c r="N38" s="53">
        <v>3</v>
      </c>
      <c r="O38" s="53">
        <v>0.22</v>
      </c>
      <c r="P38" s="53">
        <v>0.25</v>
      </c>
      <c r="Q38" s="75">
        <f t="shared" si="2"/>
        <v>0.23499999999999999</v>
      </c>
      <c r="R38" s="53">
        <v>21</v>
      </c>
      <c r="S38" s="53">
        <v>131</v>
      </c>
      <c r="T38" s="16">
        <f t="shared" si="0"/>
        <v>25</v>
      </c>
      <c r="U38" s="53">
        <v>399</v>
      </c>
      <c r="V38" s="16">
        <f t="shared" si="1"/>
        <v>16</v>
      </c>
      <c r="W38" s="53">
        <v>10</v>
      </c>
      <c r="X38" s="53" t="s">
        <v>39</v>
      </c>
      <c r="Y38" s="53" t="s">
        <v>78</v>
      </c>
      <c r="Z38" s="53" t="s">
        <v>69</v>
      </c>
      <c r="AA38" s="53" t="s">
        <v>90</v>
      </c>
      <c r="AB38" s="53" t="s">
        <v>316</v>
      </c>
      <c r="AV38" s="27"/>
    </row>
    <row r="39" spans="1:48" x14ac:dyDescent="0.15">
      <c r="A39" s="53" t="s">
        <v>59</v>
      </c>
      <c r="B39" s="53" t="s">
        <v>231</v>
      </c>
      <c r="C39" s="62">
        <v>2019</v>
      </c>
      <c r="D39" s="137" t="s">
        <v>282</v>
      </c>
      <c r="E39" s="53" t="s">
        <v>332</v>
      </c>
      <c r="F39" s="53" t="s">
        <v>333</v>
      </c>
      <c r="G39" s="53" t="s">
        <v>36</v>
      </c>
      <c r="H39" s="53" t="s">
        <v>160</v>
      </c>
      <c r="I39" s="53" t="s">
        <v>159</v>
      </c>
      <c r="J39" s="53" t="s">
        <v>38</v>
      </c>
      <c r="K39" s="53" t="s">
        <v>161</v>
      </c>
      <c r="L39" s="53">
        <v>2</v>
      </c>
      <c r="N39" s="53">
        <v>3</v>
      </c>
      <c r="O39" s="53">
        <v>0.34</v>
      </c>
      <c r="P39" s="53">
        <v>0.36</v>
      </c>
      <c r="Q39" s="75">
        <f t="shared" si="2"/>
        <v>0.35</v>
      </c>
      <c r="R39" s="53">
        <v>17.7</v>
      </c>
      <c r="S39" s="53">
        <v>135</v>
      </c>
      <c r="T39" s="16">
        <f t="shared" si="0"/>
        <v>25</v>
      </c>
      <c r="U39" s="53">
        <v>399</v>
      </c>
      <c r="V39" s="16">
        <f t="shared" si="1"/>
        <v>16</v>
      </c>
      <c r="W39" s="53">
        <v>10</v>
      </c>
      <c r="X39" s="53" t="s">
        <v>39</v>
      </c>
      <c r="Y39" s="53" t="s">
        <v>78</v>
      </c>
      <c r="Z39" s="53" t="s">
        <v>69</v>
      </c>
      <c r="AA39" s="53" t="s">
        <v>90</v>
      </c>
      <c r="AB39" s="53" t="s">
        <v>316</v>
      </c>
      <c r="AV39" s="27"/>
    </row>
    <row r="40" spans="1:48" x14ac:dyDescent="0.15">
      <c r="A40" s="53" t="s">
        <v>59</v>
      </c>
      <c r="B40" s="53" t="s">
        <v>231</v>
      </c>
      <c r="C40" s="62">
        <v>2019</v>
      </c>
      <c r="D40" s="137" t="s">
        <v>282</v>
      </c>
      <c r="E40" s="53" t="s">
        <v>332</v>
      </c>
      <c r="F40" s="53" t="s">
        <v>333</v>
      </c>
      <c r="G40" s="53" t="s">
        <v>36</v>
      </c>
      <c r="H40" s="53" t="s">
        <v>160</v>
      </c>
      <c r="I40" s="53" t="s">
        <v>159</v>
      </c>
      <c r="J40" s="53" t="s">
        <v>38</v>
      </c>
      <c r="K40" s="53" t="s">
        <v>161</v>
      </c>
      <c r="L40" s="53">
        <v>3</v>
      </c>
      <c r="N40" s="53">
        <v>3</v>
      </c>
      <c r="O40" s="53">
        <v>0.32</v>
      </c>
      <c r="P40" s="53">
        <v>0.36</v>
      </c>
      <c r="Q40" s="75">
        <f t="shared" si="2"/>
        <v>0.33999999999999997</v>
      </c>
      <c r="R40" s="53">
        <v>17.8</v>
      </c>
      <c r="S40" s="53">
        <v>137</v>
      </c>
      <c r="T40" s="16">
        <f t="shared" si="0"/>
        <v>25</v>
      </c>
      <c r="U40" s="53">
        <v>399</v>
      </c>
      <c r="V40" s="16">
        <f t="shared" si="1"/>
        <v>16</v>
      </c>
      <c r="W40" s="53">
        <v>10</v>
      </c>
      <c r="X40" s="53" t="s">
        <v>39</v>
      </c>
      <c r="Y40" s="53" t="s">
        <v>78</v>
      </c>
      <c r="Z40" s="53" t="s">
        <v>69</v>
      </c>
      <c r="AA40" s="53" t="s">
        <v>90</v>
      </c>
      <c r="AB40" s="53" t="s">
        <v>316</v>
      </c>
      <c r="AV40" s="27"/>
    </row>
    <row r="41" spans="1:48" x14ac:dyDescent="0.15">
      <c r="A41" s="53" t="s">
        <v>59</v>
      </c>
      <c r="B41" s="53" t="s">
        <v>231</v>
      </c>
      <c r="C41" s="62">
        <v>2019</v>
      </c>
      <c r="D41" s="137" t="s">
        <v>282</v>
      </c>
      <c r="E41" s="53" t="s">
        <v>332</v>
      </c>
      <c r="F41" s="53" t="s">
        <v>333</v>
      </c>
      <c r="G41" s="53" t="s">
        <v>36</v>
      </c>
      <c r="H41" s="53" t="s">
        <v>164</v>
      </c>
      <c r="I41" s="53" t="s">
        <v>159</v>
      </c>
      <c r="J41" s="53" t="s">
        <v>38</v>
      </c>
      <c r="K41" s="53" t="s">
        <v>161</v>
      </c>
      <c r="L41" s="53">
        <v>1</v>
      </c>
      <c r="N41" s="53">
        <v>3</v>
      </c>
      <c r="O41" s="53">
        <v>0.31</v>
      </c>
      <c r="P41" s="53">
        <v>0.3</v>
      </c>
      <c r="Q41" s="75">
        <f t="shared" si="2"/>
        <v>0.30499999999999999</v>
      </c>
      <c r="R41" s="53">
        <v>14.7</v>
      </c>
      <c r="S41" s="53">
        <v>130</v>
      </c>
      <c r="T41" s="16">
        <f t="shared" si="0"/>
        <v>25</v>
      </c>
      <c r="U41" s="53">
        <v>299</v>
      </c>
      <c r="V41" s="16">
        <f t="shared" si="1"/>
        <v>16</v>
      </c>
      <c r="W41" s="53">
        <v>6</v>
      </c>
      <c r="X41" s="53" t="s">
        <v>39</v>
      </c>
      <c r="Y41" s="53" t="s">
        <v>78</v>
      </c>
      <c r="Z41" s="53" t="s">
        <v>69</v>
      </c>
      <c r="AA41" s="53" t="s">
        <v>90</v>
      </c>
      <c r="AB41" s="53" t="s">
        <v>316</v>
      </c>
      <c r="AV41" s="27"/>
    </row>
    <row r="42" spans="1:48" x14ac:dyDescent="0.15">
      <c r="A42" s="53" t="s">
        <v>59</v>
      </c>
      <c r="B42" s="53" t="s">
        <v>231</v>
      </c>
      <c r="C42" s="62">
        <v>2019</v>
      </c>
      <c r="D42" s="137" t="s">
        <v>282</v>
      </c>
      <c r="E42" s="53" t="s">
        <v>332</v>
      </c>
      <c r="F42" s="53" t="s">
        <v>333</v>
      </c>
      <c r="G42" s="53" t="s">
        <v>36</v>
      </c>
      <c r="H42" s="53" t="s">
        <v>164</v>
      </c>
      <c r="I42" s="53" t="s">
        <v>159</v>
      </c>
      <c r="J42" s="53" t="s">
        <v>38</v>
      </c>
      <c r="K42" s="53" t="s">
        <v>161</v>
      </c>
      <c r="L42" s="53">
        <v>2</v>
      </c>
      <c r="N42" s="53">
        <v>3</v>
      </c>
      <c r="O42" s="53">
        <v>0.22</v>
      </c>
      <c r="P42" s="53">
        <v>0.24</v>
      </c>
      <c r="Q42" s="75">
        <f t="shared" si="2"/>
        <v>0.22999999999999998</v>
      </c>
      <c r="R42" s="53">
        <v>14.1</v>
      </c>
      <c r="S42" s="53">
        <v>130</v>
      </c>
      <c r="T42" s="16">
        <f t="shared" si="0"/>
        <v>25</v>
      </c>
      <c r="U42" s="53">
        <v>299</v>
      </c>
      <c r="V42" s="16">
        <f t="shared" si="1"/>
        <v>16</v>
      </c>
      <c r="W42" s="53">
        <v>6</v>
      </c>
      <c r="X42" s="53" t="s">
        <v>39</v>
      </c>
      <c r="Y42" s="53" t="s">
        <v>78</v>
      </c>
      <c r="Z42" s="53" t="s">
        <v>69</v>
      </c>
      <c r="AA42" s="53" t="s">
        <v>90</v>
      </c>
      <c r="AB42" s="53" t="s">
        <v>316</v>
      </c>
      <c r="AV42" s="27"/>
    </row>
    <row r="43" spans="1:48" x14ac:dyDescent="0.15">
      <c r="A43" s="53" t="s">
        <v>59</v>
      </c>
      <c r="B43" s="53" t="s">
        <v>231</v>
      </c>
      <c r="C43" s="62">
        <v>2019</v>
      </c>
      <c r="D43" s="137" t="s">
        <v>282</v>
      </c>
      <c r="E43" s="53" t="s">
        <v>332</v>
      </c>
      <c r="F43" s="53" t="s">
        <v>333</v>
      </c>
      <c r="G43" s="53" t="s">
        <v>36</v>
      </c>
      <c r="H43" s="53" t="s">
        <v>164</v>
      </c>
      <c r="I43" s="53" t="s">
        <v>159</v>
      </c>
      <c r="J43" s="53" t="s">
        <v>38</v>
      </c>
      <c r="K43" s="53" t="s">
        <v>161</v>
      </c>
      <c r="L43" s="53">
        <v>3</v>
      </c>
      <c r="N43" s="53">
        <v>3</v>
      </c>
      <c r="O43" s="53">
        <v>0.33</v>
      </c>
      <c r="P43" s="53">
        <v>0.33</v>
      </c>
      <c r="Q43" s="75">
        <f t="shared" si="2"/>
        <v>0.33</v>
      </c>
      <c r="R43" s="53">
        <v>14.8</v>
      </c>
      <c r="S43" s="53">
        <v>126</v>
      </c>
      <c r="T43" s="16">
        <f t="shared" si="0"/>
        <v>27</v>
      </c>
      <c r="U43" s="53">
        <v>299</v>
      </c>
      <c r="V43" s="16">
        <f t="shared" si="1"/>
        <v>16</v>
      </c>
      <c r="W43" s="53">
        <v>6</v>
      </c>
      <c r="X43" s="53" t="s">
        <v>39</v>
      </c>
      <c r="Y43" s="53" t="s">
        <v>78</v>
      </c>
      <c r="Z43" s="53" t="s">
        <v>69</v>
      </c>
      <c r="AA43" s="53" t="s">
        <v>90</v>
      </c>
      <c r="AB43" s="53" t="s">
        <v>316</v>
      </c>
      <c r="AV43" s="27"/>
    </row>
    <row r="44" spans="1:48" x14ac:dyDescent="0.15">
      <c r="A44" s="53" t="s">
        <v>59</v>
      </c>
      <c r="B44" s="53" t="s">
        <v>231</v>
      </c>
      <c r="C44" s="62">
        <v>2019</v>
      </c>
      <c r="D44" s="137" t="s">
        <v>282</v>
      </c>
      <c r="E44" s="53" t="s">
        <v>323</v>
      </c>
      <c r="F44" s="53" t="s">
        <v>324</v>
      </c>
      <c r="G44" s="53" t="s">
        <v>36</v>
      </c>
      <c r="H44" s="53" t="s">
        <v>160</v>
      </c>
      <c r="I44" s="53" t="s">
        <v>159</v>
      </c>
      <c r="J44" s="53" t="s">
        <v>38</v>
      </c>
      <c r="K44" s="53" t="s">
        <v>161</v>
      </c>
      <c r="L44" s="53">
        <v>1</v>
      </c>
      <c r="N44" s="53">
        <v>4</v>
      </c>
      <c r="O44" s="53">
        <v>0.35</v>
      </c>
      <c r="P44" s="53">
        <v>0.28999999999999998</v>
      </c>
      <c r="Q44" s="75">
        <f t="shared" si="2"/>
        <v>0.31999999999999995</v>
      </c>
      <c r="R44" s="53">
        <v>17.7</v>
      </c>
      <c r="S44" s="53">
        <v>112</v>
      </c>
      <c r="T44" s="16">
        <f t="shared" si="0"/>
        <v>33</v>
      </c>
      <c r="U44" s="53">
        <v>450</v>
      </c>
      <c r="V44" s="16">
        <f t="shared" si="1"/>
        <v>16</v>
      </c>
      <c r="W44" s="53">
        <v>1</v>
      </c>
      <c r="X44" s="53" t="s">
        <v>39</v>
      </c>
      <c r="Y44" s="53" t="s">
        <v>69</v>
      </c>
      <c r="Z44" s="53" t="s">
        <v>78</v>
      </c>
      <c r="AA44" s="53" t="s">
        <v>102</v>
      </c>
      <c r="AB44" s="53" t="s">
        <v>316</v>
      </c>
      <c r="AV44" s="27"/>
    </row>
    <row r="45" spans="1:48" x14ac:dyDescent="0.15">
      <c r="A45" s="53" t="s">
        <v>59</v>
      </c>
      <c r="B45" s="53" t="s">
        <v>231</v>
      </c>
      <c r="C45" s="62">
        <v>2019</v>
      </c>
      <c r="D45" s="137" t="s">
        <v>282</v>
      </c>
      <c r="E45" s="53" t="s">
        <v>323</v>
      </c>
      <c r="F45" s="53" t="s">
        <v>324</v>
      </c>
      <c r="G45" s="53" t="s">
        <v>36</v>
      </c>
      <c r="H45" s="53" t="s">
        <v>160</v>
      </c>
      <c r="I45" s="53" t="s">
        <v>159</v>
      </c>
      <c r="J45" s="53" t="s">
        <v>38</v>
      </c>
      <c r="K45" s="53" t="s">
        <v>161</v>
      </c>
      <c r="L45" s="53">
        <v>2</v>
      </c>
      <c r="N45" s="53">
        <v>4</v>
      </c>
      <c r="O45" s="53">
        <v>0.35</v>
      </c>
      <c r="P45" s="53">
        <v>0.38</v>
      </c>
      <c r="Q45" s="75">
        <f t="shared" si="2"/>
        <v>0.36499999999999999</v>
      </c>
      <c r="R45" s="53">
        <v>16.5</v>
      </c>
      <c r="S45" s="53">
        <v>115</v>
      </c>
      <c r="T45" s="16">
        <f t="shared" si="0"/>
        <v>30</v>
      </c>
      <c r="U45" s="53">
        <v>450</v>
      </c>
      <c r="V45" s="16">
        <f t="shared" si="1"/>
        <v>16</v>
      </c>
      <c r="W45" s="53">
        <v>1</v>
      </c>
      <c r="X45" s="53" t="s">
        <v>39</v>
      </c>
      <c r="Y45" s="53" t="s">
        <v>69</v>
      </c>
      <c r="Z45" s="53" t="s">
        <v>78</v>
      </c>
      <c r="AA45" s="53" t="s">
        <v>102</v>
      </c>
      <c r="AB45" s="53" t="s">
        <v>316</v>
      </c>
      <c r="AV45" s="27"/>
    </row>
    <row r="46" spans="1:48" x14ac:dyDescent="0.15">
      <c r="A46" s="53" t="s">
        <v>59</v>
      </c>
      <c r="B46" s="53" t="s">
        <v>231</v>
      </c>
      <c r="C46" s="62">
        <v>2019</v>
      </c>
      <c r="D46" s="137" t="s">
        <v>282</v>
      </c>
      <c r="E46" s="53" t="s">
        <v>323</v>
      </c>
      <c r="F46" s="53" t="s">
        <v>324</v>
      </c>
      <c r="G46" s="53" t="s">
        <v>36</v>
      </c>
      <c r="H46" s="53" t="s">
        <v>160</v>
      </c>
      <c r="I46" s="53" t="s">
        <v>159</v>
      </c>
      <c r="J46" s="53" t="s">
        <v>38</v>
      </c>
      <c r="K46" s="53" t="s">
        <v>161</v>
      </c>
      <c r="L46" s="53">
        <v>3</v>
      </c>
      <c r="N46" s="53">
        <v>4</v>
      </c>
      <c r="O46" s="53">
        <v>0.36</v>
      </c>
      <c r="P46" s="53">
        <v>0.38</v>
      </c>
      <c r="Q46" s="75">
        <f t="shared" si="2"/>
        <v>0.37</v>
      </c>
      <c r="R46" s="53">
        <v>17.3</v>
      </c>
      <c r="S46" s="53">
        <v>107</v>
      </c>
      <c r="T46" s="16">
        <f t="shared" si="0"/>
        <v>33</v>
      </c>
      <c r="U46" s="53">
        <v>450</v>
      </c>
      <c r="V46" s="16">
        <f t="shared" si="1"/>
        <v>16</v>
      </c>
      <c r="W46" s="53">
        <v>1</v>
      </c>
      <c r="X46" s="53" t="s">
        <v>39</v>
      </c>
      <c r="Y46" s="53" t="s">
        <v>69</v>
      </c>
      <c r="Z46" s="53" t="s">
        <v>78</v>
      </c>
      <c r="AA46" s="53" t="s">
        <v>102</v>
      </c>
      <c r="AB46" s="53" t="s">
        <v>316</v>
      </c>
      <c r="AV46" s="27"/>
    </row>
    <row r="47" spans="1:48" x14ac:dyDescent="0.15">
      <c r="A47" s="53" t="s">
        <v>59</v>
      </c>
      <c r="B47" s="53" t="s">
        <v>231</v>
      </c>
      <c r="C47" s="62">
        <v>2019</v>
      </c>
      <c r="D47" s="137" t="s">
        <v>282</v>
      </c>
      <c r="E47" s="53" t="s">
        <v>323</v>
      </c>
      <c r="F47" s="53" t="s">
        <v>324</v>
      </c>
      <c r="G47" s="53" t="s">
        <v>36</v>
      </c>
      <c r="H47" s="53" t="s">
        <v>164</v>
      </c>
      <c r="I47" s="53" t="s">
        <v>159</v>
      </c>
      <c r="J47" s="53" t="s">
        <v>38</v>
      </c>
      <c r="K47" s="53" t="s">
        <v>161</v>
      </c>
      <c r="L47" s="53">
        <v>1</v>
      </c>
      <c r="N47" s="53">
        <v>5</v>
      </c>
      <c r="O47" s="53">
        <v>0.59</v>
      </c>
      <c r="P47" s="53">
        <v>0.66</v>
      </c>
      <c r="Q47" s="75">
        <f t="shared" si="2"/>
        <v>0.625</v>
      </c>
      <c r="R47" s="53">
        <v>15.5</v>
      </c>
      <c r="S47" s="53">
        <v>91</v>
      </c>
      <c r="T47" s="16">
        <f t="shared" si="0"/>
        <v>36</v>
      </c>
      <c r="U47" s="53">
        <v>350</v>
      </c>
      <c r="V47" s="16">
        <f t="shared" si="1"/>
        <v>16</v>
      </c>
      <c r="W47" s="53">
        <v>1</v>
      </c>
      <c r="X47" s="53" t="s">
        <v>39</v>
      </c>
      <c r="Y47" s="53" t="s">
        <v>69</v>
      </c>
      <c r="Z47" s="53" t="s">
        <v>78</v>
      </c>
      <c r="AA47" s="53" t="s">
        <v>102</v>
      </c>
      <c r="AB47" s="53" t="s">
        <v>316</v>
      </c>
      <c r="AV47" s="27"/>
    </row>
    <row r="48" spans="1:48" x14ac:dyDescent="0.15">
      <c r="A48" s="53" t="s">
        <v>59</v>
      </c>
      <c r="B48" s="53" t="s">
        <v>231</v>
      </c>
      <c r="C48" s="62">
        <v>2019</v>
      </c>
      <c r="D48" s="137" t="s">
        <v>282</v>
      </c>
      <c r="E48" s="53" t="s">
        <v>323</v>
      </c>
      <c r="F48" s="53" t="s">
        <v>324</v>
      </c>
      <c r="G48" s="53" t="s">
        <v>36</v>
      </c>
      <c r="H48" s="53" t="s">
        <v>164</v>
      </c>
      <c r="I48" s="53" t="s">
        <v>159</v>
      </c>
      <c r="J48" s="53" t="s">
        <v>38</v>
      </c>
      <c r="K48" s="53" t="s">
        <v>161</v>
      </c>
      <c r="L48" s="53">
        <v>2</v>
      </c>
      <c r="N48" s="53">
        <v>5</v>
      </c>
      <c r="O48" s="53">
        <v>0.48</v>
      </c>
      <c r="P48" s="53">
        <v>0.51</v>
      </c>
      <c r="Q48" s="75">
        <f t="shared" si="2"/>
        <v>0.495</v>
      </c>
      <c r="R48" s="53">
        <v>15.6</v>
      </c>
      <c r="S48" s="53">
        <v>94</v>
      </c>
      <c r="T48" s="16">
        <f t="shared" si="0"/>
        <v>36</v>
      </c>
      <c r="U48" s="53">
        <v>350</v>
      </c>
      <c r="V48" s="16">
        <f t="shared" si="1"/>
        <v>16</v>
      </c>
      <c r="W48" s="53">
        <v>1</v>
      </c>
      <c r="X48" s="53" t="s">
        <v>39</v>
      </c>
      <c r="Y48" s="53" t="s">
        <v>69</v>
      </c>
      <c r="Z48" s="53" t="s">
        <v>78</v>
      </c>
      <c r="AA48" s="53" t="s">
        <v>102</v>
      </c>
      <c r="AB48" s="53" t="s">
        <v>316</v>
      </c>
      <c r="AV48" s="27"/>
    </row>
    <row r="49" spans="1:48" x14ac:dyDescent="0.15">
      <c r="A49" s="53" t="s">
        <v>59</v>
      </c>
      <c r="B49" s="53" t="s">
        <v>231</v>
      </c>
      <c r="C49" s="62">
        <v>2019</v>
      </c>
      <c r="D49" s="137" t="s">
        <v>282</v>
      </c>
      <c r="E49" s="53" t="s">
        <v>323</v>
      </c>
      <c r="F49" s="53" t="s">
        <v>324</v>
      </c>
      <c r="G49" s="53" t="s">
        <v>36</v>
      </c>
      <c r="H49" s="53" t="s">
        <v>164</v>
      </c>
      <c r="I49" s="53" t="s">
        <v>159</v>
      </c>
      <c r="J49" s="53" t="s">
        <v>38</v>
      </c>
      <c r="K49" s="53" t="s">
        <v>161</v>
      </c>
      <c r="L49" s="53">
        <v>3</v>
      </c>
      <c r="N49" s="53">
        <v>5</v>
      </c>
      <c r="O49" s="53">
        <v>0.52</v>
      </c>
      <c r="P49" s="53">
        <v>0.56999999999999995</v>
      </c>
      <c r="Q49" s="75">
        <f t="shared" si="2"/>
        <v>0.54499999999999993</v>
      </c>
      <c r="R49" s="53">
        <v>15.1</v>
      </c>
      <c r="S49" s="53">
        <v>94</v>
      </c>
      <c r="T49" s="16">
        <f t="shared" si="0"/>
        <v>36</v>
      </c>
      <c r="U49" s="53">
        <v>350</v>
      </c>
      <c r="V49" s="16">
        <f t="shared" si="1"/>
        <v>16</v>
      </c>
      <c r="W49" s="53">
        <v>1</v>
      </c>
      <c r="X49" s="53" t="s">
        <v>39</v>
      </c>
      <c r="Y49" s="53" t="s">
        <v>69</v>
      </c>
      <c r="Z49" s="53" t="s">
        <v>78</v>
      </c>
      <c r="AA49" s="53" t="s">
        <v>102</v>
      </c>
      <c r="AB49" s="53" t="s">
        <v>316</v>
      </c>
      <c r="AV49" s="27"/>
    </row>
    <row r="50" spans="1:48" x14ac:dyDescent="0.15">
      <c r="A50" s="53" t="s">
        <v>59</v>
      </c>
      <c r="B50" s="53" t="s">
        <v>231</v>
      </c>
      <c r="C50" s="62">
        <v>2019</v>
      </c>
      <c r="D50" s="137" t="s">
        <v>282</v>
      </c>
      <c r="E50" s="53" t="s">
        <v>339</v>
      </c>
      <c r="F50" s="53" t="s">
        <v>340</v>
      </c>
      <c r="G50" s="53" t="s">
        <v>36</v>
      </c>
      <c r="H50" s="53" t="s">
        <v>160</v>
      </c>
      <c r="I50" s="53" t="s">
        <v>159</v>
      </c>
      <c r="J50" s="53" t="s">
        <v>38</v>
      </c>
      <c r="K50" s="53" t="s">
        <v>161</v>
      </c>
      <c r="L50" s="53">
        <v>1</v>
      </c>
      <c r="N50" s="53">
        <v>4</v>
      </c>
      <c r="O50" s="53">
        <v>0.24</v>
      </c>
      <c r="P50" s="53">
        <v>0.24</v>
      </c>
      <c r="Q50" s="75">
        <f t="shared" si="2"/>
        <v>0.24</v>
      </c>
      <c r="R50" s="53">
        <v>17.899999999999999</v>
      </c>
      <c r="S50" s="53">
        <v>138</v>
      </c>
      <c r="T50" s="16">
        <f t="shared" si="0"/>
        <v>22</v>
      </c>
      <c r="U50" s="53">
        <v>458</v>
      </c>
      <c r="V50" s="16">
        <f t="shared" si="1"/>
        <v>16</v>
      </c>
      <c r="W50" s="53">
        <v>3</v>
      </c>
      <c r="X50" s="53" t="s">
        <v>46</v>
      </c>
      <c r="Y50" s="53" t="s">
        <v>78</v>
      </c>
      <c r="Z50" s="53" t="s">
        <v>90</v>
      </c>
      <c r="AA50" s="53" t="s">
        <v>69</v>
      </c>
      <c r="AB50" s="53" t="s">
        <v>316</v>
      </c>
      <c r="AV50" s="27"/>
    </row>
    <row r="51" spans="1:48" x14ac:dyDescent="0.15">
      <c r="A51" s="53" t="s">
        <v>59</v>
      </c>
      <c r="B51" s="53" t="s">
        <v>231</v>
      </c>
      <c r="C51" s="62">
        <v>2019</v>
      </c>
      <c r="D51" s="137" t="s">
        <v>282</v>
      </c>
      <c r="E51" s="53" t="s">
        <v>339</v>
      </c>
      <c r="F51" s="53" t="s">
        <v>340</v>
      </c>
      <c r="G51" s="53" t="s">
        <v>36</v>
      </c>
      <c r="H51" s="53" t="s">
        <v>160</v>
      </c>
      <c r="I51" s="53" t="s">
        <v>159</v>
      </c>
      <c r="J51" s="53" t="s">
        <v>38</v>
      </c>
      <c r="K51" s="53" t="s">
        <v>161</v>
      </c>
      <c r="L51" s="53">
        <v>2</v>
      </c>
      <c r="N51" s="53">
        <v>4</v>
      </c>
      <c r="O51" s="53">
        <v>0.26</v>
      </c>
      <c r="P51" s="53">
        <v>0.27</v>
      </c>
      <c r="Q51" s="75">
        <f t="shared" si="2"/>
        <v>0.26500000000000001</v>
      </c>
      <c r="R51" s="53">
        <v>16.3</v>
      </c>
      <c r="S51" s="53">
        <v>135</v>
      </c>
      <c r="T51" s="16">
        <f t="shared" si="0"/>
        <v>25</v>
      </c>
      <c r="U51" s="53">
        <v>458</v>
      </c>
      <c r="V51" s="16">
        <f t="shared" si="1"/>
        <v>16</v>
      </c>
      <c r="W51" s="53">
        <v>3</v>
      </c>
      <c r="X51" s="53" t="s">
        <v>46</v>
      </c>
      <c r="Y51" s="53" t="s">
        <v>78</v>
      </c>
      <c r="Z51" s="53" t="s">
        <v>90</v>
      </c>
      <c r="AA51" s="53" t="s">
        <v>69</v>
      </c>
      <c r="AB51" s="53" t="s">
        <v>316</v>
      </c>
      <c r="AV51" s="27"/>
    </row>
    <row r="52" spans="1:48" x14ac:dyDescent="0.15">
      <c r="A52" s="53" t="s">
        <v>59</v>
      </c>
      <c r="B52" s="53" t="s">
        <v>231</v>
      </c>
      <c r="C52" s="62">
        <v>2019</v>
      </c>
      <c r="D52" s="137" t="s">
        <v>282</v>
      </c>
      <c r="E52" s="53" t="s">
        <v>339</v>
      </c>
      <c r="F52" s="53" t="s">
        <v>340</v>
      </c>
      <c r="G52" s="53" t="s">
        <v>36</v>
      </c>
      <c r="H52" s="53" t="s">
        <v>160</v>
      </c>
      <c r="I52" s="53" t="s">
        <v>159</v>
      </c>
      <c r="J52" s="53" t="s">
        <v>38</v>
      </c>
      <c r="K52" s="53" t="s">
        <v>161</v>
      </c>
      <c r="L52" s="53">
        <v>3</v>
      </c>
      <c r="N52" s="53">
        <v>4</v>
      </c>
      <c r="O52" s="53">
        <v>0.28999999999999998</v>
      </c>
      <c r="P52" s="53">
        <v>0.27</v>
      </c>
      <c r="Q52" s="75">
        <f t="shared" si="2"/>
        <v>0.28000000000000003</v>
      </c>
      <c r="R52" s="53">
        <v>16.8</v>
      </c>
      <c r="S52" s="53">
        <v>136</v>
      </c>
      <c r="T52" s="16">
        <f t="shared" si="0"/>
        <v>25</v>
      </c>
      <c r="U52" s="53">
        <v>458</v>
      </c>
      <c r="V52" s="16">
        <f t="shared" si="1"/>
        <v>16</v>
      </c>
      <c r="W52" s="53">
        <v>3</v>
      </c>
      <c r="X52" s="53" t="s">
        <v>46</v>
      </c>
      <c r="Y52" s="53" t="s">
        <v>78</v>
      </c>
      <c r="Z52" s="53" t="s">
        <v>90</v>
      </c>
      <c r="AA52" s="53" t="s">
        <v>69</v>
      </c>
      <c r="AB52" s="53" t="s">
        <v>316</v>
      </c>
      <c r="AV52" s="27"/>
    </row>
    <row r="53" spans="1:48" x14ac:dyDescent="0.15">
      <c r="A53" s="53" t="s">
        <v>59</v>
      </c>
      <c r="B53" s="53" t="s">
        <v>231</v>
      </c>
      <c r="C53" s="62">
        <v>2019</v>
      </c>
      <c r="D53" s="137" t="s">
        <v>282</v>
      </c>
      <c r="E53" s="53" t="s">
        <v>339</v>
      </c>
      <c r="F53" s="53" t="s">
        <v>340</v>
      </c>
      <c r="G53" s="53" t="s">
        <v>36</v>
      </c>
      <c r="H53" s="53" t="s">
        <v>164</v>
      </c>
      <c r="I53" s="53" t="s">
        <v>159</v>
      </c>
      <c r="J53" s="53" t="s">
        <v>38</v>
      </c>
      <c r="K53" s="53" t="s">
        <v>161</v>
      </c>
      <c r="L53" s="53">
        <v>1</v>
      </c>
      <c r="N53" s="53">
        <v>4</v>
      </c>
      <c r="O53" s="53">
        <v>0.4</v>
      </c>
      <c r="P53" s="53">
        <v>0.38</v>
      </c>
      <c r="Q53" s="75">
        <f t="shared" si="2"/>
        <v>0.39</v>
      </c>
      <c r="R53" s="53">
        <v>15.3</v>
      </c>
      <c r="S53" s="53">
        <v>149</v>
      </c>
      <c r="T53" s="16">
        <f t="shared" si="0"/>
        <v>22</v>
      </c>
      <c r="U53" s="53">
        <v>358</v>
      </c>
      <c r="V53" s="16">
        <f t="shared" si="1"/>
        <v>16</v>
      </c>
      <c r="W53" s="53">
        <v>3</v>
      </c>
      <c r="X53" s="53" t="s">
        <v>46</v>
      </c>
      <c r="Y53" s="53" t="s">
        <v>78</v>
      </c>
      <c r="Z53" s="53" t="s">
        <v>90</v>
      </c>
      <c r="AA53" s="53" t="s">
        <v>69</v>
      </c>
      <c r="AB53" s="53" t="s">
        <v>316</v>
      </c>
      <c r="AV53" s="27"/>
    </row>
    <row r="54" spans="1:48" x14ac:dyDescent="0.15">
      <c r="A54" s="53" t="s">
        <v>59</v>
      </c>
      <c r="B54" s="53" t="s">
        <v>231</v>
      </c>
      <c r="C54" s="62">
        <v>2019</v>
      </c>
      <c r="D54" s="137" t="s">
        <v>282</v>
      </c>
      <c r="E54" s="53" t="s">
        <v>339</v>
      </c>
      <c r="F54" s="53" t="s">
        <v>340</v>
      </c>
      <c r="G54" s="53" t="s">
        <v>36</v>
      </c>
      <c r="H54" s="53" t="s">
        <v>164</v>
      </c>
      <c r="I54" s="53" t="s">
        <v>159</v>
      </c>
      <c r="J54" s="53" t="s">
        <v>38</v>
      </c>
      <c r="K54" s="53" t="s">
        <v>161</v>
      </c>
      <c r="L54" s="53">
        <v>2</v>
      </c>
      <c r="N54" s="53">
        <v>4</v>
      </c>
      <c r="O54" s="53">
        <v>0.33</v>
      </c>
      <c r="P54" s="53">
        <v>0.35</v>
      </c>
      <c r="Q54" s="75">
        <f t="shared" si="2"/>
        <v>0.33999999999999997</v>
      </c>
      <c r="R54" s="53">
        <v>15.7</v>
      </c>
      <c r="S54" s="53">
        <v>144</v>
      </c>
      <c r="T54" s="16">
        <f t="shared" si="0"/>
        <v>22</v>
      </c>
      <c r="U54" s="53">
        <v>358</v>
      </c>
      <c r="V54" s="16">
        <f t="shared" si="1"/>
        <v>16</v>
      </c>
      <c r="W54" s="53">
        <v>3</v>
      </c>
      <c r="X54" s="53" t="s">
        <v>46</v>
      </c>
      <c r="Y54" s="53" t="s">
        <v>78</v>
      </c>
      <c r="Z54" s="53" t="s">
        <v>90</v>
      </c>
      <c r="AA54" s="53" t="s">
        <v>69</v>
      </c>
      <c r="AB54" s="53" t="s">
        <v>316</v>
      </c>
      <c r="AV54" s="27"/>
    </row>
    <row r="55" spans="1:48" x14ac:dyDescent="0.15">
      <c r="A55" s="53" t="s">
        <v>59</v>
      </c>
      <c r="B55" s="53" t="s">
        <v>231</v>
      </c>
      <c r="C55" s="62">
        <v>2019</v>
      </c>
      <c r="D55" s="137" t="s">
        <v>282</v>
      </c>
      <c r="E55" s="53" t="s">
        <v>339</v>
      </c>
      <c r="F55" s="53" t="s">
        <v>340</v>
      </c>
      <c r="G55" s="53" t="s">
        <v>36</v>
      </c>
      <c r="H55" s="53" t="s">
        <v>164</v>
      </c>
      <c r="I55" s="53" t="s">
        <v>159</v>
      </c>
      <c r="J55" s="53" t="s">
        <v>38</v>
      </c>
      <c r="K55" s="53" t="s">
        <v>161</v>
      </c>
      <c r="L55" s="53">
        <v>3</v>
      </c>
      <c r="N55" s="53">
        <v>4</v>
      </c>
      <c r="O55" s="53">
        <v>0.42</v>
      </c>
      <c r="P55" s="53">
        <v>0.41</v>
      </c>
      <c r="Q55" s="75">
        <f t="shared" si="2"/>
        <v>0.41499999999999998</v>
      </c>
      <c r="R55" s="53">
        <v>15.2</v>
      </c>
      <c r="S55" s="53">
        <v>143</v>
      </c>
      <c r="T55" s="16">
        <f t="shared" si="0"/>
        <v>22</v>
      </c>
      <c r="U55" s="53">
        <v>358</v>
      </c>
      <c r="V55" s="16">
        <f t="shared" si="1"/>
        <v>16</v>
      </c>
      <c r="W55" s="53">
        <v>3</v>
      </c>
      <c r="X55" s="53" t="s">
        <v>46</v>
      </c>
      <c r="Y55" s="53" t="s">
        <v>78</v>
      </c>
      <c r="Z55" s="53" t="s">
        <v>90</v>
      </c>
      <c r="AA55" s="53" t="s">
        <v>69</v>
      </c>
      <c r="AB55" s="53" t="s">
        <v>316</v>
      </c>
      <c r="AV55" s="27"/>
    </row>
    <row r="56" spans="1:48" x14ac:dyDescent="0.15">
      <c r="A56" s="53" t="s">
        <v>59</v>
      </c>
      <c r="B56" s="53" t="s">
        <v>231</v>
      </c>
      <c r="C56" s="62">
        <v>2019</v>
      </c>
      <c r="D56" s="137" t="s">
        <v>282</v>
      </c>
      <c r="E56" s="53" t="s">
        <v>329</v>
      </c>
      <c r="F56" s="53" t="s">
        <v>330</v>
      </c>
      <c r="G56" s="53" t="s">
        <v>36</v>
      </c>
      <c r="H56" s="53" t="s">
        <v>160</v>
      </c>
      <c r="I56" s="53" t="s">
        <v>159</v>
      </c>
      <c r="J56" s="53" t="s">
        <v>38</v>
      </c>
      <c r="K56" s="53" t="s">
        <v>161</v>
      </c>
      <c r="L56" s="53">
        <v>1</v>
      </c>
      <c r="N56" s="53">
        <v>2</v>
      </c>
      <c r="O56" s="53">
        <v>0.44</v>
      </c>
      <c r="P56" s="53">
        <v>0.38</v>
      </c>
      <c r="Q56" s="75">
        <f t="shared" si="2"/>
        <v>0.41000000000000003</v>
      </c>
      <c r="R56" s="53">
        <v>17.7</v>
      </c>
      <c r="S56" s="53">
        <v>156</v>
      </c>
      <c r="T56" s="16">
        <f t="shared" si="0"/>
        <v>18</v>
      </c>
      <c r="U56" s="53">
        <v>429</v>
      </c>
      <c r="V56" s="16">
        <f t="shared" si="1"/>
        <v>16</v>
      </c>
      <c r="W56" s="53">
        <v>1</v>
      </c>
      <c r="X56" s="53" t="s">
        <v>39</v>
      </c>
      <c r="Y56" s="53" t="s">
        <v>78</v>
      </c>
      <c r="Z56" s="53" t="s">
        <v>90</v>
      </c>
      <c r="AA56" s="53" t="s">
        <v>69</v>
      </c>
      <c r="AB56" s="53" t="s">
        <v>316</v>
      </c>
      <c r="AV56" s="27"/>
    </row>
    <row r="57" spans="1:48" x14ac:dyDescent="0.15">
      <c r="A57" s="53" t="s">
        <v>59</v>
      </c>
      <c r="B57" s="53" t="s">
        <v>231</v>
      </c>
      <c r="C57" s="62">
        <v>2019</v>
      </c>
      <c r="D57" s="137" t="s">
        <v>282</v>
      </c>
      <c r="E57" s="53" t="s">
        <v>329</v>
      </c>
      <c r="F57" s="53" t="s">
        <v>330</v>
      </c>
      <c r="G57" s="53" t="s">
        <v>36</v>
      </c>
      <c r="H57" s="53" t="s">
        <v>160</v>
      </c>
      <c r="I57" s="53" t="s">
        <v>159</v>
      </c>
      <c r="J57" s="53" t="s">
        <v>38</v>
      </c>
      <c r="K57" s="53" t="s">
        <v>161</v>
      </c>
      <c r="L57" s="53">
        <v>2</v>
      </c>
      <c r="N57" s="53">
        <v>2</v>
      </c>
      <c r="O57" s="53">
        <v>0.32</v>
      </c>
      <c r="P57" s="53">
        <v>0.27</v>
      </c>
      <c r="Q57" s="75">
        <f t="shared" si="2"/>
        <v>0.29500000000000004</v>
      </c>
      <c r="R57" s="53">
        <v>18.399999999999999</v>
      </c>
      <c r="S57" s="53">
        <v>166</v>
      </c>
      <c r="T57" s="16">
        <f t="shared" si="0"/>
        <v>18</v>
      </c>
      <c r="U57" s="53">
        <v>429</v>
      </c>
      <c r="V57" s="16">
        <f t="shared" si="1"/>
        <v>16</v>
      </c>
      <c r="W57" s="53">
        <v>1</v>
      </c>
      <c r="X57" s="53" t="s">
        <v>39</v>
      </c>
      <c r="Y57" s="53" t="s">
        <v>78</v>
      </c>
      <c r="Z57" s="53" t="s">
        <v>90</v>
      </c>
      <c r="AA57" s="53" t="s">
        <v>69</v>
      </c>
      <c r="AB57" s="53" t="s">
        <v>316</v>
      </c>
      <c r="AV57" s="27"/>
    </row>
    <row r="58" spans="1:48" x14ac:dyDescent="0.15">
      <c r="A58" s="53" t="s">
        <v>59</v>
      </c>
      <c r="B58" s="53" t="s">
        <v>231</v>
      </c>
      <c r="C58" s="62">
        <v>2019</v>
      </c>
      <c r="D58" s="137" t="s">
        <v>282</v>
      </c>
      <c r="E58" s="53" t="s">
        <v>329</v>
      </c>
      <c r="F58" s="53" t="s">
        <v>330</v>
      </c>
      <c r="G58" s="53" t="s">
        <v>36</v>
      </c>
      <c r="H58" s="53" t="s">
        <v>160</v>
      </c>
      <c r="I58" s="53" t="s">
        <v>159</v>
      </c>
      <c r="J58" s="53" t="s">
        <v>38</v>
      </c>
      <c r="K58" s="53" t="s">
        <v>161</v>
      </c>
      <c r="L58" s="53">
        <v>3</v>
      </c>
      <c r="N58" s="53">
        <v>2</v>
      </c>
      <c r="O58" s="53">
        <v>0.39</v>
      </c>
      <c r="P58" s="53">
        <v>0.34</v>
      </c>
      <c r="Q58" s="75">
        <f t="shared" si="2"/>
        <v>0.36499999999999999</v>
      </c>
      <c r="R58" s="53">
        <v>17.3</v>
      </c>
      <c r="S58" s="53">
        <v>161</v>
      </c>
      <c r="T58" s="16">
        <f t="shared" si="0"/>
        <v>18</v>
      </c>
      <c r="U58" s="53">
        <v>429</v>
      </c>
      <c r="V58" s="16">
        <f t="shared" si="1"/>
        <v>16</v>
      </c>
      <c r="W58" s="53">
        <v>1</v>
      </c>
      <c r="X58" s="53" t="s">
        <v>39</v>
      </c>
      <c r="Y58" s="53" t="s">
        <v>78</v>
      </c>
      <c r="Z58" s="53" t="s">
        <v>90</v>
      </c>
      <c r="AA58" s="53" t="s">
        <v>69</v>
      </c>
      <c r="AB58" s="53" t="s">
        <v>316</v>
      </c>
      <c r="AV58" s="27"/>
    </row>
    <row r="59" spans="1:48" x14ac:dyDescent="0.15">
      <c r="A59" s="53" t="s">
        <v>59</v>
      </c>
      <c r="B59" s="53" t="s">
        <v>231</v>
      </c>
      <c r="C59" s="62">
        <v>2019</v>
      </c>
      <c r="D59" s="137" t="s">
        <v>282</v>
      </c>
      <c r="E59" s="53" t="s">
        <v>329</v>
      </c>
      <c r="F59" s="53" t="s">
        <v>330</v>
      </c>
      <c r="G59" s="53" t="s">
        <v>36</v>
      </c>
      <c r="H59" s="53" t="s">
        <v>164</v>
      </c>
      <c r="I59" s="53" t="s">
        <v>159</v>
      </c>
      <c r="J59" s="53" t="s">
        <v>38</v>
      </c>
      <c r="K59" s="53" t="s">
        <v>161</v>
      </c>
      <c r="L59" s="53">
        <v>1</v>
      </c>
      <c r="N59" s="53">
        <v>5</v>
      </c>
      <c r="O59" s="53">
        <v>0.45</v>
      </c>
      <c r="P59" s="53">
        <v>0.47</v>
      </c>
      <c r="Q59" s="75">
        <f t="shared" si="2"/>
        <v>0.45999999999999996</v>
      </c>
      <c r="R59" s="53">
        <v>15.3</v>
      </c>
      <c r="S59" s="53">
        <v>95</v>
      </c>
      <c r="T59" s="16">
        <f t="shared" si="0"/>
        <v>36</v>
      </c>
      <c r="U59" s="53">
        <v>386</v>
      </c>
      <c r="V59" s="16">
        <f t="shared" si="1"/>
        <v>16</v>
      </c>
      <c r="W59" s="53">
        <v>1</v>
      </c>
      <c r="X59" s="53" t="s">
        <v>39</v>
      </c>
      <c r="Y59" s="53" t="s">
        <v>78</v>
      </c>
      <c r="Z59" s="53" t="s">
        <v>90</v>
      </c>
      <c r="AA59" s="53" t="s">
        <v>69</v>
      </c>
      <c r="AB59" s="53" t="s">
        <v>316</v>
      </c>
      <c r="AV59" s="27"/>
    </row>
    <row r="60" spans="1:48" x14ac:dyDescent="0.15">
      <c r="A60" s="53" t="s">
        <v>59</v>
      </c>
      <c r="B60" s="53" t="s">
        <v>231</v>
      </c>
      <c r="C60" s="62">
        <v>2019</v>
      </c>
      <c r="D60" s="137" t="s">
        <v>282</v>
      </c>
      <c r="E60" s="53" t="s">
        <v>329</v>
      </c>
      <c r="F60" s="53" t="s">
        <v>330</v>
      </c>
      <c r="G60" s="53" t="s">
        <v>36</v>
      </c>
      <c r="H60" s="53" t="s">
        <v>164</v>
      </c>
      <c r="I60" s="53" t="s">
        <v>159</v>
      </c>
      <c r="J60" s="53" t="s">
        <v>38</v>
      </c>
      <c r="K60" s="53" t="s">
        <v>161</v>
      </c>
      <c r="L60" s="53">
        <v>2</v>
      </c>
      <c r="N60" s="53">
        <v>5</v>
      </c>
      <c r="O60" s="53">
        <v>0.37</v>
      </c>
      <c r="P60" s="53">
        <v>0.32</v>
      </c>
      <c r="Q60" s="75">
        <f t="shared" si="2"/>
        <v>0.34499999999999997</v>
      </c>
      <c r="R60" s="53">
        <v>15.7</v>
      </c>
      <c r="S60" s="53">
        <v>94</v>
      </c>
      <c r="T60" s="16">
        <f t="shared" si="0"/>
        <v>36</v>
      </c>
      <c r="U60" s="53">
        <v>386</v>
      </c>
      <c r="V60" s="16">
        <f t="shared" si="1"/>
        <v>16</v>
      </c>
      <c r="W60" s="53">
        <v>1</v>
      </c>
      <c r="X60" s="53" t="s">
        <v>39</v>
      </c>
      <c r="Y60" s="53" t="s">
        <v>78</v>
      </c>
      <c r="Z60" s="53" t="s">
        <v>90</v>
      </c>
      <c r="AA60" s="53" t="s">
        <v>69</v>
      </c>
      <c r="AB60" s="53" t="s">
        <v>316</v>
      </c>
      <c r="AV60" s="27"/>
    </row>
    <row r="61" spans="1:48" x14ac:dyDescent="0.15">
      <c r="A61" s="53" t="s">
        <v>59</v>
      </c>
      <c r="B61" s="53" t="s">
        <v>231</v>
      </c>
      <c r="C61" s="62">
        <v>2019</v>
      </c>
      <c r="D61" s="137" t="s">
        <v>282</v>
      </c>
      <c r="E61" s="53" t="s">
        <v>329</v>
      </c>
      <c r="F61" s="53" t="s">
        <v>330</v>
      </c>
      <c r="G61" s="53" t="s">
        <v>36</v>
      </c>
      <c r="H61" s="53" t="s">
        <v>164</v>
      </c>
      <c r="I61" s="53" t="s">
        <v>159</v>
      </c>
      <c r="J61" s="53" t="s">
        <v>38</v>
      </c>
      <c r="K61" s="53" t="s">
        <v>161</v>
      </c>
      <c r="L61" s="53">
        <v>3</v>
      </c>
      <c r="N61" s="53">
        <v>5</v>
      </c>
      <c r="O61" s="53">
        <v>0.44</v>
      </c>
      <c r="P61" s="53">
        <v>0.41</v>
      </c>
      <c r="Q61" s="75">
        <f t="shared" si="2"/>
        <v>0.42499999999999999</v>
      </c>
      <c r="R61" s="53">
        <v>15.2</v>
      </c>
      <c r="S61" s="53">
        <v>92</v>
      </c>
      <c r="T61" s="16">
        <f t="shared" si="0"/>
        <v>36</v>
      </c>
      <c r="U61" s="53">
        <v>386</v>
      </c>
      <c r="V61" s="16">
        <f t="shared" si="1"/>
        <v>16</v>
      </c>
      <c r="W61" s="53">
        <v>1</v>
      </c>
      <c r="X61" s="53" t="s">
        <v>39</v>
      </c>
      <c r="Y61" s="53" t="s">
        <v>78</v>
      </c>
      <c r="Z61" s="53" t="s">
        <v>90</v>
      </c>
      <c r="AA61" s="53" t="s">
        <v>69</v>
      </c>
      <c r="AB61" s="53" t="s">
        <v>316</v>
      </c>
      <c r="AV61" s="27"/>
    </row>
    <row r="62" spans="1:48" x14ac:dyDescent="0.15">
      <c r="C62" s="62"/>
      <c r="D62" s="137"/>
      <c r="Q62" s="75"/>
      <c r="AV62" s="27"/>
    </row>
    <row r="63" spans="1:48" x14ac:dyDescent="0.15">
      <c r="C63" s="62"/>
      <c r="D63" s="137"/>
      <c r="Q63" s="75"/>
      <c r="AV63" s="27"/>
    </row>
    <row r="64" spans="1:48" x14ac:dyDescent="0.15">
      <c r="C64" s="62"/>
      <c r="D64" s="137"/>
      <c r="Q64" s="75"/>
      <c r="AV64" s="27"/>
    </row>
    <row r="65" spans="3:48" x14ac:dyDescent="0.15">
      <c r="C65" s="62"/>
      <c r="D65" s="137"/>
      <c r="Q65" s="75"/>
      <c r="AV65" s="27"/>
    </row>
    <row r="66" spans="3:48" x14ac:dyDescent="0.15">
      <c r="C66" s="62"/>
      <c r="D66" s="137"/>
      <c r="Q66" s="75"/>
      <c r="AV66" s="27"/>
    </row>
    <row r="67" spans="3:48" x14ac:dyDescent="0.15">
      <c r="C67" s="62"/>
      <c r="D67" s="137"/>
      <c r="Q67" s="75"/>
      <c r="AV67" s="27"/>
    </row>
    <row r="68" spans="3:48" x14ac:dyDescent="0.15">
      <c r="C68" s="62"/>
      <c r="D68" s="137"/>
      <c r="Q68" s="75"/>
      <c r="AV68" s="27"/>
    </row>
    <row r="69" spans="3:48" x14ac:dyDescent="0.15">
      <c r="C69" s="62"/>
      <c r="D69" s="137"/>
      <c r="Q69" s="75"/>
      <c r="AV69" s="27"/>
    </row>
    <row r="70" spans="3:48" x14ac:dyDescent="0.15">
      <c r="C70" s="62"/>
      <c r="D70" s="137"/>
      <c r="Q70" s="75"/>
      <c r="AV70" s="27"/>
    </row>
    <row r="71" spans="3:48" x14ac:dyDescent="0.15">
      <c r="C71" s="62"/>
      <c r="D71" s="137"/>
      <c r="Q71" s="75"/>
      <c r="AV71" s="27"/>
    </row>
    <row r="72" spans="3:48" x14ac:dyDescent="0.15">
      <c r="C72" s="62"/>
      <c r="D72" s="137"/>
      <c r="Q72" s="75"/>
      <c r="AV72" s="27"/>
    </row>
    <row r="73" spans="3:48" x14ac:dyDescent="0.15">
      <c r="C73" s="62"/>
      <c r="D73" s="137"/>
      <c r="Q73" s="75"/>
    </row>
    <row r="74" spans="3:48" x14ac:dyDescent="0.15">
      <c r="C74" s="62"/>
      <c r="D74" s="137"/>
      <c r="Q74" s="75"/>
    </row>
    <row r="75" spans="3:48" x14ac:dyDescent="0.15">
      <c r="C75" s="62"/>
      <c r="D75" s="137"/>
      <c r="Q75" s="75"/>
    </row>
    <row r="76" spans="3:48" x14ac:dyDescent="0.15">
      <c r="C76" s="62"/>
      <c r="Q76" s="75"/>
    </row>
    <row r="77" spans="3:48" x14ac:dyDescent="0.15">
      <c r="C77" s="62"/>
      <c r="Q77" s="75"/>
    </row>
    <row r="78" spans="3:48" x14ac:dyDescent="0.15">
      <c r="C78" s="62"/>
      <c r="Q78" s="75"/>
    </row>
    <row r="79" spans="3:48" x14ac:dyDescent="0.15">
      <c r="C79" s="62"/>
      <c r="Q79" s="75"/>
    </row>
    <row r="80" spans="3:48" x14ac:dyDescent="0.15">
      <c r="C80" s="62"/>
      <c r="Q80" s="75"/>
    </row>
    <row r="81" spans="3:22" x14ac:dyDescent="0.15">
      <c r="C81" s="62"/>
      <c r="Q81" s="75"/>
    </row>
    <row r="82" spans="3:22" x14ac:dyDescent="0.15">
      <c r="C82" s="62"/>
      <c r="Q82" s="75"/>
    </row>
    <row r="83" spans="3:22" x14ac:dyDescent="0.15">
      <c r="C83" s="62"/>
      <c r="Q83" s="75"/>
    </row>
    <row r="84" spans="3:22" x14ac:dyDescent="0.15">
      <c r="C84" s="62"/>
      <c r="Q84" s="75"/>
    </row>
    <row r="85" spans="3:22" x14ac:dyDescent="0.15">
      <c r="C85" s="62"/>
      <c r="Q85" s="75"/>
    </row>
    <row r="86" spans="3:22" x14ac:dyDescent="0.15">
      <c r="C86" s="62"/>
      <c r="Q86" s="75"/>
    </row>
    <row r="87" spans="3:22" x14ac:dyDescent="0.15">
      <c r="C87" s="62"/>
      <c r="Q87" s="75"/>
    </row>
    <row r="88" spans="3:22" x14ac:dyDescent="0.15">
      <c r="C88" s="62"/>
      <c r="Q88" s="75"/>
    </row>
    <row r="89" spans="3:22" x14ac:dyDescent="0.15">
      <c r="C89" s="62"/>
      <c r="Q89" s="75"/>
    </row>
    <row r="90" spans="3:22" x14ac:dyDescent="0.15">
      <c r="C90" s="62"/>
      <c r="Q90" s="75"/>
    </row>
    <row r="91" spans="3:22" x14ac:dyDescent="0.15">
      <c r="C91" s="62"/>
      <c r="Q91" s="75"/>
    </row>
    <row r="92" spans="3:22" x14ac:dyDescent="0.15">
      <c r="C92" s="62"/>
    </row>
    <row r="93" spans="3:22" x14ac:dyDescent="0.15">
      <c r="C93" s="62"/>
    </row>
    <row r="94" spans="3:22" x14ac:dyDescent="0.15">
      <c r="Q94" s="16" t="str">
        <f t="shared" ref="Q94:Q145" si="3">IF(OR(O94="",P94=""),"",AVERAGE(O94,P94))</f>
        <v/>
      </c>
      <c r="T94" s="16" t="str">
        <f t="shared" ref="T94:T145" si="4">IF(H94="","",IF(OR(H94="GREEN",H94="GK"),IF(S94&gt;=$AX$2,VLOOKUP(S94,$AX$2:$AY$12,2,1),""),IF(S94&gt;=$AZ$2,VLOOKUP(S94,$AZ$2:$BA$12,2,1),"")))</f>
        <v/>
      </c>
      <c r="V94" s="16" t="str">
        <f t="shared" ref="V94:V145" si="5">IF(J94="","",IF(OR(J94="GREEN",J94="GK"),IF(U94&gt;=$AX$2,VLOOKUP(U94,$AX$2:$AY$12,2,1),""),IF(U94&gt;=$AZ$2,VLOOKUP(U94,$AZ$2:$BA$12,2,1),"")))</f>
        <v/>
      </c>
    </row>
    <row r="95" spans="3:22" x14ac:dyDescent="0.15">
      <c r="Q95" s="16" t="str">
        <f t="shared" si="3"/>
        <v/>
      </c>
      <c r="T95" s="16" t="str">
        <f t="shared" si="4"/>
        <v/>
      </c>
      <c r="V95" s="16" t="str">
        <f t="shared" si="5"/>
        <v/>
      </c>
    </row>
    <row r="96" spans="3:22" x14ac:dyDescent="0.15">
      <c r="Q96" s="16" t="str">
        <f t="shared" si="3"/>
        <v/>
      </c>
      <c r="T96" s="16" t="str">
        <f t="shared" si="4"/>
        <v/>
      </c>
      <c r="V96" s="16" t="str">
        <f t="shared" si="5"/>
        <v/>
      </c>
    </row>
    <row r="97" spans="17:22" x14ac:dyDescent="0.15">
      <c r="Q97" s="16" t="str">
        <f t="shared" si="3"/>
        <v/>
      </c>
      <c r="T97" s="16" t="str">
        <f t="shared" si="4"/>
        <v/>
      </c>
      <c r="V97" s="16" t="str">
        <f t="shared" si="5"/>
        <v/>
      </c>
    </row>
    <row r="98" spans="17:22" x14ac:dyDescent="0.15">
      <c r="Q98" s="16" t="str">
        <f t="shared" si="3"/>
        <v/>
      </c>
      <c r="T98" s="16" t="str">
        <f t="shared" si="4"/>
        <v/>
      </c>
      <c r="V98" s="16" t="str">
        <f t="shared" si="5"/>
        <v/>
      </c>
    </row>
    <row r="99" spans="17:22" x14ac:dyDescent="0.15">
      <c r="Q99" s="16" t="str">
        <f t="shared" si="3"/>
        <v/>
      </c>
      <c r="T99" s="16" t="str">
        <f t="shared" si="4"/>
        <v/>
      </c>
      <c r="V99" s="16" t="str">
        <f t="shared" si="5"/>
        <v/>
      </c>
    </row>
    <row r="100" spans="17:22" x14ac:dyDescent="0.15">
      <c r="Q100" s="16" t="str">
        <f t="shared" si="3"/>
        <v/>
      </c>
      <c r="T100" s="16" t="str">
        <f t="shared" si="4"/>
        <v/>
      </c>
      <c r="V100" s="16" t="str">
        <f t="shared" si="5"/>
        <v/>
      </c>
    </row>
    <row r="101" spans="17:22" x14ac:dyDescent="0.15">
      <c r="Q101" s="16" t="str">
        <f t="shared" si="3"/>
        <v/>
      </c>
      <c r="T101" s="16" t="str">
        <f t="shared" si="4"/>
        <v/>
      </c>
      <c r="V101" s="16" t="str">
        <f t="shared" si="5"/>
        <v/>
      </c>
    </row>
    <row r="102" spans="17:22" x14ac:dyDescent="0.15">
      <c r="Q102" s="16" t="str">
        <f t="shared" si="3"/>
        <v/>
      </c>
      <c r="T102" s="16" t="str">
        <f t="shared" si="4"/>
        <v/>
      </c>
      <c r="V102" s="16" t="str">
        <f t="shared" si="5"/>
        <v/>
      </c>
    </row>
    <row r="103" spans="17:22" x14ac:dyDescent="0.15">
      <c r="Q103" s="16" t="str">
        <f t="shared" si="3"/>
        <v/>
      </c>
      <c r="T103" s="16" t="str">
        <f t="shared" si="4"/>
        <v/>
      </c>
      <c r="V103" s="16" t="str">
        <f t="shared" si="5"/>
        <v/>
      </c>
    </row>
    <row r="104" spans="17:22" x14ac:dyDescent="0.15">
      <c r="Q104" s="16" t="str">
        <f t="shared" si="3"/>
        <v/>
      </c>
      <c r="T104" s="16" t="str">
        <f t="shared" si="4"/>
        <v/>
      </c>
      <c r="V104" s="16" t="str">
        <f t="shared" si="5"/>
        <v/>
      </c>
    </row>
    <row r="105" spans="17:22" x14ac:dyDescent="0.15">
      <c r="Q105" s="16" t="str">
        <f t="shared" si="3"/>
        <v/>
      </c>
      <c r="T105" s="16" t="str">
        <f t="shared" si="4"/>
        <v/>
      </c>
      <c r="V105" s="16" t="str">
        <f t="shared" si="5"/>
        <v/>
      </c>
    </row>
    <row r="106" spans="17:22" x14ac:dyDescent="0.15">
      <c r="Q106" s="16" t="str">
        <f t="shared" si="3"/>
        <v/>
      </c>
      <c r="T106" s="16" t="str">
        <f t="shared" si="4"/>
        <v/>
      </c>
      <c r="V106" s="16" t="str">
        <f t="shared" si="5"/>
        <v/>
      </c>
    </row>
    <row r="107" spans="17:22" x14ac:dyDescent="0.15">
      <c r="Q107" s="16" t="str">
        <f t="shared" si="3"/>
        <v/>
      </c>
      <c r="T107" s="16" t="str">
        <f t="shared" si="4"/>
        <v/>
      </c>
      <c r="V107" s="16" t="str">
        <f t="shared" si="5"/>
        <v/>
      </c>
    </row>
    <row r="108" spans="17:22" x14ac:dyDescent="0.15">
      <c r="Q108" s="16" t="str">
        <f t="shared" si="3"/>
        <v/>
      </c>
      <c r="T108" s="16" t="str">
        <f t="shared" si="4"/>
        <v/>
      </c>
      <c r="V108" s="16" t="str">
        <f t="shared" si="5"/>
        <v/>
      </c>
    </row>
    <row r="109" spans="17:22" x14ac:dyDescent="0.15">
      <c r="Q109" s="16" t="str">
        <f t="shared" si="3"/>
        <v/>
      </c>
      <c r="T109" s="16" t="str">
        <f t="shared" si="4"/>
        <v/>
      </c>
      <c r="V109" s="16" t="str">
        <f t="shared" si="5"/>
        <v/>
      </c>
    </row>
    <row r="110" spans="17:22" x14ac:dyDescent="0.15">
      <c r="Q110" s="16" t="str">
        <f t="shared" si="3"/>
        <v/>
      </c>
      <c r="T110" s="16" t="str">
        <f t="shared" si="4"/>
        <v/>
      </c>
      <c r="V110" s="16" t="str">
        <f t="shared" si="5"/>
        <v/>
      </c>
    </row>
    <row r="111" spans="17:22" x14ac:dyDescent="0.15">
      <c r="Q111" s="16" t="str">
        <f t="shared" si="3"/>
        <v/>
      </c>
      <c r="T111" s="16" t="str">
        <f t="shared" si="4"/>
        <v/>
      </c>
      <c r="V111" s="16" t="str">
        <f t="shared" si="5"/>
        <v/>
      </c>
    </row>
    <row r="112" spans="17:22" x14ac:dyDescent="0.15">
      <c r="Q112" s="16" t="str">
        <f t="shared" si="3"/>
        <v/>
      </c>
      <c r="T112" s="16" t="str">
        <f t="shared" si="4"/>
        <v/>
      </c>
      <c r="V112" s="16" t="str">
        <f t="shared" si="5"/>
        <v/>
      </c>
    </row>
    <row r="113" spans="17:22" x14ac:dyDescent="0.15">
      <c r="Q113" s="16" t="str">
        <f t="shared" si="3"/>
        <v/>
      </c>
      <c r="T113" s="16" t="str">
        <f t="shared" si="4"/>
        <v/>
      </c>
      <c r="V113" s="16" t="str">
        <f t="shared" si="5"/>
        <v/>
      </c>
    </row>
    <row r="114" spans="17:22" x14ac:dyDescent="0.15">
      <c r="Q114" s="16" t="str">
        <f t="shared" si="3"/>
        <v/>
      </c>
      <c r="T114" s="16" t="str">
        <f t="shared" si="4"/>
        <v/>
      </c>
      <c r="V114" s="16" t="str">
        <f t="shared" si="5"/>
        <v/>
      </c>
    </row>
    <row r="115" spans="17:22" x14ac:dyDescent="0.15">
      <c r="Q115" s="16" t="str">
        <f t="shared" si="3"/>
        <v/>
      </c>
      <c r="T115" s="16" t="str">
        <f t="shared" si="4"/>
        <v/>
      </c>
      <c r="V115" s="16" t="str">
        <f t="shared" si="5"/>
        <v/>
      </c>
    </row>
    <row r="116" spans="17:22" x14ac:dyDescent="0.15">
      <c r="Q116" s="16" t="str">
        <f t="shared" si="3"/>
        <v/>
      </c>
      <c r="T116" s="16" t="str">
        <f t="shared" si="4"/>
        <v/>
      </c>
      <c r="V116" s="16" t="str">
        <f t="shared" si="5"/>
        <v/>
      </c>
    </row>
    <row r="117" spans="17:22" x14ac:dyDescent="0.15">
      <c r="Q117" s="16" t="str">
        <f t="shared" si="3"/>
        <v/>
      </c>
      <c r="T117" s="16" t="str">
        <f t="shared" si="4"/>
        <v/>
      </c>
      <c r="V117" s="16" t="str">
        <f t="shared" si="5"/>
        <v/>
      </c>
    </row>
    <row r="118" spans="17:22" x14ac:dyDescent="0.15">
      <c r="Q118" s="16" t="str">
        <f t="shared" si="3"/>
        <v/>
      </c>
      <c r="T118" s="16" t="str">
        <f t="shared" si="4"/>
        <v/>
      </c>
      <c r="V118" s="16" t="str">
        <f t="shared" si="5"/>
        <v/>
      </c>
    </row>
    <row r="119" spans="17:22" x14ac:dyDescent="0.15">
      <c r="Q119" s="16" t="str">
        <f t="shared" si="3"/>
        <v/>
      </c>
      <c r="T119" s="16" t="str">
        <f t="shared" si="4"/>
        <v/>
      </c>
      <c r="V119" s="16" t="str">
        <f t="shared" si="5"/>
        <v/>
      </c>
    </row>
    <row r="120" spans="17:22" x14ac:dyDescent="0.15">
      <c r="Q120" s="16" t="str">
        <f t="shared" si="3"/>
        <v/>
      </c>
      <c r="T120" s="16" t="str">
        <f t="shared" si="4"/>
        <v/>
      </c>
      <c r="V120" s="16" t="str">
        <f t="shared" si="5"/>
        <v/>
      </c>
    </row>
    <row r="121" spans="17:22" x14ac:dyDescent="0.15">
      <c r="Q121" s="16" t="str">
        <f t="shared" si="3"/>
        <v/>
      </c>
      <c r="T121" s="16" t="str">
        <f t="shared" si="4"/>
        <v/>
      </c>
      <c r="V121" s="16" t="str">
        <f t="shared" si="5"/>
        <v/>
      </c>
    </row>
    <row r="122" spans="17:22" x14ac:dyDescent="0.15">
      <c r="Q122" s="16" t="str">
        <f t="shared" si="3"/>
        <v/>
      </c>
      <c r="T122" s="16" t="str">
        <f t="shared" si="4"/>
        <v/>
      </c>
      <c r="V122" s="16" t="str">
        <f t="shared" si="5"/>
        <v/>
      </c>
    </row>
    <row r="123" spans="17:22" x14ac:dyDescent="0.15">
      <c r="Q123" s="16" t="str">
        <f t="shared" si="3"/>
        <v/>
      </c>
      <c r="T123" s="16" t="str">
        <f t="shared" si="4"/>
        <v/>
      </c>
      <c r="V123" s="16" t="str">
        <f t="shared" si="5"/>
        <v/>
      </c>
    </row>
    <row r="124" spans="17:22" x14ac:dyDescent="0.15">
      <c r="Q124" s="16" t="str">
        <f t="shared" si="3"/>
        <v/>
      </c>
      <c r="T124" s="16" t="str">
        <f t="shared" si="4"/>
        <v/>
      </c>
      <c r="V124" s="16" t="str">
        <f t="shared" si="5"/>
        <v/>
      </c>
    </row>
    <row r="125" spans="17:22" x14ac:dyDescent="0.15">
      <c r="Q125" s="16" t="str">
        <f t="shared" si="3"/>
        <v/>
      </c>
      <c r="T125" s="16" t="str">
        <f t="shared" si="4"/>
        <v/>
      </c>
      <c r="V125" s="16" t="str">
        <f t="shared" si="5"/>
        <v/>
      </c>
    </row>
    <row r="126" spans="17:22" x14ac:dyDescent="0.15">
      <c r="Q126" s="16" t="str">
        <f t="shared" si="3"/>
        <v/>
      </c>
      <c r="T126" s="16" t="str">
        <f t="shared" si="4"/>
        <v/>
      </c>
      <c r="V126" s="16" t="str">
        <f t="shared" si="5"/>
        <v/>
      </c>
    </row>
    <row r="127" spans="17:22" x14ac:dyDescent="0.15">
      <c r="Q127" s="16" t="str">
        <f t="shared" si="3"/>
        <v/>
      </c>
      <c r="T127" s="16" t="str">
        <f t="shared" si="4"/>
        <v/>
      </c>
      <c r="V127" s="16" t="str">
        <f t="shared" si="5"/>
        <v/>
      </c>
    </row>
    <row r="128" spans="17:22" x14ac:dyDescent="0.15">
      <c r="Q128" s="16" t="str">
        <f t="shared" si="3"/>
        <v/>
      </c>
      <c r="T128" s="16" t="str">
        <f t="shared" si="4"/>
        <v/>
      </c>
      <c r="V128" s="16" t="str">
        <f t="shared" si="5"/>
        <v/>
      </c>
    </row>
    <row r="129" spans="17:22" x14ac:dyDescent="0.15">
      <c r="Q129" s="16" t="str">
        <f t="shared" si="3"/>
        <v/>
      </c>
      <c r="T129" s="16" t="str">
        <f t="shared" si="4"/>
        <v/>
      </c>
      <c r="V129" s="16" t="str">
        <f t="shared" si="5"/>
        <v/>
      </c>
    </row>
    <row r="130" spans="17:22" x14ac:dyDescent="0.15">
      <c r="Q130" s="16" t="str">
        <f t="shared" si="3"/>
        <v/>
      </c>
      <c r="T130" s="16" t="str">
        <f t="shared" si="4"/>
        <v/>
      </c>
      <c r="V130" s="16" t="str">
        <f t="shared" si="5"/>
        <v/>
      </c>
    </row>
    <row r="131" spans="17:22" x14ac:dyDescent="0.15">
      <c r="Q131" s="16" t="str">
        <f t="shared" si="3"/>
        <v/>
      </c>
      <c r="T131" s="16" t="str">
        <f t="shared" si="4"/>
        <v/>
      </c>
      <c r="V131" s="16" t="str">
        <f t="shared" si="5"/>
        <v/>
      </c>
    </row>
    <row r="132" spans="17:22" x14ac:dyDescent="0.15">
      <c r="Q132" s="16" t="str">
        <f t="shared" si="3"/>
        <v/>
      </c>
      <c r="T132" s="16" t="str">
        <f t="shared" si="4"/>
        <v/>
      </c>
      <c r="V132" s="16" t="str">
        <f t="shared" si="5"/>
        <v/>
      </c>
    </row>
    <row r="133" spans="17:22" x14ac:dyDescent="0.15">
      <c r="Q133" s="16" t="str">
        <f t="shared" si="3"/>
        <v/>
      </c>
      <c r="T133" s="16" t="str">
        <f t="shared" si="4"/>
        <v/>
      </c>
      <c r="V133" s="16" t="str">
        <f t="shared" si="5"/>
        <v/>
      </c>
    </row>
    <row r="134" spans="17:22" x14ac:dyDescent="0.15">
      <c r="Q134" s="16" t="str">
        <f t="shared" si="3"/>
        <v/>
      </c>
      <c r="T134" s="16" t="str">
        <f t="shared" si="4"/>
        <v/>
      </c>
      <c r="V134" s="16" t="str">
        <f t="shared" si="5"/>
        <v/>
      </c>
    </row>
    <row r="135" spans="17:22" x14ac:dyDescent="0.15">
      <c r="Q135" s="16" t="str">
        <f t="shared" si="3"/>
        <v/>
      </c>
      <c r="T135" s="16" t="str">
        <f t="shared" si="4"/>
        <v/>
      </c>
      <c r="V135" s="16" t="str">
        <f t="shared" si="5"/>
        <v/>
      </c>
    </row>
    <row r="136" spans="17:22" x14ac:dyDescent="0.15">
      <c r="Q136" s="16" t="str">
        <f t="shared" si="3"/>
        <v/>
      </c>
      <c r="T136" s="16" t="str">
        <f t="shared" si="4"/>
        <v/>
      </c>
      <c r="V136" s="16" t="str">
        <f t="shared" si="5"/>
        <v/>
      </c>
    </row>
    <row r="137" spans="17:22" x14ac:dyDescent="0.15">
      <c r="Q137" s="16" t="str">
        <f t="shared" si="3"/>
        <v/>
      </c>
      <c r="T137" s="16" t="str">
        <f t="shared" si="4"/>
        <v/>
      </c>
      <c r="V137" s="16" t="str">
        <f t="shared" si="5"/>
        <v/>
      </c>
    </row>
    <row r="138" spans="17:22" x14ac:dyDescent="0.15">
      <c r="Q138" s="16" t="str">
        <f t="shared" si="3"/>
        <v/>
      </c>
      <c r="T138" s="16" t="str">
        <f t="shared" si="4"/>
        <v/>
      </c>
      <c r="V138" s="16" t="str">
        <f t="shared" si="5"/>
        <v/>
      </c>
    </row>
    <row r="139" spans="17:22" x14ac:dyDescent="0.15">
      <c r="Q139" s="16" t="str">
        <f t="shared" si="3"/>
        <v/>
      </c>
      <c r="T139" s="16" t="str">
        <f t="shared" si="4"/>
        <v/>
      </c>
      <c r="V139" s="16" t="str">
        <f t="shared" si="5"/>
        <v/>
      </c>
    </row>
    <row r="140" spans="17:22" x14ac:dyDescent="0.15">
      <c r="Q140" s="16" t="str">
        <f t="shared" si="3"/>
        <v/>
      </c>
      <c r="T140" s="16" t="str">
        <f t="shared" si="4"/>
        <v/>
      </c>
      <c r="V140" s="16" t="str">
        <f t="shared" si="5"/>
        <v/>
      </c>
    </row>
    <row r="141" spans="17:22" x14ac:dyDescent="0.15">
      <c r="Q141" s="16" t="str">
        <f t="shared" si="3"/>
        <v/>
      </c>
      <c r="T141" s="16" t="str">
        <f t="shared" si="4"/>
        <v/>
      </c>
      <c r="V141" s="16" t="str">
        <f t="shared" si="5"/>
        <v/>
      </c>
    </row>
    <row r="142" spans="17:22" x14ac:dyDescent="0.15">
      <c r="Q142" s="16" t="str">
        <f t="shared" si="3"/>
        <v/>
      </c>
      <c r="T142" s="16" t="str">
        <f t="shared" si="4"/>
        <v/>
      </c>
      <c r="V142" s="16" t="str">
        <f t="shared" si="5"/>
        <v/>
      </c>
    </row>
    <row r="143" spans="17:22" x14ac:dyDescent="0.15">
      <c r="Q143" s="16" t="str">
        <f t="shared" si="3"/>
        <v/>
      </c>
      <c r="T143" s="16" t="str">
        <f t="shared" si="4"/>
        <v/>
      </c>
      <c r="V143" s="16" t="str">
        <f t="shared" si="5"/>
        <v/>
      </c>
    </row>
    <row r="144" spans="17:22" x14ac:dyDescent="0.15">
      <c r="Q144" s="16" t="str">
        <f t="shared" si="3"/>
        <v/>
      </c>
      <c r="T144" s="16" t="str">
        <f t="shared" si="4"/>
        <v/>
      </c>
      <c r="V144" s="16" t="str">
        <f t="shared" si="5"/>
        <v/>
      </c>
    </row>
    <row r="145" spans="17:22" x14ac:dyDescent="0.15">
      <c r="Q145" s="16" t="str">
        <f t="shared" si="3"/>
        <v/>
      </c>
      <c r="T145" s="16" t="str">
        <f t="shared" si="4"/>
        <v/>
      </c>
      <c r="V145" s="16" t="str">
        <f t="shared" si="5"/>
        <v/>
      </c>
    </row>
  </sheetData>
  <autoFilter ref="A1:BA145" xr:uid="{00000000-0009-0000-0000-000000000000}"/>
  <phoneticPr fontId="3"/>
  <dataValidations count="19">
    <dataValidation type="list" allowBlank="1" showInputMessage="1" showErrorMessage="1" sqref="K2:K427" xr:uid="{FE3CD89E-E191-41CC-8F68-DDFC11E86CBF}">
      <formula1>$AR$2:$AR$27</formula1>
    </dataValidation>
    <dataValidation type="list" allowBlank="1" showInputMessage="1" showErrorMessage="1" sqref="E2:E485" xr:uid="{5969950F-0A71-4CCD-B54C-29F4D97C0428}">
      <formula1>$AG$2:$AG$11</formula1>
    </dataValidation>
    <dataValidation type="list" allowBlank="1" showInputMessage="1" showErrorMessage="1" sqref="H2:H485" xr:uid="{E2E13FD6-55F0-481E-A67B-019F98F8EBD9}">
      <formula1>$AL$2:$AL$8</formula1>
    </dataValidation>
    <dataValidation type="decimal" allowBlank="1" showInputMessage="1" showErrorMessage="1" error="硬度を正しく入力して下さい。" sqref="O2:P485" xr:uid="{58290F2A-7F78-4A4C-97E1-1F91A57860B8}">
      <formula1>0</formula1>
      <formula2>7</formula2>
    </dataValidation>
    <dataValidation type="list" allowBlank="1" showInputMessage="1" showErrorMessage="1" sqref="F2:F1439" xr:uid="{332F2736-ACCE-4340-921B-D4B181964721}">
      <formula1>$AH$2:$AH$11</formula1>
    </dataValidation>
    <dataValidation type="list" allowBlank="1" showInputMessage="1" showErrorMessage="1" sqref="Y2:AA576" xr:uid="{EF465D3C-196A-4483-96FC-1B18228615A0}">
      <formula1>$AV$2:$AV$38</formula1>
    </dataValidation>
    <dataValidation type="list" allowBlank="1" showInputMessage="1" showErrorMessage="1" sqref="J2:J72" xr:uid="{BC1E635B-26CC-4BAC-AB39-005774DFDA1C}">
      <formula1>$AP$2:$AP$38</formula1>
    </dataValidation>
    <dataValidation type="list" allowBlank="1" showInputMessage="1" showErrorMessage="1" sqref="WVS983027:WVS983092 K65523:K65588 JG65523:JG65588 TC65523:TC65588 ACY65523:ACY65588 AMU65523:AMU65588 AWQ65523:AWQ65588 BGM65523:BGM65588 BQI65523:BQI65588 CAE65523:CAE65588 CKA65523:CKA65588 CTW65523:CTW65588 DDS65523:DDS65588 DNO65523:DNO65588 DXK65523:DXK65588 EHG65523:EHG65588 ERC65523:ERC65588 FAY65523:FAY65588 FKU65523:FKU65588 FUQ65523:FUQ65588 GEM65523:GEM65588 GOI65523:GOI65588 GYE65523:GYE65588 HIA65523:HIA65588 HRW65523:HRW65588 IBS65523:IBS65588 ILO65523:ILO65588 IVK65523:IVK65588 JFG65523:JFG65588 JPC65523:JPC65588 JYY65523:JYY65588 KIU65523:KIU65588 KSQ65523:KSQ65588 LCM65523:LCM65588 LMI65523:LMI65588 LWE65523:LWE65588 MGA65523:MGA65588 MPW65523:MPW65588 MZS65523:MZS65588 NJO65523:NJO65588 NTK65523:NTK65588 ODG65523:ODG65588 ONC65523:ONC65588 OWY65523:OWY65588 PGU65523:PGU65588 PQQ65523:PQQ65588 QAM65523:QAM65588 QKI65523:QKI65588 QUE65523:QUE65588 REA65523:REA65588 RNW65523:RNW65588 RXS65523:RXS65588 SHO65523:SHO65588 SRK65523:SRK65588 TBG65523:TBG65588 TLC65523:TLC65588 TUY65523:TUY65588 UEU65523:UEU65588 UOQ65523:UOQ65588 UYM65523:UYM65588 VII65523:VII65588 VSE65523:VSE65588 WCA65523:WCA65588 WLW65523:WLW65588 WVS65523:WVS65588 K131059:K131124 JG131059:JG131124 TC131059:TC131124 ACY131059:ACY131124 AMU131059:AMU131124 AWQ131059:AWQ131124 BGM131059:BGM131124 BQI131059:BQI131124 CAE131059:CAE131124 CKA131059:CKA131124 CTW131059:CTW131124 DDS131059:DDS131124 DNO131059:DNO131124 DXK131059:DXK131124 EHG131059:EHG131124 ERC131059:ERC131124 FAY131059:FAY131124 FKU131059:FKU131124 FUQ131059:FUQ131124 GEM131059:GEM131124 GOI131059:GOI131124 GYE131059:GYE131124 HIA131059:HIA131124 HRW131059:HRW131124 IBS131059:IBS131124 ILO131059:ILO131124 IVK131059:IVK131124 JFG131059:JFG131124 JPC131059:JPC131124 JYY131059:JYY131124 KIU131059:KIU131124 KSQ131059:KSQ131124 LCM131059:LCM131124 LMI131059:LMI131124 LWE131059:LWE131124 MGA131059:MGA131124 MPW131059:MPW131124 MZS131059:MZS131124 NJO131059:NJO131124 NTK131059:NTK131124 ODG131059:ODG131124 ONC131059:ONC131124 OWY131059:OWY131124 PGU131059:PGU131124 PQQ131059:PQQ131124 QAM131059:QAM131124 QKI131059:QKI131124 QUE131059:QUE131124 REA131059:REA131124 RNW131059:RNW131124 RXS131059:RXS131124 SHO131059:SHO131124 SRK131059:SRK131124 TBG131059:TBG131124 TLC131059:TLC131124 TUY131059:TUY131124 UEU131059:UEU131124 UOQ131059:UOQ131124 UYM131059:UYM131124 VII131059:VII131124 VSE131059:VSE131124 WCA131059:WCA131124 WLW131059:WLW131124 WVS131059:WVS131124 K196595:K196660 JG196595:JG196660 TC196595:TC196660 ACY196595:ACY196660 AMU196595:AMU196660 AWQ196595:AWQ196660 BGM196595:BGM196660 BQI196595:BQI196660 CAE196595:CAE196660 CKA196595:CKA196660 CTW196595:CTW196660 DDS196595:DDS196660 DNO196595:DNO196660 DXK196595:DXK196660 EHG196595:EHG196660 ERC196595:ERC196660 FAY196595:FAY196660 FKU196595:FKU196660 FUQ196595:FUQ196660 GEM196595:GEM196660 GOI196595:GOI196660 GYE196595:GYE196660 HIA196595:HIA196660 HRW196595:HRW196660 IBS196595:IBS196660 ILO196595:ILO196660 IVK196595:IVK196660 JFG196595:JFG196660 JPC196595:JPC196660 JYY196595:JYY196660 KIU196595:KIU196660 KSQ196595:KSQ196660 LCM196595:LCM196660 LMI196595:LMI196660 LWE196595:LWE196660 MGA196595:MGA196660 MPW196595:MPW196660 MZS196595:MZS196660 NJO196595:NJO196660 NTK196595:NTK196660 ODG196595:ODG196660 ONC196595:ONC196660 OWY196595:OWY196660 PGU196595:PGU196660 PQQ196595:PQQ196660 QAM196595:QAM196660 QKI196595:QKI196660 QUE196595:QUE196660 REA196595:REA196660 RNW196595:RNW196660 RXS196595:RXS196660 SHO196595:SHO196660 SRK196595:SRK196660 TBG196595:TBG196660 TLC196595:TLC196660 TUY196595:TUY196660 UEU196595:UEU196660 UOQ196595:UOQ196660 UYM196595:UYM196660 VII196595:VII196660 VSE196595:VSE196660 WCA196595:WCA196660 WLW196595:WLW196660 WVS196595:WVS196660 K262131:K262196 JG262131:JG262196 TC262131:TC262196 ACY262131:ACY262196 AMU262131:AMU262196 AWQ262131:AWQ262196 BGM262131:BGM262196 BQI262131:BQI262196 CAE262131:CAE262196 CKA262131:CKA262196 CTW262131:CTW262196 DDS262131:DDS262196 DNO262131:DNO262196 DXK262131:DXK262196 EHG262131:EHG262196 ERC262131:ERC262196 FAY262131:FAY262196 FKU262131:FKU262196 FUQ262131:FUQ262196 GEM262131:GEM262196 GOI262131:GOI262196 GYE262131:GYE262196 HIA262131:HIA262196 HRW262131:HRW262196 IBS262131:IBS262196 ILO262131:ILO262196 IVK262131:IVK262196 JFG262131:JFG262196 JPC262131:JPC262196 JYY262131:JYY262196 KIU262131:KIU262196 KSQ262131:KSQ262196 LCM262131:LCM262196 LMI262131:LMI262196 LWE262131:LWE262196 MGA262131:MGA262196 MPW262131:MPW262196 MZS262131:MZS262196 NJO262131:NJO262196 NTK262131:NTK262196 ODG262131:ODG262196 ONC262131:ONC262196 OWY262131:OWY262196 PGU262131:PGU262196 PQQ262131:PQQ262196 QAM262131:QAM262196 QKI262131:QKI262196 QUE262131:QUE262196 REA262131:REA262196 RNW262131:RNW262196 RXS262131:RXS262196 SHO262131:SHO262196 SRK262131:SRK262196 TBG262131:TBG262196 TLC262131:TLC262196 TUY262131:TUY262196 UEU262131:UEU262196 UOQ262131:UOQ262196 UYM262131:UYM262196 VII262131:VII262196 VSE262131:VSE262196 WCA262131:WCA262196 WLW262131:WLW262196 WVS262131:WVS262196 K327667:K327732 JG327667:JG327732 TC327667:TC327732 ACY327667:ACY327732 AMU327667:AMU327732 AWQ327667:AWQ327732 BGM327667:BGM327732 BQI327667:BQI327732 CAE327667:CAE327732 CKA327667:CKA327732 CTW327667:CTW327732 DDS327667:DDS327732 DNO327667:DNO327732 DXK327667:DXK327732 EHG327667:EHG327732 ERC327667:ERC327732 FAY327667:FAY327732 FKU327667:FKU327732 FUQ327667:FUQ327732 GEM327667:GEM327732 GOI327667:GOI327732 GYE327667:GYE327732 HIA327667:HIA327732 HRW327667:HRW327732 IBS327667:IBS327732 ILO327667:ILO327732 IVK327667:IVK327732 JFG327667:JFG327732 JPC327667:JPC327732 JYY327667:JYY327732 KIU327667:KIU327732 KSQ327667:KSQ327732 LCM327667:LCM327732 LMI327667:LMI327732 LWE327667:LWE327732 MGA327667:MGA327732 MPW327667:MPW327732 MZS327667:MZS327732 NJO327667:NJO327732 NTK327667:NTK327732 ODG327667:ODG327732 ONC327667:ONC327732 OWY327667:OWY327732 PGU327667:PGU327732 PQQ327667:PQQ327732 QAM327667:QAM327732 QKI327667:QKI327732 QUE327667:QUE327732 REA327667:REA327732 RNW327667:RNW327732 RXS327667:RXS327732 SHO327667:SHO327732 SRK327667:SRK327732 TBG327667:TBG327732 TLC327667:TLC327732 TUY327667:TUY327732 UEU327667:UEU327732 UOQ327667:UOQ327732 UYM327667:UYM327732 VII327667:VII327732 VSE327667:VSE327732 WCA327667:WCA327732 WLW327667:WLW327732 WVS327667:WVS327732 K393203:K393268 JG393203:JG393268 TC393203:TC393268 ACY393203:ACY393268 AMU393203:AMU393268 AWQ393203:AWQ393268 BGM393203:BGM393268 BQI393203:BQI393268 CAE393203:CAE393268 CKA393203:CKA393268 CTW393203:CTW393268 DDS393203:DDS393268 DNO393203:DNO393268 DXK393203:DXK393268 EHG393203:EHG393268 ERC393203:ERC393268 FAY393203:FAY393268 FKU393203:FKU393268 FUQ393203:FUQ393268 GEM393203:GEM393268 GOI393203:GOI393268 GYE393203:GYE393268 HIA393203:HIA393268 HRW393203:HRW393268 IBS393203:IBS393268 ILO393203:ILO393268 IVK393203:IVK393268 JFG393203:JFG393268 JPC393203:JPC393268 JYY393203:JYY393268 KIU393203:KIU393268 KSQ393203:KSQ393268 LCM393203:LCM393268 LMI393203:LMI393268 LWE393203:LWE393268 MGA393203:MGA393268 MPW393203:MPW393268 MZS393203:MZS393268 NJO393203:NJO393268 NTK393203:NTK393268 ODG393203:ODG393268 ONC393203:ONC393268 OWY393203:OWY393268 PGU393203:PGU393268 PQQ393203:PQQ393268 QAM393203:QAM393268 QKI393203:QKI393268 QUE393203:QUE393268 REA393203:REA393268 RNW393203:RNW393268 RXS393203:RXS393268 SHO393203:SHO393268 SRK393203:SRK393268 TBG393203:TBG393268 TLC393203:TLC393268 TUY393203:TUY393268 UEU393203:UEU393268 UOQ393203:UOQ393268 UYM393203:UYM393268 VII393203:VII393268 VSE393203:VSE393268 WCA393203:WCA393268 WLW393203:WLW393268 WVS393203:WVS393268 K458739:K458804 JG458739:JG458804 TC458739:TC458804 ACY458739:ACY458804 AMU458739:AMU458804 AWQ458739:AWQ458804 BGM458739:BGM458804 BQI458739:BQI458804 CAE458739:CAE458804 CKA458739:CKA458804 CTW458739:CTW458804 DDS458739:DDS458804 DNO458739:DNO458804 DXK458739:DXK458804 EHG458739:EHG458804 ERC458739:ERC458804 FAY458739:FAY458804 FKU458739:FKU458804 FUQ458739:FUQ458804 GEM458739:GEM458804 GOI458739:GOI458804 GYE458739:GYE458804 HIA458739:HIA458804 HRW458739:HRW458804 IBS458739:IBS458804 ILO458739:ILO458804 IVK458739:IVK458804 JFG458739:JFG458804 JPC458739:JPC458804 JYY458739:JYY458804 KIU458739:KIU458804 KSQ458739:KSQ458804 LCM458739:LCM458804 LMI458739:LMI458804 LWE458739:LWE458804 MGA458739:MGA458804 MPW458739:MPW458804 MZS458739:MZS458804 NJO458739:NJO458804 NTK458739:NTK458804 ODG458739:ODG458804 ONC458739:ONC458804 OWY458739:OWY458804 PGU458739:PGU458804 PQQ458739:PQQ458804 QAM458739:QAM458804 QKI458739:QKI458804 QUE458739:QUE458804 REA458739:REA458804 RNW458739:RNW458804 RXS458739:RXS458804 SHO458739:SHO458804 SRK458739:SRK458804 TBG458739:TBG458804 TLC458739:TLC458804 TUY458739:TUY458804 UEU458739:UEU458804 UOQ458739:UOQ458804 UYM458739:UYM458804 VII458739:VII458804 VSE458739:VSE458804 WCA458739:WCA458804 WLW458739:WLW458804 WVS458739:WVS458804 K524275:K524340 JG524275:JG524340 TC524275:TC524340 ACY524275:ACY524340 AMU524275:AMU524340 AWQ524275:AWQ524340 BGM524275:BGM524340 BQI524275:BQI524340 CAE524275:CAE524340 CKA524275:CKA524340 CTW524275:CTW524340 DDS524275:DDS524340 DNO524275:DNO524340 DXK524275:DXK524340 EHG524275:EHG524340 ERC524275:ERC524340 FAY524275:FAY524340 FKU524275:FKU524340 FUQ524275:FUQ524340 GEM524275:GEM524340 GOI524275:GOI524340 GYE524275:GYE524340 HIA524275:HIA524340 HRW524275:HRW524340 IBS524275:IBS524340 ILO524275:ILO524340 IVK524275:IVK524340 JFG524275:JFG524340 JPC524275:JPC524340 JYY524275:JYY524340 KIU524275:KIU524340 KSQ524275:KSQ524340 LCM524275:LCM524340 LMI524275:LMI524340 LWE524275:LWE524340 MGA524275:MGA524340 MPW524275:MPW524340 MZS524275:MZS524340 NJO524275:NJO524340 NTK524275:NTK524340 ODG524275:ODG524340 ONC524275:ONC524340 OWY524275:OWY524340 PGU524275:PGU524340 PQQ524275:PQQ524340 QAM524275:QAM524340 QKI524275:QKI524340 QUE524275:QUE524340 REA524275:REA524340 RNW524275:RNW524340 RXS524275:RXS524340 SHO524275:SHO524340 SRK524275:SRK524340 TBG524275:TBG524340 TLC524275:TLC524340 TUY524275:TUY524340 UEU524275:UEU524340 UOQ524275:UOQ524340 UYM524275:UYM524340 VII524275:VII524340 VSE524275:VSE524340 WCA524275:WCA524340 WLW524275:WLW524340 WVS524275:WVS524340 K589811:K589876 JG589811:JG589876 TC589811:TC589876 ACY589811:ACY589876 AMU589811:AMU589876 AWQ589811:AWQ589876 BGM589811:BGM589876 BQI589811:BQI589876 CAE589811:CAE589876 CKA589811:CKA589876 CTW589811:CTW589876 DDS589811:DDS589876 DNO589811:DNO589876 DXK589811:DXK589876 EHG589811:EHG589876 ERC589811:ERC589876 FAY589811:FAY589876 FKU589811:FKU589876 FUQ589811:FUQ589876 GEM589811:GEM589876 GOI589811:GOI589876 GYE589811:GYE589876 HIA589811:HIA589876 HRW589811:HRW589876 IBS589811:IBS589876 ILO589811:ILO589876 IVK589811:IVK589876 JFG589811:JFG589876 JPC589811:JPC589876 JYY589811:JYY589876 KIU589811:KIU589876 KSQ589811:KSQ589876 LCM589811:LCM589876 LMI589811:LMI589876 LWE589811:LWE589876 MGA589811:MGA589876 MPW589811:MPW589876 MZS589811:MZS589876 NJO589811:NJO589876 NTK589811:NTK589876 ODG589811:ODG589876 ONC589811:ONC589876 OWY589811:OWY589876 PGU589811:PGU589876 PQQ589811:PQQ589876 QAM589811:QAM589876 QKI589811:QKI589876 QUE589811:QUE589876 REA589811:REA589876 RNW589811:RNW589876 RXS589811:RXS589876 SHO589811:SHO589876 SRK589811:SRK589876 TBG589811:TBG589876 TLC589811:TLC589876 TUY589811:TUY589876 UEU589811:UEU589876 UOQ589811:UOQ589876 UYM589811:UYM589876 VII589811:VII589876 VSE589811:VSE589876 WCA589811:WCA589876 WLW589811:WLW589876 WVS589811:WVS589876 K655347:K655412 JG655347:JG655412 TC655347:TC655412 ACY655347:ACY655412 AMU655347:AMU655412 AWQ655347:AWQ655412 BGM655347:BGM655412 BQI655347:BQI655412 CAE655347:CAE655412 CKA655347:CKA655412 CTW655347:CTW655412 DDS655347:DDS655412 DNO655347:DNO655412 DXK655347:DXK655412 EHG655347:EHG655412 ERC655347:ERC655412 FAY655347:FAY655412 FKU655347:FKU655412 FUQ655347:FUQ655412 GEM655347:GEM655412 GOI655347:GOI655412 GYE655347:GYE655412 HIA655347:HIA655412 HRW655347:HRW655412 IBS655347:IBS655412 ILO655347:ILO655412 IVK655347:IVK655412 JFG655347:JFG655412 JPC655347:JPC655412 JYY655347:JYY655412 KIU655347:KIU655412 KSQ655347:KSQ655412 LCM655347:LCM655412 LMI655347:LMI655412 LWE655347:LWE655412 MGA655347:MGA655412 MPW655347:MPW655412 MZS655347:MZS655412 NJO655347:NJO655412 NTK655347:NTK655412 ODG655347:ODG655412 ONC655347:ONC655412 OWY655347:OWY655412 PGU655347:PGU655412 PQQ655347:PQQ655412 QAM655347:QAM655412 QKI655347:QKI655412 QUE655347:QUE655412 REA655347:REA655412 RNW655347:RNW655412 RXS655347:RXS655412 SHO655347:SHO655412 SRK655347:SRK655412 TBG655347:TBG655412 TLC655347:TLC655412 TUY655347:TUY655412 UEU655347:UEU655412 UOQ655347:UOQ655412 UYM655347:UYM655412 VII655347:VII655412 VSE655347:VSE655412 WCA655347:WCA655412 WLW655347:WLW655412 WVS655347:WVS655412 K720883:K720948 JG720883:JG720948 TC720883:TC720948 ACY720883:ACY720948 AMU720883:AMU720948 AWQ720883:AWQ720948 BGM720883:BGM720948 BQI720883:BQI720948 CAE720883:CAE720948 CKA720883:CKA720948 CTW720883:CTW720948 DDS720883:DDS720948 DNO720883:DNO720948 DXK720883:DXK720948 EHG720883:EHG720948 ERC720883:ERC720948 FAY720883:FAY720948 FKU720883:FKU720948 FUQ720883:FUQ720948 GEM720883:GEM720948 GOI720883:GOI720948 GYE720883:GYE720948 HIA720883:HIA720948 HRW720883:HRW720948 IBS720883:IBS720948 ILO720883:ILO720948 IVK720883:IVK720948 JFG720883:JFG720948 JPC720883:JPC720948 JYY720883:JYY720948 KIU720883:KIU720948 KSQ720883:KSQ720948 LCM720883:LCM720948 LMI720883:LMI720948 LWE720883:LWE720948 MGA720883:MGA720948 MPW720883:MPW720948 MZS720883:MZS720948 NJO720883:NJO720948 NTK720883:NTK720948 ODG720883:ODG720948 ONC720883:ONC720948 OWY720883:OWY720948 PGU720883:PGU720948 PQQ720883:PQQ720948 QAM720883:QAM720948 QKI720883:QKI720948 QUE720883:QUE720948 REA720883:REA720948 RNW720883:RNW720948 RXS720883:RXS720948 SHO720883:SHO720948 SRK720883:SRK720948 TBG720883:TBG720948 TLC720883:TLC720948 TUY720883:TUY720948 UEU720883:UEU720948 UOQ720883:UOQ720948 UYM720883:UYM720948 VII720883:VII720948 VSE720883:VSE720948 WCA720883:WCA720948 WLW720883:WLW720948 WVS720883:WVS720948 K786419:K786484 JG786419:JG786484 TC786419:TC786484 ACY786419:ACY786484 AMU786419:AMU786484 AWQ786419:AWQ786484 BGM786419:BGM786484 BQI786419:BQI786484 CAE786419:CAE786484 CKA786419:CKA786484 CTW786419:CTW786484 DDS786419:DDS786484 DNO786419:DNO786484 DXK786419:DXK786484 EHG786419:EHG786484 ERC786419:ERC786484 FAY786419:FAY786484 FKU786419:FKU786484 FUQ786419:FUQ786484 GEM786419:GEM786484 GOI786419:GOI786484 GYE786419:GYE786484 HIA786419:HIA786484 HRW786419:HRW786484 IBS786419:IBS786484 ILO786419:ILO786484 IVK786419:IVK786484 JFG786419:JFG786484 JPC786419:JPC786484 JYY786419:JYY786484 KIU786419:KIU786484 KSQ786419:KSQ786484 LCM786419:LCM786484 LMI786419:LMI786484 LWE786419:LWE786484 MGA786419:MGA786484 MPW786419:MPW786484 MZS786419:MZS786484 NJO786419:NJO786484 NTK786419:NTK786484 ODG786419:ODG786484 ONC786419:ONC786484 OWY786419:OWY786484 PGU786419:PGU786484 PQQ786419:PQQ786484 QAM786419:QAM786484 QKI786419:QKI786484 QUE786419:QUE786484 REA786419:REA786484 RNW786419:RNW786484 RXS786419:RXS786484 SHO786419:SHO786484 SRK786419:SRK786484 TBG786419:TBG786484 TLC786419:TLC786484 TUY786419:TUY786484 UEU786419:UEU786484 UOQ786419:UOQ786484 UYM786419:UYM786484 VII786419:VII786484 VSE786419:VSE786484 WCA786419:WCA786484 WLW786419:WLW786484 WVS786419:WVS786484 K851955:K852020 JG851955:JG852020 TC851955:TC852020 ACY851955:ACY852020 AMU851955:AMU852020 AWQ851955:AWQ852020 BGM851955:BGM852020 BQI851955:BQI852020 CAE851955:CAE852020 CKA851955:CKA852020 CTW851955:CTW852020 DDS851955:DDS852020 DNO851955:DNO852020 DXK851955:DXK852020 EHG851955:EHG852020 ERC851955:ERC852020 FAY851955:FAY852020 FKU851955:FKU852020 FUQ851955:FUQ852020 GEM851955:GEM852020 GOI851955:GOI852020 GYE851955:GYE852020 HIA851955:HIA852020 HRW851955:HRW852020 IBS851955:IBS852020 ILO851955:ILO852020 IVK851955:IVK852020 JFG851955:JFG852020 JPC851955:JPC852020 JYY851955:JYY852020 KIU851955:KIU852020 KSQ851955:KSQ852020 LCM851955:LCM852020 LMI851955:LMI852020 LWE851955:LWE852020 MGA851955:MGA852020 MPW851955:MPW852020 MZS851955:MZS852020 NJO851955:NJO852020 NTK851955:NTK852020 ODG851955:ODG852020 ONC851955:ONC852020 OWY851955:OWY852020 PGU851955:PGU852020 PQQ851955:PQQ852020 QAM851955:QAM852020 QKI851955:QKI852020 QUE851955:QUE852020 REA851955:REA852020 RNW851955:RNW852020 RXS851955:RXS852020 SHO851955:SHO852020 SRK851955:SRK852020 TBG851955:TBG852020 TLC851955:TLC852020 TUY851955:TUY852020 UEU851955:UEU852020 UOQ851955:UOQ852020 UYM851955:UYM852020 VII851955:VII852020 VSE851955:VSE852020 WCA851955:WCA852020 WLW851955:WLW852020 WVS851955:WVS852020 K917491:K917556 JG917491:JG917556 TC917491:TC917556 ACY917491:ACY917556 AMU917491:AMU917556 AWQ917491:AWQ917556 BGM917491:BGM917556 BQI917491:BQI917556 CAE917491:CAE917556 CKA917491:CKA917556 CTW917491:CTW917556 DDS917491:DDS917556 DNO917491:DNO917556 DXK917491:DXK917556 EHG917491:EHG917556 ERC917491:ERC917556 FAY917491:FAY917556 FKU917491:FKU917556 FUQ917491:FUQ917556 GEM917491:GEM917556 GOI917491:GOI917556 GYE917491:GYE917556 HIA917491:HIA917556 HRW917491:HRW917556 IBS917491:IBS917556 ILO917491:ILO917556 IVK917491:IVK917556 JFG917491:JFG917556 JPC917491:JPC917556 JYY917491:JYY917556 KIU917491:KIU917556 KSQ917491:KSQ917556 LCM917491:LCM917556 LMI917491:LMI917556 LWE917491:LWE917556 MGA917491:MGA917556 MPW917491:MPW917556 MZS917491:MZS917556 NJO917491:NJO917556 NTK917491:NTK917556 ODG917491:ODG917556 ONC917491:ONC917556 OWY917491:OWY917556 PGU917491:PGU917556 PQQ917491:PQQ917556 QAM917491:QAM917556 QKI917491:QKI917556 QUE917491:QUE917556 REA917491:REA917556 RNW917491:RNW917556 RXS917491:RXS917556 SHO917491:SHO917556 SRK917491:SRK917556 TBG917491:TBG917556 TLC917491:TLC917556 TUY917491:TUY917556 UEU917491:UEU917556 UOQ917491:UOQ917556 UYM917491:UYM917556 VII917491:VII917556 VSE917491:VSE917556 WCA917491:WCA917556 WLW917491:WLW917556 WVS917491:WVS917556 K983027:K983092 JG983027:JG983092 TC983027:TC983092 ACY983027:ACY983092 AMU983027:AMU983092 AWQ983027:AWQ983092 BGM983027:BGM983092 BQI983027:BQI983092 CAE983027:CAE983092 CKA983027:CKA983092 CTW983027:CTW983092 DDS983027:DDS983092 DNO983027:DNO983092 DXK983027:DXK983092 EHG983027:EHG983092 ERC983027:ERC983092 FAY983027:FAY983092 FKU983027:FKU983092 FUQ983027:FUQ983092 GEM983027:GEM983092 GOI983027:GOI983092 GYE983027:GYE983092 HIA983027:HIA983092 HRW983027:HRW983092 IBS983027:IBS983092 ILO983027:ILO983092 IVK983027:IVK983092 JFG983027:JFG983092 JPC983027:JPC983092 JYY983027:JYY983092 KIU983027:KIU983092 KSQ983027:KSQ983092 LCM983027:LCM983092 LMI983027:LMI983092 LWE983027:LWE983092 MGA983027:MGA983092 MPW983027:MPW983092 MZS983027:MZS983092 NJO983027:NJO983092 NTK983027:NTK983092 ODG983027:ODG983092 ONC983027:ONC983092 OWY983027:OWY983092 PGU983027:PGU983092 PQQ983027:PQQ983092 QAM983027:QAM983092 QKI983027:QKI983092 QUE983027:QUE983092 REA983027:REA983092 RNW983027:RNW983092 RXS983027:RXS983092 SHO983027:SHO983092 SRK983027:SRK983092 TBG983027:TBG983092 TLC983027:TLC983092 TUY983027:TUY983092 UEU983027:UEU983092 UOQ983027:UOQ983092 UYM983027:UYM983092 VII983027:VII983092 VSE983027:VSE983092 WCA983027:WCA983092 WLW983027:WLW983092 K428:K485 JG2:JG72 TC2:TC72 ACY2:ACY72 AMU2:AMU72 AWQ2:AWQ72 BGM2:BGM72 BQI2:BQI72 CAE2:CAE72 CKA2:CKA72 CTW2:CTW72 DDS2:DDS72 DNO2:DNO72 DXK2:DXK72 EHG2:EHG72 ERC2:ERC72 FAY2:FAY72 FKU2:FKU72 FUQ2:FUQ72 GEM2:GEM72 GOI2:GOI72 GYE2:GYE72 HIA2:HIA72 HRW2:HRW72 IBS2:IBS72 ILO2:ILO72 IVK2:IVK72 JFG2:JFG72 JPC2:JPC72 JYY2:JYY72 KIU2:KIU72 KSQ2:KSQ72 LCM2:LCM72 LMI2:LMI72 LWE2:LWE72 MGA2:MGA72 MPW2:MPW72 MZS2:MZS72 NJO2:NJO72 NTK2:NTK72 ODG2:ODG72 ONC2:ONC72 OWY2:OWY72 PGU2:PGU72 PQQ2:PQQ72 QAM2:QAM72 QKI2:QKI72 QUE2:QUE72 REA2:REA72 RNW2:RNW72 RXS2:RXS72 SHO2:SHO72 SRK2:SRK72 TBG2:TBG72 TLC2:TLC72 TUY2:TUY72 UEU2:UEU72 UOQ2:UOQ72 UYM2:UYM72 VII2:VII72 VSE2:VSE72 WCA2:WCA72 WLW2:WLW72 WVS2:WVS72" xr:uid="{BA2E1085-00E2-4F95-809C-13F4CDCA54DF}">
      <formula1>$AR$2:$AR$25</formula1>
    </dataValidation>
    <dataValidation type="list" allowBlank="1" showInputMessage="1" showErrorMessage="1" sqref="WVR983027:WVR983092 J65523:J65588 JF65523:JF65588 TB65523:TB65588 ACX65523:ACX65588 AMT65523:AMT65588 AWP65523:AWP65588 BGL65523:BGL65588 BQH65523:BQH65588 CAD65523:CAD65588 CJZ65523:CJZ65588 CTV65523:CTV65588 DDR65523:DDR65588 DNN65523:DNN65588 DXJ65523:DXJ65588 EHF65523:EHF65588 ERB65523:ERB65588 FAX65523:FAX65588 FKT65523:FKT65588 FUP65523:FUP65588 GEL65523:GEL65588 GOH65523:GOH65588 GYD65523:GYD65588 HHZ65523:HHZ65588 HRV65523:HRV65588 IBR65523:IBR65588 ILN65523:ILN65588 IVJ65523:IVJ65588 JFF65523:JFF65588 JPB65523:JPB65588 JYX65523:JYX65588 KIT65523:KIT65588 KSP65523:KSP65588 LCL65523:LCL65588 LMH65523:LMH65588 LWD65523:LWD65588 MFZ65523:MFZ65588 MPV65523:MPV65588 MZR65523:MZR65588 NJN65523:NJN65588 NTJ65523:NTJ65588 ODF65523:ODF65588 ONB65523:ONB65588 OWX65523:OWX65588 PGT65523:PGT65588 PQP65523:PQP65588 QAL65523:QAL65588 QKH65523:QKH65588 QUD65523:QUD65588 RDZ65523:RDZ65588 RNV65523:RNV65588 RXR65523:RXR65588 SHN65523:SHN65588 SRJ65523:SRJ65588 TBF65523:TBF65588 TLB65523:TLB65588 TUX65523:TUX65588 UET65523:UET65588 UOP65523:UOP65588 UYL65523:UYL65588 VIH65523:VIH65588 VSD65523:VSD65588 WBZ65523:WBZ65588 WLV65523:WLV65588 WVR65523:WVR65588 J131059:J131124 JF131059:JF131124 TB131059:TB131124 ACX131059:ACX131124 AMT131059:AMT131124 AWP131059:AWP131124 BGL131059:BGL131124 BQH131059:BQH131124 CAD131059:CAD131124 CJZ131059:CJZ131124 CTV131059:CTV131124 DDR131059:DDR131124 DNN131059:DNN131124 DXJ131059:DXJ131124 EHF131059:EHF131124 ERB131059:ERB131124 FAX131059:FAX131124 FKT131059:FKT131124 FUP131059:FUP131124 GEL131059:GEL131124 GOH131059:GOH131124 GYD131059:GYD131124 HHZ131059:HHZ131124 HRV131059:HRV131124 IBR131059:IBR131124 ILN131059:ILN131124 IVJ131059:IVJ131124 JFF131059:JFF131124 JPB131059:JPB131124 JYX131059:JYX131124 KIT131059:KIT131124 KSP131059:KSP131124 LCL131059:LCL131124 LMH131059:LMH131124 LWD131059:LWD131124 MFZ131059:MFZ131124 MPV131059:MPV131124 MZR131059:MZR131124 NJN131059:NJN131124 NTJ131059:NTJ131124 ODF131059:ODF131124 ONB131059:ONB131124 OWX131059:OWX131124 PGT131059:PGT131124 PQP131059:PQP131124 QAL131059:QAL131124 QKH131059:QKH131124 QUD131059:QUD131124 RDZ131059:RDZ131124 RNV131059:RNV131124 RXR131059:RXR131124 SHN131059:SHN131124 SRJ131059:SRJ131124 TBF131059:TBF131124 TLB131059:TLB131124 TUX131059:TUX131124 UET131059:UET131124 UOP131059:UOP131124 UYL131059:UYL131124 VIH131059:VIH131124 VSD131059:VSD131124 WBZ131059:WBZ131124 WLV131059:WLV131124 WVR131059:WVR131124 J196595:J196660 JF196595:JF196660 TB196595:TB196660 ACX196595:ACX196660 AMT196595:AMT196660 AWP196595:AWP196660 BGL196595:BGL196660 BQH196595:BQH196660 CAD196595:CAD196660 CJZ196595:CJZ196660 CTV196595:CTV196660 DDR196595:DDR196660 DNN196595:DNN196660 DXJ196595:DXJ196660 EHF196595:EHF196660 ERB196595:ERB196660 FAX196595:FAX196660 FKT196595:FKT196660 FUP196595:FUP196660 GEL196595:GEL196660 GOH196595:GOH196660 GYD196595:GYD196660 HHZ196595:HHZ196660 HRV196595:HRV196660 IBR196595:IBR196660 ILN196595:ILN196660 IVJ196595:IVJ196660 JFF196595:JFF196660 JPB196595:JPB196660 JYX196595:JYX196660 KIT196595:KIT196660 KSP196595:KSP196660 LCL196595:LCL196660 LMH196595:LMH196660 LWD196595:LWD196660 MFZ196595:MFZ196660 MPV196595:MPV196660 MZR196595:MZR196660 NJN196595:NJN196660 NTJ196595:NTJ196660 ODF196595:ODF196660 ONB196595:ONB196660 OWX196595:OWX196660 PGT196595:PGT196660 PQP196595:PQP196660 QAL196595:QAL196660 QKH196595:QKH196660 QUD196595:QUD196660 RDZ196595:RDZ196660 RNV196595:RNV196660 RXR196595:RXR196660 SHN196595:SHN196660 SRJ196595:SRJ196660 TBF196595:TBF196660 TLB196595:TLB196660 TUX196595:TUX196660 UET196595:UET196660 UOP196595:UOP196660 UYL196595:UYL196660 VIH196595:VIH196660 VSD196595:VSD196660 WBZ196595:WBZ196660 WLV196595:WLV196660 WVR196595:WVR196660 J262131:J262196 JF262131:JF262196 TB262131:TB262196 ACX262131:ACX262196 AMT262131:AMT262196 AWP262131:AWP262196 BGL262131:BGL262196 BQH262131:BQH262196 CAD262131:CAD262196 CJZ262131:CJZ262196 CTV262131:CTV262196 DDR262131:DDR262196 DNN262131:DNN262196 DXJ262131:DXJ262196 EHF262131:EHF262196 ERB262131:ERB262196 FAX262131:FAX262196 FKT262131:FKT262196 FUP262131:FUP262196 GEL262131:GEL262196 GOH262131:GOH262196 GYD262131:GYD262196 HHZ262131:HHZ262196 HRV262131:HRV262196 IBR262131:IBR262196 ILN262131:ILN262196 IVJ262131:IVJ262196 JFF262131:JFF262196 JPB262131:JPB262196 JYX262131:JYX262196 KIT262131:KIT262196 KSP262131:KSP262196 LCL262131:LCL262196 LMH262131:LMH262196 LWD262131:LWD262196 MFZ262131:MFZ262196 MPV262131:MPV262196 MZR262131:MZR262196 NJN262131:NJN262196 NTJ262131:NTJ262196 ODF262131:ODF262196 ONB262131:ONB262196 OWX262131:OWX262196 PGT262131:PGT262196 PQP262131:PQP262196 QAL262131:QAL262196 QKH262131:QKH262196 QUD262131:QUD262196 RDZ262131:RDZ262196 RNV262131:RNV262196 RXR262131:RXR262196 SHN262131:SHN262196 SRJ262131:SRJ262196 TBF262131:TBF262196 TLB262131:TLB262196 TUX262131:TUX262196 UET262131:UET262196 UOP262131:UOP262196 UYL262131:UYL262196 VIH262131:VIH262196 VSD262131:VSD262196 WBZ262131:WBZ262196 WLV262131:WLV262196 WVR262131:WVR262196 J327667:J327732 JF327667:JF327732 TB327667:TB327732 ACX327667:ACX327732 AMT327667:AMT327732 AWP327667:AWP327732 BGL327667:BGL327732 BQH327667:BQH327732 CAD327667:CAD327732 CJZ327667:CJZ327732 CTV327667:CTV327732 DDR327667:DDR327732 DNN327667:DNN327732 DXJ327667:DXJ327732 EHF327667:EHF327732 ERB327667:ERB327732 FAX327667:FAX327732 FKT327667:FKT327732 FUP327667:FUP327732 GEL327667:GEL327732 GOH327667:GOH327732 GYD327667:GYD327732 HHZ327667:HHZ327732 HRV327667:HRV327732 IBR327667:IBR327732 ILN327667:ILN327732 IVJ327667:IVJ327732 JFF327667:JFF327732 JPB327667:JPB327732 JYX327667:JYX327732 KIT327667:KIT327732 KSP327667:KSP327732 LCL327667:LCL327732 LMH327667:LMH327732 LWD327667:LWD327732 MFZ327667:MFZ327732 MPV327667:MPV327732 MZR327667:MZR327732 NJN327667:NJN327732 NTJ327667:NTJ327732 ODF327667:ODF327732 ONB327667:ONB327732 OWX327667:OWX327732 PGT327667:PGT327732 PQP327667:PQP327732 QAL327667:QAL327732 QKH327667:QKH327732 QUD327667:QUD327732 RDZ327667:RDZ327732 RNV327667:RNV327732 RXR327667:RXR327732 SHN327667:SHN327732 SRJ327667:SRJ327732 TBF327667:TBF327732 TLB327667:TLB327732 TUX327667:TUX327732 UET327667:UET327732 UOP327667:UOP327732 UYL327667:UYL327732 VIH327667:VIH327732 VSD327667:VSD327732 WBZ327667:WBZ327732 WLV327667:WLV327732 WVR327667:WVR327732 J393203:J393268 JF393203:JF393268 TB393203:TB393268 ACX393203:ACX393268 AMT393203:AMT393268 AWP393203:AWP393268 BGL393203:BGL393268 BQH393203:BQH393268 CAD393203:CAD393268 CJZ393203:CJZ393268 CTV393203:CTV393268 DDR393203:DDR393268 DNN393203:DNN393268 DXJ393203:DXJ393268 EHF393203:EHF393268 ERB393203:ERB393268 FAX393203:FAX393268 FKT393203:FKT393268 FUP393203:FUP393268 GEL393203:GEL393268 GOH393203:GOH393268 GYD393203:GYD393268 HHZ393203:HHZ393268 HRV393203:HRV393268 IBR393203:IBR393268 ILN393203:ILN393268 IVJ393203:IVJ393268 JFF393203:JFF393268 JPB393203:JPB393268 JYX393203:JYX393268 KIT393203:KIT393268 KSP393203:KSP393268 LCL393203:LCL393268 LMH393203:LMH393268 LWD393203:LWD393268 MFZ393203:MFZ393268 MPV393203:MPV393268 MZR393203:MZR393268 NJN393203:NJN393268 NTJ393203:NTJ393268 ODF393203:ODF393268 ONB393203:ONB393268 OWX393203:OWX393268 PGT393203:PGT393268 PQP393203:PQP393268 QAL393203:QAL393268 QKH393203:QKH393268 QUD393203:QUD393268 RDZ393203:RDZ393268 RNV393203:RNV393268 RXR393203:RXR393268 SHN393203:SHN393268 SRJ393203:SRJ393268 TBF393203:TBF393268 TLB393203:TLB393268 TUX393203:TUX393268 UET393203:UET393268 UOP393203:UOP393268 UYL393203:UYL393268 VIH393203:VIH393268 VSD393203:VSD393268 WBZ393203:WBZ393268 WLV393203:WLV393268 WVR393203:WVR393268 J458739:J458804 JF458739:JF458804 TB458739:TB458804 ACX458739:ACX458804 AMT458739:AMT458804 AWP458739:AWP458804 BGL458739:BGL458804 BQH458739:BQH458804 CAD458739:CAD458804 CJZ458739:CJZ458804 CTV458739:CTV458804 DDR458739:DDR458804 DNN458739:DNN458804 DXJ458739:DXJ458804 EHF458739:EHF458804 ERB458739:ERB458804 FAX458739:FAX458804 FKT458739:FKT458804 FUP458739:FUP458804 GEL458739:GEL458804 GOH458739:GOH458804 GYD458739:GYD458804 HHZ458739:HHZ458804 HRV458739:HRV458804 IBR458739:IBR458804 ILN458739:ILN458804 IVJ458739:IVJ458804 JFF458739:JFF458804 JPB458739:JPB458804 JYX458739:JYX458804 KIT458739:KIT458804 KSP458739:KSP458804 LCL458739:LCL458804 LMH458739:LMH458804 LWD458739:LWD458804 MFZ458739:MFZ458804 MPV458739:MPV458804 MZR458739:MZR458804 NJN458739:NJN458804 NTJ458739:NTJ458804 ODF458739:ODF458804 ONB458739:ONB458804 OWX458739:OWX458804 PGT458739:PGT458804 PQP458739:PQP458804 QAL458739:QAL458804 QKH458739:QKH458804 QUD458739:QUD458804 RDZ458739:RDZ458804 RNV458739:RNV458804 RXR458739:RXR458804 SHN458739:SHN458804 SRJ458739:SRJ458804 TBF458739:TBF458804 TLB458739:TLB458804 TUX458739:TUX458804 UET458739:UET458804 UOP458739:UOP458804 UYL458739:UYL458804 VIH458739:VIH458804 VSD458739:VSD458804 WBZ458739:WBZ458804 WLV458739:WLV458804 WVR458739:WVR458804 J524275:J524340 JF524275:JF524340 TB524275:TB524340 ACX524275:ACX524340 AMT524275:AMT524340 AWP524275:AWP524340 BGL524275:BGL524340 BQH524275:BQH524340 CAD524275:CAD524340 CJZ524275:CJZ524340 CTV524275:CTV524340 DDR524275:DDR524340 DNN524275:DNN524340 DXJ524275:DXJ524340 EHF524275:EHF524340 ERB524275:ERB524340 FAX524275:FAX524340 FKT524275:FKT524340 FUP524275:FUP524340 GEL524275:GEL524340 GOH524275:GOH524340 GYD524275:GYD524340 HHZ524275:HHZ524340 HRV524275:HRV524340 IBR524275:IBR524340 ILN524275:ILN524340 IVJ524275:IVJ524340 JFF524275:JFF524340 JPB524275:JPB524340 JYX524275:JYX524340 KIT524275:KIT524340 KSP524275:KSP524340 LCL524275:LCL524340 LMH524275:LMH524340 LWD524275:LWD524340 MFZ524275:MFZ524340 MPV524275:MPV524340 MZR524275:MZR524340 NJN524275:NJN524340 NTJ524275:NTJ524340 ODF524275:ODF524340 ONB524275:ONB524340 OWX524275:OWX524340 PGT524275:PGT524340 PQP524275:PQP524340 QAL524275:QAL524340 QKH524275:QKH524340 QUD524275:QUD524340 RDZ524275:RDZ524340 RNV524275:RNV524340 RXR524275:RXR524340 SHN524275:SHN524340 SRJ524275:SRJ524340 TBF524275:TBF524340 TLB524275:TLB524340 TUX524275:TUX524340 UET524275:UET524340 UOP524275:UOP524340 UYL524275:UYL524340 VIH524275:VIH524340 VSD524275:VSD524340 WBZ524275:WBZ524340 WLV524275:WLV524340 WVR524275:WVR524340 J589811:J589876 JF589811:JF589876 TB589811:TB589876 ACX589811:ACX589876 AMT589811:AMT589876 AWP589811:AWP589876 BGL589811:BGL589876 BQH589811:BQH589876 CAD589811:CAD589876 CJZ589811:CJZ589876 CTV589811:CTV589876 DDR589811:DDR589876 DNN589811:DNN589876 DXJ589811:DXJ589876 EHF589811:EHF589876 ERB589811:ERB589876 FAX589811:FAX589876 FKT589811:FKT589876 FUP589811:FUP589876 GEL589811:GEL589876 GOH589811:GOH589876 GYD589811:GYD589876 HHZ589811:HHZ589876 HRV589811:HRV589876 IBR589811:IBR589876 ILN589811:ILN589876 IVJ589811:IVJ589876 JFF589811:JFF589876 JPB589811:JPB589876 JYX589811:JYX589876 KIT589811:KIT589876 KSP589811:KSP589876 LCL589811:LCL589876 LMH589811:LMH589876 LWD589811:LWD589876 MFZ589811:MFZ589876 MPV589811:MPV589876 MZR589811:MZR589876 NJN589811:NJN589876 NTJ589811:NTJ589876 ODF589811:ODF589876 ONB589811:ONB589876 OWX589811:OWX589876 PGT589811:PGT589876 PQP589811:PQP589876 QAL589811:QAL589876 QKH589811:QKH589876 QUD589811:QUD589876 RDZ589811:RDZ589876 RNV589811:RNV589876 RXR589811:RXR589876 SHN589811:SHN589876 SRJ589811:SRJ589876 TBF589811:TBF589876 TLB589811:TLB589876 TUX589811:TUX589876 UET589811:UET589876 UOP589811:UOP589876 UYL589811:UYL589876 VIH589811:VIH589876 VSD589811:VSD589876 WBZ589811:WBZ589876 WLV589811:WLV589876 WVR589811:WVR589876 J655347:J655412 JF655347:JF655412 TB655347:TB655412 ACX655347:ACX655412 AMT655347:AMT655412 AWP655347:AWP655412 BGL655347:BGL655412 BQH655347:BQH655412 CAD655347:CAD655412 CJZ655347:CJZ655412 CTV655347:CTV655412 DDR655347:DDR655412 DNN655347:DNN655412 DXJ655347:DXJ655412 EHF655347:EHF655412 ERB655347:ERB655412 FAX655347:FAX655412 FKT655347:FKT655412 FUP655347:FUP655412 GEL655347:GEL655412 GOH655347:GOH655412 GYD655347:GYD655412 HHZ655347:HHZ655412 HRV655347:HRV655412 IBR655347:IBR655412 ILN655347:ILN655412 IVJ655347:IVJ655412 JFF655347:JFF655412 JPB655347:JPB655412 JYX655347:JYX655412 KIT655347:KIT655412 KSP655347:KSP655412 LCL655347:LCL655412 LMH655347:LMH655412 LWD655347:LWD655412 MFZ655347:MFZ655412 MPV655347:MPV655412 MZR655347:MZR655412 NJN655347:NJN655412 NTJ655347:NTJ655412 ODF655347:ODF655412 ONB655347:ONB655412 OWX655347:OWX655412 PGT655347:PGT655412 PQP655347:PQP655412 QAL655347:QAL655412 QKH655347:QKH655412 QUD655347:QUD655412 RDZ655347:RDZ655412 RNV655347:RNV655412 RXR655347:RXR655412 SHN655347:SHN655412 SRJ655347:SRJ655412 TBF655347:TBF655412 TLB655347:TLB655412 TUX655347:TUX655412 UET655347:UET655412 UOP655347:UOP655412 UYL655347:UYL655412 VIH655347:VIH655412 VSD655347:VSD655412 WBZ655347:WBZ655412 WLV655347:WLV655412 WVR655347:WVR655412 J720883:J720948 JF720883:JF720948 TB720883:TB720948 ACX720883:ACX720948 AMT720883:AMT720948 AWP720883:AWP720948 BGL720883:BGL720948 BQH720883:BQH720948 CAD720883:CAD720948 CJZ720883:CJZ720948 CTV720883:CTV720948 DDR720883:DDR720948 DNN720883:DNN720948 DXJ720883:DXJ720948 EHF720883:EHF720948 ERB720883:ERB720948 FAX720883:FAX720948 FKT720883:FKT720948 FUP720883:FUP720948 GEL720883:GEL720948 GOH720883:GOH720948 GYD720883:GYD720948 HHZ720883:HHZ720948 HRV720883:HRV720948 IBR720883:IBR720948 ILN720883:ILN720948 IVJ720883:IVJ720948 JFF720883:JFF720948 JPB720883:JPB720948 JYX720883:JYX720948 KIT720883:KIT720948 KSP720883:KSP720948 LCL720883:LCL720948 LMH720883:LMH720948 LWD720883:LWD720948 MFZ720883:MFZ720948 MPV720883:MPV720948 MZR720883:MZR720948 NJN720883:NJN720948 NTJ720883:NTJ720948 ODF720883:ODF720948 ONB720883:ONB720948 OWX720883:OWX720948 PGT720883:PGT720948 PQP720883:PQP720948 QAL720883:QAL720948 QKH720883:QKH720948 QUD720883:QUD720948 RDZ720883:RDZ720948 RNV720883:RNV720948 RXR720883:RXR720948 SHN720883:SHN720948 SRJ720883:SRJ720948 TBF720883:TBF720948 TLB720883:TLB720948 TUX720883:TUX720948 UET720883:UET720948 UOP720883:UOP720948 UYL720883:UYL720948 VIH720883:VIH720948 VSD720883:VSD720948 WBZ720883:WBZ720948 WLV720883:WLV720948 WVR720883:WVR720948 J786419:J786484 JF786419:JF786484 TB786419:TB786484 ACX786419:ACX786484 AMT786419:AMT786484 AWP786419:AWP786484 BGL786419:BGL786484 BQH786419:BQH786484 CAD786419:CAD786484 CJZ786419:CJZ786484 CTV786419:CTV786484 DDR786419:DDR786484 DNN786419:DNN786484 DXJ786419:DXJ786484 EHF786419:EHF786484 ERB786419:ERB786484 FAX786419:FAX786484 FKT786419:FKT786484 FUP786419:FUP786484 GEL786419:GEL786484 GOH786419:GOH786484 GYD786419:GYD786484 HHZ786419:HHZ786484 HRV786419:HRV786484 IBR786419:IBR786484 ILN786419:ILN786484 IVJ786419:IVJ786484 JFF786419:JFF786484 JPB786419:JPB786484 JYX786419:JYX786484 KIT786419:KIT786484 KSP786419:KSP786484 LCL786419:LCL786484 LMH786419:LMH786484 LWD786419:LWD786484 MFZ786419:MFZ786484 MPV786419:MPV786484 MZR786419:MZR786484 NJN786419:NJN786484 NTJ786419:NTJ786484 ODF786419:ODF786484 ONB786419:ONB786484 OWX786419:OWX786484 PGT786419:PGT786484 PQP786419:PQP786484 QAL786419:QAL786484 QKH786419:QKH786484 QUD786419:QUD786484 RDZ786419:RDZ786484 RNV786419:RNV786484 RXR786419:RXR786484 SHN786419:SHN786484 SRJ786419:SRJ786484 TBF786419:TBF786484 TLB786419:TLB786484 TUX786419:TUX786484 UET786419:UET786484 UOP786419:UOP786484 UYL786419:UYL786484 VIH786419:VIH786484 VSD786419:VSD786484 WBZ786419:WBZ786484 WLV786419:WLV786484 WVR786419:WVR786484 J851955:J852020 JF851955:JF852020 TB851955:TB852020 ACX851955:ACX852020 AMT851955:AMT852020 AWP851955:AWP852020 BGL851955:BGL852020 BQH851955:BQH852020 CAD851955:CAD852020 CJZ851955:CJZ852020 CTV851955:CTV852020 DDR851955:DDR852020 DNN851955:DNN852020 DXJ851955:DXJ852020 EHF851955:EHF852020 ERB851955:ERB852020 FAX851955:FAX852020 FKT851955:FKT852020 FUP851955:FUP852020 GEL851955:GEL852020 GOH851955:GOH852020 GYD851955:GYD852020 HHZ851955:HHZ852020 HRV851955:HRV852020 IBR851955:IBR852020 ILN851955:ILN852020 IVJ851955:IVJ852020 JFF851955:JFF852020 JPB851955:JPB852020 JYX851955:JYX852020 KIT851955:KIT852020 KSP851955:KSP852020 LCL851955:LCL852020 LMH851955:LMH852020 LWD851955:LWD852020 MFZ851955:MFZ852020 MPV851955:MPV852020 MZR851955:MZR852020 NJN851955:NJN852020 NTJ851955:NTJ852020 ODF851955:ODF852020 ONB851955:ONB852020 OWX851955:OWX852020 PGT851955:PGT852020 PQP851955:PQP852020 QAL851955:QAL852020 QKH851955:QKH852020 QUD851955:QUD852020 RDZ851955:RDZ852020 RNV851955:RNV852020 RXR851955:RXR852020 SHN851955:SHN852020 SRJ851955:SRJ852020 TBF851955:TBF852020 TLB851955:TLB852020 TUX851955:TUX852020 UET851955:UET852020 UOP851955:UOP852020 UYL851955:UYL852020 VIH851955:VIH852020 VSD851955:VSD852020 WBZ851955:WBZ852020 WLV851955:WLV852020 WVR851955:WVR852020 J917491:J917556 JF917491:JF917556 TB917491:TB917556 ACX917491:ACX917556 AMT917491:AMT917556 AWP917491:AWP917556 BGL917491:BGL917556 BQH917491:BQH917556 CAD917491:CAD917556 CJZ917491:CJZ917556 CTV917491:CTV917556 DDR917491:DDR917556 DNN917491:DNN917556 DXJ917491:DXJ917556 EHF917491:EHF917556 ERB917491:ERB917556 FAX917491:FAX917556 FKT917491:FKT917556 FUP917491:FUP917556 GEL917491:GEL917556 GOH917491:GOH917556 GYD917491:GYD917556 HHZ917491:HHZ917556 HRV917491:HRV917556 IBR917491:IBR917556 ILN917491:ILN917556 IVJ917491:IVJ917556 JFF917491:JFF917556 JPB917491:JPB917556 JYX917491:JYX917556 KIT917491:KIT917556 KSP917491:KSP917556 LCL917491:LCL917556 LMH917491:LMH917556 LWD917491:LWD917556 MFZ917491:MFZ917556 MPV917491:MPV917556 MZR917491:MZR917556 NJN917491:NJN917556 NTJ917491:NTJ917556 ODF917491:ODF917556 ONB917491:ONB917556 OWX917491:OWX917556 PGT917491:PGT917556 PQP917491:PQP917556 QAL917491:QAL917556 QKH917491:QKH917556 QUD917491:QUD917556 RDZ917491:RDZ917556 RNV917491:RNV917556 RXR917491:RXR917556 SHN917491:SHN917556 SRJ917491:SRJ917556 TBF917491:TBF917556 TLB917491:TLB917556 TUX917491:TUX917556 UET917491:UET917556 UOP917491:UOP917556 UYL917491:UYL917556 VIH917491:VIH917556 VSD917491:VSD917556 WBZ917491:WBZ917556 WLV917491:WLV917556 WVR917491:WVR917556 J983027:J983092 JF983027:JF983092 TB983027:TB983092 ACX983027:ACX983092 AMT983027:AMT983092 AWP983027:AWP983092 BGL983027:BGL983092 BQH983027:BQH983092 CAD983027:CAD983092 CJZ983027:CJZ983092 CTV983027:CTV983092 DDR983027:DDR983092 DNN983027:DNN983092 DXJ983027:DXJ983092 EHF983027:EHF983092 ERB983027:ERB983092 FAX983027:FAX983092 FKT983027:FKT983092 FUP983027:FUP983092 GEL983027:GEL983092 GOH983027:GOH983092 GYD983027:GYD983092 HHZ983027:HHZ983092 HRV983027:HRV983092 IBR983027:IBR983092 ILN983027:ILN983092 IVJ983027:IVJ983092 JFF983027:JFF983092 JPB983027:JPB983092 JYX983027:JYX983092 KIT983027:KIT983092 KSP983027:KSP983092 LCL983027:LCL983092 LMH983027:LMH983092 LWD983027:LWD983092 MFZ983027:MFZ983092 MPV983027:MPV983092 MZR983027:MZR983092 NJN983027:NJN983092 NTJ983027:NTJ983092 ODF983027:ODF983092 ONB983027:ONB983092 OWX983027:OWX983092 PGT983027:PGT983092 PQP983027:PQP983092 QAL983027:QAL983092 QKH983027:QKH983092 QUD983027:QUD983092 RDZ983027:RDZ983092 RNV983027:RNV983092 RXR983027:RXR983092 SHN983027:SHN983092 SRJ983027:SRJ983092 TBF983027:TBF983092 TLB983027:TLB983092 TUX983027:TUX983092 UET983027:UET983092 UOP983027:UOP983092 UYL983027:UYL983092 VIH983027:VIH983092 VSD983027:VSD983092 WBZ983027:WBZ983092 WLV983027:WLV983092 J73:J485 WVR2:WVR72 JF2:JF72 TB2:TB72 ACX2:ACX72 AMT2:AMT72 AWP2:AWP72 BGL2:BGL72 BQH2:BQH72 CAD2:CAD72 CJZ2:CJZ72 CTV2:CTV72 DDR2:DDR72 DNN2:DNN72 DXJ2:DXJ72 EHF2:EHF72 ERB2:ERB72 FAX2:FAX72 FKT2:FKT72 FUP2:FUP72 GEL2:GEL72 GOH2:GOH72 GYD2:GYD72 HHZ2:HHZ72 HRV2:HRV72 IBR2:IBR72 ILN2:ILN72 IVJ2:IVJ72 JFF2:JFF72 JPB2:JPB72 JYX2:JYX72 KIT2:KIT72 KSP2:KSP72 LCL2:LCL72 LMH2:LMH72 LWD2:LWD72 MFZ2:MFZ72 MPV2:MPV72 MZR2:MZR72 NJN2:NJN72 NTJ2:NTJ72 ODF2:ODF72 ONB2:ONB72 OWX2:OWX72 PGT2:PGT72 PQP2:PQP72 QAL2:QAL72 QKH2:QKH72 QUD2:QUD72 RDZ2:RDZ72 RNV2:RNV72 RXR2:RXR72 SHN2:SHN72 SRJ2:SRJ72 TBF2:TBF72 TLB2:TLB72 TUX2:TUX72 UET2:UET72 UOP2:UOP72 UYL2:UYL72 VIH2:VIH72 VSD2:VSD72 WBZ2:WBZ72 WLV2:WLV72" xr:uid="{E99A80F3-68EB-40C5-9174-AFEACE232532}">
      <formula1>$AP$2:$AP$27</formula1>
    </dataValidation>
    <dataValidation type="list" allowBlank="1" showInputMessage="1" showErrorMessage="1" sqref="WVP983027:WVP983092 H65523:H65588 JD65523:JD65588 SZ65523:SZ65588 ACV65523:ACV65588 AMR65523:AMR65588 AWN65523:AWN65588 BGJ65523:BGJ65588 BQF65523:BQF65588 CAB65523:CAB65588 CJX65523:CJX65588 CTT65523:CTT65588 DDP65523:DDP65588 DNL65523:DNL65588 DXH65523:DXH65588 EHD65523:EHD65588 EQZ65523:EQZ65588 FAV65523:FAV65588 FKR65523:FKR65588 FUN65523:FUN65588 GEJ65523:GEJ65588 GOF65523:GOF65588 GYB65523:GYB65588 HHX65523:HHX65588 HRT65523:HRT65588 IBP65523:IBP65588 ILL65523:ILL65588 IVH65523:IVH65588 JFD65523:JFD65588 JOZ65523:JOZ65588 JYV65523:JYV65588 KIR65523:KIR65588 KSN65523:KSN65588 LCJ65523:LCJ65588 LMF65523:LMF65588 LWB65523:LWB65588 MFX65523:MFX65588 MPT65523:MPT65588 MZP65523:MZP65588 NJL65523:NJL65588 NTH65523:NTH65588 ODD65523:ODD65588 OMZ65523:OMZ65588 OWV65523:OWV65588 PGR65523:PGR65588 PQN65523:PQN65588 QAJ65523:QAJ65588 QKF65523:QKF65588 QUB65523:QUB65588 RDX65523:RDX65588 RNT65523:RNT65588 RXP65523:RXP65588 SHL65523:SHL65588 SRH65523:SRH65588 TBD65523:TBD65588 TKZ65523:TKZ65588 TUV65523:TUV65588 UER65523:UER65588 UON65523:UON65588 UYJ65523:UYJ65588 VIF65523:VIF65588 VSB65523:VSB65588 WBX65523:WBX65588 WLT65523:WLT65588 WVP65523:WVP65588 H131059:H131124 JD131059:JD131124 SZ131059:SZ131124 ACV131059:ACV131124 AMR131059:AMR131124 AWN131059:AWN131124 BGJ131059:BGJ131124 BQF131059:BQF131124 CAB131059:CAB131124 CJX131059:CJX131124 CTT131059:CTT131124 DDP131059:DDP131124 DNL131059:DNL131124 DXH131059:DXH131124 EHD131059:EHD131124 EQZ131059:EQZ131124 FAV131059:FAV131124 FKR131059:FKR131124 FUN131059:FUN131124 GEJ131059:GEJ131124 GOF131059:GOF131124 GYB131059:GYB131124 HHX131059:HHX131124 HRT131059:HRT131124 IBP131059:IBP131124 ILL131059:ILL131124 IVH131059:IVH131124 JFD131059:JFD131124 JOZ131059:JOZ131124 JYV131059:JYV131124 KIR131059:KIR131124 KSN131059:KSN131124 LCJ131059:LCJ131124 LMF131059:LMF131124 LWB131059:LWB131124 MFX131059:MFX131124 MPT131059:MPT131124 MZP131059:MZP131124 NJL131059:NJL131124 NTH131059:NTH131124 ODD131059:ODD131124 OMZ131059:OMZ131124 OWV131059:OWV131124 PGR131059:PGR131124 PQN131059:PQN131124 QAJ131059:QAJ131124 QKF131059:QKF131124 QUB131059:QUB131124 RDX131059:RDX131124 RNT131059:RNT131124 RXP131059:RXP131124 SHL131059:SHL131124 SRH131059:SRH131124 TBD131059:TBD131124 TKZ131059:TKZ131124 TUV131059:TUV131124 UER131059:UER131124 UON131059:UON131124 UYJ131059:UYJ131124 VIF131059:VIF131124 VSB131059:VSB131124 WBX131059:WBX131124 WLT131059:WLT131124 WVP131059:WVP131124 H196595:H196660 JD196595:JD196660 SZ196595:SZ196660 ACV196595:ACV196660 AMR196595:AMR196660 AWN196595:AWN196660 BGJ196595:BGJ196660 BQF196595:BQF196660 CAB196595:CAB196660 CJX196595:CJX196660 CTT196595:CTT196660 DDP196595:DDP196660 DNL196595:DNL196660 DXH196595:DXH196660 EHD196595:EHD196660 EQZ196595:EQZ196660 FAV196595:FAV196660 FKR196595:FKR196660 FUN196595:FUN196660 GEJ196595:GEJ196660 GOF196595:GOF196660 GYB196595:GYB196660 HHX196595:HHX196660 HRT196595:HRT196660 IBP196595:IBP196660 ILL196595:ILL196660 IVH196595:IVH196660 JFD196595:JFD196660 JOZ196595:JOZ196660 JYV196595:JYV196660 KIR196595:KIR196660 KSN196595:KSN196660 LCJ196595:LCJ196660 LMF196595:LMF196660 LWB196595:LWB196660 MFX196595:MFX196660 MPT196595:MPT196660 MZP196595:MZP196660 NJL196595:NJL196660 NTH196595:NTH196660 ODD196595:ODD196660 OMZ196595:OMZ196660 OWV196595:OWV196660 PGR196595:PGR196660 PQN196595:PQN196660 QAJ196595:QAJ196660 QKF196595:QKF196660 QUB196595:QUB196660 RDX196595:RDX196660 RNT196595:RNT196660 RXP196595:RXP196660 SHL196595:SHL196660 SRH196595:SRH196660 TBD196595:TBD196660 TKZ196595:TKZ196660 TUV196595:TUV196660 UER196595:UER196660 UON196595:UON196660 UYJ196595:UYJ196660 VIF196595:VIF196660 VSB196595:VSB196660 WBX196595:WBX196660 WLT196595:WLT196660 WVP196595:WVP196660 H262131:H262196 JD262131:JD262196 SZ262131:SZ262196 ACV262131:ACV262196 AMR262131:AMR262196 AWN262131:AWN262196 BGJ262131:BGJ262196 BQF262131:BQF262196 CAB262131:CAB262196 CJX262131:CJX262196 CTT262131:CTT262196 DDP262131:DDP262196 DNL262131:DNL262196 DXH262131:DXH262196 EHD262131:EHD262196 EQZ262131:EQZ262196 FAV262131:FAV262196 FKR262131:FKR262196 FUN262131:FUN262196 GEJ262131:GEJ262196 GOF262131:GOF262196 GYB262131:GYB262196 HHX262131:HHX262196 HRT262131:HRT262196 IBP262131:IBP262196 ILL262131:ILL262196 IVH262131:IVH262196 JFD262131:JFD262196 JOZ262131:JOZ262196 JYV262131:JYV262196 KIR262131:KIR262196 KSN262131:KSN262196 LCJ262131:LCJ262196 LMF262131:LMF262196 LWB262131:LWB262196 MFX262131:MFX262196 MPT262131:MPT262196 MZP262131:MZP262196 NJL262131:NJL262196 NTH262131:NTH262196 ODD262131:ODD262196 OMZ262131:OMZ262196 OWV262131:OWV262196 PGR262131:PGR262196 PQN262131:PQN262196 QAJ262131:QAJ262196 QKF262131:QKF262196 QUB262131:QUB262196 RDX262131:RDX262196 RNT262131:RNT262196 RXP262131:RXP262196 SHL262131:SHL262196 SRH262131:SRH262196 TBD262131:TBD262196 TKZ262131:TKZ262196 TUV262131:TUV262196 UER262131:UER262196 UON262131:UON262196 UYJ262131:UYJ262196 VIF262131:VIF262196 VSB262131:VSB262196 WBX262131:WBX262196 WLT262131:WLT262196 WVP262131:WVP262196 H327667:H327732 JD327667:JD327732 SZ327667:SZ327732 ACV327667:ACV327732 AMR327667:AMR327732 AWN327667:AWN327732 BGJ327667:BGJ327732 BQF327667:BQF327732 CAB327667:CAB327732 CJX327667:CJX327732 CTT327667:CTT327732 DDP327667:DDP327732 DNL327667:DNL327732 DXH327667:DXH327732 EHD327667:EHD327732 EQZ327667:EQZ327732 FAV327667:FAV327732 FKR327667:FKR327732 FUN327667:FUN327732 GEJ327667:GEJ327732 GOF327667:GOF327732 GYB327667:GYB327732 HHX327667:HHX327732 HRT327667:HRT327732 IBP327667:IBP327732 ILL327667:ILL327732 IVH327667:IVH327732 JFD327667:JFD327732 JOZ327667:JOZ327732 JYV327667:JYV327732 KIR327667:KIR327732 KSN327667:KSN327732 LCJ327667:LCJ327732 LMF327667:LMF327732 LWB327667:LWB327732 MFX327667:MFX327732 MPT327667:MPT327732 MZP327667:MZP327732 NJL327667:NJL327732 NTH327667:NTH327732 ODD327667:ODD327732 OMZ327667:OMZ327732 OWV327667:OWV327732 PGR327667:PGR327732 PQN327667:PQN327732 QAJ327667:QAJ327732 QKF327667:QKF327732 QUB327667:QUB327732 RDX327667:RDX327732 RNT327667:RNT327732 RXP327667:RXP327732 SHL327667:SHL327732 SRH327667:SRH327732 TBD327667:TBD327732 TKZ327667:TKZ327732 TUV327667:TUV327732 UER327667:UER327732 UON327667:UON327732 UYJ327667:UYJ327732 VIF327667:VIF327732 VSB327667:VSB327732 WBX327667:WBX327732 WLT327667:WLT327732 WVP327667:WVP327732 H393203:H393268 JD393203:JD393268 SZ393203:SZ393268 ACV393203:ACV393268 AMR393203:AMR393268 AWN393203:AWN393268 BGJ393203:BGJ393268 BQF393203:BQF393268 CAB393203:CAB393268 CJX393203:CJX393268 CTT393203:CTT393268 DDP393203:DDP393268 DNL393203:DNL393268 DXH393203:DXH393268 EHD393203:EHD393268 EQZ393203:EQZ393268 FAV393203:FAV393268 FKR393203:FKR393268 FUN393203:FUN393268 GEJ393203:GEJ393268 GOF393203:GOF393268 GYB393203:GYB393268 HHX393203:HHX393268 HRT393203:HRT393268 IBP393203:IBP393268 ILL393203:ILL393268 IVH393203:IVH393268 JFD393203:JFD393268 JOZ393203:JOZ393268 JYV393203:JYV393268 KIR393203:KIR393268 KSN393203:KSN393268 LCJ393203:LCJ393268 LMF393203:LMF393268 LWB393203:LWB393268 MFX393203:MFX393268 MPT393203:MPT393268 MZP393203:MZP393268 NJL393203:NJL393268 NTH393203:NTH393268 ODD393203:ODD393268 OMZ393203:OMZ393268 OWV393203:OWV393268 PGR393203:PGR393268 PQN393203:PQN393268 QAJ393203:QAJ393268 QKF393203:QKF393268 QUB393203:QUB393268 RDX393203:RDX393268 RNT393203:RNT393268 RXP393203:RXP393268 SHL393203:SHL393268 SRH393203:SRH393268 TBD393203:TBD393268 TKZ393203:TKZ393268 TUV393203:TUV393268 UER393203:UER393268 UON393203:UON393268 UYJ393203:UYJ393268 VIF393203:VIF393268 VSB393203:VSB393268 WBX393203:WBX393268 WLT393203:WLT393268 WVP393203:WVP393268 H458739:H458804 JD458739:JD458804 SZ458739:SZ458804 ACV458739:ACV458804 AMR458739:AMR458804 AWN458739:AWN458804 BGJ458739:BGJ458804 BQF458739:BQF458804 CAB458739:CAB458804 CJX458739:CJX458804 CTT458739:CTT458804 DDP458739:DDP458804 DNL458739:DNL458804 DXH458739:DXH458804 EHD458739:EHD458804 EQZ458739:EQZ458804 FAV458739:FAV458804 FKR458739:FKR458804 FUN458739:FUN458804 GEJ458739:GEJ458804 GOF458739:GOF458804 GYB458739:GYB458804 HHX458739:HHX458804 HRT458739:HRT458804 IBP458739:IBP458804 ILL458739:ILL458804 IVH458739:IVH458804 JFD458739:JFD458804 JOZ458739:JOZ458804 JYV458739:JYV458804 KIR458739:KIR458804 KSN458739:KSN458804 LCJ458739:LCJ458804 LMF458739:LMF458804 LWB458739:LWB458804 MFX458739:MFX458804 MPT458739:MPT458804 MZP458739:MZP458804 NJL458739:NJL458804 NTH458739:NTH458804 ODD458739:ODD458804 OMZ458739:OMZ458804 OWV458739:OWV458804 PGR458739:PGR458804 PQN458739:PQN458804 QAJ458739:QAJ458804 QKF458739:QKF458804 QUB458739:QUB458804 RDX458739:RDX458804 RNT458739:RNT458804 RXP458739:RXP458804 SHL458739:SHL458804 SRH458739:SRH458804 TBD458739:TBD458804 TKZ458739:TKZ458804 TUV458739:TUV458804 UER458739:UER458804 UON458739:UON458804 UYJ458739:UYJ458804 VIF458739:VIF458804 VSB458739:VSB458804 WBX458739:WBX458804 WLT458739:WLT458804 WVP458739:WVP458804 H524275:H524340 JD524275:JD524340 SZ524275:SZ524340 ACV524275:ACV524340 AMR524275:AMR524340 AWN524275:AWN524340 BGJ524275:BGJ524340 BQF524275:BQF524340 CAB524275:CAB524340 CJX524275:CJX524340 CTT524275:CTT524340 DDP524275:DDP524340 DNL524275:DNL524340 DXH524275:DXH524340 EHD524275:EHD524340 EQZ524275:EQZ524340 FAV524275:FAV524340 FKR524275:FKR524340 FUN524275:FUN524340 GEJ524275:GEJ524340 GOF524275:GOF524340 GYB524275:GYB524340 HHX524275:HHX524340 HRT524275:HRT524340 IBP524275:IBP524340 ILL524275:ILL524340 IVH524275:IVH524340 JFD524275:JFD524340 JOZ524275:JOZ524340 JYV524275:JYV524340 KIR524275:KIR524340 KSN524275:KSN524340 LCJ524275:LCJ524340 LMF524275:LMF524340 LWB524275:LWB524340 MFX524275:MFX524340 MPT524275:MPT524340 MZP524275:MZP524340 NJL524275:NJL524340 NTH524275:NTH524340 ODD524275:ODD524340 OMZ524275:OMZ524340 OWV524275:OWV524340 PGR524275:PGR524340 PQN524275:PQN524340 QAJ524275:QAJ524340 QKF524275:QKF524340 QUB524275:QUB524340 RDX524275:RDX524340 RNT524275:RNT524340 RXP524275:RXP524340 SHL524275:SHL524340 SRH524275:SRH524340 TBD524275:TBD524340 TKZ524275:TKZ524340 TUV524275:TUV524340 UER524275:UER524340 UON524275:UON524340 UYJ524275:UYJ524340 VIF524275:VIF524340 VSB524275:VSB524340 WBX524275:WBX524340 WLT524275:WLT524340 WVP524275:WVP524340 H589811:H589876 JD589811:JD589876 SZ589811:SZ589876 ACV589811:ACV589876 AMR589811:AMR589876 AWN589811:AWN589876 BGJ589811:BGJ589876 BQF589811:BQF589876 CAB589811:CAB589876 CJX589811:CJX589876 CTT589811:CTT589876 DDP589811:DDP589876 DNL589811:DNL589876 DXH589811:DXH589876 EHD589811:EHD589876 EQZ589811:EQZ589876 FAV589811:FAV589876 FKR589811:FKR589876 FUN589811:FUN589876 GEJ589811:GEJ589876 GOF589811:GOF589876 GYB589811:GYB589876 HHX589811:HHX589876 HRT589811:HRT589876 IBP589811:IBP589876 ILL589811:ILL589876 IVH589811:IVH589876 JFD589811:JFD589876 JOZ589811:JOZ589876 JYV589811:JYV589876 KIR589811:KIR589876 KSN589811:KSN589876 LCJ589811:LCJ589876 LMF589811:LMF589876 LWB589811:LWB589876 MFX589811:MFX589876 MPT589811:MPT589876 MZP589811:MZP589876 NJL589811:NJL589876 NTH589811:NTH589876 ODD589811:ODD589876 OMZ589811:OMZ589876 OWV589811:OWV589876 PGR589811:PGR589876 PQN589811:PQN589876 QAJ589811:QAJ589876 QKF589811:QKF589876 QUB589811:QUB589876 RDX589811:RDX589876 RNT589811:RNT589876 RXP589811:RXP589876 SHL589811:SHL589876 SRH589811:SRH589876 TBD589811:TBD589876 TKZ589811:TKZ589876 TUV589811:TUV589876 UER589811:UER589876 UON589811:UON589876 UYJ589811:UYJ589876 VIF589811:VIF589876 VSB589811:VSB589876 WBX589811:WBX589876 WLT589811:WLT589876 WVP589811:WVP589876 H655347:H655412 JD655347:JD655412 SZ655347:SZ655412 ACV655347:ACV655412 AMR655347:AMR655412 AWN655347:AWN655412 BGJ655347:BGJ655412 BQF655347:BQF655412 CAB655347:CAB655412 CJX655347:CJX655412 CTT655347:CTT655412 DDP655347:DDP655412 DNL655347:DNL655412 DXH655347:DXH655412 EHD655347:EHD655412 EQZ655347:EQZ655412 FAV655347:FAV655412 FKR655347:FKR655412 FUN655347:FUN655412 GEJ655347:GEJ655412 GOF655347:GOF655412 GYB655347:GYB655412 HHX655347:HHX655412 HRT655347:HRT655412 IBP655347:IBP655412 ILL655347:ILL655412 IVH655347:IVH655412 JFD655347:JFD655412 JOZ655347:JOZ655412 JYV655347:JYV655412 KIR655347:KIR655412 KSN655347:KSN655412 LCJ655347:LCJ655412 LMF655347:LMF655412 LWB655347:LWB655412 MFX655347:MFX655412 MPT655347:MPT655412 MZP655347:MZP655412 NJL655347:NJL655412 NTH655347:NTH655412 ODD655347:ODD655412 OMZ655347:OMZ655412 OWV655347:OWV655412 PGR655347:PGR655412 PQN655347:PQN655412 QAJ655347:QAJ655412 QKF655347:QKF655412 QUB655347:QUB655412 RDX655347:RDX655412 RNT655347:RNT655412 RXP655347:RXP655412 SHL655347:SHL655412 SRH655347:SRH655412 TBD655347:TBD655412 TKZ655347:TKZ655412 TUV655347:TUV655412 UER655347:UER655412 UON655347:UON655412 UYJ655347:UYJ655412 VIF655347:VIF655412 VSB655347:VSB655412 WBX655347:WBX655412 WLT655347:WLT655412 WVP655347:WVP655412 H720883:H720948 JD720883:JD720948 SZ720883:SZ720948 ACV720883:ACV720948 AMR720883:AMR720948 AWN720883:AWN720948 BGJ720883:BGJ720948 BQF720883:BQF720948 CAB720883:CAB720948 CJX720883:CJX720948 CTT720883:CTT720948 DDP720883:DDP720948 DNL720883:DNL720948 DXH720883:DXH720948 EHD720883:EHD720948 EQZ720883:EQZ720948 FAV720883:FAV720948 FKR720883:FKR720948 FUN720883:FUN720948 GEJ720883:GEJ720948 GOF720883:GOF720948 GYB720883:GYB720948 HHX720883:HHX720948 HRT720883:HRT720948 IBP720883:IBP720948 ILL720883:ILL720948 IVH720883:IVH720948 JFD720883:JFD720948 JOZ720883:JOZ720948 JYV720883:JYV720948 KIR720883:KIR720948 KSN720883:KSN720948 LCJ720883:LCJ720948 LMF720883:LMF720948 LWB720883:LWB720948 MFX720883:MFX720948 MPT720883:MPT720948 MZP720883:MZP720948 NJL720883:NJL720948 NTH720883:NTH720948 ODD720883:ODD720948 OMZ720883:OMZ720948 OWV720883:OWV720948 PGR720883:PGR720948 PQN720883:PQN720948 QAJ720883:QAJ720948 QKF720883:QKF720948 QUB720883:QUB720948 RDX720883:RDX720948 RNT720883:RNT720948 RXP720883:RXP720948 SHL720883:SHL720948 SRH720883:SRH720948 TBD720883:TBD720948 TKZ720883:TKZ720948 TUV720883:TUV720948 UER720883:UER720948 UON720883:UON720948 UYJ720883:UYJ720948 VIF720883:VIF720948 VSB720883:VSB720948 WBX720883:WBX720948 WLT720883:WLT720948 WVP720883:WVP720948 H786419:H786484 JD786419:JD786484 SZ786419:SZ786484 ACV786419:ACV786484 AMR786419:AMR786484 AWN786419:AWN786484 BGJ786419:BGJ786484 BQF786419:BQF786484 CAB786419:CAB786484 CJX786419:CJX786484 CTT786419:CTT786484 DDP786419:DDP786484 DNL786419:DNL786484 DXH786419:DXH786484 EHD786419:EHD786484 EQZ786419:EQZ786484 FAV786419:FAV786484 FKR786419:FKR786484 FUN786419:FUN786484 GEJ786419:GEJ786484 GOF786419:GOF786484 GYB786419:GYB786484 HHX786419:HHX786484 HRT786419:HRT786484 IBP786419:IBP786484 ILL786419:ILL786484 IVH786419:IVH786484 JFD786419:JFD786484 JOZ786419:JOZ786484 JYV786419:JYV786484 KIR786419:KIR786484 KSN786419:KSN786484 LCJ786419:LCJ786484 LMF786419:LMF786484 LWB786419:LWB786484 MFX786419:MFX786484 MPT786419:MPT786484 MZP786419:MZP786484 NJL786419:NJL786484 NTH786419:NTH786484 ODD786419:ODD786484 OMZ786419:OMZ786484 OWV786419:OWV786484 PGR786419:PGR786484 PQN786419:PQN786484 QAJ786419:QAJ786484 QKF786419:QKF786484 QUB786419:QUB786484 RDX786419:RDX786484 RNT786419:RNT786484 RXP786419:RXP786484 SHL786419:SHL786484 SRH786419:SRH786484 TBD786419:TBD786484 TKZ786419:TKZ786484 TUV786419:TUV786484 UER786419:UER786484 UON786419:UON786484 UYJ786419:UYJ786484 VIF786419:VIF786484 VSB786419:VSB786484 WBX786419:WBX786484 WLT786419:WLT786484 WVP786419:WVP786484 H851955:H852020 JD851955:JD852020 SZ851955:SZ852020 ACV851955:ACV852020 AMR851955:AMR852020 AWN851955:AWN852020 BGJ851955:BGJ852020 BQF851955:BQF852020 CAB851955:CAB852020 CJX851955:CJX852020 CTT851955:CTT852020 DDP851955:DDP852020 DNL851955:DNL852020 DXH851955:DXH852020 EHD851955:EHD852020 EQZ851955:EQZ852020 FAV851955:FAV852020 FKR851955:FKR852020 FUN851955:FUN852020 GEJ851955:GEJ852020 GOF851955:GOF852020 GYB851955:GYB852020 HHX851955:HHX852020 HRT851955:HRT852020 IBP851955:IBP852020 ILL851955:ILL852020 IVH851955:IVH852020 JFD851955:JFD852020 JOZ851955:JOZ852020 JYV851955:JYV852020 KIR851955:KIR852020 KSN851955:KSN852020 LCJ851955:LCJ852020 LMF851955:LMF852020 LWB851955:LWB852020 MFX851955:MFX852020 MPT851955:MPT852020 MZP851955:MZP852020 NJL851955:NJL852020 NTH851955:NTH852020 ODD851955:ODD852020 OMZ851955:OMZ852020 OWV851955:OWV852020 PGR851955:PGR852020 PQN851955:PQN852020 QAJ851955:QAJ852020 QKF851955:QKF852020 QUB851955:QUB852020 RDX851955:RDX852020 RNT851955:RNT852020 RXP851955:RXP852020 SHL851955:SHL852020 SRH851955:SRH852020 TBD851955:TBD852020 TKZ851955:TKZ852020 TUV851955:TUV852020 UER851955:UER852020 UON851955:UON852020 UYJ851955:UYJ852020 VIF851955:VIF852020 VSB851955:VSB852020 WBX851955:WBX852020 WLT851955:WLT852020 WVP851955:WVP852020 H917491:H917556 JD917491:JD917556 SZ917491:SZ917556 ACV917491:ACV917556 AMR917491:AMR917556 AWN917491:AWN917556 BGJ917491:BGJ917556 BQF917491:BQF917556 CAB917491:CAB917556 CJX917491:CJX917556 CTT917491:CTT917556 DDP917491:DDP917556 DNL917491:DNL917556 DXH917491:DXH917556 EHD917491:EHD917556 EQZ917491:EQZ917556 FAV917491:FAV917556 FKR917491:FKR917556 FUN917491:FUN917556 GEJ917491:GEJ917556 GOF917491:GOF917556 GYB917491:GYB917556 HHX917491:HHX917556 HRT917491:HRT917556 IBP917491:IBP917556 ILL917491:ILL917556 IVH917491:IVH917556 JFD917491:JFD917556 JOZ917491:JOZ917556 JYV917491:JYV917556 KIR917491:KIR917556 KSN917491:KSN917556 LCJ917491:LCJ917556 LMF917491:LMF917556 LWB917491:LWB917556 MFX917491:MFX917556 MPT917491:MPT917556 MZP917491:MZP917556 NJL917491:NJL917556 NTH917491:NTH917556 ODD917491:ODD917556 OMZ917491:OMZ917556 OWV917491:OWV917556 PGR917491:PGR917556 PQN917491:PQN917556 QAJ917491:QAJ917556 QKF917491:QKF917556 QUB917491:QUB917556 RDX917491:RDX917556 RNT917491:RNT917556 RXP917491:RXP917556 SHL917491:SHL917556 SRH917491:SRH917556 TBD917491:TBD917556 TKZ917491:TKZ917556 TUV917491:TUV917556 UER917491:UER917556 UON917491:UON917556 UYJ917491:UYJ917556 VIF917491:VIF917556 VSB917491:VSB917556 WBX917491:WBX917556 WLT917491:WLT917556 WVP917491:WVP917556 H983027:H983092 JD983027:JD983092 SZ983027:SZ983092 ACV983027:ACV983092 AMR983027:AMR983092 AWN983027:AWN983092 BGJ983027:BGJ983092 BQF983027:BQF983092 CAB983027:CAB983092 CJX983027:CJX983092 CTT983027:CTT983092 DDP983027:DDP983092 DNL983027:DNL983092 DXH983027:DXH983092 EHD983027:EHD983092 EQZ983027:EQZ983092 FAV983027:FAV983092 FKR983027:FKR983092 FUN983027:FUN983092 GEJ983027:GEJ983092 GOF983027:GOF983092 GYB983027:GYB983092 HHX983027:HHX983092 HRT983027:HRT983092 IBP983027:IBP983092 ILL983027:ILL983092 IVH983027:IVH983092 JFD983027:JFD983092 JOZ983027:JOZ983092 JYV983027:JYV983092 KIR983027:KIR983092 KSN983027:KSN983092 LCJ983027:LCJ983092 LMF983027:LMF983092 LWB983027:LWB983092 MFX983027:MFX983092 MPT983027:MPT983092 MZP983027:MZP983092 NJL983027:NJL983092 NTH983027:NTH983092 ODD983027:ODD983092 OMZ983027:OMZ983092 OWV983027:OWV983092 PGR983027:PGR983092 PQN983027:PQN983092 QAJ983027:QAJ983092 QKF983027:QKF983092 QUB983027:QUB983092 RDX983027:RDX983092 RNT983027:RNT983092 RXP983027:RXP983092 SHL983027:SHL983092 SRH983027:SRH983092 TBD983027:TBD983092 TKZ983027:TKZ983092 TUV983027:TUV983092 UER983027:UER983092 UON983027:UON983092 UYJ983027:UYJ983092 VIF983027:VIF983092 VSB983027:VSB983092 WBX983027:WBX983092 WLT983027:WLT983092 WVP2:WVP72 JD2:JD72 SZ2:SZ72 ACV2:ACV72 AMR2:AMR72 AWN2:AWN72 BGJ2:BGJ72 BQF2:BQF72 CAB2:CAB72 CJX2:CJX72 CTT2:CTT72 DDP2:DDP72 DNL2:DNL72 DXH2:DXH72 EHD2:EHD72 EQZ2:EQZ72 FAV2:FAV72 FKR2:FKR72 FUN2:FUN72 GEJ2:GEJ72 GOF2:GOF72 GYB2:GYB72 HHX2:HHX72 HRT2:HRT72 IBP2:IBP72 ILL2:ILL72 IVH2:IVH72 JFD2:JFD72 JOZ2:JOZ72 JYV2:JYV72 KIR2:KIR72 KSN2:KSN72 LCJ2:LCJ72 LMF2:LMF72 LWB2:LWB72 MFX2:MFX72 MPT2:MPT72 MZP2:MZP72 NJL2:NJL72 NTH2:NTH72 ODD2:ODD72 OMZ2:OMZ72 OWV2:OWV72 PGR2:PGR72 PQN2:PQN72 QAJ2:QAJ72 QKF2:QKF72 QUB2:QUB72 RDX2:RDX72 RNT2:RNT72 RXP2:RXP72 SHL2:SHL72 SRH2:SRH72 TBD2:TBD72 TKZ2:TKZ72 TUV2:TUV72 UER2:UER72 UON2:UON72 UYJ2:UYJ72 VIF2:VIF72 VSB2:VSB72 WBX2:WBX72 WLT2:WLT72" xr:uid="{BA0F030A-05BC-4E2F-892D-8281C973B76E}">
      <formula1>$AL$4:$AL$12</formula1>
    </dataValidation>
    <dataValidation type="list" allowBlank="1" showInputMessage="1" showErrorMessage="1" sqref="A64348:A64413 IW64348:IW64413 SS64348:SS64413 ACO64348:ACO64413 AMK64348:AMK64413 AWG64348:AWG64413 BGC64348:BGC64413 BPY64348:BPY64413 BZU64348:BZU64413 CJQ64348:CJQ64413 CTM64348:CTM64413 DDI64348:DDI64413 DNE64348:DNE64413 DXA64348:DXA64413 EGW64348:EGW64413 EQS64348:EQS64413 FAO64348:FAO64413 FKK64348:FKK64413 FUG64348:FUG64413 GEC64348:GEC64413 GNY64348:GNY64413 GXU64348:GXU64413 HHQ64348:HHQ64413 HRM64348:HRM64413 IBI64348:IBI64413 ILE64348:ILE64413 IVA64348:IVA64413 JEW64348:JEW64413 JOS64348:JOS64413 JYO64348:JYO64413 KIK64348:KIK64413 KSG64348:KSG64413 LCC64348:LCC64413 LLY64348:LLY64413 LVU64348:LVU64413 MFQ64348:MFQ64413 MPM64348:MPM64413 MZI64348:MZI64413 NJE64348:NJE64413 NTA64348:NTA64413 OCW64348:OCW64413 OMS64348:OMS64413 OWO64348:OWO64413 PGK64348:PGK64413 PQG64348:PQG64413 QAC64348:QAC64413 QJY64348:QJY64413 QTU64348:QTU64413 RDQ64348:RDQ64413 RNM64348:RNM64413 RXI64348:RXI64413 SHE64348:SHE64413 SRA64348:SRA64413 TAW64348:TAW64413 TKS64348:TKS64413 TUO64348:TUO64413 UEK64348:UEK64413 UOG64348:UOG64413 UYC64348:UYC64413 VHY64348:VHY64413 VRU64348:VRU64413 WBQ64348:WBQ64413 WLM64348:WLM64413 WVI64348:WVI64413 A129884:A129949 IW129884:IW129949 SS129884:SS129949 ACO129884:ACO129949 AMK129884:AMK129949 AWG129884:AWG129949 BGC129884:BGC129949 BPY129884:BPY129949 BZU129884:BZU129949 CJQ129884:CJQ129949 CTM129884:CTM129949 DDI129884:DDI129949 DNE129884:DNE129949 DXA129884:DXA129949 EGW129884:EGW129949 EQS129884:EQS129949 FAO129884:FAO129949 FKK129884:FKK129949 FUG129884:FUG129949 GEC129884:GEC129949 GNY129884:GNY129949 GXU129884:GXU129949 HHQ129884:HHQ129949 HRM129884:HRM129949 IBI129884:IBI129949 ILE129884:ILE129949 IVA129884:IVA129949 JEW129884:JEW129949 JOS129884:JOS129949 JYO129884:JYO129949 KIK129884:KIK129949 KSG129884:KSG129949 LCC129884:LCC129949 LLY129884:LLY129949 LVU129884:LVU129949 MFQ129884:MFQ129949 MPM129884:MPM129949 MZI129884:MZI129949 NJE129884:NJE129949 NTA129884:NTA129949 OCW129884:OCW129949 OMS129884:OMS129949 OWO129884:OWO129949 PGK129884:PGK129949 PQG129884:PQG129949 QAC129884:QAC129949 QJY129884:QJY129949 QTU129884:QTU129949 RDQ129884:RDQ129949 RNM129884:RNM129949 RXI129884:RXI129949 SHE129884:SHE129949 SRA129884:SRA129949 TAW129884:TAW129949 TKS129884:TKS129949 TUO129884:TUO129949 UEK129884:UEK129949 UOG129884:UOG129949 UYC129884:UYC129949 VHY129884:VHY129949 VRU129884:VRU129949 WBQ129884:WBQ129949 WLM129884:WLM129949 WVI129884:WVI129949 A195420:A195485 IW195420:IW195485 SS195420:SS195485 ACO195420:ACO195485 AMK195420:AMK195485 AWG195420:AWG195485 BGC195420:BGC195485 BPY195420:BPY195485 BZU195420:BZU195485 CJQ195420:CJQ195485 CTM195420:CTM195485 DDI195420:DDI195485 DNE195420:DNE195485 DXA195420:DXA195485 EGW195420:EGW195485 EQS195420:EQS195485 FAO195420:FAO195485 FKK195420:FKK195485 FUG195420:FUG195485 GEC195420:GEC195485 GNY195420:GNY195485 GXU195420:GXU195485 HHQ195420:HHQ195485 HRM195420:HRM195485 IBI195420:IBI195485 ILE195420:ILE195485 IVA195420:IVA195485 JEW195420:JEW195485 JOS195420:JOS195485 JYO195420:JYO195485 KIK195420:KIK195485 KSG195420:KSG195485 LCC195420:LCC195485 LLY195420:LLY195485 LVU195420:LVU195485 MFQ195420:MFQ195485 MPM195420:MPM195485 MZI195420:MZI195485 NJE195420:NJE195485 NTA195420:NTA195485 OCW195420:OCW195485 OMS195420:OMS195485 OWO195420:OWO195485 PGK195420:PGK195485 PQG195420:PQG195485 QAC195420:QAC195485 QJY195420:QJY195485 QTU195420:QTU195485 RDQ195420:RDQ195485 RNM195420:RNM195485 RXI195420:RXI195485 SHE195420:SHE195485 SRA195420:SRA195485 TAW195420:TAW195485 TKS195420:TKS195485 TUO195420:TUO195485 UEK195420:UEK195485 UOG195420:UOG195485 UYC195420:UYC195485 VHY195420:VHY195485 VRU195420:VRU195485 WBQ195420:WBQ195485 WLM195420:WLM195485 WVI195420:WVI195485 A260956:A261021 IW260956:IW261021 SS260956:SS261021 ACO260956:ACO261021 AMK260956:AMK261021 AWG260956:AWG261021 BGC260956:BGC261021 BPY260956:BPY261021 BZU260956:BZU261021 CJQ260956:CJQ261021 CTM260956:CTM261021 DDI260956:DDI261021 DNE260956:DNE261021 DXA260956:DXA261021 EGW260956:EGW261021 EQS260956:EQS261021 FAO260956:FAO261021 FKK260956:FKK261021 FUG260956:FUG261021 GEC260956:GEC261021 GNY260956:GNY261021 GXU260956:GXU261021 HHQ260956:HHQ261021 HRM260956:HRM261021 IBI260956:IBI261021 ILE260956:ILE261021 IVA260956:IVA261021 JEW260956:JEW261021 JOS260956:JOS261021 JYO260956:JYO261021 KIK260956:KIK261021 KSG260956:KSG261021 LCC260956:LCC261021 LLY260956:LLY261021 LVU260956:LVU261021 MFQ260956:MFQ261021 MPM260956:MPM261021 MZI260956:MZI261021 NJE260956:NJE261021 NTA260956:NTA261021 OCW260956:OCW261021 OMS260956:OMS261021 OWO260956:OWO261021 PGK260956:PGK261021 PQG260956:PQG261021 QAC260956:QAC261021 QJY260956:QJY261021 QTU260956:QTU261021 RDQ260956:RDQ261021 RNM260956:RNM261021 RXI260956:RXI261021 SHE260956:SHE261021 SRA260956:SRA261021 TAW260956:TAW261021 TKS260956:TKS261021 TUO260956:TUO261021 UEK260956:UEK261021 UOG260956:UOG261021 UYC260956:UYC261021 VHY260956:VHY261021 VRU260956:VRU261021 WBQ260956:WBQ261021 WLM260956:WLM261021 WVI260956:WVI261021 A326492:A326557 IW326492:IW326557 SS326492:SS326557 ACO326492:ACO326557 AMK326492:AMK326557 AWG326492:AWG326557 BGC326492:BGC326557 BPY326492:BPY326557 BZU326492:BZU326557 CJQ326492:CJQ326557 CTM326492:CTM326557 DDI326492:DDI326557 DNE326492:DNE326557 DXA326492:DXA326557 EGW326492:EGW326557 EQS326492:EQS326557 FAO326492:FAO326557 FKK326492:FKK326557 FUG326492:FUG326557 GEC326492:GEC326557 GNY326492:GNY326557 GXU326492:GXU326557 HHQ326492:HHQ326557 HRM326492:HRM326557 IBI326492:IBI326557 ILE326492:ILE326557 IVA326492:IVA326557 JEW326492:JEW326557 JOS326492:JOS326557 JYO326492:JYO326557 KIK326492:KIK326557 KSG326492:KSG326557 LCC326492:LCC326557 LLY326492:LLY326557 LVU326492:LVU326557 MFQ326492:MFQ326557 MPM326492:MPM326557 MZI326492:MZI326557 NJE326492:NJE326557 NTA326492:NTA326557 OCW326492:OCW326557 OMS326492:OMS326557 OWO326492:OWO326557 PGK326492:PGK326557 PQG326492:PQG326557 QAC326492:QAC326557 QJY326492:QJY326557 QTU326492:QTU326557 RDQ326492:RDQ326557 RNM326492:RNM326557 RXI326492:RXI326557 SHE326492:SHE326557 SRA326492:SRA326557 TAW326492:TAW326557 TKS326492:TKS326557 TUO326492:TUO326557 UEK326492:UEK326557 UOG326492:UOG326557 UYC326492:UYC326557 VHY326492:VHY326557 VRU326492:VRU326557 WBQ326492:WBQ326557 WLM326492:WLM326557 WVI326492:WVI326557 A392028:A392093 IW392028:IW392093 SS392028:SS392093 ACO392028:ACO392093 AMK392028:AMK392093 AWG392028:AWG392093 BGC392028:BGC392093 BPY392028:BPY392093 BZU392028:BZU392093 CJQ392028:CJQ392093 CTM392028:CTM392093 DDI392028:DDI392093 DNE392028:DNE392093 DXA392028:DXA392093 EGW392028:EGW392093 EQS392028:EQS392093 FAO392028:FAO392093 FKK392028:FKK392093 FUG392028:FUG392093 GEC392028:GEC392093 GNY392028:GNY392093 GXU392028:GXU392093 HHQ392028:HHQ392093 HRM392028:HRM392093 IBI392028:IBI392093 ILE392028:ILE392093 IVA392028:IVA392093 JEW392028:JEW392093 JOS392028:JOS392093 JYO392028:JYO392093 KIK392028:KIK392093 KSG392028:KSG392093 LCC392028:LCC392093 LLY392028:LLY392093 LVU392028:LVU392093 MFQ392028:MFQ392093 MPM392028:MPM392093 MZI392028:MZI392093 NJE392028:NJE392093 NTA392028:NTA392093 OCW392028:OCW392093 OMS392028:OMS392093 OWO392028:OWO392093 PGK392028:PGK392093 PQG392028:PQG392093 QAC392028:QAC392093 QJY392028:QJY392093 QTU392028:QTU392093 RDQ392028:RDQ392093 RNM392028:RNM392093 RXI392028:RXI392093 SHE392028:SHE392093 SRA392028:SRA392093 TAW392028:TAW392093 TKS392028:TKS392093 TUO392028:TUO392093 UEK392028:UEK392093 UOG392028:UOG392093 UYC392028:UYC392093 VHY392028:VHY392093 VRU392028:VRU392093 WBQ392028:WBQ392093 WLM392028:WLM392093 WVI392028:WVI392093 A457564:A457629 IW457564:IW457629 SS457564:SS457629 ACO457564:ACO457629 AMK457564:AMK457629 AWG457564:AWG457629 BGC457564:BGC457629 BPY457564:BPY457629 BZU457564:BZU457629 CJQ457564:CJQ457629 CTM457564:CTM457629 DDI457564:DDI457629 DNE457564:DNE457629 DXA457564:DXA457629 EGW457564:EGW457629 EQS457564:EQS457629 FAO457564:FAO457629 FKK457564:FKK457629 FUG457564:FUG457629 GEC457564:GEC457629 GNY457564:GNY457629 GXU457564:GXU457629 HHQ457564:HHQ457629 HRM457564:HRM457629 IBI457564:IBI457629 ILE457564:ILE457629 IVA457564:IVA457629 JEW457564:JEW457629 JOS457564:JOS457629 JYO457564:JYO457629 KIK457564:KIK457629 KSG457564:KSG457629 LCC457564:LCC457629 LLY457564:LLY457629 LVU457564:LVU457629 MFQ457564:MFQ457629 MPM457564:MPM457629 MZI457564:MZI457629 NJE457564:NJE457629 NTA457564:NTA457629 OCW457564:OCW457629 OMS457564:OMS457629 OWO457564:OWO457629 PGK457564:PGK457629 PQG457564:PQG457629 QAC457564:QAC457629 QJY457564:QJY457629 QTU457564:QTU457629 RDQ457564:RDQ457629 RNM457564:RNM457629 RXI457564:RXI457629 SHE457564:SHE457629 SRA457564:SRA457629 TAW457564:TAW457629 TKS457564:TKS457629 TUO457564:TUO457629 UEK457564:UEK457629 UOG457564:UOG457629 UYC457564:UYC457629 VHY457564:VHY457629 VRU457564:VRU457629 WBQ457564:WBQ457629 WLM457564:WLM457629 WVI457564:WVI457629 A523100:A523165 IW523100:IW523165 SS523100:SS523165 ACO523100:ACO523165 AMK523100:AMK523165 AWG523100:AWG523165 BGC523100:BGC523165 BPY523100:BPY523165 BZU523100:BZU523165 CJQ523100:CJQ523165 CTM523100:CTM523165 DDI523100:DDI523165 DNE523100:DNE523165 DXA523100:DXA523165 EGW523100:EGW523165 EQS523100:EQS523165 FAO523100:FAO523165 FKK523100:FKK523165 FUG523100:FUG523165 GEC523100:GEC523165 GNY523100:GNY523165 GXU523100:GXU523165 HHQ523100:HHQ523165 HRM523100:HRM523165 IBI523100:IBI523165 ILE523100:ILE523165 IVA523100:IVA523165 JEW523100:JEW523165 JOS523100:JOS523165 JYO523100:JYO523165 KIK523100:KIK523165 KSG523100:KSG523165 LCC523100:LCC523165 LLY523100:LLY523165 LVU523100:LVU523165 MFQ523100:MFQ523165 MPM523100:MPM523165 MZI523100:MZI523165 NJE523100:NJE523165 NTA523100:NTA523165 OCW523100:OCW523165 OMS523100:OMS523165 OWO523100:OWO523165 PGK523100:PGK523165 PQG523100:PQG523165 QAC523100:QAC523165 QJY523100:QJY523165 QTU523100:QTU523165 RDQ523100:RDQ523165 RNM523100:RNM523165 RXI523100:RXI523165 SHE523100:SHE523165 SRA523100:SRA523165 TAW523100:TAW523165 TKS523100:TKS523165 TUO523100:TUO523165 UEK523100:UEK523165 UOG523100:UOG523165 UYC523100:UYC523165 VHY523100:VHY523165 VRU523100:VRU523165 WBQ523100:WBQ523165 WLM523100:WLM523165 WVI523100:WVI523165 A588636:A588701 IW588636:IW588701 SS588636:SS588701 ACO588636:ACO588701 AMK588636:AMK588701 AWG588636:AWG588701 BGC588636:BGC588701 BPY588636:BPY588701 BZU588636:BZU588701 CJQ588636:CJQ588701 CTM588636:CTM588701 DDI588636:DDI588701 DNE588636:DNE588701 DXA588636:DXA588701 EGW588636:EGW588701 EQS588636:EQS588701 FAO588636:FAO588701 FKK588636:FKK588701 FUG588636:FUG588701 GEC588636:GEC588701 GNY588636:GNY588701 GXU588636:GXU588701 HHQ588636:HHQ588701 HRM588636:HRM588701 IBI588636:IBI588701 ILE588636:ILE588701 IVA588636:IVA588701 JEW588636:JEW588701 JOS588636:JOS588701 JYO588636:JYO588701 KIK588636:KIK588701 KSG588636:KSG588701 LCC588636:LCC588701 LLY588636:LLY588701 LVU588636:LVU588701 MFQ588636:MFQ588701 MPM588636:MPM588701 MZI588636:MZI588701 NJE588636:NJE588701 NTA588636:NTA588701 OCW588636:OCW588701 OMS588636:OMS588701 OWO588636:OWO588701 PGK588636:PGK588701 PQG588636:PQG588701 QAC588636:QAC588701 QJY588636:QJY588701 QTU588636:QTU588701 RDQ588636:RDQ588701 RNM588636:RNM588701 RXI588636:RXI588701 SHE588636:SHE588701 SRA588636:SRA588701 TAW588636:TAW588701 TKS588636:TKS588701 TUO588636:TUO588701 UEK588636:UEK588701 UOG588636:UOG588701 UYC588636:UYC588701 VHY588636:VHY588701 VRU588636:VRU588701 WBQ588636:WBQ588701 WLM588636:WLM588701 WVI588636:WVI588701 A654172:A654237 IW654172:IW654237 SS654172:SS654237 ACO654172:ACO654237 AMK654172:AMK654237 AWG654172:AWG654237 BGC654172:BGC654237 BPY654172:BPY654237 BZU654172:BZU654237 CJQ654172:CJQ654237 CTM654172:CTM654237 DDI654172:DDI654237 DNE654172:DNE654237 DXA654172:DXA654237 EGW654172:EGW654237 EQS654172:EQS654237 FAO654172:FAO654237 FKK654172:FKK654237 FUG654172:FUG654237 GEC654172:GEC654237 GNY654172:GNY654237 GXU654172:GXU654237 HHQ654172:HHQ654237 HRM654172:HRM654237 IBI654172:IBI654237 ILE654172:ILE654237 IVA654172:IVA654237 JEW654172:JEW654237 JOS654172:JOS654237 JYO654172:JYO654237 KIK654172:KIK654237 KSG654172:KSG654237 LCC654172:LCC654237 LLY654172:LLY654237 LVU654172:LVU654237 MFQ654172:MFQ654237 MPM654172:MPM654237 MZI654172:MZI654237 NJE654172:NJE654237 NTA654172:NTA654237 OCW654172:OCW654237 OMS654172:OMS654237 OWO654172:OWO654237 PGK654172:PGK654237 PQG654172:PQG654237 QAC654172:QAC654237 QJY654172:QJY654237 QTU654172:QTU654237 RDQ654172:RDQ654237 RNM654172:RNM654237 RXI654172:RXI654237 SHE654172:SHE654237 SRA654172:SRA654237 TAW654172:TAW654237 TKS654172:TKS654237 TUO654172:TUO654237 UEK654172:UEK654237 UOG654172:UOG654237 UYC654172:UYC654237 VHY654172:VHY654237 VRU654172:VRU654237 WBQ654172:WBQ654237 WLM654172:WLM654237 WVI654172:WVI654237 A719708:A719773 IW719708:IW719773 SS719708:SS719773 ACO719708:ACO719773 AMK719708:AMK719773 AWG719708:AWG719773 BGC719708:BGC719773 BPY719708:BPY719773 BZU719708:BZU719773 CJQ719708:CJQ719773 CTM719708:CTM719773 DDI719708:DDI719773 DNE719708:DNE719773 DXA719708:DXA719773 EGW719708:EGW719773 EQS719708:EQS719773 FAO719708:FAO719773 FKK719708:FKK719773 FUG719708:FUG719773 GEC719708:GEC719773 GNY719708:GNY719773 GXU719708:GXU719773 HHQ719708:HHQ719773 HRM719708:HRM719773 IBI719708:IBI719773 ILE719708:ILE719773 IVA719708:IVA719773 JEW719708:JEW719773 JOS719708:JOS719773 JYO719708:JYO719773 KIK719708:KIK719773 KSG719708:KSG719773 LCC719708:LCC719773 LLY719708:LLY719773 LVU719708:LVU719773 MFQ719708:MFQ719773 MPM719708:MPM719773 MZI719708:MZI719773 NJE719708:NJE719773 NTA719708:NTA719773 OCW719708:OCW719773 OMS719708:OMS719773 OWO719708:OWO719773 PGK719708:PGK719773 PQG719708:PQG719773 QAC719708:QAC719773 QJY719708:QJY719773 QTU719708:QTU719773 RDQ719708:RDQ719773 RNM719708:RNM719773 RXI719708:RXI719773 SHE719708:SHE719773 SRA719708:SRA719773 TAW719708:TAW719773 TKS719708:TKS719773 TUO719708:TUO719773 UEK719708:UEK719773 UOG719708:UOG719773 UYC719708:UYC719773 VHY719708:VHY719773 VRU719708:VRU719773 WBQ719708:WBQ719773 WLM719708:WLM719773 WVI719708:WVI719773 A785244:A785309 IW785244:IW785309 SS785244:SS785309 ACO785244:ACO785309 AMK785244:AMK785309 AWG785244:AWG785309 BGC785244:BGC785309 BPY785244:BPY785309 BZU785244:BZU785309 CJQ785244:CJQ785309 CTM785244:CTM785309 DDI785244:DDI785309 DNE785244:DNE785309 DXA785244:DXA785309 EGW785244:EGW785309 EQS785244:EQS785309 FAO785244:FAO785309 FKK785244:FKK785309 FUG785244:FUG785309 GEC785244:GEC785309 GNY785244:GNY785309 GXU785244:GXU785309 HHQ785244:HHQ785309 HRM785244:HRM785309 IBI785244:IBI785309 ILE785244:ILE785309 IVA785244:IVA785309 JEW785244:JEW785309 JOS785244:JOS785309 JYO785244:JYO785309 KIK785244:KIK785309 KSG785244:KSG785309 LCC785244:LCC785309 LLY785244:LLY785309 LVU785244:LVU785309 MFQ785244:MFQ785309 MPM785244:MPM785309 MZI785244:MZI785309 NJE785244:NJE785309 NTA785244:NTA785309 OCW785244:OCW785309 OMS785244:OMS785309 OWO785244:OWO785309 PGK785244:PGK785309 PQG785244:PQG785309 QAC785244:QAC785309 QJY785244:QJY785309 QTU785244:QTU785309 RDQ785244:RDQ785309 RNM785244:RNM785309 RXI785244:RXI785309 SHE785244:SHE785309 SRA785244:SRA785309 TAW785244:TAW785309 TKS785244:TKS785309 TUO785244:TUO785309 UEK785244:UEK785309 UOG785244:UOG785309 UYC785244:UYC785309 VHY785244:VHY785309 VRU785244:VRU785309 WBQ785244:WBQ785309 WLM785244:WLM785309 WVI785244:WVI785309 A850780:A850845 IW850780:IW850845 SS850780:SS850845 ACO850780:ACO850845 AMK850780:AMK850845 AWG850780:AWG850845 BGC850780:BGC850845 BPY850780:BPY850845 BZU850780:BZU850845 CJQ850780:CJQ850845 CTM850780:CTM850845 DDI850780:DDI850845 DNE850780:DNE850845 DXA850780:DXA850845 EGW850780:EGW850845 EQS850780:EQS850845 FAO850780:FAO850845 FKK850780:FKK850845 FUG850780:FUG850845 GEC850780:GEC850845 GNY850780:GNY850845 GXU850780:GXU850845 HHQ850780:HHQ850845 HRM850780:HRM850845 IBI850780:IBI850845 ILE850780:ILE850845 IVA850780:IVA850845 JEW850780:JEW850845 JOS850780:JOS850845 JYO850780:JYO850845 KIK850780:KIK850845 KSG850780:KSG850845 LCC850780:LCC850845 LLY850780:LLY850845 LVU850780:LVU850845 MFQ850780:MFQ850845 MPM850780:MPM850845 MZI850780:MZI850845 NJE850780:NJE850845 NTA850780:NTA850845 OCW850780:OCW850845 OMS850780:OMS850845 OWO850780:OWO850845 PGK850780:PGK850845 PQG850780:PQG850845 QAC850780:QAC850845 QJY850780:QJY850845 QTU850780:QTU850845 RDQ850780:RDQ850845 RNM850780:RNM850845 RXI850780:RXI850845 SHE850780:SHE850845 SRA850780:SRA850845 TAW850780:TAW850845 TKS850780:TKS850845 TUO850780:TUO850845 UEK850780:UEK850845 UOG850780:UOG850845 UYC850780:UYC850845 VHY850780:VHY850845 VRU850780:VRU850845 WBQ850780:WBQ850845 WLM850780:WLM850845 WVI850780:WVI850845 A916316:A916381 IW916316:IW916381 SS916316:SS916381 ACO916316:ACO916381 AMK916316:AMK916381 AWG916316:AWG916381 BGC916316:BGC916381 BPY916316:BPY916381 BZU916316:BZU916381 CJQ916316:CJQ916381 CTM916316:CTM916381 DDI916316:DDI916381 DNE916316:DNE916381 DXA916316:DXA916381 EGW916316:EGW916381 EQS916316:EQS916381 FAO916316:FAO916381 FKK916316:FKK916381 FUG916316:FUG916381 GEC916316:GEC916381 GNY916316:GNY916381 GXU916316:GXU916381 HHQ916316:HHQ916381 HRM916316:HRM916381 IBI916316:IBI916381 ILE916316:ILE916381 IVA916316:IVA916381 JEW916316:JEW916381 JOS916316:JOS916381 JYO916316:JYO916381 KIK916316:KIK916381 KSG916316:KSG916381 LCC916316:LCC916381 LLY916316:LLY916381 LVU916316:LVU916381 MFQ916316:MFQ916381 MPM916316:MPM916381 MZI916316:MZI916381 NJE916316:NJE916381 NTA916316:NTA916381 OCW916316:OCW916381 OMS916316:OMS916381 OWO916316:OWO916381 PGK916316:PGK916381 PQG916316:PQG916381 QAC916316:QAC916381 QJY916316:QJY916381 QTU916316:QTU916381 RDQ916316:RDQ916381 RNM916316:RNM916381 RXI916316:RXI916381 SHE916316:SHE916381 SRA916316:SRA916381 TAW916316:TAW916381 TKS916316:TKS916381 TUO916316:TUO916381 UEK916316:UEK916381 UOG916316:UOG916381 UYC916316:UYC916381 VHY916316:VHY916381 VRU916316:VRU916381 WBQ916316:WBQ916381 WLM916316:WLM916381 WVI916316:WVI916381 A981852:A981917 IW981852:IW981917 SS981852:SS981917 ACO981852:ACO981917 AMK981852:AMK981917 AWG981852:AWG981917 BGC981852:BGC981917 BPY981852:BPY981917 BZU981852:BZU981917 CJQ981852:CJQ981917 CTM981852:CTM981917 DDI981852:DDI981917 DNE981852:DNE981917 DXA981852:DXA981917 EGW981852:EGW981917 EQS981852:EQS981917 FAO981852:FAO981917 FKK981852:FKK981917 FUG981852:FUG981917 GEC981852:GEC981917 GNY981852:GNY981917 GXU981852:GXU981917 HHQ981852:HHQ981917 HRM981852:HRM981917 IBI981852:IBI981917 ILE981852:ILE981917 IVA981852:IVA981917 JEW981852:JEW981917 JOS981852:JOS981917 JYO981852:JYO981917 KIK981852:KIK981917 KSG981852:KSG981917 LCC981852:LCC981917 LLY981852:LLY981917 LVU981852:LVU981917 MFQ981852:MFQ981917 MPM981852:MPM981917 MZI981852:MZI981917 NJE981852:NJE981917 NTA981852:NTA981917 OCW981852:OCW981917 OMS981852:OMS981917 OWO981852:OWO981917 PGK981852:PGK981917 PQG981852:PQG981917 QAC981852:QAC981917 QJY981852:QJY981917 QTU981852:QTU981917 RDQ981852:RDQ981917 RNM981852:RNM981917 RXI981852:RXI981917 SHE981852:SHE981917 SRA981852:SRA981917 TAW981852:TAW981917 TKS981852:TKS981917 TUO981852:TUO981917 UEK981852:UEK981917 UOG981852:UOG981917 UYC981852:UYC981917 VHY981852:VHY981917 VRU981852:VRU981917 WBQ981852:WBQ981917 WLM981852:WLM981917 WVI981852:WVI981917 A1047388:A1047453 IW1047388:IW1047453 SS1047388:SS1047453 ACO1047388:ACO1047453 AMK1047388:AMK1047453 AWG1047388:AWG1047453 BGC1047388:BGC1047453 BPY1047388:BPY1047453 BZU1047388:BZU1047453 CJQ1047388:CJQ1047453 CTM1047388:CTM1047453 DDI1047388:DDI1047453 DNE1047388:DNE1047453 DXA1047388:DXA1047453 EGW1047388:EGW1047453 EQS1047388:EQS1047453 FAO1047388:FAO1047453 FKK1047388:FKK1047453 FUG1047388:FUG1047453 GEC1047388:GEC1047453 GNY1047388:GNY1047453 GXU1047388:GXU1047453 HHQ1047388:HHQ1047453 HRM1047388:HRM1047453 IBI1047388:IBI1047453 ILE1047388:ILE1047453 IVA1047388:IVA1047453 JEW1047388:JEW1047453 JOS1047388:JOS1047453 JYO1047388:JYO1047453 KIK1047388:KIK1047453 KSG1047388:KSG1047453 LCC1047388:LCC1047453 LLY1047388:LLY1047453 LVU1047388:LVU1047453 MFQ1047388:MFQ1047453 MPM1047388:MPM1047453 MZI1047388:MZI1047453 NJE1047388:NJE1047453 NTA1047388:NTA1047453 OCW1047388:OCW1047453 OMS1047388:OMS1047453 OWO1047388:OWO1047453 PGK1047388:PGK1047453 PQG1047388:PQG1047453 QAC1047388:QAC1047453 QJY1047388:QJY1047453 QTU1047388:QTU1047453 RDQ1047388:RDQ1047453 RNM1047388:RNM1047453 RXI1047388:RXI1047453 SHE1047388:SHE1047453 SRA1047388:SRA1047453 TAW1047388:TAW1047453 TKS1047388:TKS1047453 TUO1047388:TUO1047453 UEK1047388:UEK1047453 UOG1047388:UOG1047453 UYC1047388:UYC1047453 VHY1047388:VHY1047453 VRU1047388:VRU1047453 WBQ1047388:WBQ1047453 WLM1047388:WLM1047453 WVI1047388:WVI1047453 WVI983027:WVI983098 A65523:A65594 IW65523:IW65594 SS65523:SS65594 ACO65523:ACO65594 AMK65523:AMK65594 AWG65523:AWG65594 BGC65523:BGC65594 BPY65523:BPY65594 BZU65523:BZU65594 CJQ65523:CJQ65594 CTM65523:CTM65594 DDI65523:DDI65594 DNE65523:DNE65594 DXA65523:DXA65594 EGW65523:EGW65594 EQS65523:EQS65594 FAO65523:FAO65594 FKK65523:FKK65594 FUG65523:FUG65594 GEC65523:GEC65594 GNY65523:GNY65594 GXU65523:GXU65594 HHQ65523:HHQ65594 HRM65523:HRM65594 IBI65523:IBI65594 ILE65523:ILE65594 IVA65523:IVA65594 JEW65523:JEW65594 JOS65523:JOS65594 JYO65523:JYO65594 KIK65523:KIK65594 KSG65523:KSG65594 LCC65523:LCC65594 LLY65523:LLY65594 LVU65523:LVU65594 MFQ65523:MFQ65594 MPM65523:MPM65594 MZI65523:MZI65594 NJE65523:NJE65594 NTA65523:NTA65594 OCW65523:OCW65594 OMS65523:OMS65594 OWO65523:OWO65594 PGK65523:PGK65594 PQG65523:PQG65594 QAC65523:QAC65594 QJY65523:QJY65594 QTU65523:QTU65594 RDQ65523:RDQ65594 RNM65523:RNM65594 RXI65523:RXI65594 SHE65523:SHE65594 SRA65523:SRA65594 TAW65523:TAW65594 TKS65523:TKS65594 TUO65523:TUO65594 UEK65523:UEK65594 UOG65523:UOG65594 UYC65523:UYC65594 VHY65523:VHY65594 VRU65523:VRU65594 WBQ65523:WBQ65594 WLM65523:WLM65594 WVI65523:WVI65594 A131059:A131130 IW131059:IW131130 SS131059:SS131130 ACO131059:ACO131130 AMK131059:AMK131130 AWG131059:AWG131130 BGC131059:BGC131130 BPY131059:BPY131130 BZU131059:BZU131130 CJQ131059:CJQ131130 CTM131059:CTM131130 DDI131059:DDI131130 DNE131059:DNE131130 DXA131059:DXA131130 EGW131059:EGW131130 EQS131059:EQS131130 FAO131059:FAO131130 FKK131059:FKK131130 FUG131059:FUG131130 GEC131059:GEC131130 GNY131059:GNY131130 GXU131059:GXU131130 HHQ131059:HHQ131130 HRM131059:HRM131130 IBI131059:IBI131130 ILE131059:ILE131130 IVA131059:IVA131130 JEW131059:JEW131130 JOS131059:JOS131130 JYO131059:JYO131130 KIK131059:KIK131130 KSG131059:KSG131130 LCC131059:LCC131130 LLY131059:LLY131130 LVU131059:LVU131130 MFQ131059:MFQ131130 MPM131059:MPM131130 MZI131059:MZI131130 NJE131059:NJE131130 NTA131059:NTA131130 OCW131059:OCW131130 OMS131059:OMS131130 OWO131059:OWO131130 PGK131059:PGK131130 PQG131059:PQG131130 QAC131059:QAC131130 QJY131059:QJY131130 QTU131059:QTU131130 RDQ131059:RDQ131130 RNM131059:RNM131130 RXI131059:RXI131130 SHE131059:SHE131130 SRA131059:SRA131130 TAW131059:TAW131130 TKS131059:TKS131130 TUO131059:TUO131130 UEK131059:UEK131130 UOG131059:UOG131130 UYC131059:UYC131130 VHY131059:VHY131130 VRU131059:VRU131130 WBQ131059:WBQ131130 WLM131059:WLM131130 WVI131059:WVI131130 A196595:A196666 IW196595:IW196666 SS196595:SS196666 ACO196595:ACO196666 AMK196595:AMK196666 AWG196595:AWG196666 BGC196595:BGC196666 BPY196595:BPY196666 BZU196595:BZU196666 CJQ196595:CJQ196666 CTM196595:CTM196666 DDI196595:DDI196666 DNE196595:DNE196666 DXA196595:DXA196666 EGW196595:EGW196666 EQS196595:EQS196666 FAO196595:FAO196666 FKK196595:FKK196666 FUG196595:FUG196666 GEC196595:GEC196666 GNY196595:GNY196666 GXU196595:GXU196666 HHQ196595:HHQ196666 HRM196595:HRM196666 IBI196595:IBI196666 ILE196595:ILE196666 IVA196595:IVA196666 JEW196595:JEW196666 JOS196595:JOS196666 JYO196595:JYO196666 KIK196595:KIK196666 KSG196595:KSG196666 LCC196595:LCC196666 LLY196595:LLY196666 LVU196595:LVU196666 MFQ196595:MFQ196666 MPM196595:MPM196666 MZI196595:MZI196666 NJE196595:NJE196666 NTA196595:NTA196666 OCW196595:OCW196666 OMS196595:OMS196666 OWO196595:OWO196666 PGK196595:PGK196666 PQG196595:PQG196666 QAC196595:QAC196666 QJY196595:QJY196666 QTU196595:QTU196666 RDQ196595:RDQ196666 RNM196595:RNM196666 RXI196595:RXI196666 SHE196595:SHE196666 SRA196595:SRA196666 TAW196595:TAW196666 TKS196595:TKS196666 TUO196595:TUO196666 UEK196595:UEK196666 UOG196595:UOG196666 UYC196595:UYC196666 VHY196595:VHY196666 VRU196595:VRU196666 WBQ196595:WBQ196666 WLM196595:WLM196666 WVI196595:WVI196666 A262131:A262202 IW262131:IW262202 SS262131:SS262202 ACO262131:ACO262202 AMK262131:AMK262202 AWG262131:AWG262202 BGC262131:BGC262202 BPY262131:BPY262202 BZU262131:BZU262202 CJQ262131:CJQ262202 CTM262131:CTM262202 DDI262131:DDI262202 DNE262131:DNE262202 DXA262131:DXA262202 EGW262131:EGW262202 EQS262131:EQS262202 FAO262131:FAO262202 FKK262131:FKK262202 FUG262131:FUG262202 GEC262131:GEC262202 GNY262131:GNY262202 GXU262131:GXU262202 HHQ262131:HHQ262202 HRM262131:HRM262202 IBI262131:IBI262202 ILE262131:ILE262202 IVA262131:IVA262202 JEW262131:JEW262202 JOS262131:JOS262202 JYO262131:JYO262202 KIK262131:KIK262202 KSG262131:KSG262202 LCC262131:LCC262202 LLY262131:LLY262202 LVU262131:LVU262202 MFQ262131:MFQ262202 MPM262131:MPM262202 MZI262131:MZI262202 NJE262131:NJE262202 NTA262131:NTA262202 OCW262131:OCW262202 OMS262131:OMS262202 OWO262131:OWO262202 PGK262131:PGK262202 PQG262131:PQG262202 QAC262131:QAC262202 QJY262131:QJY262202 QTU262131:QTU262202 RDQ262131:RDQ262202 RNM262131:RNM262202 RXI262131:RXI262202 SHE262131:SHE262202 SRA262131:SRA262202 TAW262131:TAW262202 TKS262131:TKS262202 TUO262131:TUO262202 UEK262131:UEK262202 UOG262131:UOG262202 UYC262131:UYC262202 VHY262131:VHY262202 VRU262131:VRU262202 WBQ262131:WBQ262202 WLM262131:WLM262202 WVI262131:WVI262202 A327667:A327738 IW327667:IW327738 SS327667:SS327738 ACO327667:ACO327738 AMK327667:AMK327738 AWG327667:AWG327738 BGC327667:BGC327738 BPY327667:BPY327738 BZU327667:BZU327738 CJQ327667:CJQ327738 CTM327667:CTM327738 DDI327667:DDI327738 DNE327667:DNE327738 DXA327667:DXA327738 EGW327667:EGW327738 EQS327667:EQS327738 FAO327667:FAO327738 FKK327667:FKK327738 FUG327667:FUG327738 GEC327667:GEC327738 GNY327667:GNY327738 GXU327667:GXU327738 HHQ327667:HHQ327738 HRM327667:HRM327738 IBI327667:IBI327738 ILE327667:ILE327738 IVA327667:IVA327738 JEW327667:JEW327738 JOS327667:JOS327738 JYO327667:JYO327738 KIK327667:KIK327738 KSG327667:KSG327738 LCC327667:LCC327738 LLY327667:LLY327738 LVU327667:LVU327738 MFQ327667:MFQ327738 MPM327667:MPM327738 MZI327667:MZI327738 NJE327667:NJE327738 NTA327667:NTA327738 OCW327667:OCW327738 OMS327667:OMS327738 OWO327667:OWO327738 PGK327667:PGK327738 PQG327667:PQG327738 QAC327667:QAC327738 QJY327667:QJY327738 QTU327667:QTU327738 RDQ327667:RDQ327738 RNM327667:RNM327738 RXI327667:RXI327738 SHE327667:SHE327738 SRA327667:SRA327738 TAW327667:TAW327738 TKS327667:TKS327738 TUO327667:TUO327738 UEK327667:UEK327738 UOG327667:UOG327738 UYC327667:UYC327738 VHY327667:VHY327738 VRU327667:VRU327738 WBQ327667:WBQ327738 WLM327667:WLM327738 WVI327667:WVI327738 A393203:A393274 IW393203:IW393274 SS393203:SS393274 ACO393203:ACO393274 AMK393203:AMK393274 AWG393203:AWG393274 BGC393203:BGC393274 BPY393203:BPY393274 BZU393203:BZU393274 CJQ393203:CJQ393274 CTM393203:CTM393274 DDI393203:DDI393274 DNE393203:DNE393274 DXA393203:DXA393274 EGW393203:EGW393274 EQS393203:EQS393274 FAO393203:FAO393274 FKK393203:FKK393274 FUG393203:FUG393274 GEC393203:GEC393274 GNY393203:GNY393274 GXU393203:GXU393274 HHQ393203:HHQ393274 HRM393203:HRM393274 IBI393203:IBI393274 ILE393203:ILE393274 IVA393203:IVA393274 JEW393203:JEW393274 JOS393203:JOS393274 JYO393203:JYO393274 KIK393203:KIK393274 KSG393203:KSG393274 LCC393203:LCC393274 LLY393203:LLY393274 LVU393203:LVU393274 MFQ393203:MFQ393274 MPM393203:MPM393274 MZI393203:MZI393274 NJE393203:NJE393274 NTA393203:NTA393274 OCW393203:OCW393274 OMS393203:OMS393274 OWO393203:OWO393274 PGK393203:PGK393274 PQG393203:PQG393274 QAC393203:QAC393274 QJY393203:QJY393274 QTU393203:QTU393274 RDQ393203:RDQ393274 RNM393203:RNM393274 RXI393203:RXI393274 SHE393203:SHE393274 SRA393203:SRA393274 TAW393203:TAW393274 TKS393203:TKS393274 TUO393203:TUO393274 UEK393203:UEK393274 UOG393203:UOG393274 UYC393203:UYC393274 VHY393203:VHY393274 VRU393203:VRU393274 WBQ393203:WBQ393274 WLM393203:WLM393274 WVI393203:WVI393274 A458739:A458810 IW458739:IW458810 SS458739:SS458810 ACO458739:ACO458810 AMK458739:AMK458810 AWG458739:AWG458810 BGC458739:BGC458810 BPY458739:BPY458810 BZU458739:BZU458810 CJQ458739:CJQ458810 CTM458739:CTM458810 DDI458739:DDI458810 DNE458739:DNE458810 DXA458739:DXA458810 EGW458739:EGW458810 EQS458739:EQS458810 FAO458739:FAO458810 FKK458739:FKK458810 FUG458739:FUG458810 GEC458739:GEC458810 GNY458739:GNY458810 GXU458739:GXU458810 HHQ458739:HHQ458810 HRM458739:HRM458810 IBI458739:IBI458810 ILE458739:ILE458810 IVA458739:IVA458810 JEW458739:JEW458810 JOS458739:JOS458810 JYO458739:JYO458810 KIK458739:KIK458810 KSG458739:KSG458810 LCC458739:LCC458810 LLY458739:LLY458810 LVU458739:LVU458810 MFQ458739:MFQ458810 MPM458739:MPM458810 MZI458739:MZI458810 NJE458739:NJE458810 NTA458739:NTA458810 OCW458739:OCW458810 OMS458739:OMS458810 OWO458739:OWO458810 PGK458739:PGK458810 PQG458739:PQG458810 QAC458739:QAC458810 QJY458739:QJY458810 QTU458739:QTU458810 RDQ458739:RDQ458810 RNM458739:RNM458810 RXI458739:RXI458810 SHE458739:SHE458810 SRA458739:SRA458810 TAW458739:TAW458810 TKS458739:TKS458810 TUO458739:TUO458810 UEK458739:UEK458810 UOG458739:UOG458810 UYC458739:UYC458810 VHY458739:VHY458810 VRU458739:VRU458810 WBQ458739:WBQ458810 WLM458739:WLM458810 WVI458739:WVI458810 A524275:A524346 IW524275:IW524346 SS524275:SS524346 ACO524275:ACO524346 AMK524275:AMK524346 AWG524275:AWG524346 BGC524275:BGC524346 BPY524275:BPY524346 BZU524275:BZU524346 CJQ524275:CJQ524346 CTM524275:CTM524346 DDI524275:DDI524346 DNE524275:DNE524346 DXA524275:DXA524346 EGW524275:EGW524346 EQS524275:EQS524346 FAO524275:FAO524346 FKK524275:FKK524346 FUG524275:FUG524346 GEC524275:GEC524346 GNY524275:GNY524346 GXU524275:GXU524346 HHQ524275:HHQ524346 HRM524275:HRM524346 IBI524275:IBI524346 ILE524275:ILE524346 IVA524275:IVA524346 JEW524275:JEW524346 JOS524275:JOS524346 JYO524275:JYO524346 KIK524275:KIK524346 KSG524275:KSG524346 LCC524275:LCC524346 LLY524275:LLY524346 LVU524275:LVU524346 MFQ524275:MFQ524346 MPM524275:MPM524346 MZI524275:MZI524346 NJE524275:NJE524346 NTA524275:NTA524346 OCW524275:OCW524346 OMS524275:OMS524346 OWO524275:OWO524346 PGK524275:PGK524346 PQG524275:PQG524346 QAC524275:QAC524346 QJY524275:QJY524346 QTU524275:QTU524346 RDQ524275:RDQ524346 RNM524275:RNM524346 RXI524275:RXI524346 SHE524275:SHE524346 SRA524275:SRA524346 TAW524275:TAW524346 TKS524275:TKS524346 TUO524275:TUO524346 UEK524275:UEK524346 UOG524275:UOG524346 UYC524275:UYC524346 VHY524275:VHY524346 VRU524275:VRU524346 WBQ524275:WBQ524346 WLM524275:WLM524346 WVI524275:WVI524346 A589811:A589882 IW589811:IW589882 SS589811:SS589882 ACO589811:ACO589882 AMK589811:AMK589882 AWG589811:AWG589882 BGC589811:BGC589882 BPY589811:BPY589882 BZU589811:BZU589882 CJQ589811:CJQ589882 CTM589811:CTM589882 DDI589811:DDI589882 DNE589811:DNE589882 DXA589811:DXA589882 EGW589811:EGW589882 EQS589811:EQS589882 FAO589811:FAO589882 FKK589811:FKK589882 FUG589811:FUG589882 GEC589811:GEC589882 GNY589811:GNY589882 GXU589811:GXU589882 HHQ589811:HHQ589882 HRM589811:HRM589882 IBI589811:IBI589882 ILE589811:ILE589882 IVA589811:IVA589882 JEW589811:JEW589882 JOS589811:JOS589882 JYO589811:JYO589882 KIK589811:KIK589882 KSG589811:KSG589882 LCC589811:LCC589882 LLY589811:LLY589882 LVU589811:LVU589882 MFQ589811:MFQ589882 MPM589811:MPM589882 MZI589811:MZI589882 NJE589811:NJE589882 NTA589811:NTA589882 OCW589811:OCW589882 OMS589811:OMS589882 OWO589811:OWO589882 PGK589811:PGK589882 PQG589811:PQG589882 QAC589811:QAC589882 QJY589811:QJY589882 QTU589811:QTU589882 RDQ589811:RDQ589882 RNM589811:RNM589882 RXI589811:RXI589882 SHE589811:SHE589882 SRA589811:SRA589882 TAW589811:TAW589882 TKS589811:TKS589882 TUO589811:TUO589882 UEK589811:UEK589882 UOG589811:UOG589882 UYC589811:UYC589882 VHY589811:VHY589882 VRU589811:VRU589882 WBQ589811:WBQ589882 WLM589811:WLM589882 WVI589811:WVI589882 A655347:A655418 IW655347:IW655418 SS655347:SS655418 ACO655347:ACO655418 AMK655347:AMK655418 AWG655347:AWG655418 BGC655347:BGC655418 BPY655347:BPY655418 BZU655347:BZU655418 CJQ655347:CJQ655418 CTM655347:CTM655418 DDI655347:DDI655418 DNE655347:DNE655418 DXA655347:DXA655418 EGW655347:EGW655418 EQS655347:EQS655418 FAO655347:FAO655418 FKK655347:FKK655418 FUG655347:FUG655418 GEC655347:GEC655418 GNY655347:GNY655418 GXU655347:GXU655418 HHQ655347:HHQ655418 HRM655347:HRM655418 IBI655347:IBI655418 ILE655347:ILE655418 IVA655347:IVA655418 JEW655347:JEW655418 JOS655347:JOS655418 JYO655347:JYO655418 KIK655347:KIK655418 KSG655347:KSG655418 LCC655347:LCC655418 LLY655347:LLY655418 LVU655347:LVU655418 MFQ655347:MFQ655418 MPM655347:MPM655418 MZI655347:MZI655418 NJE655347:NJE655418 NTA655347:NTA655418 OCW655347:OCW655418 OMS655347:OMS655418 OWO655347:OWO655418 PGK655347:PGK655418 PQG655347:PQG655418 QAC655347:QAC655418 QJY655347:QJY655418 QTU655347:QTU655418 RDQ655347:RDQ655418 RNM655347:RNM655418 RXI655347:RXI655418 SHE655347:SHE655418 SRA655347:SRA655418 TAW655347:TAW655418 TKS655347:TKS655418 TUO655347:TUO655418 UEK655347:UEK655418 UOG655347:UOG655418 UYC655347:UYC655418 VHY655347:VHY655418 VRU655347:VRU655418 WBQ655347:WBQ655418 WLM655347:WLM655418 WVI655347:WVI655418 A720883:A720954 IW720883:IW720954 SS720883:SS720954 ACO720883:ACO720954 AMK720883:AMK720954 AWG720883:AWG720954 BGC720883:BGC720954 BPY720883:BPY720954 BZU720883:BZU720954 CJQ720883:CJQ720954 CTM720883:CTM720954 DDI720883:DDI720954 DNE720883:DNE720954 DXA720883:DXA720954 EGW720883:EGW720954 EQS720883:EQS720954 FAO720883:FAO720954 FKK720883:FKK720954 FUG720883:FUG720954 GEC720883:GEC720954 GNY720883:GNY720954 GXU720883:GXU720954 HHQ720883:HHQ720954 HRM720883:HRM720954 IBI720883:IBI720954 ILE720883:ILE720954 IVA720883:IVA720954 JEW720883:JEW720954 JOS720883:JOS720954 JYO720883:JYO720954 KIK720883:KIK720954 KSG720883:KSG720954 LCC720883:LCC720954 LLY720883:LLY720954 LVU720883:LVU720954 MFQ720883:MFQ720954 MPM720883:MPM720954 MZI720883:MZI720954 NJE720883:NJE720954 NTA720883:NTA720954 OCW720883:OCW720954 OMS720883:OMS720954 OWO720883:OWO720954 PGK720883:PGK720954 PQG720883:PQG720954 QAC720883:QAC720954 QJY720883:QJY720954 QTU720883:QTU720954 RDQ720883:RDQ720954 RNM720883:RNM720954 RXI720883:RXI720954 SHE720883:SHE720954 SRA720883:SRA720954 TAW720883:TAW720954 TKS720883:TKS720954 TUO720883:TUO720954 UEK720883:UEK720954 UOG720883:UOG720954 UYC720883:UYC720954 VHY720883:VHY720954 VRU720883:VRU720954 WBQ720883:WBQ720954 WLM720883:WLM720954 WVI720883:WVI720954 A786419:A786490 IW786419:IW786490 SS786419:SS786490 ACO786419:ACO786490 AMK786419:AMK786490 AWG786419:AWG786490 BGC786419:BGC786490 BPY786419:BPY786490 BZU786419:BZU786490 CJQ786419:CJQ786490 CTM786419:CTM786490 DDI786419:DDI786490 DNE786419:DNE786490 DXA786419:DXA786490 EGW786419:EGW786490 EQS786419:EQS786490 FAO786419:FAO786490 FKK786419:FKK786490 FUG786419:FUG786490 GEC786419:GEC786490 GNY786419:GNY786490 GXU786419:GXU786490 HHQ786419:HHQ786490 HRM786419:HRM786490 IBI786419:IBI786490 ILE786419:ILE786490 IVA786419:IVA786490 JEW786419:JEW786490 JOS786419:JOS786490 JYO786419:JYO786490 KIK786419:KIK786490 KSG786419:KSG786490 LCC786419:LCC786490 LLY786419:LLY786490 LVU786419:LVU786490 MFQ786419:MFQ786490 MPM786419:MPM786490 MZI786419:MZI786490 NJE786419:NJE786490 NTA786419:NTA786490 OCW786419:OCW786490 OMS786419:OMS786490 OWO786419:OWO786490 PGK786419:PGK786490 PQG786419:PQG786490 QAC786419:QAC786490 QJY786419:QJY786490 QTU786419:QTU786490 RDQ786419:RDQ786490 RNM786419:RNM786490 RXI786419:RXI786490 SHE786419:SHE786490 SRA786419:SRA786490 TAW786419:TAW786490 TKS786419:TKS786490 TUO786419:TUO786490 UEK786419:UEK786490 UOG786419:UOG786490 UYC786419:UYC786490 VHY786419:VHY786490 VRU786419:VRU786490 WBQ786419:WBQ786490 WLM786419:WLM786490 WVI786419:WVI786490 A851955:A852026 IW851955:IW852026 SS851955:SS852026 ACO851955:ACO852026 AMK851955:AMK852026 AWG851955:AWG852026 BGC851955:BGC852026 BPY851955:BPY852026 BZU851955:BZU852026 CJQ851955:CJQ852026 CTM851955:CTM852026 DDI851955:DDI852026 DNE851955:DNE852026 DXA851955:DXA852026 EGW851955:EGW852026 EQS851955:EQS852026 FAO851955:FAO852026 FKK851955:FKK852026 FUG851955:FUG852026 GEC851955:GEC852026 GNY851955:GNY852026 GXU851955:GXU852026 HHQ851955:HHQ852026 HRM851955:HRM852026 IBI851955:IBI852026 ILE851955:ILE852026 IVA851955:IVA852026 JEW851955:JEW852026 JOS851955:JOS852026 JYO851955:JYO852026 KIK851955:KIK852026 KSG851955:KSG852026 LCC851955:LCC852026 LLY851955:LLY852026 LVU851955:LVU852026 MFQ851955:MFQ852026 MPM851955:MPM852026 MZI851955:MZI852026 NJE851955:NJE852026 NTA851955:NTA852026 OCW851955:OCW852026 OMS851955:OMS852026 OWO851955:OWO852026 PGK851955:PGK852026 PQG851955:PQG852026 QAC851955:QAC852026 QJY851955:QJY852026 QTU851955:QTU852026 RDQ851955:RDQ852026 RNM851955:RNM852026 RXI851955:RXI852026 SHE851955:SHE852026 SRA851955:SRA852026 TAW851955:TAW852026 TKS851955:TKS852026 TUO851955:TUO852026 UEK851955:UEK852026 UOG851955:UOG852026 UYC851955:UYC852026 VHY851955:VHY852026 VRU851955:VRU852026 WBQ851955:WBQ852026 WLM851955:WLM852026 WVI851955:WVI852026 A917491:A917562 IW917491:IW917562 SS917491:SS917562 ACO917491:ACO917562 AMK917491:AMK917562 AWG917491:AWG917562 BGC917491:BGC917562 BPY917491:BPY917562 BZU917491:BZU917562 CJQ917491:CJQ917562 CTM917491:CTM917562 DDI917491:DDI917562 DNE917491:DNE917562 DXA917491:DXA917562 EGW917491:EGW917562 EQS917491:EQS917562 FAO917491:FAO917562 FKK917491:FKK917562 FUG917491:FUG917562 GEC917491:GEC917562 GNY917491:GNY917562 GXU917491:GXU917562 HHQ917491:HHQ917562 HRM917491:HRM917562 IBI917491:IBI917562 ILE917491:ILE917562 IVA917491:IVA917562 JEW917491:JEW917562 JOS917491:JOS917562 JYO917491:JYO917562 KIK917491:KIK917562 KSG917491:KSG917562 LCC917491:LCC917562 LLY917491:LLY917562 LVU917491:LVU917562 MFQ917491:MFQ917562 MPM917491:MPM917562 MZI917491:MZI917562 NJE917491:NJE917562 NTA917491:NTA917562 OCW917491:OCW917562 OMS917491:OMS917562 OWO917491:OWO917562 PGK917491:PGK917562 PQG917491:PQG917562 QAC917491:QAC917562 QJY917491:QJY917562 QTU917491:QTU917562 RDQ917491:RDQ917562 RNM917491:RNM917562 RXI917491:RXI917562 SHE917491:SHE917562 SRA917491:SRA917562 TAW917491:TAW917562 TKS917491:TKS917562 TUO917491:TUO917562 UEK917491:UEK917562 UOG917491:UOG917562 UYC917491:UYC917562 VHY917491:VHY917562 VRU917491:VRU917562 WBQ917491:WBQ917562 WLM917491:WLM917562 WVI917491:WVI917562 A983027:A983098 IW983027:IW983098 SS983027:SS983098 ACO983027:ACO983098 AMK983027:AMK983098 AWG983027:AWG983098 BGC983027:BGC983098 BPY983027:BPY983098 BZU983027:BZU983098 CJQ983027:CJQ983098 CTM983027:CTM983098 DDI983027:DDI983098 DNE983027:DNE983098 DXA983027:DXA983098 EGW983027:EGW983098 EQS983027:EQS983098 FAO983027:FAO983098 FKK983027:FKK983098 FUG983027:FUG983098 GEC983027:GEC983098 GNY983027:GNY983098 GXU983027:GXU983098 HHQ983027:HHQ983098 HRM983027:HRM983098 IBI983027:IBI983098 ILE983027:ILE983098 IVA983027:IVA983098 JEW983027:JEW983098 JOS983027:JOS983098 JYO983027:JYO983098 KIK983027:KIK983098 KSG983027:KSG983098 LCC983027:LCC983098 LLY983027:LLY983098 LVU983027:LVU983098 MFQ983027:MFQ983098 MPM983027:MPM983098 MZI983027:MZI983098 NJE983027:NJE983098 NTA983027:NTA983098 OCW983027:OCW983098 OMS983027:OMS983098 OWO983027:OWO983098 PGK983027:PGK983098 PQG983027:PQG983098 QAC983027:QAC983098 QJY983027:QJY983098 QTU983027:QTU983098 RDQ983027:RDQ983098 RNM983027:RNM983098 RXI983027:RXI983098 SHE983027:SHE983098 SRA983027:SRA983098 TAW983027:TAW983098 TKS983027:TKS983098 TUO983027:TUO983098 UEK983027:UEK983098 UOG983027:UOG983098 UYC983027:UYC983098 VHY983027:VHY983098 VRU983027:VRU983098 WBQ983027:WBQ983098 WLM983027:WLM983098 A2:A485 IW2:IW72 WVI2:WVI72 WLM2:WLM72 WBQ2:WBQ72 VRU2:VRU72 VHY2:VHY72 UYC2:UYC72 UOG2:UOG72 UEK2:UEK72 TUO2:TUO72 TKS2:TKS72 TAW2:TAW72 SRA2:SRA72 SHE2:SHE72 RXI2:RXI72 RNM2:RNM72 RDQ2:RDQ72 QTU2:QTU72 QJY2:QJY72 QAC2:QAC72 PQG2:PQG72 PGK2:PGK72 OWO2:OWO72 OMS2:OMS72 OCW2:OCW72 NTA2:NTA72 NJE2:NJE72 MZI2:MZI72 MPM2:MPM72 MFQ2:MFQ72 LVU2:LVU72 LLY2:LLY72 LCC2:LCC72 KSG2:KSG72 KIK2:KIK72 JYO2:JYO72 JOS2:JOS72 JEW2:JEW72 IVA2:IVA72 ILE2:ILE72 IBI2:IBI72 HRM2:HRM72 HHQ2:HHQ72 GXU2:GXU72 GNY2:GNY72 GEC2:GEC72 FUG2:FUG72 FKK2:FKK72 FAO2:FAO72 EQS2:EQS72 EGW2:EGW72 DXA2:DXA72 DNE2:DNE72 DDI2:DDI72 CTM2:CTM72 CJQ2:CJQ72 BZU2:BZU72 BPY2:BPY72 BGC2:BGC72 AWG2:AWG72 AMK2:AMK72 ACO2:ACO72 SS2:SS72" xr:uid="{1A4DA454-5D00-4676-9F3F-1599C98DE1B1}">
      <formula1>$AE$2:$AE$19</formula1>
    </dataValidation>
    <dataValidation type="list" allowBlank="1" showInputMessage="1" showErrorMessage="1" sqref="X64348:X64413 JT64348:JT64413 TP64348:TP64413 ADL64348:ADL64413 ANH64348:ANH64413 AXD64348:AXD64413 BGZ64348:BGZ64413 BQV64348:BQV64413 CAR64348:CAR64413 CKN64348:CKN64413 CUJ64348:CUJ64413 DEF64348:DEF64413 DOB64348:DOB64413 DXX64348:DXX64413 EHT64348:EHT64413 ERP64348:ERP64413 FBL64348:FBL64413 FLH64348:FLH64413 FVD64348:FVD64413 GEZ64348:GEZ64413 GOV64348:GOV64413 GYR64348:GYR64413 HIN64348:HIN64413 HSJ64348:HSJ64413 ICF64348:ICF64413 IMB64348:IMB64413 IVX64348:IVX64413 JFT64348:JFT64413 JPP64348:JPP64413 JZL64348:JZL64413 KJH64348:KJH64413 KTD64348:KTD64413 LCZ64348:LCZ64413 LMV64348:LMV64413 LWR64348:LWR64413 MGN64348:MGN64413 MQJ64348:MQJ64413 NAF64348:NAF64413 NKB64348:NKB64413 NTX64348:NTX64413 ODT64348:ODT64413 ONP64348:ONP64413 OXL64348:OXL64413 PHH64348:PHH64413 PRD64348:PRD64413 QAZ64348:QAZ64413 QKV64348:QKV64413 QUR64348:QUR64413 REN64348:REN64413 ROJ64348:ROJ64413 RYF64348:RYF64413 SIB64348:SIB64413 SRX64348:SRX64413 TBT64348:TBT64413 TLP64348:TLP64413 TVL64348:TVL64413 UFH64348:UFH64413 UPD64348:UPD64413 UYZ64348:UYZ64413 VIV64348:VIV64413 VSR64348:VSR64413 WCN64348:WCN64413 WMJ64348:WMJ64413 WWF64348:WWF64413 X129884:X129949 JT129884:JT129949 TP129884:TP129949 ADL129884:ADL129949 ANH129884:ANH129949 AXD129884:AXD129949 BGZ129884:BGZ129949 BQV129884:BQV129949 CAR129884:CAR129949 CKN129884:CKN129949 CUJ129884:CUJ129949 DEF129884:DEF129949 DOB129884:DOB129949 DXX129884:DXX129949 EHT129884:EHT129949 ERP129884:ERP129949 FBL129884:FBL129949 FLH129884:FLH129949 FVD129884:FVD129949 GEZ129884:GEZ129949 GOV129884:GOV129949 GYR129884:GYR129949 HIN129884:HIN129949 HSJ129884:HSJ129949 ICF129884:ICF129949 IMB129884:IMB129949 IVX129884:IVX129949 JFT129884:JFT129949 JPP129884:JPP129949 JZL129884:JZL129949 KJH129884:KJH129949 KTD129884:KTD129949 LCZ129884:LCZ129949 LMV129884:LMV129949 LWR129884:LWR129949 MGN129884:MGN129949 MQJ129884:MQJ129949 NAF129884:NAF129949 NKB129884:NKB129949 NTX129884:NTX129949 ODT129884:ODT129949 ONP129884:ONP129949 OXL129884:OXL129949 PHH129884:PHH129949 PRD129884:PRD129949 QAZ129884:QAZ129949 QKV129884:QKV129949 QUR129884:QUR129949 REN129884:REN129949 ROJ129884:ROJ129949 RYF129884:RYF129949 SIB129884:SIB129949 SRX129884:SRX129949 TBT129884:TBT129949 TLP129884:TLP129949 TVL129884:TVL129949 UFH129884:UFH129949 UPD129884:UPD129949 UYZ129884:UYZ129949 VIV129884:VIV129949 VSR129884:VSR129949 WCN129884:WCN129949 WMJ129884:WMJ129949 WWF129884:WWF129949 X195420:X195485 JT195420:JT195485 TP195420:TP195485 ADL195420:ADL195485 ANH195420:ANH195485 AXD195420:AXD195485 BGZ195420:BGZ195485 BQV195420:BQV195485 CAR195420:CAR195485 CKN195420:CKN195485 CUJ195420:CUJ195485 DEF195420:DEF195485 DOB195420:DOB195485 DXX195420:DXX195485 EHT195420:EHT195485 ERP195420:ERP195485 FBL195420:FBL195485 FLH195420:FLH195485 FVD195420:FVD195485 GEZ195420:GEZ195485 GOV195420:GOV195485 GYR195420:GYR195485 HIN195420:HIN195485 HSJ195420:HSJ195485 ICF195420:ICF195485 IMB195420:IMB195485 IVX195420:IVX195485 JFT195420:JFT195485 JPP195420:JPP195485 JZL195420:JZL195485 KJH195420:KJH195485 KTD195420:KTD195485 LCZ195420:LCZ195485 LMV195420:LMV195485 LWR195420:LWR195485 MGN195420:MGN195485 MQJ195420:MQJ195485 NAF195420:NAF195485 NKB195420:NKB195485 NTX195420:NTX195485 ODT195420:ODT195485 ONP195420:ONP195485 OXL195420:OXL195485 PHH195420:PHH195485 PRD195420:PRD195485 QAZ195420:QAZ195485 QKV195420:QKV195485 QUR195420:QUR195485 REN195420:REN195485 ROJ195420:ROJ195485 RYF195420:RYF195485 SIB195420:SIB195485 SRX195420:SRX195485 TBT195420:TBT195485 TLP195420:TLP195485 TVL195420:TVL195485 UFH195420:UFH195485 UPD195420:UPD195485 UYZ195420:UYZ195485 VIV195420:VIV195485 VSR195420:VSR195485 WCN195420:WCN195485 WMJ195420:WMJ195485 WWF195420:WWF195485 X260956:X261021 JT260956:JT261021 TP260956:TP261021 ADL260956:ADL261021 ANH260956:ANH261021 AXD260956:AXD261021 BGZ260956:BGZ261021 BQV260956:BQV261021 CAR260956:CAR261021 CKN260956:CKN261021 CUJ260956:CUJ261021 DEF260956:DEF261021 DOB260956:DOB261021 DXX260956:DXX261021 EHT260956:EHT261021 ERP260956:ERP261021 FBL260956:FBL261021 FLH260956:FLH261021 FVD260956:FVD261021 GEZ260956:GEZ261021 GOV260956:GOV261021 GYR260956:GYR261021 HIN260956:HIN261021 HSJ260956:HSJ261021 ICF260956:ICF261021 IMB260956:IMB261021 IVX260956:IVX261021 JFT260956:JFT261021 JPP260956:JPP261021 JZL260956:JZL261021 KJH260956:KJH261021 KTD260956:KTD261021 LCZ260956:LCZ261021 LMV260956:LMV261021 LWR260956:LWR261021 MGN260956:MGN261021 MQJ260956:MQJ261021 NAF260956:NAF261021 NKB260956:NKB261021 NTX260956:NTX261021 ODT260956:ODT261021 ONP260956:ONP261021 OXL260956:OXL261021 PHH260956:PHH261021 PRD260956:PRD261021 QAZ260956:QAZ261021 QKV260956:QKV261021 QUR260956:QUR261021 REN260956:REN261021 ROJ260956:ROJ261021 RYF260956:RYF261021 SIB260956:SIB261021 SRX260956:SRX261021 TBT260956:TBT261021 TLP260956:TLP261021 TVL260956:TVL261021 UFH260956:UFH261021 UPD260956:UPD261021 UYZ260956:UYZ261021 VIV260956:VIV261021 VSR260956:VSR261021 WCN260956:WCN261021 WMJ260956:WMJ261021 WWF260956:WWF261021 X326492:X326557 JT326492:JT326557 TP326492:TP326557 ADL326492:ADL326557 ANH326492:ANH326557 AXD326492:AXD326557 BGZ326492:BGZ326557 BQV326492:BQV326557 CAR326492:CAR326557 CKN326492:CKN326557 CUJ326492:CUJ326557 DEF326492:DEF326557 DOB326492:DOB326557 DXX326492:DXX326557 EHT326492:EHT326557 ERP326492:ERP326557 FBL326492:FBL326557 FLH326492:FLH326557 FVD326492:FVD326557 GEZ326492:GEZ326557 GOV326492:GOV326557 GYR326492:GYR326557 HIN326492:HIN326557 HSJ326492:HSJ326557 ICF326492:ICF326557 IMB326492:IMB326557 IVX326492:IVX326557 JFT326492:JFT326557 JPP326492:JPP326557 JZL326492:JZL326557 KJH326492:KJH326557 KTD326492:KTD326557 LCZ326492:LCZ326557 LMV326492:LMV326557 LWR326492:LWR326557 MGN326492:MGN326557 MQJ326492:MQJ326557 NAF326492:NAF326557 NKB326492:NKB326557 NTX326492:NTX326557 ODT326492:ODT326557 ONP326492:ONP326557 OXL326492:OXL326557 PHH326492:PHH326557 PRD326492:PRD326557 QAZ326492:QAZ326557 QKV326492:QKV326557 QUR326492:QUR326557 REN326492:REN326557 ROJ326492:ROJ326557 RYF326492:RYF326557 SIB326492:SIB326557 SRX326492:SRX326557 TBT326492:TBT326557 TLP326492:TLP326557 TVL326492:TVL326557 UFH326492:UFH326557 UPD326492:UPD326557 UYZ326492:UYZ326557 VIV326492:VIV326557 VSR326492:VSR326557 WCN326492:WCN326557 WMJ326492:WMJ326557 WWF326492:WWF326557 X392028:X392093 JT392028:JT392093 TP392028:TP392093 ADL392028:ADL392093 ANH392028:ANH392093 AXD392028:AXD392093 BGZ392028:BGZ392093 BQV392028:BQV392093 CAR392028:CAR392093 CKN392028:CKN392093 CUJ392028:CUJ392093 DEF392028:DEF392093 DOB392028:DOB392093 DXX392028:DXX392093 EHT392028:EHT392093 ERP392028:ERP392093 FBL392028:FBL392093 FLH392028:FLH392093 FVD392028:FVD392093 GEZ392028:GEZ392093 GOV392028:GOV392093 GYR392028:GYR392093 HIN392028:HIN392093 HSJ392028:HSJ392093 ICF392028:ICF392093 IMB392028:IMB392093 IVX392028:IVX392093 JFT392028:JFT392093 JPP392028:JPP392093 JZL392028:JZL392093 KJH392028:KJH392093 KTD392028:KTD392093 LCZ392028:LCZ392093 LMV392028:LMV392093 LWR392028:LWR392093 MGN392028:MGN392093 MQJ392028:MQJ392093 NAF392028:NAF392093 NKB392028:NKB392093 NTX392028:NTX392093 ODT392028:ODT392093 ONP392028:ONP392093 OXL392028:OXL392093 PHH392028:PHH392093 PRD392028:PRD392093 QAZ392028:QAZ392093 QKV392028:QKV392093 QUR392028:QUR392093 REN392028:REN392093 ROJ392028:ROJ392093 RYF392028:RYF392093 SIB392028:SIB392093 SRX392028:SRX392093 TBT392028:TBT392093 TLP392028:TLP392093 TVL392028:TVL392093 UFH392028:UFH392093 UPD392028:UPD392093 UYZ392028:UYZ392093 VIV392028:VIV392093 VSR392028:VSR392093 WCN392028:WCN392093 WMJ392028:WMJ392093 WWF392028:WWF392093 X457564:X457629 JT457564:JT457629 TP457564:TP457629 ADL457564:ADL457629 ANH457564:ANH457629 AXD457564:AXD457629 BGZ457564:BGZ457629 BQV457564:BQV457629 CAR457564:CAR457629 CKN457564:CKN457629 CUJ457564:CUJ457629 DEF457564:DEF457629 DOB457564:DOB457629 DXX457564:DXX457629 EHT457564:EHT457629 ERP457564:ERP457629 FBL457564:FBL457629 FLH457564:FLH457629 FVD457564:FVD457629 GEZ457564:GEZ457629 GOV457564:GOV457629 GYR457564:GYR457629 HIN457564:HIN457629 HSJ457564:HSJ457629 ICF457564:ICF457629 IMB457564:IMB457629 IVX457564:IVX457629 JFT457564:JFT457629 JPP457564:JPP457629 JZL457564:JZL457629 KJH457564:KJH457629 KTD457564:KTD457629 LCZ457564:LCZ457629 LMV457564:LMV457629 LWR457564:LWR457629 MGN457564:MGN457629 MQJ457564:MQJ457629 NAF457564:NAF457629 NKB457564:NKB457629 NTX457564:NTX457629 ODT457564:ODT457629 ONP457564:ONP457629 OXL457564:OXL457629 PHH457564:PHH457629 PRD457564:PRD457629 QAZ457564:QAZ457629 QKV457564:QKV457629 QUR457564:QUR457629 REN457564:REN457629 ROJ457564:ROJ457629 RYF457564:RYF457629 SIB457564:SIB457629 SRX457564:SRX457629 TBT457564:TBT457629 TLP457564:TLP457629 TVL457564:TVL457629 UFH457564:UFH457629 UPD457564:UPD457629 UYZ457564:UYZ457629 VIV457564:VIV457629 VSR457564:VSR457629 WCN457564:WCN457629 WMJ457564:WMJ457629 WWF457564:WWF457629 X523100:X523165 JT523100:JT523165 TP523100:TP523165 ADL523100:ADL523165 ANH523100:ANH523165 AXD523100:AXD523165 BGZ523100:BGZ523165 BQV523100:BQV523165 CAR523100:CAR523165 CKN523100:CKN523165 CUJ523100:CUJ523165 DEF523100:DEF523165 DOB523100:DOB523165 DXX523100:DXX523165 EHT523100:EHT523165 ERP523100:ERP523165 FBL523100:FBL523165 FLH523100:FLH523165 FVD523100:FVD523165 GEZ523100:GEZ523165 GOV523100:GOV523165 GYR523100:GYR523165 HIN523100:HIN523165 HSJ523100:HSJ523165 ICF523100:ICF523165 IMB523100:IMB523165 IVX523100:IVX523165 JFT523100:JFT523165 JPP523100:JPP523165 JZL523100:JZL523165 KJH523100:KJH523165 KTD523100:KTD523165 LCZ523100:LCZ523165 LMV523100:LMV523165 LWR523100:LWR523165 MGN523100:MGN523165 MQJ523100:MQJ523165 NAF523100:NAF523165 NKB523100:NKB523165 NTX523100:NTX523165 ODT523100:ODT523165 ONP523100:ONP523165 OXL523100:OXL523165 PHH523100:PHH523165 PRD523100:PRD523165 QAZ523100:QAZ523165 QKV523100:QKV523165 QUR523100:QUR523165 REN523100:REN523165 ROJ523100:ROJ523165 RYF523100:RYF523165 SIB523100:SIB523165 SRX523100:SRX523165 TBT523100:TBT523165 TLP523100:TLP523165 TVL523100:TVL523165 UFH523100:UFH523165 UPD523100:UPD523165 UYZ523100:UYZ523165 VIV523100:VIV523165 VSR523100:VSR523165 WCN523100:WCN523165 WMJ523100:WMJ523165 WWF523100:WWF523165 X588636:X588701 JT588636:JT588701 TP588636:TP588701 ADL588636:ADL588701 ANH588636:ANH588701 AXD588636:AXD588701 BGZ588636:BGZ588701 BQV588636:BQV588701 CAR588636:CAR588701 CKN588636:CKN588701 CUJ588636:CUJ588701 DEF588636:DEF588701 DOB588636:DOB588701 DXX588636:DXX588701 EHT588636:EHT588701 ERP588636:ERP588701 FBL588636:FBL588701 FLH588636:FLH588701 FVD588636:FVD588701 GEZ588636:GEZ588701 GOV588636:GOV588701 GYR588636:GYR588701 HIN588636:HIN588701 HSJ588636:HSJ588701 ICF588636:ICF588701 IMB588636:IMB588701 IVX588636:IVX588701 JFT588636:JFT588701 JPP588636:JPP588701 JZL588636:JZL588701 KJH588636:KJH588701 KTD588636:KTD588701 LCZ588636:LCZ588701 LMV588636:LMV588701 LWR588636:LWR588701 MGN588636:MGN588701 MQJ588636:MQJ588701 NAF588636:NAF588701 NKB588636:NKB588701 NTX588636:NTX588701 ODT588636:ODT588701 ONP588636:ONP588701 OXL588636:OXL588701 PHH588636:PHH588701 PRD588636:PRD588701 QAZ588636:QAZ588701 QKV588636:QKV588701 QUR588636:QUR588701 REN588636:REN588701 ROJ588636:ROJ588701 RYF588636:RYF588701 SIB588636:SIB588701 SRX588636:SRX588701 TBT588636:TBT588701 TLP588636:TLP588701 TVL588636:TVL588701 UFH588636:UFH588701 UPD588636:UPD588701 UYZ588636:UYZ588701 VIV588636:VIV588701 VSR588636:VSR588701 WCN588636:WCN588701 WMJ588636:WMJ588701 WWF588636:WWF588701 X654172:X654237 JT654172:JT654237 TP654172:TP654237 ADL654172:ADL654237 ANH654172:ANH654237 AXD654172:AXD654237 BGZ654172:BGZ654237 BQV654172:BQV654237 CAR654172:CAR654237 CKN654172:CKN654237 CUJ654172:CUJ654237 DEF654172:DEF654237 DOB654172:DOB654237 DXX654172:DXX654237 EHT654172:EHT654237 ERP654172:ERP654237 FBL654172:FBL654237 FLH654172:FLH654237 FVD654172:FVD654237 GEZ654172:GEZ654237 GOV654172:GOV654237 GYR654172:GYR654237 HIN654172:HIN654237 HSJ654172:HSJ654237 ICF654172:ICF654237 IMB654172:IMB654237 IVX654172:IVX654237 JFT654172:JFT654237 JPP654172:JPP654237 JZL654172:JZL654237 KJH654172:KJH654237 KTD654172:KTD654237 LCZ654172:LCZ654237 LMV654172:LMV654237 LWR654172:LWR654237 MGN654172:MGN654237 MQJ654172:MQJ654237 NAF654172:NAF654237 NKB654172:NKB654237 NTX654172:NTX654237 ODT654172:ODT654237 ONP654172:ONP654237 OXL654172:OXL654237 PHH654172:PHH654237 PRD654172:PRD654237 QAZ654172:QAZ654237 QKV654172:QKV654237 QUR654172:QUR654237 REN654172:REN654237 ROJ654172:ROJ654237 RYF654172:RYF654237 SIB654172:SIB654237 SRX654172:SRX654237 TBT654172:TBT654237 TLP654172:TLP654237 TVL654172:TVL654237 UFH654172:UFH654237 UPD654172:UPD654237 UYZ654172:UYZ654237 VIV654172:VIV654237 VSR654172:VSR654237 WCN654172:WCN654237 WMJ654172:WMJ654237 WWF654172:WWF654237 X719708:X719773 JT719708:JT719773 TP719708:TP719773 ADL719708:ADL719773 ANH719708:ANH719773 AXD719708:AXD719773 BGZ719708:BGZ719773 BQV719708:BQV719773 CAR719708:CAR719773 CKN719708:CKN719773 CUJ719708:CUJ719773 DEF719708:DEF719773 DOB719708:DOB719773 DXX719708:DXX719773 EHT719708:EHT719773 ERP719708:ERP719773 FBL719708:FBL719773 FLH719708:FLH719773 FVD719708:FVD719773 GEZ719708:GEZ719773 GOV719708:GOV719773 GYR719708:GYR719773 HIN719708:HIN719773 HSJ719708:HSJ719773 ICF719708:ICF719773 IMB719708:IMB719773 IVX719708:IVX719773 JFT719708:JFT719773 JPP719708:JPP719773 JZL719708:JZL719773 KJH719708:KJH719773 KTD719708:KTD719773 LCZ719708:LCZ719773 LMV719708:LMV719773 LWR719708:LWR719773 MGN719708:MGN719773 MQJ719708:MQJ719773 NAF719708:NAF719773 NKB719708:NKB719773 NTX719708:NTX719773 ODT719708:ODT719773 ONP719708:ONP719773 OXL719708:OXL719773 PHH719708:PHH719773 PRD719708:PRD719773 QAZ719708:QAZ719773 QKV719708:QKV719773 QUR719708:QUR719773 REN719708:REN719773 ROJ719708:ROJ719773 RYF719708:RYF719773 SIB719708:SIB719773 SRX719708:SRX719773 TBT719708:TBT719773 TLP719708:TLP719773 TVL719708:TVL719773 UFH719708:UFH719773 UPD719708:UPD719773 UYZ719708:UYZ719773 VIV719708:VIV719773 VSR719708:VSR719773 WCN719708:WCN719773 WMJ719708:WMJ719773 WWF719708:WWF719773 X785244:X785309 JT785244:JT785309 TP785244:TP785309 ADL785244:ADL785309 ANH785244:ANH785309 AXD785244:AXD785309 BGZ785244:BGZ785309 BQV785244:BQV785309 CAR785244:CAR785309 CKN785244:CKN785309 CUJ785244:CUJ785309 DEF785244:DEF785309 DOB785244:DOB785309 DXX785244:DXX785309 EHT785244:EHT785309 ERP785244:ERP785309 FBL785244:FBL785309 FLH785244:FLH785309 FVD785244:FVD785309 GEZ785244:GEZ785309 GOV785244:GOV785309 GYR785244:GYR785309 HIN785244:HIN785309 HSJ785244:HSJ785309 ICF785244:ICF785309 IMB785244:IMB785309 IVX785244:IVX785309 JFT785244:JFT785309 JPP785244:JPP785309 JZL785244:JZL785309 KJH785244:KJH785309 KTD785244:KTD785309 LCZ785244:LCZ785309 LMV785244:LMV785309 LWR785244:LWR785309 MGN785244:MGN785309 MQJ785244:MQJ785309 NAF785244:NAF785309 NKB785244:NKB785309 NTX785244:NTX785309 ODT785244:ODT785309 ONP785244:ONP785309 OXL785244:OXL785309 PHH785244:PHH785309 PRD785244:PRD785309 QAZ785244:QAZ785309 QKV785244:QKV785309 QUR785244:QUR785309 REN785244:REN785309 ROJ785244:ROJ785309 RYF785244:RYF785309 SIB785244:SIB785309 SRX785244:SRX785309 TBT785244:TBT785309 TLP785244:TLP785309 TVL785244:TVL785309 UFH785244:UFH785309 UPD785244:UPD785309 UYZ785244:UYZ785309 VIV785244:VIV785309 VSR785244:VSR785309 WCN785244:WCN785309 WMJ785244:WMJ785309 WWF785244:WWF785309 X850780:X850845 JT850780:JT850845 TP850780:TP850845 ADL850780:ADL850845 ANH850780:ANH850845 AXD850780:AXD850845 BGZ850780:BGZ850845 BQV850780:BQV850845 CAR850780:CAR850845 CKN850780:CKN850845 CUJ850780:CUJ850845 DEF850780:DEF850845 DOB850780:DOB850845 DXX850780:DXX850845 EHT850780:EHT850845 ERP850780:ERP850845 FBL850780:FBL850845 FLH850780:FLH850845 FVD850780:FVD850845 GEZ850780:GEZ850845 GOV850780:GOV850845 GYR850780:GYR850845 HIN850780:HIN850845 HSJ850780:HSJ850845 ICF850780:ICF850845 IMB850780:IMB850845 IVX850780:IVX850845 JFT850780:JFT850845 JPP850780:JPP850845 JZL850780:JZL850845 KJH850780:KJH850845 KTD850780:KTD850845 LCZ850780:LCZ850845 LMV850780:LMV850845 LWR850780:LWR850845 MGN850780:MGN850845 MQJ850780:MQJ850845 NAF850780:NAF850845 NKB850780:NKB850845 NTX850780:NTX850845 ODT850780:ODT850845 ONP850780:ONP850845 OXL850780:OXL850845 PHH850780:PHH850845 PRD850780:PRD850845 QAZ850780:QAZ850845 QKV850780:QKV850845 QUR850780:QUR850845 REN850780:REN850845 ROJ850780:ROJ850845 RYF850780:RYF850845 SIB850780:SIB850845 SRX850780:SRX850845 TBT850780:TBT850845 TLP850780:TLP850845 TVL850780:TVL850845 UFH850780:UFH850845 UPD850780:UPD850845 UYZ850780:UYZ850845 VIV850780:VIV850845 VSR850780:VSR850845 WCN850780:WCN850845 WMJ850780:WMJ850845 WWF850780:WWF850845 X916316:X916381 JT916316:JT916381 TP916316:TP916381 ADL916316:ADL916381 ANH916316:ANH916381 AXD916316:AXD916381 BGZ916316:BGZ916381 BQV916316:BQV916381 CAR916316:CAR916381 CKN916316:CKN916381 CUJ916316:CUJ916381 DEF916316:DEF916381 DOB916316:DOB916381 DXX916316:DXX916381 EHT916316:EHT916381 ERP916316:ERP916381 FBL916316:FBL916381 FLH916316:FLH916381 FVD916316:FVD916381 GEZ916316:GEZ916381 GOV916316:GOV916381 GYR916316:GYR916381 HIN916316:HIN916381 HSJ916316:HSJ916381 ICF916316:ICF916381 IMB916316:IMB916381 IVX916316:IVX916381 JFT916316:JFT916381 JPP916316:JPP916381 JZL916316:JZL916381 KJH916316:KJH916381 KTD916316:KTD916381 LCZ916316:LCZ916381 LMV916316:LMV916381 LWR916316:LWR916381 MGN916316:MGN916381 MQJ916316:MQJ916381 NAF916316:NAF916381 NKB916316:NKB916381 NTX916316:NTX916381 ODT916316:ODT916381 ONP916316:ONP916381 OXL916316:OXL916381 PHH916316:PHH916381 PRD916316:PRD916381 QAZ916316:QAZ916381 QKV916316:QKV916381 QUR916316:QUR916381 REN916316:REN916381 ROJ916316:ROJ916381 RYF916316:RYF916381 SIB916316:SIB916381 SRX916316:SRX916381 TBT916316:TBT916381 TLP916316:TLP916381 TVL916316:TVL916381 UFH916316:UFH916381 UPD916316:UPD916381 UYZ916316:UYZ916381 VIV916316:VIV916381 VSR916316:VSR916381 WCN916316:WCN916381 WMJ916316:WMJ916381 WWF916316:WWF916381 X981852:X981917 JT981852:JT981917 TP981852:TP981917 ADL981852:ADL981917 ANH981852:ANH981917 AXD981852:AXD981917 BGZ981852:BGZ981917 BQV981852:BQV981917 CAR981852:CAR981917 CKN981852:CKN981917 CUJ981852:CUJ981917 DEF981852:DEF981917 DOB981852:DOB981917 DXX981852:DXX981917 EHT981852:EHT981917 ERP981852:ERP981917 FBL981852:FBL981917 FLH981852:FLH981917 FVD981852:FVD981917 GEZ981852:GEZ981917 GOV981852:GOV981917 GYR981852:GYR981917 HIN981852:HIN981917 HSJ981852:HSJ981917 ICF981852:ICF981917 IMB981852:IMB981917 IVX981852:IVX981917 JFT981852:JFT981917 JPP981852:JPP981917 JZL981852:JZL981917 KJH981852:KJH981917 KTD981852:KTD981917 LCZ981852:LCZ981917 LMV981852:LMV981917 LWR981852:LWR981917 MGN981852:MGN981917 MQJ981852:MQJ981917 NAF981852:NAF981917 NKB981852:NKB981917 NTX981852:NTX981917 ODT981852:ODT981917 ONP981852:ONP981917 OXL981852:OXL981917 PHH981852:PHH981917 PRD981852:PRD981917 QAZ981852:QAZ981917 QKV981852:QKV981917 QUR981852:QUR981917 REN981852:REN981917 ROJ981852:ROJ981917 RYF981852:RYF981917 SIB981852:SIB981917 SRX981852:SRX981917 TBT981852:TBT981917 TLP981852:TLP981917 TVL981852:TVL981917 UFH981852:UFH981917 UPD981852:UPD981917 UYZ981852:UYZ981917 VIV981852:VIV981917 VSR981852:VSR981917 WCN981852:WCN981917 WMJ981852:WMJ981917 WWF981852:WWF981917 X1047388:X1047453 JT1047388:JT1047453 TP1047388:TP1047453 ADL1047388:ADL1047453 ANH1047388:ANH1047453 AXD1047388:AXD1047453 BGZ1047388:BGZ1047453 BQV1047388:BQV1047453 CAR1047388:CAR1047453 CKN1047388:CKN1047453 CUJ1047388:CUJ1047453 DEF1047388:DEF1047453 DOB1047388:DOB1047453 DXX1047388:DXX1047453 EHT1047388:EHT1047453 ERP1047388:ERP1047453 FBL1047388:FBL1047453 FLH1047388:FLH1047453 FVD1047388:FVD1047453 GEZ1047388:GEZ1047453 GOV1047388:GOV1047453 GYR1047388:GYR1047453 HIN1047388:HIN1047453 HSJ1047388:HSJ1047453 ICF1047388:ICF1047453 IMB1047388:IMB1047453 IVX1047388:IVX1047453 JFT1047388:JFT1047453 JPP1047388:JPP1047453 JZL1047388:JZL1047453 KJH1047388:KJH1047453 KTD1047388:KTD1047453 LCZ1047388:LCZ1047453 LMV1047388:LMV1047453 LWR1047388:LWR1047453 MGN1047388:MGN1047453 MQJ1047388:MQJ1047453 NAF1047388:NAF1047453 NKB1047388:NKB1047453 NTX1047388:NTX1047453 ODT1047388:ODT1047453 ONP1047388:ONP1047453 OXL1047388:OXL1047453 PHH1047388:PHH1047453 PRD1047388:PRD1047453 QAZ1047388:QAZ1047453 QKV1047388:QKV1047453 QUR1047388:QUR1047453 REN1047388:REN1047453 ROJ1047388:ROJ1047453 RYF1047388:RYF1047453 SIB1047388:SIB1047453 SRX1047388:SRX1047453 TBT1047388:TBT1047453 TLP1047388:TLP1047453 TVL1047388:TVL1047453 UFH1047388:UFH1047453 UPD1047388:UPD1047453 UYZ1047388:UYZ1047453 VIV1047388:VIV1047453 VSR1047388:VSR1047453 WCN1047388:WCN1047453 WMJ1047388:WMJ1047453 WWF1047388:WWF1047453 WWF983027:WWF983092 X65523:X65588 JT65523:JT65588 TP65523:TP65588 ADL65523:ADL65588 ANH65523:ANH65588 AXD65523:AXD65588 BGZ65523:BGZ65588 BQV65523:BQV65588 CAR65523:CAR65588 CKN65523:CKN65588 CUJ65523:CUJ65588 DEF65523:DEF65588 DOB65523:DOB65588 DXX65523:DXX65588 EHT65523:EHT65588 ERP65523:ERP65588 FBL65523:FBL65588 FLH65523:FLH65588 FVD65523:FVD65588 GEZ65523:GEZ65588 GOV65523:GOV65588 GYR65523:GYR65588 HIN65523:HIN65588 HSJ65523:HSJ65588 ICF65523:ICF65588 IMB65523:IMB65588 IVX65523:IVX65588 JFT65523:JFT65588 JPP65523:JPP65588 JZL65523:JZL65588 KJH65523:KJH65588 KTD65523:KTD65588 LCZ65523:LCZ65588 LMV65523:LMV65588 LWR65523:LWR65588 MGN65523:MGN65588 MQJ65523:MQJ65588 NAF65523:NAF65588 NKB65523:NKB65588 NTX65523:NTX65588 ODT65523:ODT65588 ONP65523:ONP65588 OXL65523:OXL65588 PHH65523:PHH65588 PRD65523:PRD65588 QAZ65523:QAZ65588 QKV65523:QKV65588 QUR65523:QUR65588 REN65523:REN65588 ROJ65523:ROJ65588 RYF65523:RYF65588 SIB65523:SIB65588 SRX65523:SRX65588 TBT65523:TBT65588 TLP65523:TLP65588 TVL65523:TVL65588 UFH65523:UFH65588 UPD65523:UPD65588 UYZ65523:UYZ65588 VIV65523:VIV65588 VSR65523:VSR65588 WCN65523:WCN65588 WMJ65523:WMJ65588 WWF65523:WWF65588 X131059:X131124 JT131059:JT131124 TP131059:TP131124 ADL131059:ADL131124 ANH131059:ANH131124 AXD131059:AXD131124 BGZ131059:BGZ131124 BQV131059:BQV131124 CAR131059:CAR131124 CKN131059:CKN131124 CUJ131059:CUJ131124 DEF131059:DEF131124 DOB131059:DOB131124 DXX131059:DXX131124 EHT131059:EHT131124 ERP131059:ERP131124 FBL131059:FBL131124 FLH131059:FLH131124 FVD131059:FVD131124 GEZ131059:GEZ131124 GOV131059:GOV131124 GYR131059:GYR131124 HIN131059:HIN131124 HSJ131059:HSJ131124 ICF131059:ICF131124 IMB131059:IMB131124 IVX131059:IVX131124 JFT131059:JFT131124 JPP131059:JPP131124 JZL131059:JZL131124 KJH131059:KJH131124 KTD131059:KTD131124 LCZ131059:LCZ131124 LMV131059:LMV131124 LWR131059:LWR131124 MGN131059:MGN131124 MQJ131059:MQJ131124 NAF131059:NAF131124 NKB131059:NKB131124 NTX131059:NTX131124 ODT131059:ODT131124 ONP131059:ONP131124 OXL131059:OXL131124 PHH131059:PHH131124 PRD131059:PRD131124 QAZ131059:QAZ131124 QKV131059:QKV131124 QUR131059:QUR131124 REN131059:REN131124 ROJ131059:ROJ131124 RYF131059:RYF131124 SIB131059:SIB131124 SRX131059:SRX131124 TBT131059:TBT131124 TLP131059:TLP131124 TVL131059:TVL131124 UFH131059:UFH131124 UPD131059:UPD131124 UYZ131059:UYZ131124 VIV131059:VIV131124 VSR131059:VSR131124 WCN131059:WCN131124 WMJ131059:WMJ131124 WWF131059:WWF131124 X196595:X196660 JT196595:JT196660 TP196595:TP196660 ADL196595:ADL196660 ANH196595:ANH196660 AXD196595:AXD196660 BGZ196595:BGZ196660 BQV196595:BQV196660 CAR196595:CAR196660 CKN196595:CKN196660 CUJ196595:CUJ196660 DEF196595:DEF196660 DOB196595:DOB196660 DXX196595:DXX196660 EHT196595:EHT196660 ERP196595:ERP196660 FBL196595:FBL196660 FLH196595:FLH196660 FVD196595:FVD196660 GEZ196595:GEZ196660 GOV196595:GOV196660 GYR196595:GYR196660 HIN196595:HIN196660 HSJ196595:HSJ196660 ICF196595:ICF196660 IMB196595:IMB196660 IVX196595:IVX196660 JFT196595:JFT196660 JPP196595:JPP196660 JZL196595:JZL196660 KJH196595:KJH196660 KTD196595:KTD196660 LCZ196595:LCZ196660 LMV196595:LMV196660 LWR196595:LWR196660 MGN196595:MGN196660 MQJ196595:MQJ196660 NAF196595:NAF196660 NKB196595:NKB196660 NTX196595:NTX196660 ODT196595:ODT196660 ONP196595:ONP196660 OXL196595:OXL196660 PHH196595:PHH196660 PRD196595:PRD196660 QAZ196595:QAZ196660 QKV196595:QKV196660 QUR196595:QUR196660 REN196595:REN196660 ROJ196595:ROJ196660 RYF196595:RYF196660 SIB196595:SIB196660 SRX196595:SRX196660 TBT196595:TBT196660 TLP196595:TLP196660 TVL196595:TVL196660 UFH196595:UFH196660 UPD196595:UPD196660 UYZ196595:UYZ196660 VIV196595:VIV196660 VSR196595:VSR196660 WCN196595:WCN196660 WMJ196595:WMJ196660 WWF196595:WWF196660 X262131:X262196 JT262131:JT262196 TP262131:TP262196 ADL262131:ADL262196 ANH262131:ANH262196 AXD262131:AXD262196 BGZ262131:BGZ262196 BQV262131:BQV262196 CAR262131:CAR262196 CKN262131:CKN262196 CUJ262131:CUJ262196 DEF262131:DEF262196 DOB262131:DOB262196 DXX262131:DXX262196 EHT262131:EHT262196 ERP262131:ERP262196 FBL262131:FBL262196 FLH262131:FLH262196 FVD262131:FVD262196 GEZ262131:GEZ262196 GOV262131:GOV262196 GYR262131:GYR262196 HIN262131:HIN262196 HSJ262131:HSJ262196 ICF262131:ICF262196 IMB262131:IMB262196 IVX262131:IVX262196 JFT262131:JFT262196 JPP262131:JPP262196 JZL262131:JZL262196 KJH262131:KJH262196 KTD262131:KTD262196 LCZ262131:LCZ262196 LMV262131:LMV262196 LWR262131:LWR262196 MGN262131:MGN262196 MQJ262131:MQJ262196 NAF262131:NAF262196 NKB262131:NKB262196 NTX262131:NTX262196 ODT262131:ODT262196 ONP262131:ONP262196 OXL262131:OXL262196 PHH262131:PHH262196 PRD262131:PRD262196 QAZ262131:QAZ262196 QKV262131:QKV262196 QUR262131:QUR262196 REN262131:REN262196 ROJ262131:ROJ262196 RYF262131:RYF262196 SIB262131:SIB262196 SRX262131:SRX262196 TBT262131:TBT262196 TLP262131:TLP262196 TVL262131:TVL262196 UFH262131:UFH262196 UPD262131:UPD262196 UYZ262131:UYZ262196 VIV262131:VIV262196 VSR262131:VSR262196 WCN262131:WCN262196 WMJ262131:WMJ262196 WWF262131:WWF262196 X327667:X327732 JT327667:JT327732 TP327667:TP327732 ADL327667:ADL327732 ANH327667:ANH327732 AXD327667:AXD327732 BGZ327667:BGZ327732 BQV327667:BQV327732 CAR327667:CAR327732 CKN327667:CKN327732 CUJ327667:CUJ327732 DEF327667:DEF327732 DOB327667:DOB327732 DXX327667:DXX327732 EHT327667:EHT327732 ERP327667:ERP327732 FBL327667:FBL327732 FLH327667:FLH327732 FVD327667:FVD327732 GEZ327667:GEZ327732 GOV327667:GOV327732 GYR327667:GYR327732 HIN327667:HIN327732 HSJ327667:HSJ327732 ICF327667:ICF327732 IMB327667:IMB327732 IVX327667:IVX327732 JFT327667:JFT327732 JPP327667:JPP327732 JZL327667:JZL327732 KJH327667:KJH327732 KTD327667:KTD327732 LCZ327667:LCZ327732 LMV327667:LMV327732 LWR327667:LWR327732 MGN327667:MGN327732 MQJ327667:MQJ327732 NAF327667:NAF327732 NKB327667:NKB327732 NTX327667:NTX327732 ODT327667:ODT327732 ONP327667:ONP327732 OXL327667:OXL327732 PHH327667:PHH327732 PRD327667:PRD327732 QAZ327667:QAZ327732 QKV327667:QKV327732 QUR327667:QUR327732 REN327667:REN327732 ROJ327667:ROJ327732 RYF327667:RYF327732 SIB327667:SIB327732 SRX327667:SRX327732 TBT327667:TBT327732 TLP327667:TLP327732 TVL327667:TVL327732 UFH327667:UFH327732 UPD327667:UPD327732 UYZ327667:UYZ327732 VIV327667:VIV327732 VSR327667:VSR327732 WCN327667:WCN327732 WMJ327667:WMJ327732 WWF327667:WWF327732 X393203:X393268 JT393203:JT393268 TP393203:TP393268 ADL393203:ADL393268 ANH393203:ANH393268 AXD393203:AXD393268 BGZ393203:BGZ393268 BQV393203:BQV393268 CAR393203:CAR393268 CKN393203:CKN393268 CUJ393203:CUJ393268 DEF393203:DEF393268 DOB393203:DOB393268 DXX393203:DXX393268 EHT393203:EHT393268 ERP393203:ERP393268 FBL393203:FBL393268 FLH393203:FLH393268 FVD393203:FVD393268 GEZ393203:GEZ393268 GOV393203:GOV393268 GYR393203:GYR393268 HIN393203:HIN393268 HSJ393203:HSJ393268 ICF393203:ICF393268 IMB393203:IMB393268 IVX393203:IVX393268 JFT393203:JFT393268 JPP393203:JPP393268 JZL393203:JZL393268 KJH393203:KJH393268 KTD393203:KTD393268 LCZ393203:LCZ393268 LMV393203:LMV393268 LWR393203:LWR393268 MGN393203:MGN393268 MQJ393203:MQJ393268 NAF393203:NAF393268 NKB393203:NKB393268 NTX393203:NTX393268 ODT393203:ODT393268 ONP393203:ONP393268 OXL393203:OXL393268 PHH393203:PHH393268 PRD393203:PRD393268 QAZ393203:QAZ393268 QKV393203:QKV393268 QUR393203:QUR393268 REN393203:REN393268 ROJ393203:ROJ393268 RYF393203:RYF393268 SIB393203:SIB393268 SRX393203:SRX393268 TBT393203:TBT393268 TLP393203:TLP393268 TVL393203:TVL393268 UFH393203:UFH393268 UPD393203:UPD393268 UYZ393203:UYZ393268 VIV393203:VIV393268 VSR393203:VSR393268 WCN393203:WCN393268 WMJ393203:WMJ393268 WWF393203:WWF393268 X458739:X458804 JT458739:JT458804 TP458739:TP458804 ADL458739:ADL458804 ANH458739:ANH458804 AXD458739:AXD458804 BGZ458739:BGZ458804 BQV458739:BQV458804 CAR458739:CAR458804 CKN458739:CKN458804 CUJ458739:CUJ458804 DEF458739:DEF458804 DOB458739:DOB458804 DXX458739:DXX458804 EHT458739:EHT458804 ERP458739:ERP458804 FBL458739:FBL458804 FLH458739:FLH458804 FVD458739:FVD458804 GEZ458739:GEZ458804 GOV458739:GOV458804 GYR458739:GYR458804 HIN458739:HIN458804 HSJ458739:HSJ458804 ICF458739:ICF458804 IMB458739:IMB458804 IVX458739:IVX458804 JFT458739:JFT458804 JPP458739:JPP458804 JZL458739:JZL458804 KJH458739:KJH458804 KTD458739:KTD458804 LCZ458739:LCZ458804 LMV458739:LMV458804 LWR458739:LWR458804 MGN458739:MGN458804 MQJ458739:MQJ458804 NAF458739:NAF458804 NKB458739:NKB458804 NTX458739:NTX458804 ODT458739:ODT458804 ONP458739:ONP458804 OXL458739:OXL458804 PHH458739:PHH458804 PRD458739:PRD458804 QAZ458739:QAZ458804 QKV458739:QKV458804 QUR458739:QUR458804 REN458739:REN458804 ROJ458739:ROJ458804 RYF458739:RYF458804 SIB458739:SIB458804 SRX458739:SRX458804 TBT458739:TBT458804 TLP458739:TLP458804 TVL458739:TVL458804 UFH458739:UFH458804 UPD458739:UPD458804 UYZ458739:UYZ458804 VIV458739:VIV458804 VSR458739:VSR458804 WCN458739:WCN458804 WMJ458739:WMJ458804 WWF458739:WWF458804 X524275:X524340 JT524275:JT524340 TP524275:TP524340 ADL524275:ADL524340 ANH524275:ANH524340 AXD524275:AXD524340 BGZ524275:BGZ524340 BQV524275:BQV524340 CAR524275:CAR524340 CKN524275:CKN524340 CUJ524275:CUJ524340 DEF524275:DEF524340 DOB524275:DOB524340 DXX524275:DXX524340 EHT524275:EHT524340 ERP524275:ERP524340 FBL524275:FBL524340 FLH524275:FLH524340 FVD524275:FVD524340 GEZ524275:GEZ524340 GOV524275:GOV524340 GYR524275:GYR524340 HIN524275:HIN524340 HSJ524275:HSJ524340 ICF524275:ICF524340 IMB524275:IMB524340 IVX524275:IVX524340 JFT524275:JFT524340 JPP524275:JPP524340 JZL524275:JZL524340 KJH524275:KJH524340 KTD524275:KTD524340 LCZ524275:LCZ524340 LMV524275:LMV524340 LWR524275:LWR524340 MGN524275:MGN524340 MQJ524275:MQJ524340 NAF524275:NAF524340 NKB524275:NKB524340 NTX524275:NTX524340 ODT524275:ODT524340 ONP524275:ONP524340 OXL524275:OXL524340 PHH524275:PHH524340 PRD524275:PRD524340 QAZ524275:QAZ524340 QKV524275:QKV524340 QUR524275:QUR524340 REN524275:REN524340 ROJ524275:ROJ524340 RYF524275:RYF524340 SIB524275:SIB524340 SRX524275:SRX524340 TBT524275:TBT524340 TLP524275:TLP524340 TVL524275:TVL524340 UFH524275:UFH524340 UPD524275:UPD524340 UYZ524275:UYZ524340 VIV524275:VIV524340 VSR524275:VSR524340 WCN524275:WCN524340 WMJ524275:WMJ524340 WWF524275:WWF524340 X589811:X589876 JT589811:JT589876 TP589811:TP589876 ADL589811:ADL589876 ANH589811:ANH589876 AXD589811:AXD589876 BGZ589811:BGZ589876 BQV589811:BQV589876 CAR589811:CAR589876 CKN589811:CKN589876 CUJ589811:CUJ589876 DEF589811:DEF589876 DOB589811:DOB589876 DXX589811:DXX589876 EHT589811:EHT589876 ERP589811:ERP589876 FBL589811:FBL589876 FLH589811:FLH589876 FVD589811:FVD589876 GEZ589811:GEZ589876 GOV589811:GOV589876 GYR589811:GYR589876 HIN589811:HIN589876 HSJ589811:HSJ589876 ICF589811:ICF589876 IMB589811:IMB589876 IVX589811:IVX589876 JFT589811:JFT589876 JPP589811:JPP589876 JZL589811:JZL589876 KJH589811:KJH589876 KTD589811:KTD589876 LCZ589811:LCZ589876 LMV589811:LMV589876 LWR589811:LWR589876 MGN589811:MGN589876 MQJ589811:MQJ589876 NAF589811:NAF589876 NKB589811:NKB589876 NTX589811:NTX589876 ODT589811:ODT589876 ONP589811:ONP589876 OXL589811:OXL589876 PHH589811:PHH589876 PRD589811:PRD589876 QAZ589811:QAZ589876 QKV589811:QKV589876 QUR589811:QUR589876 REN589811:REN589876 ROJ589811:ROJ589876 RYF589811:RYF589876 SIB589811:SIB589876 SRX589811:SRX589876 TBT589811:TBT589876 TLP589811:TLP589876 TVL589811:TVL589876 UFH589811:UFH589876 UPD589811:UPD589876 UYZ589811:UYZ589876 VIV589811:VIV589876 VSR589811:VSR589876 WCN589811:WCN589876 WMJ589811:WMJ589876 WWF589811:WWF589876 X655347:X655412 JT655347:JT655412 TP655347:TP655412 ADL655347:ADL655412 ANH655347:ANH655412 AXD655347:AXD655412 BGZ655347:BGZ655412 BQV655347:BQV655412 CAR655347:CAR655412 CKN655347:CKN655412 CUJ655347:CUJ655412 DEF655347:DEF655412 DOB655347:DOB655412 DXX655347:DXX655412 EHT655347:EHT655412 ERP655347:ERP655412 FBL655347:FBL655412 FLH655347:FLH655412 FVD655347:FVD655412 GEZ655347:GEZ655412 GOV655347:GOV655412 GYR655347:GYR655412 HIN655347:HIN655412 HSJ655347:HSJ655412 ICF655347:ICF655412 IMB655347:IMB655412 IVX655347:IVX655412 JFT655347:JFT655412 JPP655347:JPP655412 JZL655347:JZL655412 KJH655347:KJH655412 KTD655347:KTD655412 LCZ655347:LCZ655412 LMV655347:LMV655412 LWR655347:LWR655412 MGN655347:MGN655412 MQJ655347:MQJ655412 NAF655347:NAF655412 NKB655347:NKB655412 NTX655347:NTX655412 ODT655347:ODT655412 ONP655347:ONP655412 OXL655347:OXL655412 PHH655347:PHH655412 PRD655347:PRD655412 QAZ655347:QAZ655412 QKV655347:QKV655412 QUR655347:QUR655412 REN655347:REN655412 ROJ655347:ROJ655412 RYF655347:RYF655412 SIB655347:SIB655412 SRX655347:SRX655412 TBT655347:TBT655412 TLP655347:TLP655412 TVL655347:TVL655412 UFH655347:UFH655412 UPD655347:UPD655412 UYZ655347:UYZ655412 VIV655347:VIV655412 VSR655347:VSR655412 WCN655347:WCN655412 WMJ655347:WMJ655412 WWF655347:WWF655412 X720883:X720948 JT720883:JT720948 TP720883:TP720948 ADL720883:ADL720948 ANH720883:ANH720948 AXD720883:AXD720948 BGZ720883:BGZ720948 BQV720883:BQV720948 CAR720883:CAR720948 CKN720883:CKN720948 CUJ720883:CUJ720948 DEF720883:DEF720948 DOB720883:DOB720948 DXX720883:DXX720948 EHT720883:EHT720948 ERP720883:ERP720948 FBL720883:FBL720948 FLH720883:FLH720948 FVD720883:FVD720948 GEZ720883:GEZ720948 GOV720883:GOV720948 GYR720883:GYR720948 HIN720883:HIN720948 HSJ720883:HSJ720948 ICF720883:ICF720948 IMB720883:IMB720948 IVX720883:IVX720948 JFT720883:JFT720948 JPP720883:JPP720948 JZL720883:JZL720948 KJH720883:KJH720948 KTD720883:KTD720948 LCZ720883:LCZ720948 LMV720883:LMV720948 LWR720883:LWR720948 MGN720883:MGN720948 MQJ720883:MQJ720948 NAF720883:NAF720948 NKB720883:NKB720948 NTX720883:NTX720948 ODT720883:ODT720948 ONP720883:ONP720948 OXL720883:OXL720948 PHH720883:PHH720948 PRD720883:PRD720948 QAZ720883:QAZ720948 QKV720883:QKV720948 QUR720883:QUR720948 REN720883:REN720948 ROJ720883:ROJ720948 RYF720883:RYF720948 SIB720883:SIB720948 SRX720883:SRX720948 TBT720883:TBT720948 TLP720883:TLP720948 TVL720883:TVL720948 UFH720883:UFH720948 UPD720883:UPD720948 UYZ720883:UYZ720948 VIV720883:VIV720948 VSR720883:VSR720948 WCN720883:WCN720948 WMJ720883:WMJ720948 WWF720883:WWF720948 X786419:X786484 JT786419:JT786484 TP786419:TP786484 ADL786419:ADL786484 ANH786419:ANH786484 AXD786419:AXD786484 BGZ786419:BGZ786484 BQV786419:BQV786484 CAR786419:CAR786484 CKN786419:CKN786484 CUJ786419:CUJ786484 DEF786419:DEF786484 DOB786419:DOB786484 DXX786419:DXX786484 EHT786419:EHT786484 ERP786419:ERP786484 FBL786419:FBL786484 FLH786419:FLH786484 FVD786419:FVD786484 GEZ786419:GEZ786484 GOV786419:GOV786484 GYR786419:GYR786484 HIN786419:HIN786484 HSJ786419:HSJ786484 ICF786419:ICF786484 IMB786419:IMB786484 IVX786419:IVX786484 JFT786419:JFT786484 JPP786419:JPP786484 JZL786419:JZL786484 KJH786419:KJH786484 KTD786419:KTD786484 LCZ786419:LCZ786484 LMV786419:LMV786484 LWR786419:LWR786484 MGN786419:MGN786484 MQJ786419:MQJ786484 NAF786419:NAF786484 NKB786419:NKB786484 NTX786419:NTX786484 ODT786419:ODT786484 ONP786419:ONP786484 OXL786419:OXL786484 PHH786419:PHH786484 PRD786419:PRD786484 QAZ786419:QAZ786484 QKV786419:QKV786484 QUR786419:QUR786484 REN786419:REN786484 ROJ786419:ROJ786484 RYF786419:RYF786484 SIB786419:SIB786484 SRX786419:SRX786484 TBT786419:TBT786484 TLP786419:TLP786484 TVL786419:TVL786484 UFH786419:UFH786484 UPD786419:UPD786484 UYZ786419:UYZ786484 VIV786419:VIV786484 VSR786419:VSR786484 WCN786419:WCN786484 WMJ786419:WMJ786484 WWF786419:WWF786484 X851955:X852020 JT851955:JT852020 TP851955:TP852020 ADL851955:ADL852020 ANH851955:ANH852020 AXD851955:AXD852020 BGZ851955:BGZ852020 BQV851955:BQV852020 CAR851955:CAR852020 CKN851955:CKN852020 CUJ851955:CUJ852020 DEF851955:DEF852020 DOB851955:DOB852020 DXX851955:DXX852020 EHT851955:EHT852020 ERP851955:ERP852020 FBL851955:FBL852020 FLH851955:FLH852020 FVD851955:FVD852020 GEZ851955:GEZ852020 GOV851955:GOV852020 GYR851955:GYR852020 HIN851955:HIN852020 HSJ851955:HSJ852020 ICF851955:ICF852020 IMB851955:IMB852020 IVX851955:IVX852020 JFT851955:JFT852020 JPP851955:JPP852020 JZL851955:JZL852020 KJH851955:KJH852020 KTD851955:KTD852020 LCZ851955:LCZ852020 LMV851955:LMV852020 LWR851955:LWR852020 MGN851955:MGN852020 MQJ851955:MQJ852020 NAF851955:NAF852020 NKB851955:NKB852020 NTX851955:NTX852020 ODT851955:ODT852020 ONP851955:ONP852020 OXL851955:OXL852020 PHH851955:PHH852020 PRD851955:PRD852020 QAZ851955:QAZ852020 QKV851955:QKV852020 QUR851955:QUR852020 REN851955:REN852020 ROJ851955:ROJ852020 RYF851955:RYF852020 SIB851955:SIB852020 SRX851955:SRX852020 TBT851955:TBT852020 TLP851955:TLP852020 TVL851955:TVL852020 UFH851955:UFH852020 UPD851955:UPD852020 UYZ851955:UYZ852020 VIV851955:VIV852020 VSR851955:VSR852020 WCN851955:WCN852020 WMJ851955:WMJ852020 WWF851955:WWF852020 X917491:X917556 JT917491:JT917556 TP917491:TP917556 ADL917491:ADL917556 ANH917491:ANH917556 AXD917491:AXD917556 BGZ917491:BGZ917556 BQV917491:BQV917556 CAR917491:CAR917556 CKN917491:CKN917556 CUJ917491:CUJ917556 DEF917491:DEF917556 DOB917491:DOB917556 DXX917491:DXX917556 EHT917491:EHT917556 ERP917491:ERP917556 FBL917491:FBL917556 FLH917491:FLH917556 FVD917491:FVD917556 GEZ917491:GEZ917556 GOV917491:GOV917556 GYR917491:GYR917556 HIN917491:HIN917556 HSJ917491:HSJ917556 ICF917491:ICF917556 IMB917491:IMB917556 IVX917491:IVX917556 JFT917491:JFT917556 JPP917491:JPP917556 JZL917491:JZL917556 KJH917491:KJH917556 KTD917491:KTD917556 LCZ917491:LCZ917556 LMV917491:LMV917556 LWR917491:LWR917556 MGN917491:MGN917556 MQJ917491:MQJ917556 NAF917491:NAF917556 NKB917491:NKB917556 NTX917491:NTX917556 ODT917491:ODT917556 ONP917491:ONP917556 OXL917491:OXL917556 PHH917491:PHH917556 PRD917491:PRD917556 QAZ917491:QAZ917556 QKV917491:QKV917556 QUR917491:QUR917556 REN917491:REN917556 ROJ917491:ROJ917556 RYF917491:RYF917556 SIB917491:SIB917556 SRX917491:SRX917556 TBT917491:TBT917556 TLP917491:TLP917556 TVL917491:TVL917556 UFH917491:UFH917556 UPD917491:UPD917556 UYZ917491:UYZ917556 VIV917491:VIV917556 VSR917491:VSR917556 WCN917491:WCN917556 WMJ917491:WMJ917556 WWF917491:WWF917556 X983027:X983092 JT983027:JT983092 TP983027:TP983092 ADL983027:ADL983092 ANH983027:ANH983092 AXD983027:AXD983092 BGZ983027:BGZ983092 BQV983027:BQV983092 CAR983027:CAR983092 CKN983027:CKN983092 CUJ983027:CUJ983092 DEF983027:DEF983092 DOB983027:DOB983092 DXX983027:DXX983092 EHT983027:EHT983092 ERP983027:ERP983092 FBL983027:FBL983092 FLH983027:FLH983092 FVD983027:FVD983092 GEZ983027:GEZ983092 GOV983027:GOV983092 GYR983027:GYR983092 HIN983027:HIN983092 HSJ983027:HSJ983092 ICF983027:ICF983092 IMB983027:IMB983092 IVX983027:IVX983092 JFT983027:JFT983092 JPP983027:JPP983092 JZL983027:JZL983092 KJH983027:KJH983092 KTD983027:KTD983092 LCZ983027:LCZ983092 LMV983027:LMV983092 LWR983027:LWR983092 MGN983027:MGN983092 MQJ983027:MQJ983092 NAF983027:NAF983092 NKB983027:NKB983092 NTX983027:NTX983092 ODT983027:ODT983092 ONP983027:ONP983092 OXL983027:OXL983092 PHH983027:PHH983092 PRD983027:PRD983092 QAZ983027:QAZ983092 QKV983027:QKV983092 QUR983027:QUR983092 REN983027:REN983092 ROJ983027:ROJ983092 RYF983027:RYF983092 SIB983027:SIB983092 SRX983027:SRX983092 TBT983027:TBT983092 TLP983027:TLP983092 TVL983027:TVL983092 UFH983027:UFH983092 UPD983027:UPD983092 UYZ983027:UYZ983092 VIV983027:VIV983092 VSR983027:VSR983092 WCN983027:WCN983092 WMJ983027:WMJ983092 WWF2:WWF72 JT2:JT72 TP2:TP72 ADL2:ADL72 ANH2:ANH72 AXD2:AXD72 BGZ2:BGZ72 BQV2:BQV72 CAR2:CAR72 CKN2:CKN72 CUJ2:CUJ72 DEF2:DEF72 DOB2:DOB72 DXX2:DXX72 EHT2:EHT72 ERP2:ERP72 FBL2:FBL72 FLH2:FLH72 FVD2:FVD72 GEZ2:GEZ72 GOV2:GOV72 GYR2:GYR72 HIN2:HIN72 HSJ2:HSJ72 ICF2:ICF72 IMB2:IMB72 IVX2:IVX72 JFT2:JFT72 JPP2:JPP72 JZL2:JZL72 KJH2:KJH72 KTD2:KTD72 LCZ2:LCZ72 LMV2:LMV72 LWR2:LWR72 MGN2:MGN72 MQJ2:MQJ72 NAF2:NAF72 NKB2:NKB72 NTX2:NTX72 ODT2:ODT72 ONP2:ONP72 OXL2:OXL72 PHH2:PHH72 PRD2:PRD72 QAZ2:QAZ72 QKV2:QKV72 QUR2:QUR72 REN2:REN72 ROJ2:ROJ72 RYF2:RYF72 SIB2:SIB72 SRX2:SRX72 TBT2:TBT72 TLP2:TLP72 TVL2:TVL72 UFH2:UFH72 UPD2:UPD72 UYZ2:UYZ72 VIV2:VIV72 VSR2:VSR72 WCN2:WCN72 WMJ2:WMJ72 X2:X485" xr:uid="{65158ECC-1E93-401D-8A8B-E59ED3A7573F}">
      <formula1>$AT$2:$AT$3</formula1>
    </dataValidation>
    <dataValidation type="list" allowBlank="1" showInputMessage="1" showErrorMessage="1" sqref="G64348:G64415 JC64348:JC64415 SY64348:SY64415 ACU64348:ACU64415 AMQ64348:AMQ64415 AWM64348:AWM64415 BGI64348:BGI64415 BQE64348:BQE64415 CAA64348:CAA64415 CJW64348:CJW64415 CTS64348:CTS64415 DDO64348:DDO64415 DNK64348:DNK64415 DXG64348:DXG64415 EHC64348:EHC64415 EQY64348:EQY64415 FAU64348:FAU64415 FKQ64348:FKQ64415 FUM64348:FUM64415 GEI64348:GEI64415 GOE64348:GOE64415 GYA64348:GYA64415 HHW64348:HHW64415 HRS64348:HRS64415 IBO64348:IBO64415 ILK64348:ILK64415 IVG64348:IVG64415 JFC64348:JFC64415 JOY64348:JOY64415 JYU64348:JYU64415 KIQ64348:KIQ64415 KSM64348:KSM64415 LCI64348:LCI64415 LME64348:LME64415 LWA64348:LWA64415 MFW64348:MFW64415 MPS64348:MPS64415 MZO64348:MZO64415 NJK64348:NJK64415 NTG64348:NTG64415 ODC64348:ODC64415 OMY64348:OMY64415 OWU64348:OWU64415 PGQ64348:PGQ64415 PQM64348:PQM64415 QAI64348:QAI64415 QKE64348:QKE64415 QUA64348:QUA64415 RDW64348:RDW64415 RNS64348:RNS64415 RXO64348:RXO64415 SHK64348:SHK64415 SRG64348:SRG64415 TBC64348:TBC64415 TKY64348:TKY64415 TUU64348:TUU64415 UEQ64348:UEQ64415 UOM64348:UOM64415 UYI64348:UYI64415 VIE64348:VIE64415 VSA64348:VSA64415 WBW64348:WBW64415 WLS64348:WLS64415 WVO64348:WVO64415 G129884:G129951 JC129884:JC129951 SY129884:SY129951 ACU129884:ACU129951 AMQ129884:AMQ129951 AWM129884:AWM129951 BGI129884:BGI129951 BQE129884:BQE129951 CAA129884:CAA129951 CJW129884:CJW129951 CTS129884:CTS129951 DDO129884:DDO129951 DNK129884:DNK129951 DXG129884:DXG129951 EHC129884:EHC129951 EQY129884:EQY129951 FAU129884:FAU129951 FKQ129884:FKQ129951 FUM129884:FUM129951 GEI129884:GEI129951 GOE129884:GOE129951 GYA129884:GYA129951 HHW129884:HHW129951 HRS129884:HRS129951 IBO129884:IBO129951 ILK129884:ILK129951 IVG129884:IVG129951 JFC129884:JFC129951 JOY129884:JOY129951 JYU129884:JYU129951 KIQ129884:KIQ129951 KSM129884:KSM129951 LCI129884:LCI129951 LME129884:LME129951 LWA129884:LWA129951 MFW129884:MFW129951 MPS129884:MPS129951 MZO129884:MZO129951 NJK129884:NJK129951 NTG129884:NTG129951 ODC129884:ODC129951 OMY129884:OMY129951 OWU129884:OWU129951 PGQ129884:PGQ129951 PQM129884:PQM129951 QAI129884:QAI129951 QKE129884:QKE129951 QUA129884:QUA129951 RDW129884:RDW129951 RNS129884:RNS129951 RXO129884:RXO129951 SHK129884:SHK129951 SRG129884:SRG129951 TBC129884:TBC129951 TKY129884:TKY129951 TUU129884:TUU129951 UEQ129884:UEQ129951 UOM129884:UOM129951 UYI129884:UYI129951 VIE129884:VIE129951 VSA129884:VSA129951 WBW129884:WBW129951 WLS129884:WLS129951 WVO129884:WVO129951 G195420:G195487 JC195420:JC195487 SY195420:SY195487 ACU195420:ACU195487 AMQ195420:AMQ195487 AWM195420:AWM195487 BGI195420:BGI195487 BQE195420:BQE195487 CAA195420:CAA195487 CJW195420:CJW195487 CTS195420:CTS195487 DDO195420:DDO195487 DNK195420:DNK195487 DXG195420:DXG195487 EHC195420:EHC195487 EQY195420:EQY195487 FAU195420:FAU195487 FKQ195420:FKQ195487 FUM195420:FUM195487 GEI195420:GEI195487 GOE195420:GOE195487 GYA195420:GYA195487 HHW195420:HHW195487 HRS195420:HRS195487 IBO195420:IBO195487 ILK195420:ILK195487 IVG195420:IVG195487 JFC195420:JFC195487 JOY195420:JOY195487 JYU195420:JYU195487 KIQ195420:KIQ195487 KSM195420:KSM195487 LCI195420:LCI195487 LME195420:LME195487 LWA195420:LWA195487 MFW195420:MFW195487 MPS195420:MPS195487 MZO195420:MZO195487 NJK195420:NJK195487 NTG195420:NTG195487 ODC195420:ODC195487 OMY195420:OMY195487 OWU195420:OWU195487 PGQ195420:PGQ195487 PQM195420:PQM195487 QAI195420:QAI195487 QKE195420:QKE195487 QUA195420:QUA195487 RDW195420:RDW195487 RNS195420:RNS195487 RXO195420:RXO195487 SHK195420:SHK195487 SRG195420:SRG195487 TBC195420:TBC195487 TKY195420:TKY195487 TUU195420:TUU195487 UEQ195420:UEQ195487 UOM195420:UOM195487 UYI195420:UYI195487 VIE195420:VIE195487 VSA195420:VSA195487 WBW195420:WBW195487 WLS195420:WLS195487 WVO195420:WVO195487 G260956:G261023 JC260956:JC261023 SY260956:SY261023 ACU260956:ACU261023 AMQ260956:AMQ261023 AWM260956:AWM261023 BGI260956:BGI261023 BQE260956:BQE261023 CAA260956:CAA261023 CJW260956:CJW261023 CTS260956:CTS261023 DDO260956:DDO261023 DNK260956:DNK261023 DXG260956:DXG261023 EHC260956:EHC261023 EQY260956:EQY261023 FAU260956:FAU261023 FKQ260956:FKQ261023 FUM260956:FUM261023 GEI260956:GEI261023 GOE260956:GOE261023 GYA260956:GYA261023 HHW260956:HHW261023 HRS260956:HRS261023 IBO260956:IBO261023 ILK260956:ILK261023 IVG260956:IVG261023 JFC260956:JFC261023 JOY260956:JOY261023 JYU260956:JYU261023 KIQ260956:KIQ261023 KSM260956:KSM261023 LCI260956:LCI261023 LME260956:LME261023 LWA260956:LWA261023 MFW260956:MFW261023 MPS260956:MPS261023 MZO260956:MZO261023 NJK260956:NJK261023 NTG260956:NTG261023 ODC260956:ODC261023 OMY260956:OMY261023 OWU260956:OWU261023 PGQ260956:PGQ261023 PQM260956:PQM261023 QAI260956:QAI261023 QKE260956:QKE261023 QUA260956:QUA261023 RDW260956:RDW261023 RNS260956:RNS261023 RXO260956:RXO261023 SHK260956:SHK261023 SRG260956:SRG261023 TBC260956:TBC261023 TKY260956:TKY261023 TUU260956:TUU261023 UEQ260956:UEQ261023 UOM260956:UOM261023 UYI260956:UYI261023 VIE260956:VIE261023 VSA260956:VSA261023 WBW260956:WBW261023 WLS260956:WLS261023 WVO260956:WVO261023 G326492:G326559 JC326492:JC326559 SY326492:SY326559 ACU326492:ACU326559 AMQ326492:AMQ326559 AWM326492:AWM326559 BGI326492:BGI326559 BQE326492:BQE326559 CAA326492:CAA326559 CJW326492:CJW326559 CTS326492:CTS326559 DDO326492:DDO326559 DNK326492:DNK326559 DXG326492:DXG326559 EHC326492:EHC326559 EQY326492:EQY326559 FAU326492:FAU326559 FKQ326492:FKQ326559 FUM326492:FUM326559 GEI326492:GEI326559 GOE326492:GOE326559 GYA326492:GYA326559 HHW326492:HHW326559 HRS326492:HRS326559 IBO326492:IBO326559 ILK326492:ILK326559 IVG326492:IVG326559 JFC326492:JFC326559 JOY326492:JOY326559 JYU326492:JYU326559 KIQ326492:KIQ326559 KSM326492:KSM326559 LCI326492:LCI326559 LME326492:LME326559 LWA326492:LWA326559 MFW326492:MFW326559 MPS326492:MPS326559 MZO326492:MZO326559 NJK326492:NJK326559 NTG326492:NTG326559 ODC326492:ODC326559 OMY326492:OMY326559 OWU326492:OWU326559 PGQ326492:PGQ326559 PQM326492:PQM326559 QAI326492:QAI326559 QKE326492:QKE326559 QUA326492:QUA326559 RDW326492:RDW326559 RNS326492:RNS326559 RXO326492:RXO326559 SHK326492:SHK326559 SRG326492:SRG326559 TBC326492:TBC326559 TKY326492:TKY326559 TUU326492:TUU326559 UEQ326492:UEQ326559 UOM326492:UOM326559 UYI326492:UYI326559 VIE326492:VIE326559 VSA326492:VSA326559 WBW326492:WBW326559 WLS326492:WLS326559 WVO326492:WVO326559 G392028:G392095 JC392028:JC392095 SY392028:SY392095 ACU392028:ACU392095 AMQ392028:AMQ392095 AWM392028:AWM392095 BGI392028:BGI392095 BQE392028:BQE392095 CAA392028:CAA392095 CJW392028:CJW392095 CTS392028:CTS392095 DDO392028:DDO392095 DNK392028:DNK392095 DXG392028:DXG392095 EHC392028:EHC392095 EQY392028:EQY392095 FAU392028:FAU392095 FKQ392028:FKQ392095 FUM392028:FUM392095 GEI392028:GEI392095 GOE392028:GOE392095 GYA392028:GYA392095 HHW392028:HHW392095 HRS392028:HRS392095 IBO392028:IBO392095 ILK392028:ILK392095 IVG392028:IVG392095 JFC392028:JFC392095 JOY392028:JOY392095 JYU392028:JYU392095 KIQ392028:KIQ392095 KSM392028:KSM392095 LCI392028:LCI392095 LME392028:LME392095 LWA392028:LWA392095 MFW392028:MFW392095 MPS392028:MPS392095 MZO392028:MZO392095 NJK392028:NJK392095 NTG392028:NTG392095 ODC392028:ODC392095 OMY392028:OMY392095 OWU392028:OWU392095 PGQ392028:PGQ392095 PQM392028:PQM392095 QAI392028:QAI392095 QKE392028:QKE392095 QUA392028:QUA392095 RDW392028:RDW392095 RNS392028:RNS392095 RXO392028:RXO392095 SHK392028:SHK392095 SRG392028:SRG392095 TBC392028:TBC392095 TKY392028:TKY392095 TUU392028:TUU392095 UEQ392028:UEQ392095 UOM392028:UOM392095 UYI392028:UYI392095 VIE392028:VIE392095 VSA392028:VSA392095 WBW392028:WBW392095 WLS392028:WLS392095 WVO392028:WVO392095 G457564:G457631 JC457564:JC457631 SY457564:SY457631 ACU457564:ACU457631 AMQ457564:AMQ457631 AWM457564:AWM457631 BGI457564:BGI457631 BQE457564:BQE457631 CAA457564:CAA457631 CJW457564:CJW457631 CTS457564:CTS457631 DDO457564:DDO457631 DNK457564:DNK457631 DXG457564:DXG457631 EHC457564:EHC457631 EQY457564:EQY457631 FAU457564:FAU457631 FKQ457564:FKQ457631 FUM457564:FUM457631 GEI457564:GEI457631 GOE457564:GOE457631 GYA457564:GYA457631 HHW457564:HHW457631 HRS457564:HRS457631 IBO457564:IBO457631 ILK457564:ILK457631 IVG457564:IVG457631 JFC457564:JFC457631 JOY457564:JOY457631 JYU457564:JYU457631 KIQ457564:KIQ457631 KSM457564:KSM457631 LCI457564:LCI457631 LME457564:LME457631 LWA457564:LWA457631 MFW457564:MFW457631 MPS457564:MPS457631 MZO457564:MZO457631 NJK457564:NJK457631 NTG457564:NTG457631 ODC457564:ODC457631 OMY457564:OMY457631 OWU457564:OWU457631 PGQ457564:PGQ457631 PQM457564:PQM457631 QAI457564:QAI457631 QKE457564:QKE457631 QUA457564:QUA457631 RDW457564:RDW457631 RNS457564:RNS457631 RXO457564:RXO457631 SHK457564:SHK457631 SRG457564:SRG457631 TBC457564:TBC457631 TKY457564:TKY457631 TUU457564:TUU457631 UEQ457564:UEQ457631 UOM457564:UOM457631 UYI457564:UYI457631 VIE457564:VIE457631 VSA457564:VSA457631 WBW457564:WBW457631 WLS457564:WLS457631 WVO457564:WVO457631 G523100:G523167 JC523100:JC523167 SY523100:SY523167 ACU523100:ACU523167 AMQ523100:AMQ523167 AWM523100:AWM523167 BGI523100:BGI523167 BQE523100:BQE523167 CAA523100:CAA523167 CJW523100:CJW523167 CTS523100:CTS523167 DDO523100:DDO523167 DNK523100:DNK523167 DXG523100:DXG523167 EHC523100:EHC523167 EQY523100:EQY523167 FAU523100:FAU523167 FKQ523100:FKQ523167 FUM523100:FUM523167 GEI523100:GEI523167 GOE523100:GOE523167 GYA523100:GYA523167 HHW523100:HHW523167 HRS523100:HRS523167 IBO523100:IBO523167 ILK523100:ILK523167 IVG523100:IVG523167 JFC523100:JFC523167 JOY523100:JOY523167 JYU523100:JYU523167 KIQ523100:KIQ523167 KSM523100:KSM523167 LCI523100:LCI523167 LME523100:LME523167 LWA523100:LWA523167 MFW523100:MFW523167 MPS523100:MPS523167 MZO523100:MZO523167 NJK523100:NJK523167 NTG523100:NTG523167 ODC523100:ODC523167 OMY523100:OMY523167 OWU523100:OWU523167 PGQ523100:PGQ523167 PQM523100:PQM523167 QAI523100:QAI523167 QKE523100:QKE523167 QUA523100:QUA523167 RDW523100:RDW523167 RNS523100:RNS523167 RXO523100:RXO523167 SHK523100:SHK523167 SRG523100:SRG523167 TBC523100:TBC523167 TKY523100:TKY523167 TUU523100:TUU523167 UEQ523100:UEQ523167 UOM523100:UOM523167 UYI523100:UYI523167 VIE523100:VIE523167 VSA523100:VSA523167 WBW523100:WBW523167 WLS523100:WLS523167 WVO523100:WVO523167 G588636:G588703 JC588636:JC588703 SY588636:SY588703 ACU588636:ACU588703 AMQ588636:AMQ588703 AWM588636:AWM588703 BGI588636:BGI588703 BQE588636:BQE588703 CAA588636:CAA588703 CJW588636:CJW588703 CTS588636:CTS588703 DDO588636:DDO588703 DNK588636:DNK588703 DXG588636:DXG588703 EHC588636:EHC588703 EQY588636:EQY588703 FAU588636:FAU588703 FKQ588636:FKQ588703 FUM588636:FUM588703 GEI588636:GEI588703 GOE588636:GOE588703 GYA588636:GYA588703 HHW588636:HHW588703 HRS588636:HRS588703 IBO588636:IBO588703 ILK588636:ILK588703 IVG588636:IVG588703 JFC588636:JFC588703 JOY588636:JOY588703 JYU588636:JYU588703 KIQ588636:KIQ588703 KSM588636:KSM588703 LCI588636:LCI588703 LME588636:LME588703 LWA588636:LWA588703 MFW588636:MFW588703 MPS588636:MPS588703 MZO588636:MZO588703 NJK588636:NJK588703 NTG588636:NTG588703 ODC588636:ODC588703 OMY588636:OMY588703 OWU588636:OWU588703 PGQ588636:PGQ588703 PQM588636:PQM588703 QAI588636:QAI588703 QKE588636:QKE588703 QUA588636:QUA588703 RDW588636:RDW588703 RNS588636:RNS588703 RXO588636:RXO588703 SHK588636:SHK588703 SRG588636:SRG588703 TBC588636:TBC588703 TKY588636:TKY588703 TUU588636:TUU588703 UEQ588636:UEQ588703 UOM588636:UOM588703 UYI588636:UYI588703 VIE588636:VIE588703 VSA588636:VSA588703 WBW588636:WBW588703 WLS588636:WLS588703 WVO588636:WVO588703 G654172:G654239 JC654172:JC654239 SY654172:SY654239 ACU654172:ACU654239 AMQ654172:AMQ654239 AWM654172:AWM654239 BGI654172:BGI654239 BQE654172:BQE654239 CAA654172:CAA654239 CJW654172:CJW654239 CTS654172:CTS654239 DDO654172:DDO654239 DNK654172:DNK654239 DXG654172:DXG654239 EHC654172:EHC654239 EQY654172:EQY654239 FAU654172:FAU654239 FKQ654172:FKQ654239 FUM654172:FUM654239 GEI654172:GEI654239 GOE654172:GOE654239 GYA654172:GYA654239 HHW654172:HHW654239 HRS654172:HRS654239 IBO654172:IBO654239 ILK654172:ILK654239 IVG654172:IVG654239 JFC654172:JFC654239 JOY654172:JOY654239 JYU654172:JYU654239 KIQ654172:KIQ654239 KSM654172:KSM654239 LCI654172:LCI654239 LME654172:LME654239 LWA654172:LWA654239 MFW654172:MFW654239 MPS654172:MPS654239 MZO654172:MZO654239 NJK654172:NJK654239 NTG654172:NTG654239 ODC654172:ODC654239 OMY654172:OMY654239 OWU654172:OWU654239 PGQ654172:PGQ654239 PQM654172:PQM654239 QAI654172:QAI654239 QKE654172:QKE654239 QUA654172:QUA654239 RDW654172:RDW654239 RNS654172:RNS654239 RXO654172:RXO654239 SHK654172:SHK654239 SRG654172:SRG654239 TBC654172:TBC654239 TKY654172:TKY654239 TUU654172:TUU654239 UEQ654172:UEQ654239 UOM654172:UOM654239 UYI654172:UYI654239 VIE654172:VIE654239 VSA654172:VSA654239 WBW654172:WBW654239 WLS654172:WLS654239 WVO654172:WVO654239 G719708:G719775 JC719708:JC719775 SY719708:SY719775 ACU719708:ACU719775 AMQ719708:AMQ719775 AWM719708:AWM719775 BGI719708:BGI719775 BQE719708:BQE719775 CAA719708:CAA719775 CJW719708:CJW719775 CTS719708:CTS719775 DDO719708:DDO719775 DNK719708:DNK719775 DXG719708:DXG719775 EHC719708:EHC719775 EQY719708:EQY719775 FAU719708:FAU719775 FKQ719708:FKQ719775 FUM719708:FUM719775 GEI719708:GEI719775 GOE719708:GOE719775 GYA719708:GYA719775 HHW719708:HHW719775 HRS719708:HRS719775 IBO719708:IBO719775 ILK719708:ILK719775 IVG719708:IVG719775 JFC719708:JFC719775 JOY719708:JOY719775 JYU719708:JYU719775 KIQ719708:KIQ719775 KSM719708:KSM719775 LCI719708:LCI719775 LME719708:LME719775 LWA719708:LWA719775 MFW719708:MFW719775 MPS719708:MPS719775 MZO719708:MZO719775 NJK719708:NJK719775 NTG719708:NTG719775 ODC719708:ODC719775 OMY719708:OMY719775 OWU719708:OWU719775 PGQ719708:PGQ719775 PQM719708:PQM719775 QAI719708:QAI719775 QKE719708:QKE719775 QUA719708:QUA719775 RDW719708:RDW719775 RNS719708:RNS719775 RXO719708:RXO719775 SHK719708:SHK719775 SRG719708:SRG719775 TBC719708:TBC719775 TKY719708:TKY719775 TUU719708:TUU719775 UEQ719708:UEQ719775 UOM719708:UOM719775 UYI719708:UYI719775 VIE719708:VIE719775 VSA719708:VSA719775 WBW719708:WBW719775 WLS719708:WLS719775 WVO719708:WVO719775 G785244:G785311 JC785244:JC785311 SY785244:SY785311 ACU785244:ACU785311 AMQ785244:AMQ785311 AWM785244:AWM785311 BGI785244:BGI785311 BQE785244:BQE785311 CAA785244:CAA785311 CJW785244:CJW785311 CTS785244:CTS785311 DDO785244:DDO785311 DNK785244:DNK785311 DXG785244:DXG785311 EHC785244:EHC785311 EQY785244:EQY785311 FAU785244:FAU785311 FKQ785244:FKQ785311 FUM785244:FUM785311 GEI785244:GEI785311 GOE785244:GOE785311 GYA785244:GYA785311 HHW785244:HHW785311 HRS785244:HRS785311 IBO785244:IBO785311 ILK785244:ILK785311 IVG785244:IVG785311 JFC785244:JFC785311 JOY785244:JOY785311 JYU785244:JYU785311 KIQ785244:KIQ785311 KSM785244:KSM785311 LCI785244:LCI785311 LME785244:LME785311 LWA785244:LWA785311 MFW785244:MFW785311 MPS785244:MPS785311 MZO785244:MZO785311 NJK785244:NJK785311 NTG785244:NTG785311 ODC785244:ODC785311 OMY785244:OMY785311 OWU785244:OWU785311 PGQ785244:PGQ785311 PQM785244:PQM785311 QAI785244:QAI785311 QKE785244:QKE785311 QUA785244:QUA785311 RDW785244:RDW785311 RNS785244:RNS785311 RXO785244:RXO785311 SHK785244:SHK785311 SRG785244:SRG785311 TBC785244:TBC785311 TKY785244:TKY785311 TUU785244:TUU785311 UEQ785244:UEQ785311 UOM785244:UOM785311 UYI785244:UYI785311 VIE785244:VIE785311 VSA785244:VSA785311 WBW785244:WBW785311 WLS785244:WLS785311 WVO785244:WVO785311 G850780:G850847 JC850780:JC850847 SY850780:SY850847 ACU850780:ACU850847 AMQ850780:AMQ850847 AWM850780:AWM850847 BGI850780:BGI850847 BQE850780:BQE850847 CAA850780:CAA850847 CJW850780:CJW850847 CTS850780:CTS850847 DDO850780:DDO850847 DNK850780:DNK850847 DXG850780:DXG850847 EHC850780:EHC850847 EQY850780:EQY850847 FAU850780:FAU850847 FKQ850780:FKQ850847 FUM850780:FUM850847 GEI850780:GEI850847 GOE850780:GOE850847 GYA850780:GYA850847 HHW850780:HHW850847 HRS850780:HRS850847 IBO850780:IBO850847 ILK850780:ILK850847 IVG850780:IVG850847 JFC850780:JFC850847 JOY850780:JOY850847 JYU850780:JYU850847 KIQ850780:KIQ850847 KSM850780:KSM850847 LCI850780:LCI850847 LME850780:LME850847 LWA850780:LWA850847 MFW850780:MFW850847 MPS850780:MPS850847 MZO850780:MZO850847 NJK850780:NJK850847 NTG850780:NTG850847 ODC850780:ODC850847 OMY850780:OMY850847 OWU850780:OWU850847 PGQ850780:PGQ850847 PQM850780:PQM850847 QAI850780:QAI850847 QKE850780:QKE850847 QUA850780:QUA850847 RDW850780:RDW850847 RNS850780:RNS850847 RXO850780:RXO850847 SHK850780:SHK850847 SRG850780:SRG850847 TBC850780:TBC850847 TKY850780:TKY850847 TUU850780:TUU850847 UEQ850780:UEQ850847 UOM850780:UOM850847 UYI850780:UYI850847 VIE850780:VIE850847 VSA850780:VSA850847 WBW850780:WBW850847 WLS850780:WLS850847 WVO850780:WVO850847 G916316:G916383 JC916316:JC916383 SY916316:SY916383 ACU916316:ACU916383 AMQ916316:AMQ916383 AWM916316:AWM916383 BGI916316:BGI916383 BQE916316:BQE916383 CAA916316:CAA916383 CJW916316:CJW916383 CTS916316:CTS916383 DDO916316:DDO916383 DNK916316:DNK916383 DXG916316:DXG916383 EHC916316:EHC916383 EQY916316:EQY916383 FAU916316:FAU916383 FKQ916316:FKQ916383 FUM916316:FUM916383 GEI916316:GEI916383 GOE916316:GOE916383 GYA916316:GYA916383 HHW916316:HHW916383 HRS916316:HRS916383 IBO916316:IBO916383 ILK916316:ILK916383 IVG916316:IVG916383 JFC916316:JFC916383 JOY916316:JOY916383 JYU916316:JYU916383 KIQ916316:KIQ916383 KSM916316:KSM916383 LCI916316:LCI916383 LME916316:LME916383 LWA916316:LWA916383 MFW916316:MFW916383 MPS916316:MPS916383 MZO916316:MZO916383 NJK916316:NJK916383 NTG916316:NTG916383 ODC916316:ODC916383 OMY916316:OMY916383 OWU916316:OWU916383 PGQ916316:PGQ916383 PQM916316:PQM916383 QAI916316:QAI916383 QKE916316:QKE916383 QUA916316:QUA916383 RDW916316:RDW916383 RNS916316:RNS916383 RXO916316:RXO916383 SHK916316:SHK916383 SRG916316:SRG916383 TBC916316:TBC916383 TKY916316:TKY916383 TUU916316:TUU916383 UEQ916316:UEQ916383 UOM916316:UOM916383 UYI916316:UYI916383 VIE916316:VIE916383 VSA916316:VSA916383 WBW916316:WBW916383 WLS916316:WLS916383 WVO916316:WVO916383 G981852:G981919 JC981852:JC981919 SY981852:SY981919 ACU981852:ACU981919 AMQ981852:AMQ981919 AWM981852:AWM981919 BGI981852:BGI981919 BQE981852:BQE981919 CAA981852:CAA981919 CJW981852:CJW981919 CTS981852:CTS981919 DDO981852:DDO981919 DNK981852:DNK981919 DXG981852:DXG981919 EHC981852:EHC981919 EQY981852:EQY981919 FAU981852:FAU981919 FKQ981852:FKQ981919 FUM981852:FUM981919 GEI981852:GEI981919 GOE981852:GOE981919 GYA981852:GYA981919 HHW981852:HHW981919 HRS981852:HRS981919 IBO981852:IBO981919 ILK981852:ILK981919 IVG981852:IVG981919 JFC981852:JFC981919 JOY981852:JOY981919 JYU981852:JYU981919 KIQ981852:KIQ981919 KSM981852:KSM981919 LCI981852:LCI981919 LME981852:LME981919 LWA981852:LWA981919 MFW981852:MFW981919 MPS981852:MPS981919 MZO981852:MZO981919 NJK981852:NJK981919 NTG981852:NTG981919 ODC981852:ODC981919 OMY981852:OMY981919 OWU981852:OWU981919 PGQ981852:PGQ981919 PQM981852:PQM981919 QAI981852:QAI981919 QKE981852:QKE981919 QUA981852:QUA981919 RDW981852:RDW981919 RNS981852:RNS981919 RXO981852:RXO981919 SHK981852:SHK981919 SRG981852:SRG981919 TBC981852:TBC981919 TKY981852:TKY981919 TUU981852:TUU981919 UEQ981852:UEQ981919 UOM981852:UOM981919 UYI981852:UYI981919 VIE981852:VIE981919 VSA981852:VSA981919 WBW981852:WBW981919 WLS981852:WLS981919 WVO981852:WVO981919 G1047388:G1047455 JC1047388:JC1047455 SY1047388:SY1047455 ACU1047388:ACU1047455 AMQ1047388:AMQ1047455 AWM1047388:AWM1047455 BGI1047388:BGI1047455 BQE1047388:BQE1047455 CAA1047388:CAA1047455 CJW1047388:CJW1047455 CTS1047388:CTS1047455 DDO1047388:DDO1047455 DNK1047388:DNK1047455 DXG1047388:DXG1047455 EHC1047388:EHC1047455 EQY1047388:EQY1047455 FAU1047388:FAU1047455 FKQ1047388:FKQ1047455 FUM1047388:FUM1047455 GEI1047388:GEI1047455 GOE1047388:GOE1047455 GYA1047388:GYA1047455 HHW1047388:HHW1047455 HRS1047388:HRS1047455 IBO1047388:IBO1047455 ILK1047388:ILK1047455 IVG1047388:IVG1047455 JFC1047388:JFC1047455 JOY1047388:JOY1047455 JYU1047388:JYU1047455 KIQ1047388:KIQ1047455 KSM1047388:KSM1047455 LCI1047388:LCI1047455 LME1047388:LME1047455 LWA1047388:LWA1047455 MFW1047388:MFW1047455 MPS1047388:MPS1047455 MZO1047388:MZO1047455 NJK1047388:NJK1047455 NTG1047388:NTG1047455 ODC1047388:ODC1047455 OMY1047388:OMY1047455 OWU1047388:OWU1047455 PGQ1047388:PGQ1047455 PQM1047388:PQM1047455 QAI1047388:QAI1047455 QKE1047388:QKE1047455 QUA1047388:QUA1047455 RDW1047388:RDW1047455 RNS1047388:RNS1047455 RXO1047388:RXO1047455 SHK1047388:SHK1047455 SRG1047388:SRG1047455 TBC1047388:TBC1047455 TKY1047388:TKY1047455 TUU1047388:TUU1047455 UEQ1047388:UEQ1047455 UOM1047388:UOM1047455 UYI1047388:UYI1047455 VIE1047388:VIE1047455 VSA1047388:VSA1047455 WBW1047388:WBW1047455 WLS1047388:WLS1047455 WVO1047388:WVO1047455 WVO983027:WVO983098 G65523:G65594 JC65523:JC65594 SY65523:SY65594 ACU65523:ACU65594 AMQ65523:AMQ65594 AWM65523:AWM65594 BGI65523:BGI65594 BQE65523:BQE65594 CAA65523:CAA65594 CJW65523:CJW65594 CTS65523:CTS65594 DDO65523:DDO65594 DNK65523:DNK65594 DXG65523:DXG65594 EHC65523:EHC65594 EQY65523:EQY65594 FAU65523:FAU65594 FKQ65523:FKQ65594 FUM65523:FUM65594 GEI65523:GEI65594 GOE65523:GOE65594 GYA65523:GYA65594 HHW65523:HHW65594 HRS65523:HRS65594 IBO65523:IBO65594 ILK65523:ILK65594 IVG65523:IVG65594 JFC65523:JFC65594 JOY65523:JOY65594 JYU65523:JYU65594 KIQ65523:KIQ65594 KSM65523:KSM65594 LCI65523:LCI65594 LME65523:LME65594 LWA65523:LWA65594 MFW65523:MFW65594 MPS65523:MPS65594 MZO65523:MZO65594 NJK65523:NJK65594 NTG65523:NTG65594 ODC65523:ODC65594 OMY65523:OMY65594 OWU65523:OWU65594 PGQ65523:PGQ65594 PQM65523:PQM65594 QAI65523:QAI65594 QKE65523:QKE65594 QUA65523:QUA65594 RDW65523:RDW65594 RNS65523:RNS65594 RXO65523:RXO65594 SHK65523:SHK65594 SRG65523:SRG65594 TBC65523:TBC65594 TKY65523:TKY65594 TUU65523:TUU65594 UEQ65523:UEQ65594 UOM65523:UOM65594 UYI65523:UYI65594 VIE65523:VIE65594 VSA65523:VSA65594 WBW65523:WBW65594 WLS65523:WLS65594 WVO65523:WVO65594 G131059:G131130 JC131059:JC131130 SY131059:SY131130 ACU131059:ACU131130 AMQ131059:AMQ131130 AWM131059:AWM131130 BGI131059:BGI131130 BQE131059:BQE131130 CAA131059:CAA131130 CJW131059:CJW131130 CTS131059:CTS131130 DDO131059:DDO131130 DNK131059:DNK131130 DXG131059:DXG131130 EHC131059:EHC131130 EQY131059:EQY131130 FAU131059:FAU131130 FKQ131059:FKQ131130 FUM131059:FUM131130 GEI131059:GEI131130 GOE131059:GOE131130 GYA131059:GYA131130 HHW131059:HHW131130 HRS131059:HRS131130 IBO131059:IBO131130 ILK131059:ILK131130 IVG131059:IVG131130 JFC131059:JFC131130 JOY131059:JOY131130 JYU131059:JYU131130 KIQ131059:KIQ131130 KSM131059:KSM131130 LCI131059:LCI131130 LME131059:LME131130 LWA131059:LWA131130 MFW131059:MFW131130 MPS131059:MPS131130 MZO131059:MZO131130 NJK131059:NJK131130 NTG131059:NTG131130 ODC131059:ODC131130 OMY131059:OMY131130 OWU131059:OWU131130 PGQ131059:PGQ131130 PQM131059:PQM131130 QAI131059:QAI131130 QKE131059:QKE131130 QUA131059:QUA131130 RDW131059:RDW131130 RNS131059:RNS131130 RXO131059:RXO131130 SHK131059:SHK131130 SRG131059:SRG131130 TBC131059:TBC131130 TKY131059:TKY131130 TUU131059:TUU131130 UEQ131059:UEQ131130 UOM131059:UOM131130 UYI131059:UYI131130 VIE131059:VIE131130 VSA131059:VSA131130 WBW131059:WBW131130 WLS131059:WLS131130 WVO131059:WVO131130 G196595:G196666 JC196595:JC196666 SY196595:SY196666 ACU196595:ACU196666 AMQ196595:AMQ196666 AWM196595:AWM196666 BGI196595:BGI196666 BQE196595:BQE196666 CAA196595:CAA196666 CJW196595:CJW196666 CTS196595:CTS196666 DDO196595:DDO196666 DNK196595:DNK196666 DXG196595:DXG196666 EHC196595:EHC196666 EQY196595:EQY196666 FAU196595:FAU196666 FKQ196595:FKQ196666 FUM196595:FUM196666 GEI196595:GEI196666 GOE196595:GOE196666 GYA196595:GYA196666 HHW196595:HHW196666 HRS196595:HRS196666 IBO196595:IBO196666 ILK196595:ILK196666 IVG196595:IVG196666 JFC196595:JFC196666 JOY196595:JOY196666 JYU196595:JYU196666 KIQ196595:KIQ196666 KSM196595:KSM196666 LCI196595:LCI196666 LME196595:LME196666 LWA196595:LWA196666 MFW196595:MFW196666 MPS196595:MPS196666 MZO196595:MZO196666 NJK196595:NJK196666 NTG196595:NTG196666 ODC196595:ODC196666 OMY196595:OMY196666 OWU196595:OWU196666 PGQ196595:PGQ196666 PQM196595:PQM196666 QAI196595:QAI196666 QKE196595:QKE196666 QUA196595:QUA196666 RDW196595:RDW196666 RNS196595:RNS196666 RXO196595:RXO196666 SHK196595:SHK196666 SRG196595:SRG196666 TBC196595:TBC196666 TKY196595:TKY196666 TUU196595:TUU196666 UEQ196595:UEQ196666 UOM196595:UOM196666 UYI196595:UYI196666 VIE196595:VIE196666 VSA196595:VSA196666 WBW196595:WBW196666 WLS196595:WLS196666 WVO196595:WVO196666 G262131:G262202 JC262131:JC262202 SY262131:SY262202 ACU262131:ACU262202 AMQ262131:AMQ262202 AWM262131:AWM262202 BGI262131:BGI262202 BQE262131:BQE262202 CAA262131:CAA262202 CJW262131:CJW262202 CTS262131:CTS262202 DDO262131:DDO262202 DNK262131:DNK262202 DXG262131:DXG262202 EHC262131:EHC262202 EQY262131:EQY262202 FAU262131:FAU262202 FKQ262131:FKQ262202 FUM262131:FUM262202 GEI262131:GEI262202 GOE262131:GOE262202 GYA262131:GYA262202 HHW262131:HHW262202 HRS262131:HRS262202 IBO262131:IBO262202 ILK262131:ILK262202 IVG262131:IVG262202 JFC262131:JFC262202 JOY262131:JOY262202 JYU262131:JYU262202 KIQ262131:KIQ262202 KSM262131:KSM262202 LCI262131:LCI262202 LME262131:LME262202 LWA262131:LWA262202 MFW262131:MFW262202 MPS262131:MPS262202 MZO262131:MZO262202 NJK262131:NJK262202 NTG262131:NTG262202 ODC262131:ODC262202 OMY262131:OMY262202 OWU262131:OWU262202 PGQ262131:PGQ262202 PQM262131:PQM262202 QAI262131:QAI262202 QKE262131:QKE262202 QUA262131:QUA262202 RDW262131:RDW262202 RNS262131:RNS262202 RXO262131:RXO262202 SHK262131:SHK262202 SRG262131:SRG262202 TBC262131:TBC262202 TKY262131:TKY262202 TUU262131:TUU262202 UEQ262131:UEQ262202 UOM262131:UOM262202 UYI262131:UYI262202 VIE262131:VIE262202 VSA262131:VSA262202 WBW262131:WBW262202 WLS262131:WLS262202 WVO262131:WVO262202 G327667:G327738 JC327667:JC327738 SY327667:SY327738 ACU327667:ACU327738 AMQ327667:AMQ327738 AWM327667:AWM327738 BGI327667:BGI327738 BQE327667:BQE327738 CAA327667:CAA327738 CJW327667:CJW327738 CTS327667:CTS327738 DDO327667:DDO327738 DNK327667:DNK327738 DXG327667:DXG327738 EHC327667:EHC327738 EQY327667:EQY327738 FAU327667:FAU327738 FKQ327667:FKQ327738 FUM327667:FUM327738 GEI327667:GEI327738 GOE327667:GOE327738 GYA327667:GYA327738 HHW327667:HHW327738 HRS327667:HRS327738 IBO327667:IBO327738 ILK327667:ILK327738 IVG327667:IVG327738 JFC327667:JFC327738 JOY327667:JOY327738 JYU327667:JYU327738 KIQ327667:KIQ327738 KSM327667:KSM327738 LCI327667:LCI327738 LME327667:LME327738 LWA327667:LWA327738 MFW327667:MFW327738 MPS327667:MPS327738 MZO327667:MZO327738 NJK327667:NJK327738 NTG327667:NTG327738 ODC327667:ODC327738 OMY327667:OMY327738 OWU327667:OWU327738 PGQ327667:PGQ327738 PQM327667:PQM327738 QAI327667:QAI327738 QKE327667:QKE327738 QUA327667:QUA327738 RDW327667:RDW327738 RNS327667:RNS327738 RXO327667:RXO327738 SHK327667:SHK327738 SRG327667:SRG327738 TBC327667:TBC327738 TKY327667:TKY327738 TUU327667:TUU327738 UEQ327667:UEQ327738 UOM327667:UOM327738 UYI327667:UYI327738 VIE327667:VIE327738 VSA327667:VSA327738 WBW327667:WBW327738 WLS327667:WLS327738 WVO327667:WVO327738 G393203:G393274 JC393203:JC393274 SY393203:SY393274 ACU393203:ACU393274 AMQ393203:AMQ393274 AWM393203:AWM393274 BGI393203:BGI393274 BQE393203:BQE393274 CAA393203:CAA393274 CJW393203:CJW393274 CTS393203:CTS393274 DDO393203:DDO393274 DNK393203:DNK393274 DXG393203:DXG393274 EHC393203:EHC393274 EQY393203:EQY393274 FAU393203:FAU393274 FKQ393203:FKQ393274 FUM393203:FUM393274 GEI393203:GEI393274 GOE393203:GOE393274 GYA393203:GYA393274 HHW393203:HHW393274 HRS393203:HRS393274 IBO393203:IBO393274 ILK393203:ILK393274 IVG393203:IVG393274 JFC393203:JFC393274 JOY393203:JOY393274 JYU393203:JYU393274 KIQ393203:KIQ393274 KSM393203:KSM393274 LCI393203:LCI393274 LME393203:LME393274 LWA393203:LWA393274 MFW393203:MFW393274 MPS393203:MPS393274 MZO393203:MZO393274 NJK393203:NJK393274 NTG393203:NTG393274 ODC393203:ODC393274 OMY393203:OMY393274 OWU393203:OWU393274 PGQ393203:PGQ393274 PQM393203:PQM393274 QAI393203:QAI393274 QKE393203:QKE393274 QUA393203:QUA393274 RDW393203:RDW393274 RNS393203:RNS393274 RXO393203:RXO393274 SHK393203:SHK393274 SRG393203:SRG393274 TBC393203:TBC393274 TKY393203:TKY393274 TUU393203:TUU393274 UEQ393203:UEQ393274 UOM393203:UOM393274 UYI393203:UYI393274 VIE393203:VIE393274 VSA393203:VSA393274 WBW393203:WBW393274 WLS393203:WLS393274 WVO393203:WVO393274 G458739:G458810 JC458739:JC458810 SY458739:SY458810 ACU458739:ACU458810 AMQ458739:AMQ458810 AWM458739:AWM458810 BGI458739:BGI458810 BQE458739:BQE458810 CAA458739:CAA458810 CJW458739:CJW458810 CTS458739:CTS458810 DDO458739:DDO458810 DNK458739:DNK458810 DXG458739:DXG458810 EHC458739:EHC458810 EQY458739:EQY458810 FAU458739:FAU458810 FKQ458739:FKQ458810 FUM458739:FUM458810 GEI458739:GEI458810 GOE458739:GOE458810 GYA458739:GYA458810 HHW458739:HHW458810 HRS458739:HRS458810 IBO458739:IBO458810 ILK458739:ILK458810 IVG458739:IVG458810 JFC458739:JFC458810 JOY458739:JOY458810 JYU458739:JYU458810 KIQ458739:KIQ458810 KSM458739:KSM458810 LCI458739:LCI458810 LME458739:LME458810 LWA458739:LWA458810 MFW458739:MFW458810 MPS458739:MPS458810 MZO458739:MZO458810 NJK458739:NJK458810 NTG458739:NTG458810 ODC458739:ODC458810 OMY458739:OMY458810 OWU458739:OWU458810 PGQ458739:PGQ458810 PQM458739:PQM458810 QAI458739:QAI458810 QKE458739:QKE458810 QUA458739:QUA458810 RDW458739:RDW458810 RNS458739:RNS458810 RXO458739:RXO458810 SHK458739:SHK458810 SRG458739:SRG458810 TBC458739:TBC458810 TKY458739:TKY458810 TUU458739:TUU458810 UEQ458739:UEQ458810 UOM458739:UOM458810 UYI458739:UYI458810 VIE458739:VIE458810 VSA458739:VSA458810 WBW458739:WBW458810 WLS458739:WLS458810 WVO458739:WVO458810 G524275:G524346 JC524275:JC524346 SY524275:SY524346 ACU524275:ACU524346 AMQ524275:AMQ524346 AWM524275:AWM524346 BGI524275:BGI524346 BQE524275:BQE524346 CAA524275:CAA524346 CJW524275:CJW524346 CTS524275:CTS524346 DDO524275:DDO524346 DNK524275:DNK524346 DXG524275:DXG524346 EHC524275:EHC524346 EQY524275:EQY524346 FAU524275:FAU524346 FKQ524275:FKQ524346 FUM524275:FUM524346 GEI524275:GEI524346 GOE524275:GOE524346 GYA524275:GYA524346 HHW524275:HHW524346 HRS524275:HRS524346 IBO524275:IBO524346 ILK524275:ILK524346 IVG524275:IVG524346 JFC524275:JFC524346 JOY524275:JOY524346 JYU524275:JYU524346 KIQ524275:KIQ524346 KSM524275:KSM524346 LCI524275:LCI524346 LME524275:LME524346 LWA524275:LWA524346 MFW524275:MFW524346 MPS524275:MPS524346 MZO524275:MZO524346 NJK524275:NJK524346 NTG524275:NTG524346 ODC524275:ODC524346 OMY524275:OMY524346 OWU524275:OWU524346 PGQ524275:PGQ524346 PQM524275:PQM524346 QAI524275:QAI524346 QKE524275:QKE524346 QUA524275:QUA524346 RDW524275:RDW524346 RNS524275:RNS524346 RXO524275:RXO524346 SHK524275:SHK524346 SRG524275:SRG524346 TBC524275:TBC524346 TKY524275:TKY524346 TUU524275:TUU524346 UEQ524275:UEQ524346 UOM524275:UOM524346 UYI524275:UYI524346 VIE524275:VIE524346 VSA524275:VSA524346 WBW524275:WBW524346 WLS524275:WLS524346 WVO524275:WVO524346 G589811:G589882 JC589811:JC589882 SY589811:SY589882 ACU589811:ACU589882 AMQ589811:AMQ589882 AWM589811:AWM589882 BGI589811:BGI589882 BQE589811:BQE589882 CAA589811:CAA589882 CJW589811:CJW589882 CTS589811:CTS589882 DDO589811:DDO589882 DNK589811:DNK589882 DXG589811:DXG589882 EHC589811:EHC589882 EQY589811:EQY589882 FAU589811:FAU589882 FKQ589811:FKQ589882 FUM589811:FUM589882 GEI589811:GEI589882 GOE589811:GOE589882 GYA589811:GYA589882 HHW589811:HHW589882 HRS589811:HRS589882 IBO589811:IBO589882 ILK589811:ILK589882 IVG589811:IVG589882 JFC589811:JFC589882 JOY589811:JOY589882 JYU589811:JYU589882 KIQ589811:KIQ589882 KSM589811:KSM589882 LCI589811:LCI589882 LME589811:LME589882 LWA589811:LWA589882 MFW589811:MFW589882 MPS589811:MPS589882 MZO589811:MZO589882 NJK589811:NJK589882 NTG589811:NTG589882 ODC589811:ODC589882 OMY589811:OMY589882 OWU589811:OWU589882 PGQ589811:PGQ589882 PQM589811:PQM589882 QAI589811:QAI589882 QKE589811:QKE589882 QUA589811:QUA589882 RDW589811:RDW589882 RNS589811:RNS589882 RXO589811:RXO589882 SHK589811:SHK589882 SRG589811:SRG589882 TBC589811:TBC589882 TKY589811:TKY589882 TUU589811:TUU589882 UEQ589811:UEQ589882 UOM589811:UOM589882 UYI589811:UYI589882 VIE589811:VIE589882 VSA589811:VSA589882 WBW589811:WBW589882 WLS589811:WLS589882 WVO589811:WVO589882 G655347:G655418 JC655347:JC655418 SY655347:SY655418 ACU655347:ACU655418 AMQ655347:AMQ655418 AWM655347:AWM655418 BGI655347:BGI655418 BQE655347:BQE655418 CAA655347:CAA655418 CJW655347:CJW655418 CTS655347:CTS655418 DDO655347:DDO655418 DNK655347:DNK655418 DXG655347:DXG655418 EHC655347:EHC655418 EQY655347:EQY655418 FAU655347:FAU655418 FKQ655347:FKQ655418 FUM655347:FUM655418 GEI655347:GEI655418 GOE655347:GOE655418 GYA655347:GYA655418 HHW655347:HHW655418 HRS655347:HRS655418 IBO655347:IBO655418 ILK655347:ILK655418 IVG655347:IVG655418 JFC655347:JFC655418 JOY655347:JOY655418 JYU655347:JYU655418 KIQ655347:KIQ655418 KSM655347:KSM655418 LCI655347:LCI655418 LME655347:LME655418 LWA655347:LWA655418 MFW655347:MFW655418 MPS655347:MPS655418 MZO655347:MZO655418 NJK655347:NJK655418 NTG655347:NTG655418 ODC655347:ODC655418 OMY655347:OMY655418 OWU655347:OWU655418 PGQ655347:PGQ655418 PQM655347:PQM655418 QAI655347:QAI655418 QKE655347:QKE655418 QUA655347:QUA655418 RDW655347:RDW655418 RNS655347:RNS655418 RXO655347:RXO655418 SHK655347:SHK655418 SRG655347:SRG655418 TBC655347:TBC655418 TKY655347:TKY655418 TUU655347:TUU655418 UEQ655347:UEQ655418 UOM655347:UOM655418 UYI655347:UYI655418 VIE655347:VIE655418 VSA655347:VSA655418 WBW655347:WBW655418 WLS655347:WLS655418 WVO655347:WVO655418 G720883:G720954 JC720883:JC720954 SY720883:SY720954 ACU720883:ACU720954 AMQ720883:AMQ720954 AWM720883:AWM720954 BGI720883:BGI720954 BQE720883:BQE720954 CAA720883:CAA720954 CJW720883:CJW720954 CTS720883:CTS720954 DDO720883:DDO720954 DNK720883:DNK720954 DXG720883:DXG720954 EHC720883:EHC720954 EQY720883:EQY720954 FAU720883:FAU720954 FKQ720883:FKQ720954 FUM720883:FUM720954 GEI720883:GEI720954 GOE720883:GOE720954 GYA720883:GYA720954 HHW720883:HHW720954 HRS720883:HRS720954 IBO720883:IBO720954 ILK720883:ILK720954 IVG720883:IVG720954 JFC720883:JFC720954 JOY720883:JOY720954 JYU720883:JYU720954 KIQ720883:KIQ720954 KSM720883:KSM720954 LCI720883:LCI720954 LME720883:LME720954 LWA720883:LWA720954 MFW720883:MFW720954 MPS720883:MPS720954 MZO720883:MZO720954 NJK720883:NJK720954 NTG720883:NTG720954 ODC720883:ODC720954 OMY720883:OMY720954 OWU720883:OWU720954 PGQ720883:PGQ720954 PQM720883:PQM720954 QAI720883:QAI720954 QKE720883:QKE720954 QUA720883:QUA720954 RDW720883:RDW720954 RNS720883:RNS720954 RXO720883:RXO720954 SHK720883:SHK720954 SRG720883:SRG720954 TBC720883:TBC720954 TKY720883:TKY720954 TUU720883:TUU720954 UEQ720883:UEQ720954 UOM720883:UOM720954 UYI720883:UYI720954 VIE720883:VIE720954 VSA720883:VSA720954 WBW720883:WBW720954 WLS720883:WLS720954 WVO720883:WVO720954 G786419:G786490 JC786419:JC786490 SY786419:SY786490 ACU786419:ACU786490 AMQ786419:AMQ786490 AWM786419:AWM786490 BGI786419:BGI786490 BQE786419:BQE786490 CAA786419:CAA786490 CJW786419:CJW786490 CTS786419:CTS786490 DDO786419:DDO786490 DNK786419:DNK786490 DXG786419:DXG786490 EHC786419:EHC786490 EQY786419:EQY786490 FAU786419:FAU786490 FKQ786419:FKQ786490 FUM786419:FUM786490 GEI786419:GEI786490 GOE786419:GOE786490 GYA786419:GYA786490 HHW786419:HHW786490 HRS786419:HRS786490 IBO786419:IBO786490 ILK786419:ILK786490 IVG786419:IVG786490 JFC786419:JFC786490 JOY786419:JOY786490 JYU786419:JYU786490 KIQ786419:KIQ786490 KSM786419:KSM786490 LCI786419:LCI786490 LME786419:LME786490 LWA786419:LWA786490 MFW786419:MFW786490 MPS786419:MPS786490 MZO786419:MZO786490 NJK786419:NJK786490 NTG786419:NTG786490 ODC786419:ODC786490 OMY786419:OMY786490 OWU786419:OWU786490 PGQ786419:PGQ786490 PQM786419:PQM786490 QAI786419:QAI786490 QKE786419:QKE786490 QUA786419:QUA786490 RDW786419:RDW786490 RNS786419:RNS786490 RXO786419:RXO786490 SHK786419:SHK786490 SRG786419:SRG786490 TBC786419:TBC786490 TKY786419:TKY786490 TUU786419:TUU786490 UEQ786419:UEQ786490 UOM786419:UOM786490 UYI786419:UYI786490 VIE786419:VIE786490 VSA786419:VSA786490 WBW786419:WBW786490 WLS786419:WLS786490 WVO786419:WVO786490 G851955:G852026 JC851955:JC852026 SY851955:SY852026 ACU851955:ACU852026 AMQ851955:AMQ852026 AWM851955:AWM852026 BGI851955:BGI852026 BQE851955:BQE852026 CAA851955:CAA852026 CJW851955:CJW852026 CTS851955:CTS852026 DDO851955:DDO852026 DNK851955:DNK852026 DXG851955:DXG852026 EHC851955:EHC852026 EQY851955:EQY852026 FAU851955:FAU852026 FKQ851955:FKQ852026 FUM851955:FUM852026 GEI851955:GEI852026 GOE851955:GOE852026 GYA851955:GYA852026 HHW851955:HHW852026 HRS851955:HRS852026 IBO851955:IBO852026 ILK851955:ILK852026 IVG851955:IVG852026 JFC851955:JFC852026 JOY851955:JOY852026 JYU851955:JYU852026 KIQ851955:KIQ852026 KSM851955:KSM852026 LCI851955:LCI852026 LME851955:LME852026 LWA851955:LWA852026 MFW851955:MFW852026 MPS851955:MPS852026 MZO851955:MZO852026 NJK851955:NJK852026 NTG851955:NTG852026 ODC851955:ODC852026 OMY851955:OMY852026 OWU851955:OWU852026 PGQ851955:PGQ852026 PQM851955:PQM852026 QAI851955:QAI852026 QKE851955:QKE852026 QUA851955:QUA852026 RDW851955:RDW852026 RNS851955:RNS852026 RXO851955:RXO852026 SHK851955:SHK852026 SRG851955:SRG852026 TBC851955:TBC852026 TKY851955:TKY852026 TUU851955:TUU852026 UEQ851955:UEQ852026 UOM851955:UOM852026 UYI851955:UYI852026 VIE851955:VIE852026 VSA851955:VSA852026 WBW851955:WBW852026 WLS851955:WLS852026 WVO851955:WVO852026 G917491:G917562 JC917491:JC917562 SY917491:SY917562 ACU917491:ACU917562 AMQ917491:AMQ917562 AWM917491:AWM917562 BGI917491:BGI917562 BQE917491:BQE917562 CAA917491:CAA917562 CJW917491:CJW917562 CTS917491:CTS917562 DDO917491:DDO917562 DNK917491:DNK917562 DXG917491:DXG917562 EHC917491:EHC917562 EQY917491:EQY917562 FAU917491:FAU917562 FKQ917491:FKQ917562 FUM917491:FUM917562 GEI917491:GEI917562 GOE917491:GOE917562 GYA917491:GYA917562 HHW917491:HHW917562 HRS917491:HRS917562 IBO917491:IBO917562 ILK917491:ILK917562 IVG917491:IVG917562 JFC917491:JFC917562 JOY917491:JOY917562 JYU917491:JYU917562 KIQ917491:KIQ917562 KSM917491:KSM917562 LCI917491:LCI917562 LME917491:LME917562 LWA917491:LWA917562 MFW917491:MFW917562 MPS917491:MPS917562 MZO917491:MZO917562 NJK917491:NJK917562 NTG917491:NTG917562 ODC917491:ODC917562 OMY917491:OMY917562 OWU917491:OWU917562 PGQ917491:PGQ917562 PQM917491:PQM917562 QAI917491:QAI917562 QKE917491:QKE917562 QUA917491:QUA917562 RDW917491:RDW917562 RNS917491:RNS917562 RXO917491:RXO917562 SHK917491:SHK917562 SRG917491:SRG917562 TBC917491:TBC917562 TKY917491:TKY917562 TUU917491:TUU917562 UEQ917491:UEQ917562 UOM917491:UOM917562 UYI917491:UYI917562 VIE917491:VIE917562 VSA917491:VSA917562 WBW917491:WBW917562 WLS917491:WLS917562 WVO917491:WVO917562 G983027:G983098 JC983027:JC983098 SY983027:SY983098 ACU983027:ACU983098 AMQ983027:AMQ983098 AWM983027:AWM983098 BGI983027:BGI983098 BQE983027:BQE983098 CAA983027:CAA983098 CJW983027:CJW983098 CTS983027:CTS983098 DDO983027:DDO983098 DNK983027:DNK983098 DXG983027:DXG983098 EHC983027:EHC983098 EQY983027:EQY983098 FAU983027:FAU983098 FKQ983027:FKQ983098 FUM983027:FUM983098 GEI983027:GEI983098 GOE983027:GOE983098 GYA983027:GYA983098 HHW983027:HHW983098 HRS983027:HRS983098 IBO983027:IBO983098 ILK983027:ILK983098 IVG983027:IVG983098 JFC983027:JFC983098 JOY983027:JOY983098 JYU983027:JYU983098 KIQ983027:KIQ983098 KSM983027:KSM983098 LCI983027:LCI983098 LME983027:LME983098 LWA983027:LWA983098 MFW983027:MFW983098 MPS983027:MPS983098 MZO983027:MZO983098 NJK983027:NJK983098 NTG983027:NTG983098 ODC983027:ODC983098 OMY983027:OMY983098 OWU983027:OWU983098 PGQ983027:PGQ983098 PQM983027:PQM983098 QAI983027:QAI983098 QKE983027:QKE983098 QUA983027:QUA983098 RDW983027:RDW983098 RNS983027:RNS983098 RXO983027:RXO983098 SHK983027:SHK983098 SRG983027:SRG983098 TBC983027:TBC983098 TKY983027:TKY983098 TUU983027:TUU983098 UEQ983027:UEQ983098 UOM983027:UOM983098 UYI983027:UYI983098 VIE983027:VIE983098 VSA983027:VSA983098 WBW983027:WBW983098 WLS983027:WLS983098 G2:G485 JC2:JC72 WVO2:WVO72 WLS2:WLS72 WBW2:WBW72 VSA2:VSA72 VIE2:VIE72 UYI2:UYI72 UOM2:UOM72 UEQ2:UEQ72 TUU2:TUU72 TKY2:TKY72 TBC2:TBC72 SRG2:SRG72 SHK2:SHK72 RXO2:RXO72 RNS2:RNS72 RDW2:RDW72 QUA2:QUA72 QKE2:QKE72 QAI2:QAI72 PQM2:PQM72 PGQ2:PGQ72 OWU2:OWU72 OMY2:OMY72 ODC2:ODC72 NTG2:NTG72 NJK2:NJK72 MZO2:MZO72 MPS2:MPS72 MFW2:MFW72 LWA2:LWA72 LME2:LME72 LCI2:LCI72 KSM2:KSM72 KIQ2:KIQ72 JYU2:JYU72 JOY2:JOY72 JFC2:JFC72 IVG2:IVG72 ILK2:ILK72 IBO2:IBO72 HRS2:HRS72 HHW2:HHW72 GYA2:GYA72 GOE2:GOE72 GEI2:GEI72 FUM2:FUM72 FKQ2:FKQ72 FAU2:FAU72 EQY2:EQY72 EHC2:EHC72 DXG2:DXG72 DNK2:DNK72 DDO2:DDO72 CTS2:CTS72 CJW2:CJW72 CAA2:CAA72 BQE2:BQE72 BGI2:BGI72 AWM2:AWM72 AMQ2:AMQ72 ACU2:ACU72 SY2:SY72" xr:uid="{A083DE1D-69D8-4537-BCA9-4F0706D0950B}">
      <formula1>$AJ$2:$AJ$4</formula1>
    </dataValidation>
    <dataValidation type="list" allowBlank="1" showInputMessage="1" showErrorMessage="1" sqref="I64348:I64413 JE64348:JE64413 TA64348:TA64413 ACW64348:ACW64413 AMS64348:AMS64413 AWO64348:AWO64413 BGK64348:BGK64413 BQG64348:BQG64413 CAC64348:CAC64413 CJY64348:CJY64413 CTU64348:CTU64413 DDQ64348:DDQ64413 DNM64348:DNM64413 DXI64348:DXI64413 EHE64348:EHE64413 ERA64348:ERA64413 FAW64348:FAW64413 FKS64348:FKS64413 FUO64348:FUO64413 GEK64348:GEK64413 GOG64348:GOG64413 GYC64348:GYC64413 HHY64348:HHY64413 HRU64348:HRU64413 IBQ64348:IBQ64413 ILM64348:ILM64413 IVI64348:IVI64413 JFE64348:JFE64413 JPA64348:JPA64413 JYW64348:JYW64413 KIS64348:KIS64413 KSO64348:KSO64413 LCK64348:LCK64413 LMG64348:LMG64413 LWC64348:LWC64413 MFY64348:MFY64413 MPU64348:MPU64413 MZQ64348:MZQ64413 NJM64348:NJM64413 NTI64348:NTI64413 ODE64348:ODE64413 ONA64348:ONA64413 OWW64348:OWW64413 PGS64348:PGS64413 PQO64348:PQO64413 QAK64348:QAK64413 QKG64348:QKG64413 QUC64348:QUC64413 RDY64348:RDY64413 RNU64348:RNU64413 RXQ64348:RXQ64413 SHM64348:SHM64413 SRI64348:SRI64413 TBE64348:TBE64413 TLA64348:TLA64413 TUW64348:TUW64413 UES64348:UES64413 UOO64348:UOO64413 UYK64348:UYK64413 VIG64348:VIG64413 VSC64348:VSC64413 WBY64348:WBY64413 WLU64348:WLU64413 WVQ64348:WVQ64413 I129884:I129949 JE129884:JE129949 TA129884:TA129949 ACW129884:ACW129949 AMS129884:AMS129949 AWO129884:AWO129949 BGK129884:BGK129949 BQG129884:BQG129949 CAC129884:CAC129949 CJY129884:CJY129949 CTU129884:CTU129949 DDQ129884:DDQ129949 DNM129884:DNM129949 DXI129884:DXI129949 EHE129884:EHE129949 ERA129884:ERA129949 FAW129884:FAW129949 FKS129884:FKS129949 FUO129884:FUO129949 GEK129884:GEK129949 GOG129884:GOG129949 GYC129884:GYC129949 HHY129884:HHY129949 HRU129884:HRU129949 IBQ129884:IBQ129949 ILM129884:ILM129949 IVI129884:IVI129949 JFE129884:JFE129949 JPA129884:JPA129949 JYW129884:JYW129949 KIS129884:KIS129949 KSO129884:KSO129949 LCK129884:LCK129949 LMG129884:LMG129949 LWC129884:LWC129949 MFY129884:MFY129949 MPU129884:MPU129949 MZQ129884:MZQ129949 NJM129884:NJM129949 NTI129884:NTI129949 ODE129884:ODE129949 ONA129884:ONA129949 OWW129884:OWW129949 PGS129884:PGS129949 PQO129884:PQO129949 QAK129884:QAK129949 QKG129884:QKG129949 QUC129884:QUC129949 RDY129884:RDY129949 RNU129884:RNU129949 RXQ129884:RXQ129949 SHM129884:SHM129949 SRI129884:SRI129949 TBE129884:TBE129949 TLA129884:TLA129949 TUW129884:TUW129949 UES129884:UES129949 UOO129884:UOO129949 UYK129884:UYK129949 VIG129884:VIG129949 VSC129884:VSC129949 WBY129884:WBY129949 WLU129884:WLU129949 WVQ129884:WVQ129949 I195420:I195485 JE195420:JE195485 TA195420:TA195485 ACW195420:ACW195485 AMS195420:AMS195485 AWO195420:AWO195485 BGK195420:BGK195485 BQG195420:BQG195485 CAC195420:CAC195485 CJY195420:CJY195485 CTU195420:CTU195485 DDQ195420:DDQ195485 DNM195420:DNM195485 DXI195420:DXI195485 EHE195420:EHE195485 ERA195420:ERA195485 FAW195420:FAW195485 FKS195420:FKS195485 FUO195420:FUO195485 GEK195420:GEK195485 GOG195420:GOG195485 GYC195420:GYC195485 HHY195420:HHY195485 HRU195420:HRU195485 IBQ195420:IBQ195485 ILM195420:ILM195485 IVI195420:IVI195485 JFE195420:JFE195485 JPA195420:JPA195485 JYW195420:JYW195485 KIS195420:KIS195485 KSO195420:KSO195485 LCK195420:LCK195485 LMG195420:LMG195485 LWC195420:LWC195485 MFY195420:MFY195485 MPU195420:MPU195485 MZQ195420:MZQ195485 NJM195420:NJM195485 NTI195420:NTI195485 ODE195420:ODE195485 ONA195420:ONA195485 OWW195420:OWW195485 PGS195420:PGS195485 PQO195420:PQO195485 QAK195420:QAK195485 QKG195420:QKG195485 QUC195420:QUC195485 RDY195420:RDY195485 RNU195420:RNU195485 RXQ195420:RXQ195485 SHM195420:SHM195485 SRI195420:SRI195485 TBE195420:TBE195485 TLA195420:TLA195485 TUW195420:TUW195485 UES195420:UES195485 UOO195420:UOO195485 UYK195420:UYK195485 VIG195420:VIG195485 VSC195420:VSC195485 WBY195420:WBY195485 WLU195420:WLU195485 WVQ195420:WVQ195485 I260956:I261021 JE260956:JE261021 TA260956:TA261021 ACW260956:ACW261021 AMS260956:AMS261021 AWO260956:AWO261021 BGK260956:BGK261021 BQG260956:BQG261021 CAC260956:CAC261021 CJY260956:CJY261021 CTU260956:CTU261021 DDQ260956:DDQ261021 DNM260956:DNM261021 DXI260956:DXI261021 EHE260956:EHE261021 ERA260956:ERA261021 FAW260956:FAW261021 FKS260956:FKS261021 FUO260956:FUO261021 GEK260956:GEK261021 GOG260956:GOG261021 GYC260956:GYC261021 HHY260956:HHY261021 HRU260956:HRU261021 IBQ260956:IBQ261021 ILM260956:ILM261021 IVI260956:IVI261021 JFE260956:JFE261021 JPA260956:JPA261021 JYW260956:JYW261021 KIS260956:KIS261021 KSO260956:KSO261021 LCK260956:LCK261021 LMG260956:LMG261021 LWC260956:LWC261021 MFY260956:MFY261021 MPU260956:MPU261021 MZQ260956:MZQ261021 NJM260956:NJM261021 NTI260956:NTI261021 ODE260956:ODE261021 ONA260956:ONA261021 OWW260956:OWW261021 PGS260956:PGS261021 PQO260956:PQO261021 QAK260956:QAK261021 QKG260956:QKG261021 QUC260956:QUC261021 RDY260956:RDY261021 RNU260956:RNU261021 RXQ260956:RXQ261021 SHM260956:SHM261021 SRI260956:SRI261021 TBE260956:TBE261021 TLA260956:TLA261021 TUW260956:TUW261021 UES260956:UES261021 UOO260956:UOO261021 UYK260956:UYK261021 VIG260956:VIG261021 VSC260956:VSC261021 WBY260956:WBY261021 WLU260956:WLU261021 WVQ260956:WVQ261021 I326492:I326557 JE326492:JE326557 TA326492:TA326557 ACW326492:ACW326557 AMS326492:AMS326557 AWO326492:AWO326557 BGK326492:BGK326557 BQG326492:BQG326557 CAC326492:CAC326557 CJY326492:CJY326557 CTU326492:CTU326557 DDQ326492:DDQ326557 DNM326492:DNM326557 DXI326492:DXI326557 EHE326492:EHE326557 ERA326492:ERA326557 FAW326492:FAW326557 FKS326492:FKS326557 FUO326492:FUO326557 GEK326492:GEK326557 GOG326492:GOG326557 GYC326492:GYC326557 HHY326492:HHY326557 HRU326492:HRU326557 IBQ326492:IBQ326557 ILM326492:ILM326557 IVI326492:IVI326557 JFE326492:JFE326557 JPA326492:JPA326557 JYW326492:JYW326557 KIS326492:KIS326557 KSO326492:KSO326557 LCK326492:LCK326557 LMG326492:LMG326557 LWC326492:LWC326557 MFY326492:MFY326557 MPU326492:MPU326557 MZQ326492:MZQ326557 NJM326492:NJM326557 NTI326492:NTI326557 ODE326492:ODE326557 ONA326492:ONA326557 OWW326492:OWW326557 PGS326492:PGS326557 PQO326492:PQO326557 QAK326492:QAK326557 QKG326492:QKG326557 QUC326492:QUC326557 RDY326492:RDY326557 RNU326492:RNU326557 RXQ326492:RXQ326557 SHM326492:SHM326557 SRI326492:SRI326557 TBE326492:TBE326557 TLA326492:TLA326557 TUW326492:TUW326557 UES326492:UES326557 UOO326492:UOO326557 UYK326492:UYK326557 VIG326492:VIG326557 VSC326492:VSC326557 WBY326492:WBY326557 WLU326492:WLU326557 WVQ326492:WVQ326557 I392028:I392093 JE392028:JE392093 TA392028:TA392093 ACW392028:ACW392093 AMS392028:AMS392093 AWO392028:AWO392093 BGK392028:BGK392093 BQG392028:BQG392093 CAC392028:CAC392093 CJY392028:CJY392093 CTU392028:CTU392093 DDQ392028:DDQ392093 DNM392028:DNM392093 DXI392028:DXI392093 EHE392028:EHE392093 ERA392028:ERA392093 FAW392028:FAW392093 FKS392028:FKS392093 FUO392028:FUO392093 GEK392028:GEK392093 GOG392028:GOG392093 GYC392028:GYC392093 HHY392028:HHY392093 HRU392028:HRU392093 IBQ392028:IBQ392093 ILM392028:ILM392093 IVI392028:IVI392093 JFE392028:JFE392093 JPA392028:JPA392093 JYW392028:JYW392093 KIS392028:KIS392093 KSO392028:KSO392093 LCK392028:LCK392093 LMG392028:LMG392093 LWC392028:LWC392093 MFY392028:MFY392093 MPU392028:MPU392093 MZQ392028:MZQ392093 NJM392028:NJM392093 NTI392028:NTI392093 ODE392028:ODE392093 ONA392028:ONA392093 OWW392028:OWW392093 PGS392028:PGS392093 PQO392028:PQO392093 QAK392028:QAK392093 QKG392028:QKG392093 QUC392028:QUC392093 RDY392028:RDY392093 RNU392028:RNU392093 RXQ392028:RXQ392093 SHM392028:SHM392093 SRI392028:SRI392093 TBE392028:TBE392093 TLA392028:TLA392093 TUW392028:TUW392093 UES392028:UES392093 UOO392028:UOO392093 UYK392028:UYK392093 VIG392028:VIG392093 VSC392028:VSC392093 WBY392028:WBY392093 WLU392028:WLU392093 WVQ392028:WVQ392093 I457564:I457629 JE457564:JE457629 TA457564:TA457629 ACW457564:ACW457629 AMS457564:AMS457629 AWO457564:AWO457629 BGK457564:BGK457629 BQG457564:BQG457629 CAC457564:CAC457629 CJY457564:CJY457629 CTU457564:CTU457629 DDQ457564:DDQ457629 DNM457564:DNM457629 DXI457564:DXI457629 EHE457564:EHE457629 ERA457564:ERA457629 FAW457564:FAW457629 FKS457564:FKS457629 FUO457564:FUO457629 GEK457564:GEK457629 GOG457564:GOG457629 GYC457564:GYC457629 HHY457564:HHY457629 HRU457564:HRU457629 IBQ457564:IBQ457629 ILM457564:ILM457629 IVI457564:IVI457629 JFE457564:JFE457629 JPA457564:JPA457629 JYW457564:JYW457629 KIS457564:KIS457629 KSO457564:KSO457629 LCK457564:LCK457629 LMG457564:LMG457629 LWC457564:LWC457629 MFY457564:MFY457629 MPU457564:MPU457629 MZQ457564:MZQ457629 NJM457564:NJM457629 NTI457564:NTI457629 ODE457564:ODE457629 ONA457564:ONA457629 OWW457564:OWW457629 PGS457564:PGS457629 PQO457564:PQO457629 QAK457564:QAK457629 QKG457564:QKG457629 QUC457564:QUC457629 RDY457564:RDY457629 RNU457564:RNU457629 RXQ457564:RXQ457629 SHM457564:SHM457629 SRI457564:SRI457629 TBE457564:TBE457629 TLA457564:TLA457629 TUW457564:TUW457629 UES457564:UES457629 UOO457564:UOO457629 UYK457564:UYK457629 VIG457564:VIG457629 VSC457564:VSC457629 WBY457564:WBY457629 WLU457564:WLU457629 WVQ457564:WVQ457629 I523100:I523165 JE523100:JE523165 TA523100:TA523165 ACW523100:ACW523165 AMS523100:AMS523165 AWO523100:AWO523165 BGK523100:BGK523165 BQG523100:BQG523165 CAC523100:CAC523165 CJY523100:CJY523165 CTU523100:CTU523165 DDQ523100:DDQ523165 DNM523100:DNM523165 DXI523100:DXI523165 EHE523100:EHE523165 ERA523100:ERA523165 FAW523100:FAW523165 FKS523100:FKS523165 FUO523100:FUO523165 GEK523100:GEK523165 GOG523100:GOG523165 GYC523100:GYC523165 HHY523100:HHY523165 HRU523100:HRU523165 IBQ523100:IBQ523165 ILM523100:ILM523165 IVI523100:IVI523165 JFE523100:JFE523165 JPA523100:JPA523165 JYW523100:JYW523165 KIS523100:KIS523165 KSO523100:KSO523165 LCK523100:LCK523165 LMG523100:LMG523165 LWC523100:LWC523165 MFY523100:MFY523165 MPU523100:MPU523165 MZQ523100:MZQ523165 NJM523100:NJM523165 NTI523100:NTI523165 ODE523100:ODE523165 ONA523100:ONA523165 OWW523100:OWW523165 PGS523100:PGS523165 PQO523100:PQO523165 QAK523100:QAK523165 QKG523100:QKG523165 QUC523100:QUC523165 RDY523100:RDY523165 RNU523100:RNU523165 RXQ523100:RXQ523165 SHM523100:SHM523165 SRI523100:SRI523165 TBE523100:TBE523165 TLA523100:TLA523165 TUW523100:TUW523165 UES523100:UES523165 UOO523100:UOO523165 UYK523100:UYK523165 VIG523100:VIG523165 VSC523100:VSC523165 WBY523100:WBY523165 WLU523100:WLU523165 WVQ523100:WVQ523165 I588636:I588701 JE588636:JE588701 TA588636:TA588701 ACW588636:ACW588701 AMS588636:AMS588701 AWO588636:AWO588701 BGK588636:BGK588701 BQG588636:BQG588701 CAC588636:CAC588701 CJY588636:CJY588701 CTU588636:CTU588701 DDQ588636:DDQ588701 DNM588636:DNM588701 DXI588636:DXI588701 EHE588636:EHE588701 ERA588636:ERA588701 FAW588636:FAW588701 FKS588636:FKS588701 FUO588636:FUO588701 GEK588636:GEK588701 GOG588636:GOG588701 GYC588636:GYC588701 HHY588636:HHY588701 HRU588636:HRU588701 IBQ588636:IBQ588701 ILM588636:ILM588701 IVI588636:IVI588701 JFE588636:JFE588701 JPA588636:JPA588701 JYW588636:JYW588701 KIS588636:KIS588701 KSO588636:KSO588701 LCK588636:LCK588701 LMG588636:LMG588701 LWC588636:LWC588701 MFY588636:MFY588701 MPU588636:MPU588701 MZQ588636:MZQ588701 NJM588636:NJM588701 NTI588636:NTI588701 ODE588636:ODE588701 ONA588636:ONA588701 OWW588636:OWW588701 PGS588636:PGS588701 PQO588636:PQO588701 QAK588636:QAK588701 QKG588636:QKG588701 QUC588636:QUC588701 RDY588636:RDY588701 RNU588636:RNU588701 RXQ588636:RXQ588701 SHM588636:SHM588701 SRI588636:SRI588701 TBE588636:TBE588701 TLA588636:TLA588701 TUW588636:TUW588701 UES588636:UES588701 UOO588636:UOO588701 UYK588636:UYK588701 VIG588636:VIG588701 VSC588636:VSC588701 WBY588636:WBY588701 WLU588636:WLU588701 WVQ588636:WVQ588701 I654172:I654237 JE654172:JE654237 TA654172:TA654237 ACW654172:ACW654237 AMS654172:AMS654237 AWO654172:AWO654237 BGK654172:BGK654237 BQG654172:BQG654237 CAC654172:CAC654237 CJY654172:CJY654237 CTU654172:CTU654237 DDQ654172:DDQ654237 DNM654172:DNM654237 DXI654172:DXI654237 EHE654172:EHE654237 ERA654172:ERA654237 FAW654172:FAW654237 FKS654172:FKS654237 FUO654172:FUO654237 GEK654172:GEK654237 GOG654172:GOG654237 GYC654172:GYC654237 HHY654172:HHY654237 HRU654172:HRU654237 IBQ654172:IBQ654237 ILM654172:ILM654237 IVI654172:IVI654237 JFE654172:JFE654237 JPA654172:JPA654237 JYW654172:JYW654237 KIS654172:KIS654237 KSO654172:KSO654237 LCK654172:LCK654237 LMG654172:LMG654237 LWC654172:LWC654237 MFY654172:MFY654237 MPU654172:MPU654237 MZQ654172:MZQ654237 NJM654172:NJM654237 NTI654172:NTI654237 ODE654172:ODE654237 ONA654172:ONA654237 OWW654172:OWW654237 PGS654172:PGS654237 PQO654172:PQO654237 QAK654172:QAK654237 QKG654172:QKG654237 QUC654172:QUC654237 RDY654172:RDY654237 RNU654172:RNU654237 RXQ654172:RXQ654237 SHM654172:SHM654237 SRI654172:SRI654237 TBE654172:TBE654237 TLA654172:TLA654237 TUW654172:TUW654237 UES654172:UES654237 UOO654172:UOO654237 UYK654172:UYK654237 VIG654172:VIG654237 VSC654172:VSC654237 WBY654172:WBY654237 WLU654172:WLU654237 WVQ654172:WVQ654237 I719708:I719773 JE719708:JE719773 TA719708:TA719773 ACW719708:ACW719773 AMS719708:AMS719773 AWO719708:AWO719773 BGK719708:BGK719773 BQG719708:BQG719773 CAC719708:CAC719773 CJY719708:CJY719773 CTU719708:CTU719773 DDQ719708:DDQ719773 DNM719708:DNM719773 DXI719708:DXI719773 EHE719708:EHE719773 ERA719708:ERA719773 FAW719708:FAW719773 FKS719708:FKS719773 FUO719708:FUO719773 GEK719708:GEK719773 GOG719708:GOG719773 GYC719708:GYC719773 HHY719708:HHY719773 HRU719708:HRU719773 IBQ719708:IBQ719773 ILM719708:ILM719773 IVI719708:IVI719773 JFE719708:JFE719773 JPA719708:JPA719773 JYW719708:JYW719773 KIS719708:KIS719773 KSO719708:KSO719773 LCK719708:LCK719773 LMG719708:LMG719773 LWC719708:LWC719773 MFY719708:MFY719773 MPU719708:MPU719773 MZQ719708:MZQ719773 NJM719708:NJM719773 NTI719708:NTI719773 ODE719708:ODE719773 ONA719708:ONA719773 OWW719708:OWW719773 PGS719708:PGS719773 PQO719708:PQO719773 QAK719708:QAK719773 QKG719708:QKG719773 QUC719708:QUC719773 RDY719708:RDY719773 RNU719708:RNU719773 RXQ719708:RXQ719773 SHM719708:SHM719773 SRI719708:SRI719773 TBE719708:TBE719773 TLA719708:TLA719773 TUW719708:TUW719773 UES719708:UES719773 UOO719708:UOO719773 UYK719708:UYK719773 VIG719708:VIG719773 VSC719708:VSC719773 WBY719708:WBY719773 WLU719708:WLU719773 WVQ719708:WVQ719773 I785244:I785309 JE785244:JE785309 TA785244:TA785309 ACW785244:ACW785309 AMS785244:AMS785309 AWO785244:AWO785309 BGK785244:BGK785309 BQG785244:BQG785309 CAC785244:CAC785309 CJY785244:CJY785309 CTU785244:CTU785309 DDQ785244:DDQ785309 DNM785244:DNM785309 DXI785244:DXI785309 EHE785244:EHE785309 ERA785244:ERA785309 FAW785244:FAW785309 FKS785244:FKS785309 FUO785244:FUO785309 GEK785244:GEK785309 GOG785244:GOG785309 GYC785244:GYC785309 HHY785244:HHY785309 HRU785244:HRU785309 IBQ785244:IBQ785309 ILM785244:ILM785309 IVI785244:IVI785309 JFE785244:JFE785309 JPA785244:JPA785309 JYW785244:JYW785309 KIS785244:KIS785309 KSO785244:KSO785309 LCK785244:LCK785309 LMG785244:LMG785309 LWC785244:LWC785309 MFY785244:MFY785309 MPU785244:MPU785309 MZQ785244:MZQ785309 NJM785244:NJM785309 NTI785244:NTI785309 ODE785244:ODE785309 ONA785244:ONA785309 OWW785244:OWW785309 PGS785244:PGS785309 PQO785244:PQO785309 QAK785244:QAK785309 QKG785244:QKG785309 QUC785244:QUC785309 RDY785244:RDY785309 RNU785244:RNU785309 RXQ785244:RXQ785309 SHM785244:SHM785309 SRI785244:SRI785309 TBE785244:TBE785309 TLA785244:TLA785309 TUW785244:TUW785309 UES785244:UES785309 UOO785244:UOO785309 UYK785244:UYK785309 VIG785244:VIG785309 VSC785244:VSC785309 WBY785244:WBY785309 WLU785244:WLU785309 WVQ785244:WVQ785309 I850780:I850845 JE850780:JE850845 TA850780:TA850845 ACW850780:ACW850845 AMS850780:AMS850845 AWO850780:AWO850845 BGK850780:BGK850845 BQG850780:BQG850845 CAC850780:CAC850845 CJY850780:CJY850845 CTU850780:CTU850845 DDQ850780:DDQ850845 DNM850780:DNM850845 DXI850780:DXI850845 EHE850780:EHE850845 ERA850780:ERA850845 FAW850780:FAW850845 FKS850780:FKS850845 FUO850780:FUO850845 GEK850780:GEK850845 GOG850780:GOG850845 GYC850780:GYC850845 HHY850780:HHY850845 HRU850780:HRU850845 IBQ850780:IBQ850845 ILM850780:ILM850845 IVI850780:IVI850845 JFE850780:JFE850845 JPA850780:JPA850845 JYW850780:JYW850845 KIS850780:KIS850845 KSO850780:KSO850845 LCK850780:LCK850845 LMG850780:LMG850845 LWC850780:LWC850845 MFY850780:MFY850845 MPU850780:MPU850845 MZQ850780:MZQ850845 NJM850780:NJM850845 NTI850780:NTI850845 ODE850780:ODE850845 ONA850780:ONA850845 OWW850780:OWW850845 PGS850780:PGS850845 PQO850780:PQO850845 QAK850780:QAK850845 QKG850780:QKG850845 QUC850780:QUC850845 RDY850780:RDY850845 RNU850780:RNU850845 RXQ850780:RXQ850845 SHM850780:SHM850845 SRI850780:SRI850845 TBE850780:TBE850845 TLA850780:TLA850845 TUW850780:TUW850845 UES850780:UES850845 UOO850780:UOO850845 UYK850780:UYK850845 VIG850780:VIG850845 VSC850780:VSC850845 WBY850780:WBY850845 WLU850780:WLU850845 WVQ850780:WVQ850845 I916316:I916381 JE916316:JE916381 TA916316:TA916381 ACW916316:ACW916381 AMS916316:AMS916381 AWO916316:AWO916381 BGK916316:BGK916381 BQG916316:BQG916381 CAC916316:CAC916381 CJY916316:CJY916381 CTU916316:CTU916381 DDQ916316:DDQ916381 DNM916316:DNM916381 DXI916316:DXI916381 EHE916316:EHE916381 ERA916316:ERA916381 FAW916316:FAW916381 FKS916316:FKS916381 FUO916316:FUO916381 GEK916316:GEK916381 GOG916316:GOG916381 GYC916316:GYC916381 HHY916316:HHY916381 HRU916316:HRU916381 IBQ916316:IBQ916381 ILM916316:ILM916381 IVI916316:IVI916381 JFE916316:JFE916381 JPA916316:JPA916381 JYW916316:JYW916381 KIS916316:KIS916381 KSO916316:KSO916381 LCK916316:LCK916381 LMG916316:LMG916381 LWC916316:LWC916381 MFY916316:MFY916381 MPU916316:MPU916381 MZQ916316:MZQ916381 NJM916316:NJM916381 NTI916316:NTI916381 ODE916316:ODE916381 ONA916316:ONA916381 OWW916316:OWW916381 PGS916316:PGS916381 PQO916316:PQO916381 QAK916316:QAK916381 QKG916316:QKG916381 QUC916316:QUC916381 RDY916316:RDY916381 RNU916316:RNU916381 RXQ916316:RXQ916381 SHM916316:SHM916381 SRI916316:SRI916381 TBE916316:TBE916381 TLA916316:TLA916381 TUW916316:TUW916381 UES916316:UES916381 UOO916316:UOO916381 UYK916316:UYK916381 VIG916316:VIG916381 VSC916316:VSC916381 WBY916316:WBY916381 WLU916316:WLU916381 WVQ916316:WVQ916381 I981852:I981917 JE981852:JE981917 TA981852:TA981917 ACW981852:ACW981917 AMS981852:AMS981917 AWO981852:AWO981917 BGK981852:BGK981917 BQG981852:BQG981917 CAC981852:CAC981917 CJY981852:CJY981917 CTU981852:CTU981917 DDQ981852:DDQ981917 DNM981852:DNM981917 DXI981852:DXI981917 EHE981852:EHE981917 ERA981852:ERA981917 FAW981852:FAW981917 FKS981852:FKS981917 FUO981852:FUO981917 GEK981852:GEK981917 GOG981852:GOG981917 GYC981852:GYC981917 HHY981852:HHY981917 HRU981852:HRU981917 IBQ981852:IBQ981917 ILM981852:ILM981917 IVI981852:IVI981917 JFE981852:JFE981917 JPA981852:JPA981917 JYW981852:JYW981917 KIS981852:KIS981917 KSO981852:KSO981917 LCK981852:LCK981917 LMG981852:LMG981917 LWC981852:LWC981917 MFY981852:MFY981917 MPU981852:MPU981917 MZQ981852:MZQ981917 NJM981852:NJM981917 NTI981852:NTI981917 ODE981852:ODE981917 ONA981852:ONA981917 OWW981852:OWW981917 PGS981852:PGS981917 PQO981852:PQO981917 QAK981852:QAK981917 QKG981852:QKG981917 QUC981852:QUC981917 RDY981852:RDY981917 RNU981852:RNU981917 RXQ981852:RXQ981917 SHM981852:SHM981917 SRI981852:SRI981917 TBE981852:TBE981917 TLA981852:TLA981917 TUW981852:TUW981917 UES981852:UES981917 UOO981852:UOO981917 UYK981852:UYK981917 VIG981852:VIG981917 VSC981852:VSC981917 WBY981852:WBY981917 WLU981852:WLU981917 WVQ981852:WVQ981917 I1047388:I1047453 JE1047388:JE1047453 TA1047388:TA1047453 ACW1047388:ACW1047453 AMS1047388:AMS1047453 AWO1047388:AWO1047453 BGK1047388:BGK1047453 BQG1047388:BQG1047453 CAC1047388:CAC1047453 CJY1047388:CJY1047453 CTU1047388:CTU1047453 DDQ1047388:DDQ1047453 DNM1047388:DNM1047453 DXI1047388:DXI1047453 EHE1047388:EHE1047453 ERA1047388:ERA1047453 FAW1047388:FAW1047453 FKS1047388:FKS1047453 FUO1047388:FUO1047453 GEK1047388:GEK1047453 GOG1047388:GOG1047453 GYC1047388:GYC1047453 HHY1047388:HHY1047453 HRU1047388:HRU1047453 IBQ1047388:IBQ1047453 ILM1047388:ILM1047453 IVI1047388:IVI1047453 JFE1047388:JFE1047453 JPA1047388:JPA1047453 JYW1047388:JYW1047453 KIS1047388:KIS1047453 KSO1047388:KSO1047453 LCK1047388:LCK1047453 LMG1047388:LMG1047453 LWC1047388:LWC1047453 MFY1047388:MFY1047453 MPU1047388:MPU1047453 MZQ1047388:MZQ1047453 NJM1047388:NJM1047453 NTI1047388:NTI1047453 ODE1047388:ODE1047453 ONA1047388:ONA1047453 OWW1047388:OWW1047453 PGS1047388:PGS1047453 PQO1047388:PQO1047453 QAK1047388:QAK1047453 QKG1047388:QKG1047453 QUC1047388:QUC1047453 RDY1047388:RDY1047453 RNU1047388:RNU1047453 RXQ1047388:RXQ1047453 SHM1047388:SHM1047453 SRI1047388:SRI1047453 TBE1047388:TBE1047453 TLA1047388:TLA1047453 TUW1047388:TUW1047453 UES1047388:UES1047453 UOO1047388:UOO1047453 UYK1047388:UYK1047453 VIG1047388:VIG1047453 VSC1047388:VSC1047453 WBY1047388:WBY1047453 WLU1047388:WLU1047453 WVQ1047388:WVQ1047453 WVQ983027:WVQ983092 I65523:I65588 JE65523:JE65588 TA65523:TA65588 ACW65523:ACW65588 AMS65523:AMS65588 AWO65523:AWO65588 BGK65523:BGK65588 BQG65523:BQG65588 CAC65523:CAC65588 CJY65523:CJY65588 CTU65523:CTU65588 DDQ65523:DDQ65588 DNM65523:DNM65588 DXI65523:DXI65588 EHE65523:EHE65588 ERA65523:ERA65588 FAW65523:FAW65588 FKS65523:FKS65588 FUO65523:FUO65588 GEK65523:GEK65588 GOG65523:GOG65588 GYC65523:GYC65588 HHY65523:HHY65588 HRU65523:HRU65588 IBQ65523:IBQ65588 ILM65523:ILM65588 IVI65523:IVI65588 JFE65523:JFE65588 JPA65523:JPA65588 JYW65523:JYW65588 KIS65523:KIS65588 KSO65523:KSO65588 LCK65523:LCK65588 LMG65523:LMG65588 LWC65523:LWC65588 MFY65523:MFY65588 MPU65523:MPU65588 MZQ65523:MZQ65588 NJM65523:NJM65588 NTI65523:NTI65588 ODE65523:ODE65588 ONA65523:ONA65588 OWW65523:OWW65588 PGS65523:PGS65588 PQO65523:PQO65588 QAK65523:QAK65588 QKG65523:QKG65588 QUC65523:QUC65588 RDY65523:RDY65588 RNU65523:RNU65588 RXQ65523:RXQ65588 SHM65523:SHM65588 SRI65523:SRI65588 TBE65523:TBE65588 TLA65523:TLA65588 TUW65523:TUW65588 UES65523:UES65588 UOO65523:UOO65588 UYK65523:UYK65588 VIG65523:VIG65588 VSC65523:VSC65588 WBY65523:WBY65588 WLU65523:WLU65588 WVQ65523:WVQ65588 I131059:I131124 JE131059:JE131124 TA131059:TA131124 ACW131059:ACW131124 AMS131059:AMS131124 AWO131059:AWO131124 BGK131059:BGK131124 BQG131059:BQG131124 CAC131059:CAC131124 CJY131059:CJY131124 CTU131059:CTU131124 DDQ131059:DDQ131124 DNM131059:DNM131124 DXI131059:DXI131124 EHE131059:EHE131124 ERA131059:ERA131124 FAW131059:FAW131124 FKS131059:FKS131124 FUO131059:FUO131124 GEK131059:GEK131124 GOG131059:GOG131124 GYC131059:GYC131124 HHY131059:HHY131124 HRU131059:HRU131124 IBQ131059:IBQ131124 ILM131059:ILM131124 IVI131059:IVI131124 JFE131059:JFE131124 JPA131059:JPA131124 JYW131059:JYW131124 KIS131059:KIS131124 KSO131059:KSO131124 LCK131059:LCK131124 LMG131059:LMG131124 LWC131059:LWC131124 MFY131059:MFY131124 MPU131059:MPU131124 MZQ131059:MZQ131124 NJM131059:NJM131124 NTI131059:NTI131124 ODE131059:ODE131124 ONA131059:ONA131124 OWW131059:OWW131124 PGS131059:PGS131124 PQO131059:PQO131124 QAK131059:QAK131124 QKG131059:QKG131124 QUC131059:QUC131124 RDY131059:RDY131124 RNU131059:RNU131124 RXQ131059:RXQ131124 SHM131059:SHM131124 SRI131059:SRI131124 TBE131059:TBE131124 TLA131059:TLA131124 TUW131059:TUW131124 UES131059:UES131124 UOO131059:UOO131124 UYK131059:UYK131124 VIG131059:VIG131124 VSC131059:VSC131124 WBY131059:WBY131124 WLU131059:WLU131124 WVQ131059:WVQ131124 I196595:I196660 JE196595:JE196660 TA196595:TA196660 ACW196595:ACW196660 AMS196595:AMS196660 AWO196595:AWO196660 BGK196595:BGK196660 BQG196595:BQG196660 CAC196595:CAC196660 CJY196595:CJY196660 CTU196595:CTU196660 DDQ196595:DDQ196660 DNM196595:DNM196660 DXI196595:DXI196660 EHE196595:EHE196660 ERA196595:ERA196660 FAW196595:FAW196660 FKS196595:FKS196660 FUO196595:FUO196660 GEK196595:GEK196660 GOG196595:GOG196660 GYC196595:GYC196660 HHY196595:HHY196660 HRU196595:HRU196660 IBQ196595:IBQ196660 ILM196595:ILM196660 IVI196595:IVI196660 JFE196595:JFE196660 JPA196595:JPA196660 JYW196595:JYW196660 KIS196595:KIS196660 KSO196595:KSO196660 LCK196595:LCK196660 LMG196595:LMG196660 LWC196595:LWC196660 MFY196595:MFY196660 MPU196595:MPU196660 MZQ196595:MZQ196660 NJM196595:NJM196660 NTI196595:NTI196660 ODE196595:ODE196660 ONA196595:ONA196660 OWW196595:OWW196660 PGS196595:PGS196660 PQO196595:PQO196660 QAK196595:QAK196660 QKG196595:QKG196660 QUC196595:QUC196660 RDY196595:RDY196660 RNU196595:RNU196660 RXQ196595:RXQ196660 SHM196595:SHM196660 SRI196595:SRI196660 TBE196595:TBE196660 TLA196595:TLA196660 TUW196595:TUW196660 UES196595:UES196660 UOO196595:UOO196660 UYK196595:UYK196660 VIG196595:VIG196660 VSC196595:VSC196660 WBY196595:WBY196660 WLU196595:WLU196660 WVQ196595:WVQ196660 I262131:I262196 JE262131:JE262196 TA262131:TA262196 ACW262131:ACW262196 AMS262131:AMS262196 AWO262131:AWO262196 BGK262131:BGK262196 BQG262131:BQG262196 CAC262131:CAC262196 CJY262131:CJY262196 CTU262131:CTU262196 DDQ262131:DDQ262196 DNM262131:DNM262196 DXI262131:DXI262196 EHE262131:EHE262196 ERA262131:ERA262196 FAW262131:FAW262196 FKS262131:FKS262196 FUO262131:FUO262196 GEK262131:GEK262196 GOG262131:GOG262196 GYC262131:GYC262196 HHY262131:HHY262196 HRU262131:HRU262196 IBQ262131:IBQ262196 ILM262131:ILM262196 IVI262131:IVI262196 JFE262131:JFE262196 JPA262131:JPA262196 JYW262131:JYW262196 KIS262131:KIS262196 KSO262131:KSO262196 LCK262131:LCK262196 LMG262131:LMG262196 LWC262131:LWC262196 MFY262131:MFY262196 MPU262131:MPU262196 MZQ262131:MZQ262196 NJM262131:NJM262196 NTI262131:NTI262196 ODE262131:ODE262196 ONA262131:ONA262196 OWW262131:OWW262196 PGS262131:PGS262196 PQO262131:PQO262196 QAK262131:QAK262196 QKG262131:QKG262196 QUC262131:QUC262196 RDY262131:RDY262196 RNU262131:RNU262196 RXQ262131:RXQ262196 SHM262131:SHM262196 SRI262131:SRI262196 TBE262131:TBE262196 TLA262131:TLA262196 TUW262131:TUW262196 UES262131:UES262196 UOO262131:UOO262196 UYK262131:UYK262196 VIG262131:VIG262196 VSC262131:VSC262196 WBY262131:WBY262196 WLU262131:WLU262196 WVQ262131:WVQ262196 I327667:I327732 JE327667:JE327732 TA327667:TA327732 ACW327667:ACW327732 AMS327667:AMS327732 AWO327667:AWO327732 BGK327667:BGK327732 BQG327667:BQG327732 CAC327667:CAC327732 CJY327667:CJY327732 CTU327667:CTU327732 DDQ327667:DDQ327732 DNM327667:DNM327732 DXI327667:DXI327732 EHE327667:EHE327732 ERA327667:ERA327732 FAW327667:FAW327732 FKS327667:FKS327732 FUO327667:FUO327732 GEK327667:GEK327732 GOG327667:GOG327732 GYC327667:GYC327732 HHY327667:HHY327732 HRU327667:HRU327732 IBQ327667:IBQ327732 ILM327667:ILM327732 IVI327667:IVI327732 JFE327667:JFE327732 JPA327667:JPA327732 JYW327667:JYW327732 KIS327667:KIS327732 KSO327667:KSO327732 LCK327667:LCK327732 LMG327667:LMG327732 LWC327667:LWC327732 MFY327667:MFY327732 MPU327667:MPU327732 MZQ327667:MZQ327732 NJM327667:NJM327732 NTI327667:NTI327732 ODE327667:ODE327732 ONA327667:ONA327732 OWW327667:OWW327732 PGS327667:PGS327732 PQO327667:PQO327732 QAK327667:QAK327732 QKG327667:QKG327732 QUC327667:QUC327732 RDY327667:RDY327732 RNU327667:RNU327732 RXQ327667:RXQ327732 SHM327667:SHM327732 SRI327667:SRI327732 TBE327667:TBE327732 TLA327667:TLA327732 TUW327667:TUW327732 UES327667:UES327732 UOO327667:UOO327732 UYK327667:UYK327732 VIG327667:VIG327732 VSC327667:VSC327732 WBY327667:WBY327732 WLU327667:WLU327732 WVQ327667:WVQ327732 I393203:I393268 JE393203:JE393268 TA393203:TA393268 ACW393203:ACW393268 AMS393203:AMS393268 AWO393203:AWO393268 BGK393203:BGK393268 BQG393203:BQG393268 CAC393203:CAC393268 CJY393203:CJY393268 CTU393203:CTU393268 DDQ393203:DDQ393268 DNM393203:DNM393268 DXI393203:DXI393268 EHE393203:EHE393268 ERA393203:ERA393268 FAW393203:FAW393268 FKS393203:FKS393268 FUO393203:FUO393268 GEK393203:GEK393268 GOG393203:GOG393268 GYC393203:GYC393268 HHY393203:HHY393268 HRU393203:HRU393268 IBQ393203:IBQ393268 ILM393203:ILM393268 IVI393203:IVI393268 JFE393203:JFE393268 JPA393203:JPA393268 JYW393203:JYW393268 KIS393203:KIS393268 KSO393203:KSO393268 LCK393203:LCK393268 LMG393203:LMG393268 LWC393203:LWC393268 MFY393203:MFY393268 MPU393203:MPU393268 MZQ393203:MZQ393268 NJM393203:NJM393268 NTI393203:NTI393268 ODE393203:ODE393268 ONA393203:ONA393268 OWW393203:OWW393268 PGS393203:PGS393268 PQO393203:PQO393268 QAK393203:QAK393268 QKG393203:QKG393268 QUC393203:QUC393268 RDY393203:RDY393268 RNU393203:RNU393268 RXQ393203:RXQ393268 SHM393203:SHM393268 SRI393203:SRI393268 TBE393203:TBE393268 TLA393203:TLA393268 TUW393203:TUW393268 UES393203:UES393268 UOO393203:UOO393268 UYK393203:UYK393268 VIG393203:VIG393268 VSC393203:VSC393268 WBY393203:WBY393268 WLU393203:WLU393268 WVQ393203:WVQ393268 I458739:I458804 JE458739:JE458804 TA458739:TA458804 ACW458739:ACW458804 AMS458739:AMS458804 AWO458739:AWO458804 BGK458739:BGK458804 BQG458739:BQG458804 CAC458739:CAC458804 CJY458739:CJY458804 CTU458739:CTU458804 DDQ458739:DDQ458804 DNM458739:DNM458804 DXI458739:DXI458804 EHE458739:EHE458804 ERA458739:ERA458804 FAW458739:FAW458804 FKS458739:FKS458804 FUO458739:FUO458804 GEK458739:GEK458804 GOG458739:GOG458804 GYC458739:GYC458804 HHY458739:HHY458804 HRU458739:HRU458804 IBQ458739:IBQ458804 ILM458739:ILM458804 IVI458739:IVI458804 JFE458739:JFE458804 JPA458739:JPA458804 JYW458739:JYW458804 KIS458739:KIS458804 KSO458739:KSO458804 LCK458739:LCK458804 LMG458739:LMG458804 LWC458739:LWC458804 MFY458739:MFY458804 MPU458739:MPU458804 MZQ458739:MZQ458804 NJM458739:NJM458804 NTI458739:NTI458804 ODE458739:ODE458804 ONA458739:ONA458804 OWW458739:OWW458804 PGS458739:PGS458804 PQO458739:PQO458804 QAK458739:QAK458804 QKG458739:QKG458804 QUC458739:QUC458804 RDY458739:RDY458804 RNU458739:RNU458804 RXQ458739:RXQ458804 SHM458739:SHM458804 SRI458739:SRI458804 TBE458739:TBE458804 TLA458739:TLA458804 TUW458739:TUW458804 UES458739:UES458804 UOO458739:UOO458804 UYK458739:UYK458804 VIG458739:VIG458804 VSC458739:VSC458804 WBY458739:WBY458804 WLU458739:WLU458804 WVQ458739:WVQ458804 I524275:I524340 JE524275:JE524340 TA524275:TA524340 ACW524275:ACW524340 AMS524275:AMS524340 AWO524275:AWO524340 BGK524275:BGK524340 BQG524275:BQG524340 CAC524275:CAC524340 CJY524275:CJY524340 CTU524275:CTU524340 DDQ524275:DDQ524340 DNM524275:DNM524340 DXI524275:DXI524340 EHE524275:EHE524340 ERA524275:ERA524340 FAW524275:FAW524340 FKS524275:FKS524340 FUO524275:FUO524340 GEK524275:GEK524340 GOG524275:GOG524340 GYC524275:GYC524340 HHY524275:HHY524340 HRU524275:HRU524340 IBQ524275:IBQ524340 ILM524275:ILM524340 IVI524275:IVI524340 JFE524275:JFE524340 JPA524275:JPA524340 JYW524275:JYW524340 KIS524275:KIS524340 KSO524275:KSO524340 LCK524275:LCK524340 LMG524275:LMG524340 LWC524275:LWC524340 MFY524275:MFY524340 MPU524275:MPU524340 MZQ524275:MZQ524340 NJM524275:NJM524340 NTI524275:NTI524340 ODE524275:ODE524340 ONA524275:ONA524340 OWW524275:OWW524340 PGS524275:PGS524340 PQO524275:PQO524340 QAK524275:QAK524340 QKG524275:QKG524340 QUC524275:QUC524340 RDY524275:RDY524340 RNU524275:RNU524340 RXQ524275:RXQ524340 SHM524275:SHM524340 SRI524275:SRI524340 TBE524275:TBE524340 TLA524275:TLA524340 TUW524275:TUW524340 UES524275:UES524340 UOO524275:UOO524340 UYK524275:UYK524340 VIG524275:VIG524340 VSC524275:VSC524340 WBY524275:WBY524340 WLU524275:WLU524340 WVQ524275:WVQ524340 I589811:I589876 JE589811:JE589876 TA589811:TA589876 ACW589811:ACW589876 AMS589811:AMS589876 AWO589811:AWO589876 BGK589811:BGK589876 BQG589811:BQG589876 CAC589811:CAC589876 CJY589811:CJY589876 CTU589811:CTU589876 DDQ589811:DDQ589876 DNM589811:DNM589876 DXI589811:DXI589876 EHE589811:EHE589876 ERA589811:ERA589876 FAW589811:FAW589876 FKS589811:FKS589876 FUO589811:FUO589876 GEK589811:GEK589876 GOG589811:GOG589876 GYC589811:GYC589876 HHY589811:HHY589876 HRU589811:HRU589876 IBQ589811:IBQ589876 ILM589811:ILM589876 IVI589811:IVI589876 JFE589811:JFE589876 JPA589811:JPA589876 JYW589811:JYW589876 KIS589811:KIS589876 KSO589811:KSO589876 LCK589811:LCK589876 LMG589811:LMG589876 LWC589811:LWC589876 MFY589811:MFY589876 MPU589811:MPU589876 MZQ589811:MZQ589876 NJM589811:NJM589876 NTI589811:NTI589876 ODE589811:ODE589876 ONA589811:ONA589876 OWW589811:OWW589876 PGS589811:PGS589876 PQO589811:PQO589876 QAK589811:QAK589876 QKG589811:QKG589876 QUC589811:QUC589876 RDY589811:RDY589876 RNU589811:RNU589876 RXQ589811:RXQ589876 SHM589811:SHM589876 SRI589811:SRI589876 TBE589811:TBE589876 TLA589811:TLA589876 TUW589811:TUW589876 UES589811:UES589876 UOO589811:UOO589876 UYK589811:UYK589876 VIG589811:VIG589876 VSC589811:VSC589876 WBY589811:WBY589876 WLU589811:WLU589876 WVQ589811:WVQ589876 I655347:I655412 JE655347:JE655412 TA655347:TA655412 ACW655347:ACW655412 AMS655347:AMS655412 AWO655347:AWO655412 BGK655347:BGK655412 BQG655347:BQG655412 CAC655347:CAC655412 CJY655347:CJY655412 CTU655347:CTU655412 DDQ655347:DDQ655412 DNM655347:DNM655412 DXI655347:DXI655412 EHE655347:EHE655412 ERA655347:ERA655412 FAW655347:FAW655412 FKS655347:FKS655412 FUO655347:FUO655412 GEK655347:GEK655412 GOG655347:GOG655412 GYC655347:GYC655412 HHY655347:HHY655412 HRU655347:HRU655412 IBQ655347:IBQ655412 ILM655347:ILM655412 IVI655347:IVI655412 JFE655347:JFE655412 JPA655347:JPA655412 JYW655347:JYW655412 KIS655347:KIS655412 KSO655347:KSO655412 LCK655347:LCK655412 LMG655347:LMG655412 LWC655347:LWC655412 MFY655347:MFY655412 MPU655347:MPU655412 MZQ655347:MZQ655412 NJM655347:NJM655412 NTI655347:NTI655412 ODE655347:ODE655412 ONA655347:ONA655412 OWW655347:OWW655412 PGS655347:PGS655412 PQO655347:PQO655412 QAK655347:QAK655412 QKG655347:QKG655412 QUC655347:QUC655412 RDY655347:RDY655412 RNU655347:RNU655412 RXQ655347:RXQ655412 SHM655347:SHM655412 SRI655347:SRI655412 TBE655347:TBE655412 TLA655347:TLA655412 TUW655347:TUW655412 UES655347:UES655412 UOO655347:UOO655412 UYK655347:UYK655412 VIG655347:VIG655412 VSC655347:VSC655412 WBY655347:WBY655412 WLU655347:WLU655412 WVQ655347:WVQ655412 I720883:I720948 JE720883:JE720948 TA720883:TA720948 ACW720883:ACW720948 AMS720883:AMS720948 AWO720883:AWO720948 BGK720883:BGK720948 BQG720883:BQG720948 CAC720883:CAC720948 CJY720883:CJY720948 CTU720883:CTU720948 DDQ720883:DDQ720948 DNM720883:DNM720948 DXI720883:DXI720948 EHE720883:EHE720948 ERA720883:ERA720948 FAW720883:FAW720948 FKS720883:FKS720948 FUO720883:FUO720948 GEK720883:GEK720948 GOG720883:GOG720948 GYC720883:GYC720948 HHY720883:HHY720948 HRU720883:HRU720948 IBQ720883:IBQ720948 ILM720883:ILM720948 IVI720883:IVI720948 JFE720883:JFE720948 JPA720883:JPA720948 JYW720883:JYW720948 KIS720883:KIS720948 KSO720883:KSO720948 LCK720883:LCK720948 LMG720883:LMG720948 LWC720883:LWC720948 MFY720883:MFY720948 MPU720883:MPU720948 MZQ720883:MZQ720948 NJM720883:NJM720948 NTI720883:NTI720948 ODE720883:ODE720948 ONA720883:ONA720948 OWW720883:OWW720948 PGS720883:PGS720948 PQO720883:PQO720948 QAK720883:QAK720948 QKG720883:QKG720948 QUC720883:QUC720948 RDY720883:RDY720948 RNU720883:RNU720948 RXQ720883:RXQ720948 SHM720883:SHM720948 SRI720883:SRI720948 TBE720883:TBE720948 TLA720883:TLA720948 TUW720883:TUW720948 UES720883:UES720948 UOO720883:UOO720948 UYK720883:UYK720948 VIG720883:VIG720948 VSC720883:VSC720948 WBY720883:WBY720948 WLU720883:WLU720948 WVQ720883:WVQ720948 I786419:I786484 JE786419:JE786484 TA786419:TA786484 ACW786419:ACW786484 AMS786419:AMS786484 AWO786419:AWO786484 BGK786419:BGK786484 BQG786419:BQG786484 CAC786419:CAC786484 CJY786419:CJY786484 CTU786419:CTU786484 DDQ786419:DDQ786484 DNM786419:DNM786484 DXI786419:DXI786484 EHE786419:EHE786484 ERA786419:ERA786484 FAW786419:FAW786484 FKS786419:FKS786484 FUO786419:FUO786484 GEK786419:GEK786484 GOG786419:GOG786484 GYC786419:GYC786484 HHY786419:HHY786484 HRU786419:HRU786484 IBQ786419:IBQ786484 ILM786419:ILM786484 IVI786419:IVI786484 JFE786419:JFE786484 JPA786419:JPA786484 JYW786419:JYW786484 KIS786419:KIS786484 KSO786419:KSO786484 LCK786419:LCK786484 LMG786419:LMG786484 LWC786419:LWC786484 MFY786419:MFY786484 MPU786419:MPU786484 MZQ786419:MZQ786484 NJM786419:NJM786484 NTI786419:NTI786484 ODE786419:ODE786484 ONA786419:ONA786484 OWW786419:OWW786484 PGS786419:PGS786484 PQO786419:PQO786484 QAK786419:QAK786484 QKG786419:QKG786484 QUC786419:QUC786484 RDY786419:RDY786484 RNU786419:RNU786484 RXQ786419:RXQ786484 SHM786419:SHM786484 SRI786419:SRI786484 TBE786419:TBE786484 TLA786419:TLA786484 TUW786419:TUW786484 UES786419:UES786484 UOO786419:UOO786484 UYK786419:UYK786484 VIG786419:VIG786484 VSC786419:VSC786484 WBY786419:WBY786484 WLU786419:WLU786484 WVQ786419:WVQ786484 I851955:I852020 JE851955:JE852020 TA851955:TA852020 ACW851955:ACW852020 AMS851955:AMS852020 AWO851955:AWO852020 BGK851955:BGK852020 BQG851955:BQG852020 CAC851955:CAC852020 CJY851955:CJY852020 CTU851955:CTU852020 DDQ851955:DDQ852020 DNM851955:DNM852020 DXI851955:DXI852020 EHE851955:EHE852020 ERA851955:ERA852020 FAW851955:FAW852020 FKS851955:FKS852020 FUO851955:FUO852020 GEK851955:GEK852020 GOG851955:GOG852020 GYC851955:GYC852020 HHY851955:HHY852020 HRU851955:HRU852020 IBQ851955:IBQ852020 ILM851955:ILM852020 IVI851955:IVI852020 JFE851955:JFE852020 JPA851955:JPA852020 JYW851955:JYW852020 KIS851955:KIS852020 KSO851955:KSO852020 LCK851955:LCK852020 LMG851955:LMG852020 LWC851955:LWC852020 MFY851955:MFY852020 MPU851955:MPU852020 MZQ851955:MZQ852020 NJM851955:NJM852020 NTI851955:NTI852020 ODE851955:ODE852020 ONA851955:ONA852020 OWW851955:OWW852020 PGS851955:PGS852020 PQO851955:PQO852020 QAK851955:QAK852020 QKG851955:QKG852020 QUC851955:QUC852020 RDY851955:RDY852020 RNU851955:RNU852020 RXQ851955:RXQ852020 SHM851955:SHM852020 SRI851955:SRI852020 TBE851955:TBE852020 TLA851955:TLA852020 TUW851955:TUW852020 UES851955:UES852020 UOO851955:UOO852020 UYK851955:UYK852020 VIG851955:VIG852020 VSC851955:VSC852020 WBY851955:WBY852020 WLU851955:WLU852020 WVQ851955:WVQ852020 I917491:I917556 JE917491:JE917556 TA917491:TA917556 ACW917491:ACW917556 AMS917491:AMS917556 AWO917491:AWO917556 BGK917491:BGK917556 BQG917491:BQG917556 CAC917491:CAC917556 CJY917491:CJY917556 CTU917491:CTU917556 DDQ917491:DDQ917556 DNM917491:DNM917556 DXI917491:DXI917556 EHE917491:EHE917556 ERA917491:ERA917556 FAW917491:FAW917556 FKS917491:FKS917556 FUO917491:FUO917556 GEK917491:GEK917556 GOG917491:GOG917556 GYC917491:GYC917556 HHY917491:HHY917556 HRU917491:HRU917556 IBQ917491:IBQ917556 ILM917491:ILM917556 IVI917491:IVI917556 JFE917491:JFE917556 JPA917491:JPA917556 JYW917491:JYW917556 KIS917491:KIS917556 KSO917491:KSO917556 LCK917491:LCK917556 LMG917491:LMG917556 LWC917491:LWC917556 MFY917491:MFY917556 MPU917491:MPU917556 MZQ917491:MZQ917556 NJM917491:NJM917556 NTI917491:NTI917556 ODE917491:ODE917556 ONA917491:ONA917556 OWW917491:OWW917556 PGS917491:PGS917556 PQO917491:PQO917556 QAK917491:QAK917556 QKG917491:QKG917556 QUC917491:QUC917556 RDY917491:RDY917556 RNU917491:RNU917556 RXQ917491:RXQ917556 SHM917491:SHM917556 SRI917491:SRI917556 TBE917491:TBE917556 TLA917491:TLA917556 TUW917491:TUW917556 UES917491:UES917556 UOO917491:UOO917556 UYK917491:UYK917556 VIG917491:VIG917556 VSC917491:VSC917556 WBY917491:WBY917556 WLU917491:WLU917556 WVQ917491:WVQ917556 I983027:I983092 JE983027:JE983092 TA983027:TA983092 ACW983027:ACW983092 AMS983027:AMS983092 AWO983027:AWO983092 BGK983027:BGK983092 BQG983027:BQG983092 CAC983027:CAC983092 CJY983027:CJY983092 CTU983027:CTU983092 DDQ983027:DDQ983092 DNM983027:DNM983092 DXI983027:DXI983092 EHE983027:EHE983092 ERA983027:ERA983092 FAW983027:FAW983092 FKS983027:FKS983092 FUO983027:FUO983092 GEK983027:GEK983092 GOG983027:GOG983092 GYC983027:GYC983092 HHY983027:HHY983092 HRU983027:HRU983092 IBQ983027:IBQ983092 ILM983027:ILM983092 IVI983027:IVI983092 JFE983027:JFE983092 JPA983027:JPA983092 JYW983027:JYW983092 KIS983027:KIS983092 KSO983027:KSO983092 LCK983027:LCK983092 LMG983027:LMG983092 LWC983027:LWC983092 MFY983027:MFY983092 MPU983027:MPU983092 MZQ983027:MZQ983092 NJM983027:NJM983092 NTI983027:NTI983092 ODE983027:ODE983092 ONA983027:ONA983092 OWW983027:OWW983092 PGS983027:PGS983092 PQO983027:PQO983092 QAK983027:QAK983092 QKG983027:QKG983092 QUC983027:QUC983092 RDY983027:RDY983092 RNU983027:RNU983092 RXQ983027:RXQ983092 SHM983027:SHM983092 SRI983027:SRI983092 TBE983027:TBE983092 TLA983027:TLA983092 TUW983027:TUW983092 UES983027:UES983092 UOO983027:UOO983092 UYK983027:UYK983092 VIG983027:VIG983092 VSC983027:VSC983092 WBY983027:WBY983092 WLU983027:WLU983092 I2:I485 JE2:JE72 TA2:TA72 ACW2:ACW72 AMS2:AMS72 AWO2:AWO72 BGK2:BGK72 BQG2:BQG72 CAC2:CAC72 CJY2:CJY72 CTU2:CTU72 DDQ2:DDQ72 DNM2:DNM72 DXI2:DXI72 EHE2:EHE72 ERA2:ERA72 FAW2:FAW72 FKS2:FKS72 FUO2:FUO72 GEK2:GEK72 GOG2:GOG72 GYC2:GYC72 HHY2:HHY72 HRU2:HRU72 IBQ2:IBQ72 ILM2:ILM72 IVI2:IVI72 JFE2:JFE72 JPA2:JPA72 JYW2:JYW72 KIS2:KIS72 KSO2:KSO72 LCK2:LCK72 LMG2:LMG72 LWC2:LWC72 MFY2:MFY72 MPU2:MPU72 MZQ2:MZQ72 NJM2:NJM72 NTI2:NTI72 ODE2:ODE72 ONA2:ONA72 OWW2:OWW72 PGS2:PGS72 PQO2:PQO72 QAK2:QAK72 QKG2:QKG72 QUC2:QUC72 RDY2:RDY72 RNU2:RNU72 RXQ2:RXQ72 SHM2:SHM72 SRI2:SRI72 TBE2:TBE72 TLA2:TLA72 TUW2:TUW72 UES2:UES72 UOO2:UOO72 UYK2:UYK72 VIG2:VIG72 VSC2:VSC72 WBY2:WBY72 WLU2:WLU72 WVQ2:WVQ72" xr:uid="{2398EE7B-5522-4B01-A41E-13FC29520051}">
      <formula1>$AN$5:$AN$6</formula1>
    </dataValidation>
    <dataValidation type="list" allowBlank="1" showInputMessage="1" showErrorMessage="1" sqref="J64348:J64413 JF64348:JF64413 TB64348:TB64413 ACX64348:ACX64413 AMT64348:AMT64413 AWP64348:AWP64413 BGL64348:BGL64413 BQH64348:BQH64413 CAD64348:CAD64413 CJZ64348:CJZ64413 CTV64348:CTV64413 DDR64348:DDR64413 DNN64348:DNN64413 DXJ64348:DXJ64413 EHF64348:EHF64413 ERB64348:ERB64413 FAX64348:FAX64413 FKT64348:FKT64413 FUP64348:FUP64413 GEL64348:GEL64413 GOH64348:GOH64413 GYD64348:GYD64413 HHZ64348:HHZ64413 HRV64348:HRV64413 IBR64348:IBR64413 ILN64348:ILN64413 IVJ64348:IVJ64413 JFF64348:JFF64413 JPB64348:JPB64413 JYX64348:JYX64413 KIT64348:KIT64413 KSP64348:KSP64413 LCL64348:LCL64413 LMH64348:LMH64413 LWD64348:LWD64413 MFZ64348:MFZ64413 MPV64348:MPV64413 MZR64348:MZR64413 NJN64348:NJN64413 NTJ64348:NTJ64413 ODF64348:ODF64413 ONB64348:ONB64413 OWX64348:OWX64413 PGT64348:PGT64413 PQP64348:PQP64413 QAL64348:QAL64413 QKH64348:QKH64413 QUD64348:QUD64413 RDZ64348:RDZ64413 RNV64348:RNV64413 RXR64348:RXR64413 SHN64348:SHN64413 SRJ64348:SRJ64413 TBF64348:TBF64413 TLB64348:TLB64413 TUX64348:TUX64413 UET64348:UET64413 UOP64348:UOP64413 UYL64348:UYL64413 VIH64348:VIH64413 VSD64348:VSD64413 WBZ64348:WBZ64413 WLV64348:WLV64413 WVR64348:WVR64413 J129884:J129949 JF129884:JF129949 TB129884:TB129949 ACX129884:ACX129949 AMT129884:AMT129949 AWP129884:AWP129949 BGL129884:BGL129949 BQH129884:BQH129949 CAD129884:CAD129949 CJZ129884:CJZ129949 CTV129884:CTV129949 DDR129884:DDR129949 DNN129884:DNN129949 DXJ129884:DXJ129949 EHF129884:EHF129949 ERB129884:ERB129949 FAX129884:FAX129949 FKT129884:FKT129949 FUP129884:FUP129949 GEL129884:GEL129949 GOH129884:GOH129949 GYD129884:GYD129949 HHZ129884:HHZ129949 HRV129884:HRV129949 IBR129884:IBR129949 ILN129884:ILN129949 IVJ129884:IVJ129949 JFF129884:JFF129949 JPB129884:JPB129949 JYX129884:JYX129949 KIT129884:KIT129949 KSP129884:KSP129949 LCL129884:LCL129949 LMH129884:LMH129949 LWD129884:LWD129949 MFZ129884:MFZ129949 MPV129884:MPV129949 MZR129884:MZR129949 NJN129884:NJN129949 NTJ129884:NTJ129949 ODF129884:ODF129949 ONB129884:ONB129949 OWX129884:OWX129949 PGT129884:PGT129949 PQP129884:PQP129949 QAL129884:QAL129949 QKH129884:QKH129949 QUD129884:QUD129949 RDZ129884:RDZ129949 RNV129884:RNV129949 RXR129884:RXR129949 SHN129884:SHN129949 SRJ129884:SRJ129949 TBF129884:TBF129949 TLB129884:TLB129949 TUX129884:TUX129949 UET129884:UET129949 UOP129884:UOP129949 UYL129884:UYL129949 VIH129884:VIH129949 VSD129884:VSD129949 WBZ129884:WBZ129949 WLV129884:WLV129949 WVR129884:WVR129949 J195420:J195485 JF195420:JF195485 TB195420:TB195485 ACX195420:ACX195485 AMT195420:AMT195485 AWP195420:AWP195485 BGL195420:BGL195485 BQH195420:BQH195485 CAD195420:CAD195485 CJZ195420:CJZ195485 CTV195420:CTV195485 DDR195420:DDR195485 DNN195420:DNN195485 DXJ195420:DXJ195485 EHF195420:EHF195485 ERB195420:ERB195485 FAX195420:FAX195485 FKT195420:FKT195485 FUP195420:FUP195485 GEL195420:GEL195485 GOH195420:GOH195485 GYD195420:GYD195485 HHZ195420:HHZ195485 HRV195420:HRV195485 IBR195420:IBR195485 ILN195420:ILN195485 IVJ195420:IVJ195485 JFF195420:JFF195485 JPB195420:JPB195485 JYX195420:JYX195485 KIT195420:KIT195485 KSP195420:KSP195485 LCL195420:LCL195485 LMH195420:LMH195485 LWD195420:LWD195485 MFZ195420:MFZ195485 MPV195420:MPV195485 MZR195420:MZR195485 NJN195420:NJN195485 NTJ195420:NTJ195485 ODF195420:ODF195485 ONB195420:ONB195485 OWX195420:OWX195485 PGT195420:PGT195485 PQP195420:PQP195485 QAL195420:QAL195485 QKH195420:QKH195485 QUD195420:QUD195485 RDZ195420:RDZ195485 RNV195420:RNV195485 RXR195420:RXR195485 SHN195420:SHN195485 SRJ195420:SRJ195485 TBF195420:TBF195485 TLB195420:TLB195485 TUX195420:TUX195485 UET195420:UET195485 UOP195420:UOP195485 UYL195420:UYL195485 VIH195420:VIH195485 VSD195420:VSD195485 WBZ195420:WBZ195485 WLV195420:WLV195485 WVR195420:WVR195485 J260956:J261021 JF260956:JF261021 TB260956:TB261021 ACX260956:ACX261021 AMT260956:AMT261021 AWP260956:AWP261021 BGL260956:BGL261021 BQH260956:BQH261021 CAD260956:CAD261021 CJZ260956:CJZ261021 CTV260956:CTV261021 DDR260956:DDR261021 DNN260956:DNN261021 DXJ260956:DXJ261021 EHF260956:EHF261021 ERB260956:ERB261021 FAX260956:FAX261021 FKT260956:FKT261021 FUP260956:FUP261021 GEL260956:GEL261021 GOH260956:GOH261021 GYD260956:GYD261021 HHZ260956:HHZ261021 HRV260956:HRV261021 IBR260956:IBR261021 ILN260956:ILN261021 IVJ260956:IVJ261021 JFF260956:JFF261021 JPB260956:JPB261021 JYX260956:JYX261021 KIT260956:KIT261021 KSP260956:KSP261021 LCL260956:LCL261021 LMH260956:LMH261021 LWD260956:LWD261021 MFZ260956:MFZ261021 MPV260956:MPV261021 MZR260956:MZR261021 NJN260956:NJN261021 NTJ260956:NTJ261021 ODF260956:ODF261021 ONB260956:ONB261021 OWX260956:OWX261021 PGT260956:PGT261021 PQP260956:PQP261021 QAL260956:QAL261021 QKH260956:QKH261021 QUD260956:QUD261021 RDZ260956:RDZ261021 RNV260956:RNV261021 RXR260956:RXR261021 SHN260956:SHN261021 SRJ260956:SRJ261021 TBF260956:TBF261021 TLB260956:TLB261021 TUX260956:TUX261021 UET260956:UET261021 UOP260956:UOP261021 UYL260956:UYL261021 VIH260956:VIH261021 VSD260956:VSD261021 WBZ260956:WBZ261021 WLV260956:WLV261021 WVR260956:WVR261021 J326492:J326557 JF326492:JF326557 TB326492:TB326557 ACX326492:ACX326557 AMT326492:AMT326557 AWP326492:AWP326557 BGL326492:BGL326557 BQH326492:BQH326557 CAD326492:CAD326557 CJZ326492:CJZ326557 CTV326492:CTV326557 DDR326492:DDR326557 DNN326492:DNN326557 DXJ326492:DXJ326557 EHF326492:EHF326557 ERB326492:ERB326557 FAX326492:FAX326557 FKT326492:FKT326557 FUP326492:FUP326557 GEL326492:GEL326557 GOH326492:GOH326557 GYD326492:GYD326557 HHZ326492:HHZ326557 HRV326492:HRV326557 IBR326492:IBR326557 ILN326492:ILN326557 IVJ326492:IVJ326557 JFF326492:JFF326557 JPB326492:JPB326557 JYX326492:JYX326557 KIT326492:KIT326557 KSP326492:KSP326557 LCL326492:LCL326557 LMH326492:LMH326557 LWD326492:LWD326557 MFZ326492:MFZ326557 MPV326492:MPV326557 MZR326492:MZR326557 NJN326492:NJN326557 NTJ326492:NTJ326557 ODF326492:ODF326557 ONB326492:ONB326557 OWX326492:OWX326557 PGT326492:PGT326557 PQP326492:PQP326557 QAL326492:QAL326557 QKH326492:QKH326557 QUD326492:QUD326557 RDZ326492:RDZ326557 RNV326492:RNV326557 RXR326492:RXR326557 SHN326492:SHN326557 SRJ326492:SRJ326557 TBF326492:TBF326557 TLB326492:TLB326557 TUX326492:TUX326557 UET326492:UET326557 UOP326492:UOP326557 UYL326492:UYL326557 VIH326492:VIH326557 VSD326492:VSD326557 WBZ326492:WBZ326557 WLV326492:WLV326557 WVR326492:WVR326557 J392028:J392093 JF392028:JF392093 TB392028:TB392093 ACX392028:ACX392093 AMT392028:AMT392093 AWP392028:AWP392093 BGL392028:BGL392093 BQH392028:BQH392093 CAD392028:CAD392093 CJZ392028:CJZ392093 CTV392028:CTV392093 DDR392028:DDR392093 DNN392028:DNN392093 DXJ392028:DXJ392093 EHF392028:EHF392093 ERB392028:ERB392093 FAX392028:FAX392093 FKT392028:FKT392093 FUP392028:FUP392093 GEL392028:GEL392093 GOH392028:GOH392093 GYD392028:GYD392093 HHZ392028:HHZ392093 HRV392028:HRV392093 IBR392028:IBR392093 ILN392028:ILN392093 IVJ392028:IVJ392093 JFF392028:JFF392093 JPB392028:JPB392093 JYX392028:JYX392093 KIT392028:KIT392093 KSP392028:KSP392093 LCL392028:LCL392093 LMH392028:LMH392093 LWD392028:LWD392093 MFZ392028:MFZ392093 MPV392028:MPV392093 MZR392028:MZR392093 NJN392028:NJN392093 NTJ392028:NTJ392093 ODF392028:ODF392093 ONB392028:ONB392093 OWX392028:OWX392093 PGT392028:PGT392093 PQP392028:PQP392093 QAL392028:QAL392093 QKH392028:QKH392093 QUD392028:QUD392093 RDZ392028:RDZ392093 RNV392028:RNV392093 RXR392028:RXR392093 SHN392028:SHN392093 SRJ392028:SRJ392093 TBF392028:TBF392093 TLB392028:TLB392093 TUX392028:TUX392093 UET392028:UET392093 UOP392028:UOP392093 UYL392028:UYL392093 VIH392028:VIH392093 VSD392028:VSD392093 WBZ392028:WBZ392093 WLV392028:WLV392093 WVR392028:WVR392093 J457564:J457629 JF457564:JF457629 TB457564:TB457629 ACX457564:ACX457629 AMT457564:AMT457629 AWP457564:AWP457629 BGL457564:BGL457629 BQH457564:BQH457629 CAD457564:CAD457629 CJZ457564:CJZ457629 CTV457564:CTV457629 DDR457564:DDR457629 DNN457564:DNN457629 DXJ457564:DXJ457629 EHF457564:EHF457629 ERB457564:ERB457629 FAX457564:FAX457629 FKT457564:FKT457629 FUP457564:FUP457629 GEL457564:GEL457629 GOH457564:GOH457629 GYD457564:GYD457629 HHZ457564:HHZ457629 HRV457564:HRV457629 IBR457564:IBR457629 ILN457564:ILN457629 IVJ457564:IVJ457629 JFF457564:JFF457629 JPB457564:JPB457629 JYX457564:JYX457629 KIT457564:KIT457629 KSP457564:KSP457629 LCL457564:LCL457629 LMH457564:LMH457629 LWD457564:LWD457629 MFZ457564:MFZ457629 MPV457564:MPV457629 MZR457564:MZR457629 NJN457564:NJN457629 NTJ457564:NTJ457629 ODF457564:ODF457629 ONB457564:ONB457629 OWX457564:OWX457629 PGT457564:PGT457629 PQP457564:PQP457629 QAL457564:QAL457629 QKH457564:QKH457629 QUD457564:QUD457629 RDZ457564:RDZ457629 RNV457564:RNV457629 RXR457564:RXR457629 SHN457564:SHN457629 SRJ457564:SRJ457629 TBF457564:TBF457629 TLB457564:TLB457629 TUX457564:TUX457629 UET457564:UET457629 UOP457564:UOP457629 UYL457564:UYL457629 VIH457564:VIH457629 VSD457564:VSD457629 WBZ457564:WBZ457629 WLV457564:WLV457629 WVR457564:WVR457629 J523100:J523165 JF523100:JF523165 TB523100:TB523165 ACX523100:ACX523165 AMT523100:AMT523165 AWP523100:AWP523165 BGL523100:BGL523165 BQH523100:BQH523165 CAD523100:CAD523165 CJZ523100:CJZ523165 CTV523100:CTV523165 DDR523100:DDR523165 DNN523100:DNN523165 DXJ523100:DXJ523165 EHF523100:EHF523165 ERB523100:ERB523165 FAX523100:FAX523165 FKT523100:FKT523165 FUP523100:FUP523165 GEL523100:GEL523165 GOH523100:GOH523165 GYD523100:GYD523165 HHZ523100:HHZ523165 HRV523100:HRV523165 IBR523100:IBR523165 ILN523100:ILN523165 IVJ523100:IVJ523165 JFF523100:JFF523165 JPB523100:JPB523165 JYX523100:JYX523165 KIT523100:KIT523165 KSP523100:KSP523165 LCL523100:LCL523165 LMH523100:LMH523165 LWD523100:LWD523165 MFZ523100:MFZ523165 MPV523100:MPV523165 MZR523100:MZR523165 NJN523100:NJN523165 NTJ523100:NTJ523165 ODF523100:ODF523165 ONB523100:ONB523165 OWX523100:OWX523165 PGT523100:PGT523165 PQP523100:PQP523165 QAL523100:QAL523165 QKH523100:QKH523165 QUD523100:QUD523165 RDZ523100:RDZ523165 RNV523100:RNV523165 RXR523100:RXR523165 SHN523100:SHN523165 SRJ523100:SRJ523165 TBF523100:TBF523165 TLB523100:TLB523165 TUX523100:TUX523165 UET523100:UET523165 UOP523100:UOP523165 UYL523100:UYL523165 VIH523100:VIH523165 VSD523100:VSD523165 WBZ523100:WBZ523165 WLV523100:WLV523165 WVR523100:WVR523165 J588636:J588701 JF588636:JF588701 TB588636:TB588701 ACX588636:ACX588701 AMT588636:AMT588701 AWP588636:AWP588701 BGL588636:BGL588701 BQH588636:BQH588701 CAD588636:CAD588701 CJZ588636:CJZ588701 CTV588636:CTV588701 DDR588636:DDR588701 DNN588636:DNN588701 DXJ588636:DXJ588701 EHF588636:EHF588701 ERB588636:ERB588701 FAX588636:FAX588701 FKT588636:FKT588701 FUP588636:FUP588701 GEL588636:GEL588701 GOH588636:GOH588701 GYD588636:GYD588701 HHZ588636:HHZ588701 HRV588636:HRV588701 IBR588636:IBR588701 ILN588636:ILN588701 IVJ588636:IVJ588701 JFF588636:JFF588701 JPB588636:JPB588701 JYX588636:JYX588701 KIT588636:KIT588701 KSP588636:KSP588701 LCL588636:LCL588701 LMH588636:LMH588701 LWD588636:LWD588701 MFZ588636:MFZ588701 MPV588636:MPV588701 MZR588636:MZR588701 NJN588636:NJN588701 NTJ588636:NTJ588701 ODF588636:ODF588701 ONB588636:ONB588701 OWX588636:OWX588701 PGT588636:PGT588701 PQP588636:PQP588701 QAL588636:QAL588701 QKH588636:QKH588701 QUD588636:QUD588701 RDZ588636:RDZ588701 RNV588636:RNV588701 RXR588636:RXR588701 SHN588636:SHN588701 SRJ588636:SRJ588701 TBF588636:TBF588701 TLB588636:TLB588701 TUX588636:TUX588701 UET588636:UET588701 UOP588636:UOP588701 UYL588636:UYL588701 VIH588636:VIH588701 VSD588636:VSD588701 WBZ588636:WBZ588701 WLV588636:WLV588701 WVR588636:WVR588701 J654172:J654237 JF654172:JF654237 TB654172:TB654237 ACX654172:ACX654237 AMT654172:AMT654237 AWP654172:AWP654237 BGL654172:BGL654237 BQH654172:BQH654237 CAD654172:CAD654237 CJZ654172:CJZ654237 CTV654172:CTV654237 DDR654172:DDR654237 DNN654172:DNN654237 DXJ654172:DXJ654237 EHF654172:EHF654237 ERB654172:ERB654237 FAX654172:FAX654237 FKT654172:FKT654237 FUP654172:FUP654237 GEL654172:GEL654237 GOH654172:GOH654237 GYD654172:GYD654237 HHZ654172:HHZ654237 HRV654172:HRV654237 IBR654172:IBR654237 ILN654172:ILN654237 IVJ654172:IVJ654237 JFF654172:JFF654237 JPB654172:JPB654237 JYX654172:JYX654237 KIT654172:KIT654237 KSP654172:KSP654237 LCL654172:LCL654237 LMH654172:LMH654237 LWD654172:LWD654237 MFZ654172:MFZ654237 MPV654172:MPV654237 MZR654172:MZR654237 NJN654172:NJN654237 NTJ654172:NTJ654237 ODF654172:ODF654237 ONB654172:ONB654237 OWX654172:OWX654237 PGT654172:PGT654237 PQP654172:PQP654237 QAL654172:QAL654237 QKH654172:QKH654237 QUD654172:QUD654237 RDZ654172:RDZ654237 RNV654172:RNV654237 RXR654172:RXR654237 SHN654172:SHN654237 SRJ654172:SRJ654237 TBF654172:TBF654237 TLB654172:TLB654237 TUX654172:TUX654237 UET654172:UET654237 UOP654172:UOP654237 UYL654172:UYL654237 VIH654172:VIH654237 VSD654172:VSD654237 WBZ654172:WBZ654237 WLV654172:WLV654237 WVR654172:WVR654237 J719708:J719773 JF719708:JF719773 TB719708:TB719773 ACX719708:ACX719773 AMT719708:AMT719773 AWP719708:AWP719773 BGL719708:BGL719773 BQH719708:BQH719773 CAD719708:CAD719773 CJZ719708:CJZ719773 CTV719708:CTV719773 DDR719708:DDR719773 DNN719708:DNN719773 DXJ719708:DXJ719773 EHF719708:EHF719773 ERB719708:ERB719773 FAX719708:FAX719773 FKT719708:FKT719773 FUP719708:FUP719773 GEL719708:GEL719773 GOH719708:GOH719773 GYD719708:GYD719773 HHZ719708:HHZ719773 HRV719708:HRV719773 IBR719708:IBR719773 ILN719708:ILN719773 IVJ719708:IVJ719773 JFF719708:JFF719773 JPB719708:JPB719773 JYX719708:JYX719773 KIT719708:KIT719773 KSP719708:KSP719773 LCL719708:LCL719773 LMH719708:LMH719773 LWD719708:LWD719773 MFZ719708:MFZ719773 MPV719708:MPV719773 MZR719708:MZR719773 NJN719708:NJN719773 NTJ719708:NTJ719773 ODF719708:ODF719773 ONB719708:ONB719773 OWX719708:OWX719773 PGT719708:PGT719773 PQP719708:PQP719773 QAL719708:QAL719773 QKH719708:QKH719773 QUD719708:QUD719773 RDZ719708:RDZ719773 RNV719708:RNV719773 RXR719708:RXR719773 SHN719708:SHN719773 SRJ719708:SRJ719773 TBF719708:TBF719773 TLB719708:TLB719773 TUX719708:TUX719773 UET719708:UET719773 UOP719708:UOP719773 UYL719708:UYL719773 VIH719708:VIH719773 VSD719708:VSD719773 WBZ719708:WBZ719773 WLV719708:WLV719773 WVR719708:WVR719773 J785244:J785309 JF785244:JF785309 TB785244:TB785309 ACX785244:ACX785309 AMT785244:AMT785309 AWP785244:AWP785309 BGL785244:BGL785309 BQH785244:BQH785309 CAD785244:CAD785309 CJZ785244:CJZ785309 CTV785244:CTV785309 DDR785244:DDR785309 DNN785244:DNN785309 DXJ785244:DXJ785309 EHF785244:EHF785309 ERB785244:ERB785309 FAX785244:FAX785309 FKT785244:FKT785309 FUP785244:FUP785309 GEL785244:GEL785309 GOH785244:GOH785309 GYD785244:GYD785309 HHZ785244:HHZ785309 HRV785244:HRV785309 IBR785244:IBR785309 ILN785244:ILN785309 IVJ785244:IVJ785309 JFF785244:JFF785309 JPB785244:JPB785309 JYX785244:JYX785309 KIT785244:KIT785309 KSP785244:KSP785309 LCL785244:LCL785309 LMH785244:LMH785309 LWD785244:LWD785309 MFZ785244:MFZ785309 MPV785244:MPV785309 MZR785244:MZR785309 NJN785244:NJN785309 NTJ785244:NTJ785309 ODF785244:ODF785309 ONB785244:ONB785309 OWX785244:OWX785309 PGT785244:PGT785309 PQP785244:PQP785309 QAL785244:QAL785309 QKH785244:QKH785309 QUD785244:QUD785309 RDZ785244:RDZ785309 RNV785244:RNV785309 RXR785244:RXR785309 SHN785244:SHN785309 SRJ785244:SRJ785309 TBF785244:TBF785309 TLB785244:TLB785309 TUX785244:TUX785309 UET785244:UET785309 UOP785244:UOP785309 UYL785244:UYL785309 VIH785244:VIH785309 VSD785244:VSD785309 WBZ785244:WBZ785309 WLV785244:WLV785309 WVR785244:WVR785309 J850780:J850845 JF850780:JF850845 TB850780:TB850845 ACX850780:ACX850845 AMT850780:AMT850845 AWP850780:AWP850845 BGL850780:BGL850845 BQH850780:BQH850845 CAD850780:CAD850845 CJZ850780:CJZ850845 CTV850780:CTV850845 DDR850780:DDR850845 DNN850780:DNN850845 DXJ850780:DXJ850845 EHF850780:EHF850845 ERB850780:ERB850845 FAX850780:FAX850845 FKT850780:FKT850845 FUP850780:FUP850845 GEL850780:GEL850845 GOH850780:GOH850845 GYD850780:GYD850845 HHZ850780:HHZ850845 HRV850780:HRV850845 IBR850780:IBR850845 ILN850780:ILN850845 IVJ850780:IVJ850845 JFF850780:JFF850845 JPB850780:JPB850845 JYX850780:JYX850845 KIT850780:KIT850845 KSP850780:KSP850845 LCL850780:LCL850845 LMH850780:LMH850845 LWD850780:LWD850845 MFZ850780:MFZ850845 MPV850780:MPV850845 MZR850780:MZR850845 NJN850780:NJN850845 NTJ850780:NTJ850845 ODF850780:ODF850845 ONB850780:ONB850845 OWX850780:OWX850845 PGT850780:PGT850845 PQP850780:PQP850845 QAL850780:QAL850845 QKH850780:QKH850845 QUD850780:QUD850845 RDZ850780:RDZ850845 RNV850780:RNV850845 RXR850780:RXR850845 SHN850780:SHN850845 SRJ850780:SRJ850845 TBF850780:TBF850845 TLB850780:TLB850845 TUX850780:TUX850845 UET850780:UET850845 UOP850780:UOP850845 UYL850780:UYL850845 VIH850780:VIH850845 VSD850780:VSD850845 WBZ850780:WBZ850845 WLV850780:WLV850845 WVR850780:WVR850845 J916316:J916381 JF916316:JF916381 TB916316:TB916381 ACX916316:ACX916381 AMT916316:AMT916381 AWP916316:AWP916381 BGL916316:BGL916381 BQH916316:BQH916381 CAD916316:CAD916381 CJZ916316:CJZ916381 CTV916316:CTV916381 DDR916316:DDR916381 DNN916316:DNN916381 DXJ916316:DXJ916381 EHF916316:EHF916381 ERB916316:ERB916381 FAX916316:FAX916381 FKT916316:FKT916381 FUP916316:FUP916381 GEL916316:GEL916381 GOH916316:GOH916381 GYD916316:GYD916381 HHZ916316:HHZ916381 HRV916316:HRV916381 IBR916316:IBR916381 ILN916316:ILN916381 IVJ916316:IVJ916381 JFF916316:JFF916381 JPB916316:JPB916381 JYX916316:JYX916381 KIT916316:KIT916381 KSP916316:KSP916381 LCL916316:LCL916381 LMH916316:LMH916381 LWD916316:LWD916381 MFZ916316:MFZ916381 MPV916316:MPV916381 MZR916316:MZR916381 NJN916316:NJN916381 NTJ916316:NTJ916381 ODF916316:ODF916381 ONB916316:ONB916381 OWX916316:OWX916381 PGT916316:PGT916381 PQP916316:PQP916381 QAL916316:QAL916381 QKH916316:QKH916381 QUD916316:QUD916381 RDZ916316:RDZ916381 RNV916316:RNV916381 RXR916316:RXR916381 SHN916316:SHN916381 SRJ916316:SRJ916381 TBF916316:TBF916381 TLB916316:TLB916381 TUX916316:TUX916381 UET916316:UET916381 UOP916316:UOP916381 UYL916316:UYL916381 VIH916316:VIH916381 VSD916316:VSD916381 WBZ916316:WBZ916381 WLV916316:WLV916381 WVR916316:WVR916381 J981852:J981917 JF981852:JF981917 TB981852:TB981917 ACX981852:ACX981917 AMT981852:AMT981917 AWP981852:AWP981917 BGL981852:BGL981917 BQH981852:BQH981917 CAD981852:CAD981917 CJZ981852:CJZ981917 CTV981852:CTV981917 DDR981852:DDR981917 DNN981852:DNN981917 DXJ981852:DXJ981917 EHF981852:EHF981917 ERB981852:ERB981917 FAX981852:FAX981917 FKT981852:FKT981917 FUP981852:FUP981917 GEL981852:GEL981917 GOH981852:GOH981917 GYD981852:GYD981917 HHZ981852:HHZ981917 HRV981852:HRV981917 IBR981852:IBR981917 ILN981852:ILN981917 IVJ981852:IVJ981917 JFF981852:JFF981917 JPB981852:JPB981917 JYX981852:JYX981917 KIT981852:KIT981917 KSP981852:KSP981917 LCL981852:LCL981917 LMH981852:LMH981917 LWD981852:LWD981917 MFZ981852:MFZ981917 MPV981852:MPV981917 MZR981852:MZR981917 NJN981852:NJN981917 NTJ981852:NTJ981917 ODF981852:ODF981917 ONB981852:ONB981917 OWX981852:OWX981917 PGT981852:PGT981917 PQP981852:PQP981917 QAL981852:QAL981917 QKH981852:QKH981917 QUD981852:QUD981917 RDZ981852:RDZ981917 RNV981852:RNV981917 RXR981852:RXR981917 SHN981852:SHN981917 SRJ981852:SRJ981917 TBF981852:TBF981917 TLB981852:TLB981917 TUX981852:TUX981917 UET981852:UET981917 UOP981852:UOP981917 UYL981852:UYL981917 VIH981852:VIH981917 VSD981852:VSD981917 WBZ981852:WBZ981917 WLV981852:WLV981917 WVR981852:WVR981917 J1047388:J1047453 JF1047388:JF1047453 TB1047388:TB1047453 ACX1047388:ACX1047453 AMT1047388:AMT1047453 AWP1047388:AWP1047453 BGL1047388:BGL1047453 BQH1047388:BQH1047453 CAD1047388:CAD1047453 CJZ1047388:CJZ1047453 CTV1047388:CTV1047453 DDR1047388:DDR1047453 DNN1047388:DNN1047453 DXJ1047388:DXJ1047453 EHF1047388:EHF1047453 ERB1047388:ERB1047453 FAX1047388:FAX1047453 FKT1047388:FKT1047453 FUP1047388:FUP1047453 GEL1047388:GEL1047453 GOH1047388:GOH1047453 GYD1047388:GYD1047453 HHZ1047388:HHZ1047453 HRV1047388:HRV1047453 IBR1047388:IBR1047453 ILN1047388:ILN1047453 IVJ1047388:IVJ1047453 JFF1047388:JFF1047453 JPB1047388:JPB1047453 JYX1047388:JYX1047453 KIT1047388:KIT1047453 KSP1047388:KSP1047453 LCL1047388:LCL1047453 LMH1047388:LMH1047453 LWD1047388:LWD1047453 MFZ1047388:MFZ1047453 MPV1047388:MPV1047453 MZR1047388:MZR1047453 NJN1047388:NJN1047453 NTJ1047388:NTJ1047453 ODF1047388:ODF1047453 ONB1047388:ONB1047453 OWX1047388:OWX1047453 PGT1047388:PGT1047453 PQP1047388:PQP1047453 QAL1047388:QAL1047453 QKH1047388:QKH1047453 QUD1047388:QUD1047453 RDZ1047388:RDZ1047453 RNV1047388:RNV1047453 RXR1047388:RXR1047453 SHN1047388:SHN1047453 SRJ1047388:SRJ1047453 TBF1047388:TBF1047453 TLB1047388:TLB1047453 TUX1047388:TUX1047453 UET1047388:UET1047453 UOP1047388:UOP1047453 UYL1047388:UYL1047453 VIH1047388:VIH1047453 VSD1047388:VSD1047453 WBZ1047388:WBZ1047453 WLV1047388:WLV1047453 WVR1047388:WVR1047453" xr:uid="{A4A22E3D-5B2F-4C83-940D-883A784BF822}">
      <formula1>$AP$2:$AP$15</formula1>
    </dataValidation>
    <dataValidation type="list" allowBlank="1" showInputMessage="1" showErrorMessage="1" sqref="K64348:K64413 JG64348:JG64413 TC64348:TC64413 ACY64348:ACY64413 AMU64348:AMU64413 AWQ64348:AWQ64413 BGM64348:BGM64413 BQI64348:BQI64413 CAE64348:CAE64413 CKA64348:CKA64413 CTW64348:CTW64413 DDS64348:DDS64413 DNO64348:DNO64413 DXK64348:DXK64413 EHG64348:EHG64413 ERC64348:ERC64413 FAY64348:FAY64413 FKU64348:FKU64413 FUQ64348:FUQ64413 GEM64348:GEM64413 GOI64348:GOI64413 GYE64348:GYE64413 HIA64348:HIA64413 HRW64348:HRW64413 IBS64348:IBS64413 ILO64348:ILO64413 IVK64348:IVK64413 JFG64348:JFG64413 JPC64348:JPC64413 JYY64348:JYY64413 KIU64348:KIU64413 KSQ64348:KSQ64413 LCM64348:LCM64413 LMI64348:LMI64413 LWE64348:LWE64413 MGA64348:MGA64413 MPW64348:MPW64413 MZS64348:MZS64413 NJO64348:NJO64413 NTK64348:NTK64413 ODG64348:ODG64413 ONC64348:ONC64413 OWY64348:OWY64413 PGU64348:PGU64413 PQQ64348:PQQ64413 QAM64348:QAM64413 QKI64348:QKI64413 QUE64348:QUE64413 REA64348:REA64413 RNW64348:RNW64413 RXS64348:RXS64413 SHO64348:SHO64413 SRK64348:SRK64413 TBG64348:TBG64413 TLC64348:TLC64413 TUY64348:TUY64413 UEU64348:UEU64413 UOQ64348:UOQ64413 UYM64348:UYM64413 VII64348:VII64413 VSE64348:VSE64413 WCA64348:WCA64413 WLW64348:WLW64413 WVS64348:WVS64413 K129884:K129949 JG129884:JG129949 TC129884:TC129949 ACY129884:ACY129949 AMU129884:AMU129949 AWQ129884:AWQ129949 BGM129884:BGM129949 BQI129884:BQI129949 CAE129884:CAE129949 CKA129884:CKA129949 CTW129884:CTW129949 DDS129884:DDS129949 DNO129884:DNO129949 DXK129884:DXK129949 EHG129884:EHG129949 ERC129884:ERC129949 FAY129884:FAY129949 FKU129884:FKU129949 FUQ129884:FUQ129949 GEM129884:GEM129949 GOI129884:GOI129949 GYE129884:GYE129949 HIA129884:HIA129949 HRW129884:HRW129949 IBS129884:IBS129949 ILO129884:ILO129949 IVK129884:IVK129949 JFG129884:JFG129949 JPC129884:JPC129949 JYY129884:JYY129949 KIU129884:KIU129949 KSQ129884:KSQ129949 LCM129884:LCM129949 LMI129884:LMI129949 LWE129884:LWE129949 MGA129884:MGA129949 MPW129884:MPW129949 MZS129884:MZS129949 NJO129884:NJO129949 NTK129884:NTK129949 ODG129884:ODG129949 ONC129884:ONC129949 OWY129884:OWY129949 PGU129884:PGU129949 PQQ129884:PQQ129949 QAM129884:QAM129949 QKI129884:QKI129949 QUE129884:QUE129949 REA129884:REA129949 RNW129884:RNW129949 RXS129884:RXS129949 SHO129884:SHO129949 SRK129884:SRK129949 TBG129884:TBG129949 TLC129884:TLC129949 TUY129884:TUY129949 UEU129884:UEU129949 UOQ129884:UOQ129949 UYM129884:UYM129949 VII129884:VII129949 VSE129884:VSE129949 WCA129884:WCA129949 WLW129884:WLW129949 WVS129884:WVS129949 K195420:K195485 JG195420:JG195485 TC195420:TC195485 ACY195420:ACY195485 AMU195420:AMU195485 AWQ195420:AWQ195485 BGM195420:BGM195485 BQI195420:BQI195485 CAE195420:CAE195485 CKA195420:CKA195485 CTW195420:CTW195485 DDS195420:DDS195485 DNO195420:DNO195485 DXK195420:DXK195485 EHG195420:EHG195485 ERC195420:ERC195485 FAY195420:FAY195485 FKU195420:FKU195485 FUQ195420:FUQ195485 GEM195420:GEM195485 GOI195420:GOI195485 GYE195420:GYE195485 HIA195420:HIA195485 HRW195420:HRW195485 IBS195420:IBS195485 ILO195420:ILO195485 IVK195420:IVK195485 JFG195420:JFG195485 JPC195420:JPC195485 JYY195420:JYY195485 KIU195420:KIU195485 KSQ195420:KSQ195485 LCM195420:LCM195485 LMI195420:LMI195485 LWE195420:LWE195485 MGA195420:MGA195485 MPW195420:MPW195485 MZS195420:MZS195485 NJO195420:NJO195485 NTK195420:NTK195485 ODG195420:ODG195485 ONC195420:ONC195485 OWY195420:OWY195485 PGU195420:PGU195485 PQQ195420:PQQ195485 QAM195420:QAM195485 QKI195420:QKI195485 QUE195420:QUE195485 REA195420:REA195485 RNW195420:RNW195485 RXS195420:RXS195485 SHO195420:SHO195485 SRK195420:SRK195485 TBG195420:TBG195485 TLC195420:TLC195485 TUY195420:TUY195485 UEU195420:UEU195485 UOQ195420:UOQ195485 UYM195420:UYM195485 VII195420:VII195485 VSE195420:VSE195485 WCA195420:WCA195485 WLW195420:WLW195485 WVS195420:WVS195485 K260956:K261021 JG260956:JG261021 TC260956:TC261021 ACY260956:ACY261021 AMU260956:AMU261021 AWQ260956:AWQ261021 BGM260956:BGM261021 BQI260956:BQI261021 CAE260956:CAE261021 CKA260956:CKA261021 CTW260956:CTW261021 DDS260956:DDS261021 DNO260956:DNO261021 DXK260956:DXK261021 EHG260956:EHG261021 ERC260956:ERC261021 FAY260956:FAY261021 FKU260956:FKU261021 FUQ260956:FUQ261021 GEM260956:GEM261021 GOI260956:GOI261021 GYE260956:GYE261021 HIA260956:HIA261021 HRW260956:HRW261021 IBS260956:IBS261021 ILO260956:ILO261021 IVK260956:IVK261021 JFG260956:JFG261021 JPC260956:JPC261021 JYY260956:JYY261021 KIU260956:KIU261021 KSQ260956:KSQ261021 LCM260956:LCM261021 LMI260956:LMI261021 LWE260956:LWE261021 MGA260956:MGA261021 MPW260956:MPW261021 MZS260956:MZS261021 NJO260956:NJO261021 NTK260956:NTK261021 ODG260956:ODG261021 ONC260956:ONC261021 OWY260956:OWY261021 PGU260956:PGU261021 PQQ260956:PQQ261021 QAM260956:QAM261021 QKI260956:QKI261021 QUE260956:QUE261021 REA260956:REA261021 RNW260956:RNW261021 RXS260956:RXS261021 SHO260956:SHO261021 SRK260956:SRK261021 TBG260956:TBG261021 TLC260956:TLC261021 TUY260956:TUY261021 UEU260956:UEU261021 UOQ260956:UOQ261021 UYM260956:UYM261021 VII260956:VII261021 VSE260956:VSE261021 WCA260956:WCA261021 WLW260956:WLW261021 WVS260956:WVS261021 K326492:K326557 JG326492:JG326557 TC326492:TC326557 ACY326492:ACY326557 AMU326492:AMU326557 AWQ326492:AWQ326557 BGM326492:BGM326557 BQI326492:BQI326557 CAE326492:CAE326557 CKA326492:CKA326557 CTW326492:CTW326557 DDS326492:DDS326557 DNO326492:DNO326557 DXK326492:DXK326557 EHG326492:EHG326557 ERC326492:ERC326557 FAY326492:FAY326557 FKU326492:FKU326557 FUQ326492:FUQ326557 GEM326492:GEM326557 GOI326492:GOI326557 GYE326492:GYE326557 HIA326492:HIA326557 HRW326492:HRW326557 IBS326492:IBS326557 ILO326492:ILO326557 IVK326492:IVK326557 JFG326492:JFG326557 JPC326492:JPC326557 JYY326492:JYY326557 KIU326492:KIU326557 KSQ326492:KSQ326557 LCM326492:LCM326557 LMI326492:LMI326557 LWE326492:LWE326557 MGA326492:MGA326557 MPW326492:MPW326557 MZS326492:MZS326557 NJO326492:NJO326557 NTK326492:NTK326557 ODG326492:ODG326557 ONC326492:ONC326557 OWY326492:OWY326557 PGU326492:PGU326557 PQQ326492:PQQ326557 QAM326492:QAM326557 QKI326492:QKI326557 QUE326492:QUE326557 REA326492:REA326557 RNW326492:RNW326557 RXS326492:RXS326557 SHO326492:SHO326557 SRK326492:SRK326557 TBG326492:TBG326557 TLC326492:TLC326557 TUY326492:TUY326557 UEU326492:UEU326557 UOQ326492:UOQ326557 UYM326492:UYM326557 VII326492:VII326557 VSE326492:VSE326557 WCA326492:WCA326557 WLW326492:WLW326557 WVS326492:WVS326557 K392028:K392093 JG392028:JG392093 TC392028:TC392093 ACY392028:ACY392093 AMU392028:AMU392093 AWQ392028:AWQ392093 BGM392028:BGM392093 BQI392028:BQI392093 CAE392028:CAE392093 CKA392028:CKA392093 CTW392028:CTW392093 DDS392028:DDS392093 DNO392028:DNO392093 DXK392028:DXK392093 EHG392028:EHG392093 ERC392028:ERC392093 FAY392028:FAY392093 FKU392028:FKU392093 FUQ392028:FUQ392093 GEM392028:GEM392093 GOI392028:GOI392093 GYE392028:GYE392093 HIA392028:HIA392093 HRW392028:HRW392093 IBS392028:IBS392093 ILO392028:ILO392093 IVK392028:IVK392093 JFG392028:JFG392093 JPC392028:JPC392093 JYY392028:JYY392093 KIU392028:KIU392093 KSQ392028:KSQ392093 LCM392028:LCM392093 LMI392028:LMI392093 LWE392028:LWE392093 MGA392028:MGA392093 MPW392028:MPW392093 MZS392028:MZS392093 NJO392028:NJO392093 NTK392028:NTK392093 ODG392028:ODG392093 ONC392028:ONC392093 OWY392028:OWY392093 PGU392028:PGU392093 PQQ392028:PQQ392093 QAM392028:QAM392093 QKI392028:QKI392093 QUE392028:QUE392093 REA392028:REA392093 RNW392028:RNW392093 RXS392028:RXS392093 SHO392028:SHO392093 SRK392028:SRK392093 TBG392028:TBG392093 TLC392028:TLC392093 TUY392028:TUY392093 UEU392028:UEU392093 UOQ392028:UOQ392093 UYM392028:UYM392093 VII392028:VII392093 VSE392028:VSE392093 WCA392028:WCA392093 WLW392028:WLW392093 WVS392028:WVS392093 K457564:K457629 JG457564:JG457629 TC457564:TC457629 ACY457564:ACY457629 AMU457564:AMU457629 AWQ457564:AWQ457629 BGM457564:BGM457629 BQI457564:BQI457629 CAE457564:CAE457629 CKA457564:CKA457629 CTW457564:CTW457629 DDS457564:DDS457629 DNO457564:DNO457629 DXK457564:DXK457629 EHG457564:EHG457629 ERC457564:ERC457629 FAY457564:FAY457629 FKU457564:FKU457629 FUQ457564:FUQ457629 GEM457564:GEM457629 GOI457564:GOI457629 GYE457564:GYE457629 HIA457564:HIA457629 HRW457564:HRW457629 IBS457564:IBS457629 ILO457564:ILO457629 IVK457564:IVK457629 JFG457564:JFG457629 JPC457564:JPC457629 JYY457564:JYY457629 KIU457564:KIU457629 KSQ457564:KSQ457629 LCM457564:LCM457629 LMI457564:LMI457629 LWE457564:LWE457629 MGA457564:MGA457629 MPW457564:MPW457629 MZS457564:MZS457629 NJO457564:NJO457629 NTK457564:NTK457629 ODG457564:ODG457629 ONC457564:ONC457629 OWY457564:OWY457629 PGU457564:PGU457629 PQQ457564:PQQ457629 QAM457564:QAM457629 QKI457564:QKI457629 QUE457564:QUE457629 REA457564:REA457629 RNW457564:RNW457629 RXS457564:RXS457629 SHO457564:SHO457629 SRK457564:SRK457629 TBG457564:TBG457629 TLC457564:TLC457629 TUY457564:TUY457629 UEU457564:UEU457629 UOQ457564:UOQ457629 UYM457564:UYM457629 VII457564:VII457629 VSE457564:VSE457629 WCA457564:WCA457629 WLW457564:WLW457629 WVS457564:WVS457629 K523100:K523165 JG523100:JG523165 TC523100:TC523165 ACY523100:ACY523165 AMU523100:AMU523165 AWQ523100:AWQ523165 BGM523100:BGM523165 BQI523100:BQI523165 CAE523100:CAE523165 CKA523100:CKA523165 CTW523100:CTW523165 DDS523100:DDS523165 DNO523100:DNO523165 DXK523100:DXK523165 EHG523100:EHG523165 ERC523100:ERC523165 FAY523100:FAY523165 FKU523100:FKU523165 FUQ523100:FUQ523165 GEM523100:GEM523165 GOI523100:GOI523165 GYE523100:GYE523165 HIA523100:HIA523165 HRW523100:HRW523165 IBS523100:IBS523165 ILO523100:ILO523165 IVK523100:IVK523165 JFG523100:JFG523165 JPC523100:JPC523165 JYY523100:JYY523165 KIU523100:KIU523165 KSQ523100:KSQ523165 LCM523100:LCM523165 LMI523100:LMI523165 LWE523100:LWE523165 MGA523100:MGA523165 MPW523100:MPW523165 MZS523100:MZS523165 NJO523100:NJO523165 NTK523100:NTK523165 ODG523100:ODG523165 ONC523100:ONC523165 OWY523100:OWY523165 PGU523100:PGU523165 PQQ523100:PQQ523165 QAM523100:QAM523165 QKI523100:QKI523165 QUE523100:QUE523165 REA523100:REA523165 RNW523100:RNW523165 RXS523100:RXS523165 SHO523100:SHO523165 SRK523100:SRK523165 TBG523100:TBG523165 TLC523100:TLC523165 TUY523100:TUY523165 UEU523100:UEU523165 UOQ523100:UOQ523165 UYM523100:UYM523165 VII523100:VII523165 VSE523100:VSE523165 WCA523100:WCA523165 WLW523100:WLW523165 WVS523100:WVS523165 K588636:K588701 JG588636:JG588701 TC588636:TC588701 ACY588636:ACY588701 AMU588636:AMU588701 AWQ588636:AWQ588701 BGM588636:BGM588701 BQI588636:BQI588701 CAE588636:CAE588701 CKA588636:CKA588701 CTW588636:CTW588701 DDS588636:DDS588701 DNO588636:DNO588701 DXK588636:DXK588701 EHG588636:EHG588701 ERC588636:ERC588701 FAY588636:FAY588701 FKU588636:FKU588701 FUQ588636:FUQ588701 GEM588636:GEM588701 GOI588636:GOI588701 GYE588636:GYE588701 HIA588636:HIA588701 HRW588636:HRW588701 IBS588636:IBS588701 ILO588636:ILO588701 IVK588636:IVK588701 JFG588636:JFG588701 JPC588636:JPC588701 JYY588636:JYY588701 KIU588636:KIU588701 KSQ588636:KSQ588701 LCM588636:LCM588701 LMI588636:LMI588701 LWE588636:LWE588701 MGA588636:MGA588701 MPW588636:MPW588701 MZS588636:MZS588701 NJO588636:NJO588701 NTK588636:NTK588701 ODG588636:ODG588701 ONC588636:ONC588701 OWY588636:OWY588701 PGU588636:PGU588701 PQQ588636:PQQ588701 QAM588636:QAM588701 QKI588636:QKI588701 QUE588636:QUE588701 REA588636:REA588701 RNW588636:RNW588701 RXS588636:RXS588701 SHO588636:SHO588701 SRK588636:SRK588701 TBG588636:TBG588701 TLC588636:TLC588701 TUY588636:TUY588701 UEU588636:UEU588701 UOQ588636:UOQ588701 UYM588636:UYM588701 VII588636:VII588701 VSE588636:VSE588701 WCA588636:WCA588701 WLW588636:WLW588701 WVS588636:WVS588701 K654172:K654237 JG654172:JG654237 TC654172:TC654237 ACY654172:ACY654237 AMU654172:AMU654237 AWQ654172:AWQ654237 BGM654172:BGM654237 BQI654172:BQI654237 CAE654172:CAE654237 CKA654172:CKA654237 CTW654172:CTW654237 DDS654172:DDS654237 DNO654172:DNO654237 DXK654172:DXK654237 EHG654172:EHG654237 ERC654172:ERC654237 FAY654172:FAY654237 FKU654172:FKU654237 FUQ654172:FUQ654237 GEM654172:GEM654237 GOI654172:GOI654237 GYE654172:GYE654237 HIA654172:HIA654237 HRW654172:HRW654237 IBS654172:IBS654237 ILO654172:ILO654237 IVK654172:IVK654237 JFG654172:JFG654237 JPC654172:JPC654237 JYY654172:JYY654237 KIU654172:KIU654237 KSQ654172:KSQ654237 LCM654172:LCM654237 LMI654172:LMI654237 LWE654172:LWE654237 MGA654172:MGA654237 MPW654172:MPW654237 MZS654172:MZS654237 NJO654172:NJO654237 NTK654172:NTK654237 ODG654172:ODG654237 ONC654172:ONC654237 OWY654172:OWY654237 PGU654172:PGU654237 PQQ654172:PQQ654237 QAM654172:QAM654237 QKI654172:QKI654237 QUE654172:QUE654237 REA654172:REA654237 RNW654172:RNW654237 RXS654172:RXS654237 SHO654172:SHO654237 SRK654172:SRK654237 TBG654172:TBG654237 TLC654172:TLC654237 TUY654172:TUY654237 UEU654172:UEU654237 UOQ654172:UOQ654237 UYM654172:UYM654237 VII654172:VII654237 VSE654172:VSE654237 WCA654172:WCA654237 WLW654172:WLW654237 WVS654172:WVS654237 K719708:K719773 JG719708:JG719773 TC719708:TC719773 ACY719708:ACY719773 AMU719708:AMU719773 AWQ719708:AWQ719773 BGM719708:BGM719773 BQI719708:BQI719773 CAE719708:CAE719773 CKA719708:CKA719773 CTW719708:CTW719773 DDS719708:DDS719773 DNO719708:DNO719773 DXK719708:DXK719773 EHG719708:EHG719773 ERC719708:ERC719773 FAY719708:FAY719773 FKU719708:FKU719773 FUQ719708:FUQ719773 GEM719708:GEM719773 GOI719708:GOI719773 GYE719708:GYE719773 HIA719708:HIA719773 HRW719708:HRW719773 IBS719708:IBS719773 ILO719708:ILO719773 IVK719708:IVK719773 JFG719708:JFG719773 JPC719708:JPC719773 JYY719708:JYY719773 KIU719708:KIU719773 KSQ719708:KSQ719773 LCM719708:LCM719773 LMI719708:LMI719773 LWE719708:LWE719773 MGA719708:MGA719773 MPW719708:MPW719773 MZS719708:MZS719773 NJO719708:NJO719773 NTK719708:NTK719773 ODG719708:ODG719773 ONC719708:ONC719773 OWY719708:OWY719773 PGU719708:PGU719773 PQQ719708:PQQ719773 QAM719708:QAM719773 QKI719708:QKI719773 QUE719708:QUE719773 REA719708:REA719773 RNW719708:RNW719773 RXS719708:RXS719773 SHO719708:SHO719773 SRK719708:SRK719773 TBG719708:TBG719773 TLC719708:TLC719773 TUY719708:TUY719773 UEU719708:UEU719773 UOQ719708:UOQ719773 UYM719708:UYM719773 VII719708:VII719773 VSE719708:VSE719773 WCA719708:WCA719773 WLW719708:WLW719773 WVS719708:WVS719773 K785244:K785309 JG785244:JG785309 TC785244:TC785309 ACY785244:ACY785309 AMU785244:AMU785309 AWQ785244:AWQ785309 BGM785244:BGM785309 BQI785244:BQI785309 CAE785244:CAE785309 CKA785244:CKA785309 CTW785244:CTW785309 DDS785244:DDS785309 DNO785244:DNO785309 DXK785244:DXK785309 EHG785244:EHG785309 ERC785244:ERC785309 FAY785244:FAY785309 FKU785244:FKU785309 FUQ785244:FUQ785309 GEM785244:GEM785309 GOI785244:GOI785309 GYE785244:GYE785309 HIA785244:HIA785309 HRW785244:HRW785309 IBS785244:IBS785309 ILO785244:ILO785309 IVK785244:IVK785309 JFG785244:JFG785309 JPC785244:JPC785309 JYY785244:JYY785309 KIU785244:KIU785309 KSQ785244:KSQ785309 LCM785244:LCM785309 LMI785244:LMI785309 LWE785244:LWE785309 MGA785244:MGA785309 MPW785244:MPW785309 MZS785244:MZS785309 NJO785244:NJO785309 NTK785244:NTK785309 ODG785244:ODG785309 ONC785244:ONC785309 OWY785244:OWY785309 PGU785244:PGU785309 PQQ785244:PQQ785309 QAM785244:QAM785309 QKI785244:QKI785309 QUE785244:QUE785309 REA785244:REA785309 RNW785244:RNW785309 RXS785244:RXS785309 SHO785244:SHO785309 SRK785244:SRK785309 TBG785244:TBG785309 TLC785244:TLC785309 TUY785244:TUY785309 UEU785244:UEU785309 UOQ785244:UOQ785309 UYM785244:UYM785309 VII785244:VII785309 VSE785244:VSE785309 WCA785244:WCA785309 WLW785244:WLW785309 WVS785244:WVS785309 K850780:K850845 JG850780:JG850845 TC850780:TC850845 ACY850780:ACY850845 AMU850780:AMU850845 AWQ850780:AWQ850845 BGM850780:BGM850845 BQI850780:BQI850845 CAE850780:CAE850845 CKA850780:CKA850845 CTW850780:CTW850845 DDS850780:DDS850845 DNO850780:DNO850845 DXK850780:DXK850845 EHG850780:EHG850845 ERC850780:ERC850845 FAY850780:FAY850845 FKU850780:FKU850845 FUQ850780:FUQ850845 GEM850780:GEM850845 GOI850780:GOI850845 GYE850780:GYE850845 HIA850780:HIA850845 HRW850780:HRW850845 IBS850780:IBS850845 ILO850780:ILO850845 IVK850780:IVK850845 JFG850780:JFG850845 JPC850780:JPC850845 JYY850780:JYY850845 KIU850780:KIU850845 KSQ850780:KSQ850845 LCM850780:LCM850845 LMI850780:LMI850845 LWE850780:LWE850845 MGA850780:MGA850845 MPW850780:MPW850845 MZS850780:MZS850845 NJO850780:NJO850845 NTK850780:NTK850845 ODG850780:ODG850845 ONC850780:ONC850845 OWY850780:OWY850845 PGU850780:PGU850845 PQQ850780:PQQ850845 QAM850780:QAM850845 QKI850780:QKI850845 QUE850780:QUE850845 REA850780:REA850845 RNW850780:RNW850845 RXS850780:RXS850845 SHO850780:SHO850845 SRK850780:SRK850845 TBG850780:TBG850845 TLC850780:TLC850845 TUY850780:TUY850845 UEU850780:UEU850845 UOQ850780:UOQ850845 UYM850780:UYM850845 VII850780:VII850845 VSE850780:VSE850845 WCA850780:WCA850845 WLW850780:WLW850845 WVS850780:WVS850845 K916316:K916381 JG916316:JG916381 TC916316:TC916381 ACY916316:ACY916381 AMU916316:AMU916381 AWQ916316:AWQ916381 BGM916316:BGM916381 BQI916316:BQI916381 CAE916316:CAE916381 CKA916316:CKA916381 CTW916316:CTW916381 DDS916316:DDS916381 DNO916316:DNO916381 DXK916316:DXK916381 EHG916316:EHG916381 ERC916316:ERC916381 FAY916316:FAY916381 FKU916316:FKU916381 FUQ916316:FUQ916381 GEM916316:GEM916381 GOI916316:GOI916381 GYE916316:GYE916381 HIA916316:HIA916381 HRW916316:HRW916381 IBS916316:IBS916381 ILO916316:ILO916381 IVK916316:IVK916381 JFG916316:JFG916381 JPC916316:JPC916381 JYY916316:JYY916381 KIU916316:KIU916381 KSQ916316:KSQ916381 LCM916316:LCM916381 LMI916316:LMI916381 LWE916316:LWE916381 MGA916316:MGA916381 MPW916316:MPW916381 MZS916316:MZS916381 NJO916316:NJO916381 NTK916316:NTK916381 ODG916316:ODG916381 ONC916316:ONC916381 OWY916316:OWY916381 PGU916316:PGU916381 PQQ916316:PQQ916381 QAM916316:QAM916381 QKI916316:QKI916381 QUE916316:QUE916381 REA916316:REA916381 RNW916316:RNW916381 RXS916316:RXS916381 SHO916316:SHO916381 SRK916316:SRK916381 TBG916316:TBG916381 TLC916316:TLC916381 TUY916316:TUY916381 UEU916316:UEU916381 UOQ916316:UOQ916381 UYM916316:UYM916381 VII916316:VII916381 VSE916316:VSE916381 WCA916316:WCA916381 WLW916316:WLW916381 WVS916316:WVS916381 K981852:K981917 JG981852:JG981917 TC981852:TC981917 ACY981852:ACY981917 AMU981852:AMU981917 AWQ981852:AWQ981917 BGM981852:BGM981917 BQI981852:BQI981917 CAE981852:CAE981917 CKA981852:CKA981917 CTW981852:CTW981917 DDS981852:DDS981917 DNO981852:DNO981917 DXK981852:DXK981917 EHG981852:EHG981917 ERC981852:ERC981917 FAY981852:FAY981917 FKU981852:FKU981917 FUQ981852:FUQ981917 GEM981852:GEM981917 GOI981852:GOI981917 GYE981852:GYE981917 HIA981852:HIA981917 HRW981852:HRW981917 IBS981852:IBS981917 ILO981852:ILO981917 IVK981852:IVK981917 JFG981852:JFG981917 JPC981852:JPC981917 JYY981852:JYY981917 KIU981852:KIU981917 KSQ981852:KSQ981917 LCM981852:LCM981917 LMI981852:LMI981917 LWE981852:LWE981917 MGA981852:MGA981917 MPW981852:MPW981917 MZS981852:MZS981917 NJO981852:NJO981917 NTK981852:NTK981917 ODG981852:ODG981917 ONC981852:ONC981917 OWY981852:OWY981917 PGU981852:PGU981917 PQQ981852:PQQ981917 QAM981852:QAM981917 QKI981852:QKI981917 QUE981852:QUE981917 REA981852:REA981917 RNW981852:RNW981917 RXS981852:RXS981917 SHO981852:SHO981917 SRK981852:SRK981917 TBG981852:TBG981917 TLC981852:TLC981917 TUY981852:TUY981917 UEU981852:UEU981917 UOQ981852:UOQ981917 UYM981852:UYM981917 VII981852:VII981917 VSE981852:VSE981917 WCA981852:WCA981917 WLW981852:WLW981917 WVS981852:WVS981917 K1047388:K1047453 JG1047388:JG1047453 TC1047388:TC1047453 ACY1047388:ACY1047453 AMU1047388:AMU1047453 AWQ1047388:AWQ1047453 BGM1047388:BGM1047453 BQI1047388:BQI1047453 CAE1047388:CAE1047453 CKA1047388:CKA1047453 CTW1047388:CTW1047453 DDS1047388:DDS1047453 DNO1047388:DNO1047453 DXK1047388:DXK1047453 EHG1047388:EHG1047453 ERC1047388:ERC1047453 FAY1047388:FAY1047453 FKU1047388:FKU1047453 FUQ1047388:FUQ1047453 GEM1047388:GEM1047453 GOI1047388:GOI1047453 GYE1047388:GYE1047453 HIA1047388:HIA1047453 HRW1047388:HRW1047453 IBS1047388:IBS1047453 ILO1047388:ILO1047453 IVK1047388:IVK1047453 JFG1047388:JFG1047453 JPC1047388:JPC1047453 JYY1047388:JYY1047453 KIU1047388:KIU1047453 KSQ1047388:KSQ1047453 LCM1047388:LCM1047453 LMI1047388:LMI1047453 LWE1047388:LWE1047453 MGA1047388:MGA1047453 MPW1047388:MPW1047453 MZS1047388:MZS1047453 NJO1047388:NJO1047453 NTK1047388:NTK1047453 ODG1047388:ODG1047453 ONC1047388:ONC1047453 OWY1047388:OWY1047453 PGU1047388:PGU1047453 PQQ1047388:PQQ1047453 QAM1047388:QAM1047453 QKI1047388:QKI1047453 QUE1047388:QUE1047453 REA1047388:REA1047453 RNW1047388:RNW1047453 RXS1047388:RXS1047453 SHO1047388:SHO1047453 SRK1047388:SRK1047453 TBG1047388:TBG1047453 TLC1047388:TLC1047453 TUY1047388:TUY1047453 UEU1047388:UEU1047453 UOQ1047388:UOQ1047453 UYM1047388:UYM1047453 VII1047388:VII1047453 VSE1047388:VSE1047453 WCA1047388:WCA1047453 WLW1047388:WLW1047453 WVS1047388:WVS1047453" xr:uid="{DAC0DB0F-ED8B-410D-BCAA-936C4CFDC24E}">
      <formula1>$AR$2:$AR$24</formula1>
    </dataValidation>
    <dataValidation type="list" allowBlank="1" showInputMessage="1" showErrorMessage="1" sqref="Y64348:AA64413 JU64348:JW64413 TQ64348:TS64413 ADM64348:ADO64413 ANI64348:ANK64413 AXE64348:AXG64413 BHA64348:BHC64413 BQW64348:BQY64413 CAS64348:CAU64413 CKO64348:CKQ64413 CUK64348:CUM64413 DEG64348:DEI64413 DOC64348:DOE64413 DXY64348:DYA64413 EHU64348:EHW64413 ERQ64348:ERS64413 FBM64348:FBO64413 FLI64348:FLK64413 FVE64348:FVG64413 GFA64348:GFC64413 GOW64348:GOY64413 GYS64348:GYU64413 HIO64348:HIQ64413 HSK64348:HSM64413 ICG64348:ICI64413 IMC64348:IME64413 IVY64348:IWA64413 JFU64348:JFW64413 JPQ64348:JPS64413 JZM64348:JZO64413 KJI64348:KJK64413 KTE64348:KTG64413 LDA64348:LDC64413 LMW64348:LMY64413 LWS64348:LWU64413 MGO64348:MGQ64413 MQK64348:MQM64413 NAG64348:NAI64413 NKC64348:NKE64413 NTY64348:NUA64413 ODU64348:ODW64413 ONQ64348:ONS64413 OXM64348:OXO64413 PHI64348:PHK64413 PRE64348:PRG64413 QBA64348:QBC64413 QKW64348:QKY64413 QUS64348:QUU64413 REO64348:REQ64413 ROK64348:ROM64413 RYG64348:RYI64413 SIC64348:SIE64413 SRY64348:SSA64413 TBU64348:TBW64413 TLQ64348:TLS64413 TVM64348:TVO64413 UFI64348:UFK64413 UPE64348:UPG64413 UZA64348:UZC64413 VIW64348:VIY64413 VSS64348:VSU64413 WCO64348:WCQ64413 WMK64348:WMM64413 WWG64348:WWI64413 Y129884:AA129949 JU129884:JW129949 TQ129884:TS129949 ADM129884:ADO129949 ANI129884:ANK129949 AXE129884:AXG129949 BHA129884:BHC129949 BQW129884:BQY129949 CAS129884:CAU129949 CKO129884:CKQ129949 CUK129884:CUM129949 DEG129884:DEI129949 DOC129884:DOE129949 DXY129884:DYA129949 EHU129884:EHW129949 ERQ129884:ERS129949 FBM129884:FBO129949 FLI129884:FLK129949 FVE129884:FVG129949 GFA129884:GFC129949 GOW129884:GOY129949 GYS129884:GYU129949 HIO129884:HIQ129949 HSK129884:HSM129949 ICG129884:ICI129949 IMC129884:IME129949 IVY129884:IWA129949 JFU129884:JFW129949 JPQ129884:JPS129949 JZM129884:JZO129949 KJI129884:KJK129949 KTE129884:KTG129949 LDA129884:LDC129949 LMW129884:LMY129949 LWS129884:LWU129949 MGO129884:MGQ129949 MQK129884:MQM129949 NAG129884:NAI129949 NKC129884:NKE129949 NTY129884:NUA129949 ODU129884:ODW129949 ONQ129884:ONS129949 OXM129884:OXO129949 PHI129884:PHK129949 PRE129884:PRG129949 QBA129884:QBC129949 QKW129884:QKY129949 QUS129884:QUU129949 REO129884:REQ129949 ROK129884:ROM129949 RYG129884:RYI129949 SIC129884:SIE129949 SRY129884:SSA129949 TBU129884:TBW129949 TLQ129884:TLS129949 TVM129884:TVO129949 UFI129884:UFK129949 UPE129884:UPG129949 UZA129884:UZC129949 VIW129884:VIY129949 VSS129884:VSU129949 WCO129884:WCQ129949 WMK129884:WMM129949 WWG129884:WWI129949 Y195420:AA195485 JU195420:JW195485 TQ195420:TS195485 ADM195420:ADO195485 ANI195420:ANK195485 AXE195420:AXG195485 BHA195420:BHC195485 BQW195420:BQY195485 CAS195420:CAU195485 CKO195420:CKQ195485 CUK195420:CUM195485 DEG195420:DEI195485 DOC195420:DOE195485 DXY195420:DYA195485 EHU195420:EHW195485 ERQ195420:ERS195485 FBM195420:FBO195485 FLI195420:FLK195485 FVE195420:FVG195485 GFA195420:GFC195485 GOW195420:GOY195485 GYS195420:GYU195485 HIO195420:HIQ195485 HSK195420:HSM195485 ICG195420:ICI195485 IMC195420:IME195485 IVY195420:IWA195485 JFU195420:JFW195485 JPQ195420:JPS195485 JZM195420:JZO195485 KJI195420:KJK195485 KTE195420:KTG195485 LDA195420:LDC195485 LMW195420:LMY195485 LWS195420:LWU195485 MGO195420:MGQ195485 MQK195420:MQM195485 NAG195420:NAI195485 NKC195420:NKE195485 NTY195420:NUA195485 ODU195420:ODW195485 ONQ195420:ONS195485 OXM195420:OXO195485 PHI195420:PHK195485 PRE195420:PRG195485 QBA195420:QBC195485 QKW195420:QKY195485 QUS195420:QUU195485 REO195420:REQ195485 ROK195420:ROM195485 RYG195420:RYI195485 SIC195420:SIE195485 SRY195420:SSA195485 TBU195420:TBW195485 TLQ195420:TLS195485 TVM195420:TVO195485 UFI195420:UFK195485 UPE195420:UPG195485 UZA195420:UZC195485 VIW195420:VIY195485 VSS195420:VSU195485 WCO195420:WCQ195485 WMK195420:WMM195485 WWG195420:WWI195485 Y260956:AA261021 JU260956:JW261021 TQ260956:TS261021 ADM260956:ADO261021 ANI260956:ANK261021 AXE260956:AXG261021 BHA260956:BHC261021 BQW260956:BQY261021 CAS260956:CAU261021 CKO260956:CKQ261021 CUK260956:CUM261021 DEG260956:DEI261021 DOC260956:DOE261021 DXY260956:DYA261021 EHU260956:EHW261021 ERQ260956:ERS261021 FBM260956:FBO261021 FLI260956:FLK261021 FVE260956:FVG261021 GFA260956:GFC261021 GOW260956:GOY261021 GYS260956:GYU261021 HIO260956:HIQ261021 HSK260956:HSM261021 ICG260956:ICI261021 IMC260956:IME261021 IVY260956:IWA261021 JFU260956:JFW261021 JPQ260956:JPS261021 JZM260956:JZO261021 KJI260956:KJK261021 KTE260956:KTG261021 LDA260956:LDC261021 LMW260956:LMY261021 LWS260956:LWU261021 MGO260956:MGQ261021 MQK260956:MQM261021 NAG260956:NAI261021 NKC260956:NKE261021 NTY260956:NUA261021 ODU260956:ODW261021 ONQ260956:ONS261021 OXM260956:OXO261021 PHI260956:PHK261021 PRE260956:PRG261021 QBA260956:QBC261021 QKW260956:QKY261021 QUS260956:QUU261021 REO260956:REQ261021 ROK260956:ROM261021 RYG260956:RYI261021 SIC260956:SIE261021 SRY260956:SSA261021 TBU260956:TBW261021 TLQ260956:TLS261021 TVM260956:TVO261021 UFI260956:UFK261021 UPE260956:UPG261021 UZA260956:UZC261021 VIW260956:VIY261021 VSS260956:VSU261021 WCO260956:WCQ261021 WMK260956:WMM261021 WWG260956:WWI261021 Y326492:AA326557 JU326492:JW326557 TQ326492:TS326557 ADM326492:ADO326557 ANI326492:ANK326557 AXE326492:AXG326557 BHA326492:BHC326557 BQW326492:BQY326557 CAS326492:CAU326557 CKO326492:CKQ326557 CUK326492:CUM326557 DEG326492:DEI326557 DOC326492:DOE326557 DXY326492:DYA326557 EHU326492:EHW326557 ERQ326492:ERS326557 FBM326492:FBO326557 FLI326492:FLK326557 FVE326492:FVG326557 GFA326492:GFC326557 GOW326492:GOY326557 GYS326492:GYU326557 HIO326492:HIQ326557 HSK326492:HSM326557 ICG326492:ICI326557 IMC326492:IME326557 IVY326492:IWA326557 JFU326492:JFW326557 JPQ326492:JPS326557 JZM326492:JZO326557 KJI326492:KJK326557 KTE326492:KTG326557 LDA326492:LDC326557 LMW326492:LMY326557 LWS326492:LWU326557 MGO326492:MGQ326557 MQK326492:MQM326557 NAG326492:NAI326557 NKC326492:NKE326557 NTY326492:NUA326557 ODU326492:ODW326557 ONQ326492:ONS326557 OXM326492:OXO326557 PHI326492:PHK326557 PRE326492:PRG326557 QBA326492:QBC326557 QKW326492:QKY326557 QUS326492:QUU326557 REO326492:REQ326557 ROK326492:ROM326557 RYG326492:RYI326557 SIC326492:SIE326557 SRY326492:SSA326557 TBU326492:TBW326557 TLQ326492:TLS326557 TVM326492:TVO326557 UFI326492:UFK326557 UPE326492:UPG326557 UZA326492:UZC326557 VIW326492:VIY326557 VSS326492:VSU326557 WCO326492:WCQ326557 WMK326492:WMM326557 WWG326492:WWI326557 Y392028:AA392093 JU392028:JW392093 TQ392028:TS392093 ADM392028:ADO392093 ANI392028:ANK392093 AXE392028:AXG392093 BHA392028:BHC392093 BQW392028:BQY392093 CAS392028:CAU392093 CKO392028:CKQ392093 CUK392028:CUM392093 DEG392028:DEI392093 DOC392028:DOE392093 DXY392028:DYA392093 EHU392028:EHW392093 ERQ392028:ERS392093 FBM392028:FBO392093 FLI392028:FLK392093 FVE392028:FVG392093 GFA392028:GFC392093 GOW392028:GOY392093 GYS392028:GYU392093 HIO392028:HIQ392093 HSK392028:HSM392093 ICG392028:ICI392093 IMC392028:IME392093 IVY392028:IWA392093 JFU392028:JFW392093 JPQ392028:JPS392093 JZM392028:JZO392093 KJI392028:KJK392093 KTE392028:KTG392093 LDA392028:LDC392093 LMW392028:LMY392093 LWS392028:LWU392093 MGO392028:MGQ392093 MQK392028:MQM392093 NAG392028:NAI392093 NKC392028:NKE392093 NTY392028:NUA392093 ODU392028:ODW392093 ONQ392028:ONS392093 OXM392028:OXO392093 PHI392028:PHK392093 PRE392028:PRG392093 QBA392028:QBC392093 QKW392028:QKY392093 QUS392028:QUU392093 REO392028:REQ392093 ROK392028:ROM392093 RYG392028:RYI392093 SIC392028:SIE392093 SRY392028:SSA392093 TBU392028:TBW392093 TLQ392028:TLS392093 TVM392028:TVO392093 UFI392028:UFK392093 UPE392028:UPG392093 UZA392028:UZC392093 VIW392028:VIY392093 VSS392028:VSU392093 WCO392028:WCQ392093 WMK392028:WMM392093 WWG392028:WWI392093 Y457564:AA457629 JU457564:JW457629 TQ457564:TS457629 ADM457564:ADO457629 ANI457564:ANK457629 AXE457564:AXG457629 BHA457564:BHC457629 BQW457564:BQY457629 CAS457564:CAU457629 CKO457564:CKQ457629 CUK457564:CUM457629 DEG457564:DEI457629 DOC457564:DOE457629 DXY457564:DYA457629 EHU457564:EHW457629 ERQ457564:ERS457629 FBM457564:FBO457629 FLI457564:FLK457629 FVE457564:FVG457629 GFA457564:GFC457629 GOW457564:GOY457629 GYS457564:GYU457629 HIO457564:HIQ457629 HSK457564:HSM457629 ICG457564:ICI457629 IMC457564:IME457629 IVY457564:IWA457629 JFU457564:JFW457629 JPQ457564:JPS457629 JZM457564:JZO457629 KJI457564:KJK457629 KTE457564:KTG457629 LDA457564:LDC457629 LMW457564:LMY457629 LWS457564:LWU457629 MGO457564:MGQ457629 MQK457564:MQM457629 NAG457564:NAI457629 NKC457564:NKE457629 NTY457564:NUA457629 ODU457564:ODW457629 ONQ457564:ONS457629 OXM457564:OXO457629 PHI457564:PHK457629 PRE457564:PRG457629 QBA457564:QBC457629 QKW457564:QKY457629 QUS457564:QUU457629 REO457564:REQ457629 ROK457564:ROM457629 RYG457564:RYI457629 SIC457564:SIE457629 SRY457564:SSA457629 TBU457564:TBW457629 TLQ457564:TLS457629 TVM457564:TVO457629 UFI457564:UFK457629 UPE457564:UPG457629 UZA457564:UZC457629 VIW457564:VIY457629 VSS457564:VSU457629 WCO457564:WCQ457629 WMK457564:WMM457629 WWG457564:WWI457629 Y523100:AA523165 JU523100:JW523165 TQ523100:TS523165 ADM523100:ADO523165 ANI523100:ANK523165 AXE523100:AXG523165 BHA523100:BHC523165 BQW523100:BQY523165 CAS523100:CAU523165 CKO523100:CKQ523165 CUK523100:CUM523165 DEG523100:DEI523165 DOC523100:DOE523165 DXY523100:DYA523165 EHU523100:EHW523165 ERQ523100:ERS523165 FBM523100:FBO523165 FLI523100:FLK523165 FVE523100:FVG523165 GFA523100:GFC523165 GOW523100:GOY523165 GYS523100:GYU523165 HIO523100:HIQ523165 HSK523100:HSM523165 ICG523100:ICI523165 IMC523100:IME523165 IVY523100:IWA523165 JFU523100:JFW523165 JPQ523100:JPS523165 JZM523100:JZO523165 KJI523100:KJK523165 KTE523100:KTG523165 LDA523100:LDC523165 LMW523100:LMY523165 LWS523100:LWU523165 MGO523100:MGQ523165 MQK523100:MQM523165 NAG523100:NAI523165 NKC523100:NKE523165 NTY523100:NUA523165 ODU523100:ODW523165 ONQ523100:ONS523165 OXM523100:OXO523165 PHI523100:PHK523165 PRE523100:PRG523165 QBA523100:QBC523165 QKW523100:QKY523165 QUS523100:QUU523165 REO523100:REQ523165 ROK523100:ROM523165 RYG523100:RYI523165 SIC523100:SIE523165 SRY523100:SSA523165 TBU523100:TBW523165 TLQ523100:TLS523165 TVM523100:TVO523165 UFI523100:UFK523165 UPE523100:UPG523165 UZA523100:UZC523165 VIW523100:VIY523165 VSS523100:VSU523165 WCO523100:WCQ523165 WMK523100:WMM523165 WWG523100:WWI523165 Y588636:AA588701 JU588636:JW588701 TQ588636:TS588701 ADM588636:ADO588701 ANI588636:ANK588701 AXE588636:AXG588701 BHA588636:BHC588701 BQW588636:BQY588701 CAS588636:CAU588701 CKO588636:CKQ588701 CUK588636:CUM588701 DEG588636:DEI588701 DOC588636:DOE588701 DXY588636:DYA588701 EHU588636:EHW588701 ERQ588636:ERS588701 FBM588636:FBO588701 FLI588636:FLK588701 FVE588636:FVG588701 GFA588636:GFC588701 GOW588636:GOY588701 GYS588636:GYU588701 HIO588636:HIQ588701 HSK588636:HSM588701 ICG588636:ICI588701 IMC588636:IME588701 IVY588636:IWA588701 JFU588636:JFW588701 JPQ588636:JPS588701 JZM588636:JZO588701 KJI588636:KJK588701 KTE588636:KTG588701 LDA588636:LDC588701 LMW588636:LMY588701 LWS588636:LWU588701 MGO588636:MGQ588701 MQK588636:MQM588701 NAG588636:NAI588701 NKC588636:NKE588701 NTY588636:NUA588701 ODU588636:ODW588701 ONQ588636:ONS588701 OXM588636:OXO588701 PHI588636:PHK588701 PRE588636:PRG588701 QBA588636:QBC588701 QKW588636:QKY588701 QUS588636:QUU588701 REO588636:REQ588701 ROK588636:ROM588701 RYG588636:RYI588701 SIC588636:SIE588701 SRY588636:SSA588701 TBU588636:TBW588701 TLQ588636:TLS588701 TVM588636:TVO588701 UFI588636:UFK588701 UPE588636:UPG588701 UZA588636:UZC588701 VIW588636:VIY588701 VSS588636:VSU588701 WCO588636:WCQ588701 WMK588636:WMM588701 WWG588636:WWI588701 Y654172:AA654237 JU654172:JW654237 TQ654172:TS654237 ADM654172:ADO654237 ANI654172:ANK654237 AXE654172:AXG654237 BHA654172:BHC654237 BQW654172:BQY654237 CAS654172:CAU654237 CKO654172:CKQ654237 CUK654172:CUM654237 DEG654172:DEI654237 DOC654172:DOE654237 DXY654172:DYA654237 EHU654172:EHW654237 ERQ654172:ERS654237 FBM654172:FBO654237 FLI654172:FLK654237 FVE654172:FVG654237 GFA654172:GFC654237 GOW654172:GOY654237 GYS654172:GYU654237 HIO654172:HIQ654237 HSK654172:HSM654237 ICG654172:ICI654237 IMC654172:IME654237 IVY654172:IWA654237 JFU654172:JFW654237 JPQ654172:JPS654237 JZM654172:JZO654237 KJI654172:KJK654237 KTE654172:KTG654237 LDA654172:LDC654237 LMW654172:LMY654237 LWS654172:LWU654237 MGO654172:MGQ654237 MQK654172:MQM654237 NAG654172:NAI654237 NKC654172:NKE654237 NTY654172:NUA654237 ODU654172:ODW654237 ONQ654172:ONS654237 OXM654172:OXO654237 PHI654172:PHK654237 PRE654172:PRG654237 QBA654172:QBC654237 QKW654172:QKY654237 QUS654172:QUU654237 REO654172:REQ654237 ROK654172:ROM654237 RYG654172:RYI654237 SIC654172:SIE654237 SRY654172:SSA654237 TBU654172:TBW654237 TLQ654172:TLS654237 TVM654172:TVO654237 UFI654172:UFK654237 UPE654172:UPG654237 UZA654172:UZC654237 VIW654172:VIY654237 VSS654172:VSU654237 WCO654172:WCQ654237 WMK654172:WMM654237 WWG654172:WWI654237 Y719708:AA719773 JU719708:JW719773 TQ719708:TS719773 ADM719708:ADO719773 ANI719708:ANK719773 AXE719708:AXG719773 BHA719708:BHC719773 BQW719708:BQY719773 CAS719708:CAU719773 CKO719708:CKQ719773 CUK719708:CUM719773 DEG719708:DEI719773 DOC719708:DOE719773 DXY719708:DYA719773 EHU719708:EHW719773 ERQ719708:ERS719773 FBM719708:FBO719773 FLI719708:FLK719773 FVE719708:FVG719773 GFA719708:GFC719773 GOW719708:GOY719773 GYS719708:GYU719773 HIO719708:HIQ719773 HSK719708:HSM719773 ICG719708:ICI719773 IMC719708:IME719773 IVY719708:IWA719773 JFU719708:JFW719773 JPQ719708:JPS719773 JZM719708:JZO719773 KJI719708:KJK719773 KTE719708:KTG719773 LDA719708:LDC719773 LMW719708:LMY719773 LWS719708:LWU719773 MGO719708:MGQ719773 MQK719708:MQM719773 NAG719708:NAI719773 NKC719708:NKE719773 NTY719708:NUA719773 ODU719708:ODW719773 ONQ719708:ONS719773 OXM719708:OXO719773 PHI719708:PHK719773 PRE719708:PRG719773 QBA719708:QBC719773 QKW719708:QKY719773 QUS719708:QUU719773 REO719708:REQ719773 ROK719708:ROM719773 RYG719708:RYI719773 SIC719708:SIE719773 SRY719708:SSA719773 TBU719708:TBW719773 TLQ719708:TLS719773 TVM719708:TVO719773 UFI719708:UFK719773 UPE719708:UPG719773 UZA719708:UZC719773 VIW719708:VIY719773 VSS719708:VSU719773 WCO719708:WCQ719773 WMK719708:WMM719773 WWG719708:WWI719773 Y785244:AA785309 JU785244:JW785309 TQ785244:TS785309 ADM785244:ADO785309 ANI785244:ANK785309 AXE785244:AXG785309 BHA785244:BHC785309 BQW785244:BQY785309 CAS785244:CAU785309 CKO785244:CKQ785309 CUK785244:CUM785309 DEG785244:DEI785309 DOC785244:DOE785309 DXY785244:DYA785309 EHU785244:EHW785309 ERQ785244:ERS785309 FBM785244:FBO785309 FLI785244:FLK785309 FVE785244:FVG785309 GFA785244:GFC785309 GOW785244:GOY785309 GYS785244:GYU785309 HIO785244:HIQ785309 HSK785244:HSM785309 ICG785244:ICI785309 IMC785244:IME785309 IVY785244:IWA785309 JFU785244:JFW785309 JPQ785244:JPS785309 JZM785244:JZO785309 KJI785244:KJK785309 KTE785244:KTG785309 LDA785244:LDC785309 LMW785244:LMY785309 LWS785244:LWU785309 MGO785244:MGQ785309 MQK785244:MQM785309 NAG785244:NAI785309 NKC785244:NKE785309 NTY785244:NUA785309 ODU785244:ODW785309 ONQ785244:ONS785309 OXM785244:OXO785309 PHI785244:PHK785309 PRE785244:PRG785309 QBA785244:QBC785309 QKW785244:QKY785309 QUS785244:QUU785309 REO785244:REQ785309 ROK785244:ROM785309 RYG785244:RYI785309 SIC785244:SIE785309 SRY785244:SSA785309 TBU785244:TBW785309 TLQ785244:TLS785309 TVM785244:TVO785309 UFI785244:UFK785309 UPE785244:UPG785309 UZA785244:UZC785309 VIW785244:VIY785309 VSS785244:VSU785309 WCO785244:WCQ785309 WMK785244:WMM785309 WWG785244:WWI785309 Y850780:AA850845 JU850780:JW850845 TQ850780:TS850845 ADM850780:ADO850845 ANI850780:ANK850845 AXE850780:AXG850845 BHA850780:BHC850845 BQW850780:BQY850845 CAS850780:CAU850845 CKO850780:CKQ850845 CUK850780:CUM850845 DEG850780:DEI850845 DOC850780:DOE850845 DXY850780:DYA850845 EHU850780:EHW850845 ERQ850780:ERS850845 FBM850780:FBO850845 FLI850780:FLK850845 FVE850780:FVG850845 GFA850780:GFC850845 GOW850780:GOY850845 GYS850780:GYU850845 HIO850780:HIQ850845 HSK850780:HSM850845 ICG850780:ICI850845 IMC850780:IME850845 IVY850780:IWA850845 JFU850780:JFW850845 JPQ850780:JPS850845 JZM850780:JZO850845 KJI850780:KJK850845 KTE850780:KTG850845 LDA850780:LDC850845 LMW850780:LMY850845 LWS850780:LWU850845 MGO850780:MGQ850845 MQK850780:MQM850845 NAG850780:NAI850845 NKC850780:NKE850845 NTY850780:NUA850845 ODU850780:ODW850845 ONQ850780:ONS850845 OXM850780:OXO850845 PHI850780:PHK850845 PRE850780:PRG850845 QBA850780:QBC850845 QKW850780:QKY850845 QUS850780:QUU850845 REO850780:REQ850845 ROK850780:ROM850845 RYG850780:RYI850845 SIC850780:SIE850845 SRY850780:SSA850845 TBU850780:TBW850845 TLQ850780:TLS850845 TVM850780:TVO850845 UFI850780:UFK850845 UPE850780:UPG850845 UZA850780:UZC850845 VIW850780:VIY850845 VSS850780:VSU850845 WCO850780:WCQ850845 WMK850780:WMM850845 WWG850780:WWI850845 Y916316:AA916381 JU916316:JW916381 TQ916316:TS916381 ADM916316:ADO916381 ANI916316:ANK916381 AXE916316:AXG916381 BHA916316:BHC916381 BQW916316:BQY916381 CAS916316:CAU916381 CKO916316:CKQ916381 CUK916316:CUM916381 DEG916316:DEI916381 DOC916316:DOE916381 DXY916316:DYA916381 EHU916316:EHW916381 ERQ916316:ERS916381 FBM916316:FBO916381 FLI916316:FLK916381 FVE916316:FVG916381 GFA916316:GFC916381 GOW916316:GOY916381 GYS916316:GYU916381 HIO916316:HIQ916381 HSK916316:HSM916381 ICG916316:ICI916381 IMC916316:IME916381 IVY916316:IWA916381 JFU916316:JFW916381 JPQ916316:JPS916381 JZM916316:JZO916381 KJI916316:KJK916381 KTE916316:KTG916381 LDA916316:LDC916381 LMW916316:LMY916381 LWS916316:LWU916381 MGO916316:MGQ916381 MQK916316:MQM916381 NAG916316:NAI916381 NKC916316:NKE916381 NTY916316:NUA916381 ODU916316:ODW916381 ONQ916316:ONS916381 OXM916316:OXO916381 PHI916316:PHK916381 PRE916316:PRG916381 QBA916316:QBC916381 QKW916316:QKY916381 QUS916316:QUU916381 REO916316:REQ916381 ROK916316:ROM916381 RYG916316:RYI916381 SIC916316:SIE916381 SRY916316:SSA916381 TBU916316:TBW916381 TLQ916316:TLS916381 TVM916316:TVO916381 UFI916316:UFK916381 UPE916316:UPG916381 UZA916316:UZC916381 VIW916316:VIY916381 VSS916316:VSU916381 WCO916316:WCQ916381 WMK916316:WMM916381 WWG916316:WWI916381 Y981852:AA981917 JU981852:JW981917 TQ981852:TS981917 ADM981852:ADO981917 ANI981852:ANK981917 AXE981852:AXG981917 BHA981852:BHC981917 BQW981852:BQY981917 CAS981852:CAU981917 CKO981852:CKQ981917 CUK981852:CUM981917 DEG981852:DEI981917 DOC981852:DOE981917 DXY981852:DYA981917 EHU981852:EHW981917 ERQ981852:ERS981917 FBM981852:FBO981917 FLI981852:FLK981917 FVE981852:FVG981917 GFA981852:GFC981917 GOW981852:GOY981917 GYS981852:GYU981917 HIO981852:HIQ981917 HSK981852:HSM981917 ICG981852:ICI981917 IMC981852:IME981917 IVY981852:IWA981917 JFU981852:JFW981917 JPQ981852:JPS981917 JZM981852:JZO981917 KJI981852:KJK981917 KTE981852:KTG981917 LDA981852:LDC981917 LMW981852:LMY981917 LWS981852:LWU981917 MGO981852:MGQ981917 MQK981852:MQM981917 NAG981852:NAI981917 NKC981852:NKE981917 NTY981852:NUA981917 ODU981852:ODW981917 ONQ981852:ONS981917 OXM981852:OXO981917 PHI981852:PHK981917 PRE981852:PRG981917 QBA981852:QBC981917 QKW981852:QKY981917 QUS981852:QUU981917 REO981852:REQ981917 ROK981852:ROM981917 RYG981852:RYI981917 SIC981852:SIE981917 SRY981852:SSA981917 TBU981852:TBW981917 TLQ981852:TLS981917 TVM981852:TVO981917 UFI981852:UFK981917 UPE981852:UPG981917 UZA981852:UZC981917 VIW981852:VIY981917 VSS981852:VSU981917 WCO981852:WCQ981917 WMK981852:WMM981917 WWG981852:WWI981917 Y1047388:AA1047453 JU1047388:JW1047453 TQ1047388:TS1047453 ADM1047388:ADO1047453 ANI1047388:ANK1047453 AXE1047388:AXG1047453 BHA1047388:BHC1047453 BQW1047388:BQY1047453 CAS1047388:CAU1047453 CKO1047388:CKQ1047453 CUK1047388:CUM1047453 DEG1047388:DEI1047453 DOC1047388:DOE1047453 DXY1047388:DYA1047453 EHU1047388:EHW1047453 ERQ1047388:ERS1047453 FBM1047388:FBO1047453 FLI1047388:FLK1047453 FVE1047388:FVG1047453 GFA1047388:GFC1047453 GOW1047388:GOY1047453 GYS1047388:GYU1047453 HIO1047388:HIQ1047453 HSK1047388:HSM1047453 ICG1047388:ICI1047453 IMC1047388:IME1047453 IVY1047388:IWA1047453 JFU1047388:JFW1047453 JPQ1047388:JPS1047453 JZM1047388:JZO1047453 KJI1047388:KJK1047453 KTE1047388:KTG1047453 LDA1047388:LDC1047453 LMW1047388:LMY1047453 LWS1047388:LWU1047453 MGO1047388:MGQ1047453 MQK1047388:MQM1047453 NAG1047388:NAI1047453 NKC1047388:NKE1047453 NTY1047388:NUA1047453 ODU1047388:ODW1047453 ONQ1047388:ONS1047453 OXM1047388:OXO1047453 PHI1047388:PHK1047453 PRE1047388:PRG1047453 QBA1047388:QBC1047453 QKW1047388:QKY1047453 QUS1047388:QUU1047453 REO1047388:REQ1047453 ROK1047388:ROM1047453 RYG1047388:RYI1047453 SIC1047388:SIE1047453 SRY1047388:SSA1047453 TBU1047388:TBW1047453 TLQ1047388:TLS1047453 TVM1047388:TVO1047453 UFI1047388:UFK1047453 UPE1047388:UPG1047453 UZA1047388:UZC1047453 VIW1047388:VIY1047453 VSS1047388:VSU1047453 WCO1047388:WCQ1047453 WMK1047388:WMM1047453 WWG1047388:WWI1047453 WWG983027:WWI983092 Y65523:AA65588 JU65523:JW65588 TQ65523:TS65588 ADM65523:ADO65588 ANI65523:ANK65588 AXE65523:AXG65588 BHA65523:BHC65588 BQW65523:BQY65588 CAS65523:CAU65588 CKO65523:CKQ65588 CUK65523:CUM65588 DEG65523:DEI65588 DOC65523:DOE65588 DXY65523:DYA65588 EHU65523:EHW65588 ERQ65523:ERS65588 FBM65523:FBO65588 FLI65523:FLK65588 FVE65523:FVG65588 GFA65523:GFC65588 GOW65523:GOY65588 GYS65523:GYU65588 HIO65523:HIQ65588 HSK65523:HSM65588 ICG65523:ICI65588 IMC65523:IME65588 IVY65523:IWA65588 JFU65523:JFW65588 JPQ65523:JPS65588 JZM65523:JZO65588 KJI65523:KJK65588 KTE65523:KTG65588 LDA65523:LDC65588 LMW65523:LMY65588 LWS65523:LWU65588 MGO65523:MGQ65588 MQK65523:MQM65588 NAG65523:NAI65588 NKC65523:NKE65588 NTY65523:NUA65588 ODU65523:ODW65588 ONQ65523:ONS65588 OXM65523:OXO65588 PHI65523:PHK65588 PRE65523:PRG65588 QBA65523:QBC65588 QKW65523:QKY65588 QUS65523:QUU65588 REO65523:REQ65588 ROK65523:ROM65588 RYG65523:RYI65588 SIC65523:SIE65588 SRY65523:SSA65588 TBU65523:TBW65588 TLQ65523:TLS65588 TVM65523:TVO65588 UFI65523:UFK65588 UPE65523:UPG65588 UZA65523:UZC65588 VIW65523:VIY65588 VSS65523:VSU65588 WCO65523:WCQ65588 WMK65523:WMM65588 WWG65523:WWI65588 Y131059:AA131124 JU131059:JW131124 TQ131059:TS131124 ADM131059:ADO131124 ANI131059:ANK131124 AXE131059:AXG131124 BHA131059:BHC131124 BQW131059:BQY131124 CAS131059:CAU131124 CKO131059:CKQ131124 CUK131059:CUM131124 DEG131059:DEI131124 DOC131059:DOE131124 DXY131059:DYA131124 EHU131059:EHW131124 ERQ131059:ERS131124 FBM131059:FBO131124 FLI131059:FLK131124 FVE131059:FVG131124 GFA131059:GFC131124 GOW131059:GOY131124 GYS131059:GYU131124 HIO131059:HIQ131124 HSK131059:HSM131124 ICG131059:ICI131124 IMC131059:IME131124 IVY131059:IWA131124 JFU131059:JFW131124 JPQ131059:JPS131124 JZM131059:JZO131124 KJI131059:KJK131124 KTE131059:KTG131124 LDA131059:LDC131124 LMW131059:LMY131124 LWS131059:LWU131124 MGO131059:MGQ131124 MQK131059:MQM131124 NAG131059:NAI131124 NKC131059:NKE131124 NTY131059:NUA131124 ODU131059:ODW131124 ONQ131059:ONS131124 OXM131059:OXO131124 PHI131059:PHK131124 PRE131059:PRG131124 QBA131059:QBC131124 QKW131059:QKY131124 QUS131059:QUU131124 REO131059:REQ131124 ROK131059:ROM131124 RYG131059:RYI131124 SIC131059:SIE131124 SRY131059:SSA131124 TBU131059:TBW131124 TLQ131059:TLS131124 TVM131059:TVO131124 UFI131059:UFK131124 UPE131059:UPG131124 UZA131059:UZC131124 VIW131059:VIY131124 VSS131059:VSU131124 WCO131059:WCQ131124 WMK131059:WMM131124 WWG131059:WWI131124 Y196595:AA196660 JU196595:JW196660 TQ196595:TS196660 ADM196595:ADO196660 ANI196595:ANK196660 AXE196595:AXG196660 BHA196595:BHC196660 BQW196595:BQY196660 CAS196595:CAU196660 CKO196595:CKQ196660 CUK196595:CUM196660 DEG196595:DEI196660 DOC196595:DOE196660 DXY196595:DYA196660 EHU196595:EHW196660 ERQ196595:ERS196660 FBM196595:FBO196660 FLI196595:FLK196660 FVE196595:FVG196660 GFA196595:GFC196660 GOW196595:GOY196660 GYS196595:GYU196660 HIO196595:HIQ196660 HSK196595:HSM196660 ICG196595:ICI196660 IMC196595:IME196660 IVY196595:IWA196660 JFU196595:JFW196660 JPQ196595:JPS196660 JZM196595:JZO196660 KJI196595:KJK196660 KTE196595:KTG196660 LDA196595:LDC196660 LMW196595:LMY196660 LWS196595:LWU196660 MGO196595:MGQ196660 MQK196595:MQM196660 NAG196595:NAI196660 NKC196595:NKE196660 NTY196595:NUA196660 ODU196595:ODW196660 ONQ196595:ONS196660 OXM196595:OXO196660 PHI196595:PHK196660 PRE196595:PRG196660 QBA196595:QBC196660 QKW196595:QKY196660 QUS196595:QUU196660 REO196595:REQ196660 ROK196595:ROM196660 RYG196595:RYI196660 SIC196595:SIE196660 SRY196595:SSA196660 TBU196595:TBW196660 TLQ196595:TLS196660 TVM196595:TVO196660 UFI196595:UFK196660 UPE196595:UPG196660 UZA196595:UZC196660 VIW196595:VIY196660 VSS196595:VSU196660 WCO196595:WCQ196660 WMK196595:WMM196660 WWG196595:WWI196660 Y262131:AA262196 JU262131:JW262196 TQ262131:TS262196 ADM262131:ADO262196 ANI262131:ANK262196 AXE262131:AXG262196 BHA262131:BHC262196 BQW262131:BQY262196 CAS262131:CAU262196 CKO262131:CKQ262196 CUK262131:CUM262196 DEG262131:DEI262196 DOC262131:DOE262196 DXY262131:DYA262196 EHU262131:EHW262196 ERQ262131:ERS262196 FBM262131:FBO262196 FLI262131:FLK262196 FVE262131:FVG262196 GFA262131:GFC262196 GOW262131:GOY262196 GYS262131:GYU262196 HIO262131:HIQ262196 HSK262131:HSM262196 ICG262131:ICI262196 IMC262131:IME262196 IVY262131:IWA262196 JFU262131:JFW262196 JPQ262131:JPS262196 JZM262131:JZO262196 KJI262131:KJK262196 KTE262131:KTG262196 LDA262131:LDC262196 LMW262131:LMY262196 LWS262131:LWU262196 MGO262131:MGQ262196 MQK262131:MQM262196 NAG262131:NAI262196 NKC262131:NKE262196 NTY262131:NUA262196 ODU262131:ODW262196 ONQ262131:ONS262196 OXM262131:OXO262196 PHI262131:PHK262196 PRE262131:PRG262196 QBA262131:QBC262196 QKW262131:QKY262196 QUS262131:QUU262196 REO262131:REQ262196 ROK262131:ROM262196 RYG262131:RYI262196 SIC262131:SIE262196 SRY262131:SSA262196 TBU262131:TBW262196 TLQ262131:TLS262196 TVM262131:TVO262196 UFI262131:UFK262196 UPE262131:UPG262196 UZA262131:UZC262196 VIW262131:VIY262196 VSS262131:VSU262196 WCO262131:WCQ262196 WMK262131:WMM262196 WWG262131:WWI262196 Y327667:AA327732 JU327667:JW327732 TQ327667:TS327732 ADM327667:ADO327732 ANI327667:ANK327732 AXE327667:AXG327732 BHA327667:BHC327732 BQW327667:BQY327732 CAS327667:CAU327732 CKO327667:CKQ327732 CUK327667:CUM327732 DEG327667:DEI327732 DOC327667:DOE327732 DXY327667:DYA327732 EHU327667:EHW327732 ERQ327667:ERS327732 FBM327667:FBO327732 FLI327667:FLK327732 FVE327667:FVG327732 GFA327667:GFC327732 GOW327667:GOY327732 GYS327667:GYU327732 HIO327667:HIQ327732 HSK327667:HSM327732 ICG327667:ICI327732 IMC327667:IME327732 IVY327667:IWA327732 JFU327667:JFW327732 JPQ327667:JPS327732 JZM327667:JZO327732 KJI327667:KJK327732 KTE327667:KTG327732 LDA327667:LDC327732 LMW327667:LMY327732 LWS327667:LWU327732 MGO327667:MGQ327732 MQK327667:MQM327732 NAG327667:NAI327732 NKC327667:NKE327732 NTY327667:NUA327732 ODU327667:ODW327732 ONQ327667:ONS327732 OXM327667:OXO327732 PHI327667:PHK327732 PRE327667:PRG327732 QBA327667:QBC327732 QKW327667:QKY327732 QUS327667:QUU327732 REO327667:REQ327732 ROK327667:ROM327732 RYG327667:RYI327732 SIC327667:SIE327732 SRY327667:SSA327732 TBU327667:TBW327732 TLQ327667:TLS327732 TVM327667:TVO327732 UFI327667:UFK327732 UPE327667:UPG327732 UZA327667:UZC327732 VIW327667:VIY327732 VSS327667:VSU327732 WCO327667:WCQ327732 WMK327667:WMM327732 WWG327667:WWI327732 Y393203:AA393268 JU393203:JW393268 TQ393203:TS393268 ADM393203:ADO393268 ANI393203:ANK393268 AXE393203:AXG393268 BHA393203:BHC393268 BQW393203:BQY393268 CAS393203:CAU393268 CKO393203:CKQ393268 CUK393203:CUM393268 DEG393203:DEI393268 DOC393203:DOE393268 DXY393203:DYA393268 EHU393203:EHW393268 ERQ393203:ERS393268 FBM393203:FBO393268 FLI393203:FLK393268 FVE393203:FVG393268 GFA393203:GFC393268 GOW393203:GOY393268 GYS393203:GYU393268 HIO393203:HIQ393268 HSK393203:HSM393268 ICG393203:ICI393268 IMC393203:IME393268 IVY393203:IWA393268 JFU393203:JFW393268 JPQ393203:JPS393268 JZM393203:JZO393268 KJI393203:KJK393268 KTE393203:KTG393268 LDA393203:LDC393268 LMW393203:LMY393268 LWS393203:LWU393268 MGO393203:MGQ393268 MQK393203:MQM393268 NAG393203:NAI393268 NKC393203:NKE393268 NTY393203:NUA393268 ODU393203:ODW393268 ONQ393203:ONS393268 OXM393203:OXO393268 PHI393203:PHK393268 PRE393203:PRG393268 QBA393203:QBC393268 QKW393203:QKY393268 QUS393203:QUU393268 REO393203:REQ393268 ROK393203:ROM393268 RYG393203:RYI393268 SIC393203:SIE393268 SRY393203:SSA393268 TBU393203:TBW393268 TLQ393203:TLS393268 TVM393203:TVO393268 UFI393203:UFK393268 UPE393203:UPG393268 UZA393203:UZC393268 VIW393203:VIY393268 VSS393203:VSU393268 WCO393203:WCQ393268 WMK393203:WMM393268 WWG393203:WWI393268 Y458739:AA458804 JU458739:JW458804 TQ458739:TS458804 ADM458739:ADO458804 ANI458739:ANK458804 AXE458739:AXG458804 BHA458739:BHC458804 BQW458739:BQY458804 CAS458739:CAU458804 CKO458739:CKQ458804 CUK458739:CUM458804 DEG458739:DEI458804 DOC458739:DOE458804 DXY458739:DYA458804 EHU458739:EHW458804 ERQ458739:ERS458804 FBM458739:FBO458804 FLI458739:FLK458804 FVE458739:FVG458804 GFA458739:GFC458804 GOW458739:GOY458804 GYS458739:GYU458804 HIO458739:HIQ458804 HSK458739:HSM458804 ICG458739:ICI458804 IMC458739:IME458804 IVY458739:IWA458804 JFU458739:JFW458804 JPQ458739:JPS458804 JZM458739:JZO458804 KJI458739:KJK458804 KTE458739:KTG458804 LDA458739:LDC458804 LMW458739:LMY458804 LWS458739:LWU458804 MGO458739:MGQ458804 MQK458739:MQM458804 NAG458739:NAI458804 NKC458739:NKE458804 NTY458739:NUA458804 ODU458739:ODW458804 ONQ458739:ONS458804 OXM458739:OXO458804 PHI458739:PHK458804 PRE458739:PRG458804 QBA458739:QBC458804 QKW458739:QKY458804 QUS458739:QUU458804 REO458739:REQ458804 ROK458739:ROM458804 RYG458739:RYI458804 SIC458739:SIE458804 SRY458739:SSA458804 TBU458739:TBW458804 TLQ458739:TLS458804 TVM458739:TVO458804 UFI458739:UFK458804 UPE458739:UPG458804 UZA458739:UZC458804 VIW458739:VIY458804 VSS458739:VSU458804 WCO458739:WCQ458804 WMK458739:WMM458804 WWG458739:WWI458804 Y524275:AA524340 JU524275:JW524340 TQ524275:TS524340 ADM524275:ADO524340 ANI524275:ANK524340 AXE524275:AXG524340 BHA524275:BHC524340 BQW524275:BQY524340 CAS524275:CAU524340 CKO524275:CKQ524340 CUK524275:CUM524340 DEG524275:DEI524340 DOC524275:DOE524340 DXY524275:DYA524340 EHU524275:EHW524340 ERQ524275:ERS524340 FBM524275:FBO524340 FLI524275:FLK524340 FVE524275:FVG524340 GFA524275:GFC524340 GOW524275:GOY524340 GYS524275:GYU524340 HIO524275:HIQ524340 HSK524275:HSM524340 ICG524275:ICI524340 IMC524275:IME524340 IVY524275:IWA524340 JFU524275:JFW524340 JPQ524275:JPS524340 JZM524275:JZO524340 KJI524275:KJK524340 KTE524275:KTG524340 LDA524275:LDC524340 LMW524275:LMY524340 LWS524275:LWU524340 MGO524275:MGQ524340 MQK524275:MQM524340 NAG524275:NAI524340 NKC524275:NKE524340 NTY524275:NUA524340 ODU524275:ODW524340 ONQ524275:ONS524340 OXM524275:OXO524340 PHI524275:PHK524340 PRE524275:PRG524340 QBA524275:QBC524340 QKW524275:QKY524340 QUS524275:QUU524340 REO524275:REQ524340 ROK524275:ROM524340 RYG524275:RYI524340 SIC524275:SIE524340 SRY524275:SSA524340 TBU524275:TBW524340 TLQ524275:TLS524340 TVM524275:TVO524340 UFI524275:UFK524340 UPE524275:UPG524340 UZA524275:UZC524340 VIW524275:VIY524340 VSS524275:VSU524340 WCO524275:WCQ524340 WMK524275:WMM524340 WWG524275:WWI524340 Y589811:AA589876 JU589811:JW589876 TQ589811:TS589876 ADM589811:ADO589876 ANI589811:ANK589876 AXE589811:AXG589876 BHA589811:BHC589876 BQW589811:BQY589876 CAS589811:CAU589876 CKO589811:CKQ589876 CUK589811:CUM589876 DEG589811:DEI589876 DOC589811:DOE589876 DXY589811:DYA589876 EHU589811:EHW589876 ERQ589811:ERS589876 FBM589811:FBO589876 FLI589811:FLK589876 FVE589811:FVG589876 GFA589811:GFC589876 GOW589811:GOY589876 GYS589811:GYU589876 HIO589811:HIQ589876 HSK589811:HSM589876 ICG589811:ICI589876 IMC589811:IME589876 IVY589811:IWA589876 JFU589811:JFW589876 JPQ589811:JPS589876 JZM589811:JZO589876 KJI589811:KJK589876 KTE589811:KTG589876 LDA589811:LDC589876 LMW589811:LMY589876 LWS589811:LWU589876 MGO589811:MGQ589876 MQK589811:MQM589876 NAG589811:NAI589876 NKC589811:NKE589876 NTY589811:NUA589876 ODU589811:ODW589876 ONQ589811:ONS589876 OXM589811:OXO589876 PHI589811:PHK589876 PRE589811:PRG589876 QBA589811:QBC589876 QKW589811:QKY589876 QUS589811:QUU589876 REO589811:REQ589876 ROK589811:ROM589876 RYG589811:RYI589876 SIC589811:SIE589876 SRY589811:SSA589876 TBU589811:TBW589876 TLQ589811:TLS589876 TVM589811:TVO589876 UFI589811:UFK589876 UPE589811:UPG589876 UZA589811:UZC589876 VIW589811:VIY589876 VSS589811:VSU589876 WCO589811:WCQ589876 WMK589811:WMM589876 WWG589811:WWI589876 Y655347:AA655412 JU655347:JW655412 TQ655347:TS655412 ADM655347:ADO655412 ANI655347:ANK655412 AXE655347:AXG655412 BHA655347:BHC655412 BQW655347:BQY655412 CAS655347:CAU655412 CKO655347:CKQ655412 CUK655347:CUM655412 DEG655347:DEI655412 DOC655347:DOE655412 DXY655347:DYA655412 EHU655347:EHW655412 ERQ655347:ERS655412 FBM655347:FBO655412 FLI655347:FLK655412 FVE655347:FVG655412 GFA655347:GFC655412 GOW655347:GOY655412 GYS655347:GYU655412 HIO655347:HIQ655412 HSK655347:HSM655412 ICG655347:ICI655412 IMC655347:IME655412 IVY655347:IWA655412 JFU655347:JFW655412 JPQ655347:JPS655412 JZM655347:JZO655412 KJI655347:KJK655412 KTE655347:KTG655412 LDA655347:LDC655412 LMW655347:LMY655412 LWS655347:LWU655412 MGO655347:MGQ655412 MQK655347:MQM655412 NAG655347:NAI655412 NKC655347:NKE655412 NTY655347:NUA655412 ODU655347:ODW655412 ONQ655347:ONS655412 OXM655347:OXO655412 PHI655347:PHK655412 PRE655347:PRG655412 QBA655347:QBC655412 QKW655347:QKY655412 QUS655347:QUU655412 REO655347:REQ655412 ROK655347:ROM655412 RYG655347:RYI655412 SIC655347:SIE655412 SRY655347:SSA655412 TBU655347:TBW655412 TLQ655347:TLS655412 TVM655347:TVO655412 UFI655347:UFK655412 UPE655347:UPG655412 UZA655347:UZC655412 VIW655347:VIY655412 VSS655347:VSU655412 WCO655347:WCQ655412 WMK655347:WMM655412 WWG655347:WWI655412 Y720883:AA720948 JU720883:JW720948 TQ720883:TS720948 ADM720883:ADO720948 ANI720883:ANK720948 AXE720883:AXG720948 BHA720883:BHC720948 BQW720883:BQY720948 CAS720883:CAU720948 CKO720883:CKQ720948 CUK720883:CUM720948 DEG720883:DEI720948 DOC720883:DOE720948 DXY720883:DYA720948 EHU720883:EHW720948 ERQ720883:ERS720948 FBM720883:FBO720948 FLI720883:FLK720948 FVE720883:FVG720948 GFA720883:GFC720948 GOW720883:GOY720948 GYS720883:GYU720948 HIO720883:HIQ720948 HSK720883:HSM720948 ICG720883:ICI720948 IMC720883:IME720948 IVY720883:IWA720948 JFU720883:JFW720948 JPQ720883:JPS720948 JZM720883:JZO720948 KJI720883:KJK720948 KTE720883:KTG720948 LDA720883:LDC720948 LMW720883:LMY720948 LWS720883:LWU720948 MGO720883:MGQ720948 MQK720883:MQM720948 NAG720883:NAI720948 NKC720883:NKE720948 NTY720883:NUA720948 ODU720883:ODW720948 ONQ720883:ONS720948 OXM720883:OXO720948 PHI720883:PHK720948 PRE720883:PRG720948 QBA720883:QBC720948 QKW720883:QKY720948 QUS720883:QUU720948 REO720883:REQ720948 ROK720883:ROM720948 RYG720883:RYI720948 SIC720883:SIE720948 SRY720883:SSA720948 TBU720883:TBW720948 TLQ720883:TLS720948 TVM720883:TVO720948 UFI720883:UFK720948 UPE720883:UPG720948 UZA720883:UZC720948 VIW720883:VIY720948 VSS720883:VSU720948 WCO720883:WCQ720948 WMK720883:WMM720948 WWG720883:WWI720948 Y786419:AA786484 JU786419:JW786484 TQ786419:TS786484 ADM786419:ADO786484 ANI786419:ANK786484 AXE786419:AXG786484 BHA786419:BHC786484 BQW786419:BQY786484 CAS786419:CAU786484 CKO786419:CKQ786484 CUK786419:CUM786484 DEG786419:DEI786484 DOC786419:DOE786484 DXY786419:DYA786484 EHU786419:EHW786484 ERQ786419:ERS786484 FBM786419:FBO786484 FLI786419:FLK786484 FVE786419:FVG786484 GFA786419:GFC786484 GOW786419:GOY786484 GYS786419:GYU786484 HIO786419:HIQ786484 HSK786419:HSM786484 ICG786419:ICI786484 IMC786419:IME786484 IVY786419:IWA786484 JFU786419:JFW786484 JPQ786419:JPS786484 JZM786419:JZO786484 KJI786419:KJK786484 KTE786419:KTG786484 LDA786419:LDC786484 LMW786419:LMY786484 LWS786419:LWU786484 MGO786419:MGQ786484 MQK786419:MQM786484 NAG786419:NAI786484 NKC786419:NKE786484 NTY786419:NUA786484 ODU786419:ODW786484 ONQ786419:ONS786484 OXM786419:OXO786484 PHI786419:PHK786484 PRE786419:PRG786484 QBA786419:QBC786484 QKW786419:QKY786484 QUS786419:QUU786484 REO786419:REQ786484 ROK786419:ROM786484 RYG786419:RYI786484 SIC786419:SIE786484 SRY786419:SSA786484 TBU786419:TBW786484 TLQ786419:TLS786484 TVM786419:TVO786484 UFI786419:UFK786484 UPE786419:UPG786484 UZA786419:UZC786484 VIW786419:VIY786484 VSS786419:VSU786484 WCO786419:WCQ786484 WMK786419:WMM786484 WWG786419:WWI786484 Y851955:AA852020 JU851955:JW852020 TQ851955:TS852020 ADM851955:ADO852020 ANI851955:ANK852020 AXE851955:AXG852020 BHA851955:BHC852020 BQW851955:BQY852020 CAS851955:CAU852020 CKO851955:CKQ852020 CUK851955:CUM852020 DEG851955:DEI852020 DOC851955:DOE852020 DXY851955:DYA852020 EHU851955:EHW852020 ERQ851955:ERS852020 FBM851955:FBO852020 FLI851955:FLK852020 FVE851955:FVG852020 GFA851955:GFC852020 GOW851955:GOY852020 GYS851955:GYU852020 HIO851955:HIQ852020 HSK851955:HSM852020 ICG851955:ICI852020 IMC851955:IME852020 IVY851955:IWA852020 JFU851955:JFW852020 JPQ851955:JPS852020 JZM851955:JZO852020 KJI851955:KJK852020 KTE851955:KTG852020 LDA851955:LDC852020 LMW851955:LMY852020 LWS851955:LWU852020 MGO851955:MGQ852020 MQK851955:MQM852020 NAG851955:NAI852020 NKC851955:NKE852020 NTY851955:NUA852020 ODU851955:ODW852020 ONQ851955:ONS852020 OXM851955:OXO852020 PHI851955:PHK852020 PRE851955:PRG852020 QBA851955:QBC852020 QKW851955:QKY852020 QUS851955:QUU852020 REO851955:REQ852020 ROK851955:ROM852020 RYG851955:RYI852020 SIC851955:SIE852020 SRY851955:SSA852020 TBU851955:TBW852020 TLQ851955:TLS852020 TVM851955:TVO852020 UFI851955:UFK852020 UPE851955:UPG852020 UZA851955:UZC852020 VIW851955:VIY852020 VSS851955:VSU852020 WCO851955:WCQ852020 WMK851955:WMM852020 WWG851955:WWI852020 Y917491:AA917556 JU917491:JW917556 TQ917491:TS917556 ADM917491:ADO917556 ANI917491:ANK917556 AXE917491:AXG917556 BHA917491:BHC917556 BQW917491:BQY917556 CAS917491:CAU917556 CKO917491:CKQ917556 CUK917491:CUM917556 DEG917491:DEI917556 DOC917491:DOE917556 DXY917491:DYA917556 EHU917491:EHW917556 ERQ917491:ERS917556 FBM917491:FBO917556 FLI917491:FLK917556 FVE917491:FVG917556 GFA917491:GFC917556 GOW917491:GOY917556 GYS917491:GYU917556 HIO917491:HIQ917556 HSK917491:HSM917556 ICG917491:ICI917556 IMC917491:IME917556 IVY917491:IWA917556 JFU917491:JFW917556 JPQ917491:JPS917556 JZM917491:JZO917556 KJI917491:KJK917556 KTE917491:KTG917556 LDA917491:LDC917556 LMW917491:LMY917556 LWS917491:LWU917556 MGO917491:MGQ917556 MQK917491:MQM917556 NAG917491:NAI917556 NKC917491:NKE917556 NTY917491:NUA917556 ODU917491:ODW917556 ONQ917491:ONS917556 OXM917491:OXO917556 PHI917491:PHK917556 PRE917491:PRG917556 QBA917491:QBC917556 QKW917491:QKY917556 QUS917491:QUU917556 REO917491:REQ917556 ROK917491:ROM917556 RYG917491:RYI917556 SIC917491:SIE917556 SRY917491:SSA917556 TBU917491:TBW917556 TLQ917491:TLS917556 TVM917491:TVO917556 UFI917491:UFK917556 UPE917491:UPG917556 UZA917491:UZC917556 VIW917491:VIY917556 VSS917491:VSU917556 WCO917491:WCQ917556 WMK917491:WMM917556 WWG917491:WWI917556 Y983027:AA983092 JU983027:JW983092 TQ983027:TS983092 ADM983027:ADO983092 ANI983027:ANK983092 AXE983027:AXG983092 BHA983027:BHC983092 BQW983027:BQY983092 CAS983027:CAU983092 CKO983027:CKQ983092 CUK983027:CUM983092 DEG983027:DEI983092 DOC983027:DOE983092 DXY983027:DYA983092 EHU983027:EHW983092 ERQ983027:ERS983092 FBM983027:FBO983092 FLI983027:FLK983092 FVE983027:FVG983092 GFA983027:GFC983092 GOW983027:GOY983092 GYS983027:GYU983092 HIO983027:HIQ983092 HSK983027:HSM983092 ICG983027:ICI983092 IMC983027:IME983092 IVY983027:IWA983092 JFU983027:JFW983092 JPQ983027:JPS983092 JZM983027:JZO983092 KJI983027:KJK983092 KTE983027:KTG983092 LDA983027:LDC983092 LMW983027:LMY983092 LWS983027:LWU983092 MGO983027:MGQ983092 MQK983027:MQM983092 NAG983027:NAI983092 NKC983027:NKE983092 NTY983027:NUA983092 ODU983027:ODW983092 ONQ983027:ONS983092 OXM983027:OXO983092 PHI983027:PHK983092 PRE983027:PRG983092 QBA983027:QBC983092 QKW983027:QKY983092 QUS983027:QUU983092 REO983027:REQ983092 ROK983027:ROM983092 RYG983027:RYI983092 SIC983027:SIE983092 SRY983027:SSA983092 TBU983027:TBW983092 TLQ983027:TLS983092 TVM983027:TVO983092 UFI983027:UFK983092 UPE983027:UPG983092 UZA983027:UZC983092 VIW983027:VIY983092 VSS983027:VSU983092 WCO983027:WCQ983092 WMK983027:WMM983092 WWG2:WWI72 JU2:JW72 TQ2:TS72 ADM2:ADO72 ANI2:ANK72 AXE2:AXG72 BHA2:BHC72 BQW2:BQY72 CAS2:CAU72 CKO2:CKQ72 CUK2:CUM72 DEG2:DEI72 DOC2:DOE72 DXY2:DYA72 EHU2:EHW72 ERQ2:ERS72 FBM2:FBO72 FLI2:FLK72 FVE2:FVG72 GFA2:GFC72 GOW2:GOY72 GYS2:GYU72 HIO2:HIQ72 HSK2:HSM72 ICG2:ICI72 IMC2:IME72 IVY2:IWA72 JFU2:JFW72 JPQ2:JPS72 JZM2:JZO72 KJI2:KJK72 KTE2:KTG72 LDA2:LDC72 LMW2:LMY72 LWS2:LWU72 MGO2:MGQ72 MQK2:MQM72 NAG2:NAI72 NKC2:NKE72 NTY2:NUA72 ODU2:ODW72 ONQ2:ONS72 OXM2:OXO72 PHI2:PHK72 PRE2:PRG72 QBA2:QBC72 QKW2:QKY72 QUS2:QUU72 REO2:REQ72 ROK2:ROM72 RYG2:RYI72 SIC2:SIE72 SRY2:SSA72 TBU2:TBW72 TLQ2:TLS72 TVM2:TVO72 UFI2:UFK72 UPE2:UPG72 UZA2:UZC72 VIW2:VIY72 VSS2:VSU72 WCO2:WCQ72 WMK2:WMM72" xr:uid="{36753C19-8C01-44C9-BE7E-7FB4D1917D4C}">
      <formula1>$AV$2:$AV$20</formula1>
    </dataValidation>
    <dataValidation type="list" allowBlank="1" showInputMessage="1" showErrorMessage="1" sqref="H64348:H64413 JD64348:JD64413 SZ64348:SZ64413 ACV64348:ACV64413 AMR64348:AMR64413 AWN64348:AWN64413 BGJ64348:BGJ64413 BQF64348:BQF64413 CAB64348:CAB64413 CJX64348:CJX64413 CTT64348:CTT64413 DDP64348:DDP64413 DNL64348:DNL64413 DXH64348:DXH64413 EHD64348:EHD64413 EQZ64348:EQZ64413 FAV64348:FAV64413 FKR64348:FKR64413 FUN64348:FUN64413 GEJ64348:GEJ64413 GOF64348:GOF64413 GYB64348:GYB64413 HHX64348:HHX64413 HRT64348:HRT64413 IBP64348:IBP64413 ILL64348:ILL64413 IVH64348:IVH64413 JFD64348:JFD64413 JOZ64348:JOZ64413 JYV64348:JYV64413 KIR64348:KIR64413 KSN64348:KSN64413 LCJ64348:LCJ64413 LMF64348:LMF64413 LWB64348:LWB64413 MFX64348:MFX64413 MPT64348:MPT64413 MZP64348:MZP64413 NJL64348:NJL64413 NTH64348:NTH64413 ODD64348:ODD64413 OMZ64348:OMZ64413 OWV64348:OWV64413 PGR64348:PGR64413 PQN64348:PQN64413 QAJ64348:QAJ64413 QKF64348:QKF64413 QUB64348:QUB64413 RDX64348:RDX64413 RNT64348:RNT64413 RXP64348:RXP64413 SHL64348:SHL64413 SRH64348:SRH64413 TBD64348:TBD64413 TKZ64348:TKZ64413 TUV64348:TUV64413 UER64348:UER64413 UON64348:UON64413 UYJ64348:UYJ64413 VIF64348:VIF64413 VSB64348:VSB64413 WBX64348:WBX64413 WLT64348:WLT64413 WVP64348:WVP64413 H129884:H129949 JD129884:JD129949 SZ129884:SZ129949 ACV129884:ACV129949 AMR129884:AMR129949 AWN129884:AWN129949 BGJ129884:BGJ129949 BQF129884:BQF129949 CAB129884:CAB129949 CJX129884:CJX129949 CTT129884:CTT129949 DDP129884:DDP129949 DNL129884:DNL129949 DXH129884:DXH129949 EHD129884:EHD129949 EQZ129884:EQZ129949 FAV129884:FAV129949 FKR129884:FKR129949 FUN129884:FUN129949 GEJ129884:GEJ129949 GOF129884:GOF129949 GYB129884:GYB129949 HHX129884:HHX129949 HRT129884:HRT129949 IBP129884:IBP129949 ILL129884:ILL129949 IVH129884:IVH129949 JFD129884:JFD129949 JOZ129884:JOZ129949 JYV129884:JYV129949 KIR129884:KIR129949 KSN129884:KSN129949 LCJ129884:LCJ129949 LMF129884:LMF129949 LWB129884:LWB129949 MFX129884:MFX129949 MPT129884:MPT129949 MZP129884:MZP129949 NJL129884:NJL129949 NTH129884:NTH129949 ODD129884:ODD129949 OMZ129884:OMZ129949 OWV129884:OWV129949 PGR129884:PGR129949 PQN129884:PQN129949 QAJ129884:QAJ129949 QKF129884:QKF129949 QUB129884:QUB129949 RDX129884:RDX129949 RNT129884:RNT129949 RXP129884:RXP129949 SHL129884:SHL129949 SRH129884:SRH129949 TBD129884:TBD129949 TKZ129884:TKZ129949 TUV129884:TUV129949 UER129884:UER129949 UON129884:UON129949 UYJ129884:UYJ129949 VIF129884:VIF129949 VSB129884:VSB129949 WBX129884:WBX129949 WLT129884:WLT129949 WVP129884:WVP129949 H195420:H195485 JD195420:JD195485 SZ195420:SZ195485 ACV195420:ACV195485 AMR195420:AMR195485 AWN195420:AWN195485 BGJ195420:BGJ195485 BQF195420:BQF195485 CAB195420:CAB195485 CJX195420:CJX195485 CTT195420:CTT195485 DDP195420:DDP195485 DNL195420:DNL195485 DXH195420:DXH195485 EHD195420:EHD195485 EQZ195420:EQZ195485 FAV195420:FAV195485 FKR195420:FKR195485 FUN195420:FUN195485 GEJ195420:GEJ195485 GOF195420:GOF195485 GYB195420:GYB195485 HHX195420:HHX195485 HRT195420:HRT195485 IBP195420:IBP195485 ILL195420:ILL195485 IVH195420:IVH195485 JFD195420:JFD195485 JOZ195420:JOZ195485 JYV195420:JYV195485 KIR195420:KIR195485 KSN195420:KSN195485 LCJ195420:LCJ195485 LMF195420:LMF195485 LWB195420:LWB195485 MFX195420:MFX195485 MPT195420:MPT195485 MZP195420:MZP195485 NJL195420:NJL195485 NTH195420:NTH195485 ODD195420:ODD195485 OMZ195420:OMZ195485 OWV195420:OWV195485 PGR195420:PGR195485 PQN195420:PQN195485 QAJ195420:QAJ195485 QKF195420:QKF195485 QUB195420:QUB195485 RDX195420:RDX195485 RNT195420:RNT195485 RXP195420:RXP195485 SHL195420:SHL195485 SRH195420:SRH195485 TBD195420:TBD195485 TKZ195420:TKZ195485 TUV195420:TUV195485 UER195420:UER195485 UON195420:UON195485 UYJ195420:UYJ195485 VIF195420:VIF195485 VSB195420:VSB195485 WBX195420:WBX195485 WLT195420:WLT195485 WVP195420:WVP195485 H260956:H261021 JD260956:JD261021 SZ260956:SZ261021 ACV260956:ACV261021 AMR260956:AMR261021 AWN260956:AWN261021 BGJ260956:BGJ261021 BQF260956:BQF261021 CAB260956:CAB261021 CJX260956:CJX261021 CTT260956:CTT261021 DDP260956:DDP261021 DNL260956:DNL261021 DXH260956:DXH261021 EHD260956:EHD261021 EQZ260956:EQZ261021 FAV260956:FAV261021 FKR260956:FKR261021 FUN260956:FUN261021 GEJ260956:GEJ261021 GOF260956:GOF261021 GYB260956:GYB261021 HHX260956:HHX261021 HRT260956:HRT261021 IBP260956:IBP261021 ILL260956:ILL261021 IVH260956:IVH261021 JFD260956:JFD261021 JOZ260956:JOZ261021 JYV260956:JYV261021 KIR260956:KIR261021 KSN260956:KSN261021 LCJ260956:LCJ261021 LMF260956:LMF261021 LWB260956:LWB261021 MFX260956:MFX261021 MPT260956:MPT261021 MZP260956:MZP261021 NJL260956:NJL261021 NTH260956:NTH261021 ODD260956:ODD261021 OMZ260956:OMZ261021 OWV260956:OWV261021 PGR260956:PGR261021 PQN260956:PQN261021 QAJ260956:QAJ261021 QKF260956:QKF261021 QUB260956:QUB261021 RDX260956:RDX261021 RNT260956:RNT261021 RXP260956:RXP261021 SHL260956:SHL261021 SRH260956:SRH261021 TBD260956:TBD261021 TKZ260956:TKZ261021 TUV260956:TUV261021 UER260956:UER261021 UON260956:UON261021 UYJ260956:UYJ261021 VIF260956:VIF261021 VSB260956:VSB261021 WBX260956:WBX261021 WLT260956:WLT261021 WVP260956:WVP261021 H326492:H326557 JD326492:JD326557 SZ326492:SZ326557 ACV326492:ACV326557 AMR326492:AMR326557 AWN326492:AWN326557 BGJ326492:BGJ326557 BQF326492:BQF326557 CAB326492:CAB326557 CJX326492:CJX326557 CTT326492:CTT326557 DDP326492:DDP326557 DNL326492:DNL326557 DXH326492:DXH326557 EHD326492:EHD326557 EQZ326492:EQZ326557 FAV326492:FAV326557 FKR326492:FKR326557 FUN326492:FUN326557 GEJ326492:GEJ326557 GOF326492:GOF326557 GYB326492:GYB326557 HHX326492:HHX326557 HRT326492:HRT326557 IBP326492:IBP326557 ILL326492:ILL326557 IVH326492:IVH326557 JFD326492:JFD326557 JOZ326492:JOZ326557 JYV326492:JYV326557 KIR326492:KIR326557 KSN326492:KSN326557 LCJ326492:LCJ326557 LMF326492:LMF326557 LWB326492:LWB326557 MFX326492:MFX326557 MPT326492:MPT326557 MZP326492:MZP326557 NJL326492:NJL326557 NTH326492:NTH326557 ODD326492:ODD326557 OMZ326492:OMZ326557 OWV326492:OWV326557 PGR326492:PGR326557 PQN326492:PQN326557 QAJ326492:QAJ326557 QKF326492:QKF326557 QUB326492:QUB326557 RDX326492:RDX326557 RNT326492:RNT326557 RXP326492:RXP326557 SHL326492:SHL326557 SRH326492:SRH326557 TBD326492:TBD326557 TKZ326492:TKZ326557 TUV326492:TUV326557 UER326492:UER326557 UON326492:UON326557 UYJ326492:UYJ326557 VIF326492:VIF326557 VSB326492:VSB326557 WBX326492:WBX326557 WLT326492:WLT326557 WVP326492:WVP326557 H392028:H392093 JD392028:JD392093 SZ392028:SZ392093 ACV392028:ACV392093 AMR392028:AMR392093 AWN392028:AWN392093 BGJ392028:BGJ392093 BQF392028:BQF392093 CAB392028:CAB392093 CJX392028:CJX392093 CTT392028:CTT392093 DDP392028:DDP392093 DNL392028:DNL392093 DXH392028:DXH392093 EHD392028:EHD392093 EQZ392028:EQZ392093 FAV392028:FAV392093 FKR392028:FKR392093 FUN392028:FUN392093 GEJ392028:GEJ392093 GOF392028:GOF392093 GYB392028:GYB392093 HHX392028:HHX392093 HRT392028:HRT392093 IBP392028:IBP392093 ILL392028:ILL392093 IVH392028:IVH392093 JFD392028:JFD392093 JOZ392028:JOZ392093 JYV392028:JYV392093 KIR392028:KIR392093 KSN392028:KSN392093 LCJ392028:LCJ392093 LMF392028:LMF392093 LWB392028:LWB392093 MFX392028:MFX392093 MPT392028:MPT392093 MZP392028:MZP392093 NJL392028:NJL392093 NTH392028:NTH392093 ODD392028:ODD392093 OMZ392028:OMZ392093 OWV392028:OWV392093 PGR392028:PGR392093 PQN392028:PQN392093 QAJ392028:QAJ392093 QKF392028:QKF392093 QUB392028:QUB392093 RDX392028:RDX392093 RNT392028:RNT392093 RXP392028:RXP392093 SHL392028:SHL392093 SRH392028:SRH392093 TBD392028:TBD392093 TKZ392028:TKZ392093 TUV392028:TUV392093 UER392028:UER392093 UON392028:UON392093 UYJ392028:UYJ392093 VIF392028:VIF392093 VSB392028:VSB392093 WBX392028:WBX392093 WLT392028:WLT392093 WVP392028:WVP392093 H457564:H457629 JD457564:JD457629 SZ457564:SZ457629 ACV457564:ACV457629 AMR457564:AMR457629 AWN457564:AWN457629 BGJ457564:BGJ457629 BQF457564:BQF457629 CAB457564:CAB457629 CJX457564:CJX457629 CTT457564:CTT457629 DDP457564:DDP457629 DNL457564:DNL457629 DXH457564:DXH457629 EHD457564:EHD457629 EQZ457564:EQZ457629 FAV457564:FAV457629 FKR457564:FKR457629 FUN457564:FUN457629 GEJ457564:GEJ457629 GOF457564:GOF457629 GYB457564:GYB457629 HHX457564:HHX457629 HRT457564:HRT457629 IBP457564:IBP457629 ILL457564:ILL457629 IVH457564:IVH457629 JFD457564:JFD457629 JOZ457564:JOZ457629 JYV457564:JYV457629 KIR457564:KIR457629 KSN457564:KSN457629 LCJ457564:LCJ457629 LMF457564:LMF457629 LWB457564:LWB457629 MFX457564:MFX457629 MPT457564:MPT457629 MZP457564:MZP457629 NJL457564:NJL457629 NTH457564:NTH457629 ODD457564:ODD457629 OMZ457564:OMZ457629 OWV457564:OWV457629 PGR457564:PGR457629 PQN457564:PQN457629 QAJ457564:QAJ457629 QKF457564:QKF457629 QUB457564:QUB457629 RDX457564:RDX457629 RNT457564:RNT457629 RXP457564:RXP457629 SHL457564:SHL457629 SRH457564:SRH457629 TBD457564:TBD457629 TKZ457564:TKZ457629 TUV457564:TUV457629 UER457564:UER457629 UON457564:UON457629 UYJ457564:UYJ457629 VIF457564:VIF457629 VSB457564:VSB457629 WBX457564:WBX457629 WLT457564:WLT457629 WVP457564:WVP457629 H523100:H523165 JD523100:JD523165 SZ523100:SZ523165 ACV523100:ACV523165 AMR523100:AMR523165 AWN523100:AWN523165 BGJ523100:BGJ523165 BQF523100:BQF523165 CAB523100:CAB523165 CJX523100:CJX523165 CTT523100:CTT523165 DDP523100:DDP523165 DNL523100:DNL523165 DXH523100:DXH523165 EHD523100:EHD523165 EQZ523100:EQZ523165 FAV523100:FAV523165 FKR523100:FKR523165 FUN523100:FUN523165 GEJ523100:GEJ523165 GOF523100:GOF523165 GYB523100:GYB523165 HHX523100:HHX523165 HRT523100:HRT523165 IBP523100:IBP523165 ILL523100:ILL523165 IVH523100:IVH523165 JFD523100:JFD523165 JOZ523100:JOZ523165 JYV523100:JYV523165 KIR523100:KIR523165 KSN523100:KSN523165 LCJ523100:LCJ523165 LMF523100:LMF523165 LWB523100:LWB523165 MFX523100:MFX523165 MPT523100:MPT523165 MZP523100:MZP523165 NJL523100:NJL523165 NTH523100:NTH523165 ODD523100:ODD523165 OMZ523100:OMZ523165 OWV523100:OWV523165 PGR523100:PGR523165 PQN523100:PQN523165 QAJ523100:QAJ523165 QKF523100:QKF523165 QUB523100:QUB523165 RDX523100:RDX523165 RNT523100:RNT523165 RXP523100:RXP523165 SHL523100:SHL523165 SRH523100:SRH523165 TBD523100:TBD523165 TKZ523100:TKZ523165 TUV523100:TUV523165 UER523100:UER523165 UON523100:UON523165 UYJ523100:UYJ523165 VIF523100:VIF523165 VSB523100:VSB523165 WBX523100:WBX523165 WLT523100:WLT523165 WVP523100:WVP523165 H588636:H588701 JD588636:JD588701 SZ588636:SZ588701 ACV588636:ACV588701 AMR588636:AMR588701 AWN588636:AWN588701 BGJ588636:BGJ588701 BQF588636:BQF588701 CAB588636:CAB588701 CJX588636:CJX588701 CTT588636:CTT588701 DDP588636:DDP588701 DNL588636:DNL588701 DXH588636:DXH588701 EHD588636:EHD588701 EQZ588636:EQZ588701 FAV588636:FAV588701 FKR588636:FKR588701 FUN588636:FUN588701 GEJ588636:GEJ588701 GOF588636:GOF588701 GYB588636:GYB588701 HHX588636:HHX588701 HRT588636:HRT588701 IBP588636:IBP588701 ILL588636:ILL588701 IVH588636:IVH588701 JFD588636:JFD588701 JOZ588636:JOZ588701 JYV588636:JYV588701 KIR588636:KIR588701 KSN588636:KSN588701 LCJ588636:LCJ588701 LMF588636:LMF588701 LWB588636:LWB588701 MFX588636:MFX588701 MPT588636:MPT588701 MZP588636:MZP588701 NJL588636:NJL588701 NTH588636:NTH588701 ODD588636:ODD588701 OMZ588636:OMZ588701 OWV588636:OWV588701 PGR588636:PGR588701 PQN588636:PQN588701 QAJ588636:QAJ588701 QKF588636:QKF588701 QUB588636:QUB588701 RDX588636:RDX588701 RNT588636:RNT588701 RXP588636:RXP588701 SHL588636:SHL588701 SRH588636:SRH588701 TBD588636:TBD588701 TKZ588636:TKZ588701 TUV588636:TUV588701 UER588636:UER588701 UON588636:UON588701 UYJ588636:UYJ588701 VIF588636:VIF588701 VSB588636:VSB588701 WBX588636:WBX588701 WLT588636:WLT588701 WVP588636:WVP588701 H654172:H654237 JD654172:JD654237 SZ654172:SZ654237 ACV654172:ACV654237 AMR654172:AMR654237 AWN654172:AWN654237 BGJ654172:BGJ654237 BQF654172:BQF654237 CAB654172:CAB654237 CJX654172:CJX654237 CTT654172:CTT654237 DDP654172:DDP654237 DNL654172:DNL654237 DXH654172:DXH654237 EHD654172:EHD654237 EQZ654172:EQZ654237 FAV654172:FAV654237 FKR654172:FKR654237 FUN654172:FUN654237 GEJ654172:GEJ654237 GOF654172:GOF654237 GYB654172:GYB654237 HHX654172:HHX654237 HRT654172:HRT654237 IBP654172:IBP654237 ILL654172:ILL654237 IVH654172:IVH654237 JFD654172:JFD654237 JOZ654172:JOZ654237 JYV654172:JYV654237 KIR654172:KIR654237 KSN654172:KSN654237 LCJ654172:LCJ654237 LMF654172:LMF654237 LWB654172:LWB654237 MFX654172:MFX654237 MPT654172:MPT654237 MZP654172:MZP654237 NJL654172:NJL654237 NTH654172:NTH654237 ODD654172:ODD654237 OMZ654172:OMZ654237 OWV654172:OWV654237 PGR654172:PGR654237 PQN654172:PQN654237 QAJ654172:QAJ654237 QKF654172:QKF654237 QUB654172:QUB654237 RDX654172:RDX654237 RNT654172:RNT654237 RXP654172:RXP654237 SHL654172:SHL654237 SRH654172:SRH654237 TBD654172:TBD654237 TKZ654172:TKZ654237 TUV654172:TUV654237 UER654172:UER654237 UON654172:UON654237 UYJ654172:UYJ654237 VIF654172:VIF654237 VSB654172:VSB654237 WBX654172:WBX654237 WLT654172:WLT654237 WVP654172:WVP654237 H719708:H719773 JD719708:JD719773 SZ719708:SZ719773 ACV719708:ACV719773 AMR719708:AMR719773 AWN719708:AWN719773 BGJ719708:BGJ719773 BQF719708:BQF719773 CAB719708:CAB719773 CJX719708:CJX719773 CTT719708:CTT719773 DDP719708:DDP719773 DNL719708:DNL719773 DXH719708:DXH719773 EHD719708:EHD719773 EQZ719708:EQZ719773 FAV719708:FAV719773 FKR719708:FKR719773 FUN719708:FUN719773 GEJ719708:GEJ719773 GOF719708:GOF719773 GYB719708:GYB719773 HHX719708:HHX719773 HRT719708:HRT719773 IBP719708:IBP719773 ILL719708:ILL719773 IVH719708:IVH719773 JFD719708:JFD719773 JOZ719708:JOZ719773 JYV719708:JYV719773 KIR719708:KIR719773 KSN719708:KSN719773 LCJ719708:LCJ719773 LMF719708:LMF719773 LWB719708:LWB719773 MFX719708:MFX719773 MPT719708:MPT719773 MZP719708:MZP719773 NJL719708:NJL719773 NTH719708:NTH719773 ODD719708:ODD719773 OMZ719708:OMZ719773 OWV719708:OWV719773 PGR719708:PGR719773 PQN719708:PQN719773 QAJ719708:QAJ719773 QKF719708:QKF719773 QUB719708:QUB719773 RDX719708:RDX719773 RNT719708:RNT719773 RXP719708:RXP719773 SHL719708:SHL719773 SRH719708:SRH719773 TBD719708:TBD719773 TKZ719708:TKZ719773 TUV719708:TUV719773 UER719708:UER719773 UON719708:UON719773 UYJ719708:UYJ719773 VIF719708:VIF719773 VSB719708:VSB719773 WBX719708:WBX719773 WLT719708:WLT719773 WVP719708:WVP719773 H785244:H785309 JD785244:JD785309 SZ785244:SZ785309 ACV785244:ACV785309 AMR785244:AMR785309 AWN785244:AWN785309 BGJ785244:BGJ785309 BQF785244:BQF785309 CAB785244:CAB785309 CJX785244:CJX785309 CTT785244:CTT785309 DDP785244:DDP785309 DNL785244:DNL785309 DXH785244:DXH785309 EHD785244:EHD785309 EQZ785244:EQZ785309 FAV785244:FAV785309 FKR785244:FKR785309 FUN785244:FUN785309 GEJ785244:GEJ785309 GOF785244:GOF785309 GYB785244:GYB785309 HHX785244:HHX785309 HRT785244:HRT785309 IBP785244:IBP785309 ILL785244:ILL785309 IVH785244:IVH785309 JFD785244:JFD785309 JOZ785244:JOZ785309 JYV785244:JYV785309 KIR785244:KIR785309 KSN785244:KSN785309 LCJ785244:LCJ785309 LMF785244:LMF785309 LWB785244:LWB785309 MFX785244:MFX785309 MPT785244:MPT785309 MZP785244:MZP785309 NJL785244:NJL785309 NTH785244:NTH785309 ODD785244:ODD785309 OMZ785244:OMZ785309 OWV785244:OWV785309 PGR785244:PGR785309 PQN785244:PQN785309 QAJ785244:QAJ785309 QKF785244:QKF785309 QUB785244:QUB785309 RDX785244:RDX785309 RNT785244:RNT785309 RXP785244:RXP785309 SHL785244:SHL785309 SRH785244:SRH785309 TBD785244:TBD785309 TKZ785244:TKZ785309 TUV785244:TUV785309 UER785244:UER785309 UON785244:UON785309 UYJ785244:UYJ785309 VIF785244:VIF785309 VSB785244:VSB785309 WBX785244:WBX785309 WLT785244:WLT785309 WVP785244:WVP785309 H850780:H850845 JD850780:JD850845 SZ850780:SZ850845 ACV850780:ACV850845 AMR850780:AMR850845 AWN850780:AWN850845 BGJ850780:BGJ850845 BQF850780:BQF850845 CAB850780:CAB850845 CJX850780:CJX850845 CTT850780:CTT850845 DDP850780:DDP850845 DNL850780:DNL850845 DXH850780:DXH850845 EHD850780:EHD850845 EQZ850780:EQZ850845 FAV850780:FAV850845 FKR850780:FKR850845 FUN850780:FUN850845 GEJ850780:GEJ850845 GOF850780:GOF850845 GYB850780:GYB850845 HHX850780:HHX850845 HRT850780:HRT850845 IBP850780:IBP850845 ILL850780:ILL850845 IVH850780:IVH850845 JFD850780:JFD850845 JOZ850780:JOZ850845 JYV850780:JYV850845 KIR850780:KIR850845 KSN850780:KSN850845 LCJ850780:LCJ850845 LMF850780:LMF850845 LWB850780:LWB850845 MFX850780:MFX850845 MPT850780:MPT850845 MZP850780:MZP850845 NJL850780:NJL850845 NTH850780:NTH850845 ODD850780:ODD850845 OMZ850780:OMZ850845 OWV850780:OWV850845 PGR850780:PGR850845 PQN850780:PQN850845 QAJ850780:QAJ850845 QKF850780:QKF850845 QUB850780:QUB850845 RDX850780:RDX850845 RNT850780:RNT850845 RXP850780:RXP850845 SHL850780:SHL850845 SRH850780:SRH850845 TBD850780:TBD850845 TKZ850780:TKZ850845 TUV850780:TUV850845 UER850780:UER850845 UON850780:UON850845 UYJ850780:UYJ850845 VIF850780:VIF850845 VSB850780:VSB850845 WBX850780:WBX850845 WLT850780:WLT850845 WVP850780:WVP850845 H916316:H916381 JD916316:JD916381 SZ916316:SZ916381 ACV916316:ACV916381 AMR916316:AMR916381 AWN916316:AWN916381 BGJ916316:BGJ916381 BQF916316:BQF916381 CAB916316:CAB916381 CJX916316:CJX916381 CTT916316:CTT916381 DDP916316:DDP916381 DNL916316:DNL916381 DXH916316:DXH916381 EHD916316:EHD916381 EQZ916316:EQZ916381 FAV916316:FAV916381 FKR916316:FKR916381 FUN916316:FUN916381 GEJ916316:GEJ916381 GOF916316:GOF916381 GYB916316:GYB916381 HHX916316:HHX916381 HRT916316:HRT916381 IBP916316:IBP916381 ILL916316:ILL916381 IVH916316:IVH916381 JFD916316:JFD916381 JOZ916316:JOZ916381 JYV916316:JYV916381 KIR916316:KIR916381 KSN916316:KSN916381 LCJ916316:LCJ916381 LMF916316:LMF916381 LWB916316:LWB916381 MFX916316:MFX916381 MPT916316:MPT916381 MZP916316:MZP916381 NJL916316:NJL916381 NTH916316:NTH916381 ODD916316:ODD916381 OMZ916316:OMZ916381 OWV916316:OWV916381 PGR916316:PGR916381 PQN916316:PQN916381 QAJ916316:QAJ916381 QKF916316:QKF916381 QUB916316:QUB916381 RDX916316:RDX916381 RNT916316:RNT916381 RXP916316:RXP916381 SHL916316:SHL916381 SRH916316:SRH916381 TBD916316:TBD916381 TKZ916316:TKZ916381 TUV916316:TUV916381 UER916316:UER916381 UON916316:UON916381 UYJ916316:UYJ916381 VIF916316:VIF916381 VSB916316:VSB916381 WBX916316:WBX916381 WLT916316:WLT916381 WVP916316:WVP916381 H981852:H981917 JD981852:JD981917 SZ981852:SZ981917 ACV981852:ACV981917 AMR981852:AMR981917 AWN981852:AWN981917 BGJ981852:BGJ981917 BQF981852:BQF981917 CAB981852:CAB981917 CJX981852:CJX981917 CTT981852:CTT981917 DDP981852:DDP981917 DNL981852:DNL981917 DXH981852:DXH981917 EHD981852:EHD981917 EQZ981852:EQZ981917 FAV981852:FAV981917 FKR981852:FKR981917 FUN981852:FUN981917 GEJ981852:GEJ981917 GOF981852:GOF981917 GYB981852:GYB981917 HHX981852:HHX981917 HRT981852:HRT981917 IBP981852:IBP981917 ILL981852:ILL981917 IVH981852:IVH981917 JFD981852:JFD981917 JOZ981852:JOZ981917 JYV981852:JYV981917 KIR981852:KIR981917 KSN981852:KSN981917 LCJ981852:LCJ981917 LMF981852:LMF981917 LWB981852:LWB981917 MFX981852:MFX981917 MPT981852:MPT981917 MZP981852:MZP981917 NJL981852:NJL981917 NTH981852:NTH981917 ODD981852:ODD981917 OMZ981852:OMZ981917 OWV981852:OWV981917 PGR981852:PGR981917 PQN981852:PQN981917 QAJ981852:QAJ981917 QKF981852:QKF981917 QUB981852:QUB981917 RDX981852:RDX981917 RNT981852:RNT981917 RXP981852:RXP981917 SHL981852:SHL981917 SRH981852:SRH981917 TBD981852:TBD981917 TKZ981852:TKZ981917 TUV981852:TUV981917 UER981852:UER981917 UON981852:UON981917 UYJ981852:UYJ981917 VIF981852:VIF981917 VSB981852:VSB981917 WBX981852:WBX981917 WLT981852:WLT981917 WVP981852:WVP981917 H1047388:H1047453 JD1047388:JD1047453 SZ1047388:SZ1047453 ACV1047388:ACV1047453 AMR1047388:AMR1047453 AWN1047388:AWN1047453 BGJ1047388:BGJ1047453 BQF1047388:BQF1047453 CAB1047388:CAB1047453 CJX1047388:CJX1047453 CTT1047388:CTT1047453 DDP1047388:DDP1047453 DNL1047388:DNL1047453 DXH1047388:DXH1047453 EHD1047388:EHD1047453 EQZ1047388:EQZ1047453 FAV1047388:FAV1047453 FKR1047388:FKR1047453 FUN1047388:FUN1047453 GEJ1047388:GEJ1047453 GOF1047388:GOF1047453 GYB1047388:GYB1047453 HHX1047388:HHX1047453 HRT1047388:HRT1047453 IBP1047388:IBP1047453 ILL1047388:ILL1047453 IVH1047388:IVH1047453 JFD1047388:JFD1047453 JOZ1047388:JOZ1047453 JYV1047388:JYV1047453 KIR1047388:KIR1047453 KSN1047388:KSN1047453 LCJ1047388:LCJ1047453 LMF1047388:LMF1047453 LWB1047388:LWB1047453 MFX1047388:MFX1047453 MPT1047388:MPT1047453 MZP1047388:MZP1047453 NJL1047388:NJL1047453 NTH1047388:NTH1047453 ODD1047388:ODD1047453 OMZ1047388:OMZ1047453 OWV1047388:OWV1047453 PGR1047388:PGR1047453 PQN1047388:PQN1047453 QAJ1047388:QAJ1047453 QKF1047388:QKF1047453 QUB1047388:QUB1047453 RDX1047388:RDX1047453 RNT1047388:RNT1047453 RXP1047388:RXP1047453 SHL1047388:SHL1047453 SRH1047388:SRH1047453 TBD1047388:TBD1047453 TKZ1047388:TKZ1047453 TUV1047388:TUV1047453 UER1047388:UER1047453 UON1047388:UON1047453 UYJ1047388:UYJ1047453 VIF1047388:VIF1047453 VSB1047388:VSB1047453 WBX1047388:WBX1047453 WLT1047388:WLT1047453 WVP1047388:WVP1047453" xr:uid="{3FD553D1-BB21-4E36-9B37-34EBC42BD4DA}">
      <formula1>$AL$5:$AL$12</formula1>
    </dataValidation>
    <dataValidation type="list" allowBlank="1" showInputMessage="1" showErrorMessage="1" sqref="E64348:F64413 WVM983027:WVN983098 WLQ983027:WLR983098 WBU983027:WBV983098 VRY983027:VRZ983098 VIC983027:VID983098 UYG983027:UYH983098 UOK983027:UOL983098 UEO983027:UEP983098 TUS983027:TUT983098 TKW983027:TKX983098 TBA983027:TBB983098 SRE983027:SRF983098 SHI983027:SHJ983098 RXM983027:RXN983098 RNQ983027:RNR983098 RDU983027:RDV983098 QTY983027:QTZ983098 QKC983027:QKD983098 QAG983027:QAH983098 PQK983027:PQL983098 PGO983027:PGP983098 OWS983027:OWT983098 OMW983027:OMX983098 ODA983027:ODB983098 NTE983027:NTF983098 NJI983027:NJJ983098 MZM983027:MZN983098 MPQ983027:MPR983098 MFU983027:MFV983098 LVY983027:LVZ983098 LMC983027:LMD983098 LCG983027:LCH983098 KSK983027:KSL983098 KIO983027:KIP983098 JYS983027:JYT983098 JOW983027:JOX983098 JFA983027:JFB983098 IVE983027:IVF983098 ILI983027:ILJ983098 IBM983027:IBN983098 HRQ983027:HRR983098 HHU983027:HHV983098 GXY983027:GXZ983098 GOC983027:GOD983098 GEG983027:GEH983098 FUK983027:FUL983098 FKO983027:FKP983098 FAS983027:FAT983098 EQW983027:EQX983098 EHA983027:EHB983098 DXE983027:DXF983098 DNI983027:DNJ983098 DDM983027:DDN983098 CTQ983027:CTR983098 CJU983027:CJV983098 BZY983027:BZZ983098 BQC983027:BQD983098 BGG983027:BGH983098 AWK983027:AWL983098 AMO983027:AMP983098 ACS983027:ACT983098 SW983027:SX983098 JA983027:JB983098 E983027:F983098 WVM917491:WVN917562 WLQ917491:WLR917562 WBU917491:WBV917562 VRY917491:VRZ917562 VIC917491:VID917562 UYG917491:UYH917562 UOK917491:UOL917562 UEO917491:UEP917562 TUS917491:TUT917562 TKW917491:TKX917562 TBA917491:TBB917562 SRE917491:SRF917562 SHI917491:SHJ917562 RXM917491:RXN917562 RNQ917491:RNR917562 RDU917491:RDV917562 QTY917491:QTZ917562 QKC917491:QKD917562 QAG917491:QAH917562 PQK917491:PQL917562 PGO917491:PGP917562 OWS917491:OWT917562 OMW917491:OMX917562 ODA917491:ODB917562 NTE917491:NTF917562 NJI917491:NJJ917562 MZM917491:MZN917562 MPQ917491:MPR917562 MFU917491:MFV917562 LVY917491:LVZ917562 LMC917491:LMD917562 LCG917491:LCH917562 KSK917491:KSL917562 KIO917491:KIP917562 JYS917491:JYT917562 JOW917491:JOX917562 JFA917491:JFB917562 IVE917491:IVF917562 ILI917491:ILJ917562 IBM917491:IBN917562 HRQ917491:HRR917562 HHU917491:HHV917562 GXY917491:GXZ917562 GOC917491:GOD917562 GEG917491:GEH917562 FUK917491:FUL917562 FKO917491:FKP917562 FAS917491:FAT917562 EQW917491:EQX917562 EHA917491:EHB917562 DXE917491:DXF917562 DNI917491:DNJ917562 DDM917491:DDN917562 CTQ917491:CTR917562 CJU917491:CJV917562 BZY917491:BZZ917562 BQC917491:BQD917562 BGG917491:BGH917562 AWK917491:AWL917562 AMO917491:AMP917562 ACS917491:ACT917562 SW917491:SX917562 JA917491:JB917562 E917491:F917562 WVM851955:WVN852026 WLQ851955:WLR852026 WBU851955:WBV852026 VRY851955:VRZ852026 VIC851955:VID852026 UYG851955:UYH852026 UOK851955:UOL852026 UEO851955:UEP852026 TUS851955:TUT852026 TKW851955:TKX852026 TBA851955:TBB852026 SRE851955:SRF852026 SHI851955:SHJ852026 RXM851955:RXN852026 RNQ851955:RNR852026 RDU851955:RDV852026 QTY851955:QTZ852026 QKC851955:QKD852026 QAG851955:QAH852026 PQK851955:PQL852026 PGO851955:PGP852026 OWS851955:OWT852026 OMW851955:OMX852026 ODA851955:ODB852026 NTE851955:NTF852026 NJI851955:NJJ852026 MZM851955:MZN852026 MPQ851955:MPR852026 MFU851955:MFV852026 LVY851955:LVZ852026 LMC851955:LMD852026 LCG851955:LCH852026 KSK851955:KSL852026 KIO851955:KIP852026 JYS851955:JYT852026 JOW851955:JOX852026 JFA851955:JFB852026 IVE851955:IVF852026 ILI851955:ILJ852026 IBM851955:IBN852026 HRQ851955:HRR852026 HHU851955:HHV852026 GXY851955:GXZ852026 GOC851955:GOD852026 GEG851955:GEH852026 FUK851955:FUL852026 FKO851955:FKP852026 FAS851955:FAT852026 EQW851955:EQX852026 EHA851955:EHB852026 DXE851955:DXF852026 DNI851955:DNJ852026 DDM851955:DDN852026 CTQ851955:CTR852026 CJU851955:CJV852026 BZY851955:BZZ852026 BQC851955:BQD852026 BGG851955:BGH852026 AWK851955:AWL852026 AMO851955:AMP852026 ACS851955:ACT852026 SW851955:SX852026 JA851955:JB852026 E851955:F852026 WVM786419:WVN786490 WLQ786419:WLR786490 WBU786419:WBV786490 VRY786419:VRZ786490 VIC786419:VID786490 UYG786419:UYH786490 UOK786419:UOL786490 UEO786419:UEP786490 TUS786419:TUT786490 TKW786419:TKX786490 TBA786419:TBB786490 SRE786419:SRF786490 SHI786419:SHJ786490 RXM786419:RXN786490 RNQ786419:RNR786490 RDU786419:RDV786490 QTY786419:QTZ786490 QKC786419:QKD786490 QAG786419:QAH786490 PQK786419:PQL786490 PGO786419:PGP786490 OWS786419:OWT786490 OMW786419:OMX786490 ODA786419:ODB786490 NTE786419:NTF786490 NJI786419:NJJ786490 MZM786419:MZN786490 MPQ786419:MPR786490 MFU786419:MFV786490 LVY786419:LVZ786490 LMC786419:LMD786490 LCG786419:LCH786490 KSK786419:KSL786490 KIO786419:KIP786490 JYS786419:JYT786490 JOW786419:JOX786490 JFA786419:JFB786490 IVE786419:IVF786490 ILI786419:ILJ786490 IBM786419:IBN786490 HRQ786419:HRR786490 HHU786419:HHV786490 GXY786419:GXZ786490 GOC786419:GOD786490 GEG786419:GEH786490 FUK786419:FUL786490 FKO786419:FKP786490 FAS786419:FAT786490 EQW786419:EQX786490 EHA786419:EHB786490 DXE786419:DXF786490 DNI786419:DNJ786490 DDM786419:DDN786490 CTQ786419:CTR786490 CJU786419:CJV786490 BZY786419:BZZ786490 BQC786419:BQD786490 BGG786419:BGH786490 AWK786419:AWL786490 AMO786419:AMP786490 ACS786419:ACT786490 SW786419:SX786490 JA786419:JB786490 E786419:F786490 WVM720883:WVN720954 WLQ720883:WLR720954 WBU720883:WBV720954 VRY720883:VRZ720954 VIC720883:VID720954 UYG720883:UYH720954 UOK720883:UOL720954 UEO720883:UEP720954 TUS720883:TUT720954 TKW720883:TKX720954 TBA720883:TBB720954 SRE720883:SRF720954 SHI720883:SHJ720954 RXM720883:RXN720954 RNQ720883:RNR720954 RDU720883:RDV720954 QTY720883:QTZ720954 QKC720883:QKD720954 QAG720883:QAH720954 PQK720883:PQL720954 PGO720883:PGP720954 OWS720883:OWT720954 OMW720883:OMX720954 ODA720883:ODB720954 NTE720883:NTF720954 NJI720883:NJJ720954 MZM720883:MZN720954 MPQ720883:MPR720954 MFU720883:MFV720954 LVY720883:LVZ720954 LMC720883:LMD720954 LCG720883:LCH720954 KSK720883:KSL720954 KIO720883:KIP720954 JYS720883:JYT720954 JOW720883:JOX720954 JFA720883:JFB720954 IVE720883:IVF720954 ILI720883:ILJ720954 IBM720883:IBN720954 HRQ720883:HRR720954 HHU720883:HHV720954 GXY720883:GXZ720954 GOC720883:GOD720954 GEG720883:GEH720954 FUK720883:FUL720954 FKO720883:FKP720954 FAS720883:FAT720954 EQW720883:EQX720954 EHA720883:EHB720954 DXE720883:DXF720954 DNI720883:DNJ720954 DDM720883:DDN720954 CTQ720883:CTR720954 CJU720883:CJV720954 BZY720883:BZZ720954 BQC720883:BQD720954 BGG720883:BGH720954 AWK720883:AWL720954 AMO720883:AMP720954 ACS720883:ACT720954 SW720883:SX720954 JA720883:JB720954 E720883:F720954 WVM655347:WVN655418 WLQ655347:WLR655418 WBU655347:WBV655418 VRY655347:VRZ655418 VIC655347:VID655418 UYG655347:UYH655418 UOK655347:UOL655418 UEO655347:UEP655418 TUS655347:TUT655418 TKW655347:TKX655418 TBA655347:TBB655418 SRE655347:SRF655418 SHI655347:SHJ655418 RXM655347:RXN655418 RNQ655347:RNR655418 RDU655347:RDV655418 QTY655347:QTZ655418 QKC655347:QKD655418 QAG655347:QAH655418 PQK655347:PQL655418 PGO655347:PGP655418 OWS655347:OWT655418 OMW655347:OMX655418 ODA655347:ODB655418 NTE655347:NTF655418 NJI655347:NJJ655418 MZM655347:MZN655418 MPQ655347:MPR655418 MFU655347:MFV655418 LVY655347:LVZ655418 LMC655347:LMD655418 LCG655347:LCH655418 KSK655347:KSL655418 KIO655347:KIP655418 JYS655347:JYT655418 JOW655347:JOX655418 JFA655347:JFB655418 IVE655347:IVF655418 ILI655347:ILJ655418 IBM655347:IBN655418 HRQ655347:HRR655418 HHU655347:HHV655418 GXY655347:GXZ655418 GOC655347:GOD655418 GEG655347:GEH655418 FUK655347:FUL655418 FKO655347:FKP655418 FAS655347:FAT655418 EQW655347:EQX655418 EHA655347:EHB655418 DXE655347:DXF655418 DNI655347:DNJ655418 DDM655347:DDN655418 CTQ655347:CTR655418 CJU655347:CJV655418 BZY655347:BZZ655418 BQC655347:BQD655418 BGG655347:BGH655418 AWK655347:AWL655418 AMO655347:AMP655418 ACS655347:ACT655418 SW655347:SX655418 JA655347:JB655418 E655347:F655418 WVM589811:WVN589882 WLQ589811:WLR589882 WBU589811:WBV589882 VRY589811:VRZ589882 VIC589811:VID589882 UYG589811:UYH589882 UOK589811:UOL589882 UEO589811:UEP589882 TUS589811:TUT589882 TKW589811:TKX589882 TBA589811:TBB589882 SRE589811:SRF589882 SHI589811:SHJ589882 RXM589811:RXN589882 RNQ589811:RNR589882 RDU589811:RDV589882 QTY589811:QTZ589882 QKC589811:QKD589882 QAG589811:QAH589882 PQK589811:PQL589882 PGO589811:PGP589882 OWS589811:OWT589882 OMW589811:OMX589882 ODA589811:ODB589882 NTE589811:NTF589882 NJI589811:NJJ589882 MZM589811:MZN589882 MPQ589811:MPR589882 MFU589811:MFV589882 LVY589811:LVZ589882 LMC589811:LMD589882 LCG589811:LCH589882 KSK589811:KSL589882 KIO589811:KIP589882 JYS589811:JYT589882 JOW589811:JOX589882 JFA589811:JFB589882 IVE589811:IVF589882 ILI589811:ILJ589882 IBM589811:IBN589882 HRQ589811:HRR589882 HHU589811:HHV589882 GXY589811:GXZ589882 GOC589811:GOD589882 GEG589811:GEH589882 FUK589811:FUL589882 FKO589811:FKP589882 FAS589811:FAT589882 EQW589811:EQX589882 EHA589811:EHB589882 DXE589811:DXF589882 DNI589811:DNJ589882 DDM589811:DDN589882 CTQ589811:CTR589882 CJU589811:CJV589882 BZY589811:BZZ589882 BQC589811:BQD589882 BGG589811:BGH589882 AWK589811:AWL589882 AMO589811:AMP589882 ACS589811:ACT589882 SW589811:SX589882 JA589811:JB589882 E589811:F589882 WVM524275:WVN524346 WLQ524275:WLR524346 WBU524275:WBV524346 VRY524275:VRZ524346 VIC524275:VID524346 UYG524275:UYH524346 UOK524275:UOL524346 UEO524275:UEP524346 TUS524275:TUT524346 TKW524275:TKX524346 TBA524275:TBB524346 SRE524275:SRF524346 SHI524275:SHJ524346 RXM524275:RXN524346 RNQ524275:RNR524346 RDU524275:RDV524346 QTY524275:QTZ524346 QKC524275:QKD524346 QAG524275:QAH524346 PQK524275:PQL524346 PGO524275:PGP524346 OWS524275:OWT524346 OMW524275:OMX524346 ODA524275:ODB524346 NTE524275:NTF524346 NJI524275:NJJ524346 MZM524275:MZN524346 MPQ524275:MPR524346 MFU524275:MFV524346 LVY524275:LVZ524346 LMC524275:LMD524346 LCG524275:LCH524346 KSK524275:KSL524346 KIO524275:KIP524346 JYS524275:JYT524346 JOW524275:JOX524346 JFA524275:JFB524346 IVE524275:IVF524346 ILI524275:ILJ524346 IBM524275:IBN524346 HRQ524275:HRR524346 HHU524275:HHV524346 GXY524275:GXZ524346 GOC524275:GOD524346 GEG524275:GEH524346 FUK524275:FUL524346 FKO524275:FKP524346 FAS524275:FAT524346 EQW524275:EQX524346 EHA524275:EHB524346 DXE524275:DXF524346 DNI524275:DNJ524346 DDM524275:DDN524346 CTQ524275:CTR524346 CJU524275:CJV524346 BZY524275:BZZ524346 BQC524275:BQD524346 BGG524275:BGH524346 AWK524275:AWL524346 AMO524275:AMP524346 ACS524275:ACT524346 SW524275:SX524346 JA524275:JB524346 E524275:F524346 WVM458739:WVN458810 WLQ458739:WLR458810 WBU458739:WBV458810 VRY458739:VRZ458810 VIC458739:VID458810 UYG458739:UYH458810 UOK458739:UOL458810 UEO458739:UEP458810 TUS458739:TUT458810 TKW458739:TKX458810 TBA458739:TBB458810 SRE458739:SRF458810 SHI458739:SHJ458810 RXM458739:RXN458810 RNQ458739:RNR458810 RDU458739:RDV458810 QTY458739:QTZ458810 QKC458739:QKD458810 QAG458739:QAH458810 PQK458739:PQL458810 PGO458739:PGP458810 OWS458739:OWT458810 OMW458739:OMX458810 ODA458739:ODB458810 NTE458739:NTF458810 NJI458739:NJJ458810 MZM458739:MZN458810 MPQ458739:MPR458810 MFU458739:MFV458810 LVY458739:LVZ458810 LMC458739:LMD458810 LCG458739:LCH458810 KSK458739:KSL458810 KIO458739:KIP458810 JYS458739:JYT458810 JOW458739:JOX458810 JFA458739:JFB458810 IVE458739:IVF458810 ILI458739:ILJ458810 IBM458739:IBN458810 HRQ458739:HRR458810 HHU458739:HHV458810 GXY458739:GXZ458810 GOC458739:GOD458810 GEG458739:GEH458810 FUK458739:FUL458810 FKO458739:FKP458810 FAS458739:FAT458810 EQW458739:EQX458810 EHA458739:EHB458810 DXE458739:DXF458810 DNI458739:DNJ458810 DDM458739:DDN458810 CTQ458739:CTR458810 CJU458739:CJV458810 BZY458739:BZZ458810 BQC458739:BQD458810 BGG458739:BGH458810 AWK458739:AWL458810 AMO458739:AMP458810 ACS458739:ACT458810 SW458739:SX458810 JA458739:JB458810 E458739:F458810 WVM393203:WVN393274 WLQ393203:WLR393274 WBU393203:WBV393274 VRY393203:VRZ393274 VIC393203:VID393274 UYG393203:UYH393274 UOK393203:UOL393274 UEO393203:UEP393274 TUS393203:TUT393274 TKW393203:TKX393274 TBA393203:TBB393274 SRE393203:SRF393274 SHI393203:SHJ393274 RXM393203:RXN393274 RNQ393203:RNR393274 RDU393203:RDV393274 QTY393203:QTZ393274 QKC393203:QKD393274 QAG393203:QAH393274 PQK393203:PQL393274 PGO393203:PGP393274 OWS393203:OWT393274 OMW393203:OMX393274 ODA393203:ODB393274 NTE393203:NTF393274 NJI393203:NJJ393274 MZM393203:MZN393274 MPQ393203:MPR393274 MFU393203:MFV393274 LVY393203:LVZ393274 LMC393203:LMD393274 LCG393203:LCH393274 KSK393203:KSL393274 KIO393203:KIP393274 JYS393203:JYT393274 JOW393203:JOX393274 JFA393203:JFB393274 IVE393203:IVF393274 ILI393203:ILJ393274 IBM393203:IBN393274 HRQ393203:HRR393274 HHU393203:HHV393274 GXY393203:GXZ393274 GOC393203:GOD393274 GEG393203:GEH393274 FUK393203:FUL393274 FKO393203:FKP393274 FAS393203:FAT393274 EQW393203:EQX393274 EHA393203:EHB393274 DXE393203:DXF393274 DNI393203:DNJ393274 DDM393203:DDN393274 CTQ393203:CTR393274 CJU393203:CJV393274 BZY393203:BZZ393274 BQC393203:BQD393274 BGG393203:BGH393274 AWK393203:AWL393274 AMO393203:AMP393274 ACS393203:ACT393274 SW393203:SX393274 JA393203:JB393274 E393203:F393274 WVM327667:WVN327738 WLQ327667:WLR327738 WBU327667:WBV327738 VRY327667:VRZ327738 VIC327667:VID327738 UYG327667:UYH327738 UOK327667:UOL327738 UEO327667:UEP327738 TUS327667:TUT327738 TKW327667:TKX327738 TBA327667:TBB327738 SRE327667:SRF327738 SHI327667:SHJ327738 RXM327667:RXN327738 RNQ327667:RNR327738 RDU327667:RDV327738 QTY327667:QTZ327738 QKC327667:QKD327738 QAG327667:QAH327738 PQK327667:PQL327738 PGO327667:PGP327738 OWS327667:OWT327738 OMW327667:OMX327738 ODA327667:ODB327738 NTE327667:NTF327738 NJI327667:NJJ327738 MZM327667:MZN327738 MPQ327667:MPR327738 MFU327667:MFV327738 LVY327667:LVZ327738 LMC327667:LMD327738 LCG327667:LCH327738 KSK327667:KSL327738 KIO327667:KIP327738 JYS327667:JYT327738 JOW327667:JOX327738 JFA327667:JFB327738 IVE327667:IVF327738 ILI327667:ILJ327738 IBM327667:IBN327738 HRQ327667:HRR327738 HHU327667:HHV327738 GXY327667:GXZ327738 GOC327667:GOD327738 GEG327667:GEH327738 FUK327667:FUL327738 FKO327667:FKP327738 FAS327667:FAT327738 EQW327667:EQX327738 EHA327667:EHB327738 DXE327667:DXF327738 DNI327667:DNJ327738 DDM327667:DDN327738 CTQ327667:CTR327738 CJU327667:CJV327738 BZY327667:BZZ327738 BQC327667:BQD327738 BGG327667:BGH327738 AWK327667:AWL327738 AMO327667:AMP327738 ACS327667:ACT327738 SW327667:SX327738 JA327667:JB327738 E327667:F327738 WVM262131:WVN262202 WLQ262131:WLR262202 WBU262131:WBV262202 VRY262131:VRZ262202 VIC262131:VID262202 UYG262131:UYH262202 UOK262131:UOL262202 UEO262131:UEP262202 TUS262131:TUT262202 TKW262131:TKX262202 TBA262131:TBB262202 SRE262131:SRF262202 SHI262131:SHJ262202 RXM262131:RXN262202 RNQ262131:RNR262202 RDU262131:RDV262202 QTY262131:QTZ262202 QKC262131:QKD262202 QAG262131:QAH262202 PQK262131:PQL262202 PGO262131:PGP262202 OWS262131:OWT262202 OMW262131:OMX262202 ODA262131:ODB262202 NTE262131:NTF262202 NJI262131:NJJ262202 MZM262131:MZN262202 MPQ262131:MPR262202 MFU262131:MFV262202 LVY262131:LVZ262202 LMC262131:LMD262202 LCG262131:LCH262202 KSK262131:KSL262202 KIO262131:KIP262202 JYS262131:JYT262202 JOW262131:JOX262202 JFA262131:JFB262202 IVE262131:IVF262202 ILI262131:ILJ262202 IBM262131:IBN262202 HRQ262131:HRR262202 HHU262131:HHV262202 GXY262131:GXZ262202 GOC262131:GOD262202 GEG262131:GEH262202 FUK262131:FUL262202 FKO262131:FKP262202 FAS262131:FAT262202 EQW262131:EQX262202 EHA262131:EHB262202 DXE262131:DXF262202 DNI262131:DNJ262202 DDM262131:DDN262202 CTQ262131:CTR262202 CJU262131:CJV262202 BZY262131:BZZ262202 BQC262131:BQD262202 BGG262131:BGH262202 AWK262131:AWL262202 AMO262131:AMP262202 ACS262131:ACT262202 SW262131:SX262202 JA262131:JB262202 E262131:F262202 WVM196595:WVN196666 WLQ196595:WLR196666 WBU196595:WBV196666 VRY196595:VRZ196666 VIC196595:VID196666 UYG196595:UYH196666 UOK196595:UOL196666 UEO196595:UEP196666 TUS196595:TUT196666 TKW196595:TKX196666 TBA196595:TBB196666 SRE196595:SRF196666 SHI196595:SHJ196666 RXM196595:RXN196666 RNQ196595:RNR196666 RDU196595:RDV196666 QTY196595:QTZ196666 QKC196595:QKD196666 QAG196595:QAH196666 PQK196595:PQL196666 PGO196595:PGP196666 OWS196595:OWT196666 OMW196595:OMX196666 ODA196595:ODB196666 NTE196595:NTF196666 NJI196595:NJJ196666 MZM196595:MZN196666 MPQ196595:MPR196666 MFU196595:MFV196666 LVY196595:LVZ196666 LMC196595:LMD196666 LCG196595:LCH196666 KSK196595:KSL196666 KIO196595:KIP196666 JYS196595:JYT196666 JOW196595:JOX196666 JFA196595:JFB196666 IVE196595:IVF196666 ILI196595:ILJ196666 IBM196595:IBN196666 HRQ196595:HRR196666 HHU196595:HHV196666 GXY196595:GXZ196666 GOC196595:GOD196666 GEG196595:GEH196666 FUK196595:FUL196666 FKO196595:FKP196666 FAS196595:FAT196666 EQW196595:EQX196666 EHA196595:EHB196666 DXE196595:DXF196666 DNI196595:DNJ196666 DDM196595:DDN196666 CTQ196595:CTR196666 CJU196595:CJV196666 BZY196595:BZZ196666 BQC196595:BQD196666 BGG196595:BGH196666 AWK196595:AWL196666 AMO196595:AMP196666 ACS196595:ACT196666 SW196595:SX196666 JA196595:JB196666 E196595:F196666 WVM131059:WVN131130 WLQ131059:WLR131130 WBU131059:WBV131130 VRY131059:VRZ131130 VIC131059:VID131130 UYG131059:UYH131130 UOK131059:UOL131130 UEO131059:UEP131130 TUS131059:TUT131130 TKW131059:TKX131130 TBA131059:TBB131130 SRE131059:SRF131130 SHI131059:SHJ131130 RXM131059:RXN131130 RNQ131059:RNR131130 RDU131059:RDV131130 QTY131059:QTZ131130 QKC131059:QKD131130 QAG131059:QAH131130 PQK131059:PQL131130 PGO131059:PGP131130 OWS131059:OWT131130 OMW131059:OMX131130 ODA131059:ODB131130 NTE131059:NTF131130 NJI131059:NJJ131130 MZM131059:MZN131130 MPQ131059:MPR131130 MFU131059:MFV131130 LVY131059:LVZ131130 LMC131059:LMD131130 LCG131059:LCH131130 KSK131059:KSL131130 KIO131059:KIP131130 JYS131059:JYT131130 JOW131059:JOX131130 JFA131059:JFB131130 IVE131059:IVF131130 ILI131059:ILJ131130 IBM131059:IBN131130 HRQ131059:HRR131130 HHU131059:HHV131130 GXY131059:GXZ131130 GOC131059:GOD131130 GEG131059:GEH131130 FUK131059:FUL131130 FKO131059:FKP131130 FAS131059:FAT131130 EQW131059:EQX131130 EHA131059:EHB131130 DXE131059:DXF131130 DNI131059:DNJ131130 DDM131059:DDN131130 CTQ131059:CTR131130 CJU131059:CJV131130 BZY131059:BZZ131130 BQC131059:BQD131130 BGG131059:BGH131130 AWK131059:AWL131130 AMO131059:AMP131130 ACS131059:ACT131130 SW131059:SX131130 JA131059:JB131130 E131059:F131130 WVM65523:WVN65594 WLQ65523:WLR65594 WBU65523:WBV65594 VRY65523:VRZ65594 VIC65523:VID65594 UYG65523:UYH65594 UOK65523:UOL65594 UEO65523:UEP65594 TUS65523:TUT65594 TKW65523:TKX65594 TBA65523:TBB65594 SRE65523:SRF65594 SHI65523:SHJ65594 RXM65523:RXN65594 RNQ65523:RNR65594 RDU65523:RDV65594 QTY65523:QTZ65594 QKC65523:QKD65594 QAG65523:QAH65594 PQK65523:PQL65594 PGO65523:PGP65594 OWS65523:OWT65594 OMW65523:OMX65594 ODA65523:ODB65594 NTE65523:NTF65594 NJI65523:NJJ65594 MZM65523:MZN65594 MPQ65523:MPR65594 MFU65523:MFV65594 LVY65523:LVZ65594 LMC65523:LMD65594 LCG65523:LCH65594 KSK65523:KSL65594 KIO65523:KIP65594 JYS65523:JYT65594 JOW65523:JOX65594 JFA65523:JFB65594 IVE65523:IVF65594 ILI65523:ILJ65594 IBM65523:IBN65594 HRQ65523:HRR65594 HHU65523:HHV65594 GXY65523:GXZ65594 GOC65523:GOD65594 GEG65523:GEH65594 FUK65523:FUL65594 FKO65523:FKP65594 FAS65523:FAT65594 EQW65523:EQX65594 EHA65523:EHB65594 DXE65523:DXF65594 DNI65523:DNJ65594 DDM65523:DDN65594 CTQ65523:CTR65594 CJU65523:CJV65594 BZY65523:BZZ65594 BQC65523:BQD65594 BGG65523:BGH65594 AWK65523:AWL65594 AMO65523:AMP65594 ACS65523:ACT65594 SW65523:SX65594 JA65523:JB65594 E65523:F65594 JA64348:JB64413 WVM1047388:WVN1047453 WLQ1047388:WLR1047453 WBU1047388:WBV1047453 VRY1047388:VRZ1047453 VIC1047388:VID1047453 UYG1047388:UYH1047453 UOK1047388:UOL1047453 UEO1047388:UEP1047453 TUS1047388:TUT1047453 TKW1047388:TKX1047453 TBA1047388:TBB1047453 SRE1047388:SRF1047453 SHI1047388:SHJ1047453 RXM1047388:RXN1047453 RNQ1047388:RNR1047453 RDU1047388:RDV1047453 QTY1047388:QTZ1047453 QKC1047388:QKD1047453 QAG1047388:QAH1047453 PQK1047388:PQL1047453 PGO1047388:PGP1047453 OWS1047388:OWT1047453 OMW1047388:OMX1047453 ODA1047388:ODB1047453 NTE1047388:NTF1047453 NJI1047388:NJJ1047453 MZM1047388:MZN1047453 MPQ1047388:MPR1047453 MFU1047388:MFV1047453 LVY1047388:LVZ1047453 LMC1047388:LMD1047453 LCG1047388:LCH1047453 KSK1047388:KSL1047453 KIO1047388:KIP1047453 JYS1047388:JYT1047453 JOW1047388:JOX1047453 JFA1047388:JFB1047453 IVE1047388:IVF1047453 ILI1047388:ILJ1047453 IBM1047388:IBN1047453 HRQ1047388:HRR1047453 HHU1047388:HHV1047453 GXY1047388:GXZ1047453 GOC1047388:GOD1047453 GEG1047388:GEH1047453 FUK1047388:FUL1047453 FKO1047388:FKP1047453 FAS1047388:FAT1047453 EQW1047388:EQX1047453 EHA1047388:EHB1047453 DXE1047388:DXF1047453 DNI1047388:DNJ1047453 DDM1047388:DDN1047453 CTQ1047388:CTR1047453 CJU1047388:CJV1047453 BZY1047388:BZZ1047453 BQC1047388:BQD1047453 BGG1047388:BGH1047453 AWK1047388:AWL1047453 AMO1047388:AMP1047453 ACS1047388:ACT1047453 SW1047388:SX1047453 JA1047388:JB1047453 E1047388:F1047453 WVM981852:WVN981917 WLQ981852:WLR981917 WBU981852:WBV981917 VRY981852:VRZ981917 VIC981852:VID981917 UYG981852:UYH981917 UOK981852:UOL981917 UEO981852:UEP981917 TUS981852:TUT981917 TKW981852:TKX981917 TBA981852:TBB981917 SRE981852:SRF981917 SHI981852:SHJ981917 RXM981852:RXN981917 RNQ981852:RNR981917 RDU981852:RDV981917 QTY981852:QTZ981917 QKC981852:QKD981917 QAG981852:QAH981917 PQK981852:PQL981917 PGO981852:PGP981917 OWS981852:OWT981917 OMW981852:OMX981917 ODA981852:ODB981917 NTE981852:NTF981917 NJI981852:NJJ981917 MZM981852:MZN981917 MPQ981852:MPR981917 MFU981852:MFV981917 LVY981852:LVZ981917 LMC981852:LMD981917 LCG981852:LCH981917 KSK981852:KSL981917 KIO981852:KIP981917 JYS981852:JYT981917 JOW981852:JOX981917 JFA981852:JFB981917 IVE981852:IVF981917 ILI981852:ILJ981917 IBM981852:IBN981917 HRQ981852:HRR981917 HHU981852:HHV981917 GXY981852:GXZ981917 GOC981852:GOD981917 GEG981852:GEH981917 FUK981852:FUL981917 FKO981852:FKP981917 FAS981852:FAT981917 EQW981852:EQX981917 EHA981852:EHB981917 DXE981852:DXF981917 DNI981852:DNJ981917 DDM981852:DDN981917 CTQ981852:CTR981917 CJU981852:CJV981917 BZY981852:BZZ981917 BQC981852:BQD981917 BGG981852:BGH981917 AWK981852:AWL981917 AMO981852:AMP981917 ACS981852:ACT981917 SW981852:SX981917 JA981852:JB981917 E981852:F981917 WVM916316:WVN916381 WLQ916316:WLR916381 WBU916316:WBV916381 VRY916316:VRZ916381 VIC916316:VID916381 UYG916316:UYH916381 UOK916316:UOL916381 UEO916316:UEP916381 TUS916316:TUT916381 TKW916316:TKX916381 TBA916316:TBB916381 SRE916316:SRF916381 SHI916316:SHJ916381 RXM916316:RXN916381 RNQ916316:RNR916381 RDU916316:RDV916381 QTY916316:QTZ916381 QKC916316:QKD916381 QAG916316:QAH916381 PQK916316:PQL916381 PGO916316:PGP916381 OWS916316:OWT916381 OMW916316:OMX916381 ODA916316:ODB916381 NTE916316:NTF916381 NJI916316:NJJ916381 MZM916316:MZN916381 MPQ916316:MPR916381 MFU916316:MFV916381 LVY916316:LVZ916381 LMC916316:LMD916381 LCG916316:LCH916381 KSK916316:KSL916381 KIO916316:KIP916381 JYS916316:JYT916381 JOW916316:JOX916381 JFA916316:JFB916381 IVE916316:IVF916381 ILI916316:ILJ916381 IBM916316:IBN916381 HRQ916316:HRR916381 HHU916316:HHV916381 GXY916316:GXZ916381 GOC916316:GOD916381 GEG916316:GEH916381 FUK916316:FUL916381 FKO916316:FKP916381 FAS916316:FAT916381 EQW916316:EQX916381 EHA916316:EHB916381 DXE916316:DXF916381 DNI916316:DNJ916381 DDM916316:DDN916381 CTQ916316:CTR916381 CJU916316:CJV916381 BZY916316:BZZ916381 BQC916316:BQD916381 BGG916316:BGH916381 AWK916316:AWL916381 AMO916316:AMP916381 ACS916316:ACT916381 SW916316:SX916381 JA916316:JB916381 E916316:F916381 WVM850780:WVN850845 WLQ850780:WLR850845 WBU850780:WBV850845 VRY850780:VRZ850845 VIC850780:VID850845 UYG850780:UYH850845 UOK850780:UOL850845 UEO850780:UEP850845 TUS850780:TUT850845 TKW850780:TKX850845 TBA850780:TBB850845 SRE850780:SRF850845 SHI850780:SHJ850845 RXM850780:RXN850845 RNQ850780:RNR850845 RDU850780:RDV850845 QTY850780:QTZ850845 QKC850780:QKD850845 QAG850780:QAH850845 PQK850780:PQL850845 PGO850780:PGP850845 OWS850780:OWT850845 OMW850780:OMX850845 ODA850780:ODB850845 NTE850780:NTF850845 NJI850780:NJJ850845 MZM850780:MZN850845 MPQ850780:MPR850845 MFU850780:MFV850845 LVY850780:LVZ850845 LMC850780:LMD850845 LCG850780:LCH850845 KSK850780:KSL850845 KIO850780:KIP850845 JYS850780:JYT850845 JOW850780:JOX850845 JFA850780:JFB850845 IVE850780:IVF850845 ILI850780:ILJ850845 IBM850780:IBN850845 HRQ850780:HRR850845 HHU850780:HHV850845 GXY850780:GXZ850845 GOC850780:GOD850845 GEG850780:GEH850845 FUK850780:FUL850845 FKO850780:FKP850845 FAS850780:FAT850845 EQW850780:EQX850845 EHA850780:EHB850845 DXE850780:DXF850845 DNI850780:DNJ850845 DDM850780:DDN850845 CTQ850780:CTR850845 CJU850780:CJV850845 BZY850780:BZZ850845 BQC850780:BQD850845 BGG850780:BGH850845 AWK850780:AWL850845 AMO850780:AMP850845 ACS850780:ACT850845 SW850780:SX850845 JA850780:JB850845 E850780:F850845 WVM785244:WVN785309 WLQ785244:WLR785309 WBU785244:WBV785309 VRY785244:VRZ785309 VIC785244:VID785309 UYG785244:UYH785309 UOK785244:UOL785309 UEO785244:UEP785309 TUS785244:TUT785309 TKW785244:TKX785309 TBA785244:TBB785309 SRE785244:SRF785309 SHI785244:SHJ785309 RXM785244:RXN785309 RNQ785244:RNR785309 RDU785244:RDV785309 QTY785244:QTZ785309 QKC785244:QKD785309 QAG785244:QAH785309 PQK785244:PQL785309 PGO785244:PGP785309 OWS785244:OWT785309 OMW785244:OMX785309 ODA785244:ODB785309 NTE785244:NTF785309 NJI785244:NJJ785309 MZM785244:MZN785309 MPQ785244:MPR785309 MFU785244:MFV785309 LVY785244:LVZ785309 LMC785244:LMD785309 LCG785244:LCH785309 KSK785244:KSL785309 KIO785244:KIP785309 JYS785244:JYT785309 JOW785244:JOX785309 JFA785244:JFB785309 IVE785244:IVF785309 ILI785244:ILJ785309 IBM785244:IBN785309 HRQ785244:HRR785309 HHU785244:HHV785309 GXY785244:GXZ785309 GOC785244:GOD785309 GEG785244:GEH785309 FUK785244:FUL785309 FKO785244:FKP785309 FAS785244:FAT785309 EQW785244:EQX785309 EHA785244:EHB785309 DXE785244:DXF785309 DNI785244:DNJ785309 DDM785244:DDN785309 CTQ785244:CTR785309 CJU785244:CJV785309 BZY785244:BZZ785309 BQC785244:BQD785309 BGG785244:BGH785309 AWK785244:AWL785309 AMO785244:AMP785309 ACS785244:ACT785309 SW785244:SX785309 JA785244:JB785309 E785244:F785309 WVM719708:WVN719773 WLQ719708:WLR719773 WBU719708:WBV719773 VRY719708:VRZ719773 VIC719708:VID719773 UYG719708:UYH719773 UOK719708:UOL719773 UEO719708:UEP719773 TUS719708:TUT719773 TKW719708:TKX719773 TBA719708:TBB719773 SRE719708:SRF719773 SHI719708:SHJ719773 RXM719708:RXN719773 RNQ719708:RNR719773 RDU719708:RDV719773 QTY719708:QTZ719773 QKC719708:QKD719773 QAG719708:QAH719773 PQK719708:PQL719773 PGO719708:PGP719773 OWS719708:OWT719773 OMW719708:OMX719773 ODA719708:ODB719773 NTE719708:NTF719773 NJI719708:NJJ719773 MZM719708:MZN719773 MPQ719708:MPR719773 MFU719708:MFV719773 LVY719708:LVZ719773 LMC719708:LMD719773 LCG719708:LCH719773 KSK719708:KSL719773 KIO719708:KIP719773 JYS719708:JYT719773 JOW719708:JOX719773 JFA719708:JFB719773 IVE719708:IVF719773 ILI719708:ILJ719773 IBM719708:IBN719773 HRQ719708:HRR719773 HHU719708:HHV719773 GXY719708:GXZ719773 GOC719708:GOD719773 GEG719708:GEH719773 FUK719708:FUL719773 FKO719708:FKP719773 FAS719708:FAT719773 EQW719708:EQX719773 EHA719708:EHB719773 DXE719708:DXF719773 DNI719708:DNJ719773 DDM719708:DDN719773 CTQ719708:CTR719773 CJU719708:CJV719773 BZY719708:BZZ719773 BQC719708:BQD719773 BGG719708:BGH719773 AWK719708:AWL719773 AMO719708:AMP719773 ACS719708:ACT719773 SW719708:SX719773 JA719708:JB719773 E719708:F719773 WVM654172:WVN654237 WLQ654172:WLR654237 WBU654172:WBV654237 VRY654172:VRZ654237 VIC654172:VID654237 UYG654172:UYH654237 UOK654172:UOL654237 UEO654172:UEP654237 TUS654172:TUT654237 TKW654172:TKX654237 TBA654172:TBB654237 SRE654172:SRF654237 SHI654172:SHJ654237 RXM654172:RXN654237 RNQ654172:RNR654237 RDU654172:RDV654237 QTY654172:QTZ654237 QKC654172:QKD654237 QAG654172:QAH654237 PQK654172:PQL654237 PGO654172:PGP654237 OWS654172:OWT654237 OMW654172:OMX654237 ODA654172:ODB654237 NTE654172:NTF654237 NJI654172:NJJ654237 MZM654172:MZN654237 MPQ654172:MPR654237 MFU654172:MFV654237 LVY654172:LVZ654237 LMC654172:LMD654237 LCG654172:LCH654237 KSK654172:KSL654237 KIO654172:KIP654237 JYS654172:JYT654237 JOW654172:JOX654237 JFA654172:JFB654237 IVE654172:IVF654237 ILI654172:ILJ654237 IBM654172:IBN654237 HRQ654172:HRR654237 HHU654172:HHV654237 GXY654172:GXZ654237 GOC654172:GOD654237 GEG654172:GEH654237 FUK654172:FUL654237 FKO654172:FKP654237 FAS654172:FAT654237 EQW654172:EQX654237 EHA654172:EHB654237 DXE654172:DXF654237 DNI654172:DNJ654237 DDM654172:DDN654237 CTQ654172:CTR654237 CJU654172:CJV654237 BZY654172:BZZ654237 BQC654172:BQD654237 BGG654172:BGH654237 AWK654172:AWL654237 AMO654172:AMP654237 ACS654172:ACT654237 SW654172:SX654237 JA654172:JB654237 E654172:F654237 WVM588636:WVN588701 WLQ588636:WLR588701 WBU588636:WBV588701 VRY588636:VRZ588701 VIC588636:VID588701 UYG588636:UYH588701 UOK588636:UOL588701 UEO588636:UEP588701 TUS588636:TUT588701 TKW588636:TKX588701 TBA588636:TBB588701 SRE588636:SRF588701 SHI588636:SHJ588701 RXM588636:RXN588701 RNQ588636:RNR588701 RDU588636:RDV588701 QTY588636:QTZ588701 QKC588636:QKD588701 QAG588636:QAH588701 PQK588636:PQL588701 PGO588636:PGP588701 OWS588636:OWT588701 OMW588636:OMX588701 ODA588636:ODB588701 NTE588636:NTF588701 NJI588636:NJJ588701 MZM588636:MZN588701 MPQ588636:MPR588701 MFU588636:MFV588701 LVY588636:LVZ588701 LMC588636:LMD588701 LCG588636:LCH588701 KSK588636:KSL588701 KIO588636:KIP588701 JYS588636:JYT588701 JOW588636:JOX588701 JFA588636:JFB588701 IVE588636:IVF588701 ILI588636:ILJ588701 IBM588636:IBN588701 HRQ588636:HRR588701 HHU588636:HHV588701 GXY588636:GXZ588701 GOC588636:GOD588701 GEG588636:GEH588701 FUK588636:FUL588701 FKO588636:FKP588701 FAS588636:FAT588701 EQW588636:EQX588701 EHA588636:EHB588701 DXE588636:DXF588701 DNI588636:DNJ588701 DDM588636:DDN588701 CTQ588636:CTR588701 CJU588636:CJV588701 BZY588636:BZZ588701 BQC588636:BQD588701 BGG588636:BGH588701 AWK588636:AWL588701 AMO588636:AMP588701 ACS588636:ACT588701 SW588636:SX588701 JA588636:JB588701 E588636:F588701 WVM523100:WVN523165 WLQ523100:WLR523165 WBU523100:WBV523165 VRY523100:VRZ523165 VIC523100:VID523165 UYG523100:UYH523165 UOK523100:UOL523165 UEO523100:UEP523165 TUS523100:TUT523165 TKW523100:TKX523165 TBA523100:TBB523165 SRE523100:SRF523165 SHI523100:SHJ523165 RXM523100:RXN523165 RNQ523100:RNR523165 RDU523100:RDV523165 QTY523100:QTZ523165 QKC523100:QKD523165 QAG523100:QAH523165 PQK523100:PQL523165 PGO523100:PGP523165 OWS523100:OWT523165 OMW523100:OMX523165 ODA523100:ODB523165 NTE523100:NTF523165 NJI523100:NJJ523165 MZM523100:MZN523165 MPQ523100:MPR523165 MFU523100:MFV523165 LVY523100:LVZ523165 LMC523100:LMD523165 LCG523100:LCH523165 KSK523100:KSL523165 KIO523100:KIP523165 JYS523100:JYT523165 JOW523100:JOX523165 JFA523100:JFB523165 IVE523100:IVF523165 ILI523100:ILJ523165 IBM523100:IBN523165 HRQ523100:HRR523165 HHU523100:HHV523165 GXY523100:GXZ523165 GOC523100:GOD523165 GEG523100:GEH523165 FUK523100:FUL523165 FKO523100:FKP523165 FAS523100:FAT523165 EQW523100:EQX523165 EHA523100:EHB523165 DXE523100:DXF523165 DNI523100:DNJ523165 DDM523100:DDN523165 CTQ523100:CTR523165 CJU523100:CJV523165 BZY523100:BZZ523165 BQC523100:BQD523165 BGG523100:BGH523165 AWK523100:AWL523165 AMO523100:AMP523165 ACS523100:ACT523165 SW523100:SX523165 JA523100:JB523165 E523100:F523165 WVM457564:WVN457629 WLQ457564:WLR457629 WBU457564:WBV457629 VRY457564:VRZ457629 VIC457564:VID457629 UYG457564:UYH457629 UOK457564:UOL457629 UEO457564:UEP457629 TUS457564:TUT457629 TKW457564:TKX457629 TBA457564:TBB457629 SRE457564:SRF457629 SHI457564:SHJ457629 RXM457564:RXN457629 RNQ457564:RNR457629 RDU457564:RDV457629 QTY457564:QTZ457629 QKC457564:QKD457629 QAG457564:QAH457629 PQK457564:PQL457629 PGO457564:PGP457629 OWS457564:OWT457629 OMW457564:OMX457629 ODA457564:ODB457629 NTE457564:NTF457629 NJI457564:NJJ457629 MZM457564:MZN457629 MPQ457564:MPR457629 MFU457564:MFV457629 LVY457564:LVZ457629 LMC457564:LMD457629 LCG457564:LCH457629 KSK457564:KSL457629 KIO457564:KIP457629 JYS457564:JYT457629 JOW457564:JOX457629 JFA457564:JFB457629 IVE457564:IVF457629 ILI457564:ILJ457629 IBM457564:IBN457629 HRQ457564:HRR457629 HHU457564:HHV457629 GXY457564:GXZ457629 GOC457564:GOD457629 GEG457564:GEH457629 FUK457564:FUL457629 FKO457564:FKP457629 FAS457564:FAT457629 EQW457564:EQX457629 EHA457564:EHB457629 DXE457564:DXF457629 DNI457564:DNJ457629 DDM457564:DDN457629 CTQ457564:CTR457629 CJU457564:CJV457629 BZY457564:BZZ457629 BQC457564:BQD457629 BGG457564:BGH457629 AWK457564:AWL457629 AMO457564:AMP457629 ACS457564:ACT457629 SW457564:SX457629 JA457564:JB457629 E457564:F457629 WVM392028:WVN392093 WLQ392028:WLR392093 WBU392028:WBV392093 VRY392028:VRZ392093 VIC392028:VID392093 UYG392028:UYH392093 UOK392028:UOL392093 UEO392028:UEP392093 TUS392028:TUT392093 TKW392028:TKX392093 TBA392028:TBB392093 SRE392028:SRF392093 SHI392028:SHJ392093 RXM392028:RXN392093 RNQ392028:RNR392093 RDU392028:RDV392093 QTY392028:QTZ392093 QKC392028:QKD392093 QAG392028:QAH392093 PQK392028:PQL392093 PGO392028:PGP392093 OWS392028:OWT392093 OMW392028:OMX392093 ODA392028:ODB392093 NTE392028:NTF392093 NJI392028:NJJ392093 MZM392028:MZN392093 MPQ392028:MPR392093 MFU392028:MFV392093 LVY392028:LVZ392093 LMC392028:LMD392093 LCG392028:LCH392093 KSK392028:KSL392093 KIO392028:KIP392093 JYS392028:JYT392093 JOW392028:JOX392093 JFA392028:JFB392093 IVE392028:IVF392093 ILI392028:ILJ392093 IBM392028:IBN392093 HRQ392028:HRR392093 HHU392028:HHV392093 GXY392028:GXZ392093 GOC392028:GOD392093 GEG392028:GEH392093 FUK392028:FUL392093 FKO392028:FKP392093 FAS392028:FAT392093 EQW392028:EQX392093 EHA392028:EHB392093 DXE392028:DXF392093 DNI392028:DNJ392093 DDM392028:DDN392093 CTQ392028:CTR392093 CJU392028:CJV392093 BZY392028:BZZ392093 BQC392028:BQD392093 BGG392028:BGH392093 AWK392028:AWL392093 AMO392028:AMP392093 ACS392028:ACT392093 SW392028:SX392093 JA392028:JB392093 E392028:F392093 WVM326492:WVN326557 WLQ326492:WLR326557 WBU326492:WBV326557 VRY326492:VRZ326557 VIC326492:VID326557 UYG326492:UYH326557 UOK326492:UOL326557 UEO326492:UEP326557 TUS326492:TUT326557 TKW326492:TKX326557 TBA326492:TBB326557 SRE326492:SRF326557 SHI326492:SHJ326557 RXM326492:RXN326557 RNQ326492:RNR326557 RDU326492:RDV326557 QTY326492:QTZ326557 QKC326492:QKD326557 QAG326492:QAH326557 PQK326492:PQL326557 PGO326492:PGP326557 OWS326492:OWT326557 OMW326492:OMX326557 ODA326492:ODB326557 NTE326492:NTF326557 NJI326492:NJJ326557 MZM326492:MZN326557 MPQ326492:MPR326557 MFU326492:MFV326557 LVY326492:LVZ326557 LMC326492:LMD326557 LCG326492:LCH326557 KSK326492:KSL326557 KIO326492:KIP326557 JYS326492:JYT326557 JOW326492:JOX326557 JFA326492:JFB326557 IVE326492:IVF326557 ILI326492:ILJ326557 IBM326492:IBN326557 HRQ326492:HRR326557 HHU326492:HHV326557 GXY326492:GXZ326557 GOC326492:GOD326557 GEG326492:GEH326557 FUK326492:FUL326557 FKO326492:FKP326557 FAS326492:FAT326557 EQW326492:EQX326557 EHA326492:EHB326557 DXE326492:DXF326557 DNI326492:DNJ326557 DDM326492:DDN326557 CTQ326492:CTR326557 CJU326492:CJV326557 BZY326492:BZZ326557 BQC326492:BQD326557 BGG326492:BGH326557 AWK326492:AWL326557 AMO326492:AMP326557 ACS326492:ACT326557 SW326492:SX326557 JA326492:JB326557 E326492:F326557 WVM260956:WVN261021 WLQ260956:WLR261021 WBU260956:WBV261021 VRY260956:VRZ261021 VIC260956:VID261021 UYG260956:UYH261021 UOK260956:UOL261021 UEO260956:UEP261021 TUS260956:TUT261021 TKW260956:TKX261021 TBA260956:TBB261021 SRE260956:SRF261021 SHI260956:SHJ261021 RXM260956:RXN261021 RNQ260956:RNR261021 RDU260956:RDV261021 QTY260956:QTZ261021 QKC260956:QKD261021 QAG260956:QAH261021 PQK260956:PQL261021 PGO260956:PGP261021 OWS260956:OWT261021 OMW260956:OMX261021 ODA260956:ODB261021 NTE260956:NTF261021 NJI260956:NJJ261021 MZM260956:MZN261021 MPQ260956:MPR261021 MFU260956:MFV261021 LVY260956:LVZ261021 LMC260956:LMD261021 LCG260956:LCH261021 KSK260956:KSL261021 KIO260956:KIP261021 JYS260956:JYT261021 JOW260956:JOX261021 JFA260956:JFB261021 IVE260956:IVF261021 ILI260956:ILJ261021 IBM260956:IBN261021 HRQ260956:HRR261021 HHU260956:HHV261021 GXY260956:GXZ261021 GOC260956:GOD261021 GEG260956:GEH261021 FUK260956:FUL261021 FKO260956:FKP261021 FAS260956:FAT261021 EQW260956:EQX261021 EHA260956:EHB261021 DXE260956:DXF261021 DNI260956:DNJ261021 DDM260956:DDN261021 CTQ260956:CTR261021 CJU260956:CJV261021 BZY260956:BZZ261021 BQC260956:BQD261021 BGG260956:BGH261021 AWK260956:AWL261021 AMO260956:AMP261021 ACS260956:ACT261021 SW260956:SX261021 JA260956:JB261021 E260956:F261021 WVM195420:WVN195485 WLQ195420:WLR195485 WBU195420:WBV195485 VRY195420:VRZ195485 VIC195420:VID195485 UYG195420:UYH195485 UOK195420:UOL195485 UEO195420:UEP195485 TUS195420:TUT195485 TKW195420:TKX195485 TBA195420:TBB195485 SRE195420:SRF195485 SHI195420:SHJ195485 RXM195420:RXN195485 RNQ195420:RNR195485 RDU195420:RDV195485 QTY195420:QTZ195485 QKC195420:QKD195485 QAG195420:QAH195485 PQK195420:PQL195485 PGO195420:PGP195485 OWS195420:OWT195485 OMW195420:OMX195485 ODA195420:ODB195485 NTE195420:NTF195485 NJI195420:NJJ195485 MZM195420:MZN195485 MPQ195420:MPR195485 MFU195420:MFV195485 LVY195420:LVZ195485 LMC195420:LMD195485 LCG195420:LCH195485 KSK195420:KSL195485 KIO195420:KIP195485 JYS195420:JYT195485 JOW195420:JOX195485 JFA195420:JFB195485 IVE195420:IVF195485 ILI195420:ILJ195485 IBM195420:IBN195485 HRQ195420:HRR195485 HHU195420:HHV195485 GXY195420:GXZ195485 GOC195420:GOD195485 GEG195420:GEH195485 FUK195420:FUL195485 FKO195420:FKP195485 FAS195420:FAT195485 EQW195420:EQX195485 EHA195420:EHB195485 DXE195420:DXF195485 DNI195420:DNJ195485 DDM195420:DDN195485 CTQ195420:CTR195485 CJU195420:CJV195485 BZY195420:BZZ195485 BQC195420:BQD195485 BGG195420:BGH195485 AWK195420:AWL195485 AMO195420:AMP195485 ACS195420:ACT195485 SW195420:SX195485 JA195420:JB195485 E195420:F195485 WVM129884:WVN129949 WLQ129884:WLR129949 WBU129884:WBV129949 VRY129884:VRZ129949 VIC129884:VID129949 UYG129884:UYH129949 UOK129884:UOL129949 UEO129884:UEP129949 TUS129884:TUT129949 TKW129884:TKX129949 TBA129884:TBB129949 SRE129884:SRF129949 SHI129884:SHJ129949 RXM129884:RXN129949 RNQ129884:RNR129949 RDU129884:RDV129949 QTY129884:QTZ129949 QKC129884:QKD129949 QAG129884:QAH129949 PQK129884:PQL129949 PGO129884:PGP129949 OWS129884:OWT129949 OMW129884:OMX129949 ODA129884:ODB129949 NTE129884:NTF129949 NJI129884:NJJ129949 MZM129884:MZN129949 MPQ129884:MPR129949 MFU129884:MFV129949 LVY129884:LVZ129949 LMC129884:LMD129949 LCG129884:LCH129949 KSK129884:KSL129949 KIO129884:KIP129949 JYS129884:JYT129949 JOW129884:JOX129949 JFA129884:JFB129949 IVE129884:IVF129949 ILI129884:ILJ129949 IBM129884:IBN129949 HRQ129884:HRR129949 HHU129884:HHV129949 GXY129884:GXZ129949 GOC129884:GOD129949 GEG129884:GEH129949 FUK129884:FUL129949 FKO129884:FKP129949 FAS129884:FAT129949 EQW129884:EQX129949 EHA129884:EHB129949 DXE129884:DXF129949 DNI129884:DNJ129949 DDM129884:DDN129949 CTQ129884:CTR129949 CJU129884:CJV129949 BZY129884:BZZ129949 BQC129884:BQD129949 BGG129884:BGH129949 AWK129884:AWL129949 AMO129884:AMP129949 ACS129884:ACT129949 SW129884:SX129949 JA129884:JB129949 E129884:F129949 WVM64348:WVN64413 WLQ64348:WLR64413 WBU64348:WBV64413 VRY64348:VRZ64413 VIC64348:VID64413 UYG64348:UYH64413 UOK64348:UOL64413 UEO64348:UEP64413 TUS64348:TUT64413 TKW64348:TKX64413 TBA64348:TBB64413 SRE64348:SRF64413 SHI64348:SHJ64413 RXM64348:RXN64413 RNQ64348:RNR64413 RDU64348:RDV64413 QTY64348:QTZ64413 QKC64348:QKD64413 QAG64348:QAH64413 PQK64348:PQL64413 PGO64348:PGP64413 OWS64348:OWT64413 OMW64348:OMX64413 ODA64348:ODB64413 NTE64348:NTF64413 NJI64348:NJJ64413 MZM64348:MZN64413 MPQ64348:MPR64413 MFU64348:MFV64413 LVY64348:LVZ64413 LMC64348:LMD64413 LCG64348:LCH64413 KSK64348:KSL64413 KIO64348:KIP64413 JYS64348:JYT64413 JOW64348:JOX64413 JFA64348:JFB64413 IVE64348:IVF64413 ILI64348:ILJ64413 IBM64348:IBN64413 HRQ64348:HRR64413 HHU64348:HHV64413 GXY64348:GXZ64413 GOC64348:GOD64413 GEG64348:GEH64413 FUK64348:FUL64413 FKO64348:FKP64413 FAS64348:FAT64413 EQW64348:EQX64413 EHA64348:EHB64413 DXE64348:DXF64413 DNI64348:DNJ64413 DDM64348:DDN64413 CTQ64348:CTR64413 CJU64348:CJV64413 BZY64348:BZZ64413 BQC64348:BQD64413 BGG64348:BGH64413 AWK64348:AWL64413 AMO64348:AMP64413 ACS64348:ACT64413 SW64348:SX64413 WVM2:WVN72 JA2:JB72 SW2:SX72 ACS2:ACT72 AMO2:AMP72 AWK2:AWL72 BGG2:BGH72 BQC2:BQD72 BZY2:BZZ72 CJU2:CJV72 CTQ2:CTR72 DDM2:DDN72 DNI2:DNJ72 DXE2:DXF72 EHA2:EHB72 EQW2:EQX72 FAS2:FAT72 FKO2:FKP72 FUK2:FUL72 GEG2:GEH72 GOC2:GOD72 GXY2:GXZ72 HHU2:HHV72 HRQ2:HRR72 IBM2:IBN72 ILI2:ILJ72 IVE2:IVF72 JFA2:JFB72 JOW2:JOX72 JYS2:JYT72 KIO2:KIP72 KSK2:KSL72 LCG2:LCH72 LMC2:LMD72 LVY2:LVZ72 MFU2:MFV72 MPQ2:MPR72 MZM2:MZN72 NJI2:NJJ72 NTE2:NTF72 ODA2:ODB72 OMW2:OMX72 OWS2:OWT72 PGO2:PGP72 PQK2:PQL72 QAG2:QAH72 QKC2:QKD72 QTY2:QTZ72 RDU2:RDV72 RNQ2:RNR72 RXM2:RXN72 SHI2:SHJ72 SRE2:SRF72 TBA2:TBB72 TKW2:TKX72 TUS2:TUT72 UEO2:UEP72 UOK2:UOL72 UYG2:UYH72 VIC2:VID72 VRY2:VRZ72 WBU2:WBV72 WLQ2:WLR72" xr:uid="{38112631-A009-487D-B95B-8120C12782E9}">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BA42D-E921-4970-811F-2A4E4D4A60CD}">
  <dimension ref="A1:BA443"/>
  <sheetViews>
    <sheetView topLeftCell="A16" zoomScale="85" zoomScaleNormal="85" zoomScaleSheetLayoutView="100" workbookViewId="0">
      <selection activeCell="R62" sqref="R62"/>
    </sheetView>
  </sheetViews>
  <sheetFormatPr defaultRowHeight="13.5" x14ac:dyDescent="0.15"/>
  <cols>
    <col min="1" max="3" width="9" style="53"/>
    <col min="4" max="4" width="10.5" style="53" bestFit="1" customWidth="1"/>
    <col min="5" max="16" width="9" style="53"/>
    <col min="17" max="17" width="9" style="16"/>
    <col min="18" max="19" width="9" style="53"/>
    <col min="20" max="20" width="9" style="16"/>
    <col min="21" max="21" width="10.5" style="53" bestFit="1" customWidth="1"/>
    <col min="22" max="22" width="9" style="16"/>
    <col min="23" max="32" width="9" style="53"/>
    <col min="33" max="33" width="16.875" style="53" bestFit="1" customWidth="1"/>
    <col min="34" max="34" width="15.625" style="53" customWidth="1"/>
    <col min="35" max="39" width="9" style="127"/>
    <col min="40" max="16384" width="9" style="53"/>
  </cols>
  <sheetData>
    <row r="1" spans="1:53" ht="45" x14ac:dyDescent="0.15">
      <c r="A1" s="44" t="s">
        <v>0</v>
      </c>
      <c r="B1" s="55" t="s">
        <v>1</v>
      </c>
      <c r="C1" s="55" t="s">
        <v>2</v>
      </c>
      <c r="D1" s="56" t="s">
        <v>3</v>
      </c>
      <c r="E1" s="45" t="s">
        <v>4</v>
      </c>
      <c r="F1" s="45" t="s">
        <v>355</v>
      </c>
      <c r="G1" s="45" t="s">
        <v>6</v>
      </c>
      <c r="H1" s="45" t="s">
        <v>7</v>
      </c>
      <c r="I1" s="45" t="s">
        <v>8</v>
      </c>
      <c r="J1" s="45" t="s">
        <v>9</v>
      </c>
      <c r="K1" s="142" t="s">
        <v>10</v>
      </c>
      <c r="L1" s="56" t="s">
        <v>11</v>
      </c>
      <c r="M1" s="56" t="s">
        <v>12</v>
      </c>
      <c r="N1" s="56" t="s">
        <v>13</v>
      </c>
      <c r="O1" s="56" t="s">
        <v>14</v>
      </c>
      <c r="P1" s="56" t="s">
        <v>15</v>
      </c>
      <c r="Q1" s="3" t="s">
        <v>16</v>
      </c>
      <c r="R1" s="56" t="s">
        <v>17</v>
      </c>
      <c r="S1" s="56" t="s">
        <v>18</v>
      </c>
      <c r="T1" s="3" t="s">
        <v>19</v>
      </c>
      <c r="U1" s="58" t="s">
        <v>108</v>
      </c>
      <c r="V1" s="5" t="s">
        <v>20</v>
      </c>
      <c r="W1" s="56" t="s">
        <v>21</v>
      </c>
      <c r="X1" s="45" t="s">
        <v>22</v>
      </c>
      <c r="Y1" s="45" t="s">
        <v>23</v>
      </c>
      <c r="Z1" s="45" t="s">
        <v>24</v>
      </c>
      <c r="AA1" s="46" t="s">
        <v>25</v>
      </c>
      <c r="AB1" s="80" t="s">
        <v>26</v>
      </c>
      <c r="AE1" s="60" t="s">
        <v>0</v>
      </c>
      <c r="AF1" s="61"/>
      <c r="AG1" s="60" t="s">
        <v>4</v>
      </c>
      <c r="AH1" s="60" t="s">
        <v>5</v>
      </c>
      <c r="AI1" s="143"/>
      <c r="AJ1" s="144" t="s">
        <v>6</v>
      </c>
      <c r="AK1" s="143"/>
      <c r="AL1" s="145" t="s">
        <v>7</v>
      </c>
      <c r="AM1" s="143"/>
      <c r="AN1" s="10" t="s">
        <v>8</v>
      </c>
      <c r="AO1" s="61"/>
      <c r="AP1" s="10" t="s">
        <v>27</v>
      </c>
      <c r="AQ1" s="61"/>
      <c r="AR1" s="10" t="s">
        <v>10</v>
      </c>
      <c r="AS1" s="61"/>
      <c r="AT1" s="11" t="s">
        <v>28</v>
      </c>
      <c r="AU1" s="61"/>
      <c r="AV1" s="10" t="s">
        <v>29</v>
      </c>
      <c r="AX1" s="12" t="s">
        <v>30</v>
      </c>
      <c r="AY1" s="13" t="s">
        <v>31</v>
      </c>
      <c r="AZ1" s="13" t="s">
        <v>32</v>
      </c>
      <c r="BA1" s="14" t="s">
        <v>33</v>
      </c>
    </row>
    <row r="2" spans="1:53" x14ac:dyDescent="0.15">
      <c r="A2" s="146" t="s">
        <v>34</v>
      </c>
      <c r="B2" s="146" t="s">
        <v>231</v>
      </c>
      <c r="C2" s="146">
        <v>2019</v>
      </c>
      <c r="D2" s="147" t="s">
        <v>356</v>
      </c>
      <c r="E2" s="146" t="s">
        <v>357</v>
      </c>
      <c r="F2" s="146" t="s">
        <v>358</v>
      </c>
      <c r="G2" s="148" t="s">
        <v>36</v>
      </c>
      <c r="H2" s="149" t="s">
        <v>164</v>
      </c>
      <c r="I2" s="127" t="s">
        <v>159</v>
      </c>
      <c r="J2" s="150" t="s">
        <v>38</v>
      </c>
      <c r="K2" s="127" t="s">
        <v>161</v>
      </c>
      <c r="L2" s="151">
        <v>1</v>
      </c>
      <c r="M2" s="152"/>
      <c r="N2" s="152">
        <v>1</v>
      </c>
      <c r="O2" s="152">
        <v>0.8</v>
      </c>
      <c r="P2" s="152">
        <v>0.85</v>
      </c>
      <c r="Q2" s="153">
        <f>IF(OR(O2="",P2=""),"",AVERAGE(O2,P2))</f>
        <v>0.82499999999999996</v>
      </c>
      <c r="R2" s="154">
        <v>15.2</v>
      </c>
      <c r="S2" s="149">
        <v>117</v>
      </c>
      <c r="T2" s="155">
        <f t="shared" ref="T2:T65" si="0">IF(H2="","",IF(OR(H2="GREEN",H2="GK"),IF(S2&gt;=$AX$2,VLOOKUP(S2,$AX$2:$AY$7,2,1),""),IF(S2&gt;=$AZ$2,VLOOKUP(S2,$AZ$2:$BA$7,2,1),"")))</f>
        <v>30</v>
      </c>
      <c r="U2" s="127">
        <v>88</v>
      </c>
      <c r="V2" s="155">
        <f t="shared" ref="V2:V65" si="1">IF(OR(N2="",U2="",T2=""),"",U2/N2*T2)</f>
        <v>2640</v>
      </c>
      <c r="W2" s="156">
        <v>6</v>
      </c>
      <c r="X2" s="157" t="s">
        <v>46</v>
      </c>
      <c r="Y2" s="157" t="s">
        <v>102</v>
      </c>
      <c r="Z2" s="157" t="s">
        <v>90</v>
      </c>
      <c r="AA2" s="157" t="s">
        <v>78</v>
      </c>
      <c r="AB2" s="53" t="s">
        <v>235</v>
      </c>
      <c r="AE2" s="64" t="s">
        <v>35</v>
      </c>
      <c r="AG2" s="67" t="s">
        <v>357</v>
      </c>
      <c r="AH2" s="67" t="s">
        <v>358</v>
      </c>
      <c r="AJ2" s="130" t="s">
        <v>36</v>
      </c>
      <c r="AL2" s="67" t="s">
        <v>127</v>
      </c>
      <c r="AN2" s="67" t="s">
        <v>37</v>
      </c>
      <c r="AP2" s="67" t="s">
        <v>38</v>
      </c>
      <c r="AR2" s="67" t="s">
        <v>120</v>
      </c>
      <c r="AT2" s="67" t="s">
        <v>39</v>
      </c>
      <c r="AV2" s="67" t="s">
        <v>40</v>
      </c>
      <c r="AX2" s="68">
        <v>1</v>
      </c>
      <c r="AY2" s="69">
        <v>50</v>
      </c>
      <c r="AZ2" s="69">
        <v>1</v>
      </c>
      <c r="BA2" s="70">
        <v>50</v>
      </c>
    </row>
    <row r="3" spans="1:53" x14ac:dyDescent="0.15">
      <c r="A3" s="158" t="s">
        <v>34</v>
      </c>
      <c r="B3" s="158" t="s">
        <v>157</v>
      </c>
      <c r="C3" s="159">
        <v>2019</v>
      </c>
      <c r="D3" s="160" t="s">
        <v>359</v>
      </c>
      <c r="E3" s="158" t="s">
        <v>357</v>
      </c>
      <c r="F3" s="158" t="s">
        <v>358</v>
      </c>
      <c r="G3" s="161" t="s">
        <v>36</v>
      </c>
      <c r="H3" s="127" t="s">
        <v>164</v>
      </c>
      <c r="I3" s="127" t="s">
        <v>159</v>
      </c>
      <c r="J3" s="127" t="s">
        <v>38</v>
      </c>
      <c r="K3" s="127" t="s">
        <v>161</v>
      </c>
      <c r="L3" s="53">
        <v>2</v>
      </c>
      <c r="N3" s="53">
        <v>1</v>
      </c>
      <c r="O3" s="53">
        <v>0.95</v>
      </c>
      <c r="P3" s="34">
        <v>0.9</v>
      </c>
      <c r="Q3" s="162">
        <f t="shared" ref="Q3:Q66" si="2">IF(OR(O3="",P3=""),"",AVERAGE(O3,P3))</f>
        <v>0.92500000000000004</v>
      </c>
      <c r="R3" s="163">
        <v>14.9</v>
      </c>
      <c r="S3" s="163">
        <v>122</v>
      </c>
      <c r="T3" s="16">
        <f t="shared" si="0"/>
        <v>30</v>
      </c>
      <c r="U3" s="164">
        <v>88</v>
      </c>
      <c r="V3" s="38">
        <f t="shared" si="1"/>
        <v>2640</v>
      </c>
      <c r="W3" s="165">
        <v>6</v>
      </c>
      <c r="X3" s="166" t="s">
        <v>46</v>
      </c>
      <c r="Y3" s="166" t="s">
        <v>102</v>
      </c>
      <c r="Z3" s="166" t="s">
        <v>90</v>
      </c>
      <c r="AA3" s="157" t="s">
        <v>78</v>
      </c>
      <c r="AB3" s="53" t="s">
        <v>158</v>
      </c>
      <c r="AE3" s="22" t="s">
        <v>41</v>
      </c>
      <c r="AG3" s="67" t="s">
        <v>360</v>
      </c>
      <c r="AH3" s="67" t="s">
        <v>361</v>
      </c>
      <c r="AJ3" s="167" t="s">
        <v>42</v>
      </c>
      <c r="AL3" s="23" t="s">
        <v>128</v>
      </c>
      <c r="AN3" s="23" t="s">
        <v>43</v>
      </c>
      <c r="AP3" s="23" t="s">
        <v>44</v>
      </c>
      <c r="AR3" s="23" t="s">
        <v>45</v>
      </c>
      <c r="AT3" s="23" t="s">
        <v>46</v>
      </c>
      <c r="AV3" s="23" t="s">
        <v>47</v>
      </c>
      <c r="AX3" s="24">
        <v>72</v>
      </c>
      <c r="AY3" s="25">
        <v>46</v>
      </c>
      <c r="AZ3" s="25">
        <v>71</v>
      </c>
      <c r="BA3" s="26">
        <v>42</v>
      </c>
    </row>
    <row r="4" spans="1:53" x14ac:dyDescent="0.15">
      <c r="A4" s="158" t="s">
        <v>34</v>
      </c>
      <c r="B4" s="158" t="s">
        <v>157</v>
      </c>
      <c r="C4" s="158">
        <v>2019</v>
      </c>
      <c r="D4" s="160" t="s">
        <v>359</v>
      </c>
      <c r="E4" s="158" t="s">
        <v>357</v>
      </c>
      <c r="F4" s="158" t="s">
        <v>358</v>
      </c>
      <c r="G4" s="161" t="s">
        <v>36</v>
      </c>
      <c r="H4" s="127" t="s">
        <v>164</v>
      </c>
      <c r="I4" s="127" t="s">
        <v>159</v>
      </c>
      <c r="J4" s="127" t="s">
        <v>38</v>
      </c>
      <c r="K4" s="127" t="s">
        <v>161</v>
      </c>
      <c r="L4" s="53">
        <v>3</v>
      </c>
      <c r="N4" s="53">
        <v>1</v>
      </c>
      <c r="O4" s="53">
        <v>0.8</v>
      </c>
      <c r="P4" s="34">
        <v>0.8</v>
      </c>
      <c r="Q4" s="75">
        <f t="shared" si="2"/>
        <v>0.8</v>
      </c>
      <c r="R4" s="168">
        <v>15.7</v>
      </c>
      <c r="S4" s="168">
        <v>118</v>
      </c>
      <c r="T4" s="16">
        <f t="shared" si="0"/>
        <v>30</v>
      </c>
      <c r="U4" s="169">
        <v>88</v>
      </c>
      <c r="V4" s="38">
        <f t="shared" si="1"/>
        <v>2640</v>
      </c>
      <c r="W4" s="165">
        <v>6</v>
      </c>
      <c r="X4" s="166" t="s">
        <v>46</v>
      </c>
      <c r="Y4" s="166" t="s">
        <v>102</v>
      </c>
      <c r="Z4" s="166" t="s">
        <v>90</v>
      </c>
      <c r="AA4" s="157" t="s">
        <v>78</v>
      </c>
      <c r="AB4" s="53" t="s">
        <v>158</v>
      </c>
      <c r="AE4" s="22" t="s">
        <v>34</v>
      </c>
      <c r="AG4" s="67" t="s">
        <v>362</v>
      </c>
      <c r="AH4" s="67" t="s">
        <v>361</v>
      </c>
      <c r="AJ4" s="170" t="s">
        <v>48</v>
      </c>
      <c r="AL4" s="27" t="s">
        <v>129</v>
      </c>
      <c r="AN4" s="28" t="s">
        <v>49</v>
      </c>
      <c r="AP4" s="23" t="s">
        <v>93</v>
      </c>
      <c r="AR4" s="23" t="s">
        <v>121</v>
      </c>
      <c r="AT4" s="28"/>
      <c r="AV4" s="23" t="s">
        <v>50</v>
      </c>
      <c r="AX4" s="24">
        <v>75</v>
      </c>
      <c r="AY4" s="25">
        <v>42</v>
      </c>
      <c r="AZ4" s="25">
        <v>76</v>
      </c>
      <c r="BA4" s="26">
        <v>39</v>
      </c>
    </row>
    <row r="5" spans="1:53" x14ac:dyDescent="0.15">
      <c r="A5" s="158" t="s">
        <v>34</v>
      </c>
      <c r="B5" s="158" t="s">
        <v>157</v>
      </c>
      <c r="C5" s="159">
        <v>2019</v>
      </c>
      <c r="D5" s="160" t="s">
        <v>359</v>
      </c>
      <c r="E5" s="158" t="s">
        <v>357</v>
      </c>
      <c r="F5" s="158" t="s">
        <v>358</v>
      </c>
      <c r="G5" s="161" t="s">
        <v>36</v>
      </c>
      <c r="H5" s="127" t="s">
        <v>160</v>
      </c>
      <c r="I5" s="127" t="s">
        <v>159</v>
      </c>
      <c r="J5" s="127" t="s">
        <v>38</v>
      </c>
      <c r="K5" s="127" t="s">
        <v>161</v>
      </c>
      <c r="L5" s="53">
        <v>1</v>
      </c>
      <c r="N5" s="53">
        <v>1</v>
      </c>
      <c r="O5" s="53">
        <v>0.75</v>
      </c>
      <c r="P5" s="53">
        <v>0.7</v>
      </c>
      <c r="Q5" s="75">
        <f t="shared" si="2"/>
        <v>0.72499999999999998</v>
      </c>
      <c r="R5" s="168">
        <v>16.3</v>
      </c>
      <c r="S5" s="168">
        <v>111</v>
      </c>
      <c r="T5" s="16">
        <f t="shared" si="0"/>
        <v>33</v>
      </c>
      <c r="U5" s="169">
        <v>98</v>
      </c>
      <c r="V5" s="38">
        <f t="shared" si="1"/>
        <v>3234</v>
      </c>
      <c r="W5" s="165">
        <v>6</v>
      </c>
      <c r="X5" s="166" t="s">
        <v>46</v>
      </c>
      <c r="Y5" s="166" t="s">
        <v>102</v>
      </c>
      <c r="Z5" s="166" t="s">
        <v>90</v>
      </c>
      <c r="AA5" s="157" t="s">
        <v>78</v>
      </c>
      <c r="AB5" s="53" t="s">
        <v>158</v>
      </c>
      <c r="AE5" s="22" t="s">
        <v>51</v>
      </c>
      <c r="AG5" s="67" t="s">
        <v>357</v>
      </c>
      <c r="AH5" s="67" t="s">
        <v>363</v>
      </c>
      <c r="AJ5" s="171"/>
      <c r="AL5" s="73" t="s">
        <v>66</v>
      </c>
      <c r="AN5" s="73" t="s">
        <v>52</v>
      </c>
      <c r="AP5" s="23" t="s">
        <v>119</v>
      </c>
      <c r="AR5" s="23" t="s">
        <v>54</v>
      </c>
      <c r="AV5" s="23" t="s">
        <v>55</v>
      </c>
      <c r="AX5" s="24">
        <v>84</v>
      </c>
      <c r="AY5" s="25">
        <v>39</v>
      </c>
      <c r="AZ5" s="25">
        <v>84</v>
      </c>
      <c r="BA5" s="26">
        <v>36</v>
      </c>
    </row>
    <row r="6" spans="1:53" x14ac:dyDescent="0.15">
      <c r="A6" s="158" t="s">
        <v>34</v>
      </c>
      <c r="B6" s="158" t="s">
        <v>157</v>
      </c>
      <c r="C6" s="158">
        <v>2019</v>
      </c>
      <c r="D6" s="160" t="s">
        <v>359</v>
      </c>
      <c r="E6" s="158" t="s">
        <v>357</v>
      </c>
      <c r="F6" s="158" t="s">
        <v>358</v>
      </c>
      <c r="G6" s="161" t="s">
        <v>36</v>
      </c>
      <c r="H6" s="127" t="s">
        <v>160</v>
      </c>
      <c r="I6" s="127" t="s">
        <v>159</v>
      </c>
      <c r="J6" s="127" t="s">
        <v>38</v>
      </c>
      <c r="K6" s="127" t="s">
        <v>161</v>
      </c>
      <c r="L6" s="53">
        <v>2</v>
      </c>
      <c r="N6" s="53">
        <v>1</v>
      </c>
      <c r="O6" s="53">
        <v>0.6</v>
      </c>
      <c r="P6" s="53">
        <v>0.7</v>
      </c>
      <c r="Q6" s="75">
        <f t="shared" si="2"/>
        <v>0.64999999999999991</v>
      </c>
      <c r="R6" s="168">
        <v>17.899999999999999</v>
      </c>
      <c r="S6" s="168">
        <v>107</v>
      </c>
      <c r="T6" s="16">
        <f t="shared" si="0"/>
        <v>33</v>
      </c>
      <c r="U6" s="169">
        <v>98</v>
      </c>
      <c r="V6" s="38">
        <f t="shared" si="1"/>
        <v>3234</v>
      </c>
      <c r="W6" s="165">
        <v>6</v>
      </c>
      <c r="X6" s="166" t="s">
        <v>46</v>
      </c>
      <c r="Y6" s="166" t="s">
        <v>102</v>
      </c>
      <c r="Z6" s="166" t="s">
        <v>90</v>
      </c>
      <c r="AA6" s="157" t="s">
        <v>78</v>
      </c>
      <c r="AB6" s="53" t="s">
        <v>158</v>
      </c>
      <c r="AE6" s="22" t="s">
        <v>56</v>
      </c>
      <c r="AG6" s="67" t="s">
        <v>209</v>
      </c>
      <c r="AH6" s="67" t="s">
        <v>364</v>
      </c>
      <c r="AL6" s="73" t="s">
        <v>99</v>
      </c>
      <c r="AN6" s="73" t="s">
        <v>57</v>
      </c>
      <c r="AP6" s="23" t="s">
        <v>53</v>
      </c>
      <c r="AR6" s="23" t="s">
        <v>59</v>
      </c>
      <c r="AV6" s="23" t="s">
        <v>60</v>
      </c>
      <c r="AX6" s="24">
        <v>97</v>
      </c>
      <c r="AY6" s="25">
        <v>36</v>
      </c>
      <c r="AZ6" s="25">
        <v>99</v>
      </c>
      <c r="BA6" s="26">
        <v>33</v>
      </c>
    </row>
    <row r="7" spans="1:53" x14ac:dyDescent="0.15">
      <c r="A7" s="158" t="s">
        <v>34</v>
      </c>
      <c r="B7" s="158" t="s">
        <v>157</v>
      </c>
      <c r="C7" s="159">
        <v>2019</v>
      </c>
      <c r="D7" s="160" t="s">
        <v>359</v>
      </c>
      <c r="E7" s="158" t="s">
        <v>357</v>
      </c>
      <c r="F7" s="158" t="s">
        <v>358</v>
      </c>
      <c r="G7" s="161" t="s">
        <v>36</v>
      </c>
      <c r="H7" s="127" t="s">
        <v>160</v>
      </c>
      <c r="I7" s="127" t="s">
        <v>159</v>
      </c>
      <c r="J7" s="127" t="s">
        <v>38</v>
      </c>
      <c r="K7" s="127" t="s">
        <v>161</v>
      </c>
      <c r="L7" s="53">
        <v>3</v>
      </c>
      <c r="N7" s="53">
        <v>1</v>
      </c>
      <c r="O7" s="53">
        <v>0.7</v>
      </c>
      <c r="P7" s="53">
        <v>0.65</v>
      </c>
      <c r="Q7" s="75">
        <f t="shared" si="2"/>
        <v>0.67500000000000004</v>
      </c>
      <c r="R7" s="168">
        <v>16.600000000000001</v>
      </c>
      <c r="S7" s="168">
        <v>109</v>
      </c>
      <c r="T7" s="16">
        <f t="shared" si="0"/>
        <v>33</v>
      </c>
      <c r="U7" s="169">
        <v>98</v>
      </c>
      <c r="V7" s="38">
        <f t="shared" si="1"/>
        <v>3234</v>
      </c>
      <c r="W7" s="165">
        <v>6</v>
      </c>
      <c r="X7" s="166" t="s">
        <v>46</v>
      </c>
      <c r="Y7" s="166" t="s">
        <v>102</v>
      </c>
      <c r="Z7" s="166" t="s">
        <v>90</v>
      </c>
      <c r="AA7" s="157" t="s">
        <v>78</v>
      </c>
      <c r="AB7" s="53" t="s">
        <v>158</v>
      </c>
      <c r="AE7" s="22" t="s">
        <v>61</v>
      </c>
      <c r="AG7" s="67" t="s">
        <v>365</v>
      </c>
      <c r="AH7" s="67" t="s">
        <v>364</v>
      </c>
      <c r="AL7" s="34" t="s">
        <v>109</v>
      </c>
      <c r="AP7" s="23" t="s">
        <v>58</v>
      </c>
      <c r="AR7" s="23" t="s">
        <v>122</v>
      </c>
      <c r="AV7" s="23" t="s">
        <v>64</v>
      </c>
      <c r="AX7" s="24">
        <v>109</v>
      </c>
      <c r="AY7" s="25">
        <v>33</v>
      </c>
      <c r="AZ7" s="25">
        <v>113</v>
      </c>
      <c r="BA7" s="26">
        <v>30</v>
      </c>
    </row>
    <row r="8" spans="1:53" x14ac:dyDescent="0.15">
      <c r="A8" s="158" t="s">
        <v>34</v>
      </c>
      <c r="B8" s="158" t="s">
        <v>157</v>
      </c>
      <c r="C8" s="158">
        <v>2019</v>
      </c>
      <c r="D8" s="160" t="s">
        <v>359</v>
      </c>
      <c r="E8" s="159" t="s">
        <v>360</v>
      </c>
      <c r="F8" s="158" t="s">
        <v>361</v>
      </c>
      <c r="G8" s="161" t="s">
        <v>36</v>
      </c>
      <c r="H8" s="127" t="s">
        <v>164</v>
      </c>
      <c r="I8" s="127" t="s">
        <v>159</v>
      </c>
      <c r="J8" s="127" t="s">
        <v>38</v>
      </c>
      <c r="K8" s="127" t="s">
        <v>161</v>
      </c>
      <c r="L8" s="53">
        <v>1</v>
      </c>
      <c r="N8" s="53">
        <v>1</v>
      </c>
      <c r="O8" s="53">
        <v>0.6</v>
      </c>
      <c r="P8" s="53">
        <v>0.65</v>
      </c>
      <c r="Q8" s="75">
        <f t="shared" si="2"/>
        <v>0.625</v>
      </c>
      <c r="R8" s="168">
        <v>14.6</v>
      </c>
      <c r="S8" s="168">
        <v>116</v>
      </c>
      <c r="T8" s="16">
        <f t="shared" si="0"/>
        <v>30</v>
      </c>
      <c r="U8" s="164">
        <v>128</v>
      </c>
      <c r="V8" s="38">
        <f t="shared" si="1"/>
        <v>3840</v>
      </c>
      <c r="W8" s="165">
        <v>4</v>
      </c>
      <c r="X8" s="166" t="s">
        <v>46</v>
      </c>
      <c r="Y8" s="172" t="s">
        <v>102</v>
      </c>
      <c r="Z8" s="166" t="s">
        <v>78</v>
      </c>
      <c r="AA8" s="157" t="s">
        <v>88</v>
      </c>
      <c r="AB8" s="53" t="s">
        <v>158</v>
      </c>
      <c r="AE8" s="22" t="s">
        <v>59</v>
      </c>
      <c r="AG8" s="67" t="s">
        <v>209</v>
      </c>
      <c r="AH8" s="67" t="s">
        <v>366</v>
      </c>
      <c r="AL8" s="34" t="s">
        <v>134</v>
      </c>
      <c r="AP8" s="23" t="s">
        <v>62</v>
      </c>
      <c r="AR8" s="23" t="s">
        <v>81</v>
      </c>
      <c r="AV8" s="23" t="s">
        <v>97</v>
      </c>
      <c r="AX8" s="24">
        <v>151</v>
      </c>
      <c r="AY8" s="25">
        <v>22</v>
      </c>
      <c r="AZ8" s="25">
        <v>152</v>
      </c>
      <c r="BA8" s="26">
        <v>18</v>
      </c>
    </row>
    <row r="9" spans="1:53" x14ac:dyDescent="0.15">
      <c r="A9" s="158" t="s">
        <v>34</v>
      </c>
      <c r="B9" s="158" t="s">
        <v>157</v>
      </c>
      <c r="C9" s="159">
        <v>2019</v>
      </c>
      <c r="D9" s="160" t="s">
        <v>359</v>
      </c>
      <c r="E9" s="159" t="s">
        <v>360</v>
      </c>
      <c r="F9" s="158" t="s">
        <v>361</v>
      </c>
      <c r="G9" s="161" t="s">
        <v>36</v>
      </c>
      <c r="H9" s="127" t="s">
        <v>367</v>
      </c>
      <c r="I9" s="127" t="s">
        <v>159</v>
      </c>
      <c r="J9" s="127" t="s">
        <v>38</v>
      </c>
      <c r="K9" s="127" t="s">
        <v>161</v>
      </c>
      <c r="L9" s="53">
        <v>2</v>
      </c>
      <c r="N9" s="53">
        <v>1</v>
      </c>
      <c r="O9" s="53">
        <v>0.55000000000000004</v>
      </c>
      <c r="P9" s="53">
        <v>0.6</v>
      </c>
      <c r="Q9" s="75">
        <f t="shared" si="2"/>
        <v>0.57499999999999996</v>
      </c>
      <c r="R9" s="168">
        <v>14.9</v>
      </c>
      <c r="S9" s="168">
        <v>122</v>
      </c>
      <c r="T9" s="16">
        <f t="shared" si="0"/>
        <v>30</v>
      </c>
      <c r="U9" s="164">
        <v>128</v>
      </c>
      <c r="V9" s="38">
        <f t="shared" si="1"/>
        <v>3840</v>
      </c>
      <c r="W9" s="165">
        <v>4</v>
      </c>
      <c r="X9" s="166" t="s">
        <v>46</v>
      </c>
      <c r="Y9" s="172" t="s">
        <v>102</v>
      </c>
      <c r="Z9" s="166" t="s">
        <v>78</v>
      </c>
      <c r="AA9" s="157" t="s">
        <v>88</v>
      </c>
      <c r="AB9" s="53" t="s">
        <v>158</v>
      </c>
      <c r="AE9" s="22" t="s">
        <v>98</v>
      </c>
      <c r="AG9" s="67" t="s">
        <v>139</v>
      </c>
      <c r="AH9" s="67" t="s">
        <v>366</v>
      </c>
      <c r="AL9" s="73"/>
      <c r="AP9" s="23" t="s">
        <v>95</v>
      </c>
      <c r="AR9" s="23" t="s">
        <v>89</v>
      </c>
      <c r="AV9" s="23" t="s">
        <v>102</v>
      </c>
      <c r="AX9" s="31">
        <v>180</v>
      </c>
      <c r="AY9" s="32">
        <v>18</v>
      </c>
      <c r="AZ9" s="32">
        <v>181</v>
      </c>
      <c r="BA9" s="33">
        <v>16</v>
      </c>
    </row>
    <row r="10" spans="1:53" x14ac:dyDescent="0.15">
      <c r="A10" s="158" t="s">
        <v>34</v>
      </c>
      <c r="B10" s="158" t="s">
        <v>157</v>
      </c>
      <c r="C10" s="158">
        <v>2019</v>
      </c>
      <c r="D10" s="160" t="s">
        <v>359</v>
      </c>
      <c r="E10" s="159" t="s">
        <v>360</v>
      </c>
      <c r="F10" s="158" t="s">
        <v>361</v>
      </c>
      <c r="G10" s="161" t="s">
        <v>36</v>
      </c>
      <c r="H10" s="127" t="s">
        <v>164</v>
      </c>
      <c r="I10" s="127" t="s">
        <v>159</v>
      </c>
      <c r="J10" s="127" t="s">
        <v>38</v>
      </c>
      <c r="K10" s="127" t="s">
        <v>161</v>
      </c>
      <c r="L10" s="53">
        <v>3</v>
      </c>
      <c r="N10" s="53">
        <v>1</v>
      </c>
      <c r="O10" s="53">
        <v>0.65</v>
      </c>
      <c r="P10" s="53">
        <v>0.6</v>
      </c>
      <c r="Q10" s="75">
        <f t="shared" si="2"/>
        <v>0.625</v>
      </c>
      <c r="R10" s="168">
        <v>14.4</v>
      </c>
      <c r="S10" s="168">
        <v>117</v>
      </c>
      <c r="T10" s="16">
        <f t="shared" si="0"/>
        <v>30</v>
      </c>
      <c r="U10" s="164">
        <v>128</v>
      </c>
      <c r="V10" s="38">
        <f t="shared" si="1"/>
        <v>3840</v>
      </c>
      <c r="W10" s="165">
        <v>4</v>
      </c>
      <c r="X10" s="166" t="s">
        <v>46</v>
      </c>
      <c r="Y10" s="172" t="s">
        <v>102</v>
      </c>
      <c r="Z10" s="166" t="s">
        <v>78</v>
      </c>
      <c r="AA10" s="157" t="s">
        <v>88</v>
      </c>
      <c r="AB10" s="53" t="s">
        <v>158</v>
      </c>
      <c r="AE10" s="22" t="s">
        <v>103</v>
      </c>
      <c r="AG10" s="67" t="s">
        <v>133</v>
      </c>
      <c r="AH10" s="67" t="s">
        <v>368</v>
      </c>
      <c r="AL10" s="34"/>
      <c r="AP10" s="23" t="s">
        <v>100</v>
      </c>
      <c r="AR10" s="23" t="s">
        <v>123</v>
      </c>
      <c r="AV10" s="23" t="s">
        <v>106</v>
      </c>
    </row>
    <row r="11" spans="1:53" x14ac:dyDescent="0.15">
      <c r="A11" s="158" t="s">
        <v>34</v>
      </c>
      <c r="B11" s="158" t="s">
        <v>157</v>
      </c>
      <c r="C11" s="159">
        <v>2019</v>
      </c>
      <c r="D11" s="160" t="s">
        <v>359</v>
      </c>
      <c r="E11" s="159" t="s">
        <v>360</v>
      </c>
      <c r="F11" s="158" t="s">
        <v>361</v>
      </c>
      <c r="G11" s="161" t="s">
        <v>36</v>
      </c>
      <c r="H11" s="127" t="s">
        <v>160</v>
      </c>
      <c r="I11" s="127" t="s">
        <v>159</v>
      </c>
      <c r="J11" s="127" t="s">
        <v>38</v>
      </c>
      <c r="K11" s="127" t="s">
        <v>161</v>
      </c>
      <c r="L11" s="53">
        <v>1</v>
      </c>
      <c r="N11" s="53">
        <v>1</v>
      </c>
      <c r="O11" s="53">
        <v>0.9</v>
      </c>
      <c r="P11" s="53">
        <v>1</v>
      </c>
      <c r="Q11" s="75">
        <f t="shared" si="2"/>
        <v>0.95</v>
      </c>
      <c r="R11" s="168">
        <v>15.8</v>
      </c>
      <c r="S11" s="168">
        <v>114</v>
      </c>
      <c r="T11" s="16">
        <f t="shared" si="0"/>
        <v>30</v>
      </c>
      <c r="U11" s="164">
        <v>128</v>
      </c>
      <c r="V11" s="38">
        <f t="shared" si="1"/>
        <v>3840</v>
      </c>
      <c r="W11" s="165">
        <v>4</v>
      </c>
      <c r="X11" s="166" t="s">
        <v>46</v>
      </c>
      <c r="Y11" s="172" t="s">
        <v>102</v>
      </c>
      <c r="Z11" s="166" t="s">
        <v>78</v>
      </c>
      <c r="AA11" s="172" t="s">
        <v>88</v>
      </c>
      <c r="AB11" s="53" t="s">
        <v>158</v>
      </c>
      <c r="AE11" s="22" t="s">
        <v>65</v>
      </c>
      <c r="AG11" s="23" t="s">
        <v>268</v>
      </c>
      <c r="AH11" s="23" t="s">
        <v>369</v>
      </c>
      <c r="AL11" s="34"/>
      <c r="AP11" s="23" t="s">
        <v>104</v>
      </c>
      <c r="AR11" s="23" t="s">
        <v>87</v>
      </c>
      <c r="AV11" s="23" t="s">
        <v>69</v>
      </c>
    </row>
    <row r="12" spans="1:53" x14ac:dyDescent="0.15">
      <c r="A12" s="158" t="s">
        <v>34</v>
      </c>
      <c r="B12" s="158" t="s">
        <v>157</v>
      </c>
      <c r="C12" s="158">
        <v>2019</v>
      </c>
      <c r="D12" s="160" t="s">
        <v>359</v>
      </c>
      <c r="E12" s="159" t="s">
        <v>360</v>
      </c>
      <c r="F12" s="158" t="s">
        <v>361</v>
      </c>
      <c r="G12" s="161" t="s">
        <v>36</v>
      </c>
      <c r="H12" s="127" t="s">
        <v>160</v>
      </c>
      <c r="I12" s="127" t="s">
        <v>159</v>
      </c>
      <c r="J12" s="127" t="s">
        <v>38</v>
      </c>
      <c r="K12" s="127" t="s">
        <v>161</v>
      </c>
      <c r="L12" s="53">
        <v>2</v>
      </c>
      <c r="N12" s="53">
        <v>1</v>
      </c>
      <c r="O12" s="53">
        <v>0.75</v>
      </c>
      <c r="P12" s="53">
        <v>0.7</v>
      </c>
      <c r="Q12" s="75">
        <f t="shared" si="2"/>
        <v>0.72499999999999998</v>
      </c>
      <c r="R12" s="168">
        <v>16</v>
      </c>
      <c r="S12" s="168">
        <v>111</v>
      </c>
      <c r="T12" s="16">
        <f t="shared" si="0"/>
        <v>33</v>
      </c>
      <c r="U12" s="164">
        <v>128</v>
      </c>
      <c r="V12" s="38">
        <f t="shared" si="1"/>
        <v>4224</v>
      </c>
      <c r="W12" s="165">
        <v>4</v>
      </c>
      <c r="X12" s="166" t="s">
        <v>46</v>
      </c>
      <c r="Y12" s="172" t="s">
        <v>102</v>
      </c>
      <c r="Z12" s="166" t="s">
        <v>78</v>
      </c>
      <c r="AA12" s="172" t="s">
        <v>88</v>
      </c>
      <c r="AB12" s="53" t="s">
        <v>158</v>
      </c>
      <c r="AE12" s="22" t="s">
        <v>70</v>
      </c>
      <c r="AG12" s="23"/>
      <c r="AH12" s="23"/>
      <c r="AL12" s="34"/>
      <c r="AP12" s="23" t="s">
        <v>67</v>
      </c>
      <c r="AR12" s="23" t="s">
        <v>124</v>
      </c>
      <c r="AV12" s="23" t="s">
        <v>72</v>
      </c>
    </row>
    <row r="13" spans="1:53" x14ac:dyDescent="0.15">
      <c r="A13" s="158" t="s">
        <v>34</v>
      </c>
      <c r="B13" s="158" t="s">
        <v>157</v>
      </c>
      <c r="C13" s="159">
        <v>2019</v>
      </c>
      <c r="D13" s="160" t="s">
        <v>359</v>
      </c>
      <c r="E13" s="159" t="s">
        <v>360</v>
      </c>
      <c r="F13" s="158" t="s">
        <v>361</v>
      </c>
      <c r="G13" s="161" t="s">
        <v>36</v>
      </c>
      <c r="H13" s="127" t="s">
        <v>160</v>
      </c>
      <c r="I13" s="127" t="s">
        <v>159</v>
      </c>
      <c r="J13" s="127" t="s">
        <v>38</v>
      </c>
      <c r="K13" s="127" t="s">
        <v>161</v>
      </c>
      <c r="L13" s="53">
        <v>3</v>
      </c>
      <c r="N13" s="53">
        <v>1</v>
      </c>
      <c r="O13" s="53">
        <v>0.8</v>
      </c>
      <c r="P13" s="53">
        <v>0.85</v>
      </c>
      <c r="Q13" s="75">
        <f t="shared" si="2"/>
        <v>0.82499999999999996</v>
      </c>
      <c r="R13" s="168">
        <v>16.2</v>
      </c>
      <c r="S13" s="168">
        <v>109</v>
      </c>
      <c r="T13" s="16">
        <f t="shared" si="0"/>
        <v>33</v>
      </c>
      <c r="U13" s="164">
        <v>128</v>
      </c>
      <c r="V13" s="38">
        <f t="shared" si="1"/>
        <v>4224</v>
      </c>
      <c r="W13" s="165">
        <v>4</v>
      </c>
      <c r="X13" s="166" t="s">
        <v>46</v>
      </c>
      <c r="Y13" s="172" t="s">
        <v>102</v>
      </c>
      <c r="Z13" s="166" t="s">
        <v>78</v>
      </c>
      <c r="AA13" s="172" t="s">
        <v>88</v>
      </c>
      <c r="AB13" s="53" t="s">
        <v>158</v>
      </c>
      <c r="AE13" s="22" t="s">
        <v>73</v>
      </c>
      <c r="AG13" s="28"/>
      <c r="AH13" s="28"/>
      <c r="AP13" s="23" t="s">
        <v>71</v>
      </c>
      <c r="AR13" s="23" t="s">
        <v>103</v>
      </c>
      <c r="AV13" s="23" t="s">
        <v>75</v>
      </c>
    </row>
    <row r="14" spans="1:53" x14ac:dyDescent="0.15">
      <c r="A14" s="158" t="s">
        <v>34</v>
      </c>
      <c r="B14" s="158" t="s">
        <v>157</v>
      </c>
      <c r="C14" s="158">
        <v>2019</v>
      </c>
      <c r="D14" s="160" t="s">
        <v>359</v>
      </c>
      <c r="E14" s="159" t="s">
        <v>362</v>
      </c>
      <c r="F14" s="158" t="s">
        <v>361</v>
      </c>
      <c r="G14" s="161" t="s">
        <v>36</v>
      </c>
      <c r="H14" s="127" t="s">
        <v>164</v>
      </c>
      <c r="I14" s="127" t="s">
        <v>159</v>
      </c>
      <c r="J14" s="127" t="s">
        <v>38</v>
      </c>
      <c r="K14" s="127" t="s">
        <v>161</v>
      </c>
      <c r="L14" s="53">
        <v>1</v>
      </c>
      <c r="N14" s="53">
        <v>1</v>
      </c>
      <c r="O14" s="53">
        <v>1.05</v>
      </c>
      <c r="P14" s="53">
        <v>0.95</v>
      </c>
      <c r="Q14" s="75">
        <f t="shared" si="2"/>
        <v>1</v>
      </c>
      <c r="R14" s="168">
        <v>12.6</v>
      </c>
      <c r="S14" s="168">
        <v>131</v>
      </c>
      <c r="T14" s="16">
        <f t="shared" si="0"/>
        <v>30</v>
      </c>
      <c r="U14" s="164">
        <v>128</v>
      </c>
      <c r="V14" s="38">
        <f t="shared" si="1"/>
        <v>3840</v>
      </c>
      <c r="W14" s="165">
        <v>4</v>
      </c>
      <c r="X14" s="166" t="s">
        <v>46</v>
      </c>
      <c r="Y14" s="172" t="s">
        <v>78</v>
      </c>
      <c r="Z14" s="172" t="s">
        <v>90</v>
      </c>
      <c r="AA14" s="172" t="s">
        <v>102</v>
      </c>
      <c r="AB14" s="53" t="s">
        <v>158</v>
      </c>
      <c r="AC14" s="34"/>
      <c r="AE14" s="22" t="s">
        <v>76</v>
      </c>
      <c r="AP14" s="23" t="s">
        <v>74</v>
      </c>
      <c r="AR14" s="23" t="s">
        <v>125</v>
      </c>
      <c r="AV14" s="23" t="s">
        <v>78</v>
      </c>
    </row>
    <row r="15" spans="1:53" x14ac:dyDescent="0.15">
      <c r="A15" s="158" t="s">
        <v>34</v>
      </c>
      <c r="B15" s="158" t="s">
        <v>157</v>
      </c>
      <c r="C15" s="159">
        <v>2019</v>
      </c>
      <c r="D15" s="160" t="s">
        <v>359</v>
      </c>
      <c r="E15" s="159" t="s">
        <v>362</v>
      </c>
      <c r="F15" s="158" t="s">
        <v>361</v>
      </c>
      <c r="G15" s="161" t="s">
        <v>36</v>
      </c>
      <c r="H15" s="127" t="s">
        <v>164</v>
      </c>
      <c r="I15" s="127" t="s">
        <v>159</v>
      </c>
      <c r="J15" s="127" t="s">
        <v>38</v>
      </c>
      <c r="K15" s="127" t="s">
        <v>161</v>
      </c>
      <c r="L15" s="53">
        <v>2</v>
      </c>
      <c r="N15" s="53">
        <v>1</v>
      </c>
      <c r="O15" s="53">
        <v>0.9</v>
      </c>
      <c r="P15" s="53">
        <v>0.8</v>
      </c>
      <c r="Q15" s="75">
        <f t="shared" si="2"/>
        <v>0.85000000000000009</v>
      </c>
      <c r="R15" s="168">
        <v>13.5</v>
      </c>
      <c r="S15" s="168">
        <v>131</v>
      </c>
      <c r="T15" s="16">
        <f t="shared" si="0"/>
        <v>30</v>
      </c>
      <c r="U15" s="164">
        <v>128</v>
      </c>
      <c r="V15" s="38">
        <f t="shared" si="1"/>
        <v>3840</v>
      </c>
      <c r="W15" s="165">
        <v>4</v>
      </c>
      <c r="X15" s="166" t="s">
        <v>46</v>
      </c>
      <c r="Y15" s="172" t="s">
        <v>78</v>
      </c>
      <c r="Z15" s="172" t="s">
        <v>90</v>
      </c>
      <c r="AA15" s="172" t="s">
        <v>102</v>
      </c>
      <c r="AB15" s="53" t="s">
        <v>158</v>
      </c>
      <c r="AC15" s="34"/>
      <c r="AE15" s="22" t="s">
        <v>79</v>
      </c>
      <c r="AP15" s="23" t="s">
        <v>77</v>
      </c>
      <c r="AR15" s="23" t="s">
        <v>94</v>
      </c>
      <c r="AV15" s="23" t="s">
        <v>107</v>
      </c>
    </row>
    <row r="16" spans="1:53" x14ac:dyDescent="0.15">
      <c r="A16" s="158" t="s">
        <v>34</v>
      </c>
      <c r="B16" s="158" t="s">
        <v>157</v>
      </c>
      <c r="C16" s="158">
        <v>2019</v>
      </c>
      <c r="D16" s="160" t="s">
        <v>359</v>
      </c>
      <c r="E16" s="159" t="s">
        <v>362</v>
      </c>
      <c r="F16" s="158" t="s">
        <v>361</v>
      </c>
      <c r="G16" s="161" t="s">
        <v>36</v>
      </c>
      <c r="H16" s="127" t="s">
        <v>164</v>
      </c>
      <c r="I16" s="127" t="s">
        <v>159</v>
      </c>
      <c r="J16" s="127" t="s">
        <v>38</v>
      </c>
      <c r="K16" s="127" t="s">
        <v>161</v>
      </c>
      <c r="L16" s="53">
        <v>3</v>
      </c>
      <c r="N16" s="53">
        <v>1</v>
      </c>
      <c r="O16" s="53">
        <v>1.1000000000000001</v>
      </c>
      <c r="P16" s="53">
        <v>0.9</v>
      </c>
      <c r="Q16" s="75">
        <f t="shared" si="2"/>
        <v>1</v>
      </c>
      <c r="R16" s="168">
        <v>13.1</v>
      </c>
      <c r="S16" s="168">
        <v>130</v>
      </c>
      <c r="T16" s="16">
        <f t="shared" si="0"/>
        <v>30</v>
      </c>
      <c r="U16" s="164">
        <v>128</v>
      </c>
      <c r="V16" s="38">
        <f t="shared" si="1"/>
        <v>3840</v>
      </c>
      <c r="W16" s="165">
        <v>4</v>
      </c>
      <c r="X16" s="166" t="s">
        <v>46</v>
      </c>
      <c r="Y16" s="172" t="s">
        <v>78</v>
      </c>
      <c r="Z16" s="172" t="s">
        <v>90</v>
      </c>
      <c r="AA16" s="172" t="s">
        <v>102</v>
      </c>
      <c r="AB16" s="53" t="s">
        <v>158</v>
      </c>
      <c r="AC16" s="34"/>
      <c r="AE16" s="22" t="s">
        <v>82</v>
      </c>
      <c r="AP16" s="23" t="s">
        <v>80</v>
      </c>
      <c r="AR16" s="23" t="s">
        <v>63</v>
      </c>
      <c r="AV16" s="23" t="s">
        <v>84</v>
      </c>
    </row>
    <row r="17" spans="1:48" x14ac:dyDescent="0.15">
      <c r="A17" s="158" t="s">
        <v>34</v>
      </c>
      <c r="B17" s="158" t="s">
        <v>231</v>
      </c>
      <c r="C17" s="159">
        <v>2019</v>
      </c>
      <c r="D17" s="160" t="s">
        <v>359</v>
      </c>
      <c r="E17" s="159" t="s">
        <v>362</v>
      </c>
      <c r="F17" s="158" t="s">
        <v>361</v>
      </c>
      <c r="G17" s="161" t="s">
        <v>36</v>
      </c>
      <c r="H17" s="127" t="s">
        <v>160</v>
      </c>
      <c r="I17" s="127" t="s">
        <v>159</v>
      </c>
      <c r="J17" s="127" t="s">
        <v>38</v>
      </c>
      <c r="K17" s="127" t="s">
        <v>161</v>
      </c>
      <c r="L17" s="53">
        <v>1</v>
      </c>
      <c r="N17" s="53">
        <v>1</v>
      </c>
      <c r="O17" s="53">
        <v>0.8</v>
      </c>
      <c r="P17" s="53">
        <v>0.8</v>
      </c>
      <c r="Q17" s="75">
        <f t="shared" si="2"/>
        <v>0.8</v>
      </c>
      <c r="R17" s="168">
        <v>15.5</v>
      </c>
      <c r="S17" s="168">
        <v>108</v>
      </c>
      <c r="T17" s="16">
        <f t="shared" si="0"/>
        <v>33</v>
      </c>
      <c r="U17" s="164">
        <v>148</v>
      </c>
      <c r="V17" s="38">
        <f t="shared" si="1"/>
        <v>4884</v>
      </c>
      <c r="W17" s="165">
        <v>4</v>
      </c>
      <c r="X17" s="166" t="s">
        <v>46</v>
      </c>
      <c r="Y17" s="172" t="s">
        <v>78</v>
      </c>
      <c r="Z17" s="172" t="s">
        <v>90</v>
      </c>
      <c r="AA17" s="172" t="s">
        <v>102</v>
      </c>
      <c r="AB17" s="53" t="s">
        <v>158</v>
      </c>
      <c r="AC17" s="34"/>
      <c r="AE17" s="22" t="s">
        <v>85</v>
      </c>
      <c r="AP17" s="27" t="s">
        <v>110</v>
      </c>
      <c r="AR17" s="23" t="s">
        <v>96</v>
      </c>
      <c r="AV17" s="23" t="s">
        <v>86</v>
      </c>
    </row>
    <row r="18" spans="1:48" x14ac:dyDescent="0.15">
      <c r="A18" s="158" t="s">
        <v>34</v>
      </c>
      <c r="B18" s="158" t="s">
        <v>157</v>
      </c>
      <c r="C18" s="158">
        <v>2019</v>
      </c>
      <c r="D18" s="160" t="s">
        <v>359</v>
      </c>
      <c r="E18" s="159" t="s">
        <v>362</v>
      </c>
      <c r="F18" s="158" t="s">
        <v>361</v>
      </c>
      <c r="G18" s="161" t="s">
        <v>36</v>
      </c>
      <c r="H18" s="127" t="s">
        <v>160</v>
      </c>
      <c r="I18" s="127" t="s">
        <v>159</v>
      </c>
      <c r="J18" s="127" t="s">
        <v>38</v>
      </c>
      <c r="K18" s="127" t="s">
        <v>161</v>
      </c>
      <c r="L18" s="53">
        <v>2</v>
      </c>
      <c r="N18" s="53">
        <v>1</v>
      </c>
      <c r="O18" s="53">
        <v>0.85</v>
      </c>
      <c r="P18" s="53">
        <v>0.8</v>
      </c>
      <c r="Q18" s="75">
        <f t="shared" si="2"/>
        <v>0.82499999999999996</v>
      </c>
      <c r="R18" s="168">
        <v>15.8</v>
      </c>
      <c r="S18" s="168">
        <v>108</v>
      </c>
      <c r="T18" s="16">
        <f t="shared" si="0"/>
        <v>33</v>
      </c>
      <c r="U18" s="164">
        <v>148</v>
      </c>
      <c r="V18" s="38">
        <f t="shared" si="1"/>
        <v>4884</v>
      </c>
      <c r="W18" s="165">
        <v>4</v>
      </c>
      <c r="X18" s="166" t="s">
        <v>46</v>
      </c>
      <c r="Y18" s="172" t="s">
        <v>78</v>
      </c>
      <c r="Z18" s="172" t="s">
        <v>90</v>
      </c>
      <c r="AA18" s="172" t="s">
        <v>102</v>
      </c>
      <c r="AB18" s="53" t="s">
        <v>158</v>
      </c>
      <c r="AC18" s="34"/>
      <c r="AE18" s="22" t="s">
        <v>87</v>
      </c>
      <c r="AP18" s="27" t="s">
        <v>111</v>
      </c>
      <c r="AR18" s="23" t="s">
        <v>101</v>
      </c>
      <c r="AV18" s="23" t="s">
        <v>88</v>
      </c>
    </row>
    <row r="19" spans="1:48" x14ac:dyDescent="0.15">
      <c r="A19" s="158" t="s">
        <v>34</v>
      </c>
      <c r="B19" s="158" t="s">
        <v>157</v>
      </c>
      <c r="C19" s="159">
        <v>2019</v>
      </c>
      <c r="D19" s="160" t="s">
        <v>359</v>
      </c>
      <c r="E19" s="159" t="s">
        <v>362</v>
      </c>
      <c r="F19" s="158" t="s">
        <v>361</v>
      </c>
      <c r="G19" s="161" t="s">
        <v>36</v>
      </c>
      <c r="H19" s="127" t="s">
        <v>160</v>
      </c>
      <c r="I19" s="127" t="s">
        <v>159</v>
      </c>
      <c r="J19" s="127" t="s">
        <v>38</v>
      </c>
      <c r="K19" s="127" t="s">
        <v>161</v>
      </c>
      <c r="L19" s="53">
        <v>3</v>
      </c>
      <c r="N19" s="53">
        <v>1</v>
      </c>
      <c r="O19" s="53">
        <v>0.8</v>
      </c>
      <c r="P19" s="53">
        <v>0.75</v>
      </c>
      <c r="Q19" s="75">
        <f t="shared" si="2"/>
        <v>0.77500000000000002</v>
      </c>
      <c r="R19" s="168">
        <v>15.9</v>
      </c>
      <c r="S19" s="168">
        <v>106</v>
      </c>
      <c r="T19" s="16">
        <f t="shared" si="0"/>
        <v>33</v>
      </c>
      <c r="U19" s="164">
        <v>148</v>
      </c>
      <c r="V19" s="38">
        <f t="shared" si="1"/>
        <v>4884</v>
      </c>
      <c r="W19" s="165">
        <v>4</v>
      </c>
      <c r="X19" s="166" t="s">
        <v>46</v>
      </c>
      <c r="Y19" s="172" t="s">
        <v>78</v>
      </c>
      <c r="Z19" s="172" t="s">
        <v>90</v>
      </c>
      <c r="AA19" s="172" t="s">
        <v>102</v>
      </c>
      <c r="AB19" s="53" t="s">
        <v>158</v>
      </c>
      <c r="AC19" s="34"/>
      <c r="AE19" s="35" t="s">
        <v>89</v>
      </c>
      <c r="AP19" s="27" t="s">
        <v>112</v>
      </c>
      <c r="AR19" s="23" t="s">
        <v>126</v>
      </c>
      <c r="AV19" s="23" t="s">
        <v>90</v>
      </c>
    </row>
    <row r="20" spans="1:48" x14ac:dyDescent="0.15">
      <c r="A20" s="158" t="s">
        <v>34</v>
      </c>
      <c r="B20" s="158" t="s">
        <v>157</v>
      </c>
      <c r="C20" s="158">
        <v>2019</v>
      </c>
      <c r="D20" s="160" t="s">
        <v>359</v>
      </c>
      <c r="E20" s="159" t="s">
        <v>357</v>
      </c>
      <c r="F20" s="158" t="s">
        <v>363</v>
      </c>
      <c r="G20" s="161" t="s">
        <v>36</v>
      </c>
      <c r="H20" s="127" t="s">
        <v>164</v>
      </c>
      <c r="I20" s="127" t="s">
        <v>159</v>
      </c>
      <c r="J20" s="127" t="s">
        <v>38</v>
      </c>
      <c r="K20" s="127" t="s">
        <v>161</v>
      </c>
      <c r="L20" s="53">
        <v>1</v>
      </c>
      <c r="N20" s="53">
        <v>1</v>
      </c>
      <c r="O20" s="53">
        <v>0.9</v>
      </c>
      <c r="P20" s="53">
        <v>0.85</v>
      </c>
      <c r="Q20" s="75">
        <f t="shared" si="2"/>
        <v>0.875</v>
      </c>
      <c r="R20" s="168">
        <v>15.5</v>
      </c>
      <c r="S20" s="168">
        <v>116</v>
      </c>
      <c r="T20" s="16">
        <f t="shared" si="0"/>
        <v>30</v>
      </c>
      <c r="U20" s="164">
        <v>128</v>
      </c>
      <c r="V20" s="38">
        <f t="shared" si="1"/>
        <v>3840</v>
      </c>
      <c r="W20" s="165">
        <v>4</v>
      </c>
      <c r="X20" s="166" t="s">
        <v>39</v>
      </c>
      <c r="Y20" s="172" t="s">
        <v>90</v>
      </c>
      <c r="Z20" s="172" t="s">
        <v>88</v>
      </c>
      <c r="AA20" s="172" t="s">
        <v>78</v>
      </c>
      <c r="AB20" s="53" t="s">
        <v>158</v>
      </c>
      <c r="AE20" s="35"/>
      <c r="AP20" s="27" t="s">
        <v>113</v>
      </c>
      <c r="AR20" s="23" t="s">
        <v>105</v>
      </c>
      <c r="AV20" s="27" t="s">
        <v>135</v>
      </c>
    </row>
    <row r="21" spans="1:48" x14ac:dyDescent="0.15">
      <c r="A21" s="158" t="s">
        <v>34</v>
      </c>
      <c r="B21" s="158" t="s">
        <v>157</v>
      </c>
      <c r="C21" s="159">
        <v>2019</v>
      </c>
      <c r="D21" s="160" t="s">
        <v>359</v>
      </c>
      <c r="E21" s="159" t="s">
        <v>357</v>
      </c>
      <c r="F21" s="158" t="s">
        <v>363</v>
      </c>
      <c r="G21" s="161" t="s">
        <v>36</v>
      </c>
      <c r="H21" s="127" t="s">
        <v>164</v>
      </c>
      <c r="I21" s="127" t="s">
        <v>159</v>
      </c>
      <c r="J21" s="127" t="s">
        <v>38</v>
      </c>
      <c r="K21" s="127" t="s">
        <v>161</v>
      </c>
      <c r="L21" s="53">
        <v>2</v>
      </c>
      <c r="N21" s="53">
        <v>1</v>
      </c>
      <c r="O21" s="53">
        <v>0.85</v>
      </c>
      <c r="P21" s="53">
        <v>0.9</v>
      </c>
      <c r="Q21" s="75">
        <f t="shared" si="2"/>
        <v>0.875</v>
      </c>
      <c r="R21" s="168">
        <v>15.4</v>
      </c>
      <c r="S21" s="168">
        <v>120</v>
      </c>
      <c r="T21" s="16">
        <f t="shared" si="0"/>
        <v>30</v>
      </c>
      <c r="U21" s="164">
        <v>128</v>
      </c>
      <c r="V21" s="38">
        <f t="shared" si="1"/>
        <v>3840</v>
      </c>
      <c r="W21" s="165">
        <v>4</v>
      </c>
      <c r="X21" s="166" t="s">
        <v>39</v>
      </c>
      <c r="Y21" s="172" t="s">
        <v>90</v>
      </c>
      <c r="Z21" s="172" t="s">
        <v>88</v>
      </c>
      <c r="AA21" s="172" t="s">
        <v>78</v>
      </c>
      <c r="AB21" s="53" t="s">
        <v>158</v>
      </c>
      <c r="AE21" s="28"/>
      <c r="AP21" s="27" t="s">
        <v>114</v>
      </c>
      <c r="AR21" s="23" t="s">
        <v>68</v>
      </c>
      <c r="AV21" s="27" t="s">
        <v>136</v>
      </c>
    </row>
    <row r="22" spans="1:48" x14ac:dyDescent="0.15">
      <c r="A22" s="158" t="s">
        <v>34</v>
      </c>
      <c r="B22" s="158" t="s">
        <v>157</v>
      </c>
      <c r="C22" s="158">
        <v>2019</v>
      </c>
      <c r="D22" s="160" t="s">
        <v>359</v>
      </c>
      <c r="E22" s="159" t="s">
        <v>357</v>
      </c>
      <c r="F22" s="158" t="s">
        <v>363</v>
      </c>
      <c r="G22" s="161" t="s">
        <v>36</v>
      </c>
      <c r="H22" s="127" t="s">
        <v>164</v>
      </c>
      <c r="I22" s="127" t="s">
        <v>159</v>
      </c>
      <c r="J22" s="127" t="s">
        <v>38</v>
      </c>
      <c r="K22" s="127" t="s">
        <v>161</v>
      </c>
      <c r="L22" s="53">
        <v>3</v>
      </c>
      <c r="N22" s="53">
        <v>1</v>
      </c>
      <c r="O22" s="53">
        <v>0.8</v>
      </c>
      <c r="P22" s="34">
        <v>0.85</v>
      </c>
      <c r="Q22" s="75">
        <f t="shared" si="2"/>
        <v>0.82499999999999996</v>
      </c>
      <c r="R22" s="168">
        <v>15.6</v>
      </c>
      <c r="S22" s="168">
        <v>115</v>
      </c>
      <c r="T22" s="16">
        <f t="shared" si="0"/>
        <v>30</v>
      </c>
      <c r="U22" s="164">
        <v>128</v>
      </c>
      <c r="V22" s="38">
        <f t="shared" si="1"/>
        <v>3840</v>
      </c>
      <c r="W22" s="165">
        <v>4</v>
      </c>
      <c r="X22" s="166" t="s">
        <v>39</v>
      </c>
      <c r="Y22" s="172" t="s">
        <v>90</v>
      </c>
      <c r="Z22" s="172" t="s">
        <v>88</v>
      </c>
      <c r="AA22" s="172" t="s">
        <v>78</v>
      </c>
      <c r="AB22" s="53" t="s">
        <v>158</v>
      </c>
      <c r="AP22" s="27" t="s">
        <v>115</v>
      </c>
      <c r="AR22" s="23" t="s">
        <v>83</v>
      </c>
      <c r="AV22" s="23"/>
    </row>
    <row r="23" spans="1:48" x14ac:dyDescent="0.15">
      <c r="A23" s="158" t="s">
        <v>34</v>
      </c>
      <c r="B23" s="158" t="s">
        <v>157</v>
      </c>
      <c r="C23" s="159">
        <v>2019</v>
      </c>
      <c r="D23" s="160" t="s">
        <v>359</v>
      </c>
      <c r="E23" s="159" t="s">
        <v>357</v>
      </c>
      <c r="F23" s="158" t="s">
        <v>363</v>
      </c>
      <c r="G23" s="161" t="s">
        <v>36</v>
      </c>
      <c r="H23" s="127" t="s">
        <v>160</v>
      </c>
      <c r="I23" s="127" t="s">
        <v>159</v>
      </c>
      <c r="J23" s="127" t="s">
        <v>38</v>
      </c>
      <c r="K23" s="127" t="s">
        <v>161</v>
      </c>
      <c r="L23" s="53">
        <v>1</v>
      </c>
      <c r="N23" s="53">
        <v>1</v>
      </c>
      <c r="O23" s="53">
        <v>0.6</v>
      </c>
      <c r="P23" s="34">
        <v>0.55000000000000004</v>
      </c>
      <c r="Q23" s="75">
        <f t="shared" si="2"/>
        <v>0.57499999999999996</v>
      </c>
      <c r="R23" s="168">
        <v>16.2</v>
      </c>
      <c r="S23" s="168">
        <v>108</v>
      </c>
      <c r="T23" s="16">
        <f t="shared" si="0"/>
        <v>33</v>
      </c>
      <c r="U23" s="164">
        <v>98</v>
      </c>
      <c r="V23" s="38">
        <f t="shared" si="1"/>
        <v>3234</v>
      </c>
      <c r="W23" s="165">
        <v>4</v>
      </c>
      <c r="X23" s="166" t="s">
        <v>39</v>
      </c>
      <c r="Y23" s="172" t="s">
        <v>90</v>
      </c>
      <c r="Z23" s="172" t="s">
        <v>88</v>
      </c>
      <c r="AA23" s="172" t="s">
        <v>78</v>
      </c>
      <c r="AB23" s="53" t="s">
        <v>158</v>
      </c>
      <c r="AP23" s="27" t="s">
        <v>137</v>
      </c>
      <c r="AR23" s="23" t="s">
        <v>61</v>
      </c>
      <c r="AV23" s="23"/>
    </row>
    <row r="24" spans="1:48" x14ac:dyDescent="0.15">
      <c r="A24" s="158" t="s">
        <v>34</v>
      </c>
      <c r="B24" s="158" t="s">
        <v>157</v>
      </c>
      <c r="C24" s="158">
        <v>2019</v>
      </c>
      <c r="D24" s="160" t="s">
        <v>359</v>
      </c>
      <c r="E24" s="159" t="s">
        <v>357</v>
      </c>
      <c r="F24" s="158" t="s">
        <v>363</v>
      </c>
      <c r="G24" s="161" t="s">
        <v>36</v>
      </c>
      <c r="H24" s="127" t="s">
        <v>160</v>
      </c>
      <c r="I24" s="127" t="s">
        <v>159</v>
      </c>
      <c r="J24" s="127" t="s">
        <v>38</v>
      </c>
      <c r="K24" s="127" t="s">
        <v>161</v>
      </c>
      <c r="L24" s="53">
        <v>2</v>
      </c>
      <c r="N24" s="53">
        <v>1</v>
      </c>
      <c r="O24" s="53">
        <v>0.65</v>
      </c>
      <c r="P24" s="34">
        <v>0.6</v>
      </c>
      <c r="Q24" s="75">
        <f t="shared" si="2"/>
        <v>0.625</v>
      </c>
      <c r="R24" s="168">
        <v>16.600000000000001</v>
      </c>
      <c r="S24" s="168">
        <v>106</v>
      </c>
      <c r="T24" s="16">
        <f t="shared" si="0"/>
        <v>33</v>
      </c>
      <c r="U24" s="164">
        <v>98</v>
      </c>
      <c r="V24" s="38">
        <f t="shared" si="1"/>
        <v>3234</v>
      </c>
      <c r="W24" s="165">
        <v>4</v>
      </c>
      <c r="X24" s="166" t="s">
        <v>39</v>
      </c>
      <c r="Y24" s="172" t="s">
        <v>90</v>
      </c>
      <c r="Z24" s="172" t="s">
        <v>88</v>
      </c>
      <c r="AA24" s="172" t="s">
        <v>78</v>
      </c>
      <c r="AB24" s="53" t="s">
        <v>158</v>
      </c>
      <c r="AP24" s="27" t="s">
        <v>138</v>
      </c>
      <c r="AR24" s="23" t="s">
        <v>91</v>
      </c>
      <c r="AV24" s="23"/>
    </row>
    <row r="25" spans="1:48" x14ac:dyDescent="0.15">
      <c r="A25" s="158" t="s">
        <v>34</v>
      </c>
      <c r="B25" s="158" t="s">
        <v>157</v>
      </c>
      <c r="C25" s="159">
        <v>2019</v>
      </c>
      <c r="D25" s="160" t="s">
        <v>359</v>
      </c>
      <c r="E25" s="159" t="s">
        <v>357</v>
      </c>
      <c r="F25" s="158" t="s">
        <v>363</v>
      </c>
      <c r="G25" s="161" t="s">
        <v>36</v>
      </c>
      <c r="H25" s="127" t="s">
        <v>160</v>
      </c>
      <c r="I25" s="127" t="s">
        <v>159</v>
      </c>
      <c r="J25" s="127" t="s">
        <v>38</v>
      </c>
      <c r="K25" s="127" t="s">
        <v>161</v>
      </c>
      <c r="L25" s="53">
        <v>3</v>
      </c>
      <c r="N25" s="53">
        <v>1</v>
      </c>
      <c r="O25" s="53">
        <v>0.6</v>
      </c>
      <c r="P25" s="34">
        <v>0.65</v>
      </c>
      <c r="Q25" s="75">
        <f t="shared" si="2"/>
        <v>0.625</v>
      </c>
      <c r="R25" s="168">
        <v>16.399999999999999</v>
      </c>
      <c r="S25" s="168">
        <v>111</v>
      </c>
      <c r="T25" s="16">
        <f t="shared" si="0"/>
        <v>33</v>
      </c>
      <c r="U25" s="164">
        <v>98</v>
      </c>
      <c r="V25" s="38">
        <f t="shared" si="1"/>
        <v>3234</v>
      </c>
      <c r="W25" s="165">
        <v>4</v>
      </c>
      <c r="X25" s="166" t="s">
        <v>39</v>
      </c>
      <c r="Y25" s="172" t="s">
        <v>90</v>
      </c>
      <c r="Z25" s="172" t="s">
        <v>88</v>
      </c>
      <c r="AA25" s="172" t="s">
        <v>78</v>
      </c>
      <c r="AB25" s="53" t="s">
        <v>158</v>
      </c>
      <c r="AP25" s="27" t="s">
        <v>116</v>
      </c>
      <c r="AR25" s="27" t="s">
        <v>92</v>
      </c>
      <c r="AV25" s="23"/>
    </row>
    <row r="26" spans="1:48" x14ac:dyDescent="0.15">
      <c r="A26" s="158" t="s">
        <v>34</v>
      </c>
      <c r="B26" s="158" t="s">
        <v>157</v>
      </c>
      <c r="C26" s="158">
        <v>2019</v>
      </c>
      <c r="D26" s="160" t="s">
        <v>359</v>
      </c>
      <c r="E26" s="159" t="s">
        <v>209</v>
      </c>
      <c r="F26" s="158" t="s">
        <v>364</v>
      </c>
      <c r="G26" s="161" t="s">
        <v>42</v>
      </c>
      <c r="H26" s="127" t="s">
        <v>164</v>
      </c>
      <c r="I26" s="127" t="s">
        <v>159</v>
      </c>
      <c r="J26" s="127" t="s">
        <v>38</v>
      </c>
      <c r="K26" s="127" t="s">
        <v>161</v>
      </c>
      <c r="L26" s="53">
        <v>1</v>
      </c>
      <c r="N26" s="53">
        <v>1</v>
      </c>
      <c r="O26" s="53">
        <v>0.7</v>
      </c>
      <c r="P26" s="53">
        <v>0.65</v>
      </c>
      <c r="Q26" s="75">
        <f t="shared" si="2"/>
        <v>0.67500000000000004</v>
      </c>
      <c r="R26" s="168">
        <v>15.5</v>
      </c>
      <c r="S26" s="168">
        <v>121</v>
      </c>
      <c r="T26" s="16">
        <f t="shared" si="0"/>
        <v>30</v>
      </c>
      <c r="U26" s="164">
        <v>97</v>
      </c>
      <c r="V26" s="38">
        <f t="shared" si="1"/>
        <v>2910</v>
      </c>
      <c r="W26" s="165">
        <v>8</v>
      </c>
      <c r="X26" s="166" t="s">
        <v>46</v>
      </c>
      <c r="Y26" s="172" t="s">
        <v>78</v>
      </c>
      <c r="Z26" s="172" t="s">
        <v>88</v>
      </c>
      <c r="AA26" s="172" t="s">
        <v>69</v>
      </c>
      <c r="AB26" s="53" t="s">
        <v>158</v>
      </c>
      <c r="AP26" s="27" t="s">
        <v>117</v>
      </c>
      <c r="AR26" s="23" t="s">
        <v>153</v>
      </c>
      <c r="AV26" s="27"/>
    </row>
    <row r="27" spans="1:48" x14ac:dyDescent="0.15">
      <c r="A27" s="158" t="s">
        <v>34</v>
      </c>
      <c r="B27" s="158" t="s">
        <v>157</v>
      </c>
      <c r="C27" s="159">
        <v>2019</v>
      </c>
      <c r="D27" s="160" t="s">
        <v>359</v>
      </c>
      <c r="E27" s="159" t="s">
        <v>209</v>
      </c>
      <c r="F27" s="158" t="s">
        <v>364</v>
      </c>
      <c r="G27" s="161" t="s">
        <v>42</v>
      </c>
      <c r="H27" s="127" t="s">
        <v>164</v>
      </c>
      <c r="I27" s="127" t="s">
        <v>159</v>
      </c>
      <c r="J27" s="127" t="s">
        <v>38</v>
      </c>
      <c r="K27" s="127" t="s">
        <v>161</v>
      </c>
      <c r="L27" s="53">
        <v>2</v>
      </c>
      <c r="N27" s="53">
        <v>1</v>
      </c>
      <c r="O27" s="34">
        <v>0.6</v>
      </c>
      <c r="P27" s="53">
        <v>0.65</v>
      </c>
      <c r="Q27" s="75">
        <f t="shared" si="2"/>
        <v>0.625</v>
      </c>
      <c r="R27" s="168">
        <v>15.7</v>
      </c>
      <c r="S27" s="168">
        <v>126</v>
      </c>
      <c r="T27" s="16">
        <f t="shared" si="0"/>
        <v>30</v>
      </c>
      <c r="U27" s="164">
        <v>97</v>
      </c>
      <c r="V27" s="38">
        <f t="shared" si="1"/>
        <v>2910</v>
      </c>
      <c r="W27" s="165">
        <v>8</v>
      </c>
      <c r="X27" s="166" t="s">
        <v>46</v>
      </c>
      <c r="Y27" s="172" t="s">
        <v>78</v>
      </c>
      <c r="Z27" s="172" t="s">
        <v>88</v>
      </c>
      <c r="AA27" s="172" t="s">
        <v>69</v>
      </c>
      <c r="AB27" s="53" t="s">
        <v>158</v>
      </c>
      <c r="AP27" s="27" t="s">
        <v>118</v>
      </c>
      <c r="AR27" s="23"/>
    </row>
    <row r="28" spans="1:48" x14ac:dyDescent="0.15">
      <c r="A28" s="158" t="s">
        <v>34</v>
      </c>
      <c r="B28" s="158" t="s">
        <v>157</v>
      </c>
      <c r="C28" s="158">
        <v>2019</v>
      </c>
      <c r="D28" s="160" t="s">
        <v>359</v>
      </c>
      <c r="E28" s="159" t="s">
        <v>209</v>
      </c>
      <c r="F28" s="158" t="s">
        <v>364</v>
      </c>
      <c r="G28" s="161" t="s">
        <v>42</v>
      </c>
      <c r="H28" s="127" t="s">
        <v>164</v>
      </c>
      <c r="I28" s="127" t="s">
        <v>159</v>
      </c>
      <c r="J28" s="127" t="s">
        <v>38</v>
      </c>
      <c r="K28" s="127" t="s">
        <v>161</v>
      </c>
      <c r="L28" s="53">
        <v>3</v>
      </c>
      <c r="N28" s="53">
        <v>1</v>
      </c>
      <c r="O28" s="34">
        <v>0.6</v>
      </c>
      <c r="P28" s="53">
        <v>0.55000000000000004</v>
      </c>
      <c r="Q28" s="75">
        <f t="shared" si="2"/>
        <v>0.57499999999999996</v>
      </c>
      <c r="R28" s="168">
        <v>16.100000000000001</v>
      </c>
      <c r="S28" s="168">
        <v>126</v>
      </c>
      <c r="T28" s="16">
        <f t="shared" si="0"/>
        <v>30</v>
      </c>
      <c r="U28" s="164">
        <v>97</v>
      </c>
      <c r="V28" s="38">
        <f t="shared" si="1"/>
        <v>2910</v>
      </c>
      <c r="W28" s="165">
        <v>8</v>
      </c>
      <c r="X28" s="166" t="s">
        <v>46</v>
      </c>
      <c r="Y28" s="172" t="s">
        <v>78</v>
      </c>
      <c r="Z28" s="172" t="s">
        <v>88</v>
      </c>
      <c r="AA28" s="172" t="s">
        <v>69</v>
      </c>
      <c r="AB28" s="53" t="s">
        <v>158</v>
      </c>
      <c r="AR28" s="23"/>
    </row>
    <row r="29" spans="1:48" x14ac:dyDescent="0.15">
      <c r="A29" s="158" t="s">
        <v>34</v>
      </c>
      <c r="B29" s="158" t="s">
        <v>157</v>
      </c>
      <c r="C29" s="158">
        <v>2019</v>
      </c>
      <c r="D29" s="160" t="s">
        <v>359</v>
      </c>
      <c r="E29" s="159" t="s">
        <v>209</v>
      </c>
      <c r="F29" s="158" t="s">
        <v>364</v>
      </c>
      <c r="G29" s="161" t="s">
        <v>42</v>
      </c>
      <c r="H29" s="127" t="s">
        <v>160</v>
      </c>
      <c r="I29" s="127" t="s">
        <v>159</v>
      </c>
      <c r="J29" s="127" t="s">
        <v>38</v>
      </c>
      <c r="K29" s="127" t="s">
        <v>161</v>
      </c>
      <c r="L29" s="53">
        <v>1</v>
      </c>
      <c r="N29" s="53">
        <v>1</v>
      </c>
      <c r="O29" s="53">
        <v>0.55000000000000004</v>
      </c>
      <c r="P29" s="53">
        <v>0.6</v>
      </c>
      <c r="Q29" s="75">
        <f t="shared" si="2"/>
        <v>0.57499999999999996</v>
      </c>
      <c r="R29" s="168">
        <v>14.9</v>
      </c>
      <c r="S29" s="168">
        <v>145</v>
      </c>
      <c r="T29" s="16">
        <f t="shared" si="0"/>
        <v>30</v>
      </c>
      <c r="U29" s="164">
        <v>97</v>
      </c>
      <c r="V29" s="38">
        <f t="shared" si="1"/>
        <v>2910</v>
      </c>
      <c r="W29" s="165">
        <v>8</v>
      </c>
      <c r="X29" s="166" t="s">
        <v>46</v>
      </c>
      <c r="Y29" s="172" t="s">
        <v>78</v>
      </c>
      <c r="Z29" s="172" t="s">
        <v>88</v>
      </c>
      <c r="AA29" s="172" t="s">
        <v>69</v>
      </c>
      <c r="AB29" s="53" t="s">
        <v>158</v>
      </c>
      <c r="AR29" s="28"/>
    </row>
    <row r="30" spans="1:48" x14ac:dyDescent="0.15">
      <c r="A30" s="158" t="s">
        <v>34</v>
      </c>
      <c r="B30" s="158" t="s">
        <v>157</v>
      </c>
      <c r="C30" s="159">
        <v>2019</v>
      </c>
      <c r="D30" s="160" t="s">
        <v>359</v>
      </c>
      <c r="E30" s="159" t="s">
        <v>209</v>
      </c>
      <c r="F30" s="158" t="s">
        <v>364</v>
      </c>
      <c r="G30" s="161" t="s">
        <v>42</v>
      </c>
      <c r="H30" s="127" t="s">
        <v>160</v>
      </c>
      <c r="I30" s="127" t="s">
        <v>159</v>
      </c>
      <c r="J30" s="127" t="s">
        <v>38</v>
      </c>
      <c r="K30" s="127" t="s">
        <v>161</v>
      </c>
      <c r="L30" s="53">
        <v>2</v>
      </c>
      <c r="N30" s="53">
        <v>1</v>
      </c>
      <c r="O30" s="53">
        <v>0.6</v>
      </c>
      <c r="P30" s="53">
        <v>0.65</v>
      </c>
      <c r="Q30" s="75">
        <f t="shared" si="2"/>
        <v>0.625</v>
      </c>
      <c r="R30" s="168">
        <v>14.7</v>
      </c>
      <c r="S30" s="168">
        <v>144</v>
      </c>
      <c r="T30" s="16">
        <f t="shared" si="0"/>
        <v>30</v>
      </c>
      <c r="U30" s="164">
        <v>97</v>
      </c>
      <c r="V30" s="38">
        <f t="shared" si="1"/>
        <v>2910</v>
      </c>
      <c r="W30" s="165">
        <v>8</v>
      </c>
      <c r="X30" s="166" t="s">
        <v>46</v>
      </c>
      <c r="Y30" s="172" t="s">
        <v>78</v>
      </c>
      <c r="Z30" s="172" t="s">
        <v>88</v>
      </c>
      <c r="AA30" s="172" t="s">
        <v>69</v>
      </c>
      <c r="AB30" s="53" t="s">
        <v>158</v>
      </c>
    </row>
    <row r="31" spans="1:48" x14ac:dyDescent="0.15">
      <c r="A31" s="158" t="s">
        <v>34</v>
      </c>
      <c r="B31" s="158" t="s">
        <v>157</v>
      </c>
      <c r="C31" s="158">
        <v>2019</v>
      </c>
      <c r="D31" s="160" t="s">
        <v>359</v>
      </c>
      <c r="E31" s="159" t="s">
        <v>209</v>
      </c>
      <c r="F31" s="158" t="s">
        <v>364</v>
      </c>
      <c r="G31" s="161" t="s">
        <v>42</v>
      </c>
      <c r="H31" s="127" t="s">
        <v>160</v>
      </c>
      <c r="I31" s="127" t="s">
        <v>159</v>
      </c>
      <c r="J31" s="127" t="s">
        <v>38</v>
      </c>
      <c r="K31" s="127" t="s">
        <v>161</v>
      </c>
      <c r="L31" s="53">
        <v>3</v>
      </c>
      <c r="N31" s="53">
        <v>1</v>
      </c>
      <c r="O31" s="53">
        <v>0.55000000000000004</v>
      </c>
      <c r="P31" s="53">
        <v>0.6</v>
      </c>
      <c r="Q31" s="75">
        <f t="shared" si="2"/>
        <v>0.57499999999999996</v>
      </c>
      <c r="R31" s="168">
        <v>15</v>
      </c>
      <c r="S31" s="168">
        <v>143</v>
      </c>
      <c r="T31" s="16">
        <f t="shared" si="0"/>
        <v>30</v>
      </c>
      <c r="U31" s="164">
        <v>97</v>
      </c>
      <c r="V31" s="38">
        <f t="shared" si="1"/>
        <v>2910</v>
      </c>
      <c r="W31" s="165">
        <v>8</v>
      </c>
      <c r="X31" s="166" t="s">
        <v>46</v>
      </c>
      <c r="Y31" s="172" t="s">
        <v>78</v>
      </c>
      <c r="Z31" s="172" t="s">
        <v>88</v>
      </c>
      <c r="AA31" s="172" t="s">
        <v>69</v>
      </c>
      <c r="AB31" s="53" t="s">
        <v>158</v>
      </c>
    </row>
    <row r="32" spans="1:48" ht="14.25" customHeight="1" x14ac:dyDescent="0.15">
      <c r="A32" s="158" t="s">
        <v>34</v>
      </c>
      <c r="B32" s="158" t="s">
        <v>157</v>
      </c>
      <c r="C32" s="159">
        <v>2019</v>
      </c>
      <c r="D32" s="160" t="s">
        <v>359</v>
      </c>
      <c r="E32" s="159" t="s">
        <v>268</v>
      </c>
      <c r="F32" s="158" t="s">
        <v>364</v>
      </c>
      <c r="G32" s="161" t="s">
        <v>42</v>
      </c>
      <c r="H32" s="127" t="s">
        <v>164</v>
      </c>
      <c r="I32" s="127" t="s">
        <v>159</v>
      </c>
      <c r="J32" s="127" t="s">
        <v>38</v>
      </c>
      <c r="K32" s="127" t="s">
        <v>161</v>
      </c>
      <c r="L32" s="53">
        <v>1</v>
      </c>
      <c r="N32" s="53">
        <v>1</v>
      </c>
      <c r="O32" s="53">
        <v>1</v>
      </c>
      <c r="P32" s="53">
        <v>0.95</v>
      </c>
      <c r="Q32" s="75">
        <f t="shared" si="2"/>
        <v>0.97499999999999998</v>
      </c>
      <c r="R32" s="168">
        <v>16.2</v>
      </c>
      <c r="S32" s="168">
        <v>110</v>
      </c>
      <c r="T32" s="16">
        <f t="shared" si="0"/>
        <v>33</v>
      </c>
      <c r="U32" s="164">
        <v>98</v>
      </c>
      <c r="V32" s="38">
        <f t="shared" si="1"/>
        <v>3234</v>
      </c>
      <c r="W32" s="165">
        <v>6</v>
      </c>
      <c r="X32" s="166" t="s">
        <v>46</v>
      </c>
      <c r="Y32" s="172" t="s">
        <v>102</v>
      </c>
      <c r="Z32" s="172" t="s">
        <v>90</v>
      </c>
      <c r="AA32" s="172" t="s">
        <v>88</v>
      </c>
      <c r="AB32" s="53" t="s">
        <v>158</v>
      </c>
    </row>
    <row r="33" spans="1:28" x14ac:dyDescent="0.15">
      <c r="A33" s="158" t="s">
        <v>34</v>
      </c>
      <c r="B33" s="158" t="s">
        <v>157</v>
      </c>
      <c r="C33" s="158">
        <v>2019</v>
      </c>
      <c r="D33" s="160" t="s">
        <v>359</v>
      </c>
      <c r="E33" s="159" t="s">
        <v>268</v>
      </c>
      <c r="F33" s="158" t="s">
        <v>364</v>
      </c>
      <c r="G33" s="161" t="s">
        <v>42</v>
      </c>
      <c r="H33" s="127" t="s">
        <v>164</v>
      </c>
      <c r="I33" s="127" t="s">
        <v>159</v>
      </c>
      <c r="J33" s="127" t="s">
        <v>38</v>
      </c>
      <c r="K33" s="127" t="s">
        <v>161</v>
      </c>
      <c r="L33" s="53">
        <v>2</v>
      </c>
      <c r="N33" s="53">
        <v>1</v>
      </c>
      <c r="O33" s="53">
        <v>0.75</v>
      </c>
      <c r="P33" s="53">
        <v>0.8</v>
      </c>
      <c r="Q33" s="75">
        <f t="shared" si="2"/>
        <v>0.77500000000000002</v>
      </c>
      <c r="R33" s="168">
        <v>16.600000000000001</v>
      </c>
      <c r="S33" s="168">
        <v>111</v>
      </c>
      <c r="T33" s="16">
        <f t="shared" si="0"/>
        <v>33</v>
      </c>
      <c r="U33" s="164">
        <v>98</v>
      </c>
      <c r="V33" s="38">
        <f t="shared" si="1"/>
        <v>3234</v>
      </c>
      <c r="W33" s="165">
        <v>6</v>
      </c>
      <c r="X33" s="166" t="s">
        <v>46</v>
      </c>
      <c r="Y33" s="172" t="s">
        <v>102</v>
      </c>
      <c r="Z33" s="172" t="s">
        <v>90</v>
      </c>
      <c r="AA33" s="172" t="s">
        <v>88</v>
      </c>
      <c r="AB33" s="53" t="s">
        <v>158</v>
      </c>
    </row>
    <row r="34" spans="1:28" x14ac:dyDescent="0.15">
      <c r="A34" s="158" t="s">
        <v>34</v>
      </c>
      <c r="B34" s="158" t="s">
        <v>157</v>
      </c>
      <c r="C34" s="159">
        <v>2019</v>
      </c>
      <c r="D34" s="160" t="s">
        <v>359</v>
      </c>
      <c r="E34" s="159" t="s">
        <v>268</v>
      </c>
      <c r="F34" s="158" t="s">
        <v>364</v>
      </c>
      <c r="G34" s="161" t="s">
        <v>42</v>
      </c>
      <c r="H34" s="127" t="s">
        <v>164</v>
      </c>
      <c r="I34" s="127" t="s">
        <v>159</v>
      </c>
      <c r="J34" s="127" t="s">
        <v>38</v>
      </c>
      <c r="K34" s="127" t="s">
        <v>161</v>
      </c>
      <c r="L34" s="53">
        <v>3</v>
      </c>
      <c r="N34" s="53">
        <v>1</v>
      </c>
      <c r="O34" s="53">
        <v>0.85</v>
      </c>
      <c r="P34" s="34">
        <v>0.75</v>
      </c>
      <c r="Q34" s="75">
        <f t="shared" si="2"/>
        <v>0.8</v>
      </c>
      <c r="R34" s="168">
        <v>16.399999999999999</v>
      </c>
      <c r="S34" s="168">
        <v>111</v>
      </c>
      <c r="T34" s="16">
        <f t="shared" si="0"/>
        <v>33</v>
      </c>
      <c r="U34" s="164">
        <v>98</v>
      </c>
      <c r="V34" s="38">
        <f t="shared" si="1"/>
        <v>3234</v>
      </c>
      <c r="W34" s="165">
        <v>6</v>
      </c>
      <c r="X34" s="166" t="s">
        <v>46</v>
      </c>
      <c r="Y34" s="172" t="s">
        <v>102</v>
      </c>
      <c r="Z34" s="172" t="s">
        <v>90</v>
      </c>
      <c r="AA34" s="172" t="s">
        <v>88</v>
      </c>
      <c r="AB34" s="53" t="s">
        <v>158</v>
      </c>
    </row>
    <row r="35" spans="1:28" x14ac:dyDescent="0.15">
      <c r="A35" s="158" t="s">
        <v>34</v>
      </c>
      <c r="B35" s="158" t="s">
        <v>157</v>
      </c>
      <c r="C35" s="158">
        <v>2019</v>
      </c>
      <c r="D35" s="160" t="s">
        <v>359</v>
      </c>
      <c r="E35" s="159" t="s">
        <v>268</v>
      </c>
      <c r="F35" s="158" t="s">
        <v>364</v>
      </c>
      <c r="G35" s="161" t="s">
        <v>42</v>
      </c>
      <c r="H35" s="127" t="s">
        <v>160</v>
      </c>
      <c r="I35" s="127" t="s">
        <v>159</v>
      </c>
      <c r="J35" s="127" t="s">
        <v>38</v>
      </c>
      <c r="K35" s="127" t="s">
        <v>161</v>
      </c>
      <c r="L35" s="53">
        <v>1</v>
      </c>
      <c r="N35" s="53">
        <v>1</v>
      </c>
      <c r="O35" s="53">
        <v>0.8</v>
      </c>
      <c r="P35" s="53">
        <v>0.85</v>
      </c>
      <c r="Q35" s="75">
        <f t="shared" si="2"/>
        <v>0.82499999999999996</v>
      </c>
      <c r="R35" s="168">
        <v>16.3</v>
      </c>
      <c r="S35" s="168">
        <v>121</v>
      </c>
      <c r="T35" s="16">
        <f t="shared" si="0"/>
        <v>30</v>
      </c>
      <c r="U35" s="164">
        <v>138</v>
      </c>
      <c r="V35" s="38">
        <f t="shared" si="1"/>
        <v>4140</v>
      </c>
      <c r="W35" s="165">
        <v>6</v>
      </c>
      <c r="X35" s="166" t="s">
        <v>46</v>
      </c>
      <c r="Y35" s="172" t="s">
        <v>102</v>
      </c>
      <c r="Z35" s="172" t="s">
        <v>90</v>
      </c>
      <c r="AA35" s="172" t="s">
        <v>88</v>
      </c>
      <c r="AB35" s="53" t="s">
        <v>158</v>
      </c>
    </row>
    <row r="36" spans="1:28" x14ac:dyDescent="0.15">
      <c r="A36" s="158" t="s">
        <v>34</v>
      </c>
      <c r="B36" s="158" t="s">
        <v>157</v>
      </c>
      <c r="C36" s="159">
        <v>2019</v>
      </c>
      <c r="D36" s="160" t="s">
        <v>359</v>
      </c>
      <c r="E36" s="159" t="s">
        <v>268</v>
      </c>
      <c r="F36" s="158" t="s">
        <v>364</v>
      </c>
      <c r="G36" s="161" t="s">
        <v>42</v>
      </c>
      <c r="H36" s="127" t="s">
        <v>160</v>
      </c>
      <c r="I36" s="127" t="s">
        <v>159</v>
      </c>
      <c r="J36" s="127" t="s">
        <v>38</v>
      </c>
      <c r="K36" s="127" t="s">
        <v>161</v>
      </c>
      <c r="L36" s="53">
        <v>2</v>
      </c>
      <c r="N36" s="53">
        <v>1</v>
      </c>
      <c r="O36" s="53">
        <v>0.7</v>
      </c>
      <c r="P36" s="53">
        <v>0.65</v>
      </c>
      <c r="Q36" s="75">
        <f t="shared" si="2"/>
        <v>0.67500000000000004</v>
      </c>
      <c r="R36" s="168">
        <v>17.399999999999999</v>
      </c>
      <c r="S36" s="168">
        <v>121</v>
      </c>
      <c r="T36" s="16">
        <f t="shared" si="0"/>
        <v>30</v>
      </c>
      <c r="U36" s="164">
        <v>138</v>
      </c>
      <c r="V36" s="38">
        <f t="shared" si="1"/>
        <v>4140</v>
      </c>
      <c r="W36" s="165">
        <v>6</v>
      </c>
      <c r="X36" s="166" t="s">
        <v>46</v>
      </c>
      <c r="Y36" s="172" t="s">
        <v>102</v>
      </c>
      <c r="Z36" s="172" t="s">
        <v>90</v>
      </c>
      <c r="AA36" s="172" t="s">
        <v>88</v>
      </c>
      <c r="AB36" s="53" t="s">
        <v>158</v>
      </c>
    </row>
    <row r="37" spans="1:28" x14ac:dyDescent="0.15">
      <c r="A37" s="158" t="s">
        <v>34</v>
      </c>
      <c r="B37" s="158" t="s">
        <v>157</v>
      </c>
      <c r="C37" s="158">
        <v>2019</v>
      </c>
      <c r="D37" s="160" t="s">
        <v>359</v>
      </c>
      <c r="E37" s="159" t="s">
        <v>268</v>
      </c>
      <c r="F37" s="158" t="s">
        <v>364</v>
      </c>
      <c r="G37" s="161" t="s">
        <v>42</v>
      </c>
      <c r="H37" s="127" t="s">
        <v>160</v>
      </c>
      <c r="I37" s="127" t="s">
        <v>159</v>
      </c>
      <c r="J37" s="127" t="s">
        <v>38</v>
      </c>
      <c r="K37" s="127" t="s">
        <v>161</v>
      </c>
      <c r="L37" s="53">
        <v>3</v>
      </c>
      <c r="N37" s="53">
        <v>1</v>
      </c>
      <c r="O37" s="53">
        <v>0.7</v>
      </c>
      <c r="P37" s="53">
        <v>0.8</v>
      </c>
      <c r="Q37" s="75">
        <f t="shared" si="2"/>
        <v>0.75</v>
      </c>
      <c r="R37" s="168">
        <v>16.600000000000001</v>
      </c>
      <c r="S37" s="168">
        <v>134</v>
      </c>
      <c r="T37" s="16">
        <f t="shared" si="0"/>
        <v>30</v>
      </c>
      <c r="U37" s="164">
        <v>138</v>
      </c>
      <c r="V37" s="38">
        <f t="shared" si="1"/>
        <v>4140</v>
      </c>
      <c r="W37" s="165">
        <v>6</v>
      </c>
      <c r="X37" s="166" t="s">
        <v>46</v>
      </c>
      <c r="Y37" s="172" t="s">
        <v>102</v>
      </c>
      <c r="Z37" s="172" t="s">
        <v>90</v>
      </c>
      <c r="AA37" s="172" t="s">
        <v>88</v>
      </c>
      <c r="AB37" s="53" t="s">
        <v>158</v>
      </c>
    </row>
    <row r="38" spans="1:28" x14ac:dyDescent="0.15">
      <c r="A38" s="158" t="s">
        <v>34</v>
      </c>
      <c r="B38" s="158" t="s">
        <v>157</v>
      </c>
      <c r="C38" s="159">
        <v>2019</v>
      </c>
      <c r="D38" s="160" t="s">
        <v>359</v>
      </c>
      <c r="E38" s="159" t="s">
        <v>209</v>
      </c>
      <c r="F38" s="158" t="s">
        <v>366</v>
      </c>
      <c r="G38" s="161" t="s">
        <v>42</v>
      </c>
      <c r="H38" s="127" t="s">
        <v>164</v>
      </c>
      <c r="I38" s="127" t="s">
        <v>159</v>
      </c>
      <c r="J38" s="127" t="s">
        <v>38</v>
      </c>
      <c r="K38" s="127" t="s">
        <v>161</v>
      </c>
      <c r="L38" s="53">
        <v>1</v>
      </c>
      <c r="N38" s="53">
        <v>1</v>
      </c>
      <c r="O38" s="53">
        <v>0.7</v>
      </c>
      <c r="P38" s="53">
        <v>0.6</v>
      </c>
      <c r="Q38" s="75">
        <f t="shared" si="2"/>
        <v>0.64999999999999991</v>
      </c>
      <c r="R38" s="168">
        <v>15.8</v>
      </c>
      <c r="S38" s="168">
        <v>121</v>
      </c>
      <c r="T38" s="16">
        <f t="shared" si="0"/>
        <v>30</v>
      </c>
      <c r="U38" s="164">
        <v>97</v>
      </c>
      <c r="V38" s="38">
        <f t="shared" si="1"/>
        <v>2910</v>
      </c>
      <c r="W38" s="165">
        <v>4</v>
      </c>
      <c r="X38" s="166" t="s">
        <v>39</v>
      </c>
      <c r="Y38" s="172" t="s">
        <v>102</v>
      </c>
      <c r="Z38" s="172" t="s">
        <v>88</v>
      </c>
      <c r="AA38" s="172" t="s">
        <v>69</v>
      </c>
      <c r="AB38" s="53" t="s">
        <v>158</v>
      </c>
    </row>
    <row r="39" spans="1:28" x14ac:dyDescent="0.15">
      <c r="A39" s="158" t="s">
        <v>34</v>
      </c>
      <c r="B39" s="158" t="s">
        <v>157</v>
      </c>
      <c r="C39" s="158">
        <v>2019</v>
      </c>
      <c r="D39" s="160" t="s">
        <v>359</v>
      </c>
      <c r="E39" s="159" t="s">
        <v>209</v>
      </c>
      <c r="F39" s="158" t="s">
        <v>366</v>
      </c>
      <c r="G39" s="161" t="s">
        <v>42</v>
      </c>
      <c r="H39" s="127" t="s">
        <v>164</v>
      </c>
      <c r="I39" s="127" t="s">
        <v>159</v>
      </c>
      <c r="J39" s="127" t="s">
        <v>38</v>
      </c>
      <c r="K39" s="127" t="s">
        <v>161</v>
      </c>
      <c r="L39" s="53">
        <v>2</v>
      </c>
      <c r="N39" s="53">
        <v>1</v>
      </c>
      <c r="O39" s="53">
        <v>0.65</v>
      </c>
      <c r="P39" s="53">
        <v>0.65</v>
      </c>
      <c r="Q39" s="75">
        <f t="shared" si="2"/>
        <v>0.65</v>
      </c>
      <c r="R39" s="168">
        <v>15.7</v>
      </c>
      <c r="S39" s="168">
        <v>124</v>
      </c>
      <c r="T39" s="16">
        <f t="shared" si="0"/>
        <v>30</v>
      </c>
      <c r="U39" s="164">
        <v>97</v>
      </c>
      <c r="V39" s="38">
        <f t="shared" si="1"/>
        <v>2910</v>
      </c>
      <c r="W39" s="165">
        <v>4</v>
      </c>
      <c r="X39" s="166" t="s">
        <v>39</v>
      </c>
      <c r="Y39" s="172" t="s">
        <v>102</v>
      </c>
      <c r="Z39" s="172" t="s">
        <v>88</v>
      </c>
      <c r="AA39" s="172" t="s">
        <v>69</v>
      </c>
      <c r="AB39" s="53" t="s">
        <v>158</v>
      </c>
    </row>
    <row r="40" spans="1:28" ht="12.75" customHeight="1" x14ac:dyDescent="0.15">
      <c r="A40" s="158" t="s">
        <v>34</v>
      </c>
      <c r="B40" s="158" t="s">
        <v>157</v>
      </c>
      <c r="C40" s="159">
        <v>2019</v>
      </c>
      <c r="D40" s="160" t="s">
        <v>359</v>
      </c>
      <c r="E40" s="159" t="s">
        <v>209</v>
      </c>
      <c r="F40" s="158" t="s">
        <v>366</v>
      </c>
      <c r="G40" s="161" t="s">
        <v>42</v>
      </c>
      <c r="H40" s="127" t="s">
        <v>164</v>
      </c>
      <c r="I40" s="127" t="s">
        <v>159</v>
      </c>
      <c r="J40" s="127" t="s">
        <v>38</v>
      </c>
      <c r="K40" s="127" t="s">
        <v>161</v>
      </c>
      <c r="L40" s="53">
        <v>3</v>
      </c>
      <c r="N40" s="53">
        <v>1</v>
      </c>
      <c r="O40" s="53">
        <v>0.65</v>
      </c>
      <c r="P40" s="53">
        <v>0.65</v>
      </c>
      <c r="Q40" s="75">
        <f t="shared" si="2"/>
        <v>0.65</v>
      </c>
      <c r="R40" s="168">
        <v>15.6</v>
      </c>
      <c r="S40" s="168">
        <v>124</v>
      </c>
      <c r="T40" s="16">
        <f t="shared" si="0"/>
        <v>30</v>
      </c>
      <c r="U40" s="164">
        <v>97</v>
      </c>
      <c r="V40" s="38">
        <f t="shared" si="1"/>
        <v>2910</v>
      </c>
      <c r="W40" s="165">
        <v>4</v>
      </c>
      <c r="X40" s="166" t="s">
        <v>39</v>
      </c>
      <c r="Y40" s="172" t="s">
        <v>102</v>
      </c>
      <c r="Z40" s="172" t="s">
        <v>88</v>
      </c>
      <c r="AA40" s="172" t="s">
        <v>69</v>
      </c>
      <c r="AB40" s="53" t="s">
        <v>158</v>
      </c>
    </row>
    <row r="41" spans="1:28" ht="12.75" customHeight="1" x14ac:dyDescent="0.15">
      <c r="A41" s="127" t="s">
        <v>34</v>
      </c>
      <c r="B41" s="158" t="s">
        <v>157</v>
      </c>
      <c r="C41" s="159">
        <v>2019</v>
      </c>
      <c r="D41" s="160" t="s">
        <v>359</v>
      </c>
      <c r="E41" s="159" t="s">
        <v>209</v>
      </c>
      <c r="F41" s="158" t="s">
        <v>366</v>
      </c>
      <c r="G41" s="161" t="s">
        <v>42</v>
      </c>
      <c r="H41" s="127" t="s">
        <v>160</v>
      </c>
      <c r="I41" s="127" t="s">
        <v>159</v>
      </c>
      <c r="J41" s="127" t="s">
        <v>38</v>
      </c>
      <c r="K41" s="127" t="s">
        <v>161</v>
      </c>
      <c r="L41" s="53">
        <v>1</v>
      </c>
      <c r="N41" s="53">
        <v>1</v>
      </c>
      <c r="O41" s="53">
        <v>0.65</v>
      </c>
      <c r="P41" s="53">
        <v>0.55000000000000004</v>
      </c>
      <c r="Q41" s="75">
        <f t="shared" si="2"/>
        <v>0.60000000000000009</v>
      </c>
      <c r="R41" s="168">
        <v>15.1</v>
      </c>
      <c r="S41" s="168">
        <v>137</v>
      </c>
      <c r="T41" s="16">
        <f t="shared" si="0"/>
        <v>30</v>
      </c>
      <c r="U41" s="164">
        <v>97</v>
      </c>
      <c r="V41" s="38">
        <f t="shared" si="1"/>
        <v>2910</v>
      </c>
      <c r="W41" s="53">
        <v>4</v>
      </c>
      <c r="X41" s="166" t="s">
        <v>39</v>
      </c>
      <c r="Y41" s="173" t="s">
        <v>102</v>
      </c>
      <c r="Z41" s="173" t="s">
        <v>88</v>
      </c>
      <c r="AA41" s="173" t="s">
        <v>69</v>
      </c>
      <c r="AB41" s="53" t="s">
        <v>158</v>
      </c>
    </row>
    <row r="42" spans="1:28" ht="12.75" customHeight="1" x14ac:dyDescent="0.15">
      <c r="A42" s="127" t="s">
        <v>34</v>
      </c>
      <c r="B42" s="158" t="s">
        <v>157</v>
      </c>
      <c r="C42" s="159">
        <v>2019</v>
      </c>
      <c r="D42" s="160" t="s">
        <v>359</v>
      </c>
      <c r="E42" s="159" t="s">
        <v>209</v>
      </c>
      <c r="F42" s="158" t="s">
        <v>366</v>
      </c>
      <c r="G42" s="161" t="s">
        <v>42</v>
      </c>
      <c r="H42" s="127" t="s">
        <v>160</v>
      </c>
      <c r="I42" s="127" t="s">
        <v>159</v>
      </c>
      <c r="J42" s="127" t="s">
        <v>38</v>
      </c>
      <c r="K42" s="127" t="s">
        <v>161</v>
      </c>
      <c r="L42" s="53">
        <v>2</v>
      </c>
      <c r="N42" s="53">
        <v>1</v>
      </c>
      <c r="O42" s="53">
        <v>0.5</v>
      </c>
      <c r="P42" s="53">
        <v>0.6</v>
      </c>
      <c r="Q42" s="75">
        <f t="shared" si="2"/>
        <v>0.55000000000000004</v>
      </c>
      <c r="R42" s="168">
        <v>15.3</v>
      </c>
      <c r="S42" s="168">
        <v>138</v>
      </c>
      <c r="T42" s="16">
        <f t="shared" si="0"/>
        <v>30</v>
      </c>
      <c r="U42" s="164">
        <v>97</v>
      </c>
      <c r="V42" s="38">
        <f t="shared" si="1"/>
        <v>2910</v>
      </c>
      <c r="W42" s="53">
        <v>4</v>
      </c>
      <c r="X42" s="166" t="s">
        <v>39</v>
      </c>
      <c r="Y42" s="173" t="s">
        <v>102</v>
      </c>
      <c r="Z42" s="173" t="s">
        <v>88</v>
      </c>
      <c r="AA42" s="173" t="s">
        <v>69</v>
      </c>
      <c r="AB42" s="53" t="s">
        <v>158</v>
      </c>
    </row>
    <row r="43" spans="1:28" ht="12.75" customHeight="1" x14ac:dyDescent="0.15">
      <c r="A43" s="127" t="s">
        <v>34</v>
      </c>
      <c r="B43" s="158" t="s">
        <v>157</v>
      </c>
      <c r="C43" s="159">
        <v>2019</v>
      </c>
      <c r="D43" s="160" t="s">
        <v>359</v>
      </c>
      <c r="E43" s="159" t="s">
        <v>209</v>
      </c>
      <c r="F43" s="158" t="s">
        <v>366</v>
      </c>
      <c r="G43" s="161" t="s">
        <v>42</v>
      </c>
      <c r="H43" s="127" t="s">
        <v>160</v>
      </c>
      <c r="I43" s="127" t="s">
        <v>159</v>
      </c>
      <c r="J43" s="127" t="s">
        <v>38</v>
      </c>
      <c r="K43" s="127" t="s">
        <v>161</v>
      </c>
      <c r="L43" s="53">
        <v>3</v>
      </c>
      <c r="N43" s="53">
        <v>1</v>
      </c>
      <c r="O43" s="53">
        <v>0.5</v>
      </c>
      <c r="P43" s="53">
        <v>0.55000000000000004</v>
      </c>
      <c r="Q43" s="75">
        <f t="shared" si="2"/>
        <v>0.52500000000000002</v>
      </c>
      <c r="R43" s="168">
        <v>14.8</v>
      </c>
      <c r="S43" s="168">
        <v>135</v>
      </c>
      <c r="T43" s="16">
        <f t="shared" si="0"/>
        <v>30</v>
      </c>
      <c r="U43" s="164">
        <v>97</v>
      </c>
      <c r="V43" s="38">
        <f t="shared" si="1"/>
        <v>2910</v>
      </c>
      <c r="W43" s="53">
        <v>4</v>
      </c>
      <c r="X43" s="166" t="s">
        <v>39</v>
      </c>
      <c r="Y43" s="173" t="s">
        <v>102</v>
      </c>
      <c r="Z43" s="173" t="s">
        <v>88</v>
      </c>
      <c r="AA43" s="173" t="s">
        <v>69</v>
      </c>
      <c r="AB43" s="53" t="s">
        <v>158</v>
      </c>
    </row>
    <row r="44" spans="1:28" x14ac:dyDescent="0.15">
      <c r="A44" s="53" t="s">
        <v>34</v>
      </c>
      <c r="B44" s="158" t="s">
        <v>157</v>
      </c>
      <c r="C44" s="159">
        <v>2019</v>
      </c>
      <c r="D44" s="160" t="s">
        <v>359</v>
      </c>
      <c r="E44" s="159" t="s">
        <v>139</v>
      </c>
      <c r="F44" s="158" t="s">
        <v>366</v>
      </c>
      <c r="G44" s="161" t="s">
        <v>36</v>
      </c>
      <c r="H44" s="127" t="s">
        <v>164</v>
      </c>
      <c r="I44" s="127" t="s">
        <v>159</v>
      </c>
      <c r="J44" s="53" t="s">
        <v>38</v>
      </c>
      <c r="K44" s="127" t="s">
        <v>161</v>
      </c>
      <c r="L44" s="53">
        <v>1</v>
      </c>
      <c r="N44" s="53">
        <v>1</v>
      </c>
      <c r="O44" s="53">
        <v>0.7</v>
      </c>
      <c r="P44" s="53">
        <v>0.8</v>
      </c>
      <c r="Q44" s="75">
        <f t="shared" si="2"/>
        <v>0.75</v>
      </c>
      <c r="R44" s="168">
        <v>13.9</v>
      </c>
      <c r="S44" s="168">
        <v>112</v>
      </c>
      <c r="T44" s="16">
        <f t="shared" si="0"/>
        <v>33</v>
      </c>
      <c r="U44" s="164">
        <v>108</v>
      </c>
      <c r="V44" s="16">
        <f t="shared" si="1"/>
        <v>3564</v>
      </c>
      <c r="W44" s="53">
        <v>12</v>
      </c>
      <c r="X44" s="166" t="s">
        <v>46</v>
      </c>
      <c r="Y44" s="173" t="s">
        <v>88</v>
      </c>
      <c r="Z44" s="173" t="s">
        <v>78</v>
      </c>
      <c r="AA44" s="173" t="s">
        <v>102</v>
      </c>
      <c r="AB44" s="53" t="s">
        <v>158</v>
      </c>
    </row>
    <row r="45" spans="1:28" x14ac:dyDescent="0.15">
      <c r="A45" s="53" t="s">
        <v>34</v>
      </c>
      <c r="B45" s="158" t="s">
        <v>157</v>
      </c>
      <c r="C45" s="158">
        <v>2019</v>
      </c>
      <c r="D45" s="160" t="s">
        <v>359</v>
      </c>
      <c r="E45" s="159" t="s">
        <v>139</v>
      </c>
      <c r="F45" s="158" t="s">
        <v>366</v>
      </c>
      <c r="G45" s="161" t="s">
        <v>36</v>
      </c>
      <c r="H45" s="127" t="s">
        <v>164</v>
      </c>
      <c r="I45" s="127" t="s">
        <v>159</v>
      </c>
      <c r="J45" s="53" t="s">
        <v>38</v>
      </c>
      <c r="K45" s="127" t="s">
        <v>161</v>
      </c>
      <c r="L45" s="53">
        <v>2</v>
      </c>
      <c r="N45" s="53">
        <v>1</v>
      </c>
      <c r="O45" s="53">
        <v>0.9</v>
      </c>
      <c r="P45" s="53">
        <v>0.85</v>
      </c>
      <c r="Q45" s="75">
        <f t="shared" si="2"/>
        <v>0.875</v>
      </c>
      <c r="R45" s="168">
        <v>13.5</v>
      </c>
      <c r="S45" s="168">
        <v>115</v>
      </c>
      <c r="T45" s="16">
        <f t="shared" si="0"/>
        <v>30</v>
      </c>
      <c r="U45" s="164">
        <v>108</v>
      </c>
      <c r="V45" s="16">
        <f t="shared" si="1"/>
        <v>3240</v>
      </c>
      <c r="W45" s="53">
        <v>12</v>
      </c>
      <c r="X45" s="166" t="s">
        <v>46</v>
      </c>
      <c r="Y45" s="173" t="s">
        <v>88</v>
      </c>
      <c r="Z45" s="173" t="s">
        <v>78</v>
      </c>
      <c r="AA45" s="173" t="s">
        <v>102</v>
      </c>
      <c r="AB45" s="53" t="s">
        <v>158</v>
      </c>
    </row>
    <row r="46" spans="1:28" x14ac:dyDescent="0.15">
      <c r="A46" s="53" t="s">
        <v>34</v>
      </c>
      <c r="B46" s="158" t="s">
        <v>157</v>
      </c>
      <c r="C46" s="159">
        <v>2019</v>
      </c>
      <c r="D46" s="160" t="s">
        <v>359</v>
      </c>
      <c r="E46" s="159" t="s">
        <v>139</v>
      </c>
      <c r="F46" s="158" t="s">
        <v>366</v>
      </c>
      <c r="G46" s="161" t="s">
        <v>36</v>
      </c>
      <c r="H46" s="127" t="s">
        <v>164</v>
      </c>
      <c r="I46" s="127" t="s">
        <v>159</v>
      </c>
      <c r="J46" s="53" t="s">
        <v>38</v>
      </c>
      <c r="K46" s="127" t="s">
        <v>161</v>
      </c>
      <c r="L46" s="53">
        <v>3</v>
      </c>
      <c r="N46" s="53">
        <v>1</v>
      </c>
      <c r="O46" s="53">
        <v>0.8</v>
      </c>
      <c r="P46" s="53">
        <v>0.7</v>
      </c>
      <c r="Q46" s="75">
        <f t="shared" si="2"/>
        <v>0.75</v>
      </c>
      <c r="R46" s="168">
        <v>14.1</v>
      </c>
      <c r="S46" s="168">
        <v>115</v>
      </c>
      <c r="T46" s="16">
        <f t="shared" si="0"/>
        <v>30</v>
      </c>
      <c r="U46" s="164">
        <v>108</v>
      </c>
      <c r="V46" s="16">
        <f t="shared" si="1"/>
        <v>3240</v>
      </c>
      <c r="W46" s="53">
        <v>12</v>
      </c>
      <c r="X46" s="166" t="s">
        <v>46</v>
      </c>
      <c r="Y46" s="173" t="s">
        <v>88</v>
      </c>
      <c r="Z46" s="173" t="s">
        <v>78</v>
      </c>
      <c r="AA46" s="173" t="s">
        <v>102</v>
      </c>
      <c r="AB46" s="53" t="s">
        <v>158</v>
      </c>
    </row>
    <row r="47" spans="1:28" x14ac:dyDescent="0.15">
      <c r="A47" s="53" t="s">
        <v>34</v>
      </c>
      <c r="B47" s="34" t="s">
        <v>157</v>
      </c>
      <c r="C47" s="53">
        <v>2019</v>
      </c>
      <c r="D47" s="174" t="s">
        <v>359</v>
      </c>
      <c r="E47" s="53" t="s">
        <v>139</v>
      </c>
      <c r="F47" s="158" t="s">
        <v>366</v>
      </c>
      <c r="G47" s="161" t="s">
        <v>36</v>
      </c>
      <c r="H47" s="127" t="s">
        <v>160</v>
      </c>
      <c r="I47" s="127" t="s">
        <v>159</v>
      </c>
      <c r="J47" s="53" t="s">
        <v>38</v>
      </c>
      <c r="K47" s="127" t="s">
        <v>161</v>
      </c>
      <c r="L47" s="53">
        <v>1</v>
      </c>
      <c r="N47" s="53">
        <v>1</v>
      </c>
      <c r="O47" s="53">
        <v>1.1000000000000001</v>
      </c>
      <c r="P47" s="53">
        <v>0.95</v>
      </c>
      <c r="Q47" s="75">
        <f t="shared" si="2"/>
        <v>1.0249999999999999</v>
      </c>
      <c r="R47" s="168">
        <v>15.2</v>
      </c>
      <c r="S47" s="168">
        <v>94</v>
      </c>
      <c r="T47" s="16">
        <f t="shared" si="0"/>
        <v>36</v>
      </c>
      <c r="U47" s="53">
        <v>129</v>
      </c>
      <c r="V47" s="16">
        <f t="shared" si="1"/>
        <v>4644</v>
      </c>
      <c r="W47" s="53">
        <v>12</v>
      </c>
      <c r="X47" s="166" t="s">
        <v>46</v>
      </c>
      <c r="Y47" s="53" t="s">
        <v>88</v>
      </c>
      <c r="Z47" s="53" t="s">
        <v>78</v>
      </c>
      <c r="AA47" s="53" t="s">
        <v>102</v>
      </c>
      <c r="AB47" s="53" t="s">
        <v>158</v>
      </c>
    </row>
    <row r="48" spans="1:28" x14ac:dyDescent="0.15">
      <c r="A48" s="53" t="s">
        <v>34</v>
      </c>
      <c r="B48" s="34" t="s">
        <v>157</v>
      </c>
      <c r="C48" s="53">
        <v>2019</v>
      </c>
      <c r="D48" s="174" t="s">
        <v>359</v>
      </c>
      <c r="E48" s="53" t="s">
        <v>139</v>
      </c>
      <c r="F48" s="158" t="s">
        <v>366</v>
      </c>
      <c r="G48" s="161" t="s">
        <v>36</v>
      </c>
      <c r="H48" s="127" t="s">
        <v>160</v>
      </c>
      <c r="I48" s="127" t="s">
        <v>159</v>
      </c>
      <c r="J48" s="53" t="s">
        <v>38</v>
      </c>
      <c r="K48" s="127" t="s">
        <v>161</v>
      </c>
      <c r="L48" s="53">
        <v>2</v>
      </c>
      <c r="N48" s="53">
        <v>1</v>
      </c>
      <c r="O48" s="53">
        <v>0.95</v>
      </c>
      <c r="P48" s="53">
        <v>0.9</v>
      </c>
      <c r="Q48" s="75">
        <f t="shared" si="2"/>
        <v>0.92500000000000004</v>
      </c>
      <c r="R48" s="168">
        <v>15.5</v>
      </c>
      <c r="S48" s="168">
        <v>105</v>
      </c>
      <c r="T48" s="16">
        <f t="shared" si="0"/>
        <v>33</v>
      </c>
      <c r="U48" s="53">
        <v>129</v>
      </c>
      <c r="V48" s="16">
        <f t="shared" si="1"/>
        <v>4257</v>
      </c>
      <c r="W48" s="53">
        <v>12</v>
      </c>
      <c r="X48" s="166" t="s">
        <v>46</v>
      </c>
      <c r="Y48" s="53" t="s">
        <v>88</v>
      </c>
      <c r="Z48" s="53" t="s">
        <v>78</v>
      </c>
      <c r="AA48" s="53" t="s">
        <v>102</v>
      </c>
      <c r="AB48" s="53" t="s">
        <v>158</v>
      </c>
    </row>
    <row r="49" spans="1:28" x14ac:dyDescent="0.15">
      <c r="A49" s="53" t="s">
        <v>34</v>
      </c>
      <c r="B49" s="34" t="s">
        <v>157</v>
      </c>
      <c r="C49" s="53">
        <v>2019</v>
      </c>
      <c r="D49" s="174" t="s">
        <v>359</v>
      </c>
      <c r="E49" s="53" t="s">
        <v>139</v>
      </c>
      <c r="F49" s="158" t="s">
        <v>366</v>
      </c>
      <c r="G49" s="161" t="s">
        <v>36</v>
      </c>
      <c r="H49" s="127" t="s">
        <v>160</v>
      </c>
      <c r="I49" s="127" t="s">
        <v>159</v>
      </c>
      <c r="J49" s="53" t="s">
        <v>38</v>
      </c>
      <c r="K49" s="127" t="s">
        <v>161</v>
      </c>
      <c r="L49" s="53">
        <v>3</v>
      </c>
      <c r="N49" s="53">
        <v>1</v>
      </c>
      <c r="O49" s="53">
        <v>1</v>
      </c>
      <c r="P49" s="53">
        <v>0.9</v>
      </c>
      <c r="Q49" s="75">
        <f t="shared" si="2"/>
        <v>0.95</v>
      </c>
      <c r="R49" s="168">
        <v>15.1</v>
      </c>
      <c r="S49" s="168">
        <v>93</v>
      </c>
      <c r="T49" s="16">
        <f t="shared" si="0"/>
        <v>36</v>
      </c>
      <c r="U49" s="53">
        <v>129</v>
      </c>
      <c r="V49" s="16">
        <f t="shared" si="1"/>
        <v>4644</v>
      </c>
      <c r="W49" s="53">
        <v>12</v>
      </c>
      <c r="X49" s="166" t="s">
        <v>46</v>
      </c>
      <c r="Y49" s="53" t="s">
        <v>88</v>
      </c>
      <c r="Z49" s="53" t="s">
        <v>78</v>
      </c>
      <c r="AA49" s="53" t="s">
        <v>102</v>
      </c>
      <c r="AB49" s="53" t="s">
        <v>158</v>
      </c>
    </row>
    <row r="50" spans="1:28" x14ac:dyDescent="0.15">
      <c r="A50" s="53" t="s">
        <v>34</v>
      </c>
      <c r="B50" s="53" t="s">
        <v>157</v>
      </c>
      <c r="C50" s="53">
        <v>2019</v>
      </c>
      <c r="D50" s="174" t="s">
        <v>359</v>
      </c>
      <c r="E50" s="53" t="s">
        <v>133</v>
      </c>
      <c r="F50" s="158" t="s">
        <v>368</v>
      </c>
      <c r="G50" s="161" t="s">
        <v>36</v>
      </c>
      <c r="H50" s="53" t="s">
        <v>164</v>
      </c>
      <c r="I50" s="53" t="s">
        <v>159</v>
      </c>
      <c r="J50" s="53" t="s">
        <v>38</v>
      </c>
      <c r="K50" s="127" t="s">
        <v>161</v>
      </c>
      <c r="L50" s="53">
        <v>1</v>
      </c>
      <c r="N50" s="53">
        <v>1</v>
      </c>
      <c r="O50" s="53">
        <v>1.5</v>
      </c>
      <c r="P50" s="53">
        <v>1.25</v>
      </c>
      <c r="Q50" s="75">
        <f t="shared" si="2"/>
        <v>1.375</v>
      </c>
      <c r="R50" s="53">
        <v>14.1</v>
      </c>
      <c r="S50" s="53">
        <v>115</v>
      </c>
      <c r="T50" s="16">
        <f t="shared" si="0"/>
        <v>30</v>
      </c>
      <c r="U50" s="53">
        <v>98</v>
      </c>
      <c r="V50" s="16">
        <f t="shared" si="1"/>
        <v>2940</v>
      </c>
      <c r="W50" s="53">
        <v>14</v>
      </c>
      <c r="X50" s="166" t="s">
        <v>46</v>
      </c>
      <c r="Y50" s="53" t="s">
        <v>78</v>
      </c>
      <c r="Z50" s="53" t="s">
        <v>102</v>
      </c>
      <c r="AA50" s="53" t="s">
        <v>88</v>
      </c>
      <c r="AB50" s="53" t="s">
        <v>158</v>
      </c>
    </row>
    <row r="51" spans="1:28" x14ac:dyDescent="0.15">
      <c r="A51" s="53" t="s">
        <v>34</v>
      </c>
      <c r="B51" s="53" t="s">
        <v>157</v>
      </c>
      <c r="C51" s="53">
        <v>2019</v>
      </c>
      <c r="D51" s="174" t="s">
        <v>359</v>
      </c>
      <c r="E51" s="53" t="s">
        <v>133</v>
      </c>
      <c r="F51" s="158" t="s">
        <v>368</v>
      </c>
      <c r="G51" s="161" t="s">
        <v>36</v>
      </c>
      <c r="H51" s="53" t="s">
        <v>164</v>
      </c>
      <c r="I51" s="53" t="s">
        <v>159</v>
      </c>
      <c r="J51" s="53" t="s">
        <v>38</v>
      </c>
      <c r="K51" s="127" t="s">
        <v>161</v>
      </c>
      <c r="L51" s="53">
        <v>2</v>
      </c>
      <c r="N51" s="53">
        <v>1</v>
      </c>
      <c r="O51" s="53">
        <v>1.2</v>
      </c>
      <c r="P51" s="53">
        <v>1.1000000000000001</v>
      </c>
      <c r="Q51" s="75">
        <f t="shared" si="2"/>
        <v>1.1499999999999999</v>
      </c>
      <c r="R51" s="53">
        <v>13.6</v>
      </c>
      <c r="S51" s="53">
        <v>116</v>
      </c>
      <c r="T51" s="16">
        <f t="shared" si="0"/>
        <v>30</v>
      </c>
      <c r="U51" s="53">
        <v>98</v>
      </c>
      <c r="V51" s="16">
        <f t="shared" si="1"/>
        <v>2940</v>
      </c>
      <c r="W51" s="53">
        <v>14</v>
      </c>
      <c r="X51" s="166" t="s">
        <v>46</v>
      </c>
      <c r="Y51" s="53" t="s">
        <v>78</v>
      </c>
      <c r="Z51" s="53" t="s">
        <v>102</v>
      </c>
      <c r="AA51" s="53" t="s">
        <v>88</v>
      </c>
      <c r="AB51" s="53" t="s">
        <v>158</v>
      </c>
    </row>
    <row r="52" spans="1:28" x14ac:dyDescent="0.15">
      <c r="A52" s="53" t="s">
        <v>34</v>
      </c>
      <c r="B52" s="53" t="s">
        <v>157</v>
      </c>
      <c r="C52" s="53">
        <v>2019</v>
      </c>
      <c r="D52" s="174" t="s">
        <v>359</v>
      </c>
      <c r="E52" s="53" t="s">
        <v>133</v>
      </c>
      <c r="F52" s="158" t="s">
        <v>368</v>
      </c>
      <c r="G52" s="161" t="s">
        <v>36</v>
      </c>
      <c r="H52" s="53" t="s">
        <v>164</v>
      </c>
      <c r="I52" s="53" t="s">
        <v>159</v>
      </c>
      <c r="J52" s="53" t="s">
        <v>38</v>
      </c>
      <c r="K52" s="127" t="s">
        <v>161</v>
      </c>
      <c r="L52" s="53">
        <v>3</v>
      </c>
      <c r="N52" s="53">
        <v>1</v>
      </c>
      <c r="O52" s="53">
        <v>0.95</v>
      </c>
      <c r="P52" s="53">
        <v>1.1499999999999999</v>
      </c>
      <c r="Q52" s="75">
        <f t="shared" si="2"/>
        <v>1.0499999999999998</v>
      </c>
      <c r="R52" s="53">
        <v>13.3</v>
      </c>
      <c r="S52" s="53">
        <v>118</v>
      </c>
      <c r="T52" s="16">
        <f t="shared" si="0"/>
        <v>30</v>
      </c>
      <c r="U52" s="53">
        <v>98</v>
      </c>
      <c r="V52" s="16">
        <f t="shared" si="1"/>
        <v>2940</v>
      </c>
      <c r="W52" s="53">
        <v>14</v>
      </c>
      <c r="X52" s="166" t="s">
        <v>46</v>
      </c>
      <c r="Y52" s="53" t="s">
        <v>78</v>
      </c>
      <c r="Z52" s="53" t="s">
        <v>102</v>
      </c>
      <c r="AA52" s="53" t="s">
        <v>88</v>
      </c>
      <c r="AB52" s="53" t="s">
        <v>158</v>
      </c>
    </row>
    <row r="53" spans="1:28" x14ac:dyDescent="0.15">
      <c r="A53" s="53" t="s">
        <v>34</v>
      </c>
      <c r="B53" s="53" t="s">
        <v>157</v>
      </c>
      <c r="C53" s="53">
        <v>2019</v>
      </c>
      <c r="D53" s="174" t="s">
        <v>359</v>
      </c>
      <c r="E53" s="53" t="s">
        <v>133</v>
      </c>
      <c r="F53" s="158" t="s">
        <v>368</v>
      </c>
      <c r="G53" s="161" t="s">
        <v>36</v>
      </c>
      <c r="H53" s="53" t="s">
        <v>160</v>
      </c>
      <c r="I53" s="53" t="s">
        <v>159</v>
      </c>
      <c r="J53" s="53" t="s">
        <v>38</v>
      </c>
      <c r="K53" s="127" t="s">
        <v>161</v>
      </c>
      <c r="L53" s="53">
        <v>1</v>
      </c>
      <c r="N53" s="53">
        <v>1</v>
      </c>
      <c r="O53" s="53">
        <v>0.85</v>
      </c>
      <c r="P53" s="53">
        <v>0.9</v>
      </c>
      <c r="Q53" s="75">
        <f t="shared" si="2"/>
        <v>0.875</v>
      </c>
      <c r="R53" s="53">
        <v>13.9</v>
      </c>
      <c r="S53" s="53">
        <v>140</v>
      </c>
      <c r="T53" s="16">
        <f t="shared" si="0"/>
        <v>30</v>
      </c>
      <c r="U53" s="53">
        <v>138</v>
      </c>
      <c r="V53" s="16">
        <f t="shared" si="1"/>
        <v>4140</v>
      </c>
      <c r="W53" s="53">
        <v>14</v>
      </c>
      <c r="X53" s="166" t="s">
        <v>46</v>
      </c>
      <c r="Y53" s="53" t="s">
        <v>78</v>
      </c>
      <c r="Z53" s="53" t="s">
        <v>102</v>
      </c>
      <c r="AA53" s="53" t="s">
        <v>88</v>
      </c>
      <c r="AB53" s="53" t="s">
        <v>158</v>
      </c>
    </row>
    <row r="54" spans="1:28" x14ac:dyDescent="0.15">
      <c r="A54" s="53" t="s">
        <v>34</v>
      </c>
      <c r="B54" s="53" t="s">
        <v>157</v>
      </c>
      <c r="C54" s="53">
        <v>2019</v>
      </c>
      <c r="D54" s="174" t="s">
        <v>359</v>
      </c>
      <c r="E54" s="53" t="s">
        <v>133</v>
      </c>
      <c r="F54" s="158" t="s">
        <v>368</v>
      </c>
      <c r="G54" s="161" t="s">
        <v>36</v>
      </c>
      <c r="H54" s="53" t="s">
        <v>160</v>
      </c>
      <c r="I54" s="53" t="s">
        <v>159</v>
      </c>
      <c r="J54" s="53" t="s">
        <v>38</v>
      </c>
      <c r="K54" s="127" t="s">
        <v>161</v>
      </c>
      <c r="L54" s="53">
        <v>2</v>
      </c>
      <c r="N54" s="53">
        <v>1</v>
      </c>
      <c r="O54" s="53">
        <v>0.8</v>
      </c>
      <c r="P54" s="53">
        <v>0.8</v>
      </c>
      <c r="Q54" s="75">
        <f t="shared" si="2"/>
        <v>0.8</v>
      </c>
      <c r="R54" s="53">
        <v>14.4</v>
      </c>
      <c r="S54" s="53">
        <v>146</v>
      </c>
      <c r="T54" s="16">
        <f t="shared" si="0"/>
        <v>30</v>
      </c>
      <c r="U54" s="53">
        <v>138</v>
      </c>
      <c r="V54" s="16">
        <f t="shared" si="1"/>
        <v>4140</v>
      </c>
      <c r="W54" s="53">
        <v>14</v>
      </c>
      <c r="X54" s="166" t="s">
        <v>46</v>
      </c>
      <c r="Y54" s="53" t="s">
        <v>78</v>
      </c>
      <c r="Z54" s="53" t="s">
        <v>102</v>
      </c>
      <c r="AA54" s="53" t="s">
        <v>88</v>
      </c>
      <c r="AB54" s="53" t="s">
        <v>158</v>
      </c>
    </row>
    <row r="55" spans="1:28" x14ac:dyDescent="0.15">
      <c r="A55" s="53" t="s">
        <v>34</v>
      </c>
      <c r="B55" s="53" t="s">
        <v>157</v>
      </c>
      <c r="C55" s="53">
        <v>2019</v>
      </c>
      <c r="D55" s="174" t="s">
        <v>359</v>
      </c>
      <c r="E55" s="53" t="s">
        <v>133</v>
      </c>
      <c r="F55" s="158" t="s">
        <v>368</v>
      </c>
      <c r="G55" s="161" t="s">
        <v>36</v>
      </c>
      <c r="H55" s="53" t="s">
        <v>160</v>
      </c>
      <c r="I55" s="53" t="s">
        <v>159</v>
      </c>
      <c r="J55" s="53" t="s">
        <v>38</v>
      </c>
      <c r="K55" s="127" t="s">
        <v>161</v>
      </c>
      <c r="L55" s="53">
        <v>3</v>
      </c>
      <c r="N55" s="53">
        <v>1</v>
      </c>
      <c r="O55" s="53">
        <v>0.9</v>
      </c>
      <c r="P55" s="53">
        <v>0.95</v>
      </c>
      <c r="Q55" s="75">
        <f t="shared" si="2"/>
        <v>0.92500000000000004</v>
      </c>
      <c r="R55" s="53">
        <v>13.8</v>
      </c>
      <c r="S55" s="53">
        <v>144</v>
      </c>
      <c r="T55" s="16">
        <f t="shared" si="0"/>
        <v>30</v>
      </c>
      <c r="U55" s="53">
        <v>138</v>
      </c>
      <c r="V55" s="16">
        <f t="shared" si="1"/>
        <v>4140</v>
      </c>
      <c r="W55" s="53">
        <v>14</v>
      </c>
      <c r="X55" s="166" t="s">
        <v>46</v>
      </c>
      <c r="Y55" s="53" t="s">
        <v>78</v>
      </c>
      <c r="Z55" s="53" t="s">
        <v>102</v>
      </c>
      <c r="AA55" s="53" t="s">
        <v>88</v>
      </c>
      <c r="AB55" s="53" t="s">
        <v>158</v>
      </c>
    </row>
    <row r="56" spans="1:28" x14ac:dyDescent="0.15">
      <c r="A56" s="53" t="s">
        <v>34</v>
      </c>
      <c r="B56" s="53" t="s">
        <v>157</v>
      </c>
      <c r="C56" s="53">
        <v>2019</v>
      </c>
      <c r="D56" s="174" t="s">
        <v>359</v>
      </c>
      <c r="E56" s="53" t="s">
        <v>268</v>
      </c>
      <c r="F56" s="158" t="s">
        <v>369</v>
      </c>
      <c r="G56" s="161" t="s">
        <v>36</v>
      </c>
      <c r="H56" s="53" t="s">
        <v>164</v>
      </c>
      <c r="I56" s="53" t="s">
        <v>159</v>
      </c>
      <c r="J56" s="53" t="s">
        <v>38</v>
      </c>
      <c r="K56" s="127" t="s">
        <v>161</v>
      </c>
      <c r="L56" s="53">
        <v>1</v>
      </c>
      <c r="N56" s="53">
        <v>5</v>
      </c>
      <c r="O56" s="53">
        <v>0.65</v>
      </c>
      <c r="P56" s="53">
        <v>0.5</v>
      </c>
      <c r="Q56" s="75">
        <f t="shared" si="2"/>
        <v>0.57499999999999996</v>
      </c>
      <c r="R56" s="53">
        <v>12.5</v>
      </c>
      <c r="S56" s="53">
        <v>90</v>
      </c>
      <c r="T56" s="16">
        <f t="shared" si="0"/>
        <v>36</v>
      </c>
      <c r="U56" s="53">
        <v>398</v>
      </c>
      <c r="V56" s="16">
        <f t="shared" si="1"/>
        <v>2865.6</v>
      </c>
      <c r="W56" s="53">
        <v>2</v>
      </c>
      <c r="X56" s="166" t="s">
        <v>46</v>
      </c>
      <c r="Y56" s="53" t="s">
        <v>102</v>
      </c>
      <c r="Z56" s="53" t="s">
        <v>90</v>
      </c>
      <c r="AA56" s="53" t="s">
        <v>69</v>
      </c>
      <c r="AB56" s="53" t="s">
        <v>158</v>
      </c>
    </row>
    <row r="57" spans="1:28" x14ac:dyDescent="0.15">
      <c r="A57" s="53" t="s">
        <v>34</v>
      </c>
      <c r="B57" s="53" t="s">
        <v>157</v>
      </c>
      <c r="C57" s="53">
        <v>2019</v>
      </c>
      <c r="D57" s="174" t="s">
        <v>359</v>
      </c>
      <c r="E57" s="53" t="s">
        <v>268</v>
      </c>
      <c r="F57" s="158" t="s">
        <v>369</v>
      </c>
      <c r="G57" s="161" t="s">
        <v>36</v>
      </c>
      <c r="H57" s="53" t="s">
        <v>164</v>
      </c>
      <c r="I57" s="53" t="s">
        <v>159</v>
      </c>
      <c r="J57" s="53" t="s">
        <v>38</v>
      </c>
      <c r="K57" s="127" t="s">
        <v>161</v>
      </c>
      <c r="L57" s="53">
        <v>2</v>
      </c>
      <c r="N57" s="53">
        <v>5</v>
      </c>
      <c r="O57" s="53">
        <v>0.6</v>
      </c>
      <c r="P57" s="53">
        <v>0.55000000000000004</v>
      </c>
      <c r="Q57" s="75">
        <f t="shared" si="2"/>
        <v>0.57499999999999996</v>
      </c>
      <c r="R57" s="53">
        <v>12.8</v>
      </c>
      <c r="S57" s="53">
        <v>92</v>
      </c>
      <c r="T57" s="16">
        <f t="shared" si="0"/>
        <v>36</v>
      </c>
      <c r="U57" s="53">
        <v>398</v>
      </c>
      <c r="V57" s="16">
        <f t="shared" si="1"/>
        <v>2865.6</v>
      </c>
      <c r="W57" s="53">
        <v>2</v>
      </c>
      <c r="X57" s="166" t="s">
        <v>46</v>
      </c>
      <c r="Y57" s="53" t="s">
        <v>102</v>
      </c>
      <c r="Z57" s="53" t="s">
        <v>90</v>
      </c>
      <c r="AA57" s="53" t="s">
        <v>69</v>
      </c>
      <c r="AB57" s="53" t="s">
        <v>158</v>
      </c>
    </row>
    <row r="58" spans="1:28" x14ac:dyDescent="0.15">
      <c r="A58" s="53" t="s">
        <v>34</v>
      </c>
      <c r="B58" s="53" t="s">
        <v>157</v>
      </c>
      <c r="C58" s="53">
        <v>2019</v>
      </c>
      <c r="D58" s="174" t="s">
        <v>359</v>
      </c>
      <c r="E58" s="53" t="s">
        <v>268</v>
      </c>
      <c r="F58" s="158" t="s">
        <v>369</v>
      </c>
      <c r="G58" s="161" t="s">
        <v>36</v>
      </c>
      <c r="H58" s="53" t="s">
        <v>164</v>
      </c>
      <c r="I58" s="53" t="s">
        <v>159</v>
      </c>
      <c r="J58" s="53" t="s">
        <v>38</v>
      </c>
      <c r="K58" s="127" t="s">
        <v>161</v>
      </c>
      <c r="L58" s="53">
        <v>3</v>
      </c>
      <c r="N58" s="53">
        <v>5</v>
      </c>
      <c r="O58" s="53">
        <v>0.7</v>
      </c>
      <c r="P58" s="53">
        <v>0.6</v>
      </c>
      <c r="Q58" s="75">
        <f t="shared" si="2"/>
        <v>0.64999999999999991</v>
      </c>
      <c r="R58" s="53">
        <v>12.2</v>
      </c>
      <c r="S58" s="53">
        <v>91</v>
      </c>
      <c r="T58" s="16">
        <f t="shared" si="0"/>
        <v>36</v>
      </c>
      <c r="U58" s="53">
        <v>398</v>
      </c>
      <c r="V58" s="16">
        <f t="shared" si="1"/>
        <v>2865.6</v>
      </c>
      <c r="W58" s="53">
        <v>2</v>
      </c>
      <c r="X58" s="166" t="s">
        <v>46</v>
      </c>
      <c r="Y58" s="53" t="s">
        <v>102</v>
      </c>
      <c r="Z58" s="53" t="s">
        <v>90</v>
      </c>
      <c r="AA58" s="53" t="s">
        <v>69</v>
      </c>
      <c r="AB58" s="53" t="s">
        <v>158</v>
      </c>
    </row>
    <row r="59" spans="1:28" x14ac:dyDescent="0.15">
      <c r="A59" s="53" t="s">
        <v>34</v>
      </c>
      <c r="B59" s="53" t="s">
        <v>157</v>
      </c>
      <c r="C59" s="53">
        <v>2019</v>
      </c>
      <c r="D59" s="174" t="s">
        <v>359</v>
      </c>
      <c r="E59" s="53" t="s">
        <v>268</v>
      </c>
      <c r="F59" s="158" t="s">
        <v>369</v>
      </c>
      <c r="G59" s="161" t="s">
        <v>36</v>
      </c>
      <c r="H59" s="53" t="s">
        <v>160</v>
      </c>
      <c r="I59" s="53" t="s">
        <v>159</v>
      </c>
      <c r="J59" s="53" t="s">
        <v>38</v>
      </c>
      <c r="K59" s="127" t="s">
        <v>161</v>
      </c>
      <c r="L59" s="53">
        <v>1</v>
      </c>
      <c r="N59" s="53">
        <v>4</v>
      </c>
      <c r="O59" s="53">
        <v>0.65</v>
      </c>
      <c r="P59" s="53">
        <v>0.6</v>
      </c>
      <c r="Q59" s="75">
        <f t="shared" si="2"/>
        <v>0.625</v>
      </c>
      <c r="R59" s="53">
        <v>15.3</v>
      </c>
      <c r="S59" s="53">
        <v>99</v>
      </c>
      <c r="T59" s="16">
        <f t="shared" si="0"/>
        <v>33</v>
      </c>
      <c r="U59" s="53">
        <v>498</v>
      </c>
      <c r="V59" s="16">
        <f t="shared" si="1"/>
        <v>4108.5</v>
      </c>
      <c r="W59" s="53">
        <v>2</v>
      </c>
      <c r="X59" s="166" t="s">
        <v>46</v>
      </c>
      <c r="Y59" s="53" t="s">
        <v>102</v>
      </c>
      <c r="Z59" s="53" t="s">
        <v>90</v>
      </c>
      <c r="AA59" s="53" t="s">
        <v>69</v>
      </c>
      <c r="AB59" s="53" t="s">
        <v>158</v>
      </c>
    </row>
    <row r="60" spans="1:28" x14ac:dyDescent="0.15">
      <c r="A60" s="53" t="s">
        <v>34</v>
      </c>
      <c r="B60" s="53" t="s">
        <v>157</v>
      </c>
      <c r="C60" s="53">
        <v>2019</v>
      </c>
      <c r="D60" s="174" t="s">
        <v>359</v>
      </c>
      <c r="E60" s="53" t="s">
        <v>268</v>
      </c>
      <c r="F60" s="158" t="s">
        <v>369</v>
      </c>
      <c r="G60" s="161" t="s">
        <v>36</v>
      </c>
      <c r="H60" s="53" t="s">
        <v>160</v>
      </c>
      <c r="I60" s="53" t="s">
        <v>159</v>
      </c>
      <c r="J60" s="53" t="s">
        <v>38</v>
      </c>
      <c r="K60" s="127" t="s">
        <v>161</v>
      </c>
      <c r="L60" s="53">
        <v>2</v>
      </c>
      <c r="N60" s="53">
        <v>4</v>
      </c>
      <c r="O60" s="53">
        <v>0.7</v>
      </c>
      <c r="P60" s="53">
        <v>0.6</v>
      </c>
      <c r="Q60" s="75">
        <f t="shared" si="2"/>
        <v>0.64999999999999991</v>
      </c>
      <c r="R60" s="53">
        <v>15.5</v>
      </c>
      <c r="S60" s="53">
        <v>94</v>
      </c>
      <c r="T60" s="16">
        <f t="shared" si="0"/>
        <v>36</v>
      </c>
      <c r="U60" s="53">
        <v>498</v>
      </c>
      <c r="V60" s="16">
        <f t="shared" si="1"/>
        <v>4482</v>
      </c>
      <c r="W60" s="53">
        <v>2</v>
      </c>
      <c r="X60" s="166" t="s">
        <v>46</v>
      </c>
      <c r="Y60" s="53" t="s">
        <v>102</v>
      </c>
      <c r="Z60" s="53" t="s">
        <v>90</v>
      </c>
      <c r="AA60" s="53" t="s">
        <v>69</v>
      </c>
      <c r="AB60" s="53" t="s">
        <v>158</v>
      </c>
    </row>
    <row r="61" spans="1:28" x14ac:dyDescent="0.15">
      <c r="A61" s="53" t="s">
        <v>34</v>
      </c>
      <c r="B61" s="53" t="s">
        <v>157</v>
      </c>
      <c r="C61" s="53">
        <v>2019</v>
      </c>
      <c r="D61" s="174" t="s">
        <v>359</v>
      </c>
      <c r="E61" s="53" t="s">
        <v>268</v>
      </c>
      <c r="F61" s="158" t="s">
        <v>369</v>
      </c>
      <c r="G61" s="161" t="s">
        <v>36</v>
      </c>
      <c r="H61" s="53" t="s">
        <v>160</v>
      </c>
      <c r="I61" s="53" t="s">
        <v>159</v>
      </c>
      <c r="J61" s="53" t="s">
        <v>38</v>
      </c>
      <c r="K61" s="127" t="s">
        <v>161</v>
      </c>
      <c r="L61" s="53">
        <v>3</v>
      </c>
      <c r="N61" s="53">
        <v>4</v>
      </c>
      <c r="O61" s="53">
        <v>0.7</v>
      </c>
      <c r="P61" s="53">
        <v>0.65</v>
      </c>
      <c r="Q61" s="75">
        <f t="shared" si="2"/>
        <v>0.67500000000000004</v>
      </c>
      <c r="R61" s="53">
        <v>14.9</v>
      </c>
      <c r="S61" s="53">
        <v>105</v>
      </c>
      <c r="T61" s="16">
        <f t="shared" si="0"/>
        <v>33</v>
      </c>
      <c r="U61" s="53">
        <v>498</v>
      </c>
      <c r="V61" s="16">
        <f t="shared" si="1"/>
        <v>4108.5</v>
      </c>
      <c r="W61" s="53">
        <v>2</v>
      </c>
      <c r="X61" s="166" t="s">
        <v>46</v>
      </c>
      <c r="Y61" s="53" t="s">
        <v>102</v>
      </c>
      <c r="Z61" s="53" t="s">
        <v>90</v>
      </c>
      <c r="AA61" s="53" t="s">
        <v>69</v>
      </c>
      <c r="AB61" s="53" t="s">
        <v>158</v>
      </c>
    </row>
    <row r="62" spans="1:28" x14ac:dyDescent="0.15">
      <c r="D62" s="174"/>
      <c r="F62" s="158"/>
      <c r="G62" s="161"/>
      <c r="K62" s="127"/>
      <c r="Q62" s="75" t="str">
        <f t="shared" si="2"/>
        <v/>
      </c>
      <c r="T62" s="16" t="str">
        <f t="shared" si="0"/>
        <v/>
      </c>
      <c r="V62" s="16" t="str">
        <f t="shared" si="1"/>
        <v/>
      </c>
      <c r="X62" s="166"/>
    </row>
    <row r="63" spans="1:28" x14ac:dyDescent="0.15">
      <c r="D63" s="174"/>
      <c r="F63" s="158"/>
      <c r="G63" s="161"/>
      <c r="K63" s="127"/>
      <c r="Q63" s="75" t="str">
        <f t="shared" si="2"/>
        <v/>
      </c>
      <c r="T63" s="16" t="str">
        <f t="shared" si="0"/>
        <v/>
      </c>
      <c r="V63" s="16" t="str">
        <f t="shared" si="1"/>
        <v/>
      </c>
      <c r="X63" s="166"/>
    </row>
    <row r="64" spans="1:28" x14ac:dyDescent="0.15">
      <c r="D64" s="174"/>
      <c r="F64" s="158"/>
      <c r="G64" s="161"/>
      <c r="K64" s="127"/>
      <c r="Q64" s="75" t="str">
        <f t="shared" si="2"/>
        <v/>
      </c>
      <c r="T64" s="16" t="str">
        <f t="shared" si="0"/>
        <v/>
      </c>
      <c r="V64" s="16" t="str">
        <f t="shared" si="1"/>
        <v/>
      </c>
      <c r="X64" s="166"/>
    </row>
    <row r="65" spans="4:24" x14ac:dyDescent="0.15">
      <c r="D65" s="174"/>
      <c r="F65" s="158"/>
      <c r="G65" s="161"/>
      <c r="K65" s="127"/>
      <c r="Q65" s="75" t="str">
        <f t="shared" si="2"/>
        <v/>
      </c>
      <c r="T65" s="16" t="str">
        <f t="shared" si="0"/>
        <v/>
      </c>
      <c r="V65" s="16" t="str">
        <f t="shared" si="1"/>
        <v/>
      </c>
      <c r="X65" s="166"/>
    </row>
    <row r="66" spans="4:24" x14ac:dyDescent="0.15">
      <c r="D66" s="174"/>
      <c r="F66" s="158"/>
      <c r="G66" s="161"/>
      <c r="K66" s="127"/>
      <c r="Q66" s="75" t="str">
        <f t="shared" si="2"/>
        <v/>
      </c>
      <c r="T66" s="16" t="str">
        <f t="shared" ref="T66:T91" si="3">IF(H66="","",IF(OR(H66="GREEN",H66="GK"),IF(S66&gt;=$AX$2,VLOOKUP(S66,$AX$2:$AY$7,2,1),""),IF(S66&gt;=$AZ$2,VLOOKUP(S66,$AZ$2:$BA$7,2,1),"")))</f>
        <v/>
      </c>
      <c r="V66" s="16" t="str">
        <f t="shared" ref="V66:V91" si="4">IF(OR(N66="",U66="",T66=""),"",U66/N66*T66)</f>
        <v/>
      </c>
      <c r="X66" s="166"/>
    </row>
    <row r="67" spans="4:24" x14ac:dyDescent="0.15">
      <c r="D67" s="174"/>
      <c r="F67" s="158"/>
      <c r="G67" s="161"/>
      <c r="K67" s="127"/>
      <c r="Q67" s="75" t="str">
        <f t="shared" ref="Q67:Q92" si="5">IF(OR(O67="",P67=""),"",AVERAGE(O67,P67))</f>
        <v/>
      </c>
      <c r="T67" s="16" t="str">
        <f t="shared" si="3"/>
        <v/>
      </c>
      <c r="V67" s="16" t="str">
        <f t="shared" si="4"/>
        <v/>
      </c>
      <c r="X67" s="166"/>
    </row>
    <row r="68" spans="4:24" x14ac:dyDescent="0.15">
      <c r="D68" s="174"/>
      <c r="F68" s="158"/>
      <c r="G68" s="161"/>
      <c r="K68" s="127"/>
      <c r="Q68" s="75" t="str">
        <f t="shared" si="5"/>
        <v/>
      </c>
      <c r="T68" s="16" t="str">
        <f t="shared" si="3"/>
        <v/>
      </c>
      <c r="V68" s="16" t="str">
        <f t="shared" si="4"/>
        <v/>
      </c>
      <c r="X68" s="166"/>
    </row>
    <row r="69" spans="4:24" x14ac:dyDescent="0.15">
      <c r="D69" s="174"/>
      <c r="F69" s="158"/>
      <c r="G69" s="161"/>
      <c r="K69" s="127"/>
      <c r="Q69" s="75" t="str">
        <f t="shared" si="5"/>
        <v/>
      </c>
      <c r="T69" s="16" t="str">
        <f t="shared" si="3"/>
        <v/>
      </c>
      <c r="V69" s="16" t="str">
        <f t="shared" si="4"/>
        <v/>
      </c>
      <c r="X69" s="166"/>
    </row>
    <row r="70" spans="4:24" x14ac:dyDescent="0.15">
      <c r="D70" s="174"/>
      <c r="F70" s="158"/>
      <c r="G70" s="161"/>
      <c r="K70" s="127"/>
      <c r="Q70" s="75" t="str">
        <f t="shared" si="5"/>
        <v/>
      </c>
      <c r="T70" s="16" t="str">
        <f t="shared" si="3"/>
        <v/>
      </c>
      <c r="V70" s="16" t="str">
        <f t="shared" si="4"/>
        <v/>
      </c>
      <c r="X70" s="166"/>
    </row>
    <row r="71" spans="4:24" x14ac:dyDescent="0.15">
      <c r="D71" s="174"/>
      <c r="F71" s="158"/>
      <c r="G71" s="161"/>
      <c r="K71" s="127"/>
      <c r="Q71" s="75" t="str">
        <f t="shared" si="5"/>
        <v/>
      </c>
      <c r="T71" s="16" t="str">
        <f t="shared" si="3"/>
        <v/>
      </c>
      <c r="V71" s="16" t="str">
        <f t="shared" si="4"/>
        <v/>
      </c>
      <c r="X71" s="166"/>
    </row>
    <row r="72" spans="4:24" x14ac:dyDescent="0.15">
      <c r="D72" s="174"/>
      <c r="F72" s="158"/>
      <c r="G72" s="161"/>
      <c r="K72" s="127"/>
      <c r="Q72" s="75" t="str">
        <f t="shared" si="5"/>
        <v/>
      </c>
      <c r="T72" s="16" t="str">
        <f t="shared" si="3"/>
        <v/>
      </c>
      <c r="V72" s="16" t="str">
        <f t="shared" si="4"/>
        <v/>
      </c>
      <c r="X72" s="166"/>
    </row>
    <row r="73" spans="4:24" x14ac:dyDescent="0.15">
      <c r="D73" s="174"/>
      <c r="F73" s="158"/>
      <c r="G73" s="161"/>
      <c r="K73" s="127"/>
      <c r="Q73" s="75" t="str">
        <f t="shared" si="5"/>
        <v/>
      </c>
      <c r="T73" s="16" t="str">
        <f t="shared" si="3"/>
        <v/>
      </c>
      <c r="V73" s="16" t="str">
        <f t="shared" si="4"/>
        <v/>
      </c>
      <c r="X73" s="166"/>
    </row>
    <row r="74" spans="4:24" x14ac:dyDescent="0.15">
      <c r="D74" s="174"/>
      <c r="F74" s="158"/>
      <c r="G74" s="161"/>
      <c r="K74" s="127"/>
      <c r="Q74" s="75" t="str">
        <f t="shared" si="5"/>
        <v/>
      </c>
      <c r="T74" s="16" t="str">
        <f t="shared" si="3"/>
        <v/>
      </c>
      <c r="V74" s="16" t="str">
        <f t="shared" si="4"/>
        <v/>
      </c>
      <c r="X74" s="166"/>
    </row>
    <row r="75" spans="4:24" x14ac:dyDescent="0.15">
      <c r="D75" s="174"/>
      <c r="F75" s="158"/>
      <c r="G75" s="161"/>
      <c r="K75" s="127"/>
      <c r="Q75" s="75" t="str">
        <f t="shared" si="5"/>
        <v/>
      </c>
      <c r="T75" s="16" t="str">
        <f t="shared" si="3"/>
        <v/>
      </c>
      <c r="V75" s="16" t="str">
        <f t="shared" si="4"/>
        <v/>
      </c>
      <c r="X75" s="166"/>
    </row>
    <row r="76" spans="4:24" x14ac:dyDescent="0.15">
      <c r="D76" s="174"/>
      <c r="F76" s="158"/>
      <c r="G76" s="161"/>
      <c r="K76" s="127"/>
      <c r="Q76" s="75" t="str">
        <f t="shared" si="5"/>
        <v/>
      </c>
      <c r="T76" s="16" t="str">
        <f t="shared" si="3"/>
        <v/>
      </c>
      <c r="V76" s="16" t="str">
        <f t="shared" si="4"/>
        <v/>
      </c>
      <c r="X76" s="166"/>
    </row>
    <row r="77" spans="4:24" x14ac:dyDescent="0.15">
      <c r="D77" s="174"/>
      <c r="F77" s="158"/>
      <c r="G77" s="161"/>
      <c r="K77" s="127"/>
      <c r="Q77" s="75" t="str">
        <f t="shared" si="5"/>
        <v/>
      </c>
      <c r="T77" s="16" t="str">
        <f t="shared" si="3"/>
        <v/>
      </c>
      <c r="V77" s="16" t="str">
        <f t="shared" si="4"/>
        <v/>
      </c>
      <c r="X77" s="166"/>
    </row>
    <row r="78" spans="4:24" x14ac:dyDescent="0.15">
      <c r="D78" s="174"/>
      <c r="F78" s="158"/>
      <c r="G78" s="161"/>
      <c r="K78" s="127"/>
      <c r="Q78" s="75" t="str">
        <f t="shared" si="5"/>
        <v/>
      </c>
      <c r="T78" s="16" t="str">
        <f t="shared" si="3"/>
        <v/>
      </c>
      <c r="V78" s="16" t="str">
        <f t="shared" si="4"/>
        <v/>
      </c>
      <c r="X78" s="166"/>
    </row>
    <row r="79" spans="4:24" x14ac:dyDescent="0.15">
      <c r="D79" s="174"/>
      <c r="F79" s="158"/>
      <c r="G79" s="161"/>
      <c r="K79" s="127"/>
      <c r="Q79" s="75" t="str">
        <f t="shared" si="5"/>
        <v/>
      </c>
      <c r="T79" s="16" t="str">
        <f t="shared" si="3"/>
        <v/>
      </c>
      <c r="V79" s="16" t="str">
        <f t="shared" si="4"/>
        <v/>
      </c>
      <c r="X79" s="166"/>
    </row>
    <row r="80" spans="4:24" x14ac:dyDescent="0.15">
      <c r="K80" s="127"/>
      <c r="Q80" s="75" t="str">
        <f t="shared" si="5"/>
        <v/>
      </c>
      <c r="T80" s="16" t="str">
        <f t="shared" si="3"/>
        <v/>
      </c>
      <c r="V80" s="16" t="str">
        <f t="shared" si="4"/>
        <v/>
      </c>
    </row>
    <row r="81" spans="11:22" x14ac:dyDescent="0.15">
      <c r="K81" s="127"/>
      <c r="Q81" s="75" t="str">
        <f t="shared" si="5"/>
        <v/>
      </c>
      <c r="T81" s="16" t="str">
        <f t="shared" si="3"/>
        <v/>
      </c>
      <c r="V81" s="16" t="str">
        <f t="shared" si="4"/>
        <v/>
      </c>
    </row>
    <row r="82" spans="11:22" x14ac:dyDescent="0.15">
      <c r="K82" s="127"/>
      <c r="Q82" s="75" t="str">
        <f t="shared" si="5"/>
        <v/>
      </c>
      <c r="T82" s="16" t="str">
        <f t="shared" si="3"/>
        <v/>
      </c>
      <c r="V82" s="16" t="str">
        <f t="shared" si="4"/>
        <v/>
      </c>
    </row>
    <row r="83" spans="11:22" x14ac:dyDescent="0.15">
      <c r="K83" s="127"/>
      <c r="Q83" s="75" t="str">
        <f t="shared" si="5"/>
        <v/>
      </c>
      <c r="T83" s="16" t="str">
        <f t="shared" si="3"/>
        <v/>
      </c>
      <c r="V83" s="16" t="str">
        <f t="shared" si="4"/>
        <v/>
      </c>
    </row>
    <row r="84" spans="11:22" x14ac:dyDescent="0.15">
      <c r="K84" s="127"/>
      <c r="Q84" s="75" t="str">
        <f t="shared" si="5"/>
        <v/>
      </c>
      <c r="T84" s="16" t="str">
        <f t="shared" si="3"/>
        <v/>
      </c>
      <c r="V84" s="16" t="str">
        <f t="shared" si="4"/>
        <v/>
      </c>
    </row>
    <row r="85" spans="11:22" x14ac:dyDescent="0.15">
      <c r="K85" s="127"/>
      <c r="Q85" s="75" t="str">
        <f t="shared" si="5"/>
        <v/>
      </c>
      <c r="T85" s="16" t="str">
        <f t="shared" si="3"/>
        <v/>
      </c>
      <c r="V85" s="16" t="str">
        <f t="shared" si="4"/>
        <v/>
      </c>
    </row>
    <row r="86" spans="11:22" x14ac:dyDescent="0.15">
      <c r="K86" s="127"/>
      <c r="Q86" s="75" t="str">
        <f t="shared" si="5"/>
        <v/>
      </c>
      <c r="T86" s="16" t="str">
        <f t="shared" si="3"/>
        <v/>
      </c>
      <c r="V86" s="16" t="str">
        <f t="shared" si="4"/>
        <v/>
      </c>
    </row>
    <row r="87" spans="11:22" x14ac:dyDescent="0.15">
      <c r="K87" s="127"/>
      <c r="Q87" s="75" t="str">
        <f t="shared" si="5"/>
        <v/>
      </c>
      <c r="T87" s="16" t="str">
        <f t="shared" si="3"/>
        <v/>
      </c>
      <c r="V87" s="16" t="str">
        <f t="shared" si="4"/>
        <v/>
      </c>
    </row>
    <row r="88" spans="11:22" x14ac:dyDescent="0.15">
      <c r="K88" s="127"/>
      <c r="Q88" s="75" t="str">
        <f t="shared" si="5"/>
        <v/>
      </c>
      <c r="T88" s="16" t="str">
        <f t="shared" si="3"/>
        <v/>
      </c>
      <c r="V88" s="16" t="str">
        <f t="shared" si="4"/>
        <v/>
      </c>
    </row>
    <row r="89" spans="11:22" x14ac:dyDescent="0.15">
      <c r="K89" s="127"/>
      <c r="Q89" s="75" t="str">
        <f t="shared" si="5"/>
        <v/>
      </c>
      <c r="T89" s="16" t="str">
        <f t="shared" si="3"/>
        <v/>
      </c>
      <c r="V89" s="16" t="str">
        <f t="shared" si="4"/>
        <v/>
      </c>
    </row>
    <row r="90" spans="11:22" x14ac:dyDescent="0.15">
      <c r="K90" s="127"/>
      <c r="Q90" s="75" t="str">
        <f t="shared" si="5"/>
        <v/>
      </c>
      <c r="T90" s="16" t="str">
        <f t="shared" si="3"/>
        <v/>
      </c>
      <c r="V90" s="16" t="str">
        <f t="shared" si="4"/>
        <v/>
      </c>
    </row>
    <row r="91" spans="11:22" x14ac:dyDescent="0.15">
      <c r="K91" s="127"/>
      <c r="Q91" s="75" t="str">
        <f t="shared" si="5"/>
        <v/>
      </c>
      <c r="T91" s="16" t="str">
        <f t="shared" si="3"/>
        <v/>
      </c>
      <c r="V91" s="16" t="str">
        <f t="shared" si="4"/>
        <v/>
      </c>
    </row>
    <row r="92" spans="11:22" x14ac:dyDescent="0.15">
      <c r="K92" s="127"/>
      <c r="Q92" s="75"/>
    </row>
    <row r="93" spans="11:22" x14ac:dyDescent="0.15">
      <c r="K93" s="127"/>
      <c r="Q93" s="75"/>
    </row>
    <row r="94" spans="11:22" x14ac:dyDescent="0.15">
      <c r="K94" s="127"/>
      <c r="Q94" s="75"/>
    </row>
    <row r="95" spans="11:22" x14ac:dyDescent="0.15">
      <c r="K95" s="127"/>
      <c r="Q95" s="75"/>
    </row>
    <row r="96" spans="11:22" x14ac:dyDescent="0.15">
      <c r="K96" s="127"/>
      <c r="Q96" s="75"/>
    </row>
    <row r="97" spans="11:17" x14ac:dyDescent="0.15">
      <c r="K97" s="127"/>
      <c r="Q97" s="75"/>
    </row>
    <row r="98" spans="11:17" x14ac:dyDescent="0.15">
      <c r="K98" s="127"/>
      <c r="Q98" s="75"/>
    </row>
    <row r="99" spans="11:17" x14ac:dyDescent="0.15">
      <c r="K99" s="127"/>
      <c r="Q99" s="75"/>
    </row>
    <row r="100" spans="11:17" x14ac:dyDescent="0.15">
      <c r="K100" s="127"/>
      <c r="Q100" s="75"/>
    </row>
    <row r="101" spans="11:17" x14ac:dyDescent="0.15">
      <c r="K101" s="127"/>
      <c r="Q101" s="75"/>
    </row>
    <row r="102" spans="11:17" x14ac:dyDescent="0.15">
      <c r="K102" s="127"/>
      <c r="Q102" s="75"/>
    </row>
    <row r="103" spans="11:17" x14ac:dyDescent="0.15">
      <c r="K103" s="127"/>
      <c r="Q103" s="75"/>
    </row>
    <row r="104" spans="11:17" x14ac:dyDescent="0.15">
      <c r="K104" s="127"/>
      <c r="Q104" s="75"/>
    </row>
    <row r="105" spans="11:17" x14ac:dyDescent="0.15">
      <c r="K105" s="127"/>
      <c r="Q105" s="75"/>
    </row>
    <row r="106" spans="11:17" x14ac:dyDescent="0.15">
      <c r="K106" s="127"/>
      <c r="Q106" s="75"/>
    </row>
    <row r="107" spans="11:17" x14ac:dyDescent="0.15">
      <c r="K107" s="127"/>
      <c r="Q107" s="75"/>
    </row>
    <row r="108" spans="11:17" x14ac:dyDescent="0.15">
      <c r="K108" s="127"/>
      <c r="Q108" s="75"/>
    </row>
    <row r="109" spans="11:17" x14ac:dyDescent="0.15">
      <c r="K109" s="127"/>
      <c r="Q109" s="75"/>
    </row>
    <row r="110" spans="11:17" x14ac:dyDescent="0.15">
      <c r="K110" s="127"/>
      <c r="Q110" s="75"/>
    </row>
    <row r="111" spans="11:17" x14ac:dyDescent="0.15">
      <c r="K111" s="127"/>
      <c r="Q111" s="75"/>
    </row>
    <row r="112" spans="11:17" x14ac:dyDescent="0.15">
      <c r="K112" s="127"/>
      <c r="Q112" s="75"/>
    </row>
    <row r="113" spans="11:17" x14ac:dyDescent="0.15">
      <c r="K113" s="127"/>
      <c r="Q113" s="75"/>
    </row>
    <row r="114" spans="11:17" x14ac:dyDescent="0.15">
      <c r="K114" s="127"/>
      <c r="Q114" s="75"/>
    </row>
    <row r="115" spans="11:17" x14ac:dyDescent="0.15">
      <c r="K115" s="127"/>
      <c r="Q115" s="75"/>
    </row>
    <row r="116" spans="11:17" x14ac:dyDescent="0.15">
      <c r="K116" s="127"/>
      <c r="Q116" s="75"/>
    </row>
    <row r="117" spans="11:17" x14ac:dyDescent="0.15">
      <c r="K117" s="127"/>
      <c r="Q117" s="75"/>
    </row>
    <row r="118" spans="11:17" x14ac:dyDescent="0.15">
      <c r="K118" s="127"/>
      <c r="Q118" s="75"/>
    </row>
    <row r="119" spans="11:17" x14ac:dyDescent="0.15">
      <c r="K119" s="127"/>
      <c r="Q119" s="75"/>
    </row>
    <row r="120" spans="11:17" x14ac:dyDescent="0.15">
      <c r="K120" s="127"/>
      <c r="Q120" s="75"/>
    </row>
    <row r="121" spans="11:17" x14ac:dyDescent="0.15">
      <c r="K121" s="127"/>
      <c r="Q121" s="75"/>
    </row>
    <row r="122" spans="11:17" x14ac:dyDescent="0.15">
      <c r="K122" s="127"/>
      <c r="Q122" s="75"/>
    </row>
    <row r="123" spans="11:17" x14ac:dyDescent="0.15">
      <c r="K123" s="127"/>
      <c r="Q123" s="75"/>
    </row>
    <row r="124" spans="11:17" x14ac:dyDescent="0.15">
      <c r="K124" s="127"/>
      <c r="Q124" s="75"/>
    </row>
    <row r="125" spans="11:17" x14ac:dyDescent="0.15">
      <c r="K125" s="127"/>
      <c r="Q125" s="75"/>
    </row>
    <row r="126" spans="11:17" x14ac:dyDescent="0.15">
      <c r="K126" s="127"/>
      <c r="Q126" s="75"/>
    </row>
    <row r="127" spans="11:17" x14ac:dyDescent="0.15">
      <c r="K127" s="127"/>
      <c r="Q127" s="75"/>
    </row>
    <row r="128" spans="11:17" x14ac:dyDescent="0.15">
      <c r="K128" s="127"/>
      <c r="Q128" s="75"/>
    </row>
    <row r="129" spans="11:17" x14ac:dyDescent="0.15">
      <c r="K129" s="127"/>
      <c r="Q129" s="75"/>
    </row>
    <row r="130" spans="11:17" x14ac:dyDescent="0.15">
      <c r="K130" s="127"/>
      <c r="Q130" s="75"/>
    </row>
    <row r="131" spans="11:17" x14ac:dyDescent="0.15">
      <c r="K131" s="127"/>
      <c r="Q131" s="75"/>
    </row>
    <row r="132" spans="11:17" x14ac:dyDescent="0.15">
      <c r="K132" s="127"/>
      <c r="Q132" s="75"/>
    </row>
    <row r="133" spans="11:17" x14ac:dyDescent="0.15">
      <c r="K133" s="127"/>
      <c r="Q133" s="75"/>
    </row>
    <row r="134" spans="11:17" x14ac:dyDescent="0.15">
      <c r="K134" s="127"/>
      <c r="Q134" s="75"/>
    </row>
    <row r="135" spans="11:17" x14ac:dyDescent="0.15">
      <c r="K135" s="127"/>
      <c r="Q135" s="75"/>
    </row>
    <row r="136" spans="11:17" x14ac:dyDescent="0.15">
      <c r="K136" s="127"/>
      <c r="Q136" s="75"/>
    </row>
    <row r="137" spans="11:17" x14ac:dyDescent="0.15">
      <c r="K137" s="127"/>
      <c r="Q137" s="75"/>
    </row>
    <row r="138" spans="11:17" x14ac:dyDescent="0.15">
      <c r="K138" s="127"/>
      <c r="Q138" s="75"/>
    </row>
    <row r="139" spans="11:17" x14ac:dyDescent="0.15">
      <c r="K139" s="127"/>
      <c r="Q139" s="75"/>
    </row>
    <row r="140" spans="11:17" x14ac:dyDescent="0.15">
      <c r="K140" s="127"/>
      <c r="Q140" s="75"/>
    </row>
    <row r="141" spans="11:17" x14ac:dyDescent="0.15">
      <c r="K141" s="127"/>
      <c r="Q141" s="75"/>
    </row>
    <row r="142" spans="11:17" x14ac:dyDescent="0.15">
      <c r="K142" s="127"/>
      <c r="Q142" s="75"/>
    </row>
    <row r="143" spans="11:17" x14ac:dyDescent="0.15">
      <c r="K143" s="127"/>
      <c r="Q143" s="75"/>
    </row>
    <row r="144" spans="11:17" x14ac:dyDescent="0.15">
      <c r="K144" s="127"/>
      <c r="Q144" s="75"/>
    </row>
    <row r="145" spans="11:17" x14ac:dyDescent="0.15">
      <c r="K145" s="127"/>
      <c r="Q145" s="75"/>
    </row>
    <row r="146" spans="11:17" x14ac:dyDescent="0.15">
      <c r="K146" s="127"/>
      <c r="Q146" s="75"/>
    </row>
    <row r="147" spans="11:17" x14ac:dyDescent="0.15">
      <c r="K147" s="127"/>
      <c r="Q147" s="75"/>
    </row>
    <row r="148" spans="11:17" x14ac:dyDescent="0.15">
      <c r="K148" s="127"/>
      <c r="Q148" s="75"/>
    </row>
    <row r="149" spans="11:17" x14ac:dyDescent="0.15">
      <c r="K149" s="127"/>
      <c r="Q149" s="75"/>
    </row>
    <row r="150" spans="11:17" x14ac:dyDescent="0.15">
      <c r="K150" s="127"/>
      <c r="Q150" s="75"/>
    </row>
    <row r="151" spans="11:17" x14ac:dyDescent="0.15">
      <c r="K151" s="127"/>
      <c r="Q151" s="75"/>
    </row>
    <row r="152" spans="11:17" x14ac:dyDescent="0.15">
      <c r="K152" s="127"/>
      <c r="Q152" s="75"/>
    </row>
    <row r="153" spans="11:17" x14ac:dyDescent="0.15">
      <c r="K153" s="127"/>
      <c r="Q153" s="75"/>
    </row>
    <row r="154" spans="11:17" x14ac:dyDescent="0.15">
      <c r="K154" s="127"/>
      <c r="Q154" s="75"/>
    </row>
    <row r="155" spans="11:17" x14ac:dyDescent="0.15">
      <c r="K155" s="127"/>
      <c r="Q155" s="75"/>
    </row>
    <row r="156" spans="11:17" x14ac:dyDescent="0.15">
      <c r="K156" s="127"/>
      <c r="Q156" s="75"/>
    </row>
    <row r="157" spans="11:17" x14ac:dyDescent="0.15">
      <c r="K157" s="127"/>
      <c r="Q157" s="75"/>
    </row>
    <row r="158" spans="11:17" x14ac:dyDescent="0.15">
      <c r="K158" s="127"/>
      <c r="Q158" s="75"/>
    </row>
    <row r="159" spans="11:17" x14ac:dyDescent="0.15">
      <c r="K159" s="127"/>
      <c r="Q159" s="75"/>
    </row>
    <row r="160" spans="11:17" x14ac:dyDescent="0.15">
      <c r="K160" s="127"/>
      <c r="Q160" s="75"/>
    </row>
    <row r="161" spans="11:17" x14ac:dyDescent="0.15">
      <c r="K161" s="127"/>
      <c r="Q161" s="75"/>
    </row>
    <row r="162" spans="11:17" x14ac:dyDescent="0.15">
      <c r="K162" s="127"/>
      <c r="Q162" s="75"/>
    </row>
    <row r="163" spans="11:17" x14ac:dyDescent="0.15">
      <c r="K163" s="127"/>
      <c r="Q163" s="75"/>
    </row>
    <row r="164" spans="11:17" x14ac:dyDescent="0.15">
      <c r="K164" s="127"/>
      <c r="Q164" s="75"/>
    </row>
    <row r="165" spans="11:17" x14ac:dyDescent="0.15">
      <c r="K165" s="127"/>
      <c r="Q165" s="75"/>
    </row>
    <row r="166" spans="11:17" x14ac:dyDescent="0.15">
      <c r="K166" s="127"/>
      <c r="Q166" s="75"/>
    </row>
    <row r="167" spans="11:17" x14ac:dyDescent="0.15">
      <c r="K167" s="127"/>
      <c r="Q167" s="75"/>
    </row>
    <row r="168" spans="11:17" x14ac:dyDescent="0.15">
      <c r="K168" s="127"/>
      <c r="Q168" s="75"/>
    </row>
    <row r="169" spans="11:17" x14ac:dyDescent="0.15">
      <c r="K169" s="127"/>
      <c r="Q169" s="75"/>
    </row>
    <row r="170" spans="11:17" x14ac:dyDescent="0.15">
      <c r="K170" s="127"/>
      <c r="Q170" s="75"/>
    </row>
    <row r="171" spans="11:17" x14ac:dyDescent="0.15">
      <c r="K171" s="127"/>
      <c r="Q171" s="75"/>
    </row>
    <row r="172" spans="11:17" x14ac:dyDescent="0.15">
      <c r="K172" s="127"/>
      <c r="Q172" s="75"/>
    </row>
    <row r="173" spans="11:17" x14ac:dyDescent="0.15">
      <c r="K173" s="127"/>
      <c r="Q173" s="75"/>
    </row>
    <row r="174" spans="11:17" x14ac:dyDescent="0.15">
      <c r="K174" s="127"/>
      <c r="Q174" s="75"/>
    </row>
    <row r="175" spans="11:17" x14ac:dyDescent="0.15">
      <c r="K175" s="127"/>
      <c r="Q175" s="75"/>
    </row>
    <row r="176" spans="11:17" x14ac:dyDescent="0.15">
      <c r="K176" s="127"/>
      <c r="Q176" s="75"/>
    </row>
    <row r="177" spans="11:17" x14ac:dyDescent="0.15">
      <c r="K177" s="127"/>
      <c r="Q177" s="75"/>
    </row>
    <row r="178" spans="11:17" x14ac:dyDescent="0.15">
      <c r="K178" s="127"/>
      <c r="Q178" s="75"/>
    </row>
    <row r="179" spans="11:17" x14ac:dyDescent="0.15">
      <c r="K179" s="127"/>
      <c r="Q179" s="75"/>
    </row>
    <row r="180" spans="11:17" x14ac:dyDescent="0.15">
      <c r="K180" s="127"/>
      <c r="Q180" s="75"/>
    </row>
    <row r="181" spans="11:17" x14ac:dyDescent="0.15">
      <c r="K181" s="127"/>
      <c r="Q181" s="75"/>
    </row>
    <row r="182" spans="11:17" x14ac:dyDescent="0.15">
      <c r="K182" s="127"/>
      <c r="Q182" s="75"/>
    </row>
    <row r="183" spans="11:17" x14ac:dyDescent="0.15">
      <c r="K183" s="127"/>
      <c r="Q183" s="75"/>
    </row>
    <row r="184" spans="11:17" x14ac:dyDescent="0.15">
      <c r="K184" s="127"/>
      <c r="Q184" s="75"/>
    </row>
    <row r="185" spans="11:17" x14ac:dyDescent="0.15">
      <c r="K185" s="127"/>
      <c r="Q185" s="75"/>
    </row>
    <row r="186" spans="11:17" x14ac:dyDescent="0.15">
      <c r="K186" s="127"/>
      <c r="Q186" s="75"/>
    </row>
    <row r="187" spans="11:17" x14ac:dyDescent="0.15">
      <c r="K187" s="127"/>
      <c r="Q187" s="75"/>
    </row>
    <row r="188" spans="11:17" x14ac:dyDescent="0.15">
      <c r="K188" s="127"/>
      <c r="Q188" s="75"/>
    </row>
    <row r="189" spans="11:17" x14ac:dyDescent="0.15">
      <c r="K189" s="127"/>
      <c r="Q189" s="75"/>
    </row>
    <row r="190" spans="11:17" x14ac:dyDescent="0.15">
      <c r="K190" s="127"/>
      <c r="Q190" s="75"/>
    </row>
    <row r="191" spans="11:17" x14ac:dyDescent="0.15">
      <c r="K191" s="127"/>
      <c r="Q191" s="75"/>
    </row>
    <row r="192" spans="11:17" x14ac:dyDescent="0.15">
      <c r="K192" s="127"/>
      <c r="Q192" s="75"/>
    </row>
    <row r="193" spans="11:17" x14ac:dyDescent="0.15">
      <c r="K193" s="127"/>
      <c r="Q193" s="75"/>
    </row>
    <row r="194" spans="11:17" x14ac:dyDescent="0.15">
      <c r="K194" s="127"/>
      <c r="Q194" s="75"/>
    </row>
    <row r="195" spans="11:17" x14ac:dyDescent="0.15">
      <c r="K195" s="127"/>
      <c r="Q195" s="75"/>
    </row>
    <row r="196" spans="11:17" x14ac:dyDescent="0.15">
      <c r="K196" s="127"/>
      <c r="Q196" s="75"/>
    </row>
    <row r="197" spans="11:17" x14ac:dyDescent="0.15">
      <c r="K197" s="127"/>
      <c r="Q197" s="75"/>
    </row>
    <row r="198" spans="11:17" x14ac:dyDescent="0.15">
      <c r="K198" s="127"/>
      <c r="Q198" s="75"/>
    </row>
    <row r="199" spans="11:17" x14ac:dyDescent="0.15">
      <c r="K199" s="127"/>
      <c r="Q199" s="75"/>
    </row>
    <row r="200" spans="11:17" x14ac:dyDescent="0.15">
      <c r="K200" s="127"/>
      <c r="Q200" s="75"/>
    </row>
    <row r="201" spans="11:17" x14ac:dyDescent="0.15">
      <c r="K201" s="127"/>
      <c r="Q201" s="75"/>
    </row>
    <row r="202" spans="11:17" x14ac:dyDescent="0.15">
      <c r="K202" s="127"/>
      <c r="Q202" s="75"/>
    </row>
    <row r="203" spans="11:17" x14ac:dyDescent="0.15">
      <c r="K203" s="127"/>
      <c r="Q203" s="75"/>
    </row>
    <row r="204" spans="11:17" x14ac:dyDescent="0.15">
      <c r="K204" s="127"/>
      <c r="Q204" s="75"/>
    </row>
    <row r="205" spans="11:17" x14ac:dyDescent="0.15">
      <c r="K205" s="127"/>
      <c r="Q205" s="75"/>
    </row>
    <row r="206" spans="11:17" x14ac:dyDescent="0.15">
      <c r="K206" s="127"/>
      <c r="Q206" s="75"/>
    </row>
    <row r="207" spans="11:17" x14ac:dyDescent="0.15">
      <c r="K207" s="127"/>
      <c r="Q207" s="75"/>
    </row>
    <row r="208" spans="11:17" x14ac:dyDescent="0.15">
      <c r="K208" s="127"/>
      <c r="Q208" s="75"/>
    </row>
    <row r="209" spans="11:17" x14ac:dyDescent="0.15">
      <c r="K209" s="127"/>
      <c r="Q209" s="75"/>
    </row>
    <row r="210" spans="11:17" x14ac:dyDescent="0.15">
      <c r="K210" s="127"/>
      <c r="Q210" s="75"/>
    </row>
    <row r="211" spans="11:17" x14ac:dyDescent="0.15">
      <c r="K211" s="127"/>
      <c r="Q211" s="75"/>
    </row>
    <row r="212" spans="11:17" x14ac:dyDescent="0.15">
      <c r="K212" s="127"/>
      <c r="Q212" s="75"/>
    </row>
    <row r="213" spans="11:17" x14ac:dyDescent="0.15">
      <c r="K213" s="127"/>
      <c r="Q213" s="75"/>
    </row>
    <row r="214" spans="11:17" x14ac:dyDescent="0.15">
      <c r="K214" s="127"/>
      <c r="Q214" s="75"/>
    </row>
    <row r="215" spans="11:17" x14ac:dyDescent="0.15">
      <c r="K215" s="127"/>
      <c r="Q215" s="75"/>
    </row>
    <row r="216" spans="11:17" x14ac:dyDescent="0.15">
      <c r="K216" s="127"/>
      <c r="Q216" s="75"/>
    </row>
    <row r="217" spans="11:17" x14ac:dyDescent="0.15">
      <c r="K217" s="127"/>
      <c r="Q217" s="75"/>
    </row>
    <row r="218" spans="11:17" x14ac:dyDescent="0.15">
      <c r="K218" s="127"/>
      <c r="Q218" s="75"/>
    </row>
    <row r="219" spans="11:17" x14ac:dyDescent="0.15">
      <c r="K219" s="127"/>
      <c r="Q219" s="75"/>
    </row>
    <row r="220" spans="11:17" x14ac:dyDescent="0.15">
      <c r="K220" s="127"/>
      <c r="Q220" s="75"/>
    </row>
    <row r="221" spans="11:17" x14ac:dyDescent="0.15">
      <c r="K221" s="127"/>
      <c r="Q221" s="75"/>
    </row>
    <row r="222" spans="11:17" x14ac:dyDescent="0.15">
      <c r="K222" s="127"/>
      <c r="Q222" s="75"/>
    </row>
    <row r="223" spans="11:17" x14ac:dyDescent="0.15">
      <c r="K223" s="127"/>
      <c r="Q223" s="75"/>
    </row>
    <row r="224" spans="11:17" x14ac:dyDescent="0.15">
      <c r="K224" s="127"/>
      <c r="Q224" s="75"/>
    </row>
    <row r="225" spans="11:17" x14ac:dyDescent="0.15">
      <c r="K225" s="127"/>
      <c r="Q225" s="75"/>
    </row>
    <row r="226" spans="11:17" x14ac:dyDescent="0.15">
      <c r="K226" s="127"/>
      <c r="Q226" s="75"/>
    </row>
    <row r="227" spans="11:17" x14ac:dyDescent="0.15">
      <c r="K227" s="127"/>
      <c r="Q227" s="75"/>
    </row>
    <row r="228" spans="11:17" x14ac:dyDescent="0.15">
      <c r="K228" s="127"/>
      <c r="Q228" s="75"/>
    </row>
    <row r="229" spans="11:17" x14ac:dyDescent="0.15">
      <c r="K229" s="127"/>
      <c r="Q229" s="75"/>
    </row>
    <row r="230" spans="11:17" x14ac:dyDescent="0.15">
      <c r="K230" s="127"/>
      <c r="Q230" s="75"/>
    </row>
    <row r="231" spans="11:17" x14ac:dyDescent="0.15">
      <c r="K231" s="127"/>
      <c r="Q231" s="75"/>
    </row>
    <row r="232" spans="11:17" x14ac:dyDescent="0.15">
      <c r="K232" s="127"/>
      <c r="Q232" s="75"/>
    </row>
    <row r="233" spans="11:17" x14ac:dyDescent="0.15">
      <c r="K233" s="127"/>
      <c r="Q233" s="75"/>
    </row>
    <row r="234" spans="11:17" x14ac:dyDescent="0.15">
      <c r="K234" s="127"/>
      <c r="Q234" s="75"/>
    </row>
    <row r="235" spans="11:17" x14ac:dyDescent="0.15">
      <c r="K235" s="127"/>
      <c r="Q235" s="75"/>
    </row>
    <row r="236" spans="11:17" x14ac:dyDescent="0.15">
      <c r="K236" s="127"/>
      <c r="Q236" s="75"/>
    </row>
    <row r="237" spans="11:17" x14ac:dyDescent="0.15">
      <c r="K237" s="127"/>
      <c r="Q237" s="75"/>
    </row>
    <row r="238" spans="11:17" x14ac:dyDescent="0.15">
      <c r="K238" s="127"/>
      <c r="Q238" s="75"/>
    </row>
    <row r="239" spans="11:17" x14ac:dyDescent="0.15">
      <c r="K239" s="127"/>
      <c r="Q239" s="75"/>
    </row>
    <row r="240" spans="11:17" x14ac:dyDescent="0.15">
      <c r="K240" s="127"/>
      <c r="Q240" s="75"/>
    </row>
    <row r="241" spans="11:17" x14ac:dyDescent="0.15">
      <c r="K241" s="127"/>
      <c r="Q241" s="75"/>
    </row>
    <row r="242" spans="11:17" x14ac:dyDescent="0.15">
      <c r="K242" s="127"/>
      <c r="Q242" s="75"/>
    </row>
    <row r="243" spans="11:17" x14ac:dyDescent="0.15">
      <c r="K243" s="127"/>
      <c r="Q243" s="75"/>
    </row>
    <row r="244" spans="11:17" x14ac:dyDescent="0.15">
      <c r="K244" s="127"/>
      <c r="Q244" s="75"/>
    </row>
    <row r="245" spans="11:17" x14ac:dyDescent="0.15">
      <c r="K245" s="127"/>
      <c r="Q245" s="75"/>
    </row>
    <row r="246" spans="11:17" x14ac:dyDescent="0.15">
      <c r="K246" s="127"/>
      <c r="Q246" s="75"/>
    </row>
    <row r="247" spans="11:17" x14ac:dyDescent="0.15">
      <c r="K247" s="127"/>
      <c r="Q247" s="75"/>
    </row>
    <row r="248" spans="11:17" x14ac:dyDescent="0.15">
      <c r="K248" s="127"/>
      <c r="Q248" s="75"/>
    </row>
    <row r="249" spans="11:17" x14ac:dyDescent="0.15">
      <c r="K249" s="127"/>
      <c r="Q249" s="75"/>
    </row>
    <row r="250" spans="11:17" x14ac:dyDescent="0.15">
      <c r="K250" s="127"/>
      <c r="Q250" s="75"/>
    </row>
    <row r="251" spans="11:17" x14ac:dyDescent="0.15">
      <c r="K251" s="127"/>
      <c r="Q251" s="75"/>
    </row>
    <row r="252" spans="11:17" x14ac:dyDescent="0.15">
      <c r="K252" s="127"/>
      <c r="Q252" s="75"/>
    </row>
    <row r="253" spans="11:17" x14ac:dyDescent="0.15">
      <c r="K253" s="127"/>
      <c r="Q253" s="75"/>
    </row>
    <row r="254" spans="11:17" x14ac:dyDescent="0.15">
      <c r="K254" s="127"/>
      <c r="Q254" s="75"/>
    </row>
    <row r="255" spans="11:17" x14ac:dyDescent="0.15">
      <c r="K255" s="127"/>
      <c r="Q255" s="75"/>
    </row>
    <row r="256" spans="11:17" x14ac:dyDescent="0.15">
      <c r="K256" s="127"/>
      <c r="Q256" s="75"/>
    </row>
    <row r="257" spans="11:17" x14ac:dyDescent="0.15">
      <c r="K257" s="127"/>
      <c r="Q257" s="75"/>
    </row>
    <row r="258" spans="11:17" x14ac:dyDescent="0.15">
      <c r="K258" s="127"/>
      <c r="Q258" s="75"/>
    </row>
    <row r="259" spans="11:17" x14ac:dyDescent="0.15">
      <c r="K259" s="127"/>
      <c r="Q259" s="75"/>
    </row>
    <row r="260" spans="11:17" x14ac:dyDescent="0.15">
      <c r="K260" s="127"/>
      <c r="Q260" s="75"/>
    </row>
    <row r="261" spans="11:17" x14ac:dyDescent="0.15">
      <c r="K261" s="127"/>
      <c r="Q261" s="75"/>
    </row>
    <row r="262" spans="11:17" x14ac:dyDescent="0.15">
      <c r="K262" s="127"/>
      <c r="Q262" s="75"/>
    </row>
    <row r="263" spans="11:17" x14ac:dyDescent="0.15">
      <c r="K263" s="127"/>
      <c r="Q263" s="75"/>
    </row>
    <row r="264" spans="11:17" x14ac:dyDescent="0.15">
      <c r="K264" s="127"/>
      <c r="Q264" s="75"/>
    </row>
    <row r="265" spans="11:17" x14ac:dyDescent="0.15">
      <c r="K265" s="127"/>
      <c r="Q265" s="75"/>
    </row>
    <row r="266" spans="11:17" x14ac:dyDescent="0.15">
      <c r="K266" s="127"/>
      <c r="Q266" s="75"/>
    </row>
    <row r="267" spans="11:17" x14ac:dyDescent="0.15">
      <c r="K267" s="127"/>
      <c r="Q267" s="75"/>
    </row>
    <row r="268" spans="11:17" x14ac:dyDescent="0.15">
      <c r="K268" s="127"/>
      <c r="Q268" s="75"/>
    </row>
    <row r="269" spans="11:17" x14ac:dyDescent="0.15">
      <c r="K269" s="127"/>
      <c r="Q269" s="75"/>
    </row>
    <row r="270" spans="11:17" x14ac:dyDescent="0.15">
      <c r="K270" s="127"/>
      <c r="Q270" s="75"/>
    </row>
    <row r="271" spans="11:17" x14ac:dyDescent="0.15">
      <c r="K271" s="127"/>
      <c r="Q271" s="75"/>
    </row>
    <row r="272" spans="11:17" x14ac:dyDescent="0.15">
      <c r="K272" s="127"/>
      <c r="Q272" s="75"/>
    </row>
    <row r="273" spans="11:17" x14ac:dyDescent="0.15">
      <c r="K273" s="127"/>
      <c r="Q273" s="75"/>
    </row>
    <row r="274" spans="11:17" x14ac:dyDescent="0.15">
      <c r="K274" s="127"/>
      <c r="Q274" s="75"/>
    </row>
    <row r="275" spans="11:17" x14ac:dyDescent="0.15">
      <c r="K275" s="127"/>
      <c r="Q275" s="75"/>
    </row>
    <row r="276" spans="11:17" x14ac:dyDescent="0.15">
      <c r="K276" s="127"/>
      <c r="Q276" s="75"/>
    </row>
    <row r="277" spans="11:17" x14ac:dyDescent="0.15">
      <c r="K277" s="127"/>
      <c r="Q277" s="75"/>
    </row>
    <row r="278" spans="11:17" x14ac:dyDescent="0.15">
      <c r="K278" s="127"/>
      <c r="Q278" s="75"/>
    </row>
    <row r="279" spans="11:17" x14ac:dyDescent="0.15">
      <c r="K279" s="127"/>
      <c r="Q279" s="75"/>
    </row>
    <row r="280" spans="11:17" x14ac:dyDescent="0.15">
      <c r="K280" s="127"/>
      <c r="Q280" s="75"/>
    </row>
    <row r="281" spans="11:17" x14ac:dyDescent="0.15">
      <c r="K281" s="127"/>
      <c r="Q281" s="75"/>
    </row>
    <row r="282" spans="11:17" x14ac:dyDescent="0.15">
      <c r="K282" s="127"/>
      <c r="Q282" s="75"/>
    </row>
    <row r="283" spans="11:17" x14ac:dyDescent="0.15">
      <c r="K283" s="127"/>
      <c r="Q283" s="75"/>
    </row>
    <row r="284" spans="11:17" x14ac:dyDescent="0.15">
      <c r="K284" s="127"/>
      <c r="Q284" s="75"/>
    </row>
    <row r="285" spans="11:17" x14ac:dyDescent="0.15">
      <c r="K285" s="127"/>
      <c r="Q285" s="75"/>
    </row>
    <row r="286" spans="11:17" x14ac:dyDescent="0.15">
      <c r="K286" s="127"/>
      <c r="Q286" s="75"/>
    </row>
    <row r="287" spans="11:17" x14ac:dyDescent="0.15">
      <c r="K287" s="127"/>
      <c r="Q287" s="75"/>
    </row>
    <row r="288" spans="11:17" x14ac:dyDescent="0.15">
      <c r="K288" s="127"/>
      <c r="Q288" s="75"/>
    </row>
    <row r="289" spans="11:17" x14ac:dyDescent="0.15">
      <c r="K289" s="127"/>
      <c r="Q289" s="75"/>
    </row>
    <row r="290" spans="11:17" x14ac:dyDescent="0.15">
      <c r="K290" s="127"/>
      <c r="Q290" s="75"/>
    </row>
    <row r="291" spans="11:17" x14ac:dyDescent="0.15">
      <c r="K291" s="127"/>
      <c r="Q291" s="75"/>
    </row>
    <row r="292" spans="11:17" x14ac:dyDescent="0.15">
      <c r="K292" s="127"/>
    </row>
    <row r="293" spans="11:17" x14ac:dyDescent="0.15">
      <c r="K293" s="127"/>
    </row>
    <row r="294" spans="11:17" x14ac:dyDescent="0.15">
      <c r="K294" s="127"/>
    </row>
    <row r="295" spans="11:17" x14ac:dyDescent="0.15">
      <c r="K295" s="127"/>
    </row>
    <row r="296" spans="11:17" x14ac:dyDescent="0.15">
      <c r="K296" s="127"/>
    </row>
    <row r="297" spans="11:17" x14ac:dyDescent="0.15">
      <c r="K297" s="127"/>
    </row>
    <row r="298" spans="11:17" x14ac:dyDescent="0.15">
      <c r="K298" s="127"/>
    </row>
    <row r="299" spans="11:17" x14ac:dyDescent="0.15">
      <c r="K299" s="127"/>
    </row>
    <row r="300" spans="11:17" x14ac:dyDescent="0.15">
      <c r="K300" s="127"/>
    </row>
    <row r="301" spans="11:17" x14ac:dyDescent="0.15">
      <c r="K301" s="127"/>
    </row>
    <row r="302" spans="11:17" x14ac:dyDescent="0.15">
      <c r="K302" s="127"/>
    </row>
    <row r="303" spans="11:17" x14ac:dyDescent="0.15">
      <c r="K303" s="127"/>
    </row>
    <row r="304" spans="11:17" x14ac:dyDescent="0.15">
      <c r="K304" s="127"/>
    </row>
    <row r="305" spans="11:11" x14ac:dyDescent="0.15">
      <c r="K305" s="127"/>
    </row>
    <row r="306" spans="11:11" x14ac:dyDescent="0.15">
      <c r="K306" s="127"/>
    </row>
    <row r="307" spans="11:11" x14ac:dyDescent="0.15">
      <c r="K307" s="127"/>
    </row>
    <row r="308" spans="11:11" x14ac:dyDescent="0.15">
      <c r="K308" s="127"/>
    </row>
    <row r="309" spans="11:11" x14ac:dyDescent="0.15">
      <c r="K309" s="127"/>
    </row>
    <row r="310" spans="11:11" x14ac:dyDescent="0.15">
      <c r="K310" s="127"/>
    </row>
    <row r="311" spans="11:11" x14ac:dyDescent="0.15">
      <c r="K311" s="127"/>
    </row>
    <row r="312" spans="11:11" x14ac:dyDescent="0.15">
      <c r="K312" s="127"/>
    </row>
    <row r="313" spans="11:11" x14ac:dyDescent="0.15">
      <c r="K313" s="127"/>
    </row>
    <row r="314" spans="11:11" x14ac:dyDescent="0.15">
      <c r="K314" s="127"/>
    </row>
    <row r="315" spans="11:11" x14ac:dyDescent="0.15">
      <c r="K315" s="127"/>
    </row>
    <row r="316" spans="11:11" x14ac:dyDescent="0.15">
      <c r="K316" s="127"/>
    </row>
    <row r="317" spans="11:11" x14ac:dyDescent="0.15">
      <c r="K317" s="127"/>
    </row>
    <row r="318" spans="11:11" x14ac:dyDescent="0.15">
      <c r="K318" s="127"/>
    </row>
    <row r="319" spans="11:11" x14ac:dyDescent="0.15">
      <c r="K319" s="127"/>
    </row>
    <row r="320" spans="11:11" x14ac:dyDescent="0.15">
      <c r="K320" s="127"/>
    </row>
    <row r="321" spans="11:11" x14ac:dyDescent="0.15">
      <c r="K321" s="127"/>
    </row>
    <row r="322" spans="11:11" x14ac:dyDescent="0.15">
      <c r="K322" s="127"/>
    </row>
    <row r="323" spans="11:11" x14ac:dyDescent="0.15">
      <c r="K323" s="127"/>
    </row>
    <row r="324" spans="11:11" x14ac:dyDescent="0.15">
      <c r="K324" s="127"/>
    </row>
    <row r="325" spans="11:11" x14ac:dyDescent="0.15">
      <c r="K325" s="127"/>
    </row>
    <row r="326" spans="11:11" x14ac:dyDescent="0.15">
      <c r="K326" s="127"/>
    </row>
    <row r="327" spans="11:11" x14ac:dyDescent="0.15">
      <c r="K327" s="127"/>
    </row>
    <row r="328" spans="11:11" x14ac:dyDescent="0.15">
      <c r="K328" s="127"/>
    </row>
    <row r="329" spans="11:11" x14ac:dyDescent="0.15">
      <c r="K329" s="127"/>
    </row>
    <row r="330" spans="11:11" x14ac:dyDescent="0.15">
      <c r="K330" s="127"/>
    </row>
    <row r="331" spans="11:11" x14ac:dyDescent="0.15">
      <c r="K331" s="127"/>
    </row>
    <row r="332" spans="11:11" x14ac:dyDescent="0.15">
      <c r="K332" s="127"/>
    </row>
    <row r="333" spans="11:11" x14ac:dyDescent="0.15">
      <c r="K333" s="127"/>
    </row>
    <row r="334" spans="11:11" x14ac:dyDescent="0.15">
      <c r="K334" s="127"/>
    </row>
    <row r="335" spans="11:11" x14ac:dyDescent="0.15">
      <c r="K335" s="127"/>
    </row>
    <row r="336" spans="11:11" x14ac:dyDescent="0.15">
      <c r="K336" s="127"/>
    </row>
    <row r="337" spans="11:11" x14ac:dyDescent="0.15">
      <c r="K337" s="127"/>
    </row>
    <row r="338" spans="11:11" x14ac:dyDescent="0.15">
      <c r="K338" s="127"/>
    </row>
    <row r="339" spans="11:11" x14ac:dyDescent="0.15">
      <c r="K339" s="127"/>
    </row>
    <row r="340" spans="11:11" x14ac:dyDescent="0.15">
      <c r="K340" s="127"/>
    </row>
    <row r="341" spans="11:11" x14ac:dyDescent="0.15">
      <c r="K341" s="127"/>
    </row>
    <row r="342" spans="11:11" x14ac:dyDescent="0.15">
      <c r="K342" s="127"/>
    </row>
    <row r="343" spans="11:11" x14ac:dyDescent="0.15">
      <c r="K343" s="127"/>
    </row>
    <row r="344" spans="11:11" x14ac:dyDescent="0.15">
      <c r="K344" s="127"/>
    </row>
    <row r="345" spans="11:11" x14ac:dyDescent="0.15">
      <c r="K345" s="127"/>
    </row>
    <row r="346" spans="11:11" x14ac:dyDescent="0.15">
      <c r="K346" s="127"/>
    </row>
    <row r="347" spans="11:11" x14ac:dyDescent="0.15">
      <c r="K347" s="127"/>
    </row>
    <row r="348" spans="11:11" x14ac:dyDescent="0.15">
      <c r="K348" s="127"/>
    </row>
    <row r="349" spans="11:11" x14ac:dyDescent="0.15">
      <c r="K349" s="127"/>
    </row>
    <row r="350" spans="11:11" x14ac:dyDescent="0.15">
      <c r="K350" s="127"/>
    </row>
    <row r="351" spans="11:11" x14ac:dyDescent="0.15">
      <c r="K351" s="127"/>
    </row>
    <row r="352" spans="11:11" x14ac:dyDescent="0.15">
      <c r="K352" s="127"/>
    </row>
    <row r="353" spans="11:11" x14ac:dyDescent="0.15">
      <c r="K353" s="127"/>
    </row>
    <row r="354" spans="11:11" x14ac:dyDescent="0.15">
      <c r="K354" s="127"/>
    </row>
    <row r="355" spans="11:11" x14ac:dyDescent="0.15">
      <c r="K355" s="127"/>
    </row>
    <row r="356" spans="11:11" x14ac:dyDescent="0.15">
      <c r="K356" s="127"/>
    </row>
    <row r="357" spans="11:11" x14ac:dyDescent="0.15">
      <c r="K357" s="127"/>
    </row>
    <row r="358" spans="11:11" x14ac:dyDescent="0.15">
      <c r="K358" s="127"/>
    </row>
    <row r="359" spans="11:11" x14ac:dyDescent="0.15">
      <c r="K359" s="127"/>
    </row>
    <row r="360" spans="11:11" x14ac:dyDescent="0.15">
      <c r="K360" s="127"/>
    </row>
    <row r="361" spans="11:11" x14ac:dyDescent="0.15">
      <c r="K361" s="127"/>
    </row>
    <row r="362" spans="11:11" x14ac:dyDescent="0.15">
      <c r="K362" s="127"/>
    </row>
    <row r="363" spans="11:11" x14ac:dyDescent="0.15">
      <c r="K363" s="127"/>
    </row>
    <row r="364" spans="11:11" x14ac:dyDescent="0.15">
      <c r="K364" s="127"/>
    </row>
    <row r="365" spans="11:11" x14ac:dyDescent="0.15">
      <c r="K365" s="127"/>
    </row>
    <row r="366" spans="11:11" x14ac:dyDescent="0.15">
      <c r="K366" s="127"/>
    </row>
    <row r="367" spans="11:11" x14ac:dyDescent="0.15">
      <c r="K367" s="127"/>
    </row>
    <row r="368" spans="11:11" x14ac:dyDescent="0.15">
      <c r="K368" s="127"/>
    </row>
    <row r="369" spans="11:11" x14ac:dyDescent="0.15">
      <c r="K369" s="127"/>
    </row>
    <row r="370" spans="11:11" x14ac:dyDescent="0.15">
      <c r="K370" s="127"/>
    </row>
    <row r="371" spans="11:11" x14ac:dyDescent="0.15">
      <c r="K371" s="127"/>
    </row>
    <row r="372" spans="11:11" x14ac:dyDescent="0.15">
      <c r="K372" s="127"/>
    </row>
    <row r="373" spans="11:11" x14ac:dyDescent="0.15">
      <c r="K373" s="127"/>
    </row>
    <row r="374" spans="11:11" x14ac:dyDescent="0.15">
      <c r="K374" s="127"/>
    </row>
    <row r="375" spans="11:11" x14ac:dyDescent="0.15">
      <c r="K375" s="127"/>
    </row>
    <row r="376" spans="11:11" x14ac:dyDescent="0.15">
      <c r="K376" s="127"/>
    </row>
    <row r="377" spans="11:11" x14ac:dyDescent="0.15">
      <c r="K377" s="127"/>
    </row>
    <row r="378" spans="11:11" x14ac:dyDescent="0.15">
      <c r="K378" s="127"/>
    </row>
    <row r="379" spans="11:11" x14ac:dyDescent="0.15">
      <c r="K379" s="127"/>
    </row>
    <row r="380" spans="11:11" x14ac:dyDescent="0.15">
      <c r="K380" s="127"/>
    </row>
    <row r="381" spans="11:11" x14ac:dyDescent="0.15">
      <c r="K381" s="127"/>
    </row>
    <row r="382" spans="11:11" x14ac:dyDescent="0.15">
      <c r="K382" s="127"/>
    </row>
    <row r="383" spans="11:11" x14ac:dyDescent="0.15">
      <c r="K383" s="127"/>
    </row>
    <row r="384" spans="11:11" x14ac:dyDescent="0.15">
      <c r="K384" s="127"/>
    </row>
    <row r="385" spans="11:11" x14ac:dyDescent="0.15">
      <c r="K385" s="127"/>
    </row>
    <row r="386" spans="11:11" x14ac:dyDescent="0.15">
      <c r="K386" s="127"/>
    </row>
    <row r="387" spans="11:11" x14ac:dyDescent="0.15">
      <c r="K387" s="127"/>
    </row>
    <row r="388" spans="11:11" x14ac:dyDescent="0.15">
      <c r="K388" s="127"/>
    </row>
    <row r="389" spans="11:11" x14ac:dyDescent="0.15">
      <c r="K389" s="127"/>
    </row>
    <row r="390" spans="11:11" x14ac:dyDescent="0.15">
      <c r="K390" s="127"/>
    </row>
    <row r="391" spans="11:11" x14ac:dyDescent="0.15">
      <c r="K391" s="127"/>
    </row>
    <row r="392" spans="11:11" x14ac:dyDescent="0.15">
      <c r="K392" s="127"/>
    </row>
    <row r="393" spans="11:11" x14ac:dyDescent="0.15">
      <c r="K393" s="127"/>
    </row>
    <row r="394" spans="11:11" x14ac:dyDescent="0.15">
      <c r="K394" s="127"/>
    </row>
    <row r="395" spans="11:11" x14ac:dyDescent="0.15">
      <c r="K395" s="127"/>
    </row>
    <row r="396" spans="11:11" x14ac:dyDescent="0.15">
      <c r="K396" s="127"/>
    </row>
    <row r="397" spans="11:11" x14ac:dyDescent="0.15">
      <c r="K397" s="127"/>
    </row>
    <row r="398" spans="11:11" x14ac:dyDescent="0.15">
      <c r="K398" s="127"/>
    </row>
    <row r="399" spans="11:11" x14ac:dyDescent="0.15">
      <c r="K399" s="127"/>
    </row>
    <row r="400" spans="11:11" x14ac:dyDescent="0.15">
      <c r="K400" s="127"/>
    </row>
    <row r="401" spans="11:11" x14ac:dyDescent="0.15">
      <c r="K401" s="127"/>
    </row>
    <row r="402" spans="11:11" x14ac:dyDescent="0.15">
      <c r="K402" s="127"/>
    </row>
    <row r="403" spans="11:11" x14ac:dyDescent="0.15">
      <c r="K403" s="127"/>
    </row>
    <row r="404" spans="11:11" x14ac:dyDescent="0.15">
      <c r="K404" s="127"/>
    </row>
    <row r="405" spans="11:11" x14ac:dyDescent="0.15">
      <c r="K405" s="127"/>
    </row>
    <row r="406" spans="11:11" x14ac:dyDescent="0.15">
      <c r="K406" s="127"/>
    </row>
    <row r="407" spans="11:11" x14ac:dyDescent="0.15">
      <c r="K407" s="127"/>
    </row>
    <row r="408" spans="11:11" x14ac:dyDescent="0.15">
      <c r="K408" s="127"/>
    </row>
    <row r="409" spans="11:11" x14ac:dyDescent="0.15">
      <c r="K409" s="127"/>
    </row>
    <row r="410" spans="11:11" x14ac:dyDescent="0.15">
      <c r="K410" s="127"/>
    </row>
    <row r="411" spans="11:11" x14ac:dyDescent="0.15">
      <c r="K411" s="127"/>
    </row>
    <row r="412" spans="11:11" x14ac:dyDescent="0.15">
      <c r="K412" s="127"/>
    </row>
    <row r="413" spans="11:11" x14ac:dyDescent="0.15">
      <c r="K413" s="127"/>
    </row>
    <row r="414" spans="11:11" x14ac:dyDescent="0.15">
      <c r="K414" s="127"/>
    </row>
    <row r="415" spans="11:11" x14ac:dyDescent="0.15">
      <c r="K415" s="127"/>
    </row>
    <row r="416" spans="11:11" x14ac:dyDescent="0.15">
      <c r="K416" s="127"/>
    </row>
    <row r="417" spans="11:11" x14ac:dyDescent="0.15">
      <c r="K417" s="127"/>
    </row>
    <row r="418" spans="11:11" x14ac:dyDescent="0.15">
      <c r="K418" s="127"/>
    </row>
    <row r="419" spans="11:11" x14ac:dyDescent="0.15">
      <c r="K419" s="127"/>
    </row>
    <row r="420" spans="11:11" x14ac:dyDescent="0.15">
      <c r="K420" s="127"/>
    </row>
    <row r="421" spans="11:11" x14ac:dyDescent="0.15">
      <c r="K421" s="127"/>
    </row>
    <row r="422" spans="11:11" x14ac:dyDescent="0.15">
      <c r="K422" s="127"/>
    </row>
    <row r="423" spans="11:11" x14ac:dyDescent="0.15">
      <c r="K423" s="127"/>
    </row>
    <row r="424" spans="11:11" x14ac:dyDescent="0.15">
      <c r="K424" s="127"/>
    </row>
    <row r="425" spans="11:11" x14ac:dyDescent="0.15">
      <c r="K425" s="127"/>
    </row>
    <row r="426" spans="11:11" x14ac:dyDescent="0.15">
      <c r="K426" s="127"/>
    </row>
    <row r="427" spans="11:11" x14ac:dyDescent="0.15">
      <c r="K427" s="127"/>
    </row>
    <row r="428" spans="11:11" x14ac:dyDescent="0.15">
      <c r="K428" s="127"/>
    </row>
    <row r="429" spans="11:11" x14ac:dyDescent="0.15">
      <c r="K429" s="127"/>
    </row>
    <row r="430" spans="11:11" x14ac:dyDescent="0.15">
      <c r="K430" s="127"/>
    </row>
    <row r="431" spans="11:11" x14ac:dyDescent="0.15">
      <c r="K431" s="127"/>
    </row>
    <row r="432" spans="11:11" x14ac:dyDescent="0.15">
      <c r="K432" s="127"/>
    </row>
    <row r="433" spans="11:11" x14ac:dyDescent="0.15">
      <c r="K433" s="127"/>
    </row>
    <row r="434" spans="11:11" x14ac:dyDescent="0.15">
      <c r="K434" s="127"/>
    </row>
    <row r="435" spans="11:11" x14ac:dyDescent="0.15">
      <c r="K435" s="127"/>
    </row>
    <row r="436" spans="11:11" x14ac:dyDescent="0.15">
      <c r="K436" s="127"/>
    </row>
    <row r="437" spans="11:11" x14ac:dyDescent="0.15">
      <c r="K437" s="127"/>
    </row>
    <row r="438" spans="11:11" x14ac:dyDescent="0.15">
      <c r="K438" s="127"/>
    </row>
    <row r="439" spans="11:11" x14ac:dyDescent="0.15">
      <c r="K439" s="127"/>
    </row>
    <row r="440" spans="11:11" x14ac:dyDescent="0.15">
      <c r="K440" s="127"/>
    </row>
    <row r="441" spans="11:11" x14ac:dyDescent="0.15">
      <c r="K441" s="127"/>
    </row>
    <row r="442" spans="11:11" x14ac:dyDescent="0.15">
      <c r="K442" s="127"/>
    </row>
    <row r="443" spans="11:11" x14ac:dyDescent="0.15">
      <c r="K443" s="127"/>
    </row>
  </sheetData>
  <autoFilter ref="A1:BA1" xr:uid="{00000000-0009-0000-0000-000000000000}"/>
  <phoneticPr fontId="3"/>
  <dataValidations count="20">
    <dataValidation type="list" allowBlank="1" showInputMessage="1" showErrorMessage="1" sqref="F2:F491" xr:uid="{516F980A-D415-48EA-BD07-50AC3DADE9C6}">
      <formula1>$AH$2:$AH$11</formula1>
    </dataValidation>
    <dataValidation type="list" allowBlank="1" showInputMessage="1" showErrorMessage="1" sqref="E2:E491" xr:uid="{EB662297-C730-4A3F-99DE-D1CB8BE587D3}">
      <formula1>$AG$2:$AG$11</formula1>
    </dataValidation>
    <dataValidation type="decimal" allowBlank="1" showInputMessage="1" showErrorMessage="1" error="硬度を正しく入力して下さい。" sqref="O2:P491" xr:uid="{F79F2663-11C9-4CDE-83E2-E1C30AADF926}">
      <formula1>0</formula1>
      <formula2>7</formula2>
    </dataValidation>
    <dataValidation type="list" allowBlank="1" showInputMessage="1" showErrorMessage="1" sqref="Y2:AA491" xr:uid="{5196FDAD-E757-4488-9CF8-A056CD59B32C}">
      <formula1>$AV$2:$AV$21</formula1>
    </dataValidation>
    <dataValidation type="list" allowBlank="1" showInputMessage="1" showErrorMessage="1" sqref="K444:K491" xr:uid="{C2ADC5E5-EFF3-41DC-896F-93BD18BDB072}">
      <formula1>$AR$2:$AR$25</formula1>
    </dataValidation>
    <dataValidation type="list" allowBlank="1" showInputMessage="1" showErrorMessage="1" sqref="I2:I491" xr:uid="{79DF47B3-E8F8-444D-9611-46C0DCCB4667}">
      <formula1>$AN$5:$AN$6</formula1>
    </dataValidation>
    <dataValidation type="list" allowBlank="1" showInputMessage="1" showErrorMessage="1" sqref="H2:H491" xr:uid="{743C9657-10D1-4093-AFE2-455322BBDE98}">
      <formula1>$AL$2:$AL$8</formula1>
    </dataValidation>
    <dataValidation type="list" allowBlank="1" showInputMessage="1" showErrorMessage="1" sqref="A2:A491" xr:uid="{74C733A3-EA6F-4920-8C6F-8072C20398DF}">
      <formula1>$AE$2:$AE$19</formula1>
    </dataValidation>
    <dataValidation type="list" allowBlank="1" showInputMessage="1" showErrorMessage="1" sqref="X2:X491" xr:uid="{085C050C-4B0F-4841-BA33-1D3BAF9BDE61}">
      <formula1>$AT$2:$AT$3</formula1>
    </dataValidation>
    <dataValidation type="list" allowBlank="1" showInputMessage="1" showErrorMessage="1" sqref="G2:G491" xr:uid="{83008FF7-CF7B-4FA7-A23C-B2DD0D0B3369}">
      <formula1>$AJ$2:$AJ$4</formula1>
    </dataValidation>
    <dataValidation type="list" allowBlank="1" showInputMessage="1" showErrorMessage="1" sqref="J2:J491" xr:uid="{EA55A2E9-6954-462B-BD93-33B71CD694A6}">
      <formula1>$AP$2:$AP$27</formula1>
    </dataValidation>
    <dataValidation operator="equal" allowBlank="1" showInputMessage="1" showErrorMessage="1" sqref="B2:B46" xr:uid="{EE0C665E-864A-4879-B41C-AC5EE85D7AD4}"/>
    <dataValidation type="list" allowBlank="1" showInputMessage="1" showErrorMessage="1" sqref="F492:F64242" xr:uid="{7E4E9DBB-9537-4092-ACC7-7B6309AFF359}">
      <formula1>$AH$2:$AH$8</formula1>
    </dataValidation>
    <dataValidation type="list" allowBlank="1" showInputMessage="1" showErrorMessage="1" sqref="E492:E64242" xr:uid="{E1719A81-C1D7-4C32-898E-7A9434E3D4BC}">
      <formula1>$AG$2:$AG$9</formula1>
    </dataValidation>
    <dataValidation type="list" allowBlank="1" showInputMessage="1" showErrorMessage="1" sqref="H492:H64242" xr:uid="{500378F1-231A-4F59-8C97-95E38185F3C1}">
      <formula1>$AL$2:$AL$10</formula1>
    </dataValidation>
    <dataValidation type="list" allowBlank="1" showInputMessage="1" showErrorMessage="1" sqref="K492:K64242" xr:uid="{68F97F00-F8F0-4BD1-9974-4291F36D9D55}">
      <formula1>$AR$2:$AR$28</formula1>
    </dataValidation>
    <dataValidation type="list" allowBlank="1" showInputMessage="1" showErrorMessage="1" sqref="Y492:AA64242" xr:uid="{6F96F3EE-0517-4515-B2F4-ACC3487F1416}">
      <formula1>$AV$2:$AV$26</formula1>
    </dataValidation>
    <dataValidation type="list" allowBlank="1" showInputMessage="1" showErrorMessage="1" sqref="I492:I64242" xr:uid="{C3C7CE79-22E3-427E-8678-1E57C75E15F4}">
      <formula1>$AN$2:$AN$6</formula1>
    </dataValidation>
    <dataValidation type="list" allowBlank="1" showInputMessage="1" showErrorMessage="1" sqref="J492:J64242" xr:uid="{FB70E4D0-6CEF-4482-90EE-59DD00C71F5F}">
      <formula1>$AP$2:$AP$16</formula1>
    </dataValidation>
    <dataValidation type="list" allowBlank="1" showInputMessage="1" showErrorMessage="1" sqref="K2:K443" xr:uid="{4D0C1C7B-953F-46C1-A640-1F6C1D8E3B19}">
      <formula1>$AR$2:$AR$26</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FFAB7-4504-41E4-A34B-ADFDAFA2D577}">
  <dimension ref="A1:BA149"/>
  <sheetViews>
    <sheetView topLeftCell="B1" zoomScale="85" zoomScaleNormal="85" workbookViewId="0">
      <pane ySplit="1" topLeftCell="A47" activePane="bottomLeft" state="frozen"/>
      <selection pane="bottomLeft" activeCell="N24" sqref="N24"/>
    </sheetView>
  </sheetViews>
  <sheetFormatPr defaultRowHeight="13.5" x14ac:dyDescent="0.15"/>
  <cols>
    <col min="1" max="3" width="9" style="53"/>
    <col min="4" max="4" width="10.5" style="53" bestFit="1" customWidth="1"/>
    <col min="5" max="5" width="10.875" style="53" bestFit="1" customWidth="1"/>
    <col min="6" max="6" width="18.875" style="53" bestFit="1" customWidth="1"/>
    <col min="7" max="9" width="9" style="53"/>
    <col min="10" max="10" width="9.25" style="53" customWidth="1"/>
    <col min="11" max="12" width="9" style="53"/>
    <col min="13" max="13" width="9" style="53" bestFit="1" customWidth="1"/>
    <col min="14" max="16" width="9" style="53"/>
    <col min="17" max="17" width="9" style="16"/>
    <col min="18" max="19" width="9" style="53"/>
    <col min="20" max="20" width="9" style="16"/>
    <col min="21" max="21" width="9" style="53"/>
    <col min="22" max="22" width="14.25" style="16" customWidth="1"/>
    <col min="23" max="23" width="9" style="53"/>
    <col min="24" max="24" width="9.625" style="53" customWidth="1"/>
    <col min="25" max="26" width="9" style="53"/>
    <col min="27" max="27" width="12.125" style="53" customWidth="1"/>
    <col min="28" max="32" width="9" style="53"/>
    <col min="33" max="33" width="15.125" style="53" bestFit="1" customWidth="1"/>
    <col min="34" max="34" width="19.625" style="53" bestFit="1" customWidth="1"/>
    <col min="35" max="16384" width="9" style="53"/>
  </cols>
  <sheetData>
    <row r="1" spans="1:53" ht="45" x14ac:dyDescent="0.15">
      <c r="A1" s="44" t="s">
        <v>0</v>
      </c>
      <c r="B1" s="55" t="s">
        <v>1</v>
      </c>
      <c r="C1" s="55" t="s">
        <v>2</v>
      </c>
      <c r="D1" s="56" t="s">
        <v>3</v>
      </c>
      <c r="E1" s="45" t="s">
        <v>4</v>
      </c>
      <c r="F1" s="45" t="s">
        <v>5</v>
      </c>
      <c r="G1" s="45" t="s">
        <v>6</v>
      </c>
      <c r="H1" s="45" t="s">
        <v>7</v>
      </c>
      <c r="I1" s="45" t="s">
        <v>8</v>
      </c>
      <c r="J1" s="45" t="s">
        <v>9</v>
      </c>
      <c r="K1" s="45" t="s">
        <v>10</v>
      </c>
      <c r="L1" s="56" t="s">
        <v>11</v>
      </c>
      <c r="M1" s="56" t="s">
        <v>12</v>
      </c>
      <c r="N1" s="56" t="s">
        <v>13</v>
      </c>
      <c r="O1" s="56" t="s">
        <v>14</v>
      </c>
      <c r="P1" s="56" t="s">
        <v>15</v>
      </c>
      <c r="Q1" s="3" t="s">
        <v>16</v>
      </c>
      <c r="R1" s="56" t="s">
        <v>17</v>
      </c>
      <c r="S1" s="56" t="s">
        <v>18</v>
      </c>
      <c r="T1" s="3" t="s">
        <v>19</v>
      </c>
      <c r="U1" s="58" t="s">
        <v>313</v>
      </c>
      <c r="V1" s="5" t="s">
        <v>20</v>
      </c>
      <c r="W1" s="56" t="s">
        <v>21</v>
      </c>
      <c r="X1" s="45" t="s">
        <v>22</v>
      </c>
      <c r="Y1" s="45" t="s">
        <v>23</v>
      </c>
      <c r="Z1" s="45" t="s">
        <v>370</v>
      </c>
      <c r="AA1" s="46" t="s">
        <v>25</v>
      </c>
      <c r="AB1" s="80" t="s">
        <v>26</v>
      </c>
      <c r="AE1" s="60" t="s">
        <v>0</v>
      </c>
      <c r="AF1" s="61"/>
      <c r="AG1" s="175" t="s">
        <v>4</v>
      </c>
      <c r="AH1" s="60" t="s">
        <v>5</v>
      </c>
      <c r="AI1" s="61"/>
      <c r="AJ1" s="60" t="s">
        <v>6</v>
      </c>
      <c r="AK1" s="61"/>
      <c r="AL1" s="10" t="s">
        <v>7</v>
      </c>
      <c r="AM1" s="61"/>
      <c r="AN1" s="10" t="s">
        <v>8</v>
      </c>
      <c r="AO1" s="61"/>
      <c r="AP1" s="10" t="s">
        <v>27</v>
      </c>
      <c r="AQ1" s="61"/>
      <c r="AR1" s="10" t="s">
        <v>10</v>
      </c>
      <c r="AS1" s="61"/>
      <c r="AT1" s="11" t="s">
        <v>28</v>
      </c>
      <c r="AU1" s="61"/>
      <c r="AV1" s="10" t="s">
        <v>29</v>
      </c>
      <c r="AX1" s="12" t="s">
        <v>30</v>
      </c>
      <c r="AY1" s="13" t="s">
        <v>31</v>
      </c>
      <c r="AZ1" s="13" t="s">
        <v>32</v>
      </c>
      <c r="BA1" s="14" t="s">
        <v>33</v>
      </c>
    </row>
    <row r="2" spans="1:53" x14ac:dyDescent="0.15">
      <c r="A2" s="53" t="s">
        <v>34</v>
      </c>
      <c r="B2" s="53" t="s">
        <v>231</v>
      </c>
      <c r="C2" s="53">
        <v>2019</v>
      </c>
      <c r="D2" s="176" t="s">
        <v>371</v>
      </c>
      <c r="E2" s="53" t="s">
        <v>268</v>
      </c>
      <c r="F2" s="53" t="s">
        <v>372</v>
      </c>
      <c r="G2" s="53" t="s">
        <v>36</v>
      </c>
      <c r="H2" s="53" t="s">
        <v>164</v>
      </c>
      <c r="I2" s="53" t="s">
        <v>159</v>
      </c>
      <c r="J2" s="53" t="s">
        <v>38</v>
      </c>
      <c r="K2" s="53" t="s">
        <v>161</v>
      </c>
      <c r="L2" s="53">
        <v>1</v>
      </c>
      <c r="N2" s="53">
        <v>1</v>
      </c>
      <c r="O2" s="53">
        <v>0.75</v>
      </c>
      <c r="P2" s="53">
        <v>0.6</v>
      </c>
      <c r="Q2" s="75">
        <f t="shared" ref="Q2:Q81" si="0">IF(OR(O2="",P2=""),"",AVERAGE(O2,P2))</f>
        <v>0.67500000000000004</v>
      </c>
      <c r="R2" s="53">
        <v>14.3</v>
      </c>
      <c r="S2" s="53">
        <v>108</v>
      </c>
      <c r="T2" s="16">
        <f t="shared" ref="T2:T89" si="1">IF(H2="","",IF(OR(H2="GREEN",H2="GK"),IF(S2&gt;=$AX$2,VLOOKUP(S2,$AX$2:$AY$9,2,1),""),IF(S2&gt;=$AZ$2,VLOOKUP(S2,$AZ$2:$BA$9,2,1),"")))</f>
        <v>33</v>
      </c>
      <c r="U2" s="53">
        <v>96</v>
      </c>
      <c r="V2" s="16">
        <f t="shared" ref="V2:V89" si="2">IF(OR(N2="",U2="",T2=""),"",U2/N2*T2)</f>
        <v>3168</v>
      </c>
      <c r="W2" s="53">
        <v>2</v>
      </c>
      <c r="X2" s="53" t="s">
        <v>46</v>
      </c>
      <c r="Y2" s="53" t="s">
        <v>78</v>
      </c>
      <c r="Z2" s="53" t="s">
        <v>102</v>
      </c>
      <c r="AA2" s="53" t="s">
        <v>69</v>
      </c>
      <c r="AB2" s="53" t="s">
        <v>235</v>
      </c>
      <c r="AE2" s="64" t="s">
        <v>35</v>
      </c>
      <c r="AG2" s="177" t="s">
        <v>362</v>
      </c>
      <c r="AH2" s="67" t="s">
        <v>373</v>
      </c>
      <c r="AJ2" s="67" t="s">
        <v>36</v>
      </c>
      <c r="AL2" s="67" t="s">
        <v>127</v>
      </c>
      <c r="AN2" s="67" t="s">
        <v>37</v>
      </c>
      <c r="AP2" s="67" t="s">
        <v>38</v>
      </c>
      <c r="AR2" s="67" t="s">
        <v>120</v>
      </c>
      <c r="AT2" s="67" t="s">
        <v>39</v>
      </c>
      <c r="AV2" s="67" t="s">
        <v>40</v>
      </c>
      <c r="AX2" s="68">
        <v>1</v>
      </c>
      <c r="AY2" s="69">
        <v>50</v>
      </c>
      <c r="AZ2" s="69">
        <v>1</v>
      </c>
      <c r="BA2" s="70">
        <v>50</v>
      </c>
    </row>
    <row r="3" spans="1:53" x14ac:dyDescent="0.15">
      <c r="A3" s="53" t="s">
        <v>34</v>
      </c>
      <c r="B3" s="53" t="s">
        <v>231</v>
      </c>
      <c r="C3" s="53">
        <v>2019</v>
      </c>
      <c r="D3" s="176" t="s">
        <v>371</v>
      </c>
      <c r="E3" s="53" t="s">
        <v>268</v>
      </c>
      <c r="F3" s="53" t="s">
        <v>372</v>
      </c>
      <c r="G3" s="53" t="s">
        <v>36</v>
      </c>
      <c r="H3" s="53" t="s">
        <v>164</v>
      </c>
      <c r="I3" s="53" t="s">
        <v>159</v>
      </c>
      <c r="J3" s="53" t="s">
        <v>38</v>
      </c>
      <c r="K3" s="53" t="s">
        <v>161</v>
      </c>
      <c r="L3" s="53">
        <v>2</v>
      </c>
      <c r="N3" s="53">
        <v>1</v>
      </c>
      <c r="O3" s="53">
        <v>0.7</v>
      </c>
      <c r="P3" s="53">
        <v>0.8</v>
      </c>
      <c r="Q3" s="75">
        <f t="shared" si="0"/>
        <v>0.75</v>
      </c>
      <c r="R3" s="53">
        <v>10.5</v>
      </c>
      <c r="S3" s="53">
        <v>110</v>
      </c>
      <c r="T3" s="16">
        <f t="shared" si="1"/>
        <v>33</v>
      </c>
      <c r="U3" s="53">
        <v>96</v>
      </c>
      <c r="V3" s="16">
        <f t="shared" si="2"/>
        <v>3168</v>
      </c>
      <c r="W3" s="53">
        <v>2</v>
      </c>
      <c r="X3" s="53" t="s">
        <v>46</v>
      </c>
      <c r="Y3" s="53" t="s">
        <v>78</v>
      </c>
      <c r="Z3" s="53" t="s">
        <v>102</v>
      </c>
      <c r="AA3" s="53" t="s">
        <v>69</v>
      </c>
      <c r="AB3" s="53" t="s">
        <v>235</v>
      </c>
      <c r="AE3" s="22" t="s">
        <v>41</v>
      </c>
      <c r="AG3" s="178" t="s">
        <v>374</v>
      </c>
      <c r="AH3" s="67" t="s">
        <v>375</v>
      </c>
      <c r="AJ3" s="23" t="s">
        <v>42</v>
      </c>
      <c r="AL3" s="23" t="s">
        <v>128</v>
      </c>
      <c r="AN3" s="23" t="s">
        <v>43</v>
      </c>
      <c r="AP3" s="23" t="s">
        <v>44</v>
      </c>
      <c r="AR3" s="23" t="s">
        <v>45</v>
      </c>
      <c r="AT3" s="23" t="s">
        <v>46</v>
      </c>
      <c r="AV3" s="23" t="s">
        <v>47</v>
      </c>
      <c r="AX3" s="24">
        <v>72</v>
      </c>
      <c r="AY3" s="25">
        <v>46</v>
      </c>
      <c r="AZ3" s="25">
        <v>71</v>
      </c>
      <c r="BA3" s="26">
        <v>42</v>
      </c>
    </row>
    <row r="4" spans="1:53" x14ac:dyDescent="0.15">
      <c r="A4" s="53" t="s">
        <v>34</v>
      </c>
      <c r="B4" s="53" t="s">
        <v>231</v>
      </c>
      <c r="C4" s="53">
        <v>2019</v>
      </c>
      <c r="D4" s="176" t="s">
        <v>371</v>
      </c>
      <c r="E4" s="53" t="s">
        <v>268</v>
      </c>
      <c r="F4" s="53" t="s">
        <v>372</v>
      </c>
      <c r="G4" s="53" t="s">
        <v>36</v>
      </c>
      <c r="H4" s="53" t="s">
        <v>164</v>
      </c>
      <c r="I4" s="53" t="s">
        <v>159</v>
      </c>
      <c r="J4" s="53" t="s">
        <v>38</v>
      </c>
      <c r="K4" s="53" t="s">
        <v>161</v>
      </c>
      <c r="L4" s="53">
        <v>3</v>
      </c>
      <c r="N4" s="53">
        <v>1</v>
      </c>
      <c r="O4" s="53">
        <v>0.65</v>
      </c>
      <c r="P4" s="53">
        <v>0.8</v>
      </c>
      <c r="Q4" s="75">
        <f t="shared" si="0"/>
        <v>0.72500000000000009</v>
      </c>
      <c r="R4" s="53">
        <v>11.4</v>
      </c>
      <c r="S4" s="53">
        <v>106</v>
      </c>
      <c r="T4" s="16">
        <f t="shared" si="1"/>
        <v>33</v>
      </c>
      <c r="U4" s="53">
        <v>96</v>
      </c>
      <c r="V4" s="16">
        <f t="shared" si="2"/>
        <v>3168</v>
      </c>
      <c r="W4" s="53">
        <v>2</v>
      </c>
      <c r="X4" s="53" t="s">
        <v>46</v>
      </c>
      <c r="Y4" s="53" t="s">
        <v>78</v>
      </c>
      <c r="Z4" s="53" t="s">
        <v>102</v>
      </c>
      <c r="AA4" s="53" t="s">
        <v>69</v>
      </c>
      <c r="AB4" s="53" t="s">
        <v>235</v>
      </c>
      <c r="AE4" s="22" t="s">
        <v>34</v>
      </c>
      <c r="AG4" s="178" t="s">
        <v>376</v>
      </c>
      <c r="AH4" s="67" t="s">
        <v>377</v>
      </c>
      <c r="AJ4" s="27" t="s">
        <v>48</v>
      </c>
      <c r="AL4" s="27" t="s">
        <v>129</v>
      </c>
      <c r="AN4" s="28" t="s">
        <v>49</v>
      </c>
      <c r="AP4" s="23" t="s">
        <v>93</v>
      </c>
      <c r="AR4" s="23" t="s">
        <v>121</v>
      </c>
      <c r="AT4" s="28"/>
      <c r="AV4" s="23" t="s">
        <v>50</v>
      </c>
      <c r="AX4" s="24">
        <v>75</v>
      </c>
      <c r="AY4" s="25">
        <v>42</v>
      </c>
      <c r="AZ4" s="25">
        <v>76</v>
      </c>
      <c r="BA4" s="26">
        <v>39</v>
      </c>
    </row>
    <row r="5" spans="1:53" x14ac:dyDescent="0.15">
      <c r="A5" s="53" t="s">
        <v>34</v>
      </c>
      <c r="B5" s="53" t="s">
        <v>231</v>
      </c>
      <c r="C5" s="53">
        <v>2019</v>
      </c>
      <c r="D5" s="176" t="s">
        <v>371</v>
      </c>
      <c r="E5" s="53" t="s">
        <v>268</v>
      </c>
      <c r="F5" s="53" t="s">
        <v>372</v>
      </c>
      <c r="G5" s="53" t="s">
        <v>36</v>
      </c>
      <c r="H5" s="53" t="s">
        <v>164</v>
      </c>
      <c r="I5" s="53" t="s">
        <v>159</v>
      </c>
      <c r="J5" s="53" t="s">
        <v>38</v>
      </c>
      <c r="K5" s="53" t="s">
        <v>161</v>
      </c>
      <c r="L5" s="53">
        <v>1</v>
      </c>
      <c r="N5" s="53">
        <v>5</v>
      </c>
      <c r="O5" s="53">
        <v>0.6</v>
      </c>
      <c r="P5" s="53">
        <v>0.8</v>
      </c>
      <c r="Q5" s="75">
        <f t="shared" si="0"/>
        <v>0.7</v>
      </c>
      <c r="R5" s="53">
        <v>14.2</v>
      </c>
      <c r="S5" s="53">
        <v>92</v>
      </c>
      <c r="T5" s="16">
        <f t="shared" si="1"/>
        <v>36</v>
      </c>
      <c r="U5" s="53">
        <v>429</v>
      </c>
      <c r="V5" s="16">
        <f t="shared" si="2"/>
        <v>3088.7999999999997</v>
      </c>
      <c r="W5" s="53">
        <v>2</v>
      </c>
      <c r="X5" s="53" t="s">
        <v>46</v>
      </c>
      <c r="Y5" s="53" t="s">
        <v>78</v>
      </c>
      <c r="Z5" s="53" t="s">
        <v>102</v>
      </c>
      <c r="AA5" s="53" t="s">
        <v>69</v>
      </c>
      <c r="AB5" s="53" t="s">
        <v>235</v>
      </c>
      <c r="AE5" s="22" t="s">
        <v>51</v>
      </c>
      <c r="AG5" s="178" t="s">
        <v>378</v>
      </c>
      <c r="AH5" s="67" t="s">
        <v>379</v>
      </c>
      <c r="AJ5" s="28"/>
      <c r="AL5" s="73" t="s">
        <v>66</v>
      </c>
      <c r="AN5" s="73" t="s">
        <v>52</v>
      </c>
      <c r="AP5" s="23" t="s">
        <v>119</v>
      </c>
      <c r="AR5" s="23" t="s">
        <v>54</v>
      </c>
      <c r="AV5" s="23" t="s">
        <v>55</v>
      </c>
      <c r="AX5" s="24">
        <v>84</v>
      </c>
      <c r="AY5" s="25">
        <v>39</v>
      </c>
      <c r="AZ5" s="25">
        <v>84</v>
      </c>
      <c r="BA5" s="26">
        <v>36</v>
      </c>
    </row>
    <row r="6" spans="1:53" x14ac:dyDescent="0.15">
      <c r="A6" s="53" t="s">
        <v>34</v>
      </c>
      <c r="B6" s="53" t="s">
        <v>231</v>
      </c>
      <c r="C6" s="53">
        <v>2019</v>
      </c>
      <c r="D6" s="176" t="s">
        <v>371</v>
      </c>
      <c r="E6" s="53" t="s">
        <v>268</v>
      </c>
      <c r="F6" s="53" t="s">
        <v>372</v>
      </c>
      <c r="G6" s="53" t="s">
        <v>36</v>
      </c>
      <c r="H6" s="53" t="s">
        <v>164</v>
      </c>
      <c r="I6" s="53" t="s">
        <v>159</v>
      </c>
      <c r="J6" s="53" t="s">
        <v>38</v>
      </c>
      <c r="K6" s="53" t="s">
        <v>161</v>
      </c>
      <c r="L6" s="53">
        <v>2</v>
      </c>
      <c r="N6" s="53">
        <v>5</v>
      </c>
      <c r="O6" s="53">
        <v>0.9</v>
      </c>
      <c r="P6" s="53">
        <v>0.8</v>
      </c>
      <c r="Q6" s="75">
        <f t="shared" si="0"/>
        <v>0.85000000000000009</v>
      </c>
      <c r="R6" s="53">
        <v>13.8</v>
      </c>
      <c r="S6" s="53">
        <v>75</v>
      </c>
      <c r="T6" s="16">
        <f t="shared" si="1"/>
        <v>42</v>
      </c>
      <c r="U6" s="53">
        <v>429</v>
      </c>
      <c r="V6" s="16">
        <f t="shared" si="2"/>
        <v>3603.6</v>
      </c>
      <c r="W6" s="53">
        <v>2</v>
      </c>
      <c r="X6" s="53" t="s">
        <v>46</v>
      </c>
      <c r="Y6" s="53" t="s">
        <v>78</v>
      </c>
      <c r="Z6" s="53" t="s">
        <v>102</v>
      </c>
      <c r="AA6" s="53" t="s">
        <v>69</v>
      </c>
      <c r="AB6" s="53" t="s">
        <v>235</v>
      </c>
      <c r="AE6" s="22" t="s">
        <v>56</v>
      </c>
      <c r="AG6" s="178" t="s">
        <v>380</v>
      </c>
      <c r="AH6" s="67" t="s">
        <v>381</v>
      </c>
      <c r="AL6" s="73" t="s">
        <v>99</v>
      </c>
      <c r="AN6" s="73" t="s">
        <v>57</v>
      </c>
      <c r="AP6" s="23" t="s">
        <v>53</v>
      </c>
      <c r="AR6" s="23" t="s">
        <v>59</v>
      </c>
      <c r="AV6" s="23" t="s">
        <v>60</v>
      </c>
      <c r="AX6" s="24">
        <v>97</v>
      </c>
      <c r="AY6" s="25">
        <v>36</v>
      </c>
      <c r="AZ6" s="25">
        <v>99</v>
      </c>
      <c r="BA6" s="26">
        <v>33</v>
      </c>
    </row>
    <row r="7" spans="1:53" x14ac:dyDescent="0.15">
      <c r="A7" s="53" t="s">
        <v>34</v>
      </c>
      <c r="B7" s="53" t="s">
        <v>231</v>
      </c>
      <c r="C7" s="53">
        <v>2019</v>
      </c>
      <c r="D7" s="176" t="s">
        <v>371</v>
      </c>
      <c r="E7" s="53" t="s">
        <v>268</v>
      </c>
      <c r="F7" s="53" t="s">
        <v>372</v>
      </c>
      <c r="G7" s="53" t="s">
        <v>36</v>
      </c>
      <c r="H7" s="53" t="s">
        <v>164</v>
      </c>
      <c r="I7" s="53" t="s">
        <v>159</v>
      </c>
      <c r="J7" s="53" t="s">
        <v>38</v>
      </c>
      <c r="K7" s="53" t="s">
        <v>161</v>
      </c>
      <c r="L7" s="53">
        <v>3</v>
      </c>
      <c r="N7" s="53">
        <v>5</v>
      </c>
      <c r="O7" s="53">
        <v>0.6</v>
      </c>
      <c r="P7" s="53">
        <v>0.8</v>
      </c>
      <c r="Q7" s="75">
        <f t="shared" si="0"/>
        <v>0.7</v>
      </c>
      <c r="R7" s="53">
        <v>11.7</v>
      </c>
      <c r="S7" s="53">
        <v>94</v>
      </c>
      <c r="T7" s="16">
        <f t="shared" si="1"/>
        <v>36</v>
      </c>
      <c r="U7" s="53">
        <v>429</v>
      </c>
      <c r="V7" s="16">
        <f t="shared" si="2"/>
        <v>3088.7999999999997</v>
      </c>
      <c r="W7" s="53">
        <v>2</v>
      </c>
      <c r="X7" s="53" t="s">
        <v>46</v>
      </c>
      <c r="Y7" s="53" t="s">
        <v>78</v>
      </c>
      <c r="Z7" s="53" t="s">
        <v>102</v>
      </c>
      <c r="AA7" s="53" t="s">
        <v>69</v>
      </c>
      <c r="AB7" s="53" t="s">
        <v>235</v>
      </c>
      <c r="AE7" s="22" t="s">
        <v>61</v>
      </c>
      <c r="AG7" s="178" t="s">
        <v>268</v>
      </c>
      <c r="AH7" s="67" t="s">
        <v>372</v>
      </c>
      <c r="AL7" s="34" t="s">
        <v>109</v>
      </c>
      <c r="AP7" s="23" t="s">
        <v>58</v>
      </c>
      <c r="AR7" s="23" t="s">
        <v>122</v>
      </c>
      <c r="AV7" s="23" t="s">
        <v>64</v>
      </c>
      <c r="AX7" s="24">
        <v>109</v>
      </c>
      <c r="AY7" s="25">
        <v>33</v>
      </c>
      <c r="AZ7" s="25">
        <v>113</v>
      </c>
      <c r="BA7" s="26">
        <v>30</v>
      </c>
    </row>
    <row r="8" spans="1:53" x14ac:dyDescent="0.15">
      <c r="A8" s="53" t="s">
        <v>34</v>
      </c>
      <c r="B8" s="53" t="s">
        <v>231</v>
      </c>
      <c r="C8" s="53">
        <v>2019</v>
      </c>
      <c r="D8" s="176" t="s">
        <v>371</v>
      </c>
      <c r="E8" s="53" t="s">
        <v>268</v>
      </c>
      <c r="F8" s="53" t="s">
        <v>372</v>
      </c>
      <c r="G8" s="53" t="s">
        <v>36</v>
      </c>
      <c r="H8" s="53" t="s">
        <v>160</v>
      </c>
      <c r="I8" s="53" t="s">
        <v>159</v>
      </c>
      <c r="J8" s="53" t="s">
        <v>38</v>
      </c>
      <c r="K8" s="53" t="s">
        <v>161</v>
      </c>
      <c r="L8" s="53">
        <v>1</v>
      </c>
      <c r="N8" s="53">
        <v>1</v>
      </c>
      <c r="O8" s="53">
        <v>0.75</v>
      </c>
      <c r="P8" s="53">
        <v>0.75</v>
      </c>
      <c r="Q8" s="75">
        <f t="shared" si="0"/>
        <v>0.75</v>
      </c>
      <c r="R8" s="53">
        <v>14.4</v>
      </c>
      <c r="S8" s="53">
        <v>102</v>
      </c>
      <c r="T8" s="16">
        <f t="shared" si="1"/>
        <v>33</v>
      </c>
      <c r="U8" s="53">
        <v>149</v>
      </c>
      <c r="V8" s="16">
        <f t="shared" si="2"/>
        <v>4917</v>
      </c>
      <c r="W8" s="53">
        <v>2</v>
      </c>
      <c r="X8" s="53" t="s">
        <v>46</v>
      </c>
      <c r="Y8" s="53" t="s">
        <v>78</v>
      </c>
      <c r="Z8" s="53" t="s">
        <v>102</v>
      </c>
      <c r="AA8" s="53" t="s">
        <v>69</v>
      </c>
      <c r="AB8" s="53" t="s">
        <v>235</v>
      </c>
      <c r="AE8" s="22" t="s">
        <v>59</v>
      </c>
      <c r="AG8" s="178" t="s">
        <v>382</v>
      </c>
      <c r="AH8" s="67" t="s">
        <v>383</v>
      </c>
      <c r="AL8" s="34" t="s">
        <v>134</v>
      </c>
      <c r="AP8" s="23" t="s">
        <v>62</v>
      </c>
      <c r="AR8" s="23" t="s">
        <v>81</v>
      </c>
      <c r="AV8" s="23" t="s">
        <v>97</v>
      </c>
      <c r="AX8" s="24">
        <v>151</v>
      </c>
      <c r="AY8" s="25">
        <v>22</v>
      </c>
      <c r="AZ8" s="25">
        <v>152</v>
      </c>
      <c r="BA8" s="26">
        <v>18</v>
      </c>
    </row>
    <row r="9" spans="1:53" x14ac:dyDescent="0.15">
      <c r="A9" s="53" t="s">
        <v>34</v>
      </c>
      <c r="B9" s="53" t="s">
        <v>231</v>
      </c>
      <c r="C9" s="53">
        <v>2019</v>
      </c>
      <c r="D9" s="176" t="s">
        <v>371</v>
      </c>
      <c r="E9" s="53" t="s">
        <v>268</v>
      </c>
      <c r="F9" s="53" t="s">
        <v>372</v>
      </c>
      <c r="G9" s="53" t="s">
        <v>36</v>
      </c>
      <c r="H9" s="53" t="s">
        <v>160</v>
      </c>
      <c r="I9" s="53" t="s">
        <v>159</v>
      </c>
      <c r="J9" s="53" t="s">
        <v>38</v>
      </c>
      <c r="K9" s="53" t="s">
        <v>161</v>
      </c>
      <c r="L9" s="53">
        <v>2</v>
      </c>
      <c r="N9" s="53">
        <v>1</v>
      </c>
      <c r="O9" s="53">
        <v>1.05</v>
      </c>
      <c r="P9" s="53">
        <v>0.95</v>
      </c>
      <c r="Q9" s="75">
        <f t="shared" si="0"/>
        <v>1</v>
      </c>
      <c r="R9" s="53">
        <v>15.6</v>
      </c>
      <c r="S9" s="53">
        <v>104</v>
      </c>
      <c r="T9" s="16">
        <f t="shared" si="1"/>
        <v>33</v>
      </c>
      <c r="U9" s="53">
        <v>149</v>
      </c>
      <c r="V9" s="16">
        <f t="shared" si="2"/>
        <v>4917</v>
      </c>
      <c r="W9" s="53">
        <v>2</v>
      </c>
      <c r="X9" s="53" t="s">
        <v>46</v>
      </c>
      <c r="Y9" s="53" t="s">
        <v>78</v>
      </c>
      <c r="Z9" s="53" t="s">
        <v>102</v>
      </c>
      <c r="AA9" s="53" t="s">
        <v>69</v>
      </c>
      <c r="AB9" s="53" t="s">
        <v>235</v>
      </c>
      <c r="AE9" s="22" t="s">
        <v>98</v>
      </c>
      <c r="AG9" s="178" t="s">
        <v>384</v>
      </c>
      <c r="AH9" s="67" t="s">
        <v>385</v>
      </c>
      <c r="AL9" s="73"/>
      <c r="AP9" s="23" t="s">
        <v>95</v>
      </c>
      <c r="AR9" s="23" t="s">
        <v>89</v>
      </c>
      <c r="AV9" s="23" t="s">
        <v>102</v>
      </c>
      <c r="AX9" s="31">
        <v>180</v>
      </c>
      <c r="AY9" s="32">
        <v>18</v>
      </c>
      <c r="AZ9" s="32">
        <v>181</v>
      </c>
      <c r="BA9" s="33">
        <v>16</v>
      </c>
    </row>
    <row r="10" spans="1:53" x14ac:dyDescent="0.15">
      <c r="A10" s="53" t="s">
        <v>34</v>
      </c>
      <c r="B10" s="53" t="s">
        <v>231</v>
      </c>
      <c r="C10" s="53">
        <v>2019</v>
      </c>
      <c r="D10" s="176" t="s">
        <v>371</v>
      </c>
      <c r="E10" s="53" t="s">
        <v>268</v>
      </c>
      <c r="F10" s="53" t="s">
        <v>372</v>
      </c>
      <c r="G10" s="53" t="s">
        <v>36</v>
      </c>
      <c r="H10" s="53" t="s">
        <v>160</v>
      </c>
      <c r="I10" s="53" t="s">
        <v>159</v>
      </c>
      <c r="J10" s="53" t="s">
        <v>38</v>
      </c>
      <c r="K10" s="53" t="s">
        <v>161</v>
      </c>
      <c r="L10" s="53">
        <v>3</v>
      </c>
      <c r="N10" s="53">
        <v>1</v>
      </c>
      <c r="O10" s="53">
        <v>0.2</v>
      </c>
      <c r="P10" s="53">
        <v>0.5</v>
      </c>
      <c r="Q10" s="75">
        <f t="shared" si="0"/>
        <v>0.35</v>
      </c>
      <c r="R10" s="53">
        <v>14.7</v>
      </c>
      <c r="S10" s="53">
        <v>102</v>
      </c>
      <c r="T10" s="16">
        <f t="shared" si="1"/>
        <v>33</v>
      </c>
      <c r="U10" s="53">
        <v>149</v>
      </c>
      <c r="V10" s="16">
        <f t="shared" si="2"/>
        <v>4917</v>
      </c>
      <c r="W10" s="53">
        <v>2</v>
      </c>
      <c r="X10" s="53" t="s">
        <v>46</v>
      </c>
      <c r="Y10" s="53" t="s">
        <v>78</v>
      </c>
      <c r="Z10" s="53" t="s">
        <v>102</v>
      </c>
      <c r="AA10" s="53" t="s">
        <v>69</v>
      </c>
      <c r="AB10" s="53" t="s">
        <v>235</v>
      </c>
      <c r="AE10" s="22" t="s">
        <v>103</v>
      </c>
      <c r="AG10" s="178" t="s">
        <v>386</v>
      </c>
      <c r="AH10" s="67" t="s">
        <v>387</v>
      </c>
      <c r="AL10" s="34"/>
      <c r="AP10" s="23" t="s">
        <v>100</v>
      </c>
      <c r="AR10" s="23" t="s">
        <v>123</v>
      </c>
      <c r="AV10" s="23" t="s">
        <v>106</v>
      </c>
    </row>
    <row r="11" spans="1:53" x14ac:dyDescent="0.15">
      <c r="A11" s="53" t="s">
        <v>34</v>
      </c>
      <c r="B11" s="53" t="s">
        <v>231</v>
      </c>
      <c r="C11" s="53">
        <v>2019</v>
      </c>
      <c r="D11" s="176" t="s">
        <v>371</v>
      </c>
      <c r="E11" s="53" t="s">
        <v>268</v>
      </c>
      <c r="F11" s="53" t="s">
        <v>372</v>
      </c>
      <c r="G11" s="53" t="s">
        <v>36</v>
      </c>
      <c r="H11" s="53" t="s">
        <v>160</v>
      </c>
      <c r="I11" s="53" t="s">
        <v>159</v>
      </c>
      <c r="J11" s="53" t="s">
        <v>38</v>
      </c>
      <c r="K11" s="53" t="s">
        <v>161</v>
      </c>
      <c r="L11" s="53">
        <v>1</v>
      </c>
      <c r="N11" s="53">
        <v>4</v>
      </c>
      <c r="O11" s="53">
        <v>0.8</v>
      </c>
      <c r="P11" s="53">
        <v>0.2</v>
      </c>
      <c r="Q11" s="75">
        <f t="shared" si="0"/>
        <v>0.5</v>
      </c>
      <c r="R11" s="53">
        <v>16.399999999999999</v>
      </c>
      <c r="S11" s="53">
        <v>104</v>
      </c>
      <c r="T11" s="16">
        <f t="shared" si="1"/>
        <v>33</v>
      </c>
      <c r="U11" s="53">
        <v>429</v>
      </c>
      <c r="V11" s="16">
        <f t="shared" si="2"/>
        <v>3539.25</v>
      </c>
      <c r="W11" s="53">
        <v>2</v>
      </c>
      <c r="X11" s="53" t="s">
        <v>46</v>
      </c>
      <c r="Y11" s="53" t="s">
        <v>78</v>
      </c>
      <c r="Z11" s="53" t="s">
        <v>102</v>
      </c>
      <c r="AA11" s="53" t="s">
        <v>69</v>
      </c>
      <c r="AB11" s="53" t="s">
        <v>235</v>
      </c>
      <c r="AE11" s="22" t="s">
        <v>65</v>
      </c>
      <c r="AG11" s="178" t="s">
        <v>209</v>
      </c>
      <c r="AH11" s="67" t="s">
        <v>388</v>
      </c>
      <c r="AL11" s="34"/>
      <c r="AP11" s="23" t="s">
        <v>104</v>
      </c>
      <c r="AR11" s="23" t="s">
        <v>87</v>
      </c>
      <c r="AV11" s="23" t="s">
        <v>69</v>
      </c>
    </row>
    <row r="12" spans="1:53" x14ac:dyDescent="0.15">
      <c r="A12" s="53" t="s">
        <v>34</v>
      </c>
      <c r="B12" s="53" t="s">
        <v>231</v>
      </c>
      <c r="C12" s="53">
        <v>2019</v>
      </c>
      <c r="D12" s="176" t="s">
        <v>371</v>
      </c>
      <c r="E12" s="53" t="s">
        <v>268</v>
      </c>
      <c r="F12" s="53" t="s">
        <v>372</v>
      </c>
      <c r="G12" s="53" t="s">
        <v>36</v>
      </c>
      <c r="H12" s="53" t="s">
        <v>160</v>
      </c>
      <c r="I12" s="53" t="s">
        <v>159</v>
      </c>
      <c r="J12" s="53" t="s">
        <v>38</v>
      </c>
      <c r="K12" s="53" t="s">
        <v>161</v>
      </c>
      <c r="L12" s="53">
        <v>2</v>
      </c>
      <c r="N12" s="53">
        <v>4</v>
      </c>
      <c r="O12" s="53">
        <v>0.6</v>
      </c>
      <c r="P12" s="53">
        <v>0.75</v>
      </c>
      <c r="Q12" s="75">
        <f t="shared" si="0"/>
        <v>0.67500000000000004</v>
      </c>
      <c r="R12" s="53">
        <v>14.8</v>
      </c>
      <c r="S12" s="53">
        <v>97</v>
      </c>
      <c r="T12" s="16">
        <f t="shared" si="1"/>
        <v>36</v>
      </c>
      <c r="U12" s="53">
        <v>429</v>
      </c>
      <c r="V12" s="16">
        <f t="shared" si="2"/>
        <v>3861</v>
      </c>
      <c r="W12" s="53">
        <v>2</v>
      </c>
      <c r="X12" s="53" t="s">
        <v>46</v>
      </c>
      <c r="Y12" s="53" t="s">
        <v>78</v>
      </c>
      <c r="Z12" s="53" t="s">
        <v>102</v>
      </c>
      <c r="AA12" s="53" t="s">
        <v>69</v>
      </c>
      <c r="AB12" s="53" t="s">
        <v>235</v>
      </c>
      <c r="AE12" s="22" t="s">
        <v>70</v>
      </c>
      <c r="AG12" s="28"/>
      <c r="AH12" s="23"/>
      <c r="AL12" s="34"/>
      <c r="AP12" s="23" t="s">
        <v>67</v>
      </c>
      <c r="AR12" s="23" t="s">
        <v>124</v>
      </c>
      <c r="AV12" s="23" t="s">
        <v>72</v>
      </c>
    </row>
    <row r="13" spans="1:53" x14ac:dyDescent="0.15">
      <c r="A13" s="53" t="s">
        <v>34</v>
      </c>
      <c r="B13" s="53" t="s">
        <v>231</v>
      </c>
      <c r="C13" s="53">
        <v>2019</v>
      </c>
      <c r="D13" s="176" t="s">
        <v>371</v>
      </c>
      <c r="E13" s="53" t="s">
        <v>268</v>
      </c>
      <c r="F13" s="53" t="s">
        <v>372</v>
      </c>
      <c r="G13" s="53" t="s">
        <v>36</v>
      </c>
      <c r="H13" s="53" t="s">
        <v>160</v>
      </c>
      <c r="I13" s="53" t="s">
        <v>159</v>
      </c>
      <c r="J13" s="53" t="s">
        <v>38</v>
      </c>
      <c r="K13" s="53" t="s">
        <v>161</v>
      </c>
      <c r="L13" s="53">
        <v>3</v>
      </c>
      <c r="N13" s="53">
        <v>4</v>
      </c>
      <c r="O13" s="53">
        <v>0.75</v>
      </c>
      <c r="P13" s="53">
        <v>0.7</v>
      </c>
      <c r="Q13" s="75">
        <f t="shared" si="0"/>
        <v>0.72499999999999998</v>
      </c>
      <c r="R13" s="53">
        <v>14.8</v>
      </c>
      <c r="S13" s="53">
        <v>104</v>
      </c>
      <c r="T13" s="16">
        <f t="shared" si="1"/>
        <v>33</v>
      </c>
      <c r="U13" s="53">
        <v>429</v>
      </c>
      <c r="V13" s="16">
        <f t="shared" si="2"/>
        <v>3539.25</v>
      </c>
      <c r="W13" s="53">
        <v>2</v>
      </c>
      <c r="X13" s="53" t="s">
        <v>46</v>
      </c>
      <c r="Y13" s="53" t="s">
        <v>78</v>
      </c>
      <c r="Z13" s="53" t="s">
        <v>102</v>
      </c>
      <c r="AA13" s="53" t="s">
        <v>69</v>
      </c>
      <c r="AB13" s="53" t="s">
        <v>235</v>
      </c>
      <c r="AE13" s="22" t="s">
        <v>73</v>
      </c>
      <c r="AH13" s="28"/>
      <c r="AP13" s="23" t="s">
        <v>71</v>
      </c>
      <c r="AR13" s="23" t="s">
        <v>103</v>
      </c>
      <c r="AV13" s="23" t="s">
        <v>75</v>
      </c>
    </row>
    <row r="14" spans="1:53" x14ac:dyDescent="0.15">
      <c r="A14" s="53" t="s">
        <v>34</v>
      </c>
      <c r="B14" s="53" t="s">
        <v>231</v>
      </c>
      <c r="C14" s="53">
        <v>2019</v>
      </c>
      <c r="D14" s="176" t="s">
        <v>371</v>
      </c>
      <c r="E14" s="53" t="s">
        <v>386</v>
      </c>
      <c r="F14" s="53" t="s">
        <v>387</v>
      </c>
      <c r="G14" s="53" t="s">
        <v>36</v>
      </c>
      <c r="H14" s="53" t="s">
        <v>164</v>
      </c>
      <c r="I14" s="53" t="s">
        <v>159</v>
      </c>
      <c r="J14" s="53" t="s">
        <v>38</v>
      </c>
      <c r="K14" s="53" t="s">
        <v>161</v>
      </c>
      <c r="L14" s="53">
        <v>1</v>
      </c>
      <c r="N14" s="53">
        <v>1</v>
      </c>
      <c r="O14" s="53">
        <v>0.45</v>
      </c>
      <c r="P14" s="53">
        <v>0.6</v>
      </c>
      <c r="Q14" s="75">
        <f t="shared" si="0"/>
        <v>0.52500000000000002</v>
      </c>
      <c r="R14" s="53">
        <v>12.9</v>
      </c>
      <c r="S14" s="53">
        <v>114</v>
      </c>
      <c r="T14" s="16">
        <f t="shared" si="1"/>
        <v>30</v>
      </c>
      <c r="U14" s="53">
        <v>100</v>
      </c>
      <c r="V14" s="16">
        <f t="shared" si="2"/>
        <v>3000</v>
      </c>
      <c r="W14" s="53">
        <v>3</v>
      </c>
      <c r="X14" s="53" t="s">
        <v>46</v>
      </c>
      <c r="Y14" s="53" t="s">
        <v>90</v>
      </c>
      <c r="Z14" s="53" t="s">
        <v>69</v>
      </c>
      <c r="AA14" s="53" t="s">
        <v>102</v>
      </c>
      <c r="AB14" s="53" t="s">
        <v>235</v>
      </c>
      <c r="AE14" s="22" t="s">
        <v>76</v>
      </c>
      <c r="AG14" s="179"/>
      <c r="AP14" s="23" t="s">
        <v>74</v>
      </c>
      <c r="AR14" s="23" t="s">
        <v>125</v>
      </c>
      <c r="AV14" s="23" t="s">
        <v>78</v>
      </c>
    </row>
    <row r="15" spans="1:53" x14ac:dyDescent="0.15">
      <c r="A15" s="53" t="s">
        <v>34</v>
      </c>
      <c r="B15" s="53" t="s">
        <v>231</v>
      </c>
      <c r="C15" s="53">
        <v>2019</v>
      </c>
      <c r="D15" s="176" t="s">
        <v>371</v>
      </c>
      <c r="E15" s="53" t="s">
        <v>386</v>
      </c>
      <c r="F15" s="53" t="s">
        <v>387</v>
      </c>
      <c r="G15" s="53" t="s">
        <v>36</v>
      </c>
      <c r="H15" s="53" t="s">
        <v>164</v>
      </c>
      <c r="I15" s="53" t="s">
        <v>159</v>
      </c>
      <c r="J15" s="53" t="s">
        <v>38</v>
      </c>
      <c r="K15" s="53" t="s">
        <v>161</v>
      </c>
      <c r="L15" s="53">
        <v>2</v>
      </c>
      <c r="N15" s="53">
        <v>1</v>
      </c>
      <c r="O15" s="53">
        <v>0.5</v>
      </c>
      <c r="P15" s="53">
        <v>0.2</v>
      </c>
      <c r="Q15" s="75">
        <f t="shared" si="0"/>
        <v>0.35</v>
      </c>
      <c r="R15" s="53">
        <v>15.8</v>
      </c>
      <c r="S15" s="53">
        <v>108</v>
      </c>
      <c r="T15" s="16">
        <f t="shared" si="1"/>
        <v>33</v>
      </c>
      <c r="U15" s="53">
        <v>100</v>
      </c>
      <c r="V15" s="16">
        <f t="shared" si="2"/>
        <v>3300</v>
      </c>
      <c r="W15" s="53">
        <v>3</v>
      </c>
      <c r="X15" s="53" t="s">
        <v>46</v>
      </c>
      <c r="Y15" s="53" t="s">
        <v>90</v>
      </c>
      <c r="Z15" s="53" t="s">
        <v>69</v>
      </c>
      <c r="AA15" s="53" t="s">
        <v>102</v>
      </c>
      <c r="AB15" s="53" t="s">
        <v>235</v>
      </c>
      <c r="AE15" s="22" t="s">
        <v>79</v>
      </c>
      <c r="AP15" s="23" t="s">
        <v>77</v>
      </c>
      <c r="AR15" s="23" t="s">
        <v>94</v>
      </c>
      <c r="AV15" s="23" t="s">
        <v>107</v>
      </c>
    </row>
    <row r="16" spans="1:53" x14ac:dyDescent="0.15">
      <c r="A16" s="53" t="s">
        <v>34</v>
      </c>
      <c r="B16" s="53" t="s">
        <v>231</v>
      </c>
      <c r="C16" s="53">
        <v>2019</v>
      </c>
      <c r="D16" s="176" t="s">
        <v>371</v>
      </c>
      <c r="E16" s="53" t="s">
        <v>386</v>
      </c>
      <c r="F16" s="53" t="s">
        <v>387</v>
      </c>
      <c r="G16" s="53" t="s">
        <v>36</v>
      </c>
      <c r="H16" s="53" t="s">
        <v>164</v>
      </c>
      <c r="I16" s="53" t="s">
        <v>159</v>
      </c>
      <c r="J16" s="53" t="s">
        <v>38</v>
      </c>
      <c r="K16" s="53" t="s">
        <v>161</v>
      </c>
      <c r="L16" s="53">
        <v>3</v>
      </c>
      <c r="N16" s="53">
        <v>1</v>
      </c>
      <c r="O16" s="53">
        <v>0.5</v>
      </c>
      <c r="P16" s="53">
        <v>0.5</v>
      </c>
      <c r="Q16" s="75">
        <f t="shared" si="0"/>
        <v>0.5</v>
      </c>
      <c r="R16" s="53">
        <v>15.8</v>
      </c>
      <c r="S16" s="53">
        <v>104</v>
      </c>
      <c r="T16" s="16">
        <f t="shared" si="1"/>
        <v>33</v>
      </c>
      <c r="U16" s="53">
        <v>100</v>
      </c>
      <c r="V16" s="16">
        <f t="shared" si="2"/>
        <v>3300</v>
      </c>
      <c r="W16" s="53">
        <v>3</v>
      </c>
      <c r="X16" s="53" t="s">
        <v>46</v>
      </c>
      <c r="Y16" s="53" t="s">
        <v>90</v>
      </c>
      <c r="Z16" s="53" t="s">
        <v>69</v>
      </c>
      <c r="AA16" s="53" t="s">
        <v>102</v>
      </c>
      <c r="AB16" s="53" t="s">
        <v>235</v>
      </c>
      <c r="AE16" s="22" t="s">
        <v>82</v>
      </c>
      <c r="AP16" s="23" t="s">
        <v>80</v>
      </c>
      <c r="AR16" s="23" t="s">
        <v>63</v>
      </c>
      <c r="AV16" s="23" t="s">
        <v>84</v>
      </c>
    </row>
    <row r="17" spans="1:48" x14ac:dyDescent="0.15">
      <c r="A17" s="53" t="s">
        <v>34</v>
      </c>
      <c r="B17" s="53" t="s">
        <v>231</v>
      </c>
      <c r="C17" s="53">
        <v>2019</v>
      </c>
      <c r="D17" s="176" t="s">
        <v>371</v>
      </c>
      <c r="E17" s="53" t="s">
        <v>386</v>
      </c>
      <c r="F17" s="53" t="s">
        <v>387</v>
      </c>
      <c r="G17" s="53" t="s">
        <v>36</v>
      </c>
      <c r="H17" s="53" t="s">
        <v>164</v>
      </c>
      <c r="I17" s="53" t="s">
        <v>159</v>
      </c>
      <c r="J17" s="53" t="s">
        <v>38</v>
      </c>
      <c r="K17" s="53" t="s">
        <v>161</v>
      </c>
      <c r="L17" s="53">
        <v>1</v>
      </c>
      <c r="N17" s="53">
        <v>1</v>
      </c>
      <c r="O17" s="53">
        <v>0.5</v>
      </c>
      <c r="P17" s="53">
        <v>0.5</v>
      </c>
      <c r="Q17" s="75">
        <f t="shared" si="0"/>
        <v>0.5</v>
      </c>
      <c r="R17" s="53">
        <v>15.2</v>
      </c>
      <c r="S17" s="53">
        <v>170</v>
      </c>
      <c r="T17" s="16">
        <f t="shared" si="1"/>
        <v>18</v>
      </c>
      <c r="U17" s="53">
        <v>103</v>
      </c>
      <c r="V17" s="16">
        <f t="shared" si="2"/>
        <v>1854</v>
      </c>
      <c r="W17" s="53">
        <v>2</v>
      </c>
      <c r="X17" s="53" t="s">
        <v>46</v>
      </c>
      <c r="Y17" s="53" t="s">
        <v>90</v>
      </c>
      <c r="Z17" s="53" t="s">
        <v>69</v>
      </c>
      <c r="AA17" s="53" t="s">
        <v>102</v>
      </c>
      <c r="AB17" s="53" t="s">
        <v>235</v>
      </c>
      <c r="AE17" s="22" t="s">
        <v>85</v>
      </c>
      <c r="AP17" s="27" t="s">
        <v>110</v>
      </c>
      <c r="AR17" s="23" t="s">
        <v>96</v>
      </c>
      <c r="AV17" s="23" t="s">
        <v>86</v>
      </c>
    </row>
    <row r="18" spans="1:48" x14ac:dyDescent="0.15">
      <c r="A18" s="53" t="s">
        <v>34</v>
      </c>
      <c r="B18" s="53" t="s">
        <v>231</v>
      </c>
      <c r="C18" s="53">
        <v>2019</v>
      </c>
      <c r="D18" s="176" t="s">
        <v>371</v>
      </c>
      <c r="E18" s="53" t="s">
        <v>386</v>
      </c>
      <c r="F18" s="53" t="s">
        <v>387</v>
      </c>
      <c r="G18" s="53" t="s">
        <v>36</v>
      </c>
      <c r="H18" s="53" t="s">
        <v>160</v>
      </c>
      <c r="I18" s="53" t="s">
        <v>159</v>
      </c>
      <c r="J18" s="53" t="s">
        <v>38</v>
      </c>
      <c r="K18" s="53" t="s">
        <v>161</v>
      </c>
      <c r="L18" s="53">
        <v>2</v>
      </c>
      <c r="N18" s="53">
        <v>1</v>
      </c>
      <c r="O18" s="53">
        <v>0.2</v>
      </c>
      <c r="P18" s="53">
        <v>0.2</v>
      </c>
      <c r="Q18" s="75">
        <f t="shared" si="0"/>
        <v>0.2</v>
      </c>
      <c r="R18" s="53">
        <v>20.100000000000001</v>
      </c>
      <c r="S18" s="53">
        <v>160</v>
      </c>
      <c r="T18" s="16">
        <f t="shared" si="1"/>
        <v>18</v>
      </c>
      <c r="U18" s="53">
        <v>103</v>
      </c>
      <c r="V18" s="16">
        <f t="shared" si="2"/>
        <v>1854</v>
      </c>
      <c r="W18" s="53">
        <v>2</v>
      </c>
      <c r="X18" s="53" t="s">
        <v>46</v>
      </c>
      <c r="Y18" s="53" t="s">
        <v>90</v>
      </c>
      <c r="Z18" s="53" t="s">
        <v>69</v>
      </c>
      <c r="AA18" s="53" t="s">
        <v>102</v>
      </c>
      <c r="AB18" s="53" t="s">
        <v>235</v>
      </c>
      <c r="AE18" s="22" t="s">
        <v>87</v>
      </c>
      <c r="AP18" s="27" t="s">
        <v>111</v>
      </c>
      <c r="AR18" s="23" t="s">
        <v>101</v>
      </c>
      <c r="AV18" s="23" t="s">
        <v>88</v>
      </c>
    </row>
    <row r="19" spans="1:48" x14ac:dyDescent="0.15">
      <c r="A19" s="53" t="s">
        <v>34</v>
      </c>
      <c r="B19" s="53" t="s">
        <v>231</v>
      </c>
      <c r="C19" s="53">
        <v>2019</v>
      </c>
      <c r="D19" s="176" t="s">
        <v>371</v>
      </c>
      <c r="E19" s="53" t="s">
        <v>386</v>
      </c>
      <c r="F19" s="53" t="s">
        <v>387</v>
      </c>
      <c r="G19" s="53" t="s">
        <v>36</v>
      </c>
      <c r="H19" s="53" t="s">
        <v>160</v>
      </c>
      <c r="I19" s="53" t="s">
        <v>159</v>
      </c>
      <c r="J19" s="53" t="s">
        <v>38</v>
      </c>
      <c r="K19" s="53" t="s">
        <v>161</v>
      </c>
      <c r="L19" s="53">
        <v>3</v>
      </c>
      <c r="N19" s="53">
        <v>1</v>
      </c>
      <c r="O19" s="53">
        <v>0.45</v>
      </c>
      <c r="P19" s="53">
        <v>0.2</v>
      </c>
      <c r="Q19" s="75">
        <f t="shared" si="0"/>
        <v>0.32500000000000001</v>
      </c>
      <c r="R19" s="53">
        <v>17.8</v>
      </c>
      <c r="S19" s="53">
        <v>152</v>
      </c>
      <c r="T19" s="16">
        <f t="shared" si="1"/>
        <v>18</v>
      </c>
      <c r="U19" s="53">
        <v>103</v>
      </c>
      <c r="V19" s="16">
        <f t="shared" si="2"/>
        <v>1854</v>
      </c>
      <c r="W19" s="53">
        <v>2</v>
      </c>
      <c r="X19" s="53" t="s">
        <v>46</v>
      </c>
      <c r="Y19" s="53" t="s">
        <v>90</v>
      </c>
      <c r="Z19" s="53" t="s">
        <v>69</v>
      </c>
      <c r="AA19" s="53" t="s">
        <v>102</v>
      </c>
      <c r="AB19" s="53" t="s">
        <v>235</v>
      </c>
      <c r="AE19" s="35" t="s">
        <v>89</v>
      </c>
      <c r="AP19" s="27" t="s">
        <v>112</v>
      </c>
      <c r="AR19" s="23" t="s">
        <v>126</v>
      </c>
      <c r="AV19" s="23" t="s">
        <v>90</v>
      </c>
    </row>
    <row r="20" spans="1:48" x14ac:dyDescent="0.15">
      <c r="A20" s="53" t="s">
        <v>34</v>
      </c>
      <c r="B20" s="53" t="s">
        <v>231</v>
      </c>
      <c r="C20" s="53">
        <v>2019</v>
      </c>
      <c r="D20" s="176" t="s">
        <v>371</v>
      </c>
      <c r="E20" s="53" t="s">
        <v>382</v>
      </c>
      <c r="F20" s="53" t="s">
        <v>383</v>
      </c>
      <c r="G20" s="53" t="s">
        <v>36</v>
      </c>
      <c r="H20" s="53" t="s">
        <v>160</v>
      </c>
      <c r="I20" s="53" t="s">
        <v>159</v>
      </c>
      <c r="J20" s="53" t="s">
        <v>38</v>
      </c>
      <c r="K20" s="53" t="s">
        <v>161</v>
      </c>
      <c r="L20" s="53">
        <v>1</v>
      </c>
      <c r="N20" s="53">
        <v>1</v>
      </c>
      <c r="O20" s="53">
        <v>0.5</v>
      </c>
      <c r="P20" s="53">
        <v>0.45</v>
      </c>
      <c r="Q20" s="75">
        <f t="shared" si="0"/>
        <v>0.47499999999999998</v>
      </c>
      <c r="R20" s="53">
        <v>15.6</v>
      </c>
      <c r="S20" s="53">
        <v>128</v>
      </c>
      <c r="T20" s="16">
        <f t="shared" si="1"/>
        <v>30</v>
      </c>
      <c r="U20" s="53">
        <v>105</v>
      </c>
      <c r="V20" s="16">
        <f t="shared" si="2"/>
        <v>3150</v>
      </c>
      <c r="W20" s="53">
        <v>2</v>
      </c>
      <c r="X20" s="53" t="s">
        <v>39</v>
      </c>
      <c r="Y20" s="53" t="s">
        <v>78</v>
      </c>
      <c r="Z20" s="53" t="s">
        <v>102</v>
      </c>
      <c r="AA20" s="53" t="s">
        <v>69</v>
      </c>
      <c r="AB20" s="53" t="s">
        <v>235</v>
      </c>
      <c r="AP20" s="27" t="s">
        <v>113</v>
      </c>
      <c r="AR20" s="23" t="s">
        <v>105</v>
      </c>
      <c r="AV20" s="27" t="s">
        <v>135</v>
      </c>
    </row>
    <row r="21" spans="1:48" x14ac:dyDescent="0.15">
      <c r="A21" s="53" t="s">
        <v>34</v>
      </c>
      <c r="B21" s="53" t="s">
        <v>231</v>
      </c>
      <c r="C21" s="53">
        <v>2019</v>
      </c>
      <c r="D21" s="176" t="s">
        <v>371</v>
      </c>
      <c r="E21" s="53" t="s">
        <v>382</v>
      </c>
      <c r="F21" s="53" t="s">
        <v>383</v>
      </c>
      <c r="G21" s="53" t="s">
        <v>36</v>
      </c>
      <c r="H21" s="53" t="s">
        <v>164</v>
      </c>
      <c r="I21" s="53" t="s">
        <v>159</v>
      </c>
      <c r="J21" s="53" t="s">
        <v>38</v>
      </c>
      <c r="K21" s="53" t="s">
        <v>161</v>
      </c>
      <c r="L21" s="53">
        <v>2</v>
      </c>
      <c r="N21" s="53">
        <v>1</v>
      </c>
      <c r="O21" s="53">
        <v>0.5</v>
      </c>
      <c r="P21" s="53">
        <v>0.75</v>
      </c>
      <c r="Q21" s="75">
        <f t="shared" si="0"/>
        <v>0.625</v>
      </c>
      <c r="R21" s="53">
        <v>15.7</v>
      </c>
      <c r="S21" s="53">
        <v>132</v>
      </c>
      <c r="T21" s="16">
        <f t="shared" si="1"/>
        <v>30</v>
      </c>
      <c r="U21" s="53">
        <v>105</v>
      </c>
      <c r="V21" s="16">
        <f t="shared" si="2"/>
        <v>3150</v>
      </c>
      <c r="W21" s="53">
        <v>2</v>
      </c>
      <c r="X21" s="53" t="s">
        <v>39</v>
      </c>
      <c r="Y21" s="53" t="s">
        <v>78</v>
      </c>
      <c r="Z21" s="53" t="s">
        <v>102</v>
      </c>
      <c r="AA21" s="53" t="s">
        <v>69</v>
      </c>
      <c r="AB21" s="53" t="s">
        <v>235</v>
      </c>
      <c r="AP21" s="27" t="s">
        <v>114</v>
      </c>
      <c r="AR21" s="23" t="s">
        <v>68</v>
      </c>
      <c r="AV21" s="27" t="s">
        <v>136</v>
      </c>
    </row>
    <row r="22" spans="1:48" x14ac:dyDescent="0.15">
      <c r="A22" s="53" t="s">
        <v>34</v>
      </c>
      <c r="B22" s="53" t="s">
        <v>231</v>
      </c>
      <c r="C22" s="53">
        <v>2019</v>
      </c>
      <c r="D22" s="176" t="s">
        <v>371</v>
      </c>
      <c r="E22" s="53" t="s">
        <v>382</v>
      </c>
      <c r="F22" s="53" t="s">
        <v>383</v>
      </c>
      <c r="G22" s="53" t="s">
        <v>36</v>
      </c>
      <c r="H22" s="53" t="s">
        <v>164</v>
      </c>
      <c r="I22" s="53" t="s">
        <v>159</v>
      </c>
      <c r="J22" s="53" t="s">
        <v>38</v>
      </c>
      <c r="K22" s="53" t="s">
        <v>161</v>
      </c>
      <c r="L22" s="53">
        <v>3</v>
      </c>
      <c r="N22" s="53">
        <v>1</v>
      </c>
      <c r="O22" s="53">
        <v>0.75</v>
      </c>
      <c r="P22" s="53">
        <v>0.75</v>
      </c>
      <c r="Q22" s="75">
        <f t="shared" si="0"/>
        <v>0.75</v>
      </c>
      <c r="R22" s="53">
        <v>15.7</v>
      </c>
      <c r="S22" s="53">
        <v>132</v>
      </c>
      <c r="T22" s="16">
        <f t="shared" si="1"/>
        <v>30</v>
      </c>
      <c r="U22" s="53">
        <v>105</v>
      </c>
      <c r="V22" s="16">
        <f t="shared" si="2"/>
        <v>3150</v>
      </c>
      <c r="W22" s="53">
        <v>2</v>
      </c>
      <c r="X22" s="53" t="s">
        <v>39</v>
      </c>
      <c r="Y22" s="53" t="s">
        <v>78</v>
      </c>
      <c r="Z22" s="53" t="s">
        <v>102</v>
      </c>
      <c r="AA22" s="53" t="s">
        <v>69</v>
      </c>
      <c r="AB22" s="53" t="s">
        <v>235</v>
      </c>
      <c r="AP22" s="27" t="s">
        <v>115</v>
      </c>
      <c r="AR22" s="23" t="s">
        <v>83</v>
      </c>
      <c r="AV22" s="27"/>
    </row>
    <row r="23" spans="1:48" x14ac:dyDescent="0.15">
      <c r="A23" s="53" t="s">
        <v>34</v>
      </c>
      <c r="B23" s="53" t="s">
        <v>231</v>
      </c>
      <c r="C23" s="53">
        <v>2019</v>
      </c>
      <c r="D23" s="176" t="s">
        <v>371</v>
      </c>
      <c r="E23" s="53" t="s">
        <v>382</v>
      </c>
      <c r="F23" s="53" t="s">
        <v>383</v>
      </c>
      <c r="G23" s="53" t="s">
        <v>36</v>
      </c>
      <c r="H23" s="53" t="s">
        <v>164</v>
      </c>
      <c r="I23" s="53" t="s">
        <v>159</v>
      </c>
      <c r="J23" s="53" t="s">
        <v>38</v>
      </c>
      <c r="K23" s="53" t="s">
        <v>161</v>
      </c>
      <c r="L23" s="53">
        <v>1</v>
      </c>
      <c r="N23" s="53">
        <v>1</v>
      </c>
      <c r="O23" s="53">
        <v>0.55000000000000004</v>
      </c>
      <c r="P23" s="53">
        <v>0.45</v>
      </c>
      <c r="Q23" s="75">
        <f t="shared" si="0"/>
        <v>0.5</v>
      </c>
      <c r="R23" s="53">
        <v>15.1</v>
      </c>
      <c r="S23" s="53">
        <v>138</v>
      </c>
      <c r="T23" s="16">
        <f t="shared" si="1"/>
        <v>30</v>
      </c>
      <c r="U23" s="53">
        <v>105</v>
      </c>
      <c r="V23" s="16">
        <f t="shared" si="2"/>
        <v>3150</v>
      </c>
      <c r="W23" s="53">
        <v>4</v>
      </c>
      <c r="X23" s="53" t="s">
        <v>39</v>
      </c>
      <c r="Y23" s="53" t="s">
        <v>78</v>
      </c>
      <c r="Z23" s="53" t="s">
        <v>102</v>
      </c>
      <c r="AA23" s="53" t="s">
        <v>69</v>
      </c>
      <c r="AB23" s="53" t="s">
        <v>235</v>
      </c>
      <c r="AP23" s="27" t="s">
        <v>117</v>
      </c>
      <c r="AR23" s="23" t="s">
        <v>153</v>
      </c>
    </row>
    <row r="24" spans="1:48" x14ac:dyDescent="0.15">
      <c r="A24" s="53" t="s">
        <v>34</v>
      </c>
      <c r="B24" s="53" t="s">
        <v>231</v>
      </c>
      <c r="C24" s="53">
        <v>2019</v>
      </c>
      <c r="D24" s="176" t="s">
        <v>371</v>
      </c>
      <c r="E24" s="53" t="s">
        <v>382</v>
      </c>
      <c r="F24" s="53" t="s">
        <v>383</v>
      </c>
      <c r="G24" s="53" t="s">
        <v>36</v>
      </c>
      <c r="H24" s="53" t="s">
        <v>160</v>
      </c>
      <c r="I24" s="53" t="s">
        <v>159</v>
      </c>
      <c r="J24" s="53" t="s">
        <v>38</v>
      </c>
      <c r="K24" s="53" t="s">
        <v>161</v>
      </c>
      <c r="L24" s="53">
        <v>2</v>
      </c>
      <c r="N24" s="53">
        <v>1</v>
      </c>
      <c r="O24" s="53">
        <v>0.2</v>
      </c>
      <c r="P24" s="53">
        <v>0.45</v>
      </c>
      <c r="Q24" s="75">
        <f t="shared" si="0"/>
        <v>0.32500000000000001</v>
      </c>
      <c r="R24" s="53">
        <v>15.7</v>
      </c>
      <c r="S24" s="53">
        <v>138</v>
      </c>
      <c r="T24" s="16">
        <f t="shared" si="1"/>
        <v>30</v>
      </c>
      <c r="U24" s="53">
        <v>105</v>
      </c>
      <c r="V24" s="16">
        <f t="shared" si="2"/>
        <v>3150</v>
      </c>
      <c r="W24" s="53">
        <v>4</v>
      </c>
      <c r="X24" s="53" t="s">
        <v>39</v>
      </c>
      <c r="Y24" s="53" t="s">
        <v>78</v>
      </c>
      <c r="Z24" s="53" t="s">
        <v>102</v>
      </c>
      <c r="AA24" s="53" t="s">
        <v>69</v>
      </c>
      <c r="AB24" s="53" t="s">
        <v>235</v>
      </c>
      <c r="AP24" s="27" t="s">
        <v>118</v>
      </c>
    </row>
    <row r="25" spans="1:48" x14ac:dyDescent="0.15">
      <c r="A25" s="53" t="s">
        <v>34</v>
      </c>
      <c r="B25" s="53" t="s">
        <v>231</v>
      </c>
      <c r="C25" s="53">
        <v>2019</v>
      </c>
      <c r="D25" s="176" t="s">
        <v>371</v>
      </c>
      <c r="E25" s="53" t="s">
        <v>382</v>
      </c>
      <c r="F25" s="53" t="s">
        <v>383</v>
      </c>
      <c r="G25" s="53" t="s">
        <v>36</v>
      </c>
      <c r="H25" s="53" t="s">
        <v>160</v>
      </c>
      <c r="I25" s="53" t="s">
        <v>159</v>
      </c>
      <c r="J25" s="53" t="s">
        <v>38</v>
      </c>
      <c r="K25" s="53" t="s">
        <v>161</v>
      </c>
      <c r="L25" s="53">
        <v>3</v>
      </c>
      <c r="N25" s="53">
        <v>1</v>
      </c>
      <c r="O25" s="53">
        <v>0.5</v>
      </c>
      <c r="P25" s="53">
        <v>0.5</v>
      </c>
      <c r="Q25" s="75">
        <f t="shared" si="0"/>
        <v>0.5</v>
      </c>
      <c r="R25" s="53">
        <v>16.100000000000001</v>
      </c>
      <c r="S25" s="53">
        <v>128</v>
      </c>
      <c r="T25" s="16">
        <f t="shared" si="1"/>
        <v>30</v>
      </c>
      <c r="U25" s="53">
        <v>105</v>
      </c>
      <c r="V25" s="16">
        <f t="shared" si="2"/>
        <v>3150</v>
      </c>
      <c r="W25" s="53">
        <v>4</v>
      </c>
      <c r="X25" s="53" t="s">
        <v>39</v>
      </c>
      <c r="Y25" s="53" t="s">
        <v>78</v>
      </c>
      <c r="Z25" s="53" t="s">
        <v>102</v>
      </c>
      <c r="AA25" s="53" t="s">
        <v>69</v>
      </c>
      <c r="AB25" s="53" t="s">
        <v>235</v>
      </c>
    </row>
    <row r="26" spans="1:48" x14ac:dyDescent="0.15">
      <c r="A26" s="53" t="s">
        <v>34</v>
      </c>
      <c r="B26" s="53" t="s">
        <v>231</v>
      </c>
      <c r="C26" s="53">
        <v>2019</v>
      </c>
      <c r="D26" s="176" t="s">
        <v>371</v>
      </c>
      <c r="E26" s="53" t="s">
        <v>376</v>
      </c>
      <c r="F26" s="53" t="s">
        <v>377</v>
      </c>
      <c r="G26" s="53" t="s">
        <v>36</v>
      </c>
      <c r="H26" s="53" t="s">
        <v>164</v>
      </c>
      <c r="I26" s="53" t="s">
        <v>159</v>
      </c>
      <c r="J26" s="53" t="s">
        <v>38</v>
      </c>
      <c r="K26" s="53" t="s">
        <v>161</v>
      </c>
      <c r="L26" s="53">
        <v>1</v>
      </c>
      <c r="N26" s="53">
        <v>1</v>
      </c>
      <c r="O26" s="53">
        <v>0.2</v>
      </c>
      <c r="P26" s="53">
        <v>0.2</v>
      </c>
      <c r="Q26" s="75">
        <f t="shared" si="0"/>
        <v>0.2</v>
      </c>
      <c r="R26" s="53">
        <v>15.9</v>
      </c>
      <c r="S26" s="53">
        <v>136</v>
      </c>
      <c r="T26" s="16">
        <f t="shared" si="1"/>
        <v>30</v>
      </c>
      <c r="U26" s="53">
        <v>105</v>
      </c>
      <c r="V26" s="16">
        <f t="shared" si="2"/>
        <v>3150</v>
      </c>
      <c r="W26" s="53">
        <v>4</v>
      </c>
      <c r="X26" s="53" t="s">
        <v>39</v>
      </c>
      <c r="Y26" s="53" t="s">
        <v>102</v>
      </c>
      <c r="Z26" s="53" t="s">
        <v>78</v>
      </c>
      <c r="AA26" s="53" t="s">
        <v>88</v>
      </c>
      <c r="AB26" s="53" t="s">
        <v>235</v>
      </c>
    </row>
    <row r="27" spans="1:48" x14ac:dyDescent="0.15">
      <c r="A27" s="53" t="s">
        <v>34</v>
      </c>
      <c r="B27" s="53" t="s">
        <v>231</v>
      </c>
      <c r="C27" s="53">
        <v>2019</v>
      </c>
      <c r="D27" s="176" t="s">
        <v>371</v>
      </c>
      <c r="E27" s="53" t="s">
        <v>376</v>
      </c>
      <c r="F27" s="53" t="s">
        <v>377</v>
      </c>
      <c r="G27" s="53" t="s">
        <v>36</v>
      </c>
      <c r="H27" s="53" t="s">
        <v>164</v>
      </c>
      <c r="I27" s="53" t="s">
        <v>159</v>
      </c>
      <c r="J27" s="53" t="s">
        <v>38</v>
      </c>
      <c r="K27" s="53" t="s">
        <v>161</v>
      </c>
      <c r="L27" s="53">
        <v>2</v>
      </c>
      <c r="N27" s="53">
        <v>1</v>
      </c>
      <c r="O27" s="53">
        <v>0.45</v>
      </c>
      <c r="P27" s="53">
        <v>0.45</v>
      </c>
      <c r="Q27" s="75">
        <f t="shared" si="0"/>
        <v>0.45</v>
      </c>
      <c r="R27" s="53">
        <v>15.7</v>
      </c>
      <c r="S27" s="53">
        <v>142</v>
      </c>
      <c r="T27" s="16">
        <f t="shared" si="1"/>
        <v>30</v>
      </c>
      <c r="U27" s="53">
        <v>105</v>
      </c>
      <c r="V27" s="16">
        <f t="shared" si="2"/>
        <v>3150</v>
      </c>
      <c r="W27" s="53">
        <v>4</v>
      </c>
      <c r="X27" s="53" t="s">
        <v>39</v>
      </c>
      <c r="Y27" s="53" t="s">
        <v>102</v>
      </c>
      <c r="Z27" s="53" t="s">
        <v>78</v>
      </c>
      <c r="AA27" s="53" t="s">
        <v>88</v>
      </c>
      <c r="AB27" s="53" t="s">
        <v>235</v>
      </c>
    </row>
    <row r="28" spans="1:48" x14ac:dyDescent="0.15">
      <c r="A28" s="53" t="s">
        <v>34</v>
      </c>
      <c r="B28" s="53" t="s">
        <v>231</v>
      </c>
      <c r="C28" s="53">
        <v>2019</v>
      </c>
      <c r="D28" s="176" t="s">
        <v>371</v>
      </c>
      <c r="E28" s="53" t="s">
        <v>376</v>
      </c>
      <c r="F28" s="53" t="s">
        <v>377</v>
      </c>
      <c r="G28" s="53" t="s">
        <v>36</v>
      </c>
      <c r="H28" s="53" t="s">
        <v>164</v>
      </c>
      <c r="I28" s="53" t="s">
        <v>159</v>
      </c>
      <c r="J28" s="53" t="s">
        <v>38</v>
      </c>
      <c r="K28" s="53" t="s">
        <v>161</v>
      </c>
      <c r="L28" s="53">
        <v>3</v>
      </c>
      <c r="N28" s="53">
        <v>1</v>
      </c>
      <c r="O28" s="53">
        <v>0.45</v>
      </c>
      <c r="P28" s="53">
        <v>0.45</v>
      </c>
      <c r="Q28" s="75">
        <f>IF(OR(O28="",P28=""),"",AVERAGE(O28,P28))</f>
        <v>0.45</v>
      </c>
      <c r="R28" s="53">
        <v>15.8</v>
      </c>
      <c r="S28" s="53">
        <v>148</v>
      </c>
      <c r="T28" s="16">
        <f t="shared" si="1"/>
        <v>30</v>
      </c>
      <c r="U28" s="53">
        <v>105</v>
      </c>
      <c r="V28" s="16">
        <f t="shared" si="2"/>
        <v>3150</v>
      </c>
      <c r="W28" s="53">
        <v>4</v>
      </c>
      <c r="X28" s="53" t="s">
        <v>39</v>
      </c>
      <c r="Y28" s="53" t="s">
        <v>102</v>
      </c>
      <c r="Z28" s="53" t="s">
        <v>78</v>
      </c>
      <c r="AA28" s="53" t="s">
        <v>88</v>
      </c>
      <c r="AB28" s="53" t="s">
        <v>235</v>
      </c>
    </row>
    <row r="29" spans="1:48" x14ac:dyDescent="0.15">
      <c r="A29" s="53" t="s">
        <v>34</v>
      </c>
      <c r="B29" s="53" t="s">
        <v>231</v>
      </c>
      <c r="C29" s="53">
        <v>2019</v>
      </c>
      <c r="D29" s="176" t="s">
        <v>371</v>
      </c>
      <c r="E29" s="53" t="s">
        <v>376</v>
      </c>
      <c r="F29" s="53" t="s">
        <v>377</v>
      </c>
      <c r="G29" s="53" t="s">
        <v>36</v>
      </c>
      <c r="H29" s="53" t="s">
        <v>160</v>
      </c>
      <c r="I29" s="53" t="s">
        <v>159</v>
      </c>
      <c r="J29" s="53" t="s">
        <v>38</v>
      </c>
      <c r="K29" s="53" t="s">
        <v>161</v>
      </c>
      <c r="L29" s="53">
        <v>1</v>
      </c>
      <c r="N29" s="53">
        <v>1</v>
      </c>
      <c r="O29" s="53">
        <v>0.2</v>
      </c>
      <c r="P29" s="53">
        <v>0.2</v>
      </c>
      <c r="Q29" s="75">
        <f t="shared" si="0"/>
        <v>0.2</v>
      </c>
      <c r="R29" s="53">
        <v>15.8</v>
      </c>
      <c r="S29" s="53">
        <v>140</v>
      </c>
      <c r="T29" s="16">
        <f t="shared" si="1"/>
        <v>30</v>
      </c>
      <c r="U29" s="53">
        <v>105</v>
      </c>
      <c r="V29" s="16">
        <f t="shared" si="2"/>
        <v>3150</v>
      </c>
      <c r="W29" s="53">
        <v>1</v>
      </c>
      <c r="X29" s="53" t="s">
        <v>39</v>
      </c>
      <c r="Y29" s="53" t="s">
        <v>102</v>
      </c>
      <c r="Z29" s="53" t="s">
        <v>78</v>
      </c>
      <c r="AA29" s="53" t="s">
        <v>88</v>
      </c>
      <c r="AB29" s="53" t="s">
        <v>235</v>
      </c>
    </row>
    <row r="30" spans="1:48" x14ac:dyDescent="0.15">
      <c r="A30" s="53" t="s">
        <v>34</v>
      </c>
      <c r="B30" s="53" t="s">
        <v>231</v>
      </c>
      <c r="C30" s="53">
        <v>2019</v>
      </c>
      <c r="D30" s="176" t="s">
        <v>371</v>
      </c>
      <c r="E30" s="53" t="s">
        <v>376</v>
      </c>
      <c r="F30" s="53" t="s">
        <v>377</v>
      </c>
      <c r="G30" s="53" t="s">
        <v>36</v>
      </c>
      <c r="H30" s="53" t="s">
        <v>160</v>
      </c>
      <c r="I30" s="53" t="s">
        <v>159</v>
      </c>
      <c r="J30" s="53" t="s">
        <v>38</v>
      </c>
      <c r="K30" s="53" t="s">
        <v>161</v>
      </c>
      <c r="L30" s="53">
        <v>2</v>
      </c>
      <c r="N30" s="53">
        <v>1</v>
      </c>
      <c r="O30" s="53">
        <v>0.2</v>
      </c>
      <c r="P30" s="53">
        <v>0.45</v>
      </c>
      <c r="Q30" s="75">
        <f t="shared" si="0"/>
        <v>0.32500000000000001</v>
      </c>
      <c r="R30" s="53">
        <v>18.2</v>
      </c>
      <c r="S30" s="53">
        <v>138</v>
      </c>
      <c r="T30" s="16">
        <f t="shared" si="1"/>
        <v>30</v>
      </c>
      <c r="U30" s="53">
        <v>105</v>
      </c>
      <c r="V30" s="16">
        <f t="shared" si="2"/>
        <v>3150</v>
      </c>
      <c r="W30" s="53">
        <v>1</v>
      </c>
      <c r="X30" s="53" t="s">
        <v>39</v>
      </c>
      <c r="Y30" s="53" t="s">
        <v>102</v>
      </c>
      <c r="Z30" s="53" t="s">
        <v>78</v>
      </c>
      <c r="AA30" s="53" t="s">
        <v>88</v>
      </c>
      <c r="AB30" s="53" t="s">
        <v>235</v>
      </c>
    </row>
    <row r="31" spans="1:48" x14ac:dyDescent="0.15">
      <c r="A31" s="53" t="s">
        <v>34</v>
      </c>
      <c r="B31" s="53" t="s">
        <v>231</v>
      </c>
      <c r="C31" s="53">
        <v>2019</v>
      </c>
      <c r="D31" s="176" t="s">
        <v>371</v>
      </c>
      <c r="E31" s="53" t="s">
        <v>376</v>
      </c>
      <c r="F31" s="53" t="s">
        <v>377</v>
      </c>
      <c r="G31" s="53" t="s">
        <v>36</v>
      </c>
      <c r="H31" s="53" t="s">
        <v>160</v>
      </c>
      <c r="I31" s="53" t="s">
        <v>159</v>
      </c>
      <c r="J31" s="53" t="s">
        <v>38</v>
      </c>
      <c r="K31" s="53" t="s">
        <v>161</v>
      </c>
      <c r="L31" s="53">
        <v>3</v>
      </c>
      <c r="N31" s="53">
        <v>1</v>
      </c>
      <c r="O31" s="53">
        <v>0.2</v>
      </c>
      <c r="P31" s="53">
        <v>0.2</v>
      </c>
      <c r="Q31" s="75">
        <f t="shared" si="0"/>
        <v>0.2</v>
      </c>
      <c r="R31" s="53">
        <v>17.8</v>
      </c>
      <c r="S31" s="53">
        <v>140</v>
      </c>
      <c r="T31" s="16">
        <f t="shared" si="1"/>
        <v>30</v>
      </c>
      <c r="U31" s="53">
        <v>105</v>
      </c>
      <c r="V31" s="16">
        <f t="shared" si="2"/>
        <v>3150</v>
      </c>
      <c r="W31" s="53">
        <v>1</v>
      </c>
      <c r="X31" s="53" t="s">
        <v>39</v>
      </c>
      <c r="Y31" s="53" t="s">
        <v>102</v>
      </c>
      <c r="Z31" s="53" t="s">
        <v>78</v>
      </c>
      <c r="AA31" s="53" t="s">
        <v>88</v>
      </c>
      <c r="AB31" s="53" t="s">
        <v>235</v>
      </c>
    </row>
    <row r="32" spans="1:48" x14ac:dyDescent="0.15">
      <c r="A32" s="53" t="s">
        <v>34</v>
      </c>
      <c r="B32" s="53" t="s">
        <v>231</v>
      </c>
      <c r="C32" s="53">
        <v>2019</v>
      </c>
      <c r="D32" s="176" t="s">
        <v>371</v>
      </c>
      <c r="E32" s="53" t="s">
        <v>384</v>
      </c>
      <c r="F32" s="53" t="s">
        <v>377</v>
      </c>
      <c r="G32" s="53" t="s">
        <v>36</v>
      </c>
      <c r="H32" s="53" t="s">
        <v>164</v>
      </c>
      <c r="I32" s="53" t="s">
        <v>159</v>
      </c>
      <c r="J32" s="53" t="s">
        <v>38</v>
      </c>
      <c r="K32" s="53" t="s">
        <v>161</v>
      </c>
      <c r="L32" s="53">
        <v>1</v>
      </c>
      <c r="N32" s="53">
        <v>1</v>
      </c>
      <c r="O32" s="53">
        <v>0.65</v>
      </c>
      <c r="P32" s="53">
        <v>0.55000000000000004</v>
      </c>
      <c r="Q32" s="75">
        <f t="shared" si="0"/>
        <v>0.60000000000000009</v>
      </c>
      <c r="R32" s="53">
        <v>15.2</v>
      </c>
      <c r="S32" s="53">
        <v>124</v>
      </c>
      <c r="T32" s="16">
        <f t="shared" si="1"/>
        <v>30</v>
      </c>
      <c r="U32" s="53">
        <v>96</v>
      </c>
      <c r="V32" s="16">
        <f t="shared" si="2"/>
        <v>2880</v>
      </c>
      <c r="W32" s="53">
        <v>5</v>
      </c>
      <c r="X32" s="53" t="s">
        <v>46</v>
      </c>
      <c r="Y32" s="53" t="s">
        <v>78</v>
      </c>
      <c r="Z32" s="53" t="s">
        <v>90</v>
      </c>
      <c r="AA32" s="53" t="s">
        <v>55</v>
      </c>
      <c r="AB32" s="53" t="s">
        <v>235</v>
      </c>
    </row>
    <row r="33" spans="1:28" x14ac:dyDescent="0.15">
      <c r="A33" s="53" t="s">
        <v>34</v>
      </c>
      <c r="B33" s="53" t="s">
        <v>231</v>
      </c>
      <c r="C33" s="53">
        <v>2019</v>
      </c>
      <c r="D33" s="176" t="s">
        <v>371</v>
      </c>
      <c r="E33" s="53" t="s">
        <v>384</v>
      </c>
      <c r="F33" s="53" t="s">
        <v>377</v>
      </c>
      <c r="G33" s="53" t="s">
        <v>36</v>
      </c>
      <c r="H33" s="53" t="s">
        <v>164</v>
      </c>
      <c r="I33" s="53" t="s">
        <v>159</v>
      </c>
      <c r="J33" s="53" t="s">
        <v>38</v>
      </c>
      <c r="K33" s="53" t="s">
        <v>161</v>
      </c>
      <c r="L33" s="53">
        <v>2</v>
      </c>
      <c r="N33" s="53">
        <v>1</v>
      </c>
      <c r="O33" s="53">
        <v>0.65</v>
      </c>
      <c r="P33" s="53">
        <v>0.55000000000000004</v>
      </c>
      <c r="Q33" s="75">
        <f t="shared" si="0"/>
        <v>0.60000000000000009</v>
      </c>
      <c r="R33" s="53">
        <v>14.9</v>
      </c>
      <c r="S33" s="53">
        <v>126</v>
      </c>
      <c r="T33" s="16">
        <f t="shared" si="1"/>
        <v>30</v>
      </c>
      <c r="U33" s="53">
        <v>96</v>
      </c>
      <c r="V33" s="16">
        <f t="shared" si="2"/>
        <v>2880</v>
      </c>
      <c r="W33" s="53">
        <v>5</v>
      </c>
      <c r="X33" s="53" t="s">
        <v>46</v>
      </c>
      <c r="Y33" s="53" t="s">
        <v>78</v>
      </c>
      <c r="Z33" s="53" t="s">
        <v>90</v>
      </c>
      <c r="AA33" s="53" t="s">
        <v>55</v>
      </c>
      <c r="AB33" s="53" t="s">
        <v>235</v>
      </c>
    </row>
    <row r="34" spans="1:28" x14ac:dyDescent="0.15">
      <c r="A34" s="53" t="s">
        <v>34</v>
      </c>
      <c r="B34" s="53" t="s">
        <v>231</v>
      </c>
      <c r="C34" s="53">
        <v>2019</v>
      </c>
      <c r="D34" s="176" t="s">
        <v>371</v>
      </c>
      <c r="E34" s="53" t="s">
        <v>384</v>
      </c>
      <c r="F34" s="53" t="s">
        <v>377</v>
      </c>
      <c r="G34" s="53" t="s">
        <v>36</v>
      </c>
      <c r="H34" s="53" t="s">
        <v>164</v>
      </c>
      <c r="I34" s="53" t="s">
        <v>159</v>
      </c>
      <c r="J34" s="53" t="s">
        <v>38</v>
      </c>
      <c r="K34" s="53" t="s">
        <v>161</v>
      </c>
      <c r="L34" s="53">
        <v>3</v>
      </c>
      <c r="N34" s="53">
        <v>1</v>
      </c>
      <c r="O34" s="53">
        <v>0.45</v>
      </c>
      <c r="P34" s="53">
        <v>0.6</v>
      </c>
      <c r="Q34" s="75">
        <f>IF(OR(O34="",P34=""),"",AVERAGE(O34,P34))</f>
        <v>0.52500000000000002</v>
      </c>
      <c r="R34" s="53">
        <v>15.8</v>
      </c>
      <c r="S34" s="53">
        <v>120</v>
      </c>
      <c r="T34" s="16">
        <f t="shared" si="1"/>
        <v>30</v>
      </c>
      <c r="U34" s="53">
        <v>96</v>
      </c>
      <c r="V34" s="16">
        <f t="shared" si="2"/>
        <v>2880</v>
      </c>
      <c r="W34" s="53">
        <v>5</v>
      </c>
      <c r="X34" s="53" t="s">
        <v>46</v>
      </c>
      <c r="Y34" s="53" t="s">
        <v>78</v>
      </c>
      <c r="Z34" s="53" t="s">
        <v>90</v>
      </c>
      <c r="AA34" s="53" t="s">
        <v>55</v>
      </c>
      <c r="AB34" s="53" t="s">
        <v>235</v>
      </c>
    </row>
    <row r="35" spans="1:28" x14ac:dyDescent="0.15">
      <c r="A35" s="53" t="s">
        <v>34</v>
      </c>
      <c r="B35" s="53" t="s">
        <v>231</v>
      </c>
      <c r="C35" s="53">
        <v>2019</v>
      </c>
      <c r="D35" s="176" t="s">
        <v>371</v>
      </c>
      <c r="E35" s="53" t="s">
        <v>384</v>
      </c>
      <c r="F35" s="53" t="s">
        <v>377</v>
      </c>
      <c r="G35" s="53" t="s">
        <v>36</v>
      </c>
      <c r="H35" s="53" t="s">
        <v>164</v>
      </c>
      <c r="I35" s="53" t="s">
        <v>159</v>
      </c>
      <c r="J35" s="53" t="s">
        <v>38</v>
      </c>
      <c r="K35" s="53" t="s">
        <v>161</v>
      </c>
      <c r="L35" s="53">
        <v>1</v>
      </c>
      <c r="N35" s="53">
        <v>4</v>
      </c>
      <c r="O35" s="53">
        <v>0.6</v>
      </c>
      <c r="P35" s="53">
        <v>0.55000000000000004</v>
      </c>
      <c r="Q35" s="75">
        <f t="shared" ref="Q35:Q36" si="3">IF(OR(O35="",P35=""),"",AVERAGE(O35,P35))</f>
        <v>0.57499999999999996</v>
      </c>
      <c r="R35" s="53">
        <v>14.5</v>
      </c>
      <c r="S35" s="53">
        <v>108</v>
      </c>
      <c r="T35" s="16">
        <f t="shared" si="1"/>
        <v>33</v>
      </c>
      <c r="U35" s="53">
        <v>365</v>
      </c>
      <c r="V35" s="16">
        <f t="shared" si="2"/>
        <v>3011.25</v>
      </c>
      <c r="W35" s="53">
        <v>5</v>
      </c>
      <c r="X35" s="53" t="s">
        <v>46</v>
      </c>
      <c r="Y35" s="53" t="s">
        <v>78</v>
      </c>
      <c r="Z35" s="53" t="s">
        <v>90</v>
      </c>
      <c r="AA35" s="53" t="s">
        <v>55</v>
      </c>
      <c r="AB35" s="53" t="s">
        <v>235</v>
      </c>
    </row>
    <row r="36" spans="1:28" x14ac:dyDescent="0.15">
      <c r="A36" s="53" t="s">
        <v>34</v>
      </c>
      <c r="B36" s="53" t="s">
        <v>231</v>
      </c>
      <c r="C36" s="53">
        <v>2019</v>
      </c>
      <c r="D36" s="176" t="s">
        <v>371</v>
      </c>
      <c r="E36" s="53" t="s">
        <v>384</v>
      </c>
      <c r="F36" s="53" t="s">
        <v>377</v>
      </c>
      <c r="G36" s="53" t="s">
        <v>36</v>
      </c>
      <c r="H36" s="53" t="s">
        <v>164</v>
      </c>
      <c r="I36" s="53" t="s">
        <v>159</v>
      </c>
      <c r="J36" s="53" t="s">
        <v>38</v>
      </c>
      <c r="K36" s="53" t="s">
        <v>161</v>
      </c>
      <c r="L36" s="53">
        <v>2</v>
      </c>
      <c r="N36" s="53">
        <v>4</v>
      </c>
      <c r="O36" s="53">
        <v>0.65</v>
      </c>
      <c r="P36" s="53">
        <v>0.65</v>
      </c>
      <c r="Q36" s="75">
        <f t="shared" si="3"/>
        <v>0.65</v>
      </c>
      <c r="R36" s="53">
        <v>13.5</v>
      </c>
      <c r="S36" s="53">
        <v>106</v>
      </c>
      <c r="T36" s="16">
        <f t="shared" si="1"/>
        <v>33</v>
      </c>
      <c r="U36" s="53">
        <v>365</v>
      </c>
      <c r="V36" s="16">
        <f t="shared" si="2"/>
        <v>3011.25</v>
      </c>
      <c r="W36" s="53">
        <v>5</v>
      </c>
      <c r="X36" s="53" t="s">
        <v>46</v>
      </c>
      <c r="Y36" s="53" t="s">
        <v>78</v>
      </c>
      <c r="Z36" s="53" t="s">
        <v>90</v>
      </c>
      <c r="AA36" s="53" t="s">
        <v>55</v>
      </c>
      <c r="AB36" s="53" t="s">
        <v>235</v>
      </c>
    </row>
    <row r="37" spans="1:28" x14ac:dyDescent="0.15">
      <c r="A37" s="53" t="s">
        <v>34</v>
      </c>
      <c r="B37" s="53" t="s">
        <v>231</v>
      </c>
      <c r="C37" s="53">
        <v>2019</v>
      </c>
      <c r="D37" s="176" t="s">
        <v>371</v>
      </c>
      <c r="E37" s="53" t="s">
        <v>384</v>
      </c>
      <c r="F37" s="53" t="s">
        <v>377</v>
      </c>
      <c r="G37" s="53" t="s">
        <v>36</v>
      </c>
      <c r="H37" s="53" t="s">
        <v>164</v>
      </c>
      <c r="I37" s="53" t="s">
        <v>159</v>
      </c>
      <c r="J37" s="53" t="s">
        <v>38</v>
      </c>
      <c r="K37" s="53" t="s">
        <v>161</v>
      </c>
      <c r="L37" s="53">
        <v>3</v>
      </c>
      <c r="N37" s="53">
        <v>4</v>
      </c>
      <c r="O37" s="53">
        <v>0.7</v>
      </c>
      <c r="P37" s="53">
        <v>0.6</v>
      </c>
      <c r="Q37" s="75">
        <f>IF(OR(O37="",P37=""),"",AVERAGE(O37,P37))</f>
        <v>0.64999999999999991</v>
      </c>
      <c r="R37" s="53">
        <v>14.4</v>
      </c>
      <c r="S37" s="53">
        <v>95</v>
      </c>
      <c r="T37" s="16">
        <f t="shared" si="1"/>
        <v>36</v>
      </c>
      <c r="U37" s="53">
        <v>365</v>
      </c>
      <c r="V37" s="16">
        <f t="shared" si="2"/>
        <v>3285</v>
      </c>
      <c r="W37" s="53">
        <v>5</v>
      </c>
      <c r="X37" s="53" t="s">
        <v>46</v>
      </c>
      <c r="Y37" s="53" t="s">
        <v>78</v>
      </c>
      <c r="Z37" s="53" t="s">
        <v>90</v>
      </c>
      <c r="AA37" s="53" t="s">
        <v>55</v>
      </c>
      <c r="AB37" s="53" t="s">
        <v>235</v>
      </c>
    </row>
    <row r="38" spans="1:28" x14ac:dyDescent="0.15">
      <c r="A38" s="53" t="s">
        <v>34</v>
      </c>
      <c r="B38" s="53" t="s">
        <v>231</v>
      </c>
      <c r="C38" s="53">
        <v>2019</v>
      </c>
      <c r="D38" s="176" t="s">
        <v>371</v>
      </c>
      <c r="E38" s="53" t="s">
        <v>384</v>
      </c>
      <c r="F38" s="53" t="s">
        <v>377</v>
      </c>
      <c r="G38" s="53" t="s">
        <v>36</v>
      </c>
      <c r="H38" s="53" t="s">
        <v>164</v>
      </c>
      <c r="I38" s="53" t="s">
        <v>159</v>
      </c>
      <c r="J38" s="53" t="s">
        <v>38</v>
      </c>
      <c r="K38" s="53" t="s">
        <v>161</v>
      </c>
      <c r="L38" s="53">
        <v>1</v>
      </c>
      <c r="N38" s="53">
        <v>8</v>
      </c>
      <c r="O38" s="53">
        <v>0.2</v>
      </c>
      <c r="P38" s="53">
        <v>0.45</v>
      </c>
      <c r="Q38" s="75">
        <f t="shared" ref="Q38:Q39" si="4">IF(OR(O38="",P38=""),"",AVERAGE(O38,P38))</f>
        <v>0.32500000000000001</v>
      </c>
      <c r="R38" s="53">
        <v>17.2</v>
      </c>
      <c r="S38" s="53">
        <v>84</v>
      </c>
      <c r="T38" s="16">
        <f t="shared" si="1"/>
        <v>36</v>
      </c>
      <c r="U38" s="53">
        <v>538</v>
      </c>
      <c r="V38" s="16">
        <f t="shared" si="2"/>
        <v>2421</v>
      </c>
      <c r="W38" s="53">
        <v>5</v>
      </c>
      <c r="X38" s="53" t="s">
        <v>46</v>
      </c>
      <c r="Y38" s="53" t="s">
        <v>78</v>
      </c>
      <c r="Z38" s="53" t="s">
        <v>90</v>
      </c>
      <c r="AA38" s="53" t="s">
        <v>55</v>
      </c>
      <c r="AB38" s="53" t="s">
        <v>235</v>
      </c>
    </row>
    <row r="39" spans="1:28" x14ac:dyDescent="0.15">
      <c r="A39" s="53" t="s">
        <v>34</v>
      </c>
      <c r="B39" s="53" t="s">
        <v>231</v>
      </c>
      <c r="C39" s="53">
        <v>2019</v>
      </c>
      <c r="D39" s="176" t="s">
        <v>371</v>
      </c>
      <c r="E39" s="53" t="s">
        <v>384</v>
      </c>
      <c r="F39" s="53" t="s">
        <v>377</v>
      </c>
      <c r="G39" s="53" t="s">
        <v>36</v>
      </c>
      <c r="H39" s="53" t="s">
        <v>164</v>
      </c>
      <c r="I39" s="53" t="s">
        <v>159</v>
      </c>
      <c r="J39" s="53" t="s">
        <v>38</v>
      </c>
      <c r="K39" s="53" t="s">
        <v>161</v>
      </c>
      <c r="L39" s="53">
        <v>2</v>
      </c>
      <c r="N39" s="53">
        <v>8</v>
      </c>
      <c r="O39" s="53">
        <v>0.6</v>
      </c>
      <c r="P39" s="53">
        <v>0.7</v>
      </c>
      <c r="Q39" s="75">
        <f t="shared" si="4"/>
        <v>0.64999999999999991</v>
      </c>
      <c r="R39" s="53">
        <v>15.9</v>
      </c>
      <c r="S39" s="53">
        <v>89</v>
      </c>
      <c r="T39" s="16">
        <f t="shared" si="1"/>
        <v>36</v>
      </c>
      <c r="U39" s="53">
        <v>538</v>
      </c>
      <c r="V39" s="16">
        <f t="shared" si="2"/>
        <v>2421</v>
      </c>
      <c r="W39" s="53">
        <v>5</v>
      </c>
      <c r="X39" s="53" t="s">
        <v>46</v>
      </c>
      <c r="Y39" s="53" t="s">
        <v>78</v>
      </c>
      <c r="Z39" s="53" t="s">
        <v>90</v>
      </c>
      <c r="AA39" s="53" t="s">
        <v>55</v>
      </c>
      <c r="AB39" s="53" t="s">
        <v>235</v>
      </c>
    </row>
    <row r="40" spans="1:28" x14ac:dyDescent="0.15">
      <c r="A40" s="53" t="s">
        <v>34</v>
      </c>
      <c r="B40" s="53" t="s">
        <v>231</v>
      </c>
      <c r="C40" s="53">
        <v>2019</v>
      </c>
      <c r="D40" s="176" t="s">
        <v>371</v>
      </c>
      <c r="E40" s="53" t="s">
        <v>384</v>
      </c>
      <c r="F40" s="53" t="s">
        <v>377</v>
      </c>
      <c r="G40" s="53" t="s">
        <v>36</v>
      </c>
      <c r="H40" s="53" t="s">
        <v>164</v>
      </c>
      <c r="I40" s="53" t="s">
        <v>159</v>
      </c>
      <c r="J40" s="53" t="s">
        <v>38</v>
      </c>
      <c r="K40" s="53" t="s">
        <v>161</v>
      </c>
      <c r="L40" s="53">
        <v>3</v>
      </c>
      <c r="N40" s="53">
        <v>8</v>
      </c>
      <c r="O40" s="53">
        <v>0.45</v>
      </c>
      <c r="P40" s="53">
        <v>0.45</v>
      </c>
      <c r="Q40" s="75">
        <f>IF(OR(O40="",P40=""),"",AVERAGE(O40,P40))</f>
        <v>0.45</v>
      </c>
      <c r="R40" s="53">
        <v>14.3</v>
      </c>
      <c r="S40" s="53">
        <v>79</v>
      </c>
      <c r="T40" s="16">
        <f t="shared" si="1"/>
        <v>39</v>
      </c>
      <c r="U40" s="53">
        <v>538</v>
      </c>
      <c r="V40" s="16">
        <f t="shared" si="2"/>
        <v>2622.75</v>
      </c>
      <c r="W40" s="53">
        <v>5</v>
      </c>
      <c r="X40" s="53" t="s">
        <v>46</v>
      </c>
      <c r="Y40" s="53" t="s">
        <v>78</v>
      </c>
      <c r="Z40" s="53" t="s">
        <v>90</v>
      </c>
      <c r="AA40" s="53" t="s">
        <v>55</v>
      </c>
      <c r="AB40" s="53" t="s">
        <v>235</v>
      </c>
    </row>
    <row r="41" spans="1:28" x14ac:dyDescent="0.15">
      <c r="A41" s="53" t="s">
        <v>34</v>
      </c>
      <c r="B41" s="53" t="s">
        <v>231</v>
      </c>
      <c r="C41" s="53">
        <v>2019</v>
      </c>
      <c r="D41" s="176" t="s">
        <v>371</v>
      </c>
      <c r="E41" s="53" t="s">
        <v>384</v>
      </c>
      <c r="F41" s="53" t="s">
        <v>377</v>
      </c>
      <c r="G41" s="53" t="s">
        <v>36</v>
      </c>
      <c r="H41" s="53" t="s">
        <v>160</v>
      </c>
      <c r="I41" s="53" t="s">
        <v>159</v>
      </c>
      <c r="J41" s="53" t="s">
        <v>38</v>
      </c>
      <c r="K41" s="53" t="s">
        <v>161</v>
      </c>
      <c r="L41" s="53">
        <v>1</v>
      </c>
      <c r="N41" s="53">
        <v>1</v>
      </c>
      <c r="O41" s="53">
        <v>0.2</v>
      </c>
      <c r="P41" s="53">
        <v>0.2</v>
      </c>
      <c r="Q41" s="75">
        <f t="shared" si="0"/>
        <v>0.2</v>
      </c>
      <c r="R41" s="53">
        <v>16.100000000000001</v>
      </c>
      <c r="S41" s="53">
        <v>118</v>
      </c>
      <c r="T41" s="16">
        <f t="shared" si="1"/>
        <v>30</v>
      </c>
      <c r="U41" s="53">
        <v>149</v>
      </c>
      <c r="V41" s="16">
        <f t="shared" si="2"/>
        <v>4470</v>
      </c>
      <c r="W41" s="53">
        <v>5</v>
      </c>
      <c r="X41" s="53" t="s">
        <v>46</v>
      </c>
      <c r="Y41" s="53" t="s">
        <v>78</v>
      </c>
      <c r="Z41" s="53" t="s">
        <v>90</v>
      </c>
      <c r="AA41" s="53" t="s">
        <v>55</v>
      </c>
      <c r="AB41" s="53" t="s">
        <v>235</v>
      </c>
    </row>
    <row r="42" spans="1:28" x14ac:dyDescent="0.15">
      <c r="A42" s="53" t="s">
        <v>34</v>
      </c>
      <c r="B42" s="53" t="s">
        <v>231</v>
      </c>
      <c r="C42" s="53">
        <v>2019</v>
      </c>
      <c r="D42" s="176" t="s">
        <v>371</v>
      </c>
      <c r="E42" s="53" t="s">
        <v>384</v>
      </c>
      <c r="F42" s="53" t="s">
        <v>377</v>
      </c>
      <c r="G42" s="53" t="s">
        <v>36</v>
      </c>
      <c r="H42" s="53" t="s">
        <v>160</v>
      </c>
      <c r="I42" s="53" t="s">
        <v>159</v>
      </c>
      <c r="J42" s="53" t="s">
        <v>38</v>
      </c>
      <c r="K42" s="53" t="s">
        <v>161</v>
      </c>
      <c r="L42" s="53">
        <v>2</v>
      </c>
      <c r="N42" s="53">
        <v>1</v>
      </c>
      <c r="O42" s="53">
        <v>0.55000000000000004</v>
      </c>
      <c r="P42" s="53">
        <v>0.65</v>
      </c>
      <c r="Q42" s="75">
        <f t="shared" si="0"/>
        <v>0.60000000000000009</v>
      </c>
      <c r="R42" s="53">
        <v>16</v>
      </c>
      <c r="S42" s="53">
        <v>124</v>
      </c>
      <c r="T42" s="16">
        <f t="shared" si="1"/>
        <v>30</v>
      </c>
      <c r="U42" s="53">
        <v>149</v>
      </c>
      <c r="V42" s="16">
        <f t="shared" si="2"/>
        <v>4470</v>
      </c>
      <c r="W42" s="53">
        <v>5</v>
      </c>
      <c r="X42" s="53" t="s">
        <v>46</v>
      </c>
      <c r="Y42" s="53" t="s">
        <v>78</v>
      </c>
      <c r="Z42" s="53" t="s">
        <v>90</v>
      </c>
      <c r="AA42" s="53" t="s">
        <v>55</v>
      </c>
      <c r="AB42" s="53" t="s">
        <v>235</v>
      </c>
    </row>
    <row r="43" spans="1:28" x14ac:dyDescent="0.15">
      <c r="A43" s="53" t="s">
        <v>34</v>
      </c>
      <c r="B43" s="53" t="s">
        <v>231</v>
      </c>
      <c r="C43" s="53">
        <v>2019</v>
      </c>
      <c r="D43" s="176" t="s">
        <v>371</v>
      </c>
      <c r="E43" s="53" t="s">
        <v>384</v>
      </c>
      <c r="F43" s="53" t="s">
        <v>377</v>
      </c>
      <c r="G43" s="53" t="s">
        <v>36</v>
      </c>
      <c r="H43" s="53" t="s">
        <v>160</v>
      </c>
      <c r="I43" s="53" t="s">
        <v>159</v>
      </c>
      <c r="J43" s="53" t="s">
        <v>38</v>
      </c>
      <c r="K43" s="53" t="s">
        <v>161</v>
      </c>
      <c r="L43" s="53">
        <v>3</v>
      </c>
      <c r="N43" s="53">
        <v>1</v>
      </c>
      <c r="O43" s="53">
        <v>0.2</v>
      </c>
      <c r="P43" s="53">
        <v>0.2</v>
      </c>
      <c r="Q43" s="75">
        <f t="shared" si="0"/>
        <v>0.2</v>
      </c>
      <c r="R43" s="53">
        <v>15.1</v>
      </c>
      <c r="S43" s="53">
        <v>122</v>
      </c>
      <c r="T43" s="16">
        <f t="shared" si="1"/>
        <v>30</v>
      </c>
      <c r="U43" s="53">
        <v>149</v>
      </c>
      <c r="V43" s="16">
        <f t="shared" si="2"/>
        <v>4470</v>
      </c>
      <c r="W43" s="53">
        <v>5</v>
      </c>
      <c r="X43" s="53" t="s">
        <v>46</v>
      </c>
      <c r="Y43" s="53" t="s">
        <v>78</v>
      </c>
      <c r="Z43" s="53" t="s">
        <v>90</v>
      </c>
      <c r="AA43" s="53" t="s">
        <v>55</v>
      </c>
      <c r="AB43" s="53" t="s">
        <v>235</v>
      </c>
    </row>
    <row r="44" spans="1:28" x14ac:dyDescent="0.15">
      <c r="A44" s="53" t="s">
        <v>34</v>
      </c>
      <c r="B44" s="53" t="s">
        <v>231</v>
      </c>
      <c r="C44" s="53">
        <v>2019</v>
      </c>
      <c r="D44" s="176" t="s">
        <v>371</v>
      </c>
      <c r="E44" s="53" t="s">
        <v>384</v>
      </c>
      <c r="F44" s="53" t="s">
        <v>377</v>
      </c>
      <c r="G44" s="53" t="s">
        <v>36</v>
      </c>
      <c r="H44" s="53" t="s">
        <v>160</v>
      </c>
      <c r="I44" s="53" t="s">
        <v>159</v>
      </c>
      <c r="J44" s="53" t="s">
        <v>38</v>
      </c>
      <c r="K44" s="53" t="s">
        <v>161</v>
      </c>
      <c r="L44" s="53">
        <v>1</v>
      </c>
      <c r="N44" s="53">
        <v>4</v>
      </c>
      <c r="O44" s="53">
        <v>0.6</v>
      </c>
      <c r="P44" s="53">
        <v>0.7</v>
      </c>
      <c r="Q44" s="75">
        <f t="shared" si="0"/>
        <v>0.64999999999999991</v>
      </c>
      <c r="R44" s="53">
        <v>16.5</v>
      </c>
      <c r="S44" s="53">
        <v>95</v>
      </c>
      <c r="T44" s="16">
        <f t="shared" si="1"/>
        <v>36</v>
      </c>
      <c r="U44" s="53">
        <v>538</v>
      </c>
      <c r="V44" s="16">
        <f t="shared" si="2"/>
        <v>4842</v>
      </c>
      <c r="W44" s="53">
        <v>5</v>
      </c>
      <c r="X44" s="53" t="s">
        <v>46</v>
      </c>
      <c r="Y44" s="53" t="s">
        <v>78</v>
      </c>
      <c r="Z44" s="53" t="s">
        <v>90</v>
      </c>
      <c r="AA44" s="53" t="s">
        <v>55</v>
      </c>
      <c r="AB44" s="53" t="s">
        <v>235</v>
      </c>
    </row>
    <row r="45" spans="1:28" x14ac:dyDescent="0.15">
      <c r="A45" s="53" t="s">
        <v>34</v>
      </c>
      <c r="B45" s="53" t="s">
        <v>231</v>
      </c>
      <c r="C45" s="53">
        <v>2019</v>
      </c>
      <c r="D45" s="176" t="s">
        <v>371</v>
      </c>
      <c r="E45" s="53" t="s">
        <v>384</v>
      </c>
      <c r="F45" s="53" t="s">
        <v>377</v>
      </c>
      <c r="G45" s="53" t="s">
        <v>36</v>
      </c>
      <c r="H45" s="53" t="s">
        <v>160</v>
      </c>
      <c r="I45" s="53" t="s">
        <v>159</v>
      </c>
      <c r="J45" s="53" t="s">
        <v>38</v>
      </c>
      <c r="K45" s="53" t="s">
        <v>161</v>
      </c>
      <c r="L45" s="53">
        <v>2</v>
      </c>
      <c r="N45" s="53">
        <v>4</v>
      </c>
      <c r="O45" s="53">
        <v>0.45</v>
      </c>
      <c r="P45" s="53">
        <v>0.55000000000000004</v>
      </c>
      <c r="Q45" s="75">
        <f t="shared" si="0"/>
        <v>0.5</v>
      </c>
      <c r="R45" s="53">
        <v>16.100000000000001</v>
      </c>
      <c r="S45" s="53">
        <v>100</v>
      </c>
      <c r="T45" s="16">
        <f t="shared" si="1"/>
        <v>33</v>
      </c>
      <c r="U45" s="53">
        <v>538</v>
      </c>
      <c r="V45" s="16">
        <f t="shared" si="2"/>
        <v>4438.5</v>
      </c>
      <c r="W45" s="53">
        <v>5</v>
      </c>
      <c r="X45" s="53" t="s">
        <v>46</v>
      </c>
      <c r="Y45" s="53" t="s">
        <v>78</v>
      </c>
      <c r="Z45" s="53" t="s">
        <v>90</v>
      </c>
      <c r="AA45" s="53" t="s">
        <v>55</v>
      </c>
      <c r="AB45" s="53" t="s">
        <v>235</v>
      </c>
    </row>
    <row r="46" spans="1:28" x14ac:dyDescent="0.15">
      <c r="A46" s="53" t="s">
        <v>34</v>
      </c>
      <c r="B46" s="53" t="s">
        <v>231</v>
      </c>
      <c r="C46" s="53">
        <v>2019</v>
      </c>
      <c r="D46" s="176" t="s">
        <v>371</v>
      </c>
      <c r="E46" s="53" t="s">
        <v>384</v>
      </c>
      <c r="F46" s="53" t="s">
        <v>377</v>
      </c>
      <c r="G46" s="53" t="s">
        <v>36</v>
      </c>
      <c r="H46" s="53" t="s">
        <v>160</v>
      </c>
      <c r="I46" s="53" t="s">
        <v>159</v>
      </c>
      <c r="J46" s="53" t="s">
        <v>38</v>
      </c>
      <c r="K46" s="53" t="s">
        <v>161</v>
      </c>
      <c r="L46" s="53">
        <v>3</v>
      </c>
      <c r="N46" s="53">
        <v>4</v>
      </c>
      <c r="O46" s="53">
        <v>0.5</v>
      </c>
      <c r="P46" s="53">
        <v>0.5</v>
      </c>
      <c r="Q46" s="75">
        <f t="shared" si="0"/>
        <v>0.5</v>
      </c>
      <c r="R46" s="53">
        <v>15.7</v>
      </c>
      <c r="S46" s="53">
        <v>106</v>
      </c>
      <c r="T46" s="16">
        <f t="shared" si="1"/>
        <v>33</v>
      </c>
      <c r="U46" s="53">
        <v>538</v>
      </c>
      <c r="V46" s="16">
        <f t="shared" si="2"/>
        <v>4438.5</v>
      </c>
      <c r="W46" s="53">
        <v>5</v>
      </c>
      <c r="X46" s="53" t="s">
        <v>46</v>
      </c>
      <c r="Y46" s="53" t="s">
        <v>78</v>
      </c>
      <c r="Z46" s="53" t="s">
        <v>90</v>
      </c>
      <c r="AA46" s="53" t="s">
        <v>55</v>
      </c>
      <c r="AB46" s="53" t="s">
        <v>235</v>
      </c>
    </row>
    <row r="47" spans="1:28" x14ac:dyDescent="0.15">
      <c r="A47" s="53" t="s">
        <v>34</v>
      </c>
      <c r="B47" s="53" t="s">
        <v>231</v>
      </c>
      <c r="C47" s="53">
        <v>2019</v>
      </c>
      <c r="D47" s="176" t="s">
        <v>371</v>
      </c>
      <c r="E47" s="53" t="s">
        <v>384</v>
      </c>
      <c r="F47" s="53" t="s">
        <v>377</v>
      </c>
      <c r="G47" s="53" t="s">
        <v>36</v>
      </c>
      <c r="H47" s="53" t="s">
        <v>160</v>
      </c>
      <c r="I47" s="53" t="s">
        <v>159</v>
      </c>
      <c r="J47" s="53" t="s">
        <v>38</v>
      </c>
      <c r="K47" s="53" t="s">
        <v>161</v>
      </c>
      <c r="L47" s="53">
        <v>1</v>
      </c>
      <c r="N47" s="53">
        <v>8</v>
      </c>
      <c r="O47" s="53">
        <v>0.2</v>
      </c>
      <c r="P47" s="53">
        <v>0.45</v>
      </c>
      <c r="Q47" s="75">
        <f t="shared" si="0"/>
        <v>0.32500000000000001</v>
      </c>
      <c r="R47" s="53">
        <v>15.2</v>
      </c>
      <c r="S47" s="53">
        <v>102</v>
      </c>
      <c r="T47" s="16">
        <f t="shared" si="1"/>
        <v>33</v>
      </c>
      <c r="U47" s="53">
        <v>862</v>
      </c>
      <c r="V47" s="16">
        <f t="shared" si="2"/>
        <v>3555.75</v>
      </c>
      <c r="W47" s="53">
        <v>5</v>
      </c>
      <c r="X47" s="53" t="s">
        <v>46</v>
      </c>
      <c r="Y47" s="53" t="s">
        <v>78</v>
      </c>
      <c r="Z47" s="53" t="s">
        <v>90</v>
      </c>
      <c r="AA47" s="53" t="s">
        <v>55</v>
      </c>
      <c r="AB47" s="53" t="s">
        <v>235</v>
      </c>
    </row>
    <row r="48" spans="1:28" x14ac:dyDescent="0.15">
      <c r="A48" s="53" t="s">
        <v>34</v>
      </c>
      <c r="B48" s="53" t="s">
        <v>231</v>
      </c>
      <c r="C48" s="53">
        <v>2019</v>
      </c>
      <c r="D48" s="176" t="s">
        <v>371</v>
      </c>
      <c r="E48" s="53" t="s">
        <v>384</v>
      </c>
      <c r="F48" s="53" t="s">
        <v>377</v>
      </c>
      <c r="G48" s="53" t="s">
        <v>36</v>
      </c>
      <c r="H48" s="53" t="s">
        <v>160</v>
      </c>
      <c r="I48" s="53" t="s">
        <v>159</v>
      </c>
      <c r="J48" s="53" t="s">
        <v>38</v>
      </c>
      <c r="K48" s="53" t="s">
        <v>161</v>
      </c>
      <c r="L48" s="53">
        <v>2</v>
      </c>
      <c r="N48" s="53">
        <v>8</v>
      </c>
      <c r="O48" s="53">
        <v>0.5</v>
      </c>
      <c r="P48" s="53">
        <v>0.65</v>
      </c>
      <c r="Q48" s="75">
        <f t="shared" si="0"/>
        <v>0.57499999999999996</v>
      </c>
      <c r="R48" s="53">
        <v>15.1</v>
      </c>
      <c r="S48" s="53">
        <v>79</v>
      </c>
      <c r="T48" s="16">
        <f t="shared" si="1"/>
        <v>39</v>
      </c>
      <c r="U48" s="53">
        <v>862</v>
      </c>
      <c r="V48" s="16">
        <f t="shared" si="2"/>
        <v>4202.25</v>
      </c>
      <c r="W48" s="53">
        <v>5</v>
      </c>
      <c r="X48" s="53" t="s">
        <v>46</v>
      </c>
      <c r="Y48" s="53" t="s">
        <v>78</v>
      </c>
      <c r="Z48" s="53" t="s">
        <v>90</v>
      </c>
      <c r="AA48" s="53" t="s">
        <v>55</v>
      </c>
      <c r="AB48" s="53" t="s">
        <v>235</v>
      </c>
    </row>
    <row r="49" spans="1:28" x14ac:dyDescent="0.15">
      <c r="A49" s="53" t="s">
        <v>34</v>
      </c>
      <c r="B49" s="53" t="s">
        <v>231</v>
      </c>
      <c r="C49" s="53">
        <v>2019</v>
      </c>
      <c r="D49" s="176" t="s">
        <v>371</v>
      </c>
      <c r="E49" s="53" t="s">
        <v>384</v>
      </c>
      <c r="F49" s="53" t="s">
        <v>377</v>
      </c>
      <c r="G49" s="53" t="s">
        <v>36</v>
      </c>
      <c r="H49" s="53" t="s">
        <v>160</v>
      </c>
      <c r="I49" s="53" t="s">
        <v>159</v>
      </c>
      <c r="J49" s="53" t="s">
        <v>38</v>
      </c>
      <c r="K49" s="53" t="s">
        <v>161</v>
      </c>
      <c r="L49" s="53">
        <v>3</v>
      </c>
      <c r="N49" s="53">
        <v>8</v>
      </c>
      <c r="O49" s="53">
        <v>0.2</v>
      </c>
      <c r="P49" s="53">
        <v>0.45</v>
      </c>
      <c r="Q49" s="75">
        <f t="shared" si="0"/>
        <v>0.32500000000000001</v>
      </c>
      <c r="R49" s="53">
        <v>14.7</v>
      </c>
      <c r="S49" s="53">
        <v>104</v>
      </c>
      <c r="T49" s="16">
        <f t="shared" si="1"/>
        <v>33</v>
      </c>
      <c r="U49" s="53">
        <v>862</v>
      </c>
      <c r="V49" s="16">
        <f t="shared" si="2"/>
        <v>3555.75</v>
      </c>
      <c r="W49" s="53">
        <v>5</v>
      </c>
      <c r="X49" s="53" t="s">
        <v>46</v>
      </c>
      <c r="Y49" s="53" t="s">
        <v>78</v>
      </c>
      <c r="Z49" s="53" t="s">
        <v>90</v>
      </c>
      <c r="AA49" s="53" t="s">
        <v>55</v>
      </c>
      <c r="AB49" s="53" t="s">
        <v>235</v>
      </c>
    </row>
    <row r="50" spans="1:28" x14ac:dyDescent="0.15">
      <c r="A50" s="53" t="s">
        <v>34</v>
      </c>
      <c r="B50" s="53" t="s">
        <v>231</v>
      </c>
      <c r="C50" s="53">
        <v>2019</v>
      </c>
      <c r="D50" s="176" t="s">
        <v>371</v>
      </c>
      <c r="E50" s="53" t="s">
        <v>209</v>
      </c>
      <c r="F50" s="53" t="s">
        <v>388</v>
      </c>
      <c r="G50" s="53" t="s">
        <v>36</v>
      </c>
      <c r="H50" s="53" t="s">
        <v>164</v>
      </c>
      <c r="I50" s="53" t="s">
        <v>159</v>
      </c>
      <c r="J50" s="53" t="s">
        <v>38</v>
      </c>
      <c r="K50" s="53" t="s">
        <v>161</v>
      </c>
      <c r="L50" s="53">
        <v>1</v>
      </c>
      <c r="N50" s="53">
        <v>1</v>
      </c>
      <c r="O50" s="53">
        <v>0.45</v>
      </c>
      <c r="P50" s="53">
        <v>0.55000000000000004</v>
      </c>
      <c r="Q50" s="75">
        <f t="shared" si="0"/>
        <v>0.5</v>
      </c>
      <c r="R50" s="53">
        <v>14.4</v>
      </c>
      <c r="S50" s="53">
        <v>114</v>
      </c>
      <c r="T50" s="16">
        <f t="shared" si="1"/>
        <v>30</v>
      </c>
      <c r="U50" s="53">
        <v>104</v>
      </c>
      <c r="V50" s="16">
        <f t="shared" si="2"/>
        <v>3120</v>
      </c>
      <c r="W50" s="53">
        <v>2</v>
      </c>
      <c r="X50" s="53" t="s">
        <v>46</v>
      </c>
      <c r="Y50" s="53" t="s">
        <v>78</v>
      </c>
      <c r="Z50" s="53" t="s">
        <v>102</v>
      </c>
      <c r="AA50" s="53" t="s">
        <v>90</v>
      </c>
      <c r="AB50" s="53" t="s">
        <v>235</v>
      </c>
    </row>
    <row r="51" spans="1:28" x14ac:dyDescent="0.15">
      <c r="A51" s="53" t="s">
        <v>34</v>
      </c>
      <c r="B51" s="53" t="s">
        <v>231</v>
      </c>
      <c r="C51" s="53">
        <v>2019</v>
      </c>
      <c r="D51" s="176" t="s">
        <v>371</v>
      </c>
      <c r="E51" s="53" t="s">
        <v>209</v>
      </c>
      <c r="F51" s="53" t="s">
        <v>388</v>
      </c>
      <c r="G51" s="53" t="s">
        <v>36</v>
      </c>
      <c r="H51" s="53" t="s">
        <v>164</v>
      </c>
      <c r="I51" s="53" t="s">
        <v>159</v>
      </c>
      <c r="J51" s="53" t="s">
        <v>38</v>
      </c>
      <c r="K51" s="53" t="s">
        <v>161</v>
      </c>
      <c r="L51" s="53">
        <v>2</v>
      </c>
      <c r="N51" s="53">
        <v>1</v>
      </c>
      <c r="O51" s="53">
        <v>0.2</v>
      </c>
      <c r="P51" s="53">
        <v>0.2</v>
      </c>
      <c r="Q51" s="75">
        <f t="shared" si="0"/>
        <v>0.2</v>
      </c>
      <c r="R51" s="53">
        <v>15.2</v>
      </c>
      <c r="S51" s="53">
        <v>128</v>
      </c>
      <c r="T51" s="16">
        <f t="shared" si="1"/>
        <v>30</v>
      </c>
      <c r="U51" s="53">
        <v>104</v>
      </c>
      <c r="V51" s="16">
        <f t="shared" si="2"/>
        <v>3120</v>
      </c>
      <c r="W51" s="53">
        <v>2</v>
      </c>
      <c r="X51" s="53" t="s">
        <v>46</v>
      </c>
      <c r="Y51" s="53" t="s">
        <v>78</v>
      </c>
      <c r="Z51" s="53" t="s">
        <v>102</v>
      </c>
      <c r="AA51" s="53" t="s">
        <v>90</v>
      </c>
      <c r="AB51" s="53" t="s">
        <v>235</v>
      </c>
    </row>
    <row r="52" spans="1:28" x14ac:dyDescent="0.15">
      <c r="A52" s="53" t="s">
        <v>34</v>
      </c>
      <c r="B52" s="53" t="s">
        <v>231</v>
      </c>
      <c r="C52" s="53">
        <v>2019</v>
      </c>
      <c r="D52" s="176" t="s">
        <v>371</v>
      </c>
      <c r="E52" s="53" t="s">
        <v>209</v>
      </c>
      <c r="F52" s="53" t="s">
        <v>388</v>
      </c>
      <c r="G52" s="53" t="s">
        <v>36</v>
      </c>
      <c r="H52" s="53" t="s">
        <v>164</v>
      </c>
      <c r="I52" s="53" t="s">
        <v>159</v>
      </c>
      <c r="J52" s="53" t="s">
        <v>38</v>
      </c>
      <c r="K52" s="53" t="s">
        <v>161</v>
      </c>
      <c r="L52" s="53">
        <v>3</v>
      </c>
      <c r="N52" s="53">
        <v>1</v>
      </c>
      <c r="O52" s="53">
        <v>0.2</v>
      </c>
      <c r="P52" s="53">
        <v>0.2</v>
      </c>
      <c r="Q52" s="75">
        <f t="shared" si="0"/>
        <v>0.2</v>
      </c>
      <c r="R52" s="53">
        <v>14.4</v>
      </c>
      <c r="S52" s="53">
        <v>116</v>
      </c>
      <c r="T52" s="16">
        <f t="shared" si="1"/>
        <v>30</v>
      </c>
      <c r="U52" s="53">
        <v>104</v>
      </c>
      <c r="V52" s="16">
        <f t="shared" si="2"/>
        <v>3120</v>
      </c>
      <c r="W52" s="53">
        <v>2</v>
      </c>
      <c r="X52" s="53" t="s">
        <v>46</v>
      </c>
      <c r="Y52" s="53" t="s">
        <v>78</v>
      </c>
      <c r="Z52" s="53" t="s">
        <v>102</v>
      </c>
      <c r="AA52" s="53" t="s">
        <v>90</v>
      </c>
      <c r="AB52" s="53" t="s">
        <v>235</v>
      </c>
    </row>
    <row r="53" spans="1:28" x14ac:dyDescent="0.15">
      <c r="A53" s="53" t="s">
        <v>34</v>
      </c>
      <c r="B53" s="53" t="s">
        <v>231</v>
      </c>
      <c r="C53" s="53">
        <v>2019</v>
      </c>
      <c r="D53" s="176" t="s">
        <v>371</v>
      </c>
      <c r="E53" s="53" t="s">
        <v>209</v>
      </c>
      <c r="F53" s="53" t="s">
        <v>388</v>
      </c>
      <c r="G53" s="53" t="s">
        <v>36</v>
      </c>
      <c r="H53" s="53" t="s">
        <v>164</v>
      </c>
      <c r="I53" s="53" t="s">
        <v>159</v>
      </c>
      <c r="J53" s="53" t="s">
        <v>38</v>
      </c>
      <c r="K53" s="53" t="s">
        <v>161</v>
      </c>
      <c r="L53" s="53">
        <v>1</v>
      </c>
      <c r="N53" s="53">
        <v>4</v>
      </c>
      <c r="O53" s="53">
        <v>0.2</v>
      </c>
      <c r="P53" s="53">
        <v>0.2</v>
      </c>
      <c r="Q53" s="75">
        <f t="shared" si="0"/>
        <v>0.2</v>
      </c>
      <c r="R53" s="53">
        <v>14.6</v>
      </c>
      <c r="S53" s="53">
        <v>97</v>
      </c>
      <c r="T53" s="16">
        <f t="shared" si="1"/>
        <v>36</v>
      </c>
      <c r="U53" s="53">
        <v>407</v>
      </c>
      <c r="V53" s="16">
        <f t="shared" si="2"/>
        <v>3663</v>
      </c>
      <c r="W53" s="53">
        <v>2</v>
      </c>
      <c r="X53" s="53" t="s">
        <v>46</v>
      </c>
      <c r="Y53" s="53" t="s">
        <v>78</v>
      </c>
      <c r="Z53" s="53" t="s">
        <v>102</v>
      </c>
      <c r="AA53" s="53" t="s">
        <v>90</v>
      </c>
      <c r="AB53" s="53" t="s">
        <v>235</v>
      </c>
    </row>
    <row r="54" spans="1:28" x14ac:dyDescent="0.15">
      <c r="A54" s="53" t="s">
        <v>34</v>
      </c>
      <c r="B54" s="53" t="s">
        <v>231</v>
      </c>
      <c r="C54" s="53">
        <v>2019</v>
      </c>
      <c r="D54" s="176" t="s">
        <v>371</v>
      </c>
      <c r="E54" s="53" t="s">
        <v>209</v>
      </c>
      <c r="F54" s="53" t="s">
        <v>388</v>
      </c>
      <c r="G54" s="53" t="s">
        <v>36</v>
      </c>
      <c r="H54" s="53" t="s">
        <v>164</v>
      </c>
      <c r="I54" s="53" t="s">
        <v>159</v>
      </c>
      <c r="J54" s="53" t="s">
        <v>38</v>
      </c>
      <c r="K54" s="53" t="s">
        <v>161</v>
      </c>
      <c r="L54" s="53">
        <v>2</v>
      </c>
      <c r="N54" s="53">
        <v>4</v>
      </c>
      <c r="O54" s="53">
        <v>0.2</v>
      </c>
      <c r="P54" s="53">
        <v>0.2</v>
      </c>
      <c r="Q54" s="75">
        <f t="shared" si="0"/>
        <v>0.2</v>
      </c>
      <c r="R54" s="53">
        <v>14.4</v>
      </c>
      <c r="S54" s="53">
        <v>98</v>
      </c>
      <c r="T54" s="16">
        <f t="shared" si="1"/>
        <v>36</v>
      </c>
      <c r="U54" s="53">
        <v>407</v>
      </c>
      <c r="V54" s="16">
        <f t="shared" si="2"/>
        <v>3663</v>
      </c>
      <c r="W54" s="53">
        <v>2</v>
      </c>
      <c r="X54" s="53" t="s">
        <v>46</v>
      </c>
      <c r="Y54" s="53" t="s">
        <v>78</v>
      </c>
      <c r="Z54" s="53" t="s">
        <v>102</v>
      </c>
      <c r="AA54" s="53" t="s">
        <v>90</v>
      </c>
      <c r="AB54" s="53" t="s">
        <v>235</v>
      </c>
    </row>
    <row r="55" spans="1:28" x14ac:dyDescent="0.15">
      <c r="A55" s="53" t="s">
        <v>34</v>
      </c>
      <c r="B55" s="53" t="s">
        <v>231</v>
      </c>
      <c r="C55" s="53">
        <v>2019</v>
      </c>
      <c r="D55" s="176" t="s">
        <v>371</v>
      </c>
      <c r="E55" s="53" t="s">
        <v>209</v>
      </c>
      <c r="F55" s="53" t="s">
        <v>388</v>
      </c>
      <c r="G55" s="53" t="s">
        <v>36</v>
      </c>
      <c r="H55" s="53" t="s">
        <v>164</v>
      </c>
      <c r="I55" s="53" t="s">
        <v>159</v>
      </c>
      <c r="J55" s="53" t="s">
        <v>38</v>
      </c>
      <c r="K55" s="53" t="s">
        <v>161</v>
      </c>
      <c r="L55" s="53">
        <v>3</v>
      </c>
      <c r="N55" s="53">
        <v>4</v>
      </c>
      <c r="O55" s="53">
        <v>0.2</v>
      </c>
      <c r="P55" s="53">
        <v>0.2</v>
      </c>
      <c r="Q55" s="75">
        <f t="shared" si="0"/>
        <v>0.2</v>
      </c>
      <c r="R55" s="53">
        <v>14.5</v>
      </c>
      <c r="S55" s="53">
        <v>100</v>
      </c>
      <c r="T55" s="16">
        <f t="shared" si="1"/>
        <v>33</v>
      </c>
      <c r="U55" s="53">
        <v>407</v>
      </c>
      <c r="V55" s="16">
        <f t="shared" si="2"/>
        <v>3357.75</v>
      </c>
      <c r="W55" s="53">
        <v>2</v>
      </c>
      <c r="X55" s="53" t="s">
        <v>46</v>
      </c>
      <c r="Y55" s="53" t="s">
        <v>78</v>
      </c>
      <c r="Z55" s="53" t="s">
        <v>102</v>
      </c>
      <c r="AA55" s="53" t="s">
        <v>90</v>
      </c>
      <c r="AB55" s="53" t="s">
        <v>235</v>
      </c>
    </row>
    <row r="56" spans="1:28" x14ac:dyDescent="0.15">
      <c r="A56" s="53" t="s">
        <v>34</v>
      </c>
      <c r="B56" s="53" t="s">
        <v>231</v>
      </c>
      <c r="C56" s="53">
        <v>2019</v>
      </c>
      <c r="D56" s="176" t="s">
        <v>371</v>
      </c>
      <c r="E56" s="53" t="s">
        <v>209</v>
      </c>
      <c r="F56" s="53" t="s">
        <v>388</v>
      </c>
      <c r="G56" s="53" t="s">
        <v>36</v>
      </c>
      <c r="H56" s="53" t="s">
        <v>160</v>
      </c>
      <c r="I56" s="53" t="s">
        <v>159</v>
      </c>
      <c r="J56" s="53" t="s">
        <v>38</v>
      </c>
      <c r="K56" s="53" t="s">
        <v>161</v>
      </c>
      <c r="L56" s="53">
        <v>1</v>
      </c>
      <c r="N56" s="53">
        <v>1</v>
      </c>
      <c r="O56" s="53">
        <v>0.2</v>
      </c>
      <c r="P56" s="53">
        <v>0.2</v>
      </c>
      <c r="Q56" s="75">
        <f t="shared" si="0"/>
        <v>0.2</v>
      </c>
      <c r="R56" s="53">
        <v>14.8</v>
      </c>
      <c r="S56" s="53">
        <v>142</v>
      </c>
      <c r="T56" s="16">
        <f t="shared" si="1"/>
        <v>30</v>
      </c>
      <c r="U56" s="53">
        <v>104</v>
      </c>
      <c r="V56" s="16">
        <f t="shared" si="2"/>
        <v>3120</v>
      </c>
      <c r="W56" s="53">
        <v>2</v>
      </c>
      <c r="X56" s="53" t="s">
        <v>46</v>
      </c>
      <c r="Y56" s="53" t="s">
        <v>78</v>
      </c>
      <c r="Z56" s="53" t="s">
        <v>102</v>
      </c>
      <c r="AA56" s="53" t="s">
        <v>90</v>
      </c>
      <c r="AB56" s="53" t="s">
        <v>235</v>
      </c>
    </row>
    <row r="57" spans="1:28" x14ac:dyDescent="0.15">
      <c r="A57" s="53" t="s">
        <v>34</v>
      </c>
      <c r="B57" s="53" t="s">
        <v>231</v>
      </c>
      <c r="C57" s="53">
        <v>2019</v>
      </c>
      <c r="D57" s="176" t="s">
        <v>371</v>
      </c>
      <c r="E57" s="53" t="s">
        <v>209</v>
      </c>
      <c r="F57" s="53" t="s">
        <v>388</v>
      </c>
      <c r="G57" s="53" t="s">
        <v>36</v>
      </c>
      <c r="H57" s="53" t="s">
        <v>160</v>
      </c>
      <c r="I57" s="53" t="s">
        <v>159</v>
      </c>
      <c r="J57" s="53" t="s">
        <v>38</v>
      </c>
      <c r="K57" s="53" t="s">
        <v>161</v>
      </c>
      <c r="L57" s="53">
        <v>2</v>
      </c>
      <c r="N57" s="53">
        <v>1</v>
      </c>
      <c r="O57" s="53">
        <v>0.45</v>
      </c>
      <c r="P57" s="53">
        <v>0.45</v>
      </c>
      <c r="Q57" s="75">
        <f t="shared" si="0"/>
        <v>0.45</v>
      </c>
      <c r="R57" s="53">
        <v>15</v>
      </c>
      <c r="S57" s="53">
        <v>140</v>
      </c>
      <c r="T57" s="16">
        <f t="shared" si="1"/>
        <v>30</v>
      </c>
      <c r="U57" s="53">
        <v>104</v>
      </c>
      <c r="V57" s="16">
        <f t="shared" si="2"/>
        <v>3120</v>
      </c>
      <c r="W57" s="53">
        <v>2</v>
      </c>
      <c r="X57" s="53" t="s">
        <v>46</v>
      </c>
      <c r="Y57" s="53" t="s">
        <v>78</v>
      </c>
      <c r="Z57" s="53" t="s">
        <v>102</v>
      </c>
      <c r="AA57" s="53" t="s">
        <v>90</v>
      </c>
      <c r="AB57" s="53" t="s">
        <v>235</v>
      </c>
    </row>
    <row r="58" spans="1:28" x14ac:dyDescent="0.15">
      <c r="A58" s="53" t="s">
        <v>34</v>
      </c>
      <c r="B58" s="53" t="s">
        <v>231</v>
      </c>
      <c r="C58" s="53">
        <v>2019</v>
      </c>
      <c r="D58" s="176" t="s">
        <v>371</v>
      </c>
      <c r="E58" s="53" t="s">
        <v>209</v>
      </c>
      <c r="F58" s="53" t="s">
        <v>388</v>
      </c>
      <c r="G58" s="53" t="s">
        <v>36</v>
      </c>
      <c r="H58" s="53" t="s">
        <v>160</v>
      </c>
      <c r="I58" s="53" t="s">
        <v>159</v>
      </c>
      <c r="J58" s="53" t="s">
        <v>38</v>
      </c>
      <c r="K58" s="53" t="s">
        <v>161</v>
      </c>
      <c r="L58" s="53">
        <v>3</v>
      </c>
      <c r="N58" s="53">
        <v>1</v>
      </c>
      <c r="O58" s="53">
        <v>0.2</v>
      </c>
      <c r="P58" s="53">
        <v>0.2</v>
      </c>
      <c r="Q58" s="75">
        <f t="shared" si="0"/>
        <v>0.2</v>
      </c>
      <c r="R58" s="53">
        <v>15.8</v>
      </c>
      <c r="S58" s="53">
        <v>148</v>
      </c>
      <c r="T58" s="16">
        <f t="shared" si="1"/>
        <v>30</v>
      </c>
      <c r="U58" s="53">
        <v>104</v>
      </c>
      <c r="V58" s="16">
        <f t="shared" si="2"/>
        <v>3120</v>
      </c>
      <c r="W58" s="53">
        <v>2</v>
      </c>
      <c r="X58" s="53" t="s">
        <v>46</v>
      </c>
      <c r="Y58" s="53" t="s">
        <v>78</v>
      </c>
      <c r="Z58" s="53" t="s">
        <v>102</v>
      </c>
      <c r="AA58" s="53" t="s">
        <v>90</v>
      </c>
      <c r="AB58" s="53" t="s">
        <v>235</v>
      </c>
    </row>
    <row r="59" spans="1:28" x14ac:dyDescent="0.15">
      <c r="A59" s="53" t="s">
        <v>34</v>
      </c>
      <c r="B59" s="53" t="s">
        <v>231</v>
      </c>
      <c r="C59" s="53">
        <v>2019</v>
      </c>
      <c r="D59" s="176" t="s">
        <v>371</v>
      </c>
      <c r="E59" s="53" t="s">
        <v>209</v>
      </c>
      <c r="F59" s="53" t="s">
        <v>388</v>
      </c>
      <c r="G59" s="53" t="s">
        <v>36</v>
      </c>
      <c r="H59" s="53" t="s">
        <v>160</v>
      </c>
      <c r="I59" s="53" t="s">
        <v>159</v>
      </c>
      <c r="J59" s="53" t="s">
        <v>38</v>
      </c>
      <c r="K59" s="53" t="s">
        <v>161</v>
      </c>
      <c r="L59" s="53">
        <v>1</v>
      </c>
      <c r="N59" s="53">
        <v>4</v>
      </c>
      <c r="O59" s="53">
        <v>0.45</v>
      </c>
      <c r="P59" s="53">
        <v>0.2</v>
      </c>
      <c r="Q59" s="75">
        <f t="shared" si="0"/>
        <v>0.32500000000000001</v>
      </c>
      <c r="R59" s="53">
        <v>14.8</v>
      </c>
      <c r="S59" s="53">
        <v>112</v>
      </c>
      <c r="T59" s="16">
        <f t="shared" si="1"/>
        <v>33</v>
      </c>
      <c r="U59" s="53">
        <v>407</v>
      </c>
      <c r="V59" s="16">
        <f t="shared" si="2"/>
        <v>3357.75</v>
      </c>
      <c r="W59" s="53">
        <v>2</v>
      </c>
      <c r="X59" s="53" t="s">
        <v>46</v>
      </c>
      <c r="Y59" s="53" t="s">
        <v>78</v>
      </c>
      <c r="Z59" s="53" t="s">
        <v>102</v>
      </c>
      <c r="AA59" s="53" t="s">
        <v>90</v>
      </c>
      <c r="AB59" s="53" t="s">
        <v>235</v>
      </c>
    </row>
    <row r="60" spans="1:28" x14ac:dyDescent="0.15">
      <c r="A60" s="53" t="s">
        <v>34</v>
      </c>
      <c r="B60" s="53" t="s">
        <v>231</v>
      </c>
      <c r="C60" s="53">
        <v>2019</v>
      </c>
      <c r="D60" s="176" t="s">
        <v>371</v>
      </c>
      <c r="E60" s="53" t="s">
        <v>209</v>
      </c>
      <c r="F60" s="53" t="s">
        <v>388</v>
      </c>
      <c r="G60" s="53" t="s">
        <v>36</v>
      </c>
      <c r="H60" s="53" t="s">
        <v>160</v>
      </c>
      <c r="I60" s="53" t="s">
        <v>159</v>
      </c>
      <c r="J60" s="53" t="s">
        <v>38</v>
      </c>
      <c r="K60" s="53" t="s">
        <v>161</v>
      </c>
      <c r="L60" s="53">
        <v>2</v>
      </c>
      <c r="N60" s="53">
        <v>4</v>
      </c>
      <c r="O60" s="53">
        <v>0.2</v>
      </c>
      <c r="P60" s="53">
        <v>0.2</v>
      </c>
      <c r="Q60" s="75">
        <f t="shared" si="0"/>
        <v>0.2</v>
      </c>
      <c r="R60" s="53">
        <v>15.3</v>
      </c>
      <c r="S60" s="53">
        <v>112</v>
      </c>
      <c r="T60" s="16">
        <f t="shared" si="1"/>
        <v>33</v>
      </c>
      <c r="U60" s="53">
        <v>407</v>
      </c>
      <c r="V60" s="16">
        <f t="shared" si="2"/>
        <v>3357.75</v>
      </c>
      <c r="W60" s="53">
        <v>2</v>
      </c>
      <c r="X60" s="53" t="s">
        <v>46</v>
      </c>
      <c r="Y60" s="53" t="s">
        <v>78</v>
      </c>
      <c r="Z60" s="53" t="s">
        <v>102</v>
      </c>
      <c r="AA60" s="53" t="s">
        <v>90</v>
      </c>
      <c r="AB60" s="53" t="s">
        <v>235</v>
      </c>
    </row>
    <row r="61" spans="1:28" x14ac:dyDescent="0.15">
      <c r="A61" s="53" t="s">
        <v>34</v>
      </c>
      <c r="B61" s="53" t="s">
        <v>231</v>
      </c>
      <c r="C61" s="53">
        <v>2019</v>
      </c>
      <c r="D61" s="176" t="s">
        <v>371</v>
      </c>
      <c r="E61" s="53" t="s">
        <v>209</v>
      </c>
      <c r="F61" s="53" t="s">
        <v>388</v>
      </c>
      <c r="G61" s="53" t="s">
        <v>36</v>
      </c>
      <c r="H61" s="53" t="s">
        <v>160</v>
      </c>
      <c r="I61" s="53" t="s">
        <v>159</v>
      </c>
      <c r="J61" s="53" t="s">
        <v>38</v>
      </c>
      <c r="K61" s="53" t="s">
        <v>161</v>
      </c>
      <c r="L61" s="53">
        <v>3</v>
      </c>
      <c r="N61" s="53">
        <v>4</v>
      </c>
      <c r="O61" s="53">
        <v>0.2</v>
      </c>
      <c r="P61" s="53">
        <v>0.2</v>
      </c>
      <c r="Q61" s="75">
        <f t="shared" si="0"/>
        <v>0.2</v>
      </c>
      <c r="R61" s="53">
        <v>15.4</v>
      </c>
      <c r="S61" s="53">
        <v>106</v>
      </c>
      <c r="T61" s="16">
        <f t="shared" si="1"/>
        <v>33</v>
      </c>
      <c r="U61" s="53">
        <v>407</v>
      </c>
      <c r="V61" s="16">
        <f t="shared" si="2"/>
        <v>3357.75</v>
      </c>
      <c r="W61" s="53">
        <v>2</v>
      </c>
      <c r="X61" s="53" t="s">
        <v>46</v>
      </c>
      <c r="Y61" s="53" t="s">
        <v>78</v>
      </c>
      <c r="Z61" s="53" t="s">
        <v>102</v>
      </c>
      <c r="AA61" s="53" t="s">
        <v>90</v>
      </c>
      <c r="AB61" s="53" t="s">
        <v>235</v>
      </c>
    </row>
    <row r="62" spans="1:28" x14ac:dyDescent="0.15">
      <c r="A62" s="53" t="s">
        <v>34</v>
      </c>
      <c r="B62" s="53" t="s">
        <v>231</v>
      </c>
      <c r="C62" s="53">
        <v>2019</v>
      </c>
      <c r="D62" s="176" t="s">
        <v>371</v>
      </c>
      <c r="E62" s="53" t="s">
        <v>374</v>
      </c>
      <c r="F62" s="53" t="s">
        <v>375</v>
      </c>
      <c r="G62" s="53" t="s">
        <v>36</v>
      </c>
      <c r="H62" s="53" t="s">
        <v>164</v>
      </c>
      <c r="I62" s="53" t="s">
        <v>159</v>
      </c>
      <c r="J62" s="53" t="s">
        <v>38</v>
      </c>
      <c r="K62" s="53" t="s">
        <v>161</v>
      </c>
      <c r="L62" s="53">
        <v>1</v>
      </c>
      <c r="N62" s="53">
        <v>1</v>
      </c>
      <c r="O62" s="53">
        <v>0.5</v>
      </c>
      <c r="P62" s="53">
        <v>0.2</v>
      </c>
      <c r="Q62" s="75">
        <f t="shared" si="0"/>
        <v>0.35</v>
      </c>
      <c r="R62" s="53">
        <v>14.4</v>
      </c>
      <c r="S62" s="53">
        <v>128</v>
      </c>
      <c r="T62" s="16">
        <f t="shared" si="1"/>
        <v>30</v>
      </c>
      <c r="U62" s="53">
        <v>108</v>
      </c>
      <c r="V62" s="16">
        <f t="shared" si="2"/>
        <v>3240</v>
      </c>
      <c r="W62" s="53">
        <v>1</v>
      </c>
      <c r="X62" s="53" t="s">
        <v>46</v>
      </c>
      <c r="Y62" s="53" t="s">
        <v>88</v>
      </c>
      <c r="Z62" s="53" t="s">
        <v>102</v>
      </c>
      <c r="AA62" s="53" t="s">
        <v>78</v>
      </c>
      <c r="AB62" s="53" t="s">
        <v>235</v>
      </c>
    </row>
    <row r="63" spans="1:28" x14ac:dyDescent="0.15">
      <c r="A63" s="53" t="s">
        <v>34</v>
      </c>
      <c r="B63" s="53" t="s">
        <v>231</v>
      </c>
      <c r="C63" s="53">
        <v>2019</v>
      </c>
      <c r="D63" s="176" t="s">
        <v>371</v>
      </c>
      <c r="E63" s="53" t="s">
        <v>374</v>
      </c>
      <c r="F63" s="53" t="s">
        <v>375</v>
      </c>
      <c r="G63" s="53" t="s">
        <v>36</v>
      </c>
      <c r="H63" s="53" t="s">
        <v>164</v>
      </c>
      <c r="I63" s="53" t="s">
        <v>159</v>
      </c>
      <c r="J63" s="53" t="s">
        <v>38</v>
      </c>
      <c r="K63" s="53" t="s">
        <v>161</v>
      </c>
      <c r="L63" s="53">
        <v>2</v>
      </c>
      <c r="N63" s="53">
        <v>1</v>
      </c>
      <c r="O63" s="53">
        <v>0.6</v>
      </c>
      <c r="P63" s="53">
        <v>0.5</v>
      </c>
      <c r="Q63" s="75">
        <f t="shared" si="0"/>
        <v>0.55000000000000004</v>
      </c>
      <c r="R63" s="53">
        <v>15.6</v>
      </c>
      <c r="S63" s="53">
        <v>134</v>
      </c>
      <c r="T63" s="16">
        <f t="shared" si="1"/>
        <v>30</v>
      </c>
      <c r="U63" s="53">
        <v>108</v>
      </c>
      <c r="V63" s="16">
        <f t="shared" si="2"/>
        <v>3240</v>
      </c>
      <c r="W63" s="53">
        <v>1</v>
      </c>
      <c r="X63" s="53" t="s">
        <v>46</v>
      </c>
      <c r="Y63" s="53" t="s">
        <v>88</v>
      </c>
      <c r="Z63" s="53" t="s">
        <v>102</v>
      </c>
      <c r="AA63" s="53" t="s">
        <v>78</v>
      </c>
      <c r="AB63" s="53" t="s">
        <v>235</v>
      </c>
    </row>
    <row r="64" spans="1:28" x14ac:dyDescent="0.15">
      <c r="A64" s="53" t="s">
        <v>34</v>
      </c>
      <c r="B64" s="53" t="s">
        <v>231</v>
      </c>
      <c r="C64" s="53">
        <v>2019</v>
      </c>
      <c r="D64" s="176" t="s">
        <v>371</v>
      </c>
      <c r="E64" s="53" t="s">
        <v>374</v>
      </c>
      <c r="F64" s="53" t="s">
        <v>375</v>
      </c>
      <c r="G64" s="53" t="s">
        <v>36</v>
      </c>
      <c r="H64" s="53" t="s">
        <v>164</v>
      </c>
      <c r="I64" s="53" t="s">
        <v>159</v>
      </c>
      <c r="J64" s="53" t="s">
        <v>38</v>
      </c>
      <c r="K64" s="53" t="s">
        <v>161</v>
      </c>
      <c r="L64" s="53">
        <v>3</v>
      </c>
      <c r="N64" s="53">
        <v>1</v>
      </c>
      <c r="O64" s="53">
        <v>0.5</v>
      </c>
      <c r="P64" s="53">
        <v>0.55000000000000004</v>
      </c>
      <c r="Q64" s="75">
        <f t="shared" si="0"/>
        <v>0.52500000000000002</v>
      </c>
      <c r="R64" s="53">
        <v>14.8</v>
      </c>
      <c r="S64" s="53">
        <v>132</v>
      </c>
      <c r="T64" s="16">
        <f t="shared" si="1"/>
        <v>30</v>
      </c>
      <c r="U64" s="53">
        <v>108</v>
      </c>
      <c r="V64" s="16">
        <f t="shared" si="2"/>
        <v>3240</v>
      </c>
      <c r="W64" s="53">
        <v>1</v>
      </c>
      <c r="X64" s="53" t="s">
        <v>46</v>
      </c>
      <c r="Y64" s="53" t="s">
        <v>88</v>
      </c>
      <c r="Z64" s="53" t="s">
        <v>102</v>
      </c>
      <c r="AA64" s="53" t="s">
        <v>78</v>
      </c>
      <c r="AB64" s="53" t="s">
        <v>235</v>
      </c>
    </row>
    <row r="65" spans="1:28" x14ac:dyDescent="0.15">
      <c r="A65" s="53" t="s">
        <v>34</v>
      </c>
      <c r="B65" s="53" t="s">
        <v>231</v>
      </c>
      <c r="C65" s="53">
        <v>2019</v>
      </c>
      <c r="D65" s="176" t="s">
        <v>371</v>
      </c>
      <c r="E65" s="53" t="s">
        <v>374</v>
      </c>
      <c r="F65" s="53" t="s">
        <v>375</v>
      </c>
      <c r="G65" s="53" t="s">
        <v>36</v>
      </c>
      <c r="H65" s="53" t="s">
        <v>164</v>
      </c>
      <c r="I65" s="53" t="s">
        <v>159</v>
      </c>
      <c r="J65" s="53" t="s">
        <v>38</v>
      </c>
      <c r="K65" s="53" t="s">
        <v>161</v>
      </c>
      <c r="L65" s="53">
        <v>1</v>
      </c>
      <c r="N65" s="53">
        <v>4</v>
      </c>
      <c r="O65" s="53">
        <v>0.45</v>
      </c>
      <c r="P65" s="53">
        <v>0.2</v>
      </c>
      <c r="Q65" s="75">
        <f t="shared" si="0"/>
        <v>0.32500000000000001</v>
      </c>
      <c r="R65" s="53">
        <v>14.3</v>
      </c>
      <c r="S65" s="53">
        <v>102</v>
      </c>
      <c r="T65" s="16">
        <f t="shared" si="1"/>
        <v>33</v>
      </c>
      <c r="U65" s="53">
        <v>321</v>
      </c>
      <c r="V65" s="16">
        <f t="shared" si="2"/>
        <v>2648.25</v>
      </c>
      <c r="W65" s="53">
        <v>1</v>
      </c>
      <c r="X65" s="53" t="s">
        <v>39</v>
      </c>
      <c r="Y65" s="53" t="s">
        <v>88</v>
      </c>
      <c r="Z65" s="53" t="s">
        <v>102</v>
      </c>
      <c r="AA65" s="53" t="s">
        <v>78</v>
      </c>
      <c r="AB65" s="53" t="s">
        <v>235</v>
      </c>
    </row>
    <row r="66" spans="1:28" x14ac:dyDescent="0.15">
      <c r="A66" s="53" t="s">
        <v>34</v>
      </c>
      <c r="B66" s="53" t="s">
        <v>231</v>
      </c>
      <c r="C66" s="53">
        <v>2019</v>
      </c>
      <c r="D66" s="176" t="s">
        <v>371</v>
      </c>
      <c r="E66" s="53" t="s">
        <v>374</v>
      </c>
      <c r="F66" s="53" t="s">
        <v>375</v>
      </c>
      <c r="G66" s="53" t="s">
        <v>36</v>
      </c>
      <c r="H66" s="53" t="s">
        <v>164</v>
      </c>
      <c r="I66" s="53" t="s">
        <v>159</v>
      </c>
      <c r="J66" s="53" t="s">
        <v>38</v>
      </c>
      <c r="K66" s="53" t="s">
        <v>161</v>
      </c>
      <c r="L66" s="53">
        <v>2</v>
      </c>
      <c r="N66" s="53">
        <v>4</v>
      </c>
      <c r="O66" s="53">
        <v>0.55000000000000004</v>
      </c>
      <c r="P66" s="53">
        <v>0.45</v>
      </c>
      <c r="Q66" s="75">
        <f t="shared" si="0"/>
        <v>0.5</v>
      </c>
      <c r="R66" s="53">
        <v>14</v>
      </c>
      <c r="S66" s="53">
        <v>90</v>
      </c>
      <c r="T66" s="16">
        <f t="shared" si="1"/>
        <v>36</v>
      </c>
      <c r="U66" s="53">
        <v>321</v>
      </c>
      <c r="V66" s="16">
        <f t="shared" si="2"/>
        <v>2889</v>
      </c>
      <c r="W66" s="53">
        <v>1</v>
      </c>
      <c r="X66" s="53" t="s">
        <v>39</v>
      </c>
      <c r="Y66" s="53" t="s">
        <v>88</v>
      </c>
      <c r="Z66" s="53" t="s">
        <v>102</v>
      </c>
      <c r="AA66" s="53" t="s">
        <v>78</v>
      </c>
      <c r="AB66" s="53" t="s">
        <v>235</v>
      </c>
    </row>
    <row r="67" spans="1:28" x14ac:dyDescent="0.15">
      <c r="A67" s="53" t="s">
        <v>34</v>
      </c>
      <c r="B67" s="53" t="s">
        <v>231</v>
      </c>
      <c r="C67" s="53">
        <v>2019</v>
      </c>
      <c r="D67" s="176" t="s">
        <v>371</v>
      </c>
      <c r="E67" s="53" t="s">
        <v>374</v>
      </c>
      <c r="F67" s="53" t="s">
        <v>375</v>
      </c>
      <c r="G67" s="53" t="s">
        <v>36</v>
      </c>
      <c r="H67" s="53" t="s">
        <v>164</v>
      </c>
      <c r="I67" s="53" t="s">
        <v>159</v>
      </c>
      <c r="J67" s="53" t="s">
        <v>38</v>
      </c>
      <c r="K67" s="53" t="s">
        <v>161</v>
      </c>
      <c r="L67" s="53">
        <v>3</v>
      </c>
      <c r="N67" s="53">
        <v>4</v>
      </c>
      <c r="O67" s="53">
        <v>0.8</v>
      </c>
      <c r="P67" s="53">
        <v>0.8</v>
      </c>
      <c r="Q67" s="75">
        <f t="shared" si="0"/>
        <v>0.8</v>
      </c>
      <c r="R67" s="53">
        <v>10.199999999999999</v>
      </c>
      <c r="S67" s="53">
        <v>95</v>
      </c>
      <c r="T67" s="16">
        <f t="shared" si="1"/>
        <v>36</v>
      </c>
      <c r="U67" s="53">
        <v>321</v>
      </c>
      <c r="V67" s="16">
        <f t="shared" si="2"/>
        <v>2889</v>
      </c>
      <c r="W67" s="53">
        <v>1</v>
      </c>
      <c r="X67" s="53" t="s">
        <v>39</v>
      </c>
      <c r="Y67" s="53" t="s">
        <v>88</v>
      </c>
      <c r="Z67" s="53" t="s">
        <v>102</v>
      </c>
      <c r="AA67" s="53" t="s">
        <v>78</v>
      </c>
      <c r="AB67" s="53" t="s">
        <v>235</v>
      </c>
    </row>
    <row r="68" spans="1:28" x14ac:dyDescent="0.15">
      <c r="A68" s="53" t="s">
        <v>34</v>
      </c>
      <c r="B68" s="53" t="s">
        <v>231</v>
      </c>
      <c r="C68" s="53">
        <v>2019</v>
      </c>
      <c r="D68" s="176" t="s">
        <v>371</v>
      </c>
      <c r="E68" s="53" t="s">
        <v>374</v>
      </c>
      <c r="F68" s="53" t="s">
        <v>375</v>
      </c>
      <c r="G68" s="53" t="s">
        <v>36</v>
      </c>
      <c r="H68" s="53" t="s">
        <v>160</v>
      </c>
      <c r="I68" s="53" t="s">
        <v>159</v>
      </c>
      <c r="J68" s="53" t="s">
        <v>38</v>
      </c>
      <c r="K68" s="53" t="s">
        <v>161</v>
      </c>
      <c r="L68" s="53">
        <v>1</v>
      </c>
      <c r="N68" s="53">
        <v>1</v>
      </c>
      <c r="O68" s="53">
        <v>0.55000000000000004</v>
      </c>
      <c r="P68" s="53">
        <v>0.5</v>
      </c>
      <c r="Q68" s="75">
        <f t="shared" si="0"/>
        <v>0.52500000000000002</v>
      </c>
      <c r="R68" s="53">
        <v>14.6</v>
      </c>
      <c r="S68" s="53">
        <v>118</v>
      </c>
      <c r="T68" s="16">
        <f t="shared" si="1"/>
        <v>30</v>
      </c>
      <c r="U68" s="53">
        <v>108</v>
      </c>
      <c r="V68" s="16">
        <f t="shared" si="2"/>
        <v>3240</v>
      </c>
      <c r="W68" s="53">
        <v>2</v>
      </c>
      <c r="X68" s="53" t="s">
        <v>46</v>
      </c>
      <c r="Y68" s="53" t="s">
        <v>88</v>
      </c>
      <c r="Z68" s="53" t="s">
        <v>102</v>
      </c>
      <c r="AA68" s="53" t="s">
        <v>78</v>
      </c>
      <c r="AB68" s="53" t="s">
        <v>235</v>
      </c>
    </row>
    <row r="69" spans="1:28" x14ac:dyDescent="0.15">
      <c r="A69" s="53" t="s">
        <v>34</v>
      </c>
      <c r="B69" s="53" t="s">
        <v>231</v>
      </c>
      <c r="C69" s="53">
        <v>2019</v>
      </c>
      <c r="D69" s="176" t="s">
        <v>371</v>
      </c>
      <c r="E69" s="53" t="s">
        <v>374</v>
      </c>
      <c r="F69" s="53" t="s">
        <v>375</v>
      </c>
      <c r="G69" s="53" t="s">
        <v>36</v>
      </c>
      <c r="H69" s="53" t="s">
        <v>160</v>
      </c>
      <c r="I69" s="53" t="s">
        <v>159</v>
      </c>
      <c r="J69" s="53" t="s">
        <v>38</v>
      </c>
      <c r="K69" s="53" t="s">
        <v>161</v>
      </c>
      <c r="L69" s="53">
        <v>2</v>
      </c>
      <c r="N69" s="53">
        <v>1</v>
      </c>
      <c r="O69" s="53">
        <v>0.55000000000000004</v>
      </c>
      <c r="P69" s="53">
        <v>0.5</v>
      </c>
      <c r="Q69" s="75">
        <f t="shared" si="0"/>
        <v>0.52500000000000002</v>
      </c>
      <c r="R69" s="53">
        <v>16.2</v>
      </c>
      <c r="S69" s="53">
        <v>118</v>
      </c>
      <c r="T69" s="16">
        <f t="shared" si="1"/>
        <v>30</v>
      </c>
      <c r="U69" s="53">
        <v>108</v>
      </c>
      <c r="V69" s="16">
        <f t="shared" si="2"/>
        <v>3240</v>
      </c>
      <c r="W69" s="53">
        <v>2</v>
      </c>
      <c r="X69" s="53" t="s">
        <v>46</v>
      </c>
      <c r="Y69" s="53" t="s">
        <v>88</v>
      </c>
      <c r="Z69" s="53" t="s">
        <v>102</v>
      </c>
      <c r="AA69" s="53" t="s">
        <v>78</v>
      </c>
      <c r="AB69" s="53" t="s">
        <v>235</v>
      </c>
    </row>
    <row r="70" spans="1:28" x14ac:dyDescent="0.15">
      <c r="A70" s="53" t="s">
        <v>34</v>
      </c>
      <c r="B70" s="53" t="s">
        <v>231</v>
      </c>
      <c r="C70" s="53">
        <v>2019</v>
      </c>
      <c r="D70" s="176" t="s">
        <v>371</v>
      </c>
      <c r="E70" s="53" t="s">
        <v>374</v>
      </c>
      <c r="F70" s="53" t="s">
        <v>375</v>
      </c>
      <c r="G70" s="53" t="s">
        <v>36</v>
      </c>
      <c r="H70" s="53" t="s">
        <v>160</v>
      </c>
      <c r="I70" s="53" t="s">
        <v>159</v>
      </c>
      <c r="J70" s="53" t="s">
        <v>38</v>
      </c>
      <c r="K70" s="53" t="s">
        <v>161</v>
      </c>
      <c r="L70" s="53">
        <v>3</v>
      </c>
      <c r="N70" s="53">
        <v>1</v>
      </c>
      <c r="O70" s="53">
        <v>0.5</v>
      </c>
      <c r="P70" s="53">
        <v>0.6</v>
      </c>
      <c r="Q70" s="75">
        <f t="shared" si="0"/>
        <v>0.55000000000000004</v>
      </c>
      <c r="R70" s="53">
        <v>15.2</v>
      </c>
      <c r="S70" s="53">
        <v>116</v>
      </c>
      <c r="T70" s="16">
        <f t="shared" si="1"/>
        <v>30</v>
      </c>
      <c r="U70" s="53">
        <v>108</v>
      </c>
      <c r="V70" s="16">
        <f t="shared" si="2"/>
        <v>3240</v>
      </c>
      <c r="X70" s="53" t="s">
        <v>46</v>
      </c>
      <c r="Y70" s="53" t="s">
        <v>88</v>
      </c>
      <c r="Z70" s="53" t="s">
        <v>102</v>
      </c>
      <c r="AA70" s="53" t="s">
        <v>78</v>
      </c>
      <c r="AB70" s="53" t="s">
        <v>235</v>
      </c>
    </row>
    <row r="71" spans="1:28" x14ac:dyDescent="0.15">
      <c r="A71" s="53" t="s">
        <v>34</v>
      </c>
      <c r="B71" s="53" t="s">
        <v>231</v>
      </c>
      <c r="C71" s="53">
        <v>2019</v>
      </c>
      <c r="D71" s="176" t="s">
        <v>371</v>
      </c>
      <c r="E71" s="53" t="s">
        <v>374</v>
      </c>
      <c r="F71" s="53" t="s">
        <v>375</v>
      </c>
      <c r="G71" s="53" t="s">
        <v>36</v>
      </c>
      <c r="H71" s="53" t="s">
        <v>160</v>
      </c>
      <c r="I71" s="53" t="s">
        <v>159</v>
      </c>
      <c r="J71" s="53" t="s">
        <v>38</v>
      </c>
      <c r="K71" s="53" t="s">
        <v>161</v>
      </c>
      <c r="L71" s="53">
        <v>1</v>
      </c>
      <c r="N71" s="53">
        <v>4</v>
      </c>
      <c r="O71" s="53">
        <v>0.08</v>
      </c>
      <c r="P71" s="53">
        <v>0.5</v>
      </c>
      <c r="Q71" s="75">
        <f t="shared" si="0"/>
        <v>0.28999999999999998</v>
      </c>
      <c r="R71" s="53">
        <v>14.7</v>
      </c>
      <c r="S71" s="53">
        <v>114</v>
      </c>
      <c r="T71" s="16">
        <f t="shared" si="1"/>
        <v>30</v>
      </c>
      <c r="U71" s="53">
        <v>429</v>
      </c>
      <c r="V71" s="16">
        <f t="shared" si="2"/>
        <v>3217.5</v>
      </c>
      <c r="W71" s="53">
        <v>2</v>
      </c>
      <c r="X71" s="53" t="s">
        <v>39</v>
      </c>
      <c r="Y71" s="53" t="s">
        <v>88</v>
      </c>
      <c r="Z71" s="53" t="s">
        <v>102</v>
      </c>
      <c r="AA71" s="53" t="s">
        <v>78</v>
      </c>
      <c r="AB71" s="53" t="s">
        <v>235</v>
      </c>
    </row>
    <row r="72" spans="1:28" x14ac:dyDescent="0.15">
      <c r="A72" s="53" t="s">
        <v>34</v>
      </c>
      <c r="B72" s="53" t="s">
        <v>231</v>
      </c>
      <c r="C72" s="53">
        <v>2019</v>
      </c>
      <c r="D72" s="176" t="s">
        <v>371</v>
      </c>
      <c r="E72" s="53" t="s">
        <v>374</v>
      </c>
      <c r="F72" s="53" t="s">
        <v>375</v>
      </c>
      <c r="G72" s="53" t="s">
        <v>36</v>
      </c>
      <c r="H72" s="53" t="s">
        <v>160</v>
      </c>
      <c r="I72" s="53" t="s">
        <v>159</v>
      </c>
      <c r="J72" s="53" t="s">
        <v>38</v>
      </c>
      <c r="K72" s="53" t="s">
        <v>161</v>
      </c>
      <c r="L72" s="53">
        <v>2</v>
      </c>
      <c r="N72" s="53">
        <v>4</v>
      </c>
      <c r="O72" s="53">
        <v>0.2</v>
      </c>
      <c r="P72" s="53">
        <v>0.55000000000000004</v>
      </c>
      <c r="Q72" s="75">
        <f t="shared" si="0"/>
        <v>0.375</v>
      </c>
      <c r="R72" s="53">
        <v>14.1</v>
      </c>
      <c r="S72" s="53">
        <v>112</v>
      </c>
      <c r="T72" s="16">
        <f t="shared" si="1"/>
        <v>33</v>
      </c>
      <c r="U72" s="53">
        <v>429</v>
      </c>
      <c r="V72" s="16">
        <f t="shared" si="2"/>
        <v>3539.25</v>
      </c>
      <c r="W72" s="53">
        <v>2</v>
      </c>
      <c r="X72" s="53" t="s">
        <v>39</v>
      </c>
      <c r="Y72" s="53" t="s">
        <v>88</v>
      </c>
      <c r="Z72" s="53" t="s">
        <v>102</v>
      </c>
      <c r="AA72" s="53" t="s">
        <v>78</v>
      </c>
      <c r="AB72" s="53" t="s">
        <v>235</v>
      </c>
    </row>
    <row r="73" spans="1:28" x14ac:dyDescent="0.15">
      <c r="A73" s="53" t="s">
        <v>34</v>
      </c>
      <c r="B73" s="53" t="s">
        <v>231</v>
      </c>
      <c r="C73" s="53">
        <v>2019</v>
      </c>
      <c r="D73" s="176" t="s">
        <v>371</v>
      </c>
      <c r="E73" s="53" t="s">
        <v>374</v>
      </c>
      <c r="F73" s="53" t="s">
        <v>375</v>
      </c>
      <c r="G73" s="53" t="s">
        <v>36</v>
      </c>
      <c r="H73" s="53" t="s">
        <v>160</v>
      </c>
      <c r="I73" s="53" t="s">
        <v>159</v>
      </c>
      <c r="J73" s="53" t="s">
        <v>38</v>
      </c>
      <c r="K73" s="53" t="s">
        <v>161</v>
      </c>
      <c r="L73" s="53">
        <v>3</v>
      </c>
      <c r="N73" s="53">
        <v>4</v>
      </c>
      <c r="O73" s="53">
        <v>0.45</v>
      </c>
      <c r="P73" s="53">
        <v>0.2</v>
      </c>
      <c r="Q73" s="75">
        <f t="shared" si="0"/>
        <v>0.32500000000000001</v>
      </c>
      <c r="R73" s="53">
        <v>15.2</v>
      </c>
      <c r="S73" s="53">
        <v>112</v>
      </c>
      <c r="T73" s="16">
        <f t="shared" si="1"/>
        <v>33</v>
      </c>
      <c r="U73" s="53">
        <v>429</v>
      </c>
      <c r="V73" s="16">
        <f t="shared" si="2"/>
        <v>3539.25</v>
      </c>
      <c r="W73" s="53">
        <v>2</v>
      </c>
      <c r="X73" s="53" t="s">
        <v>39</v>
      </c>
      <c r="Y73" s="53" t="s">
        <v>88</v>
      </c>
      <c r="Z73" s="53" t="s">
        <v>102</v>
      </c>
      <c r="AA73" s="53" t="s">
        <v>78</v>
      </c>
      <c r="AB73" s="53" t="s">
        <v>235</v>
      </c>
    </row>
    <row r="74" spans="1:28" x14ac:dyDescent="0.15">
      <c r="A74" s="53" t="s">
        <v>34</v>
      </c>
      <c r="B74" s="53" t="s">
        <v>231</v>
      </c>
      <c r="C74" s="53">
        <v>2019</v>
      </c>
      <c r="D74" s="176" t="s">
        <v>371</v>
      </c>
      <c r="E74" s="53" t="s">
        <v>362</v>
      </c>
      <c r="F74" s="53" t="s">
        <v>373</v>
      </c>
      <c r="G74" s="53" t="s">
        <v>36</v>
      </c>
      <c r="H74" s="53" t="s">
        <v>164</v>
      </c>
      <c r="I74" s="53" t="s">
        <v>159</v>
      </c>
      <c r="J74" s="53" t="s">
        <v>38</v>
      </c>
      <c r="K74" s="53" t="s">
        <v>161</v>
      </c>
      <c r="L74" s="53">
        <v>1</v>
      </c>
      <c r="N74" s="53">
        <v>1</v>
      </c>
      <c r="O74" s="53">
        <v>0.55000000000000004</v>
      </c>
      <c r="P74" s="53">
        <v>0.55000000000000004</v>
      </c>
      <c r="Q74" s="75">
        <f t="shared" si="0"/>
        <v>0.55000000000000004</v>
      </c>
      <c r="R74" s="53">
        <v>15.8</v>
      </c>
      <c r="S74" s="53">
        <v>130</v>
      </c>
      <c r="T74" s="16">
        <f t="shared" si="1"/>
        <v>30</v>
      </c>
      <c r="U74" s="53">
        <v>85</v>
      </c>
      <c r="V74" s="16">
        <f t="shared" si="2"/>
        <v>2550</v>
      </c>
      <c r="W74" s="53">
        <v>2</v>
      </c>
      <c r="X74" s="53" t="s">
        <v>46</v>
      </c>
      <c r="Y74" s="53" t="s">
        <v>78</v>
      </c>
      <c r="Z74" s="53" t="s">
        <v>102</v>
      </c>
      <c r="AA74" s="53" t="s">
        <v>78</v>
      </c>
      <c r="AB74" s="53" t="s">
        <v>235</v>
      </c>
    </row>
    <row r="75" spans="1:28" x14ac:dyDescent="0.15">
      <c r="A75" s="53" t="s">
        <v>34</v>
      </c>
      <c r="B75" s="53" t="s">
        <v>231</v>
      </c>
      <c r="C75" s="53">
        <v>2019</v>
      </c>
      <c r="D75" s="176" t="s">
        <v>371</v>
      </c>
      <c r="E75" s="53" t="s">
        <v>362</v>
      </c>
      <c r="F75" s="53" t="s">
        <v>373</v>
      </c>
      <c r="G75" s="53" t="s">
        <v>36</v>
      </c>
      <c r="H75" s="53" t="s">
        <v>164</v>
      </c>
      <c r="I75" s="53" t="s">
        <v>159</v>
      </c>
      <c r="J75" s="53" t="s">
        <v>38</v>
      </c>
      <c r="K75" s="53" t="s">
        <v>161</v>
      </c>
      <c r="L75" s="53">
        <v>2</v>
      </c>
      <c r="N75" s="53">
        <v>1</v>
      </c>
      <c r="O75" s="53">
        <v>0.2</v>
      </c>
      <c r="P75" s="53">
        <v>0.55000000000000004</v>
      </c>
      <c r="Q75" s="75">
        <f t="shared" si="0"/>
        <v>0.375</v>
      </c>
      <c r="R75" s="53">
        <v>14.8</v>
      </c>
      <c r="S75" s="53">
        <v>126</v>
      </c>
      <c r="T75" s="16">
        <f t="shared" si="1"/>
        <v>30</v>
      </c>
      <c r="U75" s="53">
        <v>85</v>
      </c>
      <c r="V75" s="16">
        <f t="shared" si="2"/>
        <v>2550</v>
      </c>
      <c r="W75" s="53">
        <v>2</v>
      </c>
      <c r="X75" s="53" t="s">
        <v>46</v>
      </c>
      <c r="Y75" s="53" t="s">
        <v>78</v>
      </c>
      <c r="Z75" s="53" t="s">
        <v>102</v>
      </c>
      <c r="AA75" s="53" t="s">
        <v>78</v>
      </c>
      <c r="AB75" s="53" t="s">
        <v>235</v>
      </c>
    </row>
    <row r="76" spans="1:28" x14ac:dyDescent="0.15">
      <c r="A76" s="53" t="s">
        <v>34</v>
      </c>
      <c r="B76" s="53" t="s">
        <v>231</v>
      </c>
      <c r="C76" s="53">
        <v>2019</v>
      </c>
      <c r="D76" s="176" t="s">
        <v>371</v>
      </c>
      <c r="E76" s="53" t="s">
        <v>362</v>
      </c>
      <c r="F76" s="53" t="s">
        <v>373</v>
      </c>
      <c r="G76" s="53" t="s">
        <v>36</v>
      </c>
      <c r="H76" s="53" t="s">
        <v>164</v>
      </c>
      <c r="I76" s="53" t="s">
        <v>159</v>
      </c>
      <c r="J76" s="53" t="s">
        <v>38</v>
      </c>
      <c r="K76" s="53" t="s">
        <v>161</v>
      </c>
      <c r="L76" s="53">
        <v>3</v>
      </c>
      <c r="N76" s="53">
        <v>1</v>
      </c>
      <c r="O76" s="53">
        <v>0.6</v>
      </c>
      <c r="P76" s="53">
        <v>0.45</v>
      </c>
      <c r="Q76" s="75">
        <f t="shared" si="0"/>
        <v>0.52500000000000002</v>
      </c>
      <c r="R76" s="53">
        <v>14.5</v>
      </c>
      <c r="S76" s="53">
        <v>128</v>
      </c>
      <c r="T76" s="16">
        <f t="shared" si="1"/>
        <v>30</v>
      </c>
      <c r="U76" s="53">
        <v>85</v>
      </c>
      <c r="V76" s="16">
        <f t="shared" si="2"/>
        <v>2550</v>
      </c>
      <c r="W76" s="53">
        <v>2</v>
      </c>
      <c r="X76" s="53" t="s">
        <v>46</v>
      </c>
      <c r="Y76" s="53" t="s">
        <v>78</v>
      </c>
      <c r="Z76" s="53" t="s">
        <v>102</v>
      </c>
      <c r="AA76" s="53" t="s">
        <v>78</v>
      </c>
      <c r="AB76" s="53" t="s">
        <v>235</v>
      </c>
    </row>
    <row r="77" spans="1:28" x14ac:dyDescent="0.15">
      <c r="A77" s="53" t="s">
        <v>34</v>
      </c>
      <c r="B77" s="53" t="s">
        <v>231</v>
      </c>
      <c r="C77" s="53">
        <v>2019</v>
      </c>
      <c r="D77" s="176" t="s">
        <v>371</v>
      </c>
      <c r="E77" s="53" t="s">
        <v>362</v>
      </c>
      <c r="F77" s="53" t="s">
        <v>373</v>
      </c>
      <c r="G77" s="53" t="s">
        <v>36</v>
      </c>
      <c r="H77" s="53" t="s">
        <v>164</v>
      </c>
      <c r="I77" s="53" t="s">
        <v>159</v>
      </c>
      <c r="J77" s="53" t="s">
        <v>38</v>
      </c>
      <c r="K77" s="53" t="s">
        <v>161</v>
      </c>
      <c r="L77" s="53">
        <v>1</v>
      </c>
      <c r="N77" s="53">
        <v>4</v>
      </c>
      <c r="O77" s="53">
        <v>0.2</v>
      </c>
      <c r="P77" s="53">
        <v>0.2</v>
      </c>
      <c r="Q77" s="75">
        <f t="shared" si="0"/>
        <v>0.2</v>
      </c>
      <c r="R77" s="53">
        <v>12.8</v>
      </c>
      <c r="S77" s="53">
        <v>86</v>
      </c>
      <c r="T77" s="16">
        <f t="shared" si="1"/>
        <v>36</v>
      </c>
      <c r="U77" s="53">
        <v>321</v>
      </c>
      <c r="V77" s="16">
        <f t="shared" si="2"/>
        <v>2889</v>
      </c>
      <c r="W77" s="53">
        <v>2</v>
      </c>
      <c r="X77" s="53" t="s">
        <v>46</v>
      </c>
      <c r="Y77" s="53" t="s">
        <v>78</v>
      </c>
      <c r="Z77" s="53" t="s">
        <v>102</v>
      </c>
      <c r="AA77" s="53" t="s">
        <v>78</v>
      </c>
      <c r="AB77" s="53" t="s">
        <v>235</v>
      </c>
    </row>
    <row r="78" spans="1:28" x14ac:dyDescent="0.15">
      <c r="A78" s="53" t="s">
        <v>34</v>
      </c>
      <c r="B78" s="53" t="s">
        <v>231</v>
      </c>
      <c r="C78" s="53">
        <v>2019</v>
      </c>
      <c r="D78" s="176" t="s">
        <v>371</v>
      </c>
      <c r="E78" s="53" t="s">
        <v>362</v>
      </c>
      <c r="F78" s="53" t="s">
        <v>373</v>
      </c>
      <c r="G78" s="53" t="s">
        <v>36</v>
      </c>
      <c r="H78" s="53" t="s">
        <v>164</v>
      </c>
      <c r="I78" s="53" t="s">
        <v>159</v>
      </c>
      <c r="J78" s="53" t="s">
        <v>38</v>
      </c>
      <c r="K78" s="53" t="s">
        <v>161</v>
      </c>
      <c r="L78" s="53">
        <v>2</v>
      </c>
      <c r="N78" s="53">
        <v>4</v>
      </c>
      <c r="O78" s="53">
        <v>0.2</v>
      </c>
      <c r="P78" s="53">
        <v>0.2</v>
      </c>
      <c r="Q78" s="75">
        <f t="shared" si="0"/>
        <v>0.2</v>
      </c>
      <c r="R78" s="53">
        <v>14.8</v>
      </c>
      <c r="S78" s="53">
        <v>83</v>
      </c>
      <c r="T78" s="16">
        <f t="shared" si="1"/>
        <v>39</v>
      </c>
      <c r="U78" s="53">
        <v>321</v>
      </c>
      <c r="V78" s="16">
        <f t="shared" si="2"/>
        <v>3129.75</v>
      </c>
      <c r="W78" s="53">
        <v>2</v>
      </c>
      <c r="X78" s="53" t="s">
        <v>46</v>
      </c>
      <c r="Y78" s="53" t="s">
        <v>78</v>
      </c>
      <c r="Z78" s="53" t="s">
        <v>102</v>
      </c>
      <c r="AA78" s="53" t="s">
        <v>78</v>
      </c>
      <c r="AB78" s="53" t="s">
        <v>235</v>
      </c>
    </row>
    <row r="79" spans="1:28" x14ac:dyDescent="0.15">
      <c r="A79" s="53" t="s">
        <v>34</v>
      </c>
      <c r="B79" s="53" t="s">
        <v>231</v>
      </c>
      <c r="C79" s="53">
        <v>2019</v>
      </c>
      <c r="D79" s="176" t="s">
        <v>371</v>
      </c>
      <c r="E79" s="53" t="s">
        <v>362</v>
      </c>
      <c r="F79" s="53" t="s">
        <v>373</v>
      </c>
      <c r="G79" s="53" t="s">
        <v>36</v>
      </c>
      <c r="H79" s="53" t="s">
        <v>164</v>
      </c>
      <c r="I79" s="53" t="s">
        <v>159</v>
      </c>
      <c r="J79" s="53" t="s">
        <v>38</v>
      </c>
      <c r="K79" s="53" t="s">
        <v>161</v>
      </c>
      <c r="L79" s="53">
        <v>3</v>
      </c>
      <c r="N79" s="53">
        <v>4</v>
      </c>
      <c r="O79" s="53">
        <v>0.5</v>
      </c>
      <c r="P79" s="53">
        <v>0.5</v>
      </c>
      <c r="Q79" s="75">
        <f t="shared" si="0"/>
        <v>0.5</v>
      </c>
      <c r="R79" s="53">
        <v>14.3</v>
      </c>
      <c r="S79" s="53">
        <v>81</v>
      </c>
      <c r="T79" s="16">
        <f t="shared" si="1"/>
        <v>39</v>
      </c>
      <c r="U79" s="53">
        <v>321</v>
      </c>
      <c r="V79" s="16">
        <f t="shared" si="2"/>
        <v>3129.75</v>
      </c>
      <c r="W79" s="53">
        <v>2</v>
      </c>
      <c r="X79" s="53" t="s">
        <v>46</v>
      </c>
      <c r="Y79" s="53" t="s">
        <v>78</v>
      </c>
      <c r="Z79" s="53" t="s">
        <v>102</v>
      </c>
      <c r="AA79" s="53" t="s">
        <v>78</v>
      </c>
      <c r="AB79" s="53" t="s">
        <v>235</v>
      </c>
    </row>
    <row r="80" spans="1:28" x14ac:dyDescent="0.15">
      <c r="A80" s="53" t="s">
        <v>34</v>
      </c>
      <c r="B80" s="53" t="s">
        <v>231</v>
      </c>
      <c r="C80" s="53">
        <v>2019</v>
      </c>
      <c r="D80" s="176" t="s">
        <v>371</v>
      </c>
      <c r="E80" s="53" t="s">
        <v>362</v>
      </c>
      <c r="F80" s="53" t="s">
        <v>373</v>
      </c>
      <c r="G80" s="53" t="s">
        <v>36</v>
      </c>
      <c r="H80" s="53" t="s">
        <v>160</v>
      </c>
      <c r="I80" s="53" t="s">
        <v>159</v>
      </c>
      <c r="J80" s="53" t="s">
        <v>38</v>
      </c>
      <c r="K80" s="53" t="s">
        <v>161</v>
      </c>
      <c r="L80" s="53">
        <v>1</v>
      </c>
      <c r="N80" s="53">
        <v>1</v>
      </c>
      <c r="O80" s="53">
        <v>0.9</v>
      </c>
      <c r="P80" s="53">
        <v>0.75</v>
      </c>
      <c r="Q80" s="75">
        <f t="shared" si="0"/>
        <v>0.82499999999999996</v>
      </c>
      <c r="R80" s="53">
        <v>15.2</v>
      </c>
      <c r="S80" s="53">
        <v>114</v>
      </c>
      <c r="T80" s="16">
        <f t="shared" si="1"/>
        <v>30</v>
      </c>
      <c r="U80" s="53">
        <v>85</v>
      </c>
      <c r="V80" s="16">
        <f t="shared" si="2"/>
        <v>2550</v>
      </c>
      <c r="W80" s="53">
        <v>2</v>
      </c>
      <c r="X80" s="53" t="s">
        <v>46</v>
      </c>
      <c r="Y80" s="53" t="s">
        <v>78</v>
      </c>
      <c r="Z80" s="53" t="s">
        <v>102</v>
      </c>
      <c r="AA80" s="53" t="s">
        <v>78</v>
      </c>
      <c r="AB80" s="53" t="s">
        <v>235</v>
      </c>
    </row>
    <row r="81" spans="1:28" x14ac:dyDescent="0.15">
      <c r="A81" s="53" t="s">
        <v>34</v>
      </c>
      <c r="B81" s="53" t="s">
        <v>231</v>
      </c>
      <c r="C81" s="53">
        <v>2019</v>
      </c>
      <c r="D81" s="176" t="s">
        <v>371</v>
      </c>
      <c r="E81" s="53" t="s">
        <v>362</v>
      </c>
      <c r="F81" s="53" t="s">
        <v>373</v>
      </c>
      <c r="G81" s="53" t="s">
        <v>36</v>
      </c>
      <c r="H81" s="53" t="s">
        <v>160</v>
      </c>
      <c r="I81" s="53" t="s">
        <v>159</v>
      </c>
      <c r="J81" s="53" t="s">
        <v>38</v>
      </c>
      <c r="K81" s="53" t="s">
        <v>161</v>
      </c>
      <c r="L81" s="53">
        <v>2</v>
      </c>
      <c r="N81" s="53">
        <v>1</v>
      </c>
      <c r="O81" s="53">
        <v>0.2</v>
      </c>
      <c r="P81" s="53">
        <v>0.2</v>
      </c>
      <c r="Q81" s="75">
        <f t="shared" si="0"/>
        <v>0.2</v>
      </c>
      <c r="R81" s="53">
        <v>15.6</v>
      </c>
      <c r="S81" s="53">
        <v>118</v>
      </c>
      <c r="T81" s="16">
        <f t="shared" si="1"/>
        <v>30</v>
      </c>
      <c r="U81" s="53">
        <v>85</v>
      </c>
      <c r="V81" s="16">
        <f t="shared" si="2"/>
        <v>2550</v>
      </c>
      <c r="W81" s="53">
        <v>2</v>
      </c>
      <c r="X81" s="53" t="s">
        <v>46</v>
      </c>
      <c r="Y81" s="53" t="s">
        <v>78</v>
      </c>
      <c r="Z81" s="53" t="s">
        <v>102</v>
      </c>
      <c r="AA81" s="53" t="s">
        <v>78</v>
      </c>
      <c r="AB81" s="53" t="s">
        <v>235</v>
      </c>
    </row>
    <row r="82" spans="1:28" x14ac:dyDescent="0.15">
      <c r="A82" s="53" t="s">
        <v>34</v>
      </c>
      <c r="B82" s="53" t="s">
        <v>231</v>
      </c>
      <c r="C82" s="53">
        <v>2019</v>
      </c>
      <c r="D82" s="176" t="s">
        <v>371</v>
      </c>
      <c r="E82" s="53" t="s">
        <v>362</v>
      </c>
      <c r="F82" s="53" t="s">
        <v>373</v>
      </c>
      <c r="G82" s="53" t="s">
        <v>36</v>
      </c>
      <c r="H82" s="53" t="s">
        <v>160</v>
      </c>
      <c r="I82" s="53" t="s">
        <v>159</v>
      </c>
      <c r="J82" s="53" t="s">
        <v>38</v>
      </c>
      <c r="K82" s="53" t="s">
        <v>161</v>
      </c>
      <c r="L82" s="53">
        <v>3</v>
      </c>
      <c r="N82" s="53">
        <v>1</v>
      </c>
      <c r="O82" s="53">
        <v>0.2</v>
      </c>
      <c r="P82" s="53">
        <v>0.2</v>
      </c>
      <c r="Q82" s="75">
        <f t="shared" ref="Q82:Q106" si="5">IF(OR(O82="",P82=""),"",AVERAGE(O82,P82))</f>
        <v>0.2</v>
      </c>
      <c r="R82" s="53">
        <v>14.7</v>
      </c>
      <c r="S82" s="53">
        <v>106</v>
      </c>
      <c r="T82" s="16">
        <f t="shared" si="1"/>
        <v>33</v>
      </c>
      <c r="U82" s="53">
        <v>85</v>
      </c>
      <c r="V82" s="16">
        <f t="shared" si="2"/>
        <v>2805</v>
      </c>
      <c r="W82" s="53">
        <v>2</v>
      </c>
      <c r="X82" s="53" t="s">
        <v>46</v>
      </c>
      <c r="Y82" s="53" t="s">
        <v>78</v>
      </c>
      <c r="Z82" s="53" t="s">
        <v>102</v>
      </c>
      <c r="AA82" s="53" t="s">
        <v>78</v>
      </c>
      <c r="AB82" s="53" t="s">
        <v>235</v>
      </c>
    </row>
    <row r="83" spans="1:28" x14ac:dyDescent="0.15">
      <c r="A83" s="53" t="s">
        <v>34</v>
      </c>
      <c r="B83" s="53" t="s">
        <v>231</v>
      </c>
      <c r="C83" s="53">
        <v>2019</v>
      </c>
      <c r="D83" s="176" t="s">
        <v>371</v>
      </c>
      <c r="E83" s="53" t="s">
        <v>378</v>
      </c>
      <c r="F83" s="53" t="s">
        <v>379</v>
      </c>
      <c r="G83" s="53" t="s">
        <v>36</v>
      </c>
      <c r="H83" s="53" t="s">
        <v>164</v>
      </c>
      <c r="I83" s="53" t="s">
        <v>159</v>
      </c>
      <c r="J83" s="53" t="s">
        <v>38</v>
      </c>
      <c r="K83" s="53" t="s">
        <v>161</v>
      </c>
      <c r="L83" s="53">
        <v>1</v>
      </c>
      <c r="N83" s="53">
        <v>1</v>
      </c>
      <c r="O83" s="53">
        <v>0.45</v>
      </c>
      <c r="P83" s="53">
        <v>0.45</v>
      </c>
      <c r="Q83" s="75">
        <f t="shared" si="5"/>
        <v>0.45</v>
      </c>
      <c r="R83" s="53">
        <v>15</v>
      </c>
      <c r="S83" s="53">
        <v>122</v>
      </c>
      <c r="T83" s="16">
        <f t="shared" si="1"/>
        <v>30</v>
      </c>
      <c r="U83" s="53">
        <v>127</v>
      </c>
      <c r="V83" s="16">
        <f t="shared" si="2"/>
        <v>3810</v>
      </c>
      <c r="W83" s="53">
        <v>2</v>
      </c>
      <c r="X83" s="53" t="s">
        <v>46</v>
      </c>
      <c r="Y83" s="53" t="s">
        <v>78</v>
      </c>
      <c r="Z83" s="53" t="s">
        <v>102</v>
      </c>
      <c r="AA83" s="53" t="s">
        <v>69</v>
      </c>
      <c r="AB83" s="53" t="s">
        <v>235</v>
      </c>
    </row>
    <row r="84" spans="1:28" x14ac:dyDescent="0.15">
      <c r="A84" s="53" t="s">
        <v>34</v>
      </c>
      <c r="B84" s="53" t="s">
        <v>231</v>
      </c>
      <c r="C84" s="53">
        <v>2019</v>
      </c>
      <c r="D84" s="176" t="s">
        <v>371</v>
      </c>
      <c r="E84" s="53" t="s">
        <v>378</v>
      </c>
      <c r="F84" s="53" t="s">
        <v>379</v>
      </c>
      <c r="G84" s="53" t="s">
        <v>36</v>
      </c>
      <c r="H84" s="53" t="s">
        <v>164</v>
      </c>
      <c r="I84" s="53" t="s">
        <v>159</v>
      </c>
      <c r="J84" s="53" t="s">
        <v>38</v>
      </c>
      <c r="K84" s="53" t="s">
        <v>161</v>
      </c>
      <c r="L84" s="53">
        <v>2</v>
      </c>
      <c r="N84" s="53">
        <v>1</v>
      </c>
      <c r="O84" s="53">
        <v>0.5</v>
      </c>
      <c r="P84" s="53">
        <v>0.6</v>
      </c>
      <c r="Q84" s="16">
        <f t="shared" si="5"/>
        <v>0.55000000000000004</v>
      </c>
      <c r="R84" s="53">
        <v>15</v>
      </c>
      <c r="S84" s="53">
        <v>142</v>
      </c>
      <c r="T84" s="16">
        <f t="shared" si="1"/>
        <v>30</v>
      </c>
      <c r="U84" s="53">
        <v>127</v>
      </c>
      <c r="V84" s="16">
        <f t="shared" si="2"/>
        <v>3810</v>
      </c>
      <c r="W84" s="53">
        <v>2</v>
      </c>
      <c r="X84" s="53" t="s">
        <v>46</v>
      </c>
      <c r="Y84" s="53" t="s">
        <v>78</v>
      </c>
      <c r="Z84" s="53" t="s">
        <v>102</v>
      </c>
      <c r="AA84" s="53" t="s">
        <v>69</v>
      </c>
      <c r="AB84" s="53" t="s">
        <v>235</v>
      </c>
    </row>
    <row r="85" spans="1:28" x14ac:dyDescent="0.15">
      <c r="A85" s="53" t="s">
        <v>34</v>
      </c>
      <c r="B85" s="53" t="s">
        <v>231</v>
      </c>
      <c r="C85" s="53">
        <v>2019</v>
      </c>
      <c r="D85" s="176" t="s">
        <v>371</v>
      </c>
      <c r="E85" s="53" t="s">
        <v>378</v>
      </c>
      <c r="F85" s="53" t="s">
        <v>379</v>
      </c>
      <c r="G85" s="53" t="s">
        <v>36</v>
      </c>
      <c r="H85" s="53" t="s">
        <v>164</v>
      </c>
      <c r="I85" s="53" t="s">
        <v>159</v>
      </c>
      <c r="J85" s="53" t="s">
        <v>38</v>
      </c>
      <c r="K85" s="53" t="s">
        <v>161</v>
      </c>
      <c r="L85" s="53">
        <v>3</v>
      </c>
      <c r="N85" s="53">
        <v>1</v>
      </c>
      <c r="O85" s="53">
        <v>0.65</v>
      </c>
      <c r="P85" s="53">
        <v>0.45</v>
      </c>
      <c r="Q85" s="16">
        <f t="shared" si="5"/>
        <v>0.55000000000000004</v>
      </c>
      <c r="R85" s="53">
        <v>14.3</v>
      </c>
      <c r="S85" s="53">
        <v>136</v>
      </c>
      <c r="T85" s="16">
        <f t="shared" si="1"/>
        <v>30</v>
      </c>
      <c r="U85" s="53">
        <v>127</v>
      </c>
      <c r="V85" s="16">
        <f t="shared" si="2"/>
        <v>3810</v>
      </c>
      <c r="W85" s="53">
        <v>2</v>
      </c>
      <c r="X85" s="53" t="s">
        <v>46</v>
      </c>
      <c r="Y85" s="53" t="s">
        <v>78</v>
      </c>
      <c r="Z85" s="53" t="s">
        <v>102</v>
      </c>
      <c r="AA85" s="53" t="s">
        <v>69</v>
      </c>
      <c r="AB85" s="53" t="s">
        <v>235</v>
      </c>
    </row>
    <row r="86" spans="1:28" x14ac:dyDescent="0.15">
      <c r="A86" s="53" t="s">
        <v>34</v>
      </c>
      <c r="B86" s="53" t="s">
        <v>231</v>
      </c>
      <c r="C86" s="53">
        <v>2019</v>
      </c>
      <c r="D86" s="176" t="s">
        <v>371</v>
      </c>
      <c r="E86" s="53" t="s">
        <v>378</v>
      </c>
      <c r="F86" s="53" t="s">
        <v>379</v>
      </c>
      <c r="G86" s="53" t="s">
        <v>36</v>
      </c>
      <c r="H86" s="53" t="s">
        <v>160</v>
      </c>
      <c r="I86" s="53" t="s">
        <v>159</v>
      </c>
      <c r="J86" s="53" t="s">
        <v>38</v>
      </c>
      <c r="K86" s="53" t="s">
        <v>161</v>
      </c>
      <c r="L86" s="53">
        <v>1</v>
      </c>
      <c r="N86" s="53">
        <v>1</v>
      </c>
      <c r="O86" s="53">
        <v>0.5</v>
      </c>
      <c r="P86" s="53">
        <v>0.5</v>
      </c>
      <c r="Q86" s="16">
        <f t="shared" si="5"/>
        <v>0.5</v>
      </c>
      <c r="R86" s="53">
        <v>15.9</v>
      </c>
      <c r="S86" s="53">
        <v>150</v>
      </c>
      <c r="T86" s="16">
        <f t="shared" si="1"/>
        <v>30</v>
      </c>
      <c r="U86" s="53">
        <v>138</v>
      </c>
      <c r="V86" s="16">
        <f t="shared" si="2"/>
        <v>4140</v>
      </c>
      <c r="W86" s="53">
        <v>3</v>
      </c>
      <c r="X86" s="53" t="s">
        <v>46</v>
      </c>
      <c r="Y86" s="53" t="s">
        <v>78</v>
      </c>
      <c r="Z86" s="53" t="s">
        <v>102</v>
      </c>
      <c r="AA86" s="53" t="s">
        <v>69</v>
      </c>
      <c r="AB86" s="53" t="s">
        <v>235</v>
      </c>
    </row>
    <row r="87" spans="1:28" x14ac:dyDescent="0.15">
      <c r="A87" s="53" t="s">
        <v>34</v>
      </c>
      <c r="B87" s="53" t="s">
        <v>231</v>
      </c>
      <c r="C87" s="53">
        <v>2019</v>
      </c>
      <c r="D87" s="176" t="s">
        <v>371</v>
      </c>
      <c r="E87" s="53" t="s">
        <v>378</v>
      </c>
      <c r="F87" s="53" t="s">
        <v>379</v>
      </c>
      <c r="G87" s="53" t="s">
        <v>36</v>
      </c>
      <c r="H87" s="53" t="s">
        <v>160</v>
      </c>
      <c r="I87" s="53" t="s">
        <v>159</v>
      </c>
      <c r="J87" s="53" t="s">
        <v>38</v>
      </c>
      <c r="K87" s="53" t="s">
        <v>161</v>
      </c>
      <c r="L87" s="53">
        <v>2</v>
      </c>
      <c r="N87" s="53">
        <v>1</v>
      </c>
      <c r="O87" s="53">
        <v>0.2</v>
      </c>
      <c r="P87" s="53">
        <v>0.5</v>
      </c>
      <c r="Q87" s="16">
        <f t="shared" si="5"/>
        <v>0.35</v>
      </c>
      <c r="R87" s="53">
        <v>16.7</v>
      </c>
      <c r="S87" s="53">
        <v>146</v>
      </c>
      <c r="T87" s="16">
        <f t="shared" si="1"/>
        <v>30</v>
      </c>
      <c r="U87" s="53">
        <v>138</v>
      </c>
      <c r="V87" s="16">
        <f t="shared" si="2"/>
        <v>4140</v>
      </c>
      <c r="W87" s="53">
        <v>3</v>
      </c>
      <c r="X87" s="53" t="s">
        <v>46</v>
      </c>
      <c r="Y87" s="53" t="s">
        <v>78</v>
      </c>
      <c r="Z87" s="53" t="s">
        <v>102</v>
      </c>
      <c r="AA87" s="53" t="s">
        <v>69</v>
      </c>
      <c r="AB87" s="53" t="s">
        <v>235</v>
      </c>
    </row>
    <row r="88" spans="1:28" x14ac:dyDescent="0.15">
      <c r="A88" s="53" t="s">
        <v>34</v>
      </c>
      <c r="B88" s="53" t="s">
        <v>231</v>
      </c>
      <c r="C88" s="53">
        <v>2019</v>
      </c>
      <c r="D88" s="176" t="s">
        <v>371</v>
      </c>
      <c r="E88" s="53" t="s">
        <v>378</v>
      </c>
      <c r="F88" s="53" t="s">
        <v>379</v>
      </c>
      <c r="G88" s="53" t="s">
        <v>36</v>
      </c>
      <c r="H88" s="53" t="s">
        <v>160</v>
      </c>
      <c r="I88" s="53" t="s">
        <v>159</v>
      </c>
      <c r="J88" s="53" t="s">
        <v>38</v>
      </c>
      <c r="K88" s="53" t="s">
        <v>161</v>
      </c>
      <c r="L88" s="53">
        <v>3</v>
      </c>
      <c r="N88" s="53">
        <v>1</v>
      </c>
      <c r="O88" s="53">
        <v>0.45</v>
      </c>
      <c r="P88" s="53">
        <v>0.45</v>
      </c>
      <c r="Q88" s="16">
        <f t="shared" si="5"/>
        <v>0.45</v>
      </c>
      <c r="R88" s="53">
        <v>15.3</v>
      </c>
      <c r="S88" s="53">
        <v>144</v>
      </c>
      <c r="T88" s="16">
        <f t="shared" si="1"/>
        <v>30</v>
      </c>
      <c r="U88" s="53">
        <v>138</v>
      </c>
      <c r="V88" s="16">
        <f t="shared" si="2"/>
        <v>4140</v>
      </c>
      <c r="W88" s="53">
        <v>3</v>
      </c>
      <c r="X88" s="53" t="s">
        <v>46</v>
      </c>
      <c r="Y88" s="53" t="s">
        <v>78</v>
      </c>
      <c r="Z88" s="53" t="s">
        <v>102</v>
      </c>
      <c r="AA88" s="53" t="s">
        <v>69</v>
      </c>
      <c r="AB88" s="53" t="s">
        <v>235</v>
      </c>
    </row>
    <row r="89" spans="1:28" x14ac:dyDescent="0.15">
      <c r="A89" s="53" t="s">
        <v>34</v>
      </c>
      <c r="B89" s="53" t="s">
        <v>231</v>
      </c>
      <c r="C89" s="53">
        <v>2019</v>
      </c>
      <c r="D89" s="176" t="s">
        <v>371</v>
      </c>
      <c r="E89" s="53" t="s">
        <v>378</v>
      </c>
      <c r="F89" s="53" t="s">
        <v>379</v>
      </c>
      <c r="G89" s="53" t="s">
        <v>36</v>
      </c>
      <c r="H89" s="53" t="s">
        <v>160</v>
      </c>
      <c r="I89" s="53" t="s">
        <v>159</v>
      </c>
      <c r="J89" s="53" t="s">
        <v>38</v>
      </c>
      <c r="K89" s="53" t="s">
        <v>161</v>
      </c>
      <c r="L89" s="53">
        <v>1</v>
      </c>
      <c r="N89" s="53">
        <v>4</v>
      </c>
      <c r="O89" s="53">
        <v>0.5</v>
      </c>
      <c r="P89" s="53">
        <v>0.5</v>
      </c>
      <c r="Q89" s="16">
        <f t="shared" si="5"/>
        <v>0.5</v>
      </c>
      <c r="R89" s="53">
        <v>15.4</v>
      </c>
      <c r="S89" s="53">
        <v>138</v>
      </c>
      <c r="T89" s="16">
        <f t="shared" si="1"/>
        <v>30</v>
      </c>
      <c r="U89" s="53">
        <v>538</v>
      </c>
      <c r="V89" s="16">
        <f t="shared" si="2"/>
        <v>4035</v>
      </c>
      <c r="W89" s="53">
        <v>3</v>
      </c>
      <c r="X89" s="53" t="s">
        <v>46</v>
      </c>
      <c r="Y89" s="53" t="s">
        <v>78</v>
      </c>
      <c r="Z89" s="53" t="s">
        <v>102</v>
      </c>
      <c r="AA89" s="53" t="s">
        <v>69</v>
      </c>
      <c r="AB89" s="53" t="s">
        <v>235</v>
      </c>
    </row>
    <row r="90" spans="1:28" x14ac:dyDescent="0.15">
      <c r="A90" s="53" t="s">
        <v>34</v>
      </c>
      <c r="B90" s="53" t="s">
        <v>231</v>
      </c>
      <c r="C90" s="53">
        <v>2019</v>
      </c>
      <c r="D90" s="176" t="s">
        <v>371</v>
      </c>
      <c r="E90" s="53" t="s">
        <v>378</v>
      </c>
      <c r="F90" s="53" t="s">
        <v>379</v>
      </c>
      <c r="G90" s="53" t="s">
        <v>36</v>
      </c>
      <c r="H90" s="53" t="s">
        <v>160</v>
      </c>
      <c r="I90" s="53" t="s">
        <v>159</v>
      </c>
      <c r="J90" s="53" t="s">
        <v>38</v>
      </c>
      <c r="K90" s="53" t="s">
        <v>161</v>
      </c>
      <c r="L90" s="53">
        <v>2</v>
      </c>
      <c r="N90" s="53">
        <v>4</v>
      </c>
      <c r="O90" s="53">
        <v>0.65</v>
      </c>
      <c r="P90" s="53">
        <v>0.55000000000000004</v>
      </c>
      <c r="Q90" s="16">
        <f t="shared" si="5"/>
        <v>0.60000000000000009</v>
      </c>
      <c r="R90" s="53">
        <v>15.4</v>
      </c>
      <c r="S90" s="53">
        <v>148</v>
      </c>
      <c r="T90" s="16">
        <f t="shared" ref="T90:T106" si="6">IF(H90="","",IF(OR(H90="GREEN",H90="GK"),IF(S90&gt;=$AX$2,VLOOKUP(S90,$AX$2:$AY$9,2,1),""),IF(S90&gt;=$AZ$2,VLOOKUP(S90,$AZ$2:$BA$9,2,1),"")))</f>
        <v>30</v>
      </c>
      <c r="U90" s="53">
        <v>538</v>
      </c>
      <c r="V90" s="16">
        <f t="shared" ref="V90:V106" si="7">IF(OR(N90="",U90="",T90=""),"",U90/N90*T90)</f>
        <v>4035</v>
      </c>
      <c r="W90" s="53">
        <v>3</v>
      </c>
      <c r="X90" s="53" t="s">
        <v>46</v>
      </c>
      <c r="Y90" s="53" t="s">
        <v>78</v>
      </c>
      <c r="Z90" s="53" t="s">
        <v>102</v>
      </c>
      <c r="AA90" s="53" t="s">
        <v>69</v>
      </c>
      <c r="AB90" s="53" t="s">
        <v>235</v>
      </c>
    </row>
    <row r="91" spans="1:28" x14ac:dyDescent="0.15">
      <c r="A91" s="53" t="s">
        <v>34</v>
      </c>
      <c r="B91" s="53" t="s">
        <v>231</v>
      </c>
      <c r="C91" s="53">
        <v>2019</v>
      </c>
      <c r="D91" s="176" t="s">
        <v>371</v>
      </c>
      <c r="E91" s="53" t="s">
        <v>378</v>
      </c>
      <c r="F91" s="53" t="s">
        <v>379</v>
      </c>
      <c r="G91" s="53" t="s">
        <v>36</v>
      </c>
      <c r="H91" s="53" t="s">
        <v>160</v>
      </c>
      <c r="I91" s="53" t="s">
        <v>159</v>
      </c>
      <c r="J91" s="53" t="s">
        <v>38</v>
      </c>
      <c r="K91" s="53" t="s">
        <v>161</v>
      </c>
      <c r="L91" s="53">
        <v>3</v>
      </c>
      <c r="N91" s="53">
        <v>4</v>
      </c>
      <c r="O91" s="53">
        <v>0.75</v>
      </c>
      <c r="P91" s="53">
        <v>0.2</v>
      </c>
      <c r="Q91" s="16">
        <f t="shared" si="5"/>
        <v>0.47499999999999998</v>
      </c>
      <c r="R91" s="53">
        <v>16.399999999999999</v>
      </c>
      <c r="S91" s="53">
        <v>140</v>
      </c>
      <c r="T91" s="16">
        <f t="shared" si="6"/>
        <v>30</v>
      </c>
      <c r="U91" s="53">
        <v>538</v>
      </c>
      <c r="V91" s="16">
        <f t="shared" si="7"/>
        <v>4035</v>
      </c>
      <c r="W91" s="53">
        <v>3</v>
      </c>
      <c r="X91" s="53" t="s">
        <v>46</v>
      </c>
      <c r="Y91" s="53" t="s">
        <v>78</v>
      </c>
      <c r="Z91" s="53" t="s">
        <v>102</v>
      </c>
      <c r="AA91" s="53" t="s">
        <v>69</v>
      </c>
      <c r="AB91" s="53" t="s">
        <v>235</v>
      </c>
    </row>
    <row r="92" spans="1:28" x14ac:dyDescent="0.15">
      <c r="A92" s="53" t="s">
        <v>34</v>
      </c>
      <c r="B92" s="53" t="s">
        <v>231</v>
      </c>
      <c r="C92" s="53">
        <v>2019</v>
      </c>
      <c r="D92" s="176" t="s">
        <v>371</v>
      </c>
      <c r="E92" s="53" t="s">
        <v>380</v>
      </c>
      <c r="F92" s="53" t="s">
        <v>381</v>
      </c>
      <c r="G92" s="53" t="s">
        <v>36</v>
      </c>
      <c r="H92" s="53" t="s">
        <v>164</v>
      </c>
      <c r="I92" s="53" t="s">
        <v>159</v>
      </c>
      <c r="J92" s="53" t="s">
        <v>38</v>
      </c>
      <c r="K92" s="53" t="s">
        <v>161</v>
      </c>
      <c r="L92" s="53">
        <v>1</v>
      </c>
      <c r="N92" s="53">
        <v>1</v>
      </c>
      <c r="O92" s="53">
        <v>0.5</v>
      </c>
      <c r="P92" s="53">
        <v>0.6</v>
      </c>
      <c r="Q92" s="16">
        <f t="shared" si="5"/>
        <v>0.55000000000000004</v>
      </c>
      <c r="R92" s="53">
        <v>15.2</v>
      </c>
      <c r="S92" s="53">
        <v>108</v>
      </c>
      <c r="T92" s="16">
        <f t="shared" si="6"/>
        <v>33</v>
      </c>
      <c r="U92" s="53">
        <v>105</v>
      </c>
      <c r="V92" s="16">
        <f t="shared" si="7"/>
        <v>3465</v>
      </c>
      <c r="W92" s="53">
        <v>3</v>
      </c>
      <c r="X92" s="53" t="s">
        <v>46</v>
      </c>
      <c r="Y92" s="53" t="s">
        <v>102</v>
      </c>
      <c r="Z92" s="53" t="s">
        <v>69</v>
      </c>
      <c r="AA92" s="53" t="s">
        <v>55</v>
      </c>
      <c r="AB92" s="53" t="s">
        <v>235</v>
      </c>
    </row>
    <row r="93" spans="1:28" x14ac:dyDescent="0.15">
      <c r="A93" s="53" t="s">
        <v>34</v>
      </c>
      <c r="B93" s="53" t="s">
        <v>231</v>
      </c>
      <c r="C93" s="53">
        <v>2019</v>
      </c>
      <c r="D93" s="176" t="s">
        <v>371</v>
      </c>
      <c r="E93" s="53" t="s">
        <v>380</v>
      </c>
      <c r="F93" s="53" t="s">
        <v>381</v>
      </c>
      <c r="G93" s="53" t="s">
        <v>36</v>
      </c>
      <c r="H93" s="53" t="s">
        <v>164</v>
      </c>
      <c r="I93" s="53" t="s">
        <v>159</v>
      </c>
      <c r="J93" s="53" t="s">
        <v>38</v>
      </c>
      <c r="K93" s="53" t="s">
        <v>161</v>
      </c>
      <c r="L93" s="53">
        <v>2</v>
      </c>
      <c r="N93" s="53">
        <v>1</v>
      </c>
      <c r="O93" s="53">
        <v>0.55000000000000004</v>
      </c>
      <c r="P93" s="53">
        <v>0.55000000000000004</v>
      </c>
      <c r="Q93" s="16">
        <f t="shared" si="5"/>
        <v>0.55000000000000004</v>
      </c>
      <c r="R93" s="53">
        <v>15.1</v>
      </c>
      <c r="S93" s="53">
        <v>100</v>
      </c>
      <c r="T93" s="16">
        <f t="shared" si="6"/>
        <v>33</v>
      </c>
      <c r="U93" s="53">
        <v>105</v>
      </c>
      <c r="V93" s="16">
        <f t="shared" si="7"/>
        <v>3465</v>
      </c>
      <c r="W93" s="53">
        <v>3</v>
      </c>
      <c r="X93" s="53" t="s">
        <v>46</v>
      </c>
      <c r="Y93" s="53" t="s">
        <v>102</v>
      </c>
      <c r="Z93" s="53" t="s">
        <v>69</v>
      </c>
      <c r="AA93" s="53" t="s">
        <v>55</v>
      </c>
      <c r="AB93" s="53" t="s">
        <v>235</v>
      </c>
    </row>
    <row r="94" spans="1:28" x14ac:dyDescent="0.15">
      <c r="A94" s="53" t="s">
        <v>34</v>
      </c>
      <c r="B94" s="53" t="s">
        <v>231</v>
      </c>
      <c r="C94" s="53">
        <v>2019</v>
      </c>
      <c r="D94" s="176" t="s">
        <v>371</v>
      </c>
      <c r="E94" s="53" t="s">
        <v>380</v>
      </c>
      <c r="F94" s="53" t="s">
        <v>381</v>
      </c>
      <c r="G94" s="53" t="s">
        <v>36</v>
      </c>
      <c r="H94" s="53" t="s">
        <v>164</v>
      </c>
      <c r="I94" s="53" t="s">
        <v>159</v>
      </c>
      <c r="J94" s="53" t="s">
        <v>38</v>
      </c>
      <c r="K94" s="53" t="s">
        <v>161</v>
      </c>
      <c r="L94" s="53">
        <v>3</v>
      </c>
      <c r="N94" s="53">
        <v>1</v>
      </c>
      <c r="O94" s="53">
        <v>0.75</v>
      </c>
      <c r="P94" s="53">
        <v>0.75</v>
      </c>
      <c r="Q94" s="16">
        <f t="shared" si="5"/>
        <v>0.75</v>
      </c>
      <c r="R94" s="53">
        <v>14.4</v>
      </c>
      <c r="S94" s="53">
        <v>112</v>
      </c>
      <c r="T94" s="16">
        <f t="shared" si="6"/>
        <v>33</v>
      </c>
      <c r="U94" s="53">
        <v>105</v>
      </c>
      <c r="V94" s="16">
        <f t="shared" si="7"/>
        <v>3465</v>
      </c>
      <c r="W94" s="53">
        <v>3</v>
      </c>
      <c r="X94" s="53" t="s">
        <v>46</v>
      </c>
      <c r="Y94" s="53" t="s">
        <v>102</v>
      </c>
      <c r="Z94" s="53" t="s">
        <v>69</v>
      </c>
      <c r="AA94" s="53" t="s">
        <v>55</v>
      </c>
      <c r="AB94" s="53" t="s">
        <v>235</v>
      </c>
    </row>
    <row r="95" spans="1:28" x14ac:dyDescent="0.15">
      <c r="A95" s="53" t="s">
        <v>34</v>
      </c>
      <c r="B95" s="53" t="s">
        <v>231</v>
      </c>
      <c r="C95" s="53">
        <v>2019</v>
      </c>
      <c r="D95" s="176" t="s">
        <v>371</v>
      </c>
      <c r="E95" s="53" t="s">
        <v>380</v>
      </c>
      <c r="F95" s="53" t="s">
        <v>381</v>
      </c>
      <c r="G95" s="53" t="s">
        <v>36</v>
      </c>
      <c r="H95" s="53" t="s">
        <v>164</v>
      </c>
      <c r="I95" s="53" t="s">
        <v>159</v>
      </c>
      <c r="J95" s="53" t="s">
        <v>38</v>
      </c>
      <c r="K95" s="53" t="s">
        <v>161</v>
      </c>
      <c r="L95" s="53">
        <v>1</v>
      </c>
      <c r="N95" s="53">
        <v>4</v>
      </c>
      <c r="O95" s="53">
        <v>0.5</v>
      </c>
      <c r="P95" s="53">
        <v>0.7</v>
      </c>
      <c r="Q95" s="16">
        <f t="shared" si="5"/>
        <v>0.6</v>
      </c>
      <c r="R95" s="53">
        <v>15.1</v>
      </c>
      <c r="S95" s="53">
        <v>106</v>
      </c>
      <c r="T95" s="16">
        <f t="shared" si="6"/>
        <v>33</v>
      </c>
      <c r="U95" s="53">
        <v>410</v>
      </c>
      <c r="V95" s="16">
        <f t="shared" si="7"/>
        <v>3382.5</v>
      </c>
      <c r="W95" s="53">
        <v>3</v>
      </c>
      <c r="X95" s="53" t="s">
        <v>46</v>
      </c>
      <c r="Y95" s="53" t="s">
        <v>102</v>
      </c>
      <c r="Z95" s="53" t="s">
        <v>69</v>
      </c>
      <c r="AA95" s="53" t="s">
        <v>55</v>
      </c>
      <c r="AB95" s="53" t="s">
        <v>235</v>
      </c>
    </row>
    <row r="96" spans="1:28" x14ac:dyDescent="0.15">
      <c r="A96" s="53" t="s">
        <v>34</v>
      </c>
      <c r="B96" s="53" t="s">
        <v>231</v>
      </c>
      <c r="C96" s="53">
        <v>2019</v>
      </c>
      <c r="D96" s="176" t="s">
        <v>371</v>
      </c>
      <c r="E96" s="53" t="s">
        <v>380</v>
      </c>
      <c r="F96" s="53" t="s">
        <v>381</v>
      </c>
      <c r="G96" s="53" t="s">
        <v>36</v>
      </c>
      <c r="H96" s="53" t="s">
        <v>164</v>
      </c>
      <c r="I96" s="53" t="s">
        <v>159</v>
      </c>
      <c r="J96" s="53" t="s">
        <v>38</v>
      </c>
      <c r="K96" s="53" t="s">
        <v>161</v>
      </c>
      <c r="L96" s="53">
        <v>2</v>
      </c>
      <c r="N96" s="53">
        <v>4</v>
      </c>
      <c r="O96" s="53">
        <v>0.5</v>
      </c>
      <c r="P96" s="53">
        <v>0.75</v>
      </c>
      <c r="Q96" s="16">
        <f t="shared" si="5"/>
        <v>0.625</v>
      </c>
      <c r="R96" s="53">
        <v>12.9</v>
      </c>
      <c r="S96" s="53">
        <v>106</v>
      </c>
      <c r="T96" s="16">
        <f t="shared" si="6"/>
        <v>33</v>
      </c>
      <c r="U96" s="53">
        <v>410</v>
      </c>
      <c r="V96" s="16">
        <f t="shared" si="7"/>
        <v>3382.5</v>
      </c>
      <c r="W96" s="53">
        <v>3</v>
      </c>
      <c r="X96" s="53" t="s">
        <v>46</v>
      </c>
      <c r="Y96" s="53" t="s">
        <v>102</v>
      </c>
      <c r="Z96" s="53" t="s">
        <v>69</v>
      </c>
      <c r="AA96" s="53" t="s">
        <v>55</v>
      </c>
      <c r="AB96" s="53" t="s">
        <v>235</v>
      </c>
    </row>
    <row r="97" spans="1:28" x14ac:dyDescent="0.15">
      <c r="A97" s="53" t="s">
        <v>34</v>
      </c>
      <c r="B97" s="53" t="s">
        <v>231</v>
      </c>
      <c r="C97" s="53">
        <v>2019</v>
      </c>
      <c r="D97" s="176" t="s">
        <v>371</v>
      </c>
      <c r="E97" s="53" t="s">
        <v>380</v>
      </c>
      <c r="F97" s="53" t="s">
        <v>381</v>
      </c>
      <c r="G97" s="53" t="s">
        <v>36</v>
      </c>
      <c r="H97" s="53" t="s">
        <v>164</v>
      </c>
      <c r="I97" s="53" t="s">
        <v>159</v>
      </c>
      <c r="J97" s="53" t="s">
        <v>38</v>
      </c>
      <c r="K97" s="53" t="s">
        <v>161</v>
      </c>
      <c r="L97" s="53">
        <v>3</v>
      </c>
      <c r="N97" s="53">
        <v>4</v>
      </c>
      <c r="O97" s="53">
        <v>0.45</v>
      </c>
      <c r="P97" s="53">
        <v>0.7</v>
      </c>
      <c r="Q97" s="16">
        <f t="shared" si="5"/>
        <v>0.57499999999999996</v>
      </c>
      <c r="R97" s="53">
        <v>14.3</v>
      </c>
      <c r="S97" s="53">
        <v>90</v>
      </c>
      <c r="T97" s="16">
        <f t="shared" si="6"/>
        <v>36</v>
      </c>
      <c r="U97" s="53">
        <v>410</v>
      </c>
      <c r="V97" s="16">
        <f t="shared" si="7"/>
        <v>3690</v>
      </c>
      <c r="W97" s="53">
        <v>3</v>
      </c>
      <c r="X97" s="53" t="s">
        <v>46</v>
      </c>
      <c r="Y97" s="53" t="s">
        <v>102</v>
      </c>
      <c r="Z97" s="53" t="s">
        <v>69</v>
      </c>
      <c r="AA97" s="53" t="s">
        <v>55</v>
      </c>
      <c r="AB97" s="53" t="s">
        <v>235</v>
      </c>
    </row>
    <row r="98" spans="1:28" x14ac:dyDescent="0.15">
      <c r="A98" s="53" t="s">
        <v>34</v>
      </c>
      <c r="B98" s="53" t="s">
        <v>231</v>
      </c>
      <c r="C98" s="53">
        <v>2019</v>
      </c>
      <c r="D98" s="176" t="s">
        <v>371</v>
      </c>
      <c r="E98" s="53" t="s">
        <v>380</v>
      </c>
      <c r="F98" s="53" t="s">
        <v>381</v>
      </c>
      <c r="G98" s="53" t="s">
        <v>36</v>
      </c>
      <c r="H98" s="53" t="s">
        <v>164</v>
      </c>
      <c r="I98" s="53" t="s">
        <v>196</v>
      </c>
      <c r="J98" s="53" t="s">
        <v>38</v>
      </c>
      <c r="K98" s="53" t="s">
        <v>161</v>
      </c>
      <c r="L98" s="53">
        <v>1</v>
      </c>
      <c r="N98" s="53">
        <v>1</v>
      </c>
      <c r="O98" s="53">
        <v>0.2</v>
      </c>
      <c r="P98" s="53">
        <v>0.45</v>
      </c>
      <c r="Q98" s="16">
        <f t="shared" si="5"/>
        <v>0.32500000000000001</v>
      </c>
      <c r="R98" s="53">
        <v>14.6</v>
      </c>
      <c r="S98" s="53">
        <v>95</v>
      </c>
      <c r="T98" s="16">
        <f t="shared" si="6"/>
        <v>36</v>
      </c>
      <c r="U98" s="53">
        <v>429</v>
      </c>
      <c r="V98" s="16">
        <f t="shared" si="7"/>
        <v>15444</v>
      </c>
      <c r="W98" s="53">
        <v>3</v>
      </c>
      <c r="X98" s="53" t="s">
        <v>46</v>
      </c>
      <c r="Y98" s="53" t="s">
        <v>102</v>
      </c>
      <c r="Z98" s="53" t="s">
        <v>69</v>
      </c>
      <c r="AA98" s="53" t="s">
        <v>55</v>
      </c>
      <c r="AB98" s="53" t="s">
        <v>235</v>
      </c>
    </row>
    <row r="99" spans="1:28" x14ac:dyDescent="0.15">
      <c r="A99" s="53" t="s">
        <v>34</v>
      </c>
      <c r="B99" s="53" t="s">
        <v>231</v>
      </c>
      <c r="C99" s="53">
        <v>2019</v>
      </c>
      <c r="D99" s="176" t="s">
        <v>371</v>
      </c>
      <c r="E99" s="53" t="s">
        <v>380</v>
      </c>
      <c r="F99" s="53" t="s">
        <v>381</v>
      </c>
      <c r="G99" s="53" t="s">
        <v>36</v>
      </c>
      <c r="H99" s="53" t="s">
        <v>164</v>
      </c>
      <c r="I99" s="53" t="s">
        <v>196</v>
      </c>
      <c r="J99" s="53" t="s">
        <v>38</v>
      </c>
      <c r="K99" s="53" t="s">
        <v>161</v>
      </c>
      <c r="L99" s="53">
        <v>2</v>
      </c>
      <c r="N99" s="53">
        <v>1</v>
      </c>
      <c r="O99" s="53">
        <v>0.45</v>
      </c>
      <c r="P99" s="53">
        <v>0.45</v>
      </c>
      <c r="Q99" s="16">
        <f t="shared" si="5"/>
        <v>0.45</v>
      </c>
      <c r="R99" s="53">
        <v>14.3</v>
      </c>
      <c r="S99" s="53">
        <v>100</v>
      </c>
      <c r="T99" s="16">
        <f t="shared" si="6"/>
        <v>33</v>
      </c>
      <c r="U99" s="53">
        <v>429</v>
      </c>
      <c r="V99" s="16">
        <f t="shared" si="7"/>
        <v>14157</v>
      </c>
      <c r="W99" s="53">
        <v>3</v>
      </c>
      <c r="X99" s="53" t="s">
        <v>46</v>
      </c>
      <c r="Y99" s="53" t="s">
        <v>102</v>
      </c>
      <c r="Z99" s="53" t="s">
        <v>69</v>
      </c>
      <c r="AA99" s="53" t="s">
        <v>55</v>
      </c>
      <c r="AB99" s="53" t="s">
        <v>235</v>
      </c>
    </row>
    <row r="100" spans="1:28" x14ac:dyDescent="0.15">
      <c r="A100" s="53" t="s">
        <v>34</v>
      </c>
      <c r="B100" s="53" t="s">
        <v>231</v>
      </c>
      <c r="C100" s="53">
        <v>2019</v>
      </c>
      <c r="D100" s="176" t="s">
        <v>371</v>
      </c>
      <c r="E100" s="53" t="s">
        <v>380</v>
      </c>
      <c r="F100" s="53" t="s">
        <v>381</v>
      </c>
      <c r="G100" s="53" t="s">
        <v>36</v>
      </c>
      <c r="H100" s="53" t="s">
        <v>164</v>
      </c>
      <c r="I100" s="53" t="s">
        <v>196</v>
      </c>
      <c r="J100" s="53" t="s">
        <v>38</v>
      </c>
      <c r="K100" s="53" t="s">
        <v>161</v>
      </c>
      <c r="L100" s="53">
        <v>3</v>
      </c>
      <c r="N100" s="53">
        <v>1</v>
      </c>
      <c r="O100" s="53">
        <v>0.5</v>
      </c>
      <c r="P100" s="53">
        <v>0.45</v>
      </c>
      <c r="Q100" s="16">
        <f t="shared" si="5"/>
        <v>0.47499999999999998</v>
      </c>
      <c r="R100" s="53">
        <v>13.8</v>
      </c>
      <c r="S100" s="53">
        <v>108</v>
      </c>
      <c r="T100" s="16">
        <f t="shared" si="6"/>
        <v>33</v>
      </c>
      <c r="U100" s="53">
        <v>429</v>
      </c>
      <c r="V100" s="16">
        <f t="shared" si="7"/>
        <v>14157</v>
      </c>
      <c r="W100" s="53">
        <v>3</v>
      </c>
      <c r="X100" s="53" t="s">
        <v>46</v>
      </c>
      <c r="Y100" s="53" t="s">
        <v>102</v>
      </c>
      <c r="Z100" s="53" t="s">
        <v>69</v>
      </c>
      <c r="AA100" s="53" t="s">
        <v>55</v>
      </c>
      <c r="AB100" s="53" t="s">
        <v>235</v>
      </c>
    </row>
    <row r="101" spans="1:28" x14ac:dyDescent="0.15">
      <c r="A101" s="53" t="s">
        <v>34</v>
      </c>
      <c r="B101" s="53" t="s">
        <v>231</v>
      </c>
      <c r="C101" s="53">
        <v>2019</v>
      </c>
      <c r="D101" s="176" t="s">
        <v>371</v>
      </c>
      <c r="E101" s="53" t="s">
        <v>380</v>
      </c>
      <c r="F101" s="53" t="s">
        <v>381</v>
      </c>
      <c r="G101" s="53" t="s">
        <v>36</v>
      </c>
      <c r="H101" s="53" t="s">
        <v>160</v>
      </c>
      <c r="I101" s="53" t="s">
        <v>159</v>
      </c>
      <c r="J101" s="53" t="s">
        <v>38</v>
      </c>
      <c r="K101" s="53" t="s">
        <v>161</v>
      </c>
      <c r="L101" s="53">
        <v>1</v>
      </c>
      <c r="N101" s="53">
        <v>1</v>
      </c>
      <c r="O101" s="53">
        <v>0.45</v>
      </c>
      <c r="P101" s="53">
        <v>0.5</v>
      </c>
      <c r="Q101" s="16">
        <f t="shared" si="5"/>
        <v>0.47499999999999998</v>
      </c>
      <c r="R101" s="53">
        <v>14.7</v>
      </c>
      <c r="S101" s="53">
        <v>106</v>
      </c>
      <c r="T101" s="16">
        <f t="shared" si="6"/>
        <v>33</v>
      </c>
      <c r="U101" s="53">
        <v>105</v>
      </c>
      <c r="V101" s="16">
        <f t="shared" si="7"/>
        <v>3465</v>
      </c>
      <c r="W101" s="53">
        <v>2</v>
      </c>
      <c r="X101" s="53" t="s">
        <v>46</v>
      </c>
      <c r="Y101" s="53" t="s">
        <v>102</v>
      </c>
      <c r="Z101" s="53" t="s">
        <v>69</v>
      </c>
      <c r="AA101" s="53" t="s">
        <v>55</v>
      </c>
      <c r="AB101" s="53" t="s">
        <v>235</v>
      </c>
    </row>
    <row r="102" spans="1:28" x14ac:dyDescent="0.15">
      <c r="A102" s="53" t="s">
        <v>34</v>
      </c>
      <c r="B102" s="53" t="s">
        <v>231</v>
      </c>
      <c r="C102" s="53">
        <v>2019</v>
      </c>
      <c r="D102" s="176" t="s">
        <v>371</v>
      </c>
      <c r="E102" s="53" t="s">
        <v>380</v>
      </c>
      <c r="F102" s="53" t="s">
        <v>381</v>
      </c>
      <c r="G102" s="53" t="s">
        <v>36</v>
      </c>
      <c r="H102" s="53" t="s">
        <v>160</v>
      </c>
      <c r="I102" s="53" t="s">
        <v>159</v>
      </c>
      <c r="J102" s="53" t="s">
        <v>38</v>
      </c>
      <c r="K102" s="53" t="s">
        <v>161</v>
      </c>
      <c r="L102" s="53">
        <v>2</v>
      </c>
      <c r="N102" s="53">
        <v>1</v>
      </c>
      <c r="O102" s="53">
        <v>0.45</v>
      </c>
      <c r="P102" s="53">
        <v>0.2</v>
      </c>
      <c r="Q102" s="16">
        <f t="shared" si="5"/>
        <v>0.32500000000000001</v>
      </c>
      <c r="R102" s="53">
        <v>15.8</v>
      </c>
      <c r="S102" s="53">
        <v>108</v>
      </c>
      <c r="T102" s="16">
        <f t="shared" si="6"/>
        <v>33</v>
      </c>
      <c r="U102" s="53">
        <v>105</v>
      </c>
      <c r="V102" s="16">
        <f t="shared" si="7"/>
        <v>3465</v>
      </c>
      <c r="W102" s="53">
        <v>2</v>
      </c>
      <c r="X102" s="53" t="s">
        <v>46</v>
      </c>
      <c r="Y102" s="53" t="s">
        <v>102</v>
      </c>
      <c r="Z102" s="53" t="s">
        <v>69</v>
      </c>
      <c r="AA102" s="53" t="s">
        <v>55</v>
      </c>
      <c r="AB102" s="53" t="s">
        <v>235</v>
      </c>
    </row>
    <row r="103" spans="1:28" x14ac:dyDescent="0.15">
      <c r="A103" s="53" t="s">
        <v>34</v>
      </c>
      <c r="B103" s="53" t="s">
        <v>231</v>
      </c>
      <c r="C103" s="53">
        <v>2019</v>
      </c>
      <c r="D103" s="176" t="s">
        <v>371</v>
      </c>
      <c r="E103" s="53" t="s">
        <v>380</v>
      </c>
      <c r="F103" s="53" t="s">
        <v>381</v>
      </c>
      <c r="G103" s="53" t="s">
        <v>36</v>
      </c>
      <c r="H103" s="53" t="s">
        <v>160</v>
      </c>
      <c r="I103" s="53" t="s">
        <v>159</v>
      </c>
      <c r="J103" s="53" t="s">
        <v>38</v>
      </c>
      <c r="K103" s="53" t="s">
        <v>161</v>
      </c>
      <c r="L103" s="53">
        <v>3</v>
      </c>
      <c r="N103" s="53">
        <v>1</v>
      </c>
      <c r="O103" s="53">
        <v>0.2</v>
      </c>
      <c r="P103" s="53">
        <v>0.2</v>
      </c>
      <c r="Q103" s="16">
        <f t="shared" si="5"/>
        <v>0.2</v>
      </c>
      <c r="R103" s="53">
        <v>15.4</v>
      </c>
      <c r="S103" s="53">
        <v>109</v>
      </c>
      <c r="T103" s="16">
        <f t="shared" si="6"/>
        <v>33</v>
      </c>
      <c r="U103" s="53">
        <v>105</v>
      </c>
      <c r="V103" s="16">
        <f t="shared" si="7"/>
        <v>3465</v>
      </c>
      <c r="W103" s="53">
        <v>2</v>
      </c>
      <c r="X103" s="53" t="s">
        <v>46</v>
      </c>
      <c r="Y103" s="53" t="s">
        <v>102</v>
      </c>
      <c r="Z103" s="53" t="s">
        <v>69</v>
      </c>
      <c r="AA103" s="53" t="s">
        <v>55</v>
      </c>
      <c r="AB103" s="53" t="s">
        <v>235</v>
      </c>
    </row>
    <row r="104" spans="1:28" x14ac:dyDescent="0.15">
      <c r="A104" s="53" t="s">
        <v>34</v>
      </c>
      <c r="B104" s="53" t="s">
        <v>231</v>
      </c>
      <c r="C104" s="53">
        <v>2019</v>
      </c>
      <c r="D104" s="176" t="s">
        <v>371</v>
      </c>
      <c r="E104" s="53" t="s">
        <v>380</v>
      </c>
      <c r="F104" s="53" t="s">
        <v>381</v>
      </c>
      <c r="G104" s="53" t="s">
        <v>36</v>
      </c>
      <c r="H104" s="53" t="s">
        <v>160</v>
      </c>
      <c r="I104" s="53" t="s">
        <v>159</v>
      </c>
      <c r="J104" s="53" t="s">
        <v>38</v>
      </c>
      <c r="K104" s="53" t="s">
        <v>161</v>
      </c>
      <c r="L104" s="53">
        <v>1</v>
      </c>
      <c r="N104" s="53">
        <v>4</v>
      </c>
      <c r="O104" s="53">
        <v>0.6</v>
      </c>
      <c r="P104" s="53">
        <v>0.5</v>
      </c>
      <c r="Q104" s="16">
        <f t="shared" si="5"/>
        <v>0.55000000000000004</v>
      </c>
      <c r="R104" s="53">
        <v>17.2</v>
      </c>
      <c r="S104" s="53">
        <v>108</v>
      </c>
      <c r="T104" s="16">
        <f t="shared" si="6"/>
        <v>33</v>
      </c>
      <c r="U104" s="53">
        <v>410</v>
      </c>
      <c r="V104" s="16">
        <f t="shared" si="7"/>
        <v>3382.5</v>
      </c>
      <c r="W104" s="53">
        <v>2</v>
      </c>
      <c r="X104" s="53" t="s">
        <v>46</v>
      </c>
      <c r="Y104" s="53" t="s">
        <v>102</v>
      </c>
      <c r="Z104" s="53" t="s">
        <v>69</v>
      </c>
      <c r="AA104" s="53" t="s">
        <v>55</v>
      </c>
      <c r="AB104" s="53" t="s">
        <v>235</v>
      </c>
    </row>
    <row r="105" spans="1:28" x14ac:dyDescent="0.15">
      <c r="A105" s="53" t="s">
        <v>34</v>
      </c>
      <c r="B105" s="53" t="s">
        <v>231</v>
      </c>
      <c r="C105" s="53">
        <v>2019</v>
      </c>
      <c r="D105" s="176" t="s">
        <v>371</v>
      </c>
      <c r="E105" s="53" t="s">
        <v>380</v>
      </c>
      <c r="F105" s="53" t="s">
        <v>381</v>
      </c>
      <c r="G105" s="53" t="s">
        <v>36</v>
      </c>
      <c r="H105" s="53" t="s">
        <v>160</v>
      </c>
      <c r="I105" s="53" t="s">
        <v>159</v>
      </c>
      <c r="J105" s="53" t="s">
        <v>38</v>
      </c>
      <c r="K105" s="53" t="s">
        <v>161</v>
      </c>
      <c r="L105" s="53">
        <v>2</v>
      </c>
      <c r="N105" s="53">
        <v>4</v>
      </c>
      <c r="O105" s="53">
        <v>0.65</v>
      </c>
      <c r="P105" s="53">
        <v>0.55000000000000004</v>
      </c>
      <c r="Q105" s="16">
        <f t="shared" si="5"/>
        <v>0.60000000000000009</v>
      </c>
      <c r="R105" s="53">
        <v>15</v>
      </c>
      <c r="S105" s="53">
        <v>108</v>
      </c>
      <c r="T105" s="16">
        <f t="shared" si="6"/>
        <v>33</v>
      </c>
      <c r="U105" s="53">
        <v>410</v>
      </c>
      <c r="V105" s="16">
        <f t="shared" si="7"/>
        <v>3382.5</v>
      </c>
      <c r="W105" s="53">
        <v>2</v>
      </c>
      <c r="X105" s="53" t="s">
        <v>46</v>
      </c>
      <c r="Y105" s="53" t="s">
        <v>102</v>
      </c>
      <c r="Z105" s="53" t="s">
        <v>69</v>
      </c>
      <c r="AA105" s="53" t="s">
        <v>55</v>
      </c>
      <c r="AB105" s="53" t="s">
        <v>235</v>
      </c>
    </row>
    <row r="106" spans="1:28" x14ac:dyDescent="0.15">
      <c r="A106" s="53" t="s">
        <v>34</v>
      </c>
      <c r="B106" s="53" t="s">
        <v>231</v>
      </c>
      <c r="C106" s="53">
        <v>2019</v>
      </c>
      <c r="D106" s="176" t="s">
        <v>371</v>
      </c>
      <c r="E106" s="53" t="s">
        <v>380</v>
      </c>
      <c r="F106" s="53" t="s">
        <v>381</v>
      </c>
      <c r="G106" s="53" t="s">
        <v>36</v>
      </c>
      <c r="H106" s="53" t="s">
        <v>160</v>
      </c>
      <c r="I106" s="53" t="s">
        <v>159</v>
      </c>
      <c r="J106" s="53" t="s">
        <v>38</v>
      </c>
      <c r="K106" s="53" t="s">
        <v>161</v>
      </c>
      <c r="L106" s="53">
        <v>3</v>
      </c>
      <c r="N106" s="53">
        <v>4</v>
      </c>
      <c r="O106" s="53">
        <v>0.55000000000000004</v>
      </c>
      <c r="P106" s="53">
        <v>0.55000000000000004</v>
      </c>
      <c r="Q106" s="16">
        <f t="shared" si="5"/>
        <v>0.55000000000000004</v>
      </c>
      <c r="R106" s="53">
        <v>14.4</v>
      </c>
      <c r="S106" s="53">
        <v>106</v>
      </c>
      <c r="T106" s="16">
        <f t="shared" si="6"/>
        <v>33</v>
      </c>
      <c r="U106" s="53">
        <v>410</v>
      </c>
      <c r="V106" s="16">
        <f t="shared" si="7"/>
        <v>3382.5</v>
      </c>
      <c r="W106" s="53">
        <v>2</v>
      </c>
      <c r="X106" s="53" t="s">
        <v>46</v>
      </c>
      <c r="Y106" s="53" t="s">
        <v>102</v>
      </c>
      <c r="Z106" s="53" t="s">
        <v>69</v>
      </c>
      <c r="AA106" s="53" t="s">
        <v>55</v>
      </c>
      <c r="AB106" s="53" t="s">
        <v>235</v>
      </c>
    </row>
    <row r="107" spans="1:28" x14ac:dyDescent="0.15">
      <c r="D107" s="176"/>
    </row>
    <row r="108" spans="1:28" x14ac:dyDescent="0.15">
      <c r="D108" s="176"/>
    </row>
    <row r="109" spans="1:28" x14ac:dyDescent="0.15">
      <c r="D109" s="176"/>
    </row>
    <row r="110" spans="1:28" x14ac:dyDescent="0.15">
      <c r="D110" s="176"/>
    </row>
    <row r="111" spans="1:28" x14ac:dyDescent="0.15">
      <c r="D111" s="176"/>
    </row>
    <row r="112" spans="1:28" x14ac:dyDescent="0.15">
      <c r="D112" s="176"/>
    </row>
    <row r="113" spans="4:4" x14ac:dyDescent="0.15">
      <c r="D113" s="176"/>
    </row>
    <row r="114" spans="4:4" x14ac:dyDescent="0.15">
      <c r="D114" s="176"/>
    </row>
    <row r="115" spans="4:4" x14ac:dyDescent="0.15">
      <c r="D115" s="176"/>
    </row>
    <row r="116" spans="4:4" x14ac:dyDescent="0.15">
      <c r="D116" s="176"/>
    </row>
    <row r="117" spans="4:4" x14ac:dyDescent="0.15">
      <c r="D117" s="176"/>
    </row>
    <row r="118" spans="4:4" x14ac:dyDescent="0.15">
      <c r="D118" s="176"/>
    </row>
    <row r="119" spans="4:4" x14ac:dyDescent="0.15">
      <c r="D119" s="176"/>
    </row>
    <row r="120" spans="4:4" x14ac:dyDescent="0.15">
      <c r="D120" s="176"/>
    </row>
    <row r="121" spans="4:4" x14ac:dyDescent="0.15">
      <c r="D121" s="176"/>
    </row>
    <row r="122" spans="4:4" x14ac:dyDescent="0.15">
      <c r="D122" s="176"/>
    </row>
    <row r="123" spans="4:4" x14ac:dyDescent="0.15">
      <c r="D123" s="176"/>
    </row>
    <row r="124" spans="4:4" x14ac:dyDescent="0.15">
      <c r="D124" s="176"/>
    </row>
    <row r="125" spans="4:4" x14ac:dyDescent="0.15">
      <c r="D125" s="176"/>
    </row>
    <row r="126" spans="4:4" x14ac:dyDescent="0.15">
      <c r="D126" s="176"/>
    </row>
    <row r="127" spans="4:4" x14ac:dyDescent="0.15">
      <c r="D127" s="176"/>
    </row>
    <row r="128" spans="4:4" x14ac:dyDescent="0.15">
      <c r="D128" s="176"/>
    </row>
    <row r="129" spans="4:4" x14ac:dyDescent="0.15">
      <c r="D129" s="176"/>
    </row>
    <row r="130" spans="4:4" x14ac:dyDescent="0.15">
      <c r="D130" s="176"/>
    </row>
    <row r="131" spans="4:4" x14ac:dyDescent="0.15">
      <c r="D131" s="176"/>
    </row>
    <row r="132" spans="4:4" x14ac:dyDescent="0.15">
      <c r="D132" s="176"/>
    </row>
    <row r="133" spans="4:4" x14ac:dyDescent="0.15">
      <c r="D133" s="176"/>
    </row>
    <row r="134" spans="4:4" x14ac:dyDescent="0.15">
      <c r="D134" s="176"/>
    </row>
    <row r="135" spans="4:4" x14ac:dyDescent="0.15">
      <c r="D135" s="176"/>
    </row>
    <row r="136" spans="4:4" x14ac:dyDescent="0.15">
      <c r="D136" s="176"/>
    </row>
    <row r="137" spans="4:4" x14ac:dyDescent="0.15">
      <c r="D137" s="176"/>
    </row>
    <row r="138" spans="4:4" x14ac:dyDescent="0.15">
      <c r="D138" s="176"/>
    </row>
    <row r="139" spans="4:4" x14ac:dyDescent="0.15">
      <c r="D139" s="176"/>
    </row>
    <row r="140" spans="4:4" x14ac:dyDescent="0.15">
      <c r="D140" s="176"/>
    </row>
    <row r="141" spans="4:4" x14ac:dyDescent="0.15">
      <c r="D141" s="176"/>
    </row>
    <row r="142" spans="4:4" x14ac:dyDescent="0.15">
      <c r="D142" s="176"/>
    </row>
    <row r="143" spans="4:4" x14ac:dyDescent="0.15">
      <c r="D143" s="176"/>
    </row>
    <row r="144" spans="4:4" x14ac:dyDescent="0.15">
      <c r="D144" s="176"/>
    </row>
    <row r="145" spans="4:4" x14ac:dyDescent="0.15">
      <c r="D145" s="176"/>
    </row>
    <row r="146" spans="4:4" x14ac:dyDescent="0.15">
      <c r="D146" s="176"/>
    </row>
    <row r="147" spans="4:4" x14ac:dyDescent="0.15">
      <c r="D147" s="176"/>
    </row>
    <row r="148" spans="4:4" x14ac:dyDescent="0.15">
      <c r="D148" s="176"/>
    </row>
    <row r="149" spans="4:4" x14ac:dyDescent="0.15">
      <c r="D149" s="176"/>
    </row>
  </sheetData>
  <autoFilter ref="A1:BA149" xr:uid="{00000000-0009-0000-0000-000000000000}"/>
  <phoneticPr fontId="3"/>
  <dataValidations count="12">
    <dataValidation type="list" allowBlank="1" showInputMessage="1" showErrorMessage="1" sqref="K2:K781" xr:uid="{A4DAC11C-1152-4EC1-9922-288322EC7B58}">
      <formula1>$AR$2:$AR$23</formula1>
    </dataValidation>
    <dataValidation operator="equal" allowBlank="1" showInputMessage="1" showErrorMessage="1" sqref="B2:B149" xr:uid="{3BF073B5-3B38-48FB-BE22-4E2984A35A68}"/>
    <dataValidation type="list" allowBlank="1" showInputMessage="1" showErrorMessage="1" sqref="A2:A468" xr:uid="{094DC7FD-928D-4B77-84DC-2534B589D175}">
      <formula1>$AE$2:$AE$19</formula1>
    </dataValidation>
    <dataValidation type="list" allowBlank="1" showInputMessage="1" showErrorMessage="1" sqref="Y2:AA469" xr:uid="{E79E0139-07BB-4BF0-9863-8761F4F95CEE}">
      <formula1>$AV$2:$AV$21</formula1>
    </dataValidation>
    <dataValidation type="list" allowBlank="1" showInputMessage="1" showErrorMessage="1" sqref="H2:H469" xr:uid="{21977F06-65B7-437B-9AFF-806CC5F6C771}">
      <formula1>$AL$2:$AL$8</formula1>
    </dataValidation>
    <dataValidation type="list" allowBlank="1" showInputMessage="1" showErrorMessage="1" sqref="X2:X469" xr:uid="{4EA0901F-B498-4AD2-94F2-022E1C26FACE}">
      <formula1>$AT$2:$AT$3</formula1>
    </dataValidation>
    <dataValidation type="list" allowBlank="1" showInputMessage="1" showErrorMessage="1" sqref="G2:G469" xr:uid="{B1090D4B-9FA9-49AD-809D-888BADF92CF9}">
      <formula1>$AJ$2:$AJ$4</formula1>
    </dataValidation>
    <dataValidation type="list" allowBlank="1" showInputMessage="1" showErrorMessage="1" sqref="I2:I469" xr:uid="{FE2E198A-38EF-4A17-8AC3-3D3CD1F3CC74}">
      <formula1>$AN$5:$AN$6</formula1>
    </dataValidation>
    <dataValidation type="list" allowBlank="1" showInputMessage="1" showErrorMessage="1" sqref="J2:J469" xr:uid="{1A959C02-30B0-4E24-8429-A27520F3A4CC}">
      <formula1>$AP$2:$AP$24</formula1>
    </dataValidation>
    <dataValidation type="list" allowBlank="1" showInputMessage="1" showErrorMessage="1" sqref="F2:F469" xr:uid="{DD5045ED-9033-4126-B0C0-5031B45ED8A0}">
      <formula1>$AH$2:$AH$11</formula1>
    </dataValidation>
    <dataValidation type="list" allowBlank="1" showInputMessage="1" showErrorMessage="1" sqref="E2:E469" xr:uid="{D331829A-DFC6-4878-B1DB-26DA19EA61CB}">
      <formula1>$AG$2:$AG$11</formula1>
    </dataValidation>
    <dataValidation type="decimal" allowBlank="1" showInputMessage="1" showErrorMessage="1" error="硬度を正しく入力して下さい。" sqref="O2:P49 O59:P469" xr:uid="{668DCD0D-35C2-4566-924E-031852F538F9}">
      <formula1>0</formula1>
      <formula2>7</formula2>
    </dataValidation>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7033B9B-329E-4EF2-9F13-E678C1201163}"/>
</file>

<file path=customXml/itemProps2.xml><?xml version="1.0" encoding="utf-8"?>
<ds:datastoreItem xmlns:ds="http://schemas.openxmlformats.org/officeDocument/2006/customXml" ds:itemID="{3B9310CE-D92E-4496-A0E7-1AD7419953F3}"/>
</file>

<file path=customXml/itemProps3.xml><?xml version="1.0" encoding="utf-8"?>
<ds:datastoreItem xmlns:ds="http://schemas.openxmlformats.org/officeDocument/2006/customXml" ds:itemID="{44B13F61-C27E-45CE-8CC7-8E1FA626A3D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sapporo</vt:lpstr>
      <vt:lpstr>miyagi</vt:lpstr>
      <vt:lpstr>nagoya</vt:lpstr>
      <vt:lpstr>osaka</vt:lpstr>
      <vt:lpstr>hiroshima</vt:lpstr>
      <vt:lpstr>fukuoka</vt:lpstr>
      <vt:lpstr>tokyo-east(ota)</vt:lpstr>
      <vt:lpstr>tokyo-west(kato)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aspeuser</cp:lastModifiedBy>
  <dcterms:created xsi:type="dcterms:W3CDTF">2012-06-11T10:59:48Z</dcterms:created>
  <dcterms:modified xsi:type="dcterms:W3CDTF">2019-09-30T04:23:11Z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