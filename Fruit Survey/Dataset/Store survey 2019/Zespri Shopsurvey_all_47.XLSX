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192.168.11.200\000_全国共有\2-Zespri\品質調査\2019\47週\"/>
    </mc:Choice>
  </mc:AlternateContent>
  <xr:revisionPtr revIDLastSave="0" documentId="13_ncr:1_{B524F8AF-BBA3-4543-8340-6DED66F50200}"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4" r:id="rId7"/>
    <sheet name="tokyo-west(kato)" sheetId="23" r:id="rId8"/>
  </sheets>
  <definedNames>
    <definedName name="_xlnm._FilterDatabase" localSheetId="5" hidden="1">fukuoka!$A$1:$BA$127</definedName>
    <definedName name="_xlnm._FilterDatabase" localSheetId="4" hidden="1">hiroshima!$A$1:$BA$1</definedName>
    <definedName name="_xlnm._FilterDatabase" localSheetId="1" hidden="1">miyagi!$A$1:$BA$326</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90" i="24" l="1"/>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42" i="24"/>
  <c r="V42" i="24" s="1"/>
  <c r="Q42" i="24"/>
  <c r="T41" i="24"/>
  <c r="V41" i="24" s="1"/>
  <c r="Q41" i="24"/>
  <c r="T40" i="24"/>
  <c r="V40" i="24" s="1"/>
  <c r="Q40"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70" i="23" l="1"/>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27" i="22" l="1"/>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64" i="21" l="1"/>
  <c r="V64" i="21" s="1"/>
  <c r="Q64" i="21"/>
  <c r="T63" i="21"/>
  <c r="V63" i="21" s="1"/>
  <c r="Q63" i="21"/>
  <c r="T62" i="21"/>
  <c r="V62" i="21" s="1"/>
  <c r="Q62"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26" i="18" l="1"/>
  <c r="T325" i="18"/>
  <c r="T324" i="18"/>
  <c r="T323" i="18"/>
  <c r="T322" i="18"/>
  <c r="T321" i="18"/>
  <c r="T320" i="18"/>
  <c r="T319" i="18"/>
  <c r="T318" i="18"/>
  <c r="T317" i="18"/>
  <c r="T316" i="18"/>
  <c r="T315" i="18"/>
  <c r="T314" i="18"/>
  <c r="T313" i="18"/>
  <c r="T312" i="18"/>
  <c r="T311" i="18"/>
  <c r="T310" i="18"/>
  <c r="T309" i="18"/>
  <c r="T308" i="18"/>
  <c r="T307" i="18"/>
  <c r="T306" i="18"/>
  <c r="V306" i="18" s="1"/>
  <c r="T305" i="18"/>
  <c r="V305" i="18" s="1"/>
  <c r="V304" i="18"/>
  <c r="T304" i="18"/>
  <c r="T303" i="18"/>
  <c r="V303" i="18" s="1"/>
  <c r="V302" i="18"/>
  <c r="T302" i="18"/>
  <c r="T301" i="18"/>
  <c r="V301" i="18" s="1"/>
  <c r="T300" i="18"/>
  <c r="V300" i="18" s="1"/>
  <c r="T299" i="18"/>
  <c r="V299" i="18" s="1"/>
  <c r="V298" i="18"/>
  <c r="T298" i="18"/>
  <c r="Q298" i="18"/>
  <c r="T297" i="18"/>
  <c r="V297" i="18" s="1"/>
  <c r="Q297" i="18"/>
  <c r="T296" i="18"/>
  <c r="V296" i="18" s="1"/>
  <c r="Q296" i="18"/>
  <c r="V295" i="18"/>
  <c r="T295" i="18"/>
  <c r="Q295" i="18"/>
  <c r="V294" i="18"/>
  <c r="T294" i="18"/>
  <c r="Q294" i="18"/>
  <c r="T293" i="18"/>
  <c r="V293" i="18" s="1"/>
  <c r="Q293" i="18"/>
  <c r="T292" i="18"/>
  <c r="V292" i="18" s="1"/>
  <c r="Q292" i="18"/>
  <c r="V291" i="18"/>
  <c r="T291" i="18"/>
  <c r="Q291" i="18"/>
  <c r="V290" i="18"/>
  <c r="T290" i="18"/>
  <c r="Q290" i="18"/>
  <c r="T289" i="18"/>
  <c r="V289" i="18" s="1"/>
  <c r="Q289" i="18"/>
  <c r="T288" i="18"/>
  <c r="V288" i="18" s="1"/>
  <c r="Q288" i="18"/>
  <c r="V287" i="18"/>
  <c r="T287" i="18"/>
  <c r="Q287" i="18"/>
  <c r="V286" i="18"/>
  <c r="T286" i="18"/>
  <c r="Q286" i="18"/>
  <c r="T285" i="18"/>
  <c r="V285" i="18" s="1"/>
  <c r="Q285" i="18"/>
  <c r="T284" i="18"/>
  <c r="V284" i="18" s="1"/>
  <c r="Q284" i="18"/>
  <c r="V283" i="18"/>
  <c r="T283" i="18"/>
  <c r="Q283" i="18"/>
  <c r="V282" i="18"/>
  <c r="T282" i="18"/>
  <c r="Q282" i="18"/>
  <c r="T281" i="18"/>
  <c r="V281" i="18" s="1"/>
  <c r="Q281" i="18"/>
  <c r="T280" i="18"/>
  <c r="V280" i="18" s="1"/>
  <c r="Q280" i="18"/>
  <c r="V279" i="18"/>
  <c r="T279" i="18"/>
  <c r="Q279" i="18"/>
  <c r="V278" i="18"/>
  <c r="T278" i="18"/>
  <c r="Q278" i="18"/>
  <c r="T277" i="18"/>
  <c r="V277" i="18" s="1"/>
  <c r="Q277" i="18"/>
  <c r="T276" i="18"/>
  <c r="V276" i="18" s="1"/>
  <c r="Q276" i="18"/>
  <c r="V275" i="18"/>
  <c r="T275" i="18"/>
  <c r="Q275" i="18"/>
  <c r="V274" i="18"/>
  <c r="T274" i="18"/>
  <c r="Q274" i="18"/>
  <c r="T273" i="18"/>
  <c r="V273" i="18" s="1"/>
  <c r="Q273" i="18"/>
  <c r="T272" i="18"/>
  <c r="V272" i="18" s="1"/>
  <c r="Q272" i="18"/>
  <c r="V271" i="18"/>
  <c r="T271" i="18"/>
  <c r="Q271" i="18"/>
  <c r="V270" i="18"/>
  <c r="T270" i="18"/>
  <c r="Q270" i="18"/>
  <c r="T269" i="18"/>
  <c r="V269" i="18" s="1"/>
  <c r="Q269" i="18"/>
  <c r="T268" i="18"/>
  <c r="V268" i="18" s="1"/>
  <c r="Q268" i="18"/>
  <c r="V267" i="18"/>
  <c r="T267" i="18"/>
  <c r="Q267" i="18"/>
  <c r="V266" i="18"/>
  <c r="T266" i="18"/>
  <c r="Q266" i="18"/>
  <c r="T265" i="18"/>
  <c r="V265" i="18" s="1"/>
  <c r="Q265" i="18"/>
  <c r="T264" i="18"/>
  <c r="V264" i="18" s="1"/>
  <c r="Q264" i="18"/>
  <c r="V263" i="18"/>
  <c r="T263" i="18"/>
  <c r="Q263" i="18"/>
  <c r="V262" i="18"/>
  <c r="T262" i="18"/>
  <c r="Q262" i="18"/>
  <c r="T261" i="18"/>
  <c r="V261" i="18" s="1"/>
  <c r="Q261" i="18"/>
  <c r="T260" i="18"/>
  <c r="V260" i="18" s="1"/>
  <c r="Q260" i="18"/>
  <c r="V259" i="18"/>
  <c r="T259" i="18"/>
  <c r="Q259" i="18"/>
  <c r="V258" i="18"/>
  <c r="T258" i="18"/>
  <c r="Q258" i="18"/>
  <c r="T257" i="18"/>
  <c r="V257" i="18" s="1"/>
  <c r="Q257" i="18"/>
  <c r="T256" i="18"/>
  <c r="V256" i="18" s="1"/>
  <c r="Q256" i="18"/>
  <c r="V255" i="18"/>
  <c r="T255" i="18"/>
  <c r="Q255" i="18"/>
  <c r="V254" i="18"/>
  <c r="T254" i="18"/>
  <c r="Q254" i="18"/>
  <c r="T253" i="18"/>
  <c r="V253" i="18" s="1"/>
  <c r="Q253" i="18"/>
  <c r="T252" i="18"/>
  <c r="V252" i="18" s="1"/>
  <c r="Q252" i="18"/>
  <c r="V251" i="18"/>
  <c r="T251" i="18"/>
  <c r="Q251" i="18"/>
  <c r="V250" i="18"/>
  <c r="T250" i="18"/>
  <c r="Q250" i="18"/>
  <c r="T249" i="18"/>
  <c r="V249" i="18" s="1"/>
  <c r="Q249" i="18"/>
  <c r="T248" i="18"/>
  <c r="V248" i="18" s="1"/>
  <c r="Q248" i="18"/>
  <c r="V247" i="18"/>
  <c r="T247" i="18"/>
  <c r="Q247" i="18"/>
  <c r="V246" i="18"/>
  <c r="T246" i="18"/>
  <c r="Q246" i="18"/>
  <c r="T245" i="18"/>
  <c r="V245" i="18" s="1"/>
  <c r="Q245" i="18"/>
  <c r="T244" i="18"/>
  <c r="V244" i="18" s="1"/>
  <c r="Q244" i="18"/>
  <c r="V243" i="18"/>
  <c r="T243" i="18"/>
  <c r="Q243" i="18"/>
  <c r="V242" i="18"/>
  <c r="T242" i="18"/>
  <c r="Q242" i="18"/>
  <c r="T241" i="18"/>
  <c r="V241" i="18" s="1"/>
  <c r="Q241" i="18"/>
  <c r="T240" i="18"/>
  <c r="V240" i="18" s="1"/>
  <c r="Q240" i="18"/>
  <c r="V239" i="18"/>
  <c r="T239" i="18"/>
  <c r="Q239" i="18"/>
  <c r="V238" i="18"/>
  <c r="T238" i="18"/>
  <c r="Q238" i="18"/>
  <c r="T237" i="18"/>
  <c r="V237" i="18" s="1"/>
  <c r="Q237" i="18"/>
  <c r="T236" i="18"/>
  <c r="V236" i="18" s="1"/>
  <c r="Q236" i="18"/>
  <c r="V235" i="18"/>
  <c r="T235" i="18"/>
  <c r="Q235" i="18"/>
  <c r="V234" i="18"/>
  <c r="T234" i="18"/>
  <c r="Q234" i="18"/>
  <c r="T233" i="18"/>
  <c r="V233" i="18" s="1"/>
  <c r="Q233" i="18"/>
  <c r="T232" i="18"/>
  <c r="V232" i="18" s="1"/>
  <c r="Q232" i="18"/>
  <c r="V231" i="18"/>
  <c r="T231" i="18"/>
  <c r="Q231" i="18"/>
  <c r="V230" i="18"/>
  <c r="T230" i="18"/>
  <c r="Q230" i="18"/>
  <c r="T229" i="18"/>
  <c r="V229" i="18" s="1"/>
  <c r="Q229" i="18"/>
  <c r="T228" i="18"/>
  <c r="V228" i="18" s="1"/>
  <c r="Q228" i="18"/>
  <c r="V227" i="18"/>
  <c r="T227" i="18"/>
  <c r="Q227" i="18"/>
  <c r="V226" i="18"/>
  <c r="T226" i="18"/>
  <c r="Q226" i="18"/>
  <c r="T225" i="18"/>
  <c r="V225" i="18" s="1"/>
  <c r="Q225" i="18"/>
  <c r="T224" i="18"/>
  <c r="V224" i="18" s="1"/>
  <c r="Q224" i="18"/>
  <c r="V223" i="18"/>
  <c r="T223" i="18"/>
  <c r="Q223" i="18"/>
  <c r="V222" i="18"/>
  <c r="T222" i="18"/>
  <c r="Q222" i="18"/>
  <c r="T221" i="18"/>
  <c r="V221" i="18" s="1"/>
  <c r="Q221" i="18"/>
  <c r="T220" i="18"/>
  <c r="V220" i="18" s="1"/>
  <c r="Q220" i="18"/>
  <c r="V219" i="18"/>
  <c r="T219" i="18"/>
  <c r="Q219" i="18"/>
  <c r="V218" i="18"/>
  <c r="T218" i="18"/>
  <c r="Q218" i="18"/>
  <c r="T217" i="18"/>
  <c r="V217" i="18" s="1"/>
  <c r="Q217" i="18"/>
  <c r="T216" i="18"/>
  <c r="V216" i="18" s="1"/>
  <c r="Q216" i="18"/>
  <c r="V215" i="18"/>
  <c r="T215" i="18"/>
  <c r="Q215" i="18"/>
  <c r="V214" i="18"/>
  <c r="T214" i="18"/>
  <c r="Q214" i="18"/>
  <c r="T213" i="18"/>
  <c r="V213" i="18" s="1"/>
  <c r="Q213" i="18"/>
  <c r="T212" i="18"/>
  <c r="V212" i="18" s="1"/>
  <c r="Q212" i="18"/>
  <c r="V211" i="18"/>
  <c r="T211" i="18"/>
  <c r="Q211" i="18"/>
  <c r="V210" i="18"/>
  <c r="T210" i="18"/>
  <c r="Q210" i="18"/>
  <c r="T209" i="18"/>
  <c r="V209" i="18" s="1"/>
  <c r="Q209" i="18"/>
  <c r="T208" i="18"/>
  <c r="V208" i="18" s="1"/>
  <c r="Q208" i="18"/>
  <c r="V207" i="18"/>
  <c r="T207" i="18"/>
  <c r="Q207" i="18"/>
  <c r="V206" i="18"/>
  <c r="T206" i="18"/>
  <c r="Q206" i="18"/>
  <c r="T205" i="18"/>
  <c r="V205" i="18" s="1"/>
  <c r="Q205" i="18"/>
  <c r="T204" i="18"/>
  <c r="V204" i="18" s="1"/>
  <c r="Q204" i="18"/>
  <c r="V203" i="18"/>
  <c r="T203" i="18"/>
  <c r="Q203" i="18"/>
  <c r="V202" i="18"/>
  <c r="T202" i="18"/>
  <c r="Q202" i="18"/>
  <c r="T201" i="18"/>
  <c r="V201" i="18" s="1"/>
  <c r="Q201" i="18"/>
  <c r="T200" i="18"/>
  <c r="V200" i="18" s="1"/>
  <c r="Q200" i="18"/>
  <c r="V199" i="18"/>
  <c r="T199" i="18"/>
  <c r="Q199" i="18"/>
  <c r="V198" i="18"/>
  <c r="T198" i="18"/>
  <c r="Q198" i="18"/>
  <c r="T197" i="18"/>
  <c r="V197" i="18" s="1"/>
  <c r="Q197" i="18"/>
  <c r="T196" i="18"/>
  <c r="V196" i="18" s="1"/>
  <c r="Q196" i="18"/>
  <c r="V195" i="18"/>
  <c r="T195" i="18"/>
  <c r="Q195" i="18"/>
  <c r="V194" i="18"/>
  <c r="T194" i="18"/>
  <c r="Q194" i="18"/>
  <c r="T193" i="18"/>
  <c r="V193" i="18" s="1"/>
  <c r="Q193" i="18"/>
  <c r="T192" i="18"/>
  <c r="V192" i="18" s="1"/>
  <c r="Q192" i="18"/>
  <c r="V191" i="18"/>
  <c r="T191" i="18"/>
  <c r="Q191" i="18"/>
  <c r="V190" i="18"/>
  <c r="T190" i="18"/>
  <c r="Q190" i="18"/>
  <c r="T189" i="18"/>
  <c r="V189" i="18" s="1"/>
  <c r="Q189" i="18"/>
  <c r="T188" i="18"/>
  <c r="V188" i="18" s="1"/>
  <c r="Q188" i="18"/>
  <c r="V187" i="18"/>
  <c r="T187" i="18"/>
  <c r="Q187" i="18"/>
  <c r="V186" i="18"/>
  <c r="T186" i="18"/>
  <c r="Q186" i="18"/>
  <c r="T185" i="18"/>
  <c r="V185" i="18" s="1"/>
  <c r="Q185" i="18"/>
  <c r="T184" i="18"/>
  <c r="V184" i="18" s="1"/>
  <c r="Q184" i="18"/>
  <c r="V183" i="18"/>
  <c r="T183" i="18"/>
  <c r="Q183" i="18"/>
  <c r="V182" i="18"/>
  <c r="T182" i="18"/>
  <c r="Q182" i="18"/>
  <c r="T181" i="18"/>
  <c r="V181" i="18" s="1"/>
  <c r="Q181" i="18"/>
  <c r="T180" i="18"/>
  <c r="V180" i="18" s="1"/>
  <c r="Q180" i="18"/>
  <c r="V179" i="18"/>
  <c r="T179" i="18"/>
  <c r="Q179" i="18"/>
  <c r="V178" i="18"/>
  <c r="T178" i="18"/>
  <c r="Q178" i="18"/>
  <c r="T177" i="18"/>
  <c r="V177" i="18" s="1"/>
  <c r="Q177" i="18"/>
  <c r="T176" i="18"/>
  <c r="V176" i="18" s="1"/>
  <c r="Q176" i="18"/>
  <c r="V175" i="18"/>
  <c r="T175" i="18"/>
  <c r="Q175" i="18"/>
  <c r="V174" i="18"/>
  <c r="T174" i="18"/>
  <c r="Q174" i="18"/>
  <c r="T173" i="18"/>
  <c r="V173" i="18" s="1"/>
  <c r="Q173" i="18"/>
  <c r="T172" i="18"/>
  <c r="V172" i="18" s="1"/>
  <c r="Q172" i="18"/>
  <c r="V171" i="18"/>
  <c r="T171" i="18"/>
  <c r="Q171" i="18"/>
  <c r="V170" i="18"/>
  <c r="T170" i="18"/>
  <c r="Q170" i="18"/>
  <c r="T169" i="18"/>
  <c r="V169" i="18" s="1"/>
  <c r="Q169" i="18"/>
  <c r="T168" i="18"/>
  <c r="V168" i="18" s="1"/>
  <c r="Q168" i="18"/>
  <c r="V167" i="18"/>
  <c r="T167" i="18"/>
  <c r="Q167" i="18"/>
  <c r="V166" i="18"/>
  <c r="T166" i="18"/>
  <c r="Q166" i="18"/>
  <c r="T165" i="18"/>
  <c r="V165" i="18" s="1"/>
  <c r="Q165" i="18"/>
  <c r="T164" i="18"/>
  <c r="V164" i="18" s="1"/>
  <c r="Q164" i="18"/>
  <c r="V163" i="18"/>
  <c r="T163" i="18"/>
  <c r="Q163" i="18"/>
  <c r="V162" i="18"/>
  <c r="T162" i="18"/>
  <c r="Q162" i="18"/>
  <c r="T161" i="18"/>
  <c r="V161" i="18" s="1"/>
  <c r="Q161" i="18"/>
  <c r="T160" i="18"/>
  <c r="V160" i="18" s="1"/>
  <c r="Q160" i="18"/>
  <c r="V159" i="18"/>
  <c r="T159" i="18"/>
  <c r="Q159" i="18"/>
  <c r="V158" i="18"/>
  <c r="T158" i="18"/>
  <c r="Q158" i="18"/>
  <c r="T157" i="18"/>
  <c r="V157" i="18" s="1"/>
  <c r="Q157" i="18"/>
  <c r="T156" i="18"/>
  <c r="V156" i="18" s="1"/>
  <c r="Q156" i="18"/>
  <c r="V155" i="18"/>
  <c r="T155" i="18"/>
  <c r="Q155" i="18"/>
  <c r="V154" i="18"/>
  <c r="T154" i="18"/>
  <c r="Q154" i="18"/>
  <c r="T153" i="18"/>
  <c r="V153" i="18" s="1"/>
  <c r="Q153" i="18"/>
  <c r="T152" i="18"/>
  <c r="V152" i="18" s="1"/>
  <c r="Q152" i="18"/>
  <c r="V151" i="18"/>
  <c r="T151" i="18"/>
  <c r="Q151" i="18"/>
  <c r="V150" i="18"/>
  <c r="T150" i="18"/>
  <c r="Q150" i="18"/>
  <c r="T149" i="18"/>
  <c r="V149" i="18" s="1"/>
  <c r="Q149" i="18"/>
  <c r="T148" i="18"/>
  <c r="V148" i="18" s="1"/>
  <c r="Q148" i="18"/>
  <c r="V147" i="18"/>
  <c r="T147" i="18"/>
  <c r="Q147" i="18"/>
  <c r="V146" i="18"/>
  <c r="T146" i="18"/>
  <c r="Q146" i="18"/>
  <c r="T145" i="18"/>
  <c r="V145" i="18" s="1"/>
  <c r="Q145" i="18"/>
  <c r="T144" i="18"/>
  <c r="V144" i="18" s="1"/>
  <c r="Q144" i="18"/>
  <c r="V143" i="18"/>
  <c r="T143" i="18"/>
  <c r="Q143" i="18"/>
  <c r="V142" i="18"/>
  <c r="T142" i="18"/>
  <c r="Q142" i="18"/>
  <c r="T141" i="18"/>
  <c r="V141" i="18" s="1"/>
  <c r="Q141" i="18"/>
  <c r="T140" i="18"/>
  <c r="V140" i="18" s="1"/>
  <c r="Q140" i="18"/>
  <c r="V139" i="18"/>
  <c r="T139" i="18"/>
  <c r="Q139" i="18"/>
  <c r="V138" i="18"/>
  <c r="T138" i="18"/>
  <c r="Q138" i="18"/>
  <c r="T137" i="18"/>
  <c r="V137" i="18" s="1"/>
  <c r="Q137" i="18"/>
  <c r="T136" i="18"/>
  <c r="V136" i="18" s="1"/>
  <c r="Q136" i="18"/>
  <c r="V135" i="18"/>
  <c r="T135" i="18"/>
  <c r="Q135" i="18"/>
  <c r="V134" i="18"/>
  <c r="T134" i="18"/>
  <c r="Q134" i="18"/>
  <c r="T133" i="18"/>
  <c r="V133" i="18" s="1"/>
  <c r="Q133" i="18"/>
  <c r="T132" i="18"/>
  <c r="V132" i="18" s="1"/>
  <c r="Q132" i="18"/>
  <c r="V131" i="18"/>
  <c r="T131" i="18"/>
  <c r="Q131" i="18"/>
  <c r="V130" i="18"/>
  <c r="T130" i="18"/>
  <c r="Q130" i="18"/>
  <c r="T129" i="18"/>
  <c r="V129" i="18" s="1"/>
  <c r="Q129" i="18"/>
  <c r="T128" i="18"/>
  <c r="V128" i="18" s="1"/>
  <c r="Q128" i="18"/>
  <c r="V127" i="18"/>
  <c r="T127" i="18"/>
  <c r="Q127" i="18"/>
  <c r="V126" i="18"/>
  <c r="T126" i="18"/>
  <c r="Q126" i="18"/>
  <c r="T125" i="18"/>
  <c r="V125" i="18" s="1"/>
  <c r="Q125" i="18"/>
  <c r="T124" i="18"/>
  <c r="V124" i="18" s="1"/>
  <c r="Q124" i="18"/>
  <c r="V123" i="18"/>
  <c r="T123" i="18"/>
  <c r="Q123" i="18"/>
  <c r="V122" i="18"/>
  <c r="T122" i="18"/>
  <c r="Q122" i="18"/>
  <c r="T121" i="18"/>
  <c r="V121" i="18" s="1"/>
  <c r="Q121" i="18"/>
  <c r="T120" i="18"/>
  <c r="V120" i="18" s="1"/>
  <c r="Q120" i="18"/>
  <c r="V119" i="18"/>
  <c r="T119" i="18"/>
  <c r="Q119" i="18"/>
  <c r="V118" i="18"/>
  <c r="T118" i="18"/>
  <c r="Q118" i="18"/>
  <c r="T117" i="18"/>
  <c r="V117" i="18" s="1"/>
  <c r="Q117" i="18"/>
  <c r="T116" i="18"/>
  <c r="V116" i="18" s="1"/>
  <c r="Q116" i="18"/>
  <c r="V115" i="18"/>
  <c r="T115" i="18"/>
  <c r="Q115" i="18"/>
  <c r="V114" i="18"/>
  <c r="T114" i="18"/>
  <c r="Q114" i="18"/>
  <c r="T113" i="18"/>
  <c r="V113" i="18" s="1"/>
  <c r="Q113" i="18"/>
  <c r="T112" i="18"/>
  <c r="V112" i="18" s="1"/>
  <c r="Q112" i="18"/>
  <c r="V111" i="18"/>
  <c r="T111" i="18"/>
  <c r="Q111" i="18"/>
  <c r="V110" i="18"/>
  <c r="T110" i="18"/>
  <c r="Q110"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Q82" i="18"/>
  <c r="T81" i="18"/>
  <c r="Q81" i="18"/>
  <c r="T80" i="18"/>
  <c r="Q80" i="18"/>
  <c r="T79" i="18"/>
  <c r="V79" i="18" s="1"/>
  <c r="Q79" i="18"/>
  <c r="T78" i="18"/>
  <c r="V78" i="18" s="1"/>
  <c r="Q78" i="18"/>
  <c r="T77" i="18"/>
  <c r="V77" i="18" s="1"/>
  <c r="Q77" i="18"/>
  <c r="T76" i="18"/>
  <c r="V76" i="18" s="1"/>
  <c r="Q76" i="18"/>
  <c r="T75" i="18"/>
  <c r="V75" i="18" s="1"/>
  <c r="Q75" i="18"/>
  <c r="T74" i="18"/>
  <c r="V74" i="18" s="1"/>
  <c r="Q74" i="18"/>
  <c r="T73" i="18"/>
  <c r="Q73" i="18"/>
  <c r="T72" i="18"/>
  <c r="Q72" i="18"/>
  <c r="T71" i="18"/>
  <c r="Q71" i="18"/>
  <c r="T70" i="18"/>
  <c r="Q70" i="18"/>
  <c r="T69" i="18"/>
  <c r="Q69" i="18"/>
  <c r="T68" i="18"/>
  <c r="Q68" i="18"/>
  <c r="T67" i="18"/>
  <c r="Q67" i="18"/>
  <c r="T66" i="18"/>
  <c r="Q66" i="18"/>
  <c r="T65" i="18"/>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V39" i="18"/>
  <c r="T39" i="18"/>
  <c r="V38" i="18"/>
  <c r="T38" i="18"/>
  <c r="T37" i="18"/>
  <c r="V37" i="18" s="1"/>
  <c r="V36" i="18"/>
  <c r="T36" i="18"/>
  <c r="V35" i="18"/>
  <c r="T35" i="18"/>
  <c r="T34" i="18"/>
  <c r="V34" i="18" s="1"/>
  <c r="V33" i="18"/>
  <c r="T33" i="18"/>
  <c r="V32" i="18"/>
  <c r="T32" i="18"/>
  <c r="T31" i="18"/>
  <c r="V31" i="18" s="1"/>
  <c r="V30" i="18"/>
  <c r="T30" i="18"/>
  <c r="V29" i="18"/>
  <c r="T29" i="18"/>
  <c r="T28" i="18"/>
  <c r="V28" i="18" s="1"/>
  <c r="V27" i="18"/>
  <c r="T27" i="18"/>
  <c r="V26" i="18"/>
  <c r="T26" i="18"/>
  <c r="T25" i="18"/>
  <c r="V25" i="18" s="1"/>
  <c r="V24" i="18"/>
  <c r="T24" i="18"/>
  <c r="V23" i="18"/>
  <c r="T23" i="18"/>
  <c r="T22" i="18"/>
  <c r="V22" i="18" s="1"/>
  <c r="V21" i="18"/>
  <c r="T21" i="18"/>
  <c r="V20" i="18"/>
  <c r="T20" i="18"/>
  <c r="T19" i="18"/>
  <c r="V19" i="18" s="1"/>
  <c r="V18" i="18"/>
  <c r="T18" i="18"/>
  <c r="V17" i="18"/>
  <c r="T17" i="18"/>
  <c r="T16" i="18"/>
  <c r="V16" i="18" s="1"/>
  <c r="V15" i="18"/>
  <c r="T15" i="18"/>
  <c r="V14" i="18"/>
  <c r="T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<sst xmlns="http://schemas.openxmlformats.org/spreadsheetml/2006/main" count="8168" uniqueCount="389">
  <si>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</si>
  <si>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</si>
  <si>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</si>
  <si>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</si>
  <si>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</si>
  <si>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</si>
  <si>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</si>
  <si>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</si>
  <si>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</si>
  <si>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</si>
  <si>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</si>
  <si>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</si>
  <si>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</si>
  <si>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</si>
  <si>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</si>
  <si>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</si>
  <si>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</si>
  <si>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</si>
  <si>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</si>
  <si>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</si>
  <si>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</si>
  <si>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</si>
  <si>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</si>
  <si>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</si>
  <si>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</si>
  <si>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</si>
  <si>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</si>
  <si>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</si>
  <si>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</si>
  <si>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</si>
  <si>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</si>
  <si>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</si>
  <si>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</si>
  <si>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</si>
  <si>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</si>
  <si>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</si>
  <si>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</si>
  <si>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</si>
  <si>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</si>
  <si>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</si>
  <si>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</si>
  <si>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</si>
  <si>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</si>
  <si>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</si>
  <si>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</si>
  <si>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</si>
  <si>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</si>
  <si>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</si>
  <si>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</si>
  <si>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</si>
  <si>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</si>
  <si>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</si>
  <si>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</si>
  <si>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</si>
  <si>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</si>
  <si>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</si>
  <si>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</si>
  <si>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</si>
  <si>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</si>
  <si>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</si>
  <si>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</si>
  <si>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</si>
  <si>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</si>
  <si>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</si>
  <si>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</si>
  <si>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</si>
  <si>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</si>
  <si>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</si>
  <si>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</si>
  <si>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</si>
  <si>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</si>
  <si>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</si>
  <si>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</si>
  <si>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</si>
  <si>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</si>
  <si>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</si>
  <si>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</si>
  <si>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</si>
  <si>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</si>
  <si>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</si>
  <si>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</si>
  <si>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</si>
  <si>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</si>
  <si>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</si>
  <si>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</si>
  <si>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</si>
  <si>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</si>
  <si>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</si>
  <si>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</si>
  <si>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</si>
  <si>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</si>
  <si>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</si>
  <si>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</si>
  <si>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</si>
  <si>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</si>
  <si>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</si>
  <si>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</si>
  <si>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</si>
  <si>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</si>
  <si>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</si>
  <si>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</si>
  <si>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</si>
  <si>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</si>
  <si>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</si>
  <si>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</si>
  <si>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</si>
  <si>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</si>
  <si>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</si>
  <si>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</si>
  <si>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</si>
  <si>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</si>
  <si>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</si>
  <si>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</si>
  <si>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</si>
  <si>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</si>
  <si>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</si>
  <si>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</si>
  <si>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</si>
  <si>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</si>
  <si>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</si>
  <si>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</si>
  <si>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</si>
  <si>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</si>
  <si>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</si>
  <si>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</si>
  <si>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</si>
  <si>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</si>
  <si>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</si>
  <si>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</si>
  <si>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</si>
  <si>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</si>
  <si>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</si>
  <si>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</si>
  <si>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</si>
  <si>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</si>
  <si>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</si>
  <si>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</si>
  <si>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</si>
  <si>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</si>
  <si>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</si>
  <si>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</si>
  <si>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</si>
  <si>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</si>
  <si>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</si>
  <si>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</si>
  <si>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</si>
  <si>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</si>
  <si>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</si>
  <si>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</si>
  <si>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</si>
  <si>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</si>
  <si>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</si>
  <si>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</si>
  <si>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</si>
  <si>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</si>
  <si>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</si>
  <si>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</si>
  <si>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</si>
  <si>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</si>
  <si>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</si>
  <si>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</si>
  <si>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</si>
  <si>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</si>
  <si>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</si>
  <si>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</si>
  <si>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18.11.2019</t>
  </si>
  <si>
    <t>18.11.2019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</si>
  <si>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</si>
  <si>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</si>
  <si>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</si>
  <si>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</si>
  <si>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</si>
  <si>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</si>
  <si>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</si>
  <si>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</si>
  <si>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</si>
  <si>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</si>
  <si>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</si>
  <si>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</si>
  <si>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</si>
  <si>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</si>
  <si>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</si>
  <si>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</si>
  <si>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19.11.2019</t>
    <phoneticPr fontId="16"/>
  </si>
  <si>
    <t>利府店</t>
  </si>
  <si>
    <t>その他グリーン</t>
  </si>
  <si>
    <t>みやぎ生協</t>
  </si>
  <si>
    <t>その他ゴールド</t>
  </si>
  <si>
    <t>19.11.2019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</si>
  <si>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</si>
  <si>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</si>
  <si>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</si>
  <si>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</si>
  <si>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</si>
  <si>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</si>
  <si>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</si>
  <si>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</si>
  <si>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</si>
  <si>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</si>
  <si>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</si>
  <si>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</si>
  <si>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</si>
  <si>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</si>
  <si>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</si>
  <si>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</si>
  <si>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</si>
  <si>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</si>
  <si>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</si>
  <si>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</si>
  <si>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</si>
  <si>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</si>
  <si>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</si>
  <si>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</si>
  <si>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</si>
  <si>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</si>
  <si>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</si>
  <si>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</si>
  <si>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</si>
  <si>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</si>
  <si>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</si>
  <si>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</si>
  <si>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</si>
  <si>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</si>
  <si>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</si>
  <si>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</si>
  <si>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</si>
  <si>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</si>
  <si>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</si>
  <si>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</si>
  <si>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</si>
  <si>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</si>
  <si>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</si>
  <si>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</si>
  <si>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</si>
  <si>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</si>
  <si>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</si>
  <si>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JP</t>
    <phoneticPr fontId="3"/>
  </si>
  <si>
    <t>22.11.2019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</si>
  <si>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</si>
  <si>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</si>
  <si>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</si>
  <si>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</si>
  <si>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</si>
  <si>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</si>
  <si>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</si>
  <si>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</si>
  <si>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</si>
  <si>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</si>
  <si>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</si>
  <si>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</si>
  <si>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</si>
  <si>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</si>
  <si>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</si>
  <si>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</si>
  <si>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長久手店</t>
  </si>
  <si>
    <t>カネトク</t>
    <phoneticPr fontId="4"/>
  </si>
  <si>
    <t>ピアゴ</t>
  </si>
  <si>
    <t>長久手南店</t>
  </si>
  <si>
    <t>カネスエ</t>
  </si>
  <si>
    <t>ラフランス</t>
    <phoneticPr fontId="4"/>
  </si>
  <si>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</si>
  <si>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</si>
  <si>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</si>
  <si>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</si>
  <si>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</si>
  <si>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23.11.2019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</si>
  <si>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</si>
  <si>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</si>
  <si>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</si>
  <si>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</si>
  <si>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</si>
  <si>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</si>
  <si>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</si>
  <si>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</si>
  <si>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</si>
  <si>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</si>
  <si>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</si>
  <si>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</si>
  <si>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</si>
  <si>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</si>
  <si>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</si>
  <si>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県名</t>
    <phoneticPr fontId="3"/>
  </si>
  <si>
    <t>チェーン名</t>
    <phoneticPr fontId="3"/>
  </si>
  <si>
    <t>品種</t>
    <phoneticPr fontId="3"/>
  </si>
  <si>
    <t>11.20.2019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</si>
  <si>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</si>
  <si>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</si>
  <si>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</si>
  <si>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</si>
  <si>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</si>
  <si>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</si>
  <si>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</si>
  <si>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</si>
  <si>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</si>
  <si>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</si>
  <si>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</si>
  <si>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</si>
  <si>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</si>
  <si>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</si>
  <si>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</si>
  <si>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</si>
  <si>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</si>
  <si>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</si>
  <si>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山陽マルナカ</t>
  </si>
  <si>
    <t>白島店</t>
    <rPh sb="0" eb="2">
      <t>ハクシマ</t>
    </rPh>
    <rPh sb="2" eb="3">
      <t>テン</t>
    </rPh>
    <phoneticPr fontId="3"/>
  </si>
  <si>
    <t>みかん</t>
    <phoneticPr fontId="4"/>
  </si>
  <si>
    <t>マンゴー</t>
    <phoneticPr fontId="3"/>
  </si>
  <si>
    <t>アルク</t>
  </si>
  <si>
    <t>東千田店</t>
    <rPh sb="3" eb="4">
      <t>テン</t>
    </rPh>
    <phoneticPr fontId="3"/>
  </si>
  <si>
    <t>フレスタ</t>
  </si>
  <si>
    <t>吉島店</t>
    <rPh sb="0" eb="2">
      <t>ヨシジマ</t>
    </rPh>
    <rPh sb="2" eb="3">
      <t>テン</t>
    </rPh>
    <phoneticPr fontId="3"/>
  </si>
  <si>
    <t>販売
ユニット
個数</t>
    <phoneticPr fontId="4"/>
  </si>
  <si>
    <t>U/P JPY</t>
    <phoneticPr fontId="4"/>
  </si>
  <si>
    <t>20.11.2019</t>
    <phoneticPr fontId="3"/>
  </si>
  <si>
    <t>マルショク</t>
    <phoneticPr fontId="3"/>
  </si>
  <si>
    <t>野間大池</t>
    <rPh sb="0" eb="2">
      <t>ノマ</t>
    </rPh>
    <rPh sb="2" eb="4">
      <t>オオイケ</t>
    </rPh>
    <phoneticPr fontId="3"/>
  </si>
  <si>
    <t>柿</t>
    <rPh sb="0" eb="1">
      <t>カキ</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</si>
  <si>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</si>
  <si>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</si>
  <si>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</si>
  <si>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</si>
  <si>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</si>
  <si>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</si>
  <si>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</si>
  <si>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</si>
  <si>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</si>
  <si>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</si>
  <si>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</si>
  <si>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</si>
  <si>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</si>
  <si>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</si>
  <si>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</si>
  <si>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</si>
  <si>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</si>
  <si>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</si>
  <si>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</si>
  <si>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</si>
  <si>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</si>
  <si>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</si>
  <si>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</si>
  <si>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</si>
  <si>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</si>
  <si>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</si>
  <si>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</si>
  <si>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</si>
  <si>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</si>
  <si>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</si>
  <si>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</si>
  <si>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</si>
  <si>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</si>
  <si>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</si>
  <si>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</si>
  <si>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</si>
  <si>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</si>
  <si>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</si>
  <si>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</si>
  <si>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</si>
  <si>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17.11.2019</t>
    <phoneticPr fontId="3"/>
  </si>
  <si>
    <t>ビッグ・エー</t>
  </si>
  <si>
    <t>江戸川本一色店</t>
  </si>
  <si>
    <t>マルエツ</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</si>
  <si>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</si>
  <si>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</si>
  <si>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</si>
  <si>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</si>
  <si>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</si>
  <si>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</si>
  <si>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</si>
  <si>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</si>
  <si>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</si>
  <si>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</si>
  <si>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</si>
  <si>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</si>
  <si>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</si>
  <si>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</si>
  <si>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</si>
  <si>
    <t>店舗名</t>
    <phoneticPr fontId="3"/>
  </si>
  <si>
    <t>21.11.2019</t>
    <phoneticPr fontId="3"/>
  </si>
  <si>
    <t>サミット</t>
  </si>
  <si>
    <t>久が原食品館</t>
  </si>
  <si>
    <t>21.11.2019</t>
  </si>
  <si>
    <t>東急ストア</t>
  </si>
  <si>
    <t>蒲田</t>
  </si>
  <si>
    <t>大森西</t>
  </si>
  <si>
    <t>大森</t>
  </si>
  <si>
    <t>カドヤ</t>
  </si>
  <si>
    <t>大井町</t>
  </si>
  <si>
    <t>品川シーサイド</t>
  </si>
  <si>
    <t>大崎ニューシティ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</si>
</sst>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178" fontId="1" fillId="2" borderId="0" xfId="1" applyNumberFormat="1" applyFill="1"/>
    <xf numFmtId="0" fontId="15" fillId="0" borderId="0" xfId="9" applyFont="1">
      <alignment vertical="center"/>
    </xf>
    <xf numFmtId="0" fontId="15" fillId="0" borderId="0" xfId="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56DC7F74-EC33-4D0E-9741-52105487ED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AB24" sqref="AB24"/>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15</v>
      </c>
      <c r="S2" s="15">
        <v>123</v>
      </c>
      <c r="T2" s="38">
        <f t="shared" ref="T2:T59" si="1">IF(H2="","",IF(OR(H2="GREEN",H2="GK"),IF(S2&gt;=$AX$2,VLOOKUP(S2,$AX$2:$AY$12,2,1),""),IF(S2&gt;=$AZ$2,VLOOKUP(S2,$AZ$2:$BA$12,2,1),"")))</f>
        <v>27</v>
      </c>
      <c r="U2" s="15">
        <v>98</v>
      </c>
      <c r="V2" s="38">
        <f t="shared" ref="V2:V65" si="2">IF(OR(N2="",U2="",T2=""),"",U2/N2*T2)</f>
        <v>2646</v>
      </c>
      <c r="W2" s="15">
        <v>4</v>
      </c>
      <c r="X2" s="15" t="s">
        <v>39</v>
      </c>
      <c r="Y2" s="15" t="s">
        <v>84</v>
      </c>
      <c r="Z2" s="15" t="s">
        <v>50</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13.6</v>
      </c>
      <c r="S3" s="7">
        <v>118</v>
      </c>
      <c r="T3" s="16">
        <f t="shared" si="1"/>
        <v>30</v>
      </c>
      <c r="U3" s="15">
        <v>98</v>
      </c>
      <c r="V3" s="16">
        <f t="shared" si="2"/>
        <v>2940</v>
      </c>
      <c r="W3" s="15">
        <v>4</v>
      </c>
      <c r="X3" s="15" t="s">
        <v>39</v>
      </c>
      <c r="Y3" s="54" t="s">
        <v>84</v>
      </c>
      <c r="Z3" s="54" t="s">
        <v>50</v>
      </c>
      <c r="AA3" s="54"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v>
      </c>
      <c r="P4" s="7">
        <v>0.65</v>
      </c>
      <c r="Q4" s="52">
        <f t="shared" si="0"/>
        <v>0.625</v>
      </c>
      <c r="R4" s="7">
        <v>12.7</v>
      </c>
      <c r="S4" s="7">
        <v>123</v>
      </c>
      <c r="T4" s="16">
        <f t="shared" si="1"/>
        <v>27</v>
      </c>
      <c r="U4" s="15">
        <v>98</v>
      </c>
      <c r="V4" s="16">
        <f t="shared" si="2"/>
        <v>2646</v>
      </c>
      <c r="W4" s="15">
        <v>4</v>
      </c>
      <c r="X4" s="54" t="s">
        <v>39</v>
      </c>
      <c r="Y4" s="54" t="s">
        <v>84</v>
      </c>
      <c r="Z4" s="54" t="s">
        <v>50</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133</v>
      </c>
      <c r="F5" s="15" t="s">
        <v>150</v>
      </c>
      <c r="G5" s="7" t="s">
        <v>36</v>
      </c>
      <c r="H5" s="54" t="s">
        <v>164</v>
      </c>
      <c r="I5" s="7" t="s">
        <v>159</v>
      </c>
      <c r="J5" s="15" t="s">
        <v>38</v>
      </c>
      <c r="K5" s="7" t="s">
        <v>161</v>
      </c>
      <c r="L5" s="7">
        <v>1</v>
      </c>
      <c r="N5" s="53">
        <v>1</v>
      </c>
      <c r="O5" s="7">
        <v>0.55000000000000004</v>
      </c>
      <c r="P5" s="7">
        <v>0.55000000000000004</v>
      </c>
      <c r="Q5" s="52">
        <f t="shared" si="0"/>
        <v>0.55000000000000004</v>
      </c>
      <c r="R5" s="7">
        <v>12.9</v>
      </c>
      <c r="S5" s="7">
        <v>125</v>
      </c>
      <c r="T5" s="16">
        <f t="shared" si="1"/>
        <v>27</v>
      </c>
      <c r="U5" s="15">
        <v>98</v>
      </c>
      <c r="V5" s="16">
        <f t="shared" si="2"/>
        <v>2646</v>
      </c>
      <c r="W5" s="15">
        <v>12</v>
      </c>
      <c r="X5" s="54" t="s">
        <v>46</v>
      </c>
      <c r="Y5" s="54" t="s">
        <v>84</v>
      </c>
      <c r="Z5" s="54" t="s">
        <v>90</v>
      </c>
      <c r="AA5" s="54" t="s">
        <v>50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133</v>
      </c>
      <c r="F6" s="7" t="s">
        <v>150</v>
      </c>
      <c r="G6" s="7" t="s">
        <v>36</v>
      </c>
      <c r="H6" s="54" t="s">
        <v>164</v>
      </c>
      <c r="I6" s="53" t="s">
        <v>159</v>
      </c>
      <c r="J6" s="15" t="s">
        <v>38</v>
      </c>
      <c r="K6" s="7" t="s">
        <v>161</v>
      </c>
      <c r="L6" s="7">
        <v>2</v>
      </c>
      <c r="N6" s="53">
        <v>1</v>
      </c>
      <c r="O6" s="7">
        <v>0.65</v>
      </c>
      <c r="P6" s="7">
        <v>0.65</v>
      </c>
      <c r="Q6" s="52">
        <f t="shared" si="0"/>
        <v>0.65</v>
      </c>
      <c r="R6" s="7">
        <v>12.8</v>
      </c>
      <c r="S6" s="7">
        <v>120</v>
      </c>
      <c r="T6" s="16">
        <f t="shared" si="1"/>
        <v>30</v>
      </c>
      <c r="U6" s="15">
        <v>98</v>
      </c>
      <c r="V6" s="16">
        <f t="shared" si="2"/>
        <v>2940</v>
      </c>
      <c r="W6" s="15">
        <v>12</v>
      </c>
      <c r="X6" s="54" t="s">
        <v>46</v>
      </c>
      <c r="Y6" s="54" t="s">
        <v>84</v>
      </c>
      <c r="Z6" s="54" t="s">
        <v>90</v>
      </c>
      <c r="AA6" s="54" t="s">
        <v>50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133</v>
      </c>
      <c r="F7" s="7" t="s">
        <v>150</v>
      </c>
      <c r="G7" s="7" t="s">
        <v>36</v>
      </c>
      <c r="H7" s="54" t="s">
        <v>164</v>
      </c>
      <c r="I7" s="53" t="s">
        <v>159</v>
      </c>
      <c r="J7" s="15" t="s">
        <v>38</v>
      </c>
      <c r="K7" s="7" t="s">
        <v>161</v>
      </c>
      <c r="L7" s="7">
        <v>3</v>
      </c>
      <c r="N7" s="53">
        <v>1</v>
      </c>
      <c r="O7" s="7">
        <v>0.5</v>
      </c>
      <c r="P7" s="7">
        <v>0.5</v>
      </c>
      <c r="Q7" s="52">
        <f t="shared" si="0"/>
        <v>0.5</v>
      </c>
      <c r="R7" s="34">
        <v>13.1</v>
      </c>
      <c r="S7" s="7">
        <v>117</v>
      </c>
      <c r="T7" s="16">
        <f t="shared" si="1"/>
        <v>30</v>
      </c>
      <c r="U7" s="15">
        <v>98</v>
      </c>
      <c r="V7" s="16">
        <f t="shared" si="2"/>
        <v>2940</v>
      </c>
      <c r="W7" s="15">
        <v>12</v>
      </c>
      <c r="X7" s="54" t="s">
        <v>46</v>
      </c>
      <c r="Y7" s="54" t="s">
        <v>84</v>
      </c>
      <c r="Z7" s="54" t="s">
        <v>90</v>
      </c>
      <c r="AA7" s="54" t="s">
        <v>50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128</v>
      </c>
      <c r="I8" s="7" t="s">
        <v>159</v>
      </c>
      <c r="J8" s="15" t="s">
        <v>80</v>
      </c>
      <c r="K8" s="7" t="s">
        <v>45</v>
      </c>
      <c r="L8" s="7">
        <v>1</v>
      </c>
      <c r="N8" s="53">
        <v>1</v>
      </c>
      <c r="O8" s="7">
        <v>0.75</v>
      </c>
      <c r="P8" s="7">
        <v>0.85</v>
      </c>
      <c r="Q8" s="52">
        <f t="shared" si="0"/>
        <v>0.8</v>
      </c>
      <c r="R8" s="34">
        <v>14.8</v>
      </c>
      <c r="S8" s="7">
        <v>122</v>
      </c>
      <c r="T8" s="16">
        <f t="shared" si="1"/>
        <v>27</v>
      </c>
      <c r="U8" s="15">
        <v>98</v>
      </c>
      <c r="V8" s="16">
        <f t="shared" si="2"/>
        <v>2646</v>
      </c>
      <c r="W8" s="15">
        <v>4</v>
      </c>
      <c r="X8" s="54" t="s">
        <v>46</v>
      </c>
      <c r="Y8" s="54" t="s">
        <v>84</v>
      </c>
      <c r="Z8" s="54" t="s">
        <v>90</v>
      </c>
      <c r="AA8" s="54" t="s">
        <v>50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128</v>
      </c>
      <c r="I9" s="53" t="s">
        <v>159</v>
      </c>
      <c r="J9" s="54" t="s">
        <v>80</v>
      </c>
      <c r="K9" s="53" t="s">
        <v>45</v>
      </c>
      <c r="L9" s="7">
        <v>2</v>
      </c>
      <c r="N9" s="7">
        <v>1</v>
      </c>
      <c r="O9" s="7">
        <v>0.7</v>
      </c>
      <c r="P9" s="7">
        <v>0.85</v>
      </c>
      <c r="Q9" s="52">
        <f t="shared" si="0"/>
        <v>0.77499999999999991</v>
      </c>
      <c r="R9" s="7">
        <v>12.4</v>
      </c>
      <c r="S9" s="7">
        <v>118</v>
      </c>
      <c r="T9" s="16">
        <f t="shared" si="1"/>
        <v>30</v>
      </c>
      <c r="U9" s="15">
        <v>98</v>
      </c>
      <c r="V9" s="16">
        <f t="shared" si="2"/>
        <v>2940</v>
      </c>
      <c r="W9" s="15">
        <v>4</v>
      </c>
      <c r="X9" s="54" t="s">
        <v>46</v>
      </c>
      <c r="Y9" s="54" t="s">
        <v>84</v>
      </c>
      <c r="Z9" s="54" t="s">
        <v>90</v>
      </c>
      <c r="AA9" s="54" t="s">
        <v>50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128</v>
      </c>
      <c r="I10" s="53" t="s">
        <v>159</v>
      </c>
      <c r="J10" s="54" t="s">
        <v>80</v>
      </c>
      <c r="K10" s="53" t="s">
        <v>45</v>
      </c>
      <c r="L10" s="7">
        <v>3</v>
      </c>
      <c r="N10" s="7">
        <v>1</v>
      </c>
      <c r="O10" s="7">
        <v>0.6</v>
      </c>
      <c r="P10" s="7">
        <v>0.6</v>
      </c>
      <c r="Q10" s="52">
        <f t="shared" si="0"/>
        <v>0.6</v>
      </c>
      <c r="R10" s="7">
        <v>13.8</v>
      </c>
      <c r="S10" s="7">
        <v>123</v>
      </c>
      <c r="T10" s="16">
        <f t="shared" si="1"/>
        <v>27</v>
      </c>
      <c r="U10" s="15">
        <v>98</v>
      </c>
      <c r="V10" s="16">
        <f t="shared" si="2"/>
        <v>2646</v>
      </c>
      <c r="W10" s="15">
        <v>4</v>
      </c>
      <c r="X10" s="54" t="s">
        <v>46</v>
      </c>
      <c r="Y10" s="54" t="s">
        <v>84</v>
      </c>
      <c r="Z10" s="54" t="s">
        <v>90</v>
      </c>
      <c r="AA10" s="54" t="s">
        <v>50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142</v>
      </c>
      <c r="F11" s="7" t="s">
        <v>151</v>
      </c>
      <c r="G11" s="7" t="s">
        <v>36</v>
      </c>
      <c r="H11" s="15" t="s">
        <v>164</v>
      </c>
      <c r="I11" s="7" t="s">
        <v>159</v>
      </c>
      <c r="J11" s="15" t="s">
        <v>38</v>
      </c>
      <c r="K11" s="7" t="s">
        <v>161</v>
      </c>
      <c r="L11" s="7">
        <v>1</v>
      </c>
      <c r="N11" s="7">
        <v>1</v>
      </c>
      <c r="O11" s="7">
        <v>0.55000000000000004</v>
      </c>
      <c r="P11" s="7">
        <v>0.5</v>
      </c>
      <c r="Q11" s="52">
        <f t="shared" si="0"/>
        <v>0.52500000000000002</v>
      </c>
      <c r="R11" s="7">
        <v>12.8</v>
      </c>
      <c r="S11" s="7">
        <v>122</v>
      </c>
      <c r="T11" s="16">
        <f t="shared" si="1"/>
        <v>27</v>
      </c>
      <c r="U11" s="7">
        <v>138</v>
      </c>
      <c r="V11" s="16">
        <f t="shared" si="2"/>
        <v>3726</v>
      </c>
      <c r="W11" s="7">
        <v>4</v>
      </c>
      <c r="X11" s="54" t="s">
        <v>46</v>
      </c>
      <c r="Y11" s="54" t="s">
        <v>84</v>
      </c>
      <c r="Z11" s="54" t="s">
        <v>90</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142</v>
      </c>
      <c r="F12" s="7" t="s">
        <v>151</v>
      </c>
      <c r="G12" s="7" t="s">
        <v>36</v>
      </c>
      <c r="H12" s="54" t="s">
        <v>164</v>
      </c>
      <c r="I12" s="53" t="s">
        <v>159</v>
      </c>
      <c r="J12" s="15" t="s">
        <v>38</v>
      </c>
      <c r="K12" s="7" t="s">
        <v>161</v>
      </c>
      <c r="L12" s="7">
        <v>2</v>
      </c>
      <c r="N12" s="7">
        <v>1</v>
      </c>
      <c r="O12" s="7">
        <v>0.5</v>
      </c>
      <c r="P12" s="7">
        <v>0.5</v>
      </c>
      <c r="Q12" s="52">
        <f t="shared" si="0"/>
        <v>0.5</v>
      </c>
      <c r="R12" s="34">
        <v>12.4</v>
      </c>
      <c r="S12" s="7">
        <v>121</v>
      </c>
      <c r="T12" s="16">
        <f t="shared" si="1"/>
        <v>27</v>
      </c>
      <c r="U12" s="7">
        <v>138</v>
      </c>
      <c r="V12" s="16">
        <f t="shared" si="2"/>
        <v>3726</v>
      </c>
      <c r="W12" s="7">
        <v>4</v>
      </c>
      <c r="X12" s="54" t="s">
        <v>46</v>
      </c>
      <c r="Y12" s="54" t="s">
        <v>84</v>
      </c>
      <c r="Z12" s="54" t="s">
        <v>90</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142</v>
      </c>
      <c r="F13" s="7" t="s">
        <v>151</v>
      </c>
      <c r="G13" s="7" t="s">
        <v>36</v>
      </c>
      <c r="H13" s="54" t="s">
        <v>164</v>
      </c>
      <c r="I13" s="53" t="s">
        <v>159</v>
      </c>
      <c r="J13" s="15" t="s">
        <v>38</v>
      </c>
      <c r="K13" s="7" t="s">
        <v>161</v>
      </c>
      <c r="L13" s="7">
        <v>3</v>
      </c>
      <c r="N13" s="7">
        <v>1</v>
      </c>
      <c r="O13" s="7">
        <v>0.5</v>
      </c>
      <c r="P13" s="7">
        <v>0.5</v>
      </c>
      <c r="Q13" s="52">
        <f t="shared" si="0"/>
        <v>0.5</v>
      </c>
      <c r="R13" s="7">
        <v>12.2</v>
      </c>
      <c r="S13" s="7">
        <v>122</v>
      </c>
      <c r="T13" s="16">
        <f t="shared" si="1"/>
        <v>27</v>
      </c>
      <c r="U13" s="7">
        <v>138</v>
      </c>
      <c r="V13" s="16">
        <f t="shared" si="2"/>
        <v>3726</v>
      </c>
      <c r="W13" s="7">
        <v>4</v>
      </c>
      <c r="X13" s="54" t="s">
        <v>46</v>
      </c>
      <c r="Y13" s="54" t="s">
        <v>84</v>
      </c>
      <c r="Z13" s="54" t="s">
        <v>90</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143</v>
      </c>
      <c r="F14" s="7" t="s">
        <v>152</v>
      </c>
      <c r="G14" s="7" t="s">
        <v>36</v>
      </c>
      <c r="H14" s="15" t="s">
        <v>164</v>
      </c>
      <c r="I14" s="7" t="s">
        <v>159</v>
      </c>
      <c r="J14" s="15" t="s">
        <v>38</v>
      </c>
      <c r="K14" s="7" t="s">
        <v>161</v>
      </c>
      <c r="L14" s="7">
        <v>1</v>
      </c>
      <c r="N14" s="53">
        <v>1</v>
      </c>
      <c r="O14" s="7">
        <v>0.5</v>
      </c>
      <c r="P14" s="7">
        <v>0.5</v>
      </c>
      <c r="Q14" s="52">
        <f t="shared" si="0"/>
        <v>0.5</v>
      </c>
      <c r="R14" s="7">
        <v>14.2</v>
      </c>
      <c r="S14" s="7">
        <v>124</v>
      </c>
      <c r="T14" s="16">
        <f t="shared" si="1"/>
        <v>27</v>
      </c>
      <c r="U14" s="7">
        <v>98</v>
      </c>
      <c r="V14" s="16">
        <f t="shared" si="2"/>
        <v>2646</v>
      </c>
      <c r="W14" s="7">
        <v>2</v>
      </c>
      <c r="X14" s="54" t="s">
        <v>39</v>
      </c>
      <c r="Y14" s="54" t="s">
        <v>50</v>
      </c>
      <c r="Z14" s="54" t="s">
        <v>84</v>
      </c>
      <c r="AA14" s="54" t="s">
        <v>90</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143</v>
      </c>
      <c r="F15" s="7" t="s">
        <v>152</v>
      </c>
      <c r="G15" s="7" t="s">
        <v>36</v>
      </c>
      <c r="H15" s="15" t="s">
        <v>164</v>
      </c>
      <c r="I15" s="7" t="s">
        <v>159</v>
      </c>
      <c r="J15" s="15" t="s">
        <v>38</v>
      </c>
      <c r="K15" s="7" t="s">
        <v>161</v>
      </c>
      <c r="L15" s="7">
        <v>2</v>
      </c>
      <c r="N15" s="53">
        <v>1</v>
      </c>
      <c r="O15" s="7">
        <v>0.5</v>
      </c>
      <c r="P15" s="7">
        <v>0.5</v>
      </c>
      <c r="Q15" s="52">
        <f t="shared" si="0"/>
        <v>0.5</v>
      </c>
      <c r="R15" s="7">
        <v>13.2</v>
      </c>
      <c r="S15" s="7">
        <v>124</v>
      </c>
      <c r="T15" s="16">
        <f t="shared" si="1"/>
        <v>27</v>
      </c>
      <c r="U15" s="7">
        <v>98</v>
      </c>
      <c r="V15" s="16">
        <f t="shared" si="2"/>
        <v>2646</v>
      </c>
      <c r="W15" s="7">
        <v>2</v>
      </c>
      <c r="X15" s="54" t="s">
        <v>39</v>
      </c>
      <c r="Y15" s="54" t="s">
        <v>50</v>
      </c>
      <c r="Z15" s="54" t="s">
        <v>84</v>
      </c>
      <c r="AA15" s="54" t="s">
        <v>90</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143</v>
      </c>
      <c r="F16" s="7" t="s">
        <v>152</v>
      </c>
      <c r="G16" s="7" t="s">
        <v>36</v>
      </c>
      <c r="H16" s="15" t="s">
        <v>164</v>
      </c>
      <c r="I16" s="7" t="s">
        <v>159</v>
      </c>
      <c r="J16" s="15" t="s">
        <v>38</v>
      </c>
      <c r="K16" s="7" t="s">
        <v>161</v>
      </c>
      <c r="L16" s="7">
        <v>3</v>
      </c>
      <c r="N16" s="53">
        <v>1</v>
      </c>
      <c r="O16" s="7">
        <v>0.5</v>
      </c>
      <c r="P16" s="7">
        <v>0.5</v>
      </c>
      <c r="Q16" s="52">
        <f t="shared" si="0"/>
        <v>0.5</v>
      </c>
      <c r="R16" s="7">
        <v>11.8</v>
      </c>
      <c r="S16" s="7">
        <v>118</v>
      </c>
      <c r="T16" s="16">
        <f t="shared" si="1"/>
        <v>30</v>
      </c>
      <c r="U16" s="7">
        <v>98</v>
      </c>
      <c r="V16" s="16">
        <f t="shared" si="2"/>
        <v>2940</v>
      </c>
      <c r="W16" s="7">
        <v>2</v>
      </c>
      <c r="X16" s="54" t="s">
        <v>39</v>
      </c>
      <c r="Y16" s="54" t="s">
        <v>50</v>
      </c>
      <c r="Z16" s="54" t="s">
        <v>84</v>
      </c>
      <c r="AA16" s="54" t="s">
        <v>90</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143</v>
      </c>
      <c r="F17" s="7" t="s">
        <v>152</v>
      </c>
      <c r="G17" s="7" t="s">
        <v>36</v>
      </c>
      <c r="H17" s="15" t="s">
        <v>160</v>
      </c>
      <c r="I17" s="7" t="s">
        <v>159</v>
      </c>
      <c r="J17" s="15" t="s">
        <v>38</v>
      </c>
      <c r="K17" s="7" t="s">
        <v>54</v>
      </c>
      <c r="L17" s="7">
        <v>1</v>
      </c>
      <c r="N17" s="7">
        <v>1</v>
      </c>
      <c r="O17" s="7">
        <v>0.5</v>
      </c>
      <c r="P17" s="7">
        <v>0.6</v>
      </c>
      <c r="Q17" s="52">
        <f t="shared" si="0"/>
        <v>0.55000000000000004</v>
      </c>
      <c r="R17" s="7">
        <v>16.899999999999999</v>
      </c>
      <c r="S17" s="7">
        <v>113</v>
      </c>
      <c r="T17" s="16">
        <f t="shared" si="1"/>
        <v>30</v>
      </c>
      <c r="U17" s="7">
        <v>138</v>
      </c>
      <c r="V17" s="16">
        <f t="shared" si="2"/>
        <v>4140</v>
      </c>
      <c r="W17" s="7">
        <v>2</v>
      </c>
      <c r="X17" s="54" t="s">
        <v>39</v>
      </c>
      <c r="Y17" s="54" t="s">
        <v>50</v>
      </c>
      <c r="Z17" s="54" t="s">
        <v>84</v>
      </c>
      <c r="AA17" s="54" t="s">
        <v>90</v>
      </c>
      <c r="AB17" s="39" t="s">
        <v>158</v>
      </c>
      <c r="AE17" s="22" t="s">
        <v>85</v>
      </c>
      <c r="AP17" s="43" t="s">
        <v>110</v>
      </c>
      <c r="AR17" s="41" t="s">
        <v>96</v>
      </c>
      <c r="AV17" s="23" t="s">
        <v>86</v>
      </c>
    </row>
    <row r="18" spans="1:48" x14ac:dyDescent="0.15">
      <c r="A18" s="15" t="s">
        <v>156</v>
      </c>
      <c r="B18" s="15" t="s">
        <v>157</v>
      </c>
      <c r="C18" s="15">
        <v>2019</v>
      </c>
      <c r="D18" s="37" t="s">
        <v>165</v>
      </c>
      <c r="E18" s="15" t="s">
        <v>143</v>
      </c>
      <c r="F18" s="7" t="s">
        <v>152</v>
      </c>
      <c r="G18" s="7" t="s">
        <v>36</v>
      </c>
      <c r="H18" s="15" t="s">
        <v>160</v>
      </c>
      <c r="I18" s="7" t="s">
        <v>159</v>
      </c>
      <c r="J18" s="15" t="s">
        <v>38</v>
      </c>
      <c r="K18" s="7" t="s">
        <v>54</v>
      </c>
      <c r="L18" s="7">
        <v>2</v>
      </c>
      <c r="N18" s="7">
        <v>1</v>
      </c>
      <c r="O18" s="7">
        <v>0.55000000000000004</v>
      </c>
      <c r="P18" s="7">
        <v>0.5</v>
      </c>
      <c r="Q18" s="52">
        <f t="shared" si="0"/>
        <v>0.52500000000000002</v>
      </c>
      <c r="R18" s="7">
        <v>15.7</v>
      </c>
      <c r="S18" s="7">
        <v>112</v>
      </c>
      <c r="T18" s="16">
        <f t="shared" si="1"/>
        <v>33</v>
      </c>
      <c r="U18" s="7">
        <v>138</v>
      </c>
      <c r="V18" s="16">
        <f t="shared" si="2"/>
        <v>4554</v>
      </c>
      <c r="W18" s="7">
        <v>2</v>
      </c>
      <c r="X18" s="54" t="s">
        <v>39</v>
      </c>
      <c r="Y18" s="54" t="s">
        <v>50</v>
      </c>
      <c r="Z18" s="54" t="s">
        <v>84</v>
      </c>
      <c r="AA18" s="54" t="s">
        <v>90</v>
      </c>
      <c r="AB18" s="39" t="s">
        <v>158</v>
      </c>
      <c r="AE18" s="22" t="s">
        <v>87</v>
      </c>
      <c r="AP18" s="43" t="s">
        <v>111</v>
      </c>
      <c r="AR18" s="41" t="s">
        <v>101</v>
      </c>
      <c r="AV18" s="23" t="s">
        <v>88</v>
      </c>
    </row>
    <row r="19" spans="1:48" x14ac:dyDescent="0.15">
      <c r="A19" s="15" t="s">
        <v>156</v>
      </c>
      <c r="B19" s="15" t="s">
        <v>157</v>
      </c>
      <c r="C19" s="15">
        <v>2019</v>
      </c>
      <c r="D19" s="37" t="s">
        <v>165</v>
      </c>
      <c r="E19" s="15" t="s">
        <v>143</v>
      </c>
      <c r="F19" s="7" t="s">
        <v>152</v>
      </c>
      <c r="G19" s="7" t="s">
        <v>36</v>
      </c>
      <c r="H19" s="15" t="s">
        <v>160</v>
      </c>
      <c r="I19" s="7" t="s">
        <v>159</v>
      </c>
      <c r="J19" s="15" t="s">
        <v>38</v>
      </c>
      <c r="K19" s="7" t="s">
        <v>54</v>
      </c>
      <c r="L19" s="7">
        <v>3</v>
      </c>
      <c r="N19" s="7">
        <v>1</v>
      </c>
      <c r="O19" s="7">
        <v>0.5</v>
      </c>
      <c r="P19" s="7">
        <v>0.5</v>
      </c>
      <c r="Q19" s="52">
        <f t="shared" si="0"/>
        <v>0.5</v>
      </c>
      <c r="R19" s="7">
        <v>18.2</v>
      </c>
      <c r="S19" s="7">
        <v>109</v>
      </c>
      <c r="T19" s="16">
        <f t="shared" si="1"/>
        <v>33</v>
      </c>
      <c r="U19" s="7">
        <v>138</v>
      </c>
      <c r="V19" s="16">
        <f t="shared" si="2"/>
        <v>4554</v>
      </c>
      <c r="W19" s="7">
        <v>2</v>
      </c>
      <c r="X19" s="54" t="s">
        <v>39</v>
      </c>
      <c r="Y19" s="54" t="s">
        <v>50</v>
      </c>
      <c r="Z19" s="54" t="s">
        <v>84</v>
      </c>
      <c r="AA19" s="54" t="s">
        <v>90</v>
      </c>
      <c r="AB19" s="39" t="s">
        <v>158</v>
      </c>
      <c r="AE19" s="35" t="s">
        <v>89</v>
      </c>
      <c r="AP19" s="43" t="s">
        <v>112</v>
      </c>
      <c r="AR19" s="30" t="s">
        <v>126</v>
      </c>
      <c r="AV19" s="23" t="s">
        <v>90</v>
      </c>
    </row>
    <row r="20" spans="1:48" x14ac:dyDescent="0.15">
      <c r="A20" s="15" t="s">
        <v>156</v>
      </c>
      <c r="B20" s="15" t="s">
        <v>157</v>
      </c>
      <c r="C20" s="15">
        <v>2019</v>
      </c>
      <c r="D20" s="37" t="s">
        <v>165</v>
      </c>
      <c r="E20" s="15" t="s">
        <v>131</v>
      </c>
      <c r="F20" s="7" t="s">
        <v>144</v>
      </c>
      <c r="G20" s="7" t="s">
        <v>36</v>
      </c>
      <c r="H20" s="15" t="s">
        <v>164</v>
      </c>
      <c r="I20" s="7" t="s">
        <v>159</v>
      </c>
      <c r="J20" s="15" t="s">
        <v>38</v>
      </c>
      <c r="K20" s="7" t="s">
        <v>161</v>
      </c>
      <c r="L20" s="7">
        <v>1</v>
      </c>
      <c r="N20" s="7">
        <v>1</v>
      </c>
      <c r="O20" s="7">
        <v>0.5</v>
      </c>
      <c r="P20" s="34">
        <v>0.5</v>
      </c>
      <c r="Q20" s="52">
        <f t="shared" si="0"/>
        <v>0.5</v>
      </c>
      <c r="R20" s="7">
        <v>11.8</v>
      </c>
      <c r="S20" s="7">
        <v>117</v>
      </c>
      <c r="T20" s="16">
        <f t="shared" si="1"/>
        <v>30</v>
      </c>
      <c r="U20" s="7">
        <v>138</v>
      </c>
      <c r="V20" s="16">
        <f t="shared" si="2"/>
        <v>4140</v>
      </c>
      <c r="W20" s="7">
        <v>2</v>
      </c>
      <c r="X20" s="54" t="s">
        <v>39</v>
      </c>
      <c r="Y20" s="54" t="s">
        <v>84</v>
      </c>
      <c r="Z20" s="54" t="s">
        <v>50</v>
      </c>
      <c r="AA20" s="54" t="s">
        <v>90</v>
      </c>
      <c r="AB20" s="39" t="s">
        <v>158</v>
      </c>
      <c r="AE20" s="22"/>
      <c r="AP20" s="43" t="s">
        <v>113</v>
      </c>
      <c r="AR20" s="41" t="s">
        <v>105</v>
      </c>
      <c r="AV20" s="27" t="s">
        <v>135</v>
      </c>
    </row>
    <row r="21" spans="1:48" x14ac:dyDescent="0.15">
      <c r="A21" s="15" t="s">
        <v>156</v>
      </c>
      <c r="B21" s="15" t="s">
        <v>157</v>
      </c>
      <c r="C21" s="15">
        <v>2019</v>
      </c>
      <c r="D21" s="37" t="s">
        <v>165</v>
      </c>
      <c r="E21" s="15" t="s">
        <v>131</v>
      </c>
      <c r="F21" s="7" t="s">
        <v>144</v>
      </c>
      <c r="G21" s="7" t="s">
        <v>36</v>
      </c>
      <c r="H21" s="54" t="s">
        <v>164</v>
      </c>
      <c r="I21" s="7" t="s">
        <v>159</v>
      </c>
      <c r="J21" s="15" t="s">
        <v>38</v>
      </c>
      <c r="K21" s="53" t="s">
        <v>161</v>
      </c>
      <c r="L21" s="7">
        <v>2</v>
      </c>
      <c r="N21" s="7">
        <v>1</v>
      </c>
      <c r="O21" s="7">
        <v>0.5</v>
      </c>
      <c r="P21" s="7">
        <v>0.5</v>
      </c>
      <c r="Q21" s="52">
        <f t="shared" si="0"/>
        <v>0.5</v>
      </c>
      <c r="R21" s="7">
        <v>12.7</v>
      </c>
      <c r="S21" s="7">
        <v>117</v>
      </c>
      <c r="T21" s="16">
        <f t="shared" si="1"/>
        <v>30</v>
      </c>
      <c r="U21" s="7">
        <v>138</v>
      </c>
      <c r="V21" s="16">
        <f t="shared" si="2"/>
        <v>4140</v>
      </c>
      <c r="W21" s="7">
        <v>2</v>
      </c>
      <c r="X21" s="54" t="s">
        <v>39</v>
      </c>
      <c r="Y21" s="54" t="s">
        <v>84</v>
      </c>
      <c r="Z21" s="54" t="s">
        <v>50</v>
      </c>
      <c r="AA21" s="54" t="s">
        <v>90</v>
      </c>
      <c r="AB21" s="39" t="s">
        <v>158</v>
      </c>
      <c r="AE21" s="22"/>
      <c r="AP21" s="43" t="s">
        <v>114</v>
      </c>
      <c r="AR21" s="41" t="s">
        <v>68</v>
      </c>
      <c r="AV21" s="27" t="s">
        <v>136</v>
      </c>
    </row>
    <row r="22" spans="1:48" x14ac:dyDescent="0.15">
      <c r="A22" s="15" t="s">
        <v>156</v>
      </c>
      <c r="B22" s="15" t="s">
        <v>157</v>
      </c>
      <c r="C22" s="15">
        <v>2019</v>
      </c>
      <c r="D22" s="37" t="s">
        <v>165</v>
      </c>
      <c r="E22" s="15" t="s">
        <v>131</v>
      </c>
      <c r="F22" s="7" t="s">
        <v>144</v>
      </c>
      <c r="G22" s="7" t="s">
        <v>36</v>
      </c>
      <c r="H22" s="54" t="s">
        <v>164</v>
      </c>
      <c r="I22" s="7" t="s">
        <v>159</v>
      </c>
      <c r="J22" s="15" t="s">
        <v>38</v>
      </c>
      <c r="K22" s="53" t="s">
        <v>161</v>
      </c>
      <c r="L22" s="7">
        <v>3</v>
      </c>
      <c r="N22" s="7">
        <v>1</v>
      </c>
      <c r="O22" s="34">
        <v>0.5</v>
      </c>
      <c r="P22" s="7">
        <v>0.5</v>
      </c>
      <c r="Q22" s="52">
        <f t="shared" si="0"/>
        <v>0.5</v>
      </c>
      <c r="R22" s="7">
        <v>13.3</v>
      </c>
      <c r="S22" s="7">
        <v>117</v>
      </c>
      <c r="T22" s="16">
        <f t="shared" si="1"/>
        <v>30</v>
      </c>
      <c r="U22" s="7">
        <v>138</v>
      </c>
      <c r="V22" s="16">
        <f t="shared" si="2"/>
        <v>4140</v>
      </c>
      <c r="W22" s="7">
        <v>2</v>
      </c>
      <c r="X22" s="54" t="s">
        <v>39</v>
      </c>
      <c r="Y22" s="54" t="s">
        <v>84</v>
      </c>
      <c r="Z22" s="54" t="s">
        <v>50</v>
      </c>
      <c r="AA22" s="54" t="s">
        <v>90</v>
      </c>
      <c r="AB22" s="39" t="s">
        <v>158</v>
      </c>
      <c r="AE22" s="35"/>
      <c r="AP22" s="43" t="s">
        <v>115</v>
      </c>
      <c r="AR22" s="41" t="s">
        <v>83</v>
      </c>
      <c r="AV22" s="27"/>
    </row>
    <row r="23" spans="1:48" x14ac:dyDescent="0.15">
      <c r="A23" s="15" t="s">
        <v>156</v>
      </c>
      <c r="B23" s="15" t="s">
        <v>157</v>
      </c>
      <c r="C23" s="15">
        <v>2019</v>
      </c>
      <c r="D23" s="37" t="s">
        <v>165</v>
      </c>
      <c r="E23" s="7" t="s">
        <v>139</v>
      </c>
      <c r="F23" s="7" t="s">
        <v>145</v>
      </c>
      <c r="G23" s="7" t="s">
        <v>36</v>
      </c>
      <c r="H23" s="15" t="s">
        <v>164</v>
      </c>
      <c r="I23" s="7" t="s">
        <v>159</v>
      </c>
      <c r="J23" s="15" t="s">
        <v>38</v>
      </c>
      <c r="K23" s="7" t="s">
        <v>161</v>
      </c>
      <c r="L23" s="7">
        <v>1</v>
      </c>
      <c r="N23" s="7">
        <v>1</v>
      </c>
      <c r="O23" s="34">
        <v>0.5</v>
      </c>
      <c r="P23" s="7">
        <v>0.5</v>
      </c>
      <c r="Q23" s="52">
        <f t="shared" si="0"/>
        <v>0.5</v>
      </c>
      <c r="R23" s="7">
        <v>13.4</v>
      </c>
      <c r="S23" s="7">
        <v>117</v>
      </c>
      <c r="T23" s="16">
        <f t="shared" si="1"/>
        <v>30</v>
      </c>
      <c r="U23" s="7">
        <v>100</v>
      </c>
      <c r="V23" s="16">
        <f t="shared" si="2"/>
        <v>3000</v>
      </c>
      <c r="W23" s="7">
        <v>4</v>
      </c>
      <c r="X23" s="54" t="s">
        <v>46</v>
      </c>
      <c r="Y23" s="54" t="s">
        <v>50</v>
      </c>
      <c r="Z23" s="54" t="s">
        <v>84</v>
      </c>
      <c r="AA23" s="54" t="s">
        <v>90</v>
      </c>
      <c r="AB23" s="39" t="s">
        <v>158</v>
      </c>
      <c r="AE23" s="22"/>
      <c r="AP23" s="43" t="s">
        <v>137</v>
      </c>
      <c r="AR23" s="41" t="s">
        <v>61</v>
      </c>
      <c r="AV23" s="27"/>
    </row>
    <row r="24" spans="1:48" x14ac:dyDescent="0.15">
      <c r="A24" s="15" t="s">
        <v>156</v>
      </c>
      <c r="B24" s="15" t="s">
        <v>157</v>
      </c>
      <c r="C24" s="15">
        <v>2019</v>
      </c>
      <c r="D24" s="37" t="s">
        <v>165</v>
      </c>
      <c r="E24" s="7" t="s">
        <v>139</v>
      </c>
      <c r="F24" s="7" t="s">
        <v>145</v>
      </c>
      <c r="G24" s="7" t="s">
        <v>36</v>
      </c>
      <c r="H24" s="15" t="s">
        <v>164</v>
      </c>
      <c r="I24" s="7" t="s">
        <v>159</v>
      </c>
      <c r="J24" s="15" t="s">
        <v>38</v>
      </c>
      <c r="K24" s="7" t="s">
        <v>161</v>
      </c>
      <c r="L24" s="7">
        <v>2</v>
      </c>
      <c r="N24" s="7">
        <v>1</v>
      </c>
      <c r="O24" s="7">
        <v>0.5</v>
      </c>
      <c r="P24" s="7">
        <v>0.5</v>
      </c>
      <c r="Q24" s="52">
        <f t="shared" si="0"/>
        <v>0.5</v>
      </c>
      <c r="R24" s="7">
        <v>12.7</v>
      </c>
      <c r="S24" s="7">
        <v>107</v>
      </c>
      <c r="T24" s="16">
        <f t="shared" si="1"/>
        <v>33</v>
      </c>
      <c r="U24" s="7">
        <v>100</v>
      </c>
      <c r="V24" s="16">
        <f t="shared" si="2"/>
        <v>3300</v>
      </c>
      <c r="W24" s="7">
        <v>4</v>
      </c>
      <c r="X24" s="54" t="s">
        <v>46</v>
      </c>
      <c r="Y24" s="54" t="s">
        <v>50</v>
      </c>
      <c r="Z24" s="54" t="s">
        <v>84</v>
      </c>
      <c r="AA24" s="54" t="s">
        <v>90</v>
      </c>
      <c r="AB24" s="39" t="s">
        <v>158</v>
      </c>
      <c r="AE24" s="22"/>
      <c r="AP24" s="43" t="s">
        <v>138</v>
      </c>
      <c r="AR24" s="41" t="s">
        <v>91</v>
      </c>
      <c r="AV24" s="27"/>
    </row>
    <row r="25" spans="1:48" x14ac:dyDescent="0.15">
      <c r="A25" s="15" t="s">
        <v>156</v>
      </c>
      <c r="B25" s="15" t="s">
        <v>157</v>
      </c>
      <c r="C25" s="15">
        <v>2019</v>
      </c>
      <c r="D25" s="37" t="s">
        <v>165</v>
      </c>
      <c r="E25" s="7" t="s">
        <v>139</v>
      </c>
      <c r="F25" s="7" t="s">
        <v>145</v>
      </c>
      <c r="G25" s="7" t="s">
        <v>36</v>
      </c>
      <c r="H25" s="15" t="s">
        <v>164</v>
      </c>
      <c r="I25" s="7" t="s">
        <v>159</v>
      </c>
      <c r="J25" s="15" t="s">
        <v>38</v>
      </c>
      <c r="K25" s="7" t="s">
        <v>161</v>
      </c>
      <c r="L25" s="7">
        <v>3</v>
      </c>
      <c r="N25" s="7">
        <v>1</v>
      </c>
      <c r="O25" s="7">
        <v>0.5</v>
      </c>
      <c r="P25" s="7">
        <v>0.5</v>
      </c>
      <c r="Q25" s="52">
        <f t="shared" si="0"/>
        <v>0.5</v>
      </c>
      <c r="R25" s="7">
        <v>13.3</v>
      </c>
      <c r="S25" s="7">
        <v>118</v>
      </c>
      <c r="T25" s="16">
        <f t="shared" si="1"/>
        <v>30</v>
      </c>
      <c r="U25" s="7">
        <v>100</v>
      </c>
      <c r="V25" s="16">
        <f t="shared" si="2"/>
        <v>3000</v>
      </c>
      <c r="W25" s="7">
        <v>4</v>
      </c>
      <c r="X25" s="54" t="s">
        <v>46</v>
      </c>
      <c r="Y25" s="54" t="s">
        <v>50</v>
      </c>
      <c r="Z25" s="54" t="s">
        <v>84</v>
      </c>
      <c r="AA25" s="54" t="s">
        <v>90</v>
      </c>
      <c r="AB25" s="39" t="s">
        <v>158</v>
      </c>
      <c r="AE25" s="35"/>
      <c r="AP25" s="43" t="s">
        <v>116</v>
      </c>
      <c r="AR25" s="42" t="s">
        <v>92</v>
      </c>
      <c r="AV25" s="27"/>
    </row>
    <row r="26" spans="1:48" x14ac:dyDescent="0.15">
      <c r="A26" s="15" t="s">
        <v>156</v>
      </c>
      <c r="B26" s="15" t="s">
        <v>157</v>
      </c>
      <c r="C26" s="15">
        <v>2019</v>
      </c>
      <c r="D26" s="37" t="s">
        <v>165</v>
      </c>
      <c r="E26" s="7" t="s">
        <v>139</v>
      </c>
      <c r="F26" s="7" t="s">
        <v>145</v>
      </c>
      <c r="G26" s="7" t="s">
        <v>36</v>
      </c>
      <c r="H26" s="15" t="s">
        <v>128</v>
      </c>
      <c r="I26" s="7" t="s">
        <v>159</v>
      </c>
      <c r="J26" s="15" t="s">
        <v>58</v>
      </c>
      <c r="K26" s="7" t="s">
        <v>59</v>
      </c>
      <c r="L26" s="7">
        <v>1</v>
      </c>
      <c r="N26" s="53">
        <v>1</v>
      </c>
      <c r="O26" s="7">
        <v>0.5</v>
      </c>
      <c r="P26" s="7">
        <v>0.5</v>
      </c>
      <c r="Q26" s="52">
        <f t="shared" si="0"/>
        <v>0.5</v>
      </c>
      <c r="R26" s="7">
        <v>12.4</v>
      </c>
      <c r="S26" s="7">
        <v>103</v>
      </c>
      <c r="T26" s="16">
        <f t="shared" si="1"/>
        <v>33</v>
      </c>
      <c r="U26" s="7">
        <v>170</v>
      </c>
      <c r="V26" s="16">
        <f t="shared" si="2"/>
        <v>5610</v>
      </c>
      <c r="W26" s="7">
        <v>2</v>
      </c>
      <c r="X26" s="54" t="s">
        <v>46</v>
      </c>
      <c r="Y26" s="54" t="s">
        <v>50</v>
      </c>
      <c r="Z26" s="54" t="s">
        <v>84</v>
      </c>
      <c r="AA26" s="54" t="s">
        <v>90</v>
      </c>
      <c r="AB26" s="39" t="s">
        <v>158</v>
      </c>
      <c r="AE26" s="35"/>
      <c r="AP26" s="43" t="s">
        <v>117</v>
      </c>
      <c r="AR26" s="23" t="s">
        <v>153</v>
      </c>
      <c r="AV26" s="28"/>
    </row>
    <row r="27" spans="1:48" x14ac:dyDescent="0.15">
      <c r="A27" s="15" t="s">
        <v>156</v>
      </c>
      <c r="B27" s="15" t="s">
        <v>157</v>
      </c>
      <c r="C27" s="15">
        <v>2019</v>
      </c>
      <c r="D27" s="37" t="s">
        <v>165</v>
      </c>
      <c r="E27" s="7" t="s">
        <v>139</v>
      </c>
      <c r="F27" s="7" t="s">
        <v>145</v>
      </c>
      <c r="G27" s="7" t="s">
        <v>36</v>
      </c>
      <c r="H27" s="54" t="s">
        <v>128</v>
      </c>
      <c r="I27" s="7" t="s">
        <v>159</v>
      </c>
      <c r="J27" s="15" t="s">
        <v>58</v>
      </c>
      <c r="K27" s="7" t="s">
        <v>59</v>
      </c>
      <c r="L27" s="7">
        <v>2</v>
      </c>
      <c r="N27" s="53">
        <v>1</v>
      </c>
      <c r="O27" s="7">
        <v>0.5</v>
      </c>
      <c r="P27" s="7">
        <v>0.55000000000000004</v>
      </c>
      <c r="Q27" s="52">
        <f t="shared" si="0"/>
        <v>0.52500000000000002</v>
      </c>
      <c r="R27" s="7">
        <v>12.1</v>
      </c>
      <c r="S27" s="7">
        <v>112</v>
      </c>
      <c r="T27" s="16">
        <f t="shared" si="1"/>
        <v>33</v>
      </c>
      <c r="U27" s="7">
        <v>170</v>
      </c>
      <c r="V27" s="16">
        <f t="shared" si="2"/>
        <v>5610</v>
      </c>
      <c r="W27" s="7">
        <v>2</v>
      </c>
      <c r="X27" s="54" t="s">
        <v>46</v>
      </c>
      <c r="Y27" s="54" t="s">
        <v>50</v>
      </c>
      <c r="Z27" s="54" t="s">
        <v>84</v>
      </c>
      <c r="AA27" s="54" t="s">
        <v>90</v>
      </c>
      <c r="AB27" s="39" t="s">
        <v>158</v>
      </c>
      <c r="AE27" s="28"/>
      <c r="AP27" s="43" t="s">
        <v>118</v>
      </c>
      <c r="AR27" s="23"/>
    </row>
    <row r="28" spans="1:48" x14ac:dyDescent="0.15">
      <c r="A28" s="15" t="s">
        <v>156</v>
      </c>
      <c r="B28" s="15" t="s">
        <v>157</v>
      </c>
      <c r="C28" s="15">
        <v>2019</v>
      </c>
      <c r="D28" s="37" t="s">
        <v>165</v>
      </c>
      <c r="E28" s="7" t="s">
        <v>139</v>
      </c>
      <c r="F28" s="7" t="s">
        <v>145</v>
      </c>
      <c r="G28" s="7" t="s">
        <v>36</v>
      </c>
      <c r="H28" s="54" t="s">
        <v>128</v>
      </c>
      <c r="I28" s="7" t="s">
        <v>159</v>
      </c>
      <c r="J28" s="15" t="s">
        <v>58</v>
      </c>
      <c r="K28" s="7" t="s">
        <v>59</v>
      </c>
      <c r="L28" s="7">
        <v>3</v>
      </c>
      <c r="N28" s="53">
        <v>1</v>
      </c>
      <c r="O28" s="7">
        <v>0.5</v>
      </c>
      <c r="P28" s="7">
        <v>0.5</v>
      </c>
      <c r="Q28" s="52">
        <f t="shared" si="0"/>
        <v>0.5</v>
      </c>
      <c r="R28" s="7">
        <v>12.6</v>
      </c>
      <c r="S28" s="7">
        <v>106</v>
      </c>
      <c r="T28" s="16">
        <f t="shared" si="1"/>
        <v>33</v>
      </c>
      <c r="U28" s="7">
        <v>170</v>
      </c>
      <c r="V28" s="16">
        <f t="shared" si="2"/>
        <v>5610</v>
      </c>
      <c r="W28" s="7">
        <v>2</v>
      </c>
      <c r="X28" s="54" t="s">
        <v>46</v>
      </c>
      <c r="Y28" s="54" t="s">
        <v>50</v>
      </c>
      <c r="Z28" s="54" t="s">
        <v>84</v>
      </c>
      <c r="AA28" s="54" t="s">
        <v>90</v>
      </c>
      <c r="AB28" s="39" t="s">
        <v>158</v>
      </c>
      <c r="AP28" s="27"/>
      <c r="AR28" s="23"/>
    </row>
    <row r="29" spans="1:48" x14ac:dyDescent="0.15">
      <c r="A29" s="15" t="s">
        <v>156</v>
      </c>
      <c r="B29" s="15" t="s">
        <v>157</v>
      </c>
      <c r="C29" s="15">
        <v>2019</v>
      </c>
      <c r="D29" s="37" t="s">
        <v>165</v>
      </c>
      <c r="E29" s="7" t="s">
        <v>162</v>
      </c>
      <c r="F29" s="7" t="s">
        <v>163</v>
      </c>
      <c r="G29" s="7" t="s">
        <v>36</v>
      </c>
      <c r="H29" s="54" t="s">
        <v>164</v>
      </c>
      <c r="I29" s="7" t="s">
        <v>159</v>
      </c>
      <c r="J29" s="15" t="s">
        <v>38</v>
      </c>
      <c r="K29" s="7" t="s">
        <v>161</v>
      </c>
      <c r="L29" s="7">
        <v>1</v>
      </c>
      <c r="N29" s="53">
        <v>1</v>
      </c>
      <c r="O29" s="7">
        <v>0.6</v>
      </c>
      <c r="P29" s="7">
        <v>0.7</v>
      </c>
      <c r="Q29" s="52">
        <f t="shared" si="0"/>
        <v>0.64999999999999991</v>
      </c>
      <c r="R29" s="7">
        <v>12.7</v>
      </c>
      <c r="S29" s="7">
        <v>117</v>
      </c>
      <c r="T29" s="16">
        <f t="shared" si="1"/>
        <v>30</v>
      </c>
      <c r="U29" s="7">
        <v>98</v>
      </c>
      <c r="V29" s="16">
        <f t="shared" si="2"/>
        <v>2940</v>
      </c>
      <c r="W29" s="7">
        <v>2</v>
      </c>
      <c r="X29" s="54" t="s">
        <v>39</v>
      </c>
      <c r="Y29" s="54" t="s">
        <v>84</v>
      </c>
      <c r="Z29" s="54" t="s">
        <v>50</v>
      </c>
      <c r="AA29" s="54" t="s">
        <v>90</v>
      </c>
      <c r="AB29" s="39" t="s">
        <v>158</v>
      </c>
      <c r="AP29" s="27"/>
      <c r="AR29" s="27"/>
      <c r="AV29" s="28"/>
    </row>
    <row r="30" spans="1:48" x14ac:dyDescent="0.15">
      <c r="A30" s="15" t="s">
        <v>156</v>
      </c>
      <c r="B30" s="15" t="s">
        <v>157</v>
      </c>
      <c r="C30" s="15">
        <v>2019</v>
      </c>
      <c r="D30" s="37" t="s">
        <v>165</v>
      </c>
      <c r="E30" s="7" t="s">
        <v>162</v>
      </c>
      <c r="F30" s="7" t="s">
        <v>163</v>
      </c>
      <c r="G30" s="7" t="s">
        <v>36</v>
      </c>
      <c r="H30" s="54" t="s">
        <v>164</v>
      </c>
      <c r="I30" s="53" t="s">
        <v>159</v>
      </c>
      <c r="J30" s="15" t="s">
        <v>38</v>
      </c>
      <c r="K30" s="7" t="s">
        <v>161</v>
      </c>
      <c r="L30" s="7">
        <v>2</v>
      </c>
      <c r="N30" s="7">
        <v>1</v>
      </c>
      <c r="O30" s="7">
        <v>0.5</v>
      </c>
      <c r="P30" s="7">
        <v>0.5</v>
      </c>
      <c r="Q30" s="52">
        <f t="shared" si="0"/>
        <v>0.5</v>
      </c>
      <c r="R30" s="7">
        <v>14.6</v>
      </c>
      <c r="S30" s="7">
        <v>115</v>
      </c>
      <c r="T30" s="16">
        <f t="shared" si="1"/>
        <v>30</v>
      </c>
      <c r="U30" s="7">
        <v>98</v>
      </c>
      <c r="V30" s="16">
        <f t="shared" si="2"/>
        <v>2940</v>
      </c>
      <c r="W30" s="7">
        <v>2</v>
      </c>
      <c r="X30" s="54" t="s">
        <v>39</v>
      </c>
      <c r="Y30" s="54" t="s">
        <v>84</v>
      </c>
      <c r="Z30" s="54" t="s">
        <v>50</v>
      </c>
      <c r="AA30" s="54" t="s">
        <v>90</v>
      </c>
      <c r="AB30" s="39" t="s">
        <v>158</v>
      </c>
      <c r="AP30" s="27"/>
      <c r="AR30" s="27"/>
    </row>
    <row r="31" spans="1:48" x14ac:dyDescent="0.15">
      <c r="A31" s="15" t="s">
        <v>156</v>
      </c>
      <c r="B31" s="15" t="s">
        <v>157</v>
      </c>
      <c r="C31" s="15">
        <v>2019</v>
      </c>
      <c r="D31" s="37" t="s">
        <v>165</v>
      </c>
      <c r="E31" s="7" t="s">
        <v>162</v>
      </c>
      <c r="F31" s="7" t="s">
        <v>163</v>
      </c>
      <c r="G31" s="7" t="s">
        <v>36</v>
      </c>
      <c r="H31" s="54" t="s">
        <v>164</v>
      </c>
      <c r="I31" s="53" t="s">
        <v>159</v>
      </c>
      <c r="J31" s="15" t="s">
        <v>38</v>
      </c>
      <c r="K31" s="7" t="s">
        <v>161</v>
      </c>
      <c r="L31" s="7">
        <v>3</v>
      </c>
      <c r="N31" s="7">
        <v>1</v>
      </c>
      <c r="O31" s="7">
        <v>0.5</v>
      </c>
      <c r="P31" s="7">
        <v>0.55000000000000004</v>
      </c>
      <c r="Q31" s="52">
        <f t="shared" si="0"/>
        <v>0.52500000000000002</v>
      </c>
      <c r="R31" s="7">
        <v>13.2</v>
      </c>
      <c r="S31" s="7">
        <v>119</v>
      </c>
      <c r="T31" s="16">
        <f t="shared" si="1"/>
        <v>30</v>
      </c>
      <c r="U31" s="7">
        <v>98</v>
      </c>
      <c r="V31" s="16">
        <f t="shared" si="2"/>
        <v>2940</v>
      </c>
      <c r="W31" s="7">
        <v>2</v>
      </c>
      <c r="X31" s="54" t="s">
        <v>39</v>
      </c>
      <c r="Y31" s="54" t="s">
        <v>84</v>
      </c>
      <c r="Z31" s="54" t="s">
        <v>50</v>
      </c>
      <c r="AA31" s="54" t="s">
        <v>90</v>
      </c>
      <c r="AB31" s="39" t="s">
        <v>158</v>
      </c>
      <c r="AP31" s="27"/>
      <c r="AR31" s="27"/>
    </row>
    <row r="32" spans="1:48" x14ac:dyDescent="0.15">
      <c r="A32" s="15" t="s">
        <v>156</v>
      </c>
      <c r="B32" s="15" t="s">
        <v>157</v>
      </c>
      <c r="C32" s="15">
        <v>2019</v>
      </c>
      <c r="D32" s="37" t="s">
        <v>165</v>
      </c>
      <c r="E32" s="7" t="s">
        <v>130</v>
      </c>
      <c r="F32" s="7" t="s">
        <v>146</v>
      </c>
      <c r="G32" s="7" t="s">
        <v>36</v>
      </c>
      <c r="H32" s="15" t="s">
        <v>164</v>
      </c>
      <c r="I32" s="7" t="s">
        <v>159</v>
      </c>
      <c r="J32" s="15" t="s">
        <v>38</v>
      </c>
      <c r="K32" s="7" t="s">
        <v>161</v>
      </c>
      <c r="L32" s="7">
        <v>1</v>
      </c>
      <c r="N32" s="7">
        <v>1</v>
      </c>
      <c r="O32" s="7">
        <v>0.5</v>
      </c>
      <c r="P32" s="7">
        <v>0.5</v>
      </c>
      <c r="Q32" s="52">
        <f t="shared" si="0"/>
        <v>0.5</v>
      </c>
      <c r="R32" s="7">
        <v>12.9</v>
      </c>
      <c r="S32" s="7">
        <v>122</v>
      </c>
      <c r="T32" s="16">
        <f t="shared" si="1"/>
        <v>27</v>
      </c>
      <c r="U32" s="7">
        <v>98</v>
      </c>
      <c r="V32" s="16">
        <f t="shared" si="2"/>
        <v>2646</v>
      </c>
      <c r="W32" s="7">
        <v>7</v>
      </c>
      <c r="X32" s="54" t="s">
        <v>46</v>
      </c>
      <c r="Y32" s="54" t="s">
        <v>84</v>
      </c>
      <c r="Z32" s="54" t="s">
        <v>50</v>
      </c>
      <c r="AA32" s="54" t="s">
        <v>90</v>
      </c>
      <c r="AB32" s="39" t="s">
        <v>158</v>
      </c>
      <c r="AP32" s="28"/>
      <c r="AR32" s="28"/>
    </row>
    <row r="33" spans="1:44" x14ac:dyDescent="0.15">
      <c r="A33" s="15" t="s">
        <v>156</v>
      </c>
      <c r="B33" s="15" t="s">
        <v>157</v>
      </c>
      <c r="C33" s="15">
        <v>2019</v>
      </c>
      <c r="D33" s="37" t="s">
        <v>165</v>
      </c>
      <c r="E33" s="7" t="s">
        <v>130</v>
      </c>
      <c r="F33" s="7" t="s">
        <v>146</v>
      </c>
      <c r="G33" s="7" t="s">
        <v>36</v>
      </c>
      <c r="H33" s="54" t="s">
        <v>164</v>
      </c>
      <c r="I33" s="53" t="s">
        <v>159</v>
      </c>
      <c r="J33" s="54" t="s">
        <v>38</v>
      </c>
      <c r="K33" s="53" t="s">
        <v>161</v>
      </c>
      <c r="L33" s="7">
        <v>2</v>
      </c>
      <c r="N33" s="7">
        <v>1</v>
      </c>
      <c r="O33" s="7">
        <v>0.5</v>
      </c>
      <c r="P33" s="7">
        <v>0.5</v>
      </c>
      <c r="Q33" s="52">
        <f t="shared" si="0"/>
        <v>0.5</v>
      </c>
      <c r="R33" s="7">
        <v>12.4</v>
      </c>
      <c r="S33" s="7">
        <v>126</v>
      </c>
      <c r="T33" s="16">
        <f t="shared" si="1"/>
        <v>27</v>
      </c>
      <c r="U33" s="7">
        <v>98</v>
      </c>
      <c r="V33" s="16">
        <f t="shared" si="2"/>
        <v>2646</v>
      </c>
      <c r="W33" s="7">
        <v>7</v>
      </c>
      <c r="X33" s="54" t="s">
        <v>46</v>
      </c>
      <c r="Y33" s="54" t="s">
        <v>84</v>
      </c>
      <c r="Z33" s="54" t="s">
        <v>50</v>
      </c>
      <c r="AA33" s="54" t="s">
        <v>90</v>
      </c>
      <c r="AB33" s="39" t="s">
        <v>158</v>
      </c>
    </row>
    <row r="34" spans="1:44" x14ac:dyDescent="0.15">
      <c r="A34" s="15" t="s">
        <v>156</v>
      </c>
      <c r="B34" s="15" t="s">
        <v>157</v>
      </c>
      <c r="C34" s="15">
        <v>2019</v>
      </c>
      <c r="D34" s="37" t="s">
        <v>165</v>
      </c>
      <c r="E34" s="7" t="s">
        <v>130</v>
      </c>
      <c r="F34" s="7" t="s">
        <v>146</v>
      </c>
      <c r="G34" s="7" t="s">
        <v>36</v>
      </c>
      <c r="H34" s="54" t="s">
        <v>164</v>
      </c>
      <c r="I34" s="53" t="s">
        <v>159</v>
      </c>
      <c r="J34" s="54" t="s">
        <v>38</v>
      </c>
      <c r="K34" s="53" t="s">
        <v>161</v>
      </c>
      <c r="L34" s="7">
        <v>3</v>
      </c>
      <c r="N34" s="7">
        <v>1</v>
      </c>
      <c r="O34" s="7">
        <v>0.55000000000000004</v>
      </c>
      <c r="P34" s="7">
        <v>0.55000000000000004</v>
      </c>
      <c r="Q34" s="52">
        <f t="shared" si="0"/>
        <v>0.55000000000000004</v>
      </c>
      <c r="R34" s="7">
        <v>13.4</v>
      </c>
      <c r="S34" s="7">
        <v>117</v>
      </c>
      <c r="T34" s="16">
        <f t="shared" si="1"/>
        <v>30</v>
      </c>
      <c r="U34" s="7">
        <v>98</v>
      </c>
      <c r="V34" s="16">
        <f t="shared" si="2"/>
        <v>2940</v>
      </c>
      <c r="W34" s="7">
        <v>7</v>
      </c>
      <c r="X34" s="54" t="s">
        <v>46</v>
      </c>
      <c r="Y34" s="54" t="s">
        <v>84</v>
      </c>
      <c r="Z34" s="54" t="s">
        <v>50</v>
      </c>
      <c r="AA34" s="54" t="s">
        <v>90</v>
      </c>
      <c r="AB34" s="39" t="s">
        <v>158</v>
      </c>
    </row>
    <row r="35" spans="1:44" x14ac:dyDescent="0.15">
      <c r="A35" s="15" t="s">
        <v>156</v>
      </c>
      <c r="B35" s="15" t="s">
        <v>157</v>
      </c>
      <c r="C35" s="15">
        <v>2019</v>
      </c>
      <c r="D35" s="37" t="s">
        <v>165</v>
      </c>
      <c r="E35" s="7" t="s">
        <v>130</v>
      </c>
      <c r="F35" s="7" t="s">
        <v>146</v>
      </c>
      <c r="G35" s="7" t="s">
        <v>36</v>
      </c>
      <c r="H35" s="15" t="s">
        <v>160</v>
      </c>
      <c r="I35" s="7" t="s">
        <v>159</v>
      </c>
      <c r="J35" s="15" t="s">
        <v>38</v>
      </c>
      <c r="K35" s="7" t="s">
        <v>54</v>
      </c>
      <c r="L35" s="7">
        <v>1</v>
      </c>
      <c r="N35" s="7">
        <v>1</v>
      </c>
      <c r="O35" s="7">
        <v>0.5</v>
      </c>
      <c r="P35" s="7">
        <v>0.5</v>
      </c>
      <c r="Q35" s="52">
        <f t="shared" si="0"/>
        <v>0.5</v>
      </c>
      <c r="R35" s="7">
        <v>18.8</v>
      </c>
      <c r="S35" s="7">
        <v>114</v>
      </c>
      <c r="T35" s="16">
        <f t="shared" si="1"/>
        <v>30</v>
      </c>
      <c r="U35" s="7">
        <v>135</v>
      </c>
      <c r="V35" s="16">
        <f t="shared" si="2"/>
        <v>4050</v>
      </c>
      <c r="W35" s="7">
        <v>3</v>
      </c>
      <c r="X35" s="54" t="s">
        <v>46</v>
      </c>
      <c r="Y35" s="54" t="s">
        <v>84</v>
      </c>
      <c r="Z35" s="54" t="s">
        <v>50</v>
      </c>
      <c r="AA35" s="54" t="s">
        <v>90</v>
      </c>
      <c r="AB35" s="39" t="s">
        <v>158</v>
      </c>
      <c r="AP35" s="28"/>
      <c r="AR35" s="28"/>
    </row>
    <row r="36" spans="1:44" x14ac:dyDescent="0.15">
      <c r="A36" s="15" t="s">
        <v>156</v>
      </c>
      <c r="B36" s="15" t="s">
        <v>157</v>
      </c>
      <c r="C36" s="15">
        <v>2019</v>
      </c>
      <c r="D36" s="37" t="s">
        <v>165</v>
      </c>
      <c r="E36" s="7" t="s">
        <v>130</v>
      </c>
      <c r="F36" s="7" t="s">
        <v>146</v>
      </c>
      <c r="G36" s="7" t="s">
        <v>36</v>
      </c>
      <c r="H36" s="54" t="s">
        <v>160</v>
      </c>
      <c r="I36" s="7" t="s">
        <v>159</v>
      </c>
      <c r="J36" s="15" t="s">
        <v>38</v>
      </c>
      <c r="K36" s="7" t="s">
        <v>54</v>
      </c>
      <c r="L36" s="7">
        <v>2</v>
      </c>
      <c r="N36" s="7">
        <v>1</v>
      </c>
      <c r="O36" s="7">
        <v>0.55000000000000004</v>
      </c>
      <c r="P36" s="7">
        <v>0.5</v>
      </c>
      <c r="Q36" s="52">
        <f t="shared" si="0"/>
        <v>0.52500000000000002</v>
      </c>
      <c r="R36" s="7">
        <v>18.899999999999999</v>
      </c>
      <c r="S36" s="7">
        <v>106</v>
      </c>
      <c r="T36" s="16">
        <f t="shared" si="1"/>
        <v>33</v>
      </c>
      <c r="U36" s="7">
        <v>135</v>
      </c>
      <c r="V36" s="16">
        <f t="shared" si="2"/>
        <v>4455</v>
      </c>
      <c r="W36" s="7">
        <v>3</v>
      </c>
      <c r="X36" s="54" t="s">
        <v>46</v>
      </c>
      <c r="Y36" s="54" t="s">
        <v>84</v>
      </c>
      <c r="Z36" s="54" t="s">
        <v>50</v>
      </c>
      <c r="AA36" s="54" t="s">
        <v>90</v>
      </c>
      <c r="AB36" s="39" t="s">
        <v>158</v>
      </c>
    </row>
    <row r="37" spans="1:44" x14ac:dyDescent="0.15">
      <c r="A37" s="15" t="s">
        <v>156</v>
      </c>
      <c r="B37" s="15" t="s">
        <v>157</v>
      </c>
      <c r="C37" s="15">
        <v>2019</v>
      </c>
      <c r="D37" s="37" t="s">
        <v>165</v>
      </c>
      <c r="E37" s="7" t="s">
        <v>130</v>
      </c>
      <c r="F37" s="7" t="s">
        <v>146</v>
      </c>
      <c r="G37" s="7" t="s">
        <v>36</v>
      </c>
      <c r="H37" s="54" t="s">
        <v>160</v>
      </c>
      <c r="I37" s="7" t="s">
        <v>159</v>
      </c>
      <c r="J37" s="15" t="s">
        <v>38</v>
      </c>
      <c r="K37" s="7" t="s">
        <v>54</v>
      </c>
      <c r="L37" s="7">
        <v>3</v>
      </c>
      <c r="N37" s="7">
        <v>1</v>
      </c>
      <c r="O37" s="34">
        <v>0.5</v>
      </c>
      <c r="P37" s="34">
        <v>0.55000000000000004</v>
      </c>
      <c r="Q37" s="52">
        <f t="shared" si="0"/>
        <v>0.52500000000000002</v>
      </c>
      <c r="R37" s="7">
        <v>19.5</v>
      </c>
      <c r="S37" s="7">
        <v>114</v>
      </c>
      <c r="T37" s="16">
        <f t="shared" si="1"/>
        <v>30</v>
      </c>
      <c r="U37" s="7">
        <v>135</v>
      </c>
      <c r="V37" s="16">
        <f t="shared" si="2"/>
        <v>4050</v>
      </c>
      <c r="W37" s="7">
        <v>3</v>
      </c>
      <c r="X37" s="54" t="s">
        <v>46</v>
      </c>
      <c r="Y37" s="54" t="s">
        <v>84</v>
      </c>
      <c r="Z37" s="54" t="s">
        <v>50</v>
      </c>
      <c r="AA37" s="54" t="s">
        <v>90</v>
      </c>
      <c r="AB37" s="39" t="s">
        <v>158</v>
      </c>
    </row>
    <row r="38" spans="1:44" x14ac:dyDescent="0.15">
      <c r="A38" s="15" t="s">
        <v>156</v>
      </c>
      <c r="B38" s="15" t="s">
        <v>157</v>
      </c>
      <c r="C38" s="15">
        <v>2019</v>
      </c>
      <c r="D38" s="37" t="s">
        <v>165</v>
      </c>
      <c r="E38" s="7" t="s">
        <v>132</v>
      </c>
      <c r="F38" s="7" t="s">
        <v>147</v>
      </c>
      <c r="G38" s="7" t="s">
        <v>36</v>
      </c>
      <c r="H38" s="15" t="s">
        <v>164</v>
      </c>
      <c r="I38" s="7" t="s">
        <v>159</v>
      </c>
      <c r="J38" s="15" t="s">
        <v>38</v>
      </c>
      <c r="K38" s="7" t="s">
        <v>161</v>
      </c>
      <c r="L38" s="7">
        <v>1</v>
      </c>
      <c r="N38" s="53">
        <v>1</v>
      </c>
      <c r="O38" s="34">
        <v>0.5</v>
      </c>
      <c r="P38" s="34">
        <v>0.5</v>
      </c>
      <c r="Q38" s="52">
        <f t="shared" si="0"/>
        <v>0.5</v>
      </c>
      <c r="R38" s="7">
        <v>13.3</v>
      </c>
      <c r="S38" s="7">
        <v>115</v>
      </c>
      <c r="T38" s="16">
        <f t="shared" si="1"/>
        <v>30</v>
      </c>
      <c r="U38" s="7">
        <v>105</v>
      </c>
      <c r="V38" s="16">
        <f t="shared" si="2"/>
        <v>3150</v>
      </c>
      <c r="W38" s="7">
        <v>2</v>
      </c>
      <c r="X38" s="54" t="s">
        <v>39</v>
      </c>
      <c r="Y38" s="54" t="s">
        <v>84</v>
      </c>
      <c r="Z38" s="54" t="s">
        <v>50</v>
      </c>
      <c r="AA38" s="54" t="s">
        <v>90</v>
      </c>
      <c r="AB38" s="39" t="s">
        <v>158</v>
      </c>
    </row>
    <row r="39" spans="1:44" x14ac:dyDescent="0.15">
      <c r="A39" s="15" t="s">
        <v>156</v>
      </c>
      <c r="B39" s="15" t="s">
        <v>157</v>
      </c>
      <c r="C39" s="15">
        <v>2019</v>
      </c>
      <c r="D39" s="37" t="s">
        <v>165</v>
      </c>
      <c r="E39" s="7" t="s">
        <v>132</v>
      </c>
      <c r="F39" s="7" t="s">
        <v>147</v>
      </c>
      <c r="G39" s="7" t="s">
        <v>36</v>
      </c>
      <c r="H39" s="54" t="s">
        <v>164</v>
      </c>
      <c r="I39" s="7" t="s">
        <v>159</v>
      </c>
      <c r="J39" s="15" t="s">
        <v>38</v>
      </c>
      <c r="K39" s="7" t="s">
        <v>161</v>
      </c>
      <c r="L39" s="7">
        <v>2</v>
      </c>
      <c r="N39" s="53">
        <v>1</v>
      </c>
      <c r="O39" s="7">
        <v>0.5</v>
      </c>
      <c r="P39" s="7">
        <v>0.5</v>
      </c>
      <c r="Q39" s="52">
        <f t="shared" si="0"/>
        <v>0.5</v>
      </c>
      <c r="R39" s="34">
        <v>12.4</v>
      </c>
      <c r="S39" s="7">
        <v>112</v>
      </c>
      <c r="T39" s="16">
        <f t="shared" si="1"/>
        <v>33</v>
      </c>
      <c r="U39" s="7">
        <v>105</v>
      </c>
      <c r="V39" s="16">
        <f t="shared" si="2"/>
        <v>3465</v>
      </c>
      <c r="W39" s="7">
        <v>2</v>
      </c>
      <c r="X39" s="54" t="s">
        <v>39</v>
      </c>
      <c r="Y39" s="54" t="s">
        <v>84</v>
      </c>
      <c r="Z39" s="54" t="s">
        <v>50</v>
      </c>
      <c r="AA39" s="54" t="s">
        <v>90</v>
      </c>
      <c r="AB39" s="39" t="s">
        <v>158</v>
      </c>
    </row>
    <row r="40" spans="1:44" x14ac:dyDescent="0.15">
      <c r="A40" s="15" t="s">
        <v>156</v>
      </c>
      <c r="B40" s="15" t="s">
        <v>157</v>
      </c>
      <c r="C40" s="15">
        <v>2019</v>
      </c>
      <c r="D40" s="37" t="s">
        <v>165</v>
      </c>
      <c r="E40" s="7" t="s">
        <v>132</v>
      </c>
      <c r="F40" s="7" t="s">
        <v>147</v>
      </c>
      <c r="G40" s="7" t="s">
        <v>36</v>
      </c>
      <c r="H40" s="54" t="s">
        <v>164</v>
      </c>
      <c r="I40" s="7" t="s">
        <v>159</v>
      </c>
      <c r="J40" s="15" t="s">
        <v>38</v>
      </c>
      <c r="K40" s="7" t="s">
        <v>161</v>
      </c>
      <c r="L40" s="7">
        <v>3</v>
      </c>
      <c r="N40" s="53">
        <v>1</v>
      </c>
      <c r="O40" s="7">
        <v>0.5</v>
      </c>
      <c r="P40" s="7">
        <v>0.5</v>
      </c>
      <c r="Q40" s="52">
        <f t="shared" si="0"/>
        <v>0.5</v>
      </c>
      <c r="R40" s="7">
        <v>15.1</v>
      </c>
      <c r="S40" s="7">
        <v>116</v>
      </c>
      <c r="T40" s="16">
        <f t="shared" si="1"/>
        <v>30</v>
      </c>
      <c r="U40" s="7">
        <v>105</v>
      </c>
      <c r="V40" s="16">
        <f t="shared" si="2"/>
        <v>3150</v>
      </c>
      <c r="W40" s="7">
        <v>2</v>
      </c>
      <c r="X40" s="54" t="s">
        <v>39</v>
      </c>
      <c r="Y40" s="54" t="s">
        <v>84</v>
      </c>
      <c r="Z40" s="54" t="s">
        <v>50</v>
      </c>
      <c r="AA40" s="54" t="s">
        <v>90</v>
      </c>
      <c r="AB40" s="39" t="s">
        <v>158</v>
      </c>
    </row>
    <row r="41" spans="1:44" ht="12.75" customHeight="1" x14ac:dyDescent="0.15">
      <c r="A41" s="15" t="s">
        <v>156</v>
      </c>
      <c r="B41" s="15" t="s">
        <v>157</v>
      </c>
      <c r="C41" s="15">
        <v>2019</v>
      </c>
      <c r="D41" s="37" t="s">
        <v>165</v>
      </c>
      <c r="E41" s="7" t="s">
        <v>132</v>
      </c>
      <c r="F41" s="7" t="s">
        <v>147</v>
      </c>
      <c r="G41" s="7" t="s">
        <v>36</v>
      </c>
      <c r="H41" s="15" t="s">
        <v>160</v>
      </c>
      <c r="I41" s="7" t="s">
        <v>159</v>
      </c>
      <c r="J41" s="15" t="s">
        <v>38</v>
      </c>
      <c r="K41" s="7" t="s">
        <v>153</v>
      </c>
      <c r="L41" s="7">
        <v>1</v>
      </c>
      <c r="N41" s="7">
        <v>4</v>
      </c>
      <c r="O41" s="7">
        <v>0.55000000000000004</v>
      </c>
      <c r="P41" s="7">
        <v>0.5</v>
      </c>
      <c r="Q41" s="52">
        <f t="shared" si="0"/>
        <v>0.52500000000000002</v>
      </c>
      <c r="R41" s="7">
        <v>15.1</v>
      </c>
      <c r="S41" s="7">
        <v>85</v>
      </c>
      <c r="T41" s="16">
        <f t="shared" si="1"/>
        <v>36</v>
      </c>
      <c r="U41" s="7">
        <v>734</v>
      </c>
      <c r="V41" s="16">
        <f t="shared" si="2"/>
        <v>6606</v>
      </c>
      <c r="W41" s="7">
        <v>1</v>
      </c>
      <c r="X41" s="54" t="s">
        <v>39</v>
      </c>
      <c r="Y41" s="54" t="s">
        <v>84</v>
      </c>
      <c r="Z41" s="54" t="s">
        <v>50</v>
      </c>
      <c r="AA41" s="54" t="s">
        <v>90</v>
      </c>
      <c r="AB41" s="39" t="s">
        <v>158</v>
      </c>
    </row>
    <row r="42" spans="1:44" x14ac:dyDescent="0.15">
      <c r="A42" s="15" t="s">
        <v>156</v>
      </c>
      <c r="B42" s="15" t="s">
        <v>157</v>
      </c>
      <c r="C42" s="15">
        <v>2019</v>
      </c>
      <c r="D42" s="37" t="s">
        <v>165</v>
      </c>
      <c r="E42" s="7" t="s">
        <v>132</v>
      </c>
      <c r="F42" s="7" t="s">
        <v>147</v>
      </c>
      <c r="G42" s="7" t="s">
        <v>36</v>
      </c>
      <c r="H42" s="54" t="s">
        <v>160</v>
      </c>
      <c r="I42" s="7" t="s">
        <v>159</v>
      </c>
      <c r="J42" s="15" t="s">
        <v>38</v>
      </c>
      <c r="K42" s="53" t="s">
        <v>153</v>
      </c>
      <c r="L42" s="7">
        <v>2</v>
      </c>
      <c r="N42" s="7">
        <v>4</v>
      </c>
      <c r="O42" s="7">
        <v>0.5</v>
      </c>
      <c r="P42" s="7">
        <v>0.5</v>
      </c>
      <c r="Q42" s="52">
        <f t="shared" si="0"/>
        <v>0.5</v>
      </c>
      <c r="R42" s="7">
        <v>18.2</v>
      </c>
      <c r="S42" s="7">
        <v>84</v>
      </c>
      <c r="T42" s="16">
        <f t="shared" si="1"/>
        <v>36</v>
      </c>
      <c r="U42" s="7">
        <v>734</v>
      </c>
      <c r="V42" s="16">
        <f t="shared" si="2"/>
        <v>6606</v>
      </c>
      <c r="W42" s="7">
        <v>1</v>
      </c>
      <c r="X42" s="54" t="s">
        <v>39</v>
      </c>
      <c r="Y42" s="54" t="s">
        <v>84</v>
      </c>
      <c r="Z42" s="54" t="s">
        <v>50</v>
      </c>
      <c r="AA42" s="54" t="s">
        <v>90</v>
      </c>
      <c r="AB42" s="39" t="s">
        <v>158</v>
      </c>
    </row>
    <row r="43" spans="1:44" x14ac:dyDescent="0.15">
      <c r="A43" s="15" t="s">
        <v>156</v>
      </c>
      <c r="B43" s="15" t="s">
        <v>157</v>
      </c>
      <c r="C43" s="15">
        <v>2019</v>
      </c>
      <c r="D43" s="37" t="s">
        <v>165</v>
      </c>
      <c r="E43" s="7" t="s">
        <v>132</v>
      </c>
      <c r="F43" s="7" t="s">
        <v>147</v>
      </c>
      <c r="G43" s="7" t="s">
        <v>36</v>
      </c>
      <c r="H43" s="54" t="s">
        <v>160</v>
      </c>
      <c r="I43" s="7" t="s">
        <v>159</v>
      </c>
      <c r="J43" s="15" t="s">
        <v>38</v>
      </c>
      <c r="K43" s="53" t="s">
        <v>153</v>
      </c>
      <c r="L43" s="7">
        <v>3</v>
      </c>
      <c r="N43" s="7">
        <v>4</v>
      </c>
      <c r="O43" s="7">
        <v>0.5</v>
      </c>
      <c r="P43" s="7">
        <v>0.5</v>
      </c>
      <c r="Q43" s="52">
        <f t="shared" si="0"/>
        <v>0.5</v>
      </c>
      <c r="R43" s="7">
        <v>15.9</v>
      </c>
      <c r="S43" s="7">
        <v>83</v>
      </c>
      <c r="T43" s="16">
        <f t="shared" si="1"/>
        <v>39</v>
      </c>
      <c r="U43" s="7">
        <v>734</v>
      </c>
      <c r="V43" s="16">
        <f t="shared" si="2"/>
        <v>7156.5</v>
      </c>
      <c r="W43" s="7">
        <v>1</v>
      </c>
      <c r="X43" s="54" t="s">
        <v>39</v>
      </c>
      <c r="Y43" s="54" t="s">
        <v>84</v>
      </c>
      <c r="Z43" s="54" t="s">
        <v>50</v>
      </c>
      <c r="AA43" s="54" t="s">
        <v>90</v>
      </c>
      <c r="AB43" s="39" t="s">
        <v>158</v>
      </c>
    </row>
    <row r="44" spans="1:44" x14ac:dyDescent="0.15">
      <c r="A44" s="15" t="s">
        <v>156</v>
      </c>
      <c r="B44" s="15" t="s">
        <v>157</v>
      </c>
      <c r="C44" s="15">
        <v>2019</v>
      </c>
      <c r="D44" s="37" t="s">
        <v>165</v>
      </c>
      <c r="E44" s="7" t="s">
        <v>140</v>
      </c>
      <c r="F44" s="7" t="s">
        <v>148</v>
      </c>
      <c r="G44" s="7" t="s">
        <v>36</v>
      </c>
      <c r="H44" s="15" t="s">
        <v>164</v>
      </c>
      <c r="I44" s="7" t="s">
        <v>159</v>
      </c>
      <c r="J44" s="15" t="s">
        <v>38</v>
      </c>
      <c r="K44" s="7" t="s">
        <v>161</v>
      </c>
      <c r="L44" s="7">
        <v>1</v>
      </c>
      <c r="N44" s="7">
        <v>1</v>
      </c>
      <c r="O44" s="7">
        <v>0.5</v>
      </c>
      <c r="P44" s="7">
        <v>0.5</v>
      </c>
      <c r="Q44" s="52">
        <f t="shared" si="0"/>
        <v>0.5</v>
      </c>
      <c r="R44" s="7">
        <v>13.3</v>
      </c>
      <c r="S44" s="7">
        <v>116</v>
      </c>
      <c r="T44" s="16">
        <f t="shared" si="1"/>
        <v>30</v>
      </c>
      <c r="U44" s="7">
        <v>105</v>
      </c>
      <c r="V44" s="16">
        <f t="shared" si="2"/>
        <v>3150</v>
      </c>
      <c r="W44" s="7">
        <v>10</v>
      </c>
      <c r="X44" s="54" t="s">
        <v>46</v>
      </c>
      <c r="Y44" s="54" t="s">
        <v>84</v>
      </c>
      <c r="Z44" s="54" t="s">
        <v>90</v>
      </c>
      <c r="AA44" s="54" t="s">
        <v>69</v>
      </c>
      <c r="AB44" s="39" t="s">
        <v>158</v>
      </c>
    </row>
    <row r="45" spans="1:44" x14ac:dyDescent="0.15">
      <c r="A45" s="15" t="s">
        <v>156</v>
      </c>
      <c r="B45" s="15" t="s">
        <v>157</v>
      </c>
      <c r="C45" s="15">
        <v>2019</v>
      </c>
      <c r="D45" s="37" t="s">
        <v>165</v>
      </c>
      <c r="E45" s="7" t="s">
        <v>140</v>
      </c>
      <c r="F45" s="7" t="s">
        <v>148</v>
      </c>
      <c r="G45" s="7" t="s">
        <v>36</v>
      </c>
      <c r="H45" s="15" t="s">
        <v>164</v>
      </c>
      <c r="I45" s="7" t="s">
        <v>159</v>
      </c>
      <c r="J45" s="15" t="s">
        <v>38</v>
      </c>
      <c r="K45" s="7" t="s">
        <v>161</v>
      </c>
      <c r="L45" s="7">
        <v>2</v>
      </c>
      <c r="N45" s="7">
        <v>1</v>
      </c>
      <c r="O45" s="7">
        <v>0.55000000000000004</v>
      </c>
      <c r="P45" s="7">
        <v>0.5</v>
      </c>
      <c r="Q45" s="52">
        <f t="shared" si="0"/>
        <v>0.52500000000000002</v>
      </c>
      <c r="R45" s="7">
        <v>13.3</v>
      </c>
      <c r="S45" s="7">
        <v>120</v>
      </c>
      <c r="T45" s="16">
        <f t="shared" si="1"/>
        <v>30</v>
      </c>
      <c r="U45" s="7">
        <v>105</v>
      </c>
      <c r="V45" s="16">
        <f t="shared" si="2"/>
        <v>3150</v>
      </c>
      <c r="W45" s="7">
        <v>10</v>
      </c>
      <c r="X45" s="54" t="s">
        <v>46</v>
      </c>
      <c r="Y45" s="54" t="s">
        <v>84</v>
      </c>
      <c r="Z45" s="54" t="s">
        <v>90</v>
      </c>
      <c r="AA45" s="54" t="s">
        <v>69</v>
      </c>
      <c r="AB45" s="39" t="s">
        <v>158</v>
      </c>
    </row>
    <row r="46" spans="1:44" x14ac:dyDescent="0.15">
      <c r="A46" s="15" t="s">
        <v>156</v>
      </c>
      <c r="B46" s="15" t="s">
        <v>157</v>
      </c>
      <c r="C46" s="15">
        <v>2019</v>
      </c>
      <c r="D46" s="37" t="s">
        <v>165</v>
      </c>
      <c r="E46" s="7" t="s">
        <v>140</v>
      </c>
      <c r="F46" s="7" t="s">
        <v>148</v>
      </c>
      <c r="G46" s="7" t="s">
        <v>36</v>
      </c>
      <c r="H46" s="15" t="s">
        <v>164</v>
      </c>
      <c r="I46" s="7" t="s">
        <v>159</v>
      </c>
      <c r="J46" s="15" t="s">
        <v>38</v>
      </c>
      <c r="K46" s="7" t="s">
        <v>161</v>
      </c>
      <c r="L46" s="7">
        <v>3</v>
      </c>
      <c r="N46" s="7">
        <v>1</v>
      </c>
      <c r="O46" s="7">
        <v>0.5</v>
      </c>
      <c r="P46" s="34">
        <v>0.5</v>
      </c>
      <c r="Q46" s="52">
        <f t="shared" si="0"/>
        <v>0.5</v>
      </c>
      <c r="R46" s="7">
        <v>13.2</v>
      </c>
      <c r="S46" s="7">
        <v>112</v>
      </c>
      <c r="T46" s="16">
        <f t="shared" si="1"/>
        <v>33</v>
      </c>
      <c r="U46" s="7">
        <v>105</v>
      </c>
      <c r="V46" s="16">
        <f t="shared" si="2"/>
        <v>3465</v>
      </c>
      <c r="W46" s="7">
        <v>10</v>
      </c>
      <c r="X46" s="54" t="s">
        <v>46</v>
      </c>
      <c r="Y46" s="54" t="s">
        <v>84</v>
      </c>
      <c r="Z46" s="54" t="s">
        <v>90</v>
      </c>
      <c r="AA46" s="54" t="s">
        <v>69</v>
      </c>
      <c r="AB46" s="39" t="s">
        <v>158</v>
      </c>
    </row>
    <row r="47" spans="1:44" x14ac:dyDescent="0.15">
      <c r="A47" s="15" t="s">
        <v>156</v>
      </c>
      <c r="B47" s="15" t="s">
        <v>157</v>
      </c>
      <c r="C47" s="15">
        <v>2019</v>
      </c>
      <c r="D47" s="37" t="s">
        <v>165</v>
      </c>
      <c r="E47" s="7" t="s">
        <v>140</v>
      </c>
      <c r="F47" s="7" t="s">
        <v>148</v>
      </c>
      <c r="G47" s="7" t="s">
        <v>36</v>
      </c>
      <c r="H47" s="15" t="s">
        <v>160</v>
      </c>
      <c r="I47" s="7" t="s">
        <v>159</v>
      </c>
      <c r="J47" s="15" t="s">
        <v>38</v>
      </c>
      <c r="K47" s="7" t="s">
        <v>161</v>
      </c>
      <c r="L47" s="7">
        <v>1</v>
      </c>
      <c r="N47" s="7">
        <v>1</v>
      </c>
      <c r="O47" s="7">
        <v>0.5</v>
      </c>
      <c r="P47" s="7">
        <v>0.5</v>
      </c>
      <c r="Q47" s="52">
        <f t="shared" si="0"/>
        <v>0.5</v>
      </c>
      <c r="R47" s="7">
        <v>13.8</v>
      </c>
      <c r="S47" s="7">
        <v>93</v>
      </c>
      <c r="T47" s="16">
        <f t="shared" si="1"/>
        <v>36</v>
      </c>
      <c r="U47" s="7">
        <v>138</v>
      </c>
      <c r="V47" s="16">
        <f t="shared" si="2"/>
        <v>4968</v>
      </c>
      <c r="W47" s="7">
        <v>1</v>
      </c>
      <c r="X47" s="15" t="s">
        <v>46</v>
      </c>
      <c r="Y47" s="54" t="s">
        <v>84</v>
      </c>
      <c r="Z47" s="54" t="s">
        <v>90</v>
      </c>
      <c r="AA47" s="54" t="s">
        <v>69</v>
      </c>
      <c r="AB47" s="39" t="s">
        <v>158</v>
      </c>
    </row>
    <row r="48" spans="1:44" x14ac:dyDescent="0.15">
      <c r="A48" s="15" t="s">
        <v>156</v>
      </c>
      <c r="B48" s="15" t="s">
        <v>157</v>
      </c>
      <c r="C48" s="15">
        <v>2019</v>
      </c>
      <c r="D48" s="37" t="s">
        <v>165</v>
      </c>
      <c r="E48" s="7" t="s">
        <v>140</v>
      </c>
      <c r="F48" s="7" t="s">
        <v>148</v>
      </c>
      <c r="G48" s="7" t="s">
        <v>36</v>
      </c>
      <c r="H48" s="54" t="s">
        <v>160</v>
      </c>
      <c r="I48" s="7" t="s">
        <v>159</v>
      </c>
      <c r="J48" s="15" t="s">
        <v>38</v>
      </c>
      <c r="K48" s="53" t="s">
        <v>161</v>
      </c>
      <c r="L48" s="7">
        <v>2</v>
      </c>
      <c r="N48" s="7">
        <v>1</v>
      </c>
      <c r="O48" s="7">
        <v>0.5</v>
      </c>
      <c r="P48" s="7">
        <v>0.5</v>
      </c>
      <c r="Q48" s="52">
        <f t="shared" si="0"/>
        <v>0.5</v>
      </c>
      <c r="R48" s="7">
        <v>13.5</v>
      </c>
      <c r="S48" s="7">
        <v>102</v>
      </c>
      <c r="T48" s="16">
        <f t="shared" si="1"/>
        <v>33</v>
      </c>
      <c r="U48" s="7">
        <v>138</v>
      </c>
      <c r="V48" s="16">
        <f t="shared" si="2"/>
        <v>4554</v>
      </c>
      <c r="W48" s="7">
        <v>1</v>
      </c>
      <c r="X48" s="15" t="s">
        <v>46</v>
      </c>
      <c r="Y48" s="54" t="s">
        <v>84</v>
      </c>
      <c r="Z48" s="54" t="s">
        <v>90</v>
      </c>
      <c r="AA48" s="54" t="s">
        <v>69</v>
      </c>
      <c r="AB48" s="39" t="s">
        <v>158</v>
      </c>
    </row>
    <row r="49" spans="1:29" x14ac:dyDescent="0.15">
      <c r="A49" s="15" t="s">
        <v>156</v>
      </c>
      <c r="B49" s="15" t="s">
        <v>157</v>
      </c>
      <c r="C49" s="15">
        <v>2019</v>
      </c>
      <c r="D49" s="37" t="s">
        <v>165</v>
      </c>
      <c r="E49" s="7" t="s">
        <v>140</v>
      </c>
      <c r="F49" s="7" t="s">
        <v>148</v>
      </c>
      <c r="G49" s="7" t="s">
        <v>36</v>
      </c>
      <c r="H49" s="54" t="s">
        <v>160</v>
      </c>
      <c r="I49" s="7" t="s">
        <v>159</v>
      </c>
      <c r="J49" s="15" t="s">
        <v>38</v>
      </c>
      <c r="K49" s="53" t="s">
        <v>161</v>
      </c>
      <c r="L49" s="7">
        <v>3</v>
      </c>
      <c r="N49" s="7">
        <v>1</v>
      </c>
      <c r="O49" s="7">
        <v>0.5</v>
      </c>
      <c r="P49" s="34">
        <v>0.5</v>
      </c>
      <c r="Q49" s="52">
        <f t="shared" si="0"/>
        <v>0.5</v>
      </c>
      <c r="R49" s="7">
        <v>13.5</v>
      </c>
      <c r="S49" s="7">
        <v>100</v>
      </c>
      <c r="T49" s="16">
        <f t="shared" si="1"/>
        <v>33</v>
      </c>
      <c r="U49" s="7">
        <v>138</v>
      </c>
      <c r="V49" s="16">
        <f t="shared" si="2"/>
        <v>4554</v>
      </c>
      <c r="W49" s="7">
        <v>1</v>
      </c>
      <c r="X49" s="15" t="s">
        <v>46</v>
      </c>
      <c r="Y49" s="54" t="s">
        <v>84</v>
      </c>
      <c r="Z49" s="54" t="s">
        <v>90</v>
      </c>
      <c r="AA49" s="54" t="s">
        <v>69</v>
      </c>
      <c r="AB49" s="39" t="s">
        <v>158</v>
      </c>
    </row>
    <row r="50" spans="1:29" x14ac:dyDescent="0.15">
      <c r="A50" s="15"/>
      <c r="B50" s="15"/>
      <c r="C50" s="15"/>
      <c r="D50" s="37"/>
      <c r="H50" s="15"/>
      <c r="J50" s="15"/>
      <c r="Q50" s="52" t="str">
        <f t="shared" si="0"/>
        <v/>
      </c>
      <c r="T50" s="16" t="str">
        <f t="shared" si="1"/>
        <v/>
      </c>
      <c r="V50" s="16" t="str">
        <f t="shared" si="2"/>
        <v/>
      </c>
      <c r="X50" s="15"/>
      <c r="Y50" s="54"/>
      <c r="Z50" s="54"/>
      <c r="AA50" s="54"/>
      <c r="AB50" s="39"/>
    </row>
    <row r="51" spans="1:29" x14ac:dyDescent="0.15">
      <c r="A51" s="15"/>
      <c r="B51" s="15"/>
      <c r="C51" s="15"/>
      <c r="D51" s="37"/>
      <c r="H51" s="15"/>
      <c r="J51" s="15"/>
      <c r="Q51" s="52" t="str">
        <f t="shared" si="0"/>
        <v/>
      </c>
      <c r="T51" s="16" t="str">
        <f t="shared" si="1"/>
        <v/>
      </c>
      <c r="V51" s="16" t="str">
        <f t="shared" si="2"/>
        <v/>
      </c>
      <c r="X51" s="15"/>
      <c r="Y51" s="54"/>
      <c r="Z51" s="54"/>
      <c r="AA51" s="54"/>
      <c r="AB51" s="39"/>
    </row>
    <row r="52" spans="1:29" x14ac:dyDescent="0.15">
      <c r="A52" s="15"/>
      <c r="B52" s="15"/>
      <c r="C52" s="15"/>
      <c r="D52" s="37"/>
      <c r="H52" s="15"/>
      <c r="J52" s="15"/>
      <c r="Q52" s="52" t="str">
        <f t="shared" si="0"/>
        <v/>
      </c>
      <c r="T52" s="16" t="str">
        <f t="shared" si="1"/>
        <v/>
      </c>
      <c r="V52" s="16" t="str">
        <f t="shared" si="2"/>
        <v/>
      </c>
      <c r="X52" s="15"/>
      <c r="Y52" s="54"/>
      <c r="Z52" s="54"/>
      <c r="AA52" s="54"/>
      <c r="AB52" s="39"/>
    </row>
    <row r="53" spans="1:29" x14ac:dyDescent="0.15">
      <c r="A53" s="15"/>
      <c r="B53" s="15"/>
      <c r="C53" s="15"/>
      <c r="D53" s="37"/>
      <c r="H53" s="15"/>
      <c r="J53" s="15"/>
      <c r="Q53" s="52" t="str">
        <f t="shared" si="0"/>
        <v/>
      </c>
      <c r="T53" s="16" t="str">
        <f t="shared" si="1"/>
        <v/>
      </c>
      <c r="V53" s="16" t="str">
        <f t="shared" si="2"/>
        <v/>
      </c>
      <c r="X53" s="15"/>
      <c r="Y53" s="54"/>
      <c r="Z53" s="54"/>
      <c r="AA53" s="54"/>
      <c r="AB53" s="39"/>
      <c r="AC53" s="36"/>
    </row>
    <row r="54" spans="1:29" x14ac:dyDescent="0.15">
      <c r="A54" s="15"/>
      <c r="B54" s="15"/>
      <c r="C54" s="15"/>
      <c r="D54" s="37"/>
      <c r="H54" s="15"/>
      <c r="J54" s="15"/>
      <c r="Q54" s="52" t="str">
        <f t="shared" si="0"/>
        <v/>
      </c>
      <c r="T54" s="16" t="str">
        <f t="shared" si="1"/>
        <v/>
      </c>
      <c r="V54" s="16" t="str">
        <f t="shared" si="2"/>
        <v/>
      </c>
      <c r="X54" s="15"/>
      <c r="Y54" s="54"/>
      <c r="Z54" s="54"/>
      <c r="AA54" s="54"/>
      <c r="AB54" s="39"/>
      <c r="AC54" s="36"/>
    </row>
    <row r="55" spans="1:29" x14ac:dyDescent="0.15">
      <c r="A55" s="15"/>
      <c r="B55" s="15"/>
      <c r="C55" s="15"/>
      <c r="D55" s="37"/>
      <c r="H55" s="15"/>
      <c r="J55" s="15"/>
      <c r="Q55" s="52" t="str">
        <f t="shared" si="0"/>
        <v/>
      </c>
      <c r="T55" s="16" t="str">
        <f t="shared" si="1"/>
        <v/>
      </c>
      <c r="V55" s="16" t="str">
        <f t="shared" si="2"/>
        <v/>
      </c>
      <c r="X55" s="15"/>
      <c r="Y55" s="54"/>
      <c r="Z55" s="54"/>
      <c r="AA55" s="54"/>
      <c r="AB55" s="39"/>
      <c r="AC55" s="36"/>
    </row>
    <row r="56" spans="1:29" x14ac:dyDescent="0.15">
      <c r="A56" s="15"/>
      <c r="B56" s="15"/>
      <c r="C56" s="15"/>
      <c r="D56" s="37"/>
      <c r="H56" s="15"/>
      <c r="J56" s="15"/>
      <c r="Q56" s="52" t="str">
        <f t="shared" si="0"/>
        <v/>
      </c>
      <c r="T56" s="16" t="str">
        <f t="shared" si="1"/>
        <v/>
      </c>
      <c r="V56" s="16" t="str">
        <f t="shared" si="2"/>
        <v/>
      </c>
      <c r="X56" s="15"/>
      <c r="Y56" s="54"/>
      <c r="Z56" s="54"/>
      <c r="AA56" s="54"/>
      <c r="AB56" s="39"/>
    </row>
    <row r="57" spans="1:29" x14ac:dyDescent="0.15">
      <c r="A57" s="15"/>
      <c r="B57" s="15"/>
      <c r="C57" s="15"/>
      <c r="D57" s="37"/>
      <c r="H57" s="54"/>
      <c r="J57" s="15"/>
      <c r="Q57" s="52" t="str">
        <f t="shared" si="0"/>
        <v/>
      </c>
      <c r="T57" s="16" t="str">
        <f t="shared" si="1"/>
        <v/>
      </c>
      <c r="V57" s="16" t="str">
        <f t="shared" si="2"/>
        <v/>
      </c>
      <c r="X57" s="15"/>
      <c r="Y57" s="54"/>
      <c r="Z57" s="54"/>
      <c r="AA57" s="54"/>
      <c r="AB57" s="39"/>
    </row>
    <row r="58" spans="1:29" x14ac:dyDescent="0.15">
      <c r="A58" s="15"/>
      <c r="B58" s="15"/>
      <c r="C58" s="15"/>
      <c r="D58" s="37"/>
      <c r="H58" s="54"/>
      <c r="J58" s="15"/>
      <c r="Q58" s="52" t="str">
        <f t="shared" si="0"/>
        <v/>
      </c>
      <c r="T58" s="16" t="str">
        <f t="shared" si="1"/>
        <v/>
      </c>
      <c r="V58" s="16" t="str">
        <f t="shared" si="2"/>
        <v/>
      </c>
      <c r="X58" s="15"/>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CE95-E0A1-42CF-A3F3-92706A63AE78}">
  <dimension ref="A1:BA326"/>
  <sheetViews>
    <sheetView zoomScale="70" zoomScaleNormal="70" workbookViewId="0">
      <selection activeCell="AD43" sqref="AD43"/>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1.2</v>
      </c>
      <c r="P2" s="53">
        <v>1.35</v>
      </c>
      <c r="Q2" s="16">
        <f t="shared" ref="Q2:Q13" si="0">IF(OR(O2="",P2=""),"",AVERAGE(O2,P2))</f>
        <v>1.2749999999999999</v>
      </c>
      <c r="R2" s="53">
        <v>12.1</v>
      </c>
      <c r="S2" s="53">
        <v>127</v>
      </c>
      <c r="T2" s="16">
        <f t="shared" ref="T2:T65" si="1">IF(H2="","",IF(OR(H2="GREEN",H2="GK"),IF(S2&gt;=$AX$2,VLOOKUP(S2,$AX$2:$AY$10,2,1),""),IF(S2&gt;=$AZ$2,VLOOKUP(S2,$AZ$2:$BA$10,2,1),"")))</f>
        <v>27</v>
      </c>
      <c r="U2" s="53">
        <v>105</v>
      </c>
      <c r="V2" s="16">
        <f t="shared" ref="V2:V64" si="2">IF(OR(N2="",U2="",T2=""),"",U2/N2*T2)</f>
        <v>2835</v>
      </c>
      <c r="W2" s="53">
        <v>2</v>
      </c>
      <c r="X2" s="53" t="s">
        <v>46</v>
      </c>
      <c r="Y2" s="53" t="s">
        <v>84</v>
      </c>
      <c r="Z2" s="53" t="s">
        <v>90</v>
      </c>
      <c r="AA2" s="53" t="s">
        <v>69</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0.9</v>
      </c>
      <c r="P3" s="53">
        <v>1</v>
      </c>
      <c r="Q3" s="16">
        <f t="shared" si="0"/>
        <v>0.95</v>
      </c>
      <c r="R3" s="53">
        <v>10.4</v>
      </c>
      <c r="S3" s="53">
        <v>128</v>
      </c>
      <c r="T3" s="16">
        <f t="shared" si="1"/>
        <v>27</v>
      </c>
      <c r="U3" s="53">
        <v>105</v>
      </c>
      <c r="V3" s="16">
        <f t="shared" si="2"/>
        <v>2835</v>
      </c>
      <c r="W3" s="53">
        <v>2</v>
      </c>
      <c r="X3" s="53" t="s">
        <v>46</v>
      </c>
      <c r="Y3" s="53" t="s">
        <v>84</v>
      </c>
      <c r="Z3" s="53" t="s">
        <v>90</v>
      </c>
      <c r="AA3" s="53" t="s">
        <v>69</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1</v>
      </c>
      <c r="P4" s="53">
        <v>1.1000000000000001</v>
      </c>
      <c r="Q4" s="16">
        <f t="shared" si="0"/>
        <v>1.05</v>
      </c>
      <c r="R4" s="53">
        <v>12.1</v>
      </c>
      <c r="S4" s="53">
        <v>126</v>
      </c>
      <c r="T4" s="16">
        <f t="shared" si="1"/>
        <v>27</v>
      </c>
      <c r="U4" s="53">
        <v>105</v>
      </c>
      <c r="V4" s="16">
        <f t="shared" si="2"/>
        <v>2835</v>
      </c>
      <c r="W4" s="53">
        <v>2</v>
      </c>
      <c r="X4" s="53" t="s">
        <v>46</v>
      </c>
      <c r="Y4" s="53" t="s">
        <v>84</v>
      </c>
      <c r="Z4" s="53" t="s">
        <v>90</v>
      </c>
      <c r="AA4" s="53" t="s">
        <v>69</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6</v>
      </c>
      <c r="O5" s="53">
        <v>0.4</v>
      </c>
      <c r="P5" s="53">
        <v>0.5</v>
      </c>
      <c r="Q5" s="72">
        <f t="shared" si="0"/>
        <v>0.45</v>
      </c>
      <c r="R5" s="53">
        <v>12</v>
      </c>
      <c r="S5" s="53">
        <v>114</v>
      </c>
      <c r="T5" s="16">
        <f t="shared" si="1"/>
        <v>30</v>
      </c>
      <c r="U5" s="53">
        <v>646</v>
      </c>
      <c r="V5" s="16">
        <f t="shared" si="2"/>
        <v>3230</v>
      </c>
      <c r="W5" s="53">
        <v>1</v>
      </c>
      <c r="X5" s="53" t="s">
        <v>46</v>
      </c>
      <c r="Y5" s="53" t="s">
        <v>84</v>
      </c>
      <c r="Z5" s="53" t="s">
        <v>90</v>
      </c>
      <c r="AA5" s="53" t="s">
        <v>69</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6</v>
      </c>
      <c r="O6" s="53">
        <v>0.5</v>
      </c>
      <c r="P6" s="53">
        <v>0.35</v>
      </c>
      <c r="Q6" s="72">
        <f t="shared" si="0"/>
        <v>0.42499999999999999</v>
      </c>
      <c r="R6" s="53">
        <v>11.5</v>
      </c>
      <c r="S6" s="53">
        <v>115</v>
      </c>
      <c r="T6" s="16">
        <f t="shared" si="1"/>
        <v>30</v>
      </c>
      <c r="U6" s="53">
        <v>646</v>
      </c>
      <c r="V6" s="16">
        <f t="shared" si="2"/>
        <v>3230</v>
      </c>
      <c r="W6" s="53">
        <v>1</v>
      </c>
      <c r="X6" s="53" t="s">
        <v>46</v>
      </c>
      <c r="Y6" s="53" t="s">
        <v>84</v>
      </c>
      <c r="Z6" s="53" t="s">
        <v>90</v>
      </c>
      <c r="AA6" s="53" t="s">
        <v>69</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6</v>
      </c>
      <c r="O7" s="53">
        <v>0.45</v>
      </c>
      <c r="P7" s="53">
        <v>0.4</v>
      </c>
      <c r="Q7" s="72">
        <f t="shared" si="0"/>
        <v>0.42500000000000004</v>
      </c>
      <c r="R7" s="53">
        <v>13.4</v>
      </c>
      <c r="S7" s="53">
        <v>115</v>
      </c>
      <c r="T7" s="16">
        <f t="shared" si="1"/>
        <v>30</v>
      </c>
      <c r="U7" s="53">
        <v>646</v>
      </c>
      <c r="V7" s="16">
        <f t="shared" si="2"/>
        <v>3230</v>
      </c>
      <c r="W7" s="53">
        <v>1</v>
      </c>
      <c r="X7" s="53" t="s">
        <v>46</v>
      </c>
      <c r="Y7" s="53" t="s">
        <v>84</v>
      </c>
      <c r="Z7" s="53" t="s">
        <v>90</v>
      </c>
      <c r="AA7" s="53" t="s">
        <v>69</v>
      </c>
      <c r="AB7" s="53" t="s">
        <v>158</v>
      </c>
      <c r="AE7" s="22" t="s">
        <v>61</v>
      </c>
      <c r="AG7" s="71" t="s">
        <v>199</v>
      </c>
      <c r="AH7" s="71" t="s">
        <v>196</v>
      </c>
      <c r="AL7" s="53"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187</v>
      </c>
      <c r="I8" s="53" t="s">
        <v>159</v>
      </c>
      <c r="J8" s="53" t="s">
        <v>80</v>
      </c>
      <c r="K8" s="53" t="s">
        <v>45</v>
      </c>
      <c r="L8" s="53">
        <v>1</v>
      </c>
      <c r="N8" s="53">
        <v>1</v>
      </c>
      <c r="O8" s="53">
        <v>0.25</v>
      </c>
      <c r="P8" s="53">
        <v>0.3</v>
      </c>
      <c r="Q8" s="74">
        <f t="shared" si="0"/>
        <v>0.27500000000000002</v>
      </c>
      <c r="R8" s="53">
        <v>12.5</v>
      </c>
      <c r="S8" s="53">
        <v>125</v>
      </c>
      <c r="T8" s="16">
        <f t="shared" si="1"/>
        <v>27</v>
      </c>
      <c r="U8" s="53">
        <v>149</v>
      </c>
      <c r="V8" s="16">
        <f t="shared" si="2"/>
        <v>4023</v>
      </c>
      <c r="W8" s="53">
        <v>1</v>
      </c>
      <c r="X8" s="53" t="s">
        <v>46</v>
      </c>
      <c r="Y8" s="53" t="s">
        <v>84</v>
      </c>
      <c r="Z8" s="53" t="s">
        <v>90</v>
      </c>
      <c r="AA8" s="53" t="s">
        <v>69</v>
      </c>
      <c r="AB8" s="53" t="s">
        <v>158</v>
      </c>
      <c r="AE8" s="22" t="s">
        <v>59</v>
      </c>
      <c r="AG8" s="71" t="s">
        <v>202</v>
      </c>
      <c r="AH8" s="71" t="s">
        <v>203</v>
      </c>
      <c r="AL8" s="53"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187</v>
      </c>
      <c r="I9" s="53" t="s">
        <v>159</v>
      </c>
      <c r="J9" s="53" t="s">
        <v>80</v>
      </c>
      <c r="K9" s="53" t="s">
        <v>45</v>
      </c>
      <c r="L9" s="53">
        <v>2</v>
      </c>
      <c r="M9" s="75"/>
      <c r="N9" s="53">
        <v>1</v>
      </c>
      <c r="O9" s="53">
        <v>0.45</v>
      </c>
      <c r="P9" s="53">
        <v>0.3</v>
      </c>
      <c r="Q9" s="74">
        <f t="shared" si="0"/>
        <v>0.375</v>
      </c>
      <c r="R9" s="53">
        <v>13</v>
      </c>
      <c r="S9" s="53">
        <v>130</v>
      </c>
      <c r="T9" s="16">
        <f t="shared" si="1"/>
        <v>25</v>
      </c>
      <c r="U9" s="53">
        <v>149</v>
      </c>
      <c r="V9" s="16">
        <f t="shared" si="2"/>
        <v>3725</v>
      </c>
      <c r="W9" s="53">
        <v>1</v>
      </c>
      <c r="X9" s="53" t="s">
        <v>46</v>
      </c>
      <c r="Y9" s="53" t="s">
        <v>84</v>
      </c>
      <c r="Z9" s="53" t="s">
        <v>90</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187</v>
      </c>
      <c r="I10" s="53" t="s">
        <v>159</v>
      </c>
      <c r="J10" s="53" t="s">
        <v>80</v>
      </c>
      <c r="K10" s="53" t="s">
        <v>45</v>
      </c>
      <c r="L10" s="53">
        <v>3</v>
      </c>
      <c r="M10" s="75"/>
      <c r="N10" s="53">
        <v>1</v>
      </c>
      <c r="O10" s="53">
        <v>0.35</v>
      </c>
      <c r="P10" s="53">
        <v>0.4</v>
      </c>
      <c r="Q10" s="74">
        <f t="shared" si="0"/>
        <v>0.375</v>
      </c>
      <c r="R10" s="53">
        <v>12.1</v>
      </c>
      <c r="S10" s="53">
        <v>128</v>
      </c>
      <c r="T10" s="16">
        <f t="shared" si="1"/>
        <v>27</v>
      </c>
      <c r="U10" s="53">
        <v>149</v>
      </c>
      <c r="V10" s="16">
        <f t="shared" si="2"/>
        <v>4023</v>
      </c>
      <c r="W10" s="53">
        <v>1</v>
      </c>
      <c r="X10" s="53" t="s">
        <v>46</v>
      </c>
      <c r="Y10" s="53" t="s">
        <v>84</v>
      </c>
      <c r="Z10" s="53" t="s">
        <v>90</v>
      </c>
      <c r="AA10" s="53" t="s">
        <v>69</v>
      </c>
      <c r="AB10" s="53" t="s">
        <v>158</v>
      </c>
      <c r="AE10" s="22" t="s">
        <v>208</v>
      </c>
      <c r="AG10" s="71" t="s">
        <v>202</v>
      </c>
      <c r="AH10" s="71" t="s">
        <v>209</v>
      </c>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M11" s="75"/>
      <c r="N11" s="53">
        <v>10</v>
      </c>
      <c r="O11" s="53">
        <v>0.75</v>
      </c>
      <c r="P11" s="53">
        <v>0.85</v>
      </c>
      <c r="Q11" s="72">
        <f t="shared" si="0"/>
        <v>0.8</v>
      </c>
      <c r="R11" s="53">
        <v>15.4</v>
      </c>
      <c r="S11" s="53">
        <v>120</v>
      </c>
      <c r="T11" s="16">
        <f t="shared" si="1"/>
        <v>30</v>
      </c>
      <c r="U11" s="53">
        <v>1080</v>
      </c>
      <c r="V11" s="16">
        <f t="shared" si="2"/>
        <v>3240</v>
      </c>
      <c r="W11" s="53">
        <v>2</v>
      </c>
      <c r="X11" s="53" t="s">
        <v>46</v>
      </c>
      <c r="Y11" s="53" t="s">
        <v>84</v>
      </c>
      <c r="Z11" s="53" t="s">
        <v>90</v>
      </c>
      <c r="AA11" s="53" t="s">
        <v>69</v>
      </c>
      <c r="AB11" s="53" t="s">
        <v>158</v>
      </c>
      <c r="AE11" s="22" t="s">
        <v>68</v>
      </c>
      <c r="AG11" s="71" t="s">
        <v>211</v>
      </c>
      <c r="AH11" s="71" t="s">
        <v>212</v>
      </c>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M12" s="75"/>
      <c r="N12" s="53">
        <v>10</v>
      </c>
      <c r="O12" s="53">
        <v>0.95</v>
      </c>
      <c r="P12" s="53">
        <v>0.85</v>
      </c>
      <c r="Q12" s="72">
        <f t="shared" si="0"/>
        <v>0.89999999999999991</v>
      </c>
      <c r="R12" s="53">
        <v>13.5</v>
      </c>
      <c r="S12" s="53">
        <v>117</v>
      </c>
      <c r="T12" s="16">
        <f t="shared" si="1"/>
        <v>30</v>
      </c>
      <c r="U12" s="53">
        <v>1080</v>
      </c>
      <c r="V12" s="16">
        <f t="shared" si="2"/>
        <v>3240</v>
      </c>
      <c r="W12" s="53">
        <v>2</v>
      </c>
      <c r="X12" s="53" t="s">
        <v>46</v>
      </c>
      <c r="Y12" s="53" t="s">
        <v>84</v>
      </c>
      <c r="Z12" s="53" t="s">
        <v>90</v>
      </c>
      <c r="AA12" s="53" t="s">
        <v>69</v>
      </c>
      <c r="AB12" s="53" t="s">
        <v>158</v>
      </c>
      <c r="AE12" s="22" t="s">
        <v>214</v>
      </c>
      <c r="AG12" s="22"/>
      <c r="AH12" s="22"/>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M13" s="75"/>
      <c r="N13" s="53">
        <v>10</v>
      </c>
      <c r="O13" s="53">
        <v>0.45</v>
      </c>
      <c r="P13" s="53">
        <v>0.65</v>
      </c>
      <c r="Q13" s="72">
        <f t="shared" si="0"/>
        <v>0.55000000000000004</v>
      </c>
      <c r="R13" s="53">
        <v>16.7</v>
      </c>
      <c r="S13" s="53">
        <v>118</v>
      </c>
      <c r="T13" s="16">
        <f t="shared" si="1"/>
        <v>30</v>
      </c>
      <c r="U13" s="53">
        <v>1080</v>
      </c>
      <c r="V13" s="16">
        <f t="shared" si="2"/>
        <v>3240</v>
      </c>
      <c r="W13" s="53">
        <v>2</v>
      </c>
      <c r="X13" s="53" t="s">
        <v>46</v>
      </c>
      <c r="Y13" s="53" t="s">
        <v>84</v>
      </c>
      <c r="Z13" s="53" t="s">
        <v>90</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186</v>
      </c>
      <c r="F14" s="53" t="s">
        <v>184</v>
      </c>
      <c r="G14" s="53" t="s">
        <v>42</v>
      </c>
      <c r="H14" s="53" t="s">
        <v>187</v>
      </c>
      <c r="I14" s="53" t="s">
        <v>159</v>
      </c>
      <c r="J14" s="53" t="s">
        <v>58</v>
      </c>
      <c r="K14" s="53" t="s">
        <v>59</v>
      </c>
      <c r="L14" s="53">
        <v>1</v>
      </c>
      <c r="M14" s="75"/>
      <c r="N14" s="53">
        <v>1</v>
      </c>
      <c r="O14" s="53">
        <v>0.8</v>
      </c>
      <c r="P14" s="53">
        <v>0.7</v>
      </c>
      <c r="Q14" s="74">
        <v>0.55000000000000004</v>
      </c>
      <c r="R14" s="53">
        <v>11.4</v>
      </c>
      <c r="S14" s="53">
        <v>127</v>
      </c>
      <c r="T14" s="16">
        <f t="shared" si="1"/>
        <v>27</v>
      </c>
      <c r="U14" s="53">
        <v>138</v>
      </c>
      <c r="V14" s="16">
        <f t="shared" si="2"/>
        <v>3726</v>
      </c>
      <c r="W14" s="53">
        <v>1</v>
      </c>
      <c r="X14" s="53" t="s">
        <v>46</v>
      </c>
      <c r="Y14" s="53" t="s">
        <v>90</v>
      </c>
      <c r="Z14" s="53" t="s">
        <v>84</v>
      </c>
      <c r="AA14" s="53" t="s">
        <v>50</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186</v>
      </c>
      <c r="F15" s="53" t="s">
        <v>184</v>
      </c>
      <c r="G15" s="53" t="s">
        <v>42</v>
      </c>
      <c r="H15" s="53" t="s">
        <v>187</v>
      </c>
      <c r="I15" s="53" t="s">
        <v>159</v>
      </c>
      <c r="J15" s="53" t="s">
        <v>58</v>
      </c>
      <c r="K15" s="53" t="s">
        <v>59</v>
      </c>
      <c r="L15" s="53">
        <v>2</v>
      </c>
      <c r="M15" s="75"/>
      <c r="N15" s="53">
        <v>1</v>
      </c>
      <c r="O15" s="53">
        <v>0.65</v>
      </c>
      <c r="P15" s="53">
        <v>0.65</v>
      </c>
      <c r="Q15" s="74">
        <v>0.65</v>
      </c>
      <c r="R15" s="53">
        <v>12.4</v>
      </c>
      <c r="S15" s="53">
        <v>126</v>
      </c>
      <c r="T15" s="16">
        <f t="shared" si="1"/>
        <v>27</v>
      </c>
      <c r="U15" s="53">
        <v>138</v>
      </c>
      <c r="V15" s="16">
        <f t="shared" si="2"/>
        <v>3726</v>
      </c>
      <c r="W15" s="53">
        <v>1</v>
      </c>
      <c r="X15" s="53" t="s">
        <v>46</v>
      </c>
      <c r="Y15" s="53" t="s">
        <v>90</v>
      </c>
      <c r="Z15" s="53" t="s">
        <v>84</v>
      </c>
      <c r="AA15" s="53" t="s">
        <v>50</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186</v>
      </c>
      <c r="F16" s="53" t="s">
        <v>184</v>
      </c>
      <c r="G16" s="53" t="s">
        <v>42</v>
      </c>
      <c r="H16" s="53" t="s">
        <v>187</v>
      </c>
      <c r="I16" s="53" t="s">
        <v>159</v>
      </c>
      <c r="J16" s="53" t="s">
        <v>58</v>
      </c>
      <c r="K16" s="53" t="s">
        <v>59</v>
      </c>
      <c r="L16" s="53">
        <v>3</v>
      </c>
      <c r="M16" s="75"/>
      <c r="N16" s="53">
        <v>1</v>
      </c>
      <c r="O16" s="53">
        <v>0.7</v>
      </c>
      <c r="P16" s="53">
        <v>0.8</v>
      </c>
      <c r="Q16" s="74">
        <v>0.57999999999999996</v>
      </c>
      <c r="R16" s="53">
        <v>13.8</v>
      </c>
      <c r="S16" s="53">
        <v>128</v>
      </c>
      <c r="T16" s="16">
        <f t="shared" si="1"/>
        <v>27</v>
      </c>
      <c r="U16" s="53">
        <v>138</v>
      </c>
      <c r="V16" s="16">
        <f t="shared" si="2"/>
        <v>3726</v>
      </c>
      <c r="W16" s="53">
        <v>1</v>
      </c>
      <c r="X16" s="53" t="s">
        <v>46</v>
      </c>
      <c r="Y16" s="53" t="s">
        <v>90</v>
      </c>
      <c r="Z16" s="53" t="s">
        <v>84</v>
      </c>
      <c r="AA16" s="53" t="s">
        <v>50</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187</v>
      </c>
      <c r="I17" s="53" t="s">
        <v>159</v>
      </c>
      <c r="J17" s="53" t="s">
        <v>58</v>
      </c>
      <c r="K17" s="53" t="s">
        <v>59</v>
      </c>
      <c r="L17" s="53">
        <v>1</v>
      </c>
      <c r="M17" s="75"/>
      <c r="N17" s="53">
        <v>6</v>
      </c>
      <c r="O17" s="53">
        <v>0.5</v>
      </c>
      <c r="P17" s="53">
        <v>0.65</v>
      </c>
      <c r="Q17" s="74">
        <v>0.55000000000000004</v>
      </c>
      <c r="R17" s="53">
        <v>12.4</v>
      </c>
      <c r="S17" s="53">
        <v>120</v>
      </c>
      <c r="T17" s="16">
        <f t="shared" si="1"/>
        <v>30</v>
      </c>
      <c r="U17" s="53">
        <v>429</v>
      </c>
      <c r="V17" s="16">
        <f t="shared" si="2"/>
        <v>2145</v>
      </c>
      <c r="W17" s="53">
        <v>1</v>
      </c>
      <c r="X17" s="53" t="s">
        <v>46</v>
      </c>
      <c r="Y17" s="53" t="s">
        <v>90</v>
      </c>
      <c r="Z17" s="53" t="s">
        <v>84</v>
      </c>
      <c r="AA17" s="53" t="s">
        <v>50</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187</v>
      </c>
      <c r="I18" s="53" t="s">
        <v>159</v>
      </c>
      <c r="J18" s="53" t="s">
        <v>58</v>
      </c>
      <c r="K18" s="53" t="s">
        <v>59</v>
      </c>
      <c r="L18" s="53">
        <v>2</v>
      </c>
      <c r="M18" s="75"/>
      <c r="N18" s="53">
        <v>6</v>
      </c>
      <c r="O18" s="53">
        <v>0.95</v>
      </c>
      <c r="P18" s="53">
        <v>0.85</v>
      </c>
      <c r="Q18" s="74">
        <v>0.65</v>
      </c>
      <c r="R18" s="53">
        <v>13.1</v>
      </c>
      <c r="S18" s="53">
        <v>118</v>
      </c>
      <c r="T18" s="16">
        <f t="shared" si="1"/>
        <v>30</v>
      </c>
      <c r="U18" s="53">
        <v>429</v>
      </c>
      <c r="V18" s="16">
        <f t="shared" si="2"/>
        <v>2145</v>
      </c>
      <c r="W18" s="53">
        <v>1</v>
      </c>
      <c r="X18" s="53" t="s">
        <v>46</v>
      </c>
      <c r="Y18" s="53" t="s">
        <v>90</v>
      </c>
      <c r="Z18" s="53" t="s">
        <v>84</v>
      </c>
      <c r="AA18" s="53" t="s">
        <v>50</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187</v>
      </c>
      <c r="I19" s="53" t="s">
        <v>159</v>
      </c>
      <c r="J19" s="53" t="s">
        <v>58</v>
      </c>
      <c r="K19" s="53" t="s">
        <v>59</v>
      </c>
      <c r="L19" s="53">
        <v>3</v>
      </c>
      <c r="M19" s="75"/>
      <c r="N19" s="53">
        <v>6</v>
      </c>
      <c r="O19" s="53">
        <v>0.75</v>
      </c>
      <c r="P19" s="53">
        <v>0.8</v>
      </c>
      <c r="Q19" s="74">
        <v>0.57999999999999996</v>
      </c>
      <c r="R19" s="53">
        <v>11.4</v>
      </c>
      <c r="S19" s="53">
        <v>117</v>
      </c>
      <c r="T19" s="16">
        <f t="shared" si="1"/>
        <v>30</v>
      </c>
      <c r="U19" s="53">
        <v>429</v>
      </c>
      <c r="V19" s="16">
        <f t="shared" si="2"/>
        <v>2145</v>
      </c>
      <c r="W19" s="53">
        <v>1</v>
      </c>
      <c r="X19" s="53" t="s">
        <v>46</v>
      </c>
      <c r="Y19" s="53" t="s">
        <v>90</v>
      </c>
      <c r="Z19" s="53" t="s">
        <v>84</v>
      </c>
      <c r="AA19" s="53" t="s">
        <v>50</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187</v>
      </c>
      <c r="I20" s="53" t="s">
        <v>159</v>
      </c>
      <c r="J20" s="53" t="s">
        <v>58</v>
      </c>
      <c r="K20" s="53" t="s">
        <v>59</v>
      </c>
      <c r="L20" s="53">
        <v>1</v>
      </c>
      <c r="M20" s="75"/>
      <c r="N20" s="53">
        <v>8</v>
      </c>
      <c r="O20" s="53">
        <v>0.85</v>
      </c>
      <c r="P20" s="53">
        <v>0.85</v>
      </c>
      <c r="Q20" s="74">
        <v>0.63</v>
      </c>
      <c r="R20" s="53">
        <v>12.8</v>
      </c>
      <c r="S20" s="53">
        <v>114</v>
      </c>
      <c r="T20" s="16">
        <f t="shared" si="1"/>
        <v>30</v>
      </c>
      <c r="U20" s="53">
        <v>626</v>
      </c>
      <c r="V20" s="16">
        <f t="shared" si="2"/>
        <v>2347.5</v>
      </c>
      <c r="W20" s="53">
        <v>1</v>
      </c>
      <c r="X20" s="53" t="s">
        <v>46</v>
      </c>
      <c r="Y20" s="53" t="s">
        <v>90</v>
      </c>
      <c r="Z20" s="53" t="s">
        <v>84</v>
      </c>
      <c r="AA20" s="53" t="s">
        <v>50</v>
      </c>
      <c r="AB20" s="53" t="s">
        <v>158</v>
      </c>
      <c r="AP20" s="27" t="s">
        <v>225</v>
      </c>
      <c r="AR20" s="23" t="s">
        <v>105</v>
      </c>
      <c r="AV20" s="27" t="s">
        <v>226</v>
      </c>
    </row>
    <row r="21" spans="1:48" x14ac:dyDescent="0.15">
      <c r="A21" s="53" t="s">
        <v>41</v>
      </c>
      <c r="B21" s="53" t="s">
        <v>157</v>
      </c>
      <c r="C21" s="62">
        <v>2019</v>
      </c>
      <c r="D21" s="63" t="s">
        <v>188</v>
      </c>
      <c r="E21" s="53" t="s">
        <v>186</v>
      </c>
      <c r="F21" s="53" t="s">
        <v>184</v>
      </c>
      <c r="G21" s="53" t="s">
        <v>42</v>
      </c>
      <c r="H21" s="53" t="s">
        <v>187</v>
      </c>
      <c r="I21" s="53" t="s">
        <v>159</v>
      </c>
      <c r="J21" s="53" t="s">
        <v>58</v>
      </c>
      <c r="K21" s="53" t="s">
        <v>59</v>
      </c>
      <c r="L21" s="53">
        <v>2</v>
      </c>
      <c r="M21" s="75"/>
      <c r="N21" s="53">
        <v>8</v>
      </c>
      <c r="O21" s="53">
        <v>1</v>
      </c>
      <c r="P21" s="53">
        <v>0.8</v>
      </c>
      <c r="Q21" s="74">
        <v>0.78</v>
      </c>
      <c r="R21" s="53">
        <v>13.4</v>
      </c>
      <c r="S21" s="53">
        <v>112</v>
      </c>
      <c r="T21" s="16">
        <f t="shared" si="1"/>
        <v>33</v>
      </c>
      <c r="U21" s="53">
        <v>626</v>
      </c>
      <c r="V21" s="16">
        <f t="shared" si="2"/>
        <v>2582.25</v>
      </c>
      <c r="W21" s="53">
        <v>1</v>
      </c>
      <c r="X21" s="53" t="s">
        <v>46</v>
      </c>
      <c r="Y21" s="53" t="s">
        <v>90</v>
      </c>
      <c r="Z21" s="53" t="s">
        <v>84</v>
      </c>
      <c r="AA21" s="53" t="s">
        <v>50</v>
      </c>
      <c r="AB21" s="53" t="s">
        <v>158</v>
      </c>
      <c r="AP21" s="27" t="s">
        <v>227</v>
      </c>
      <c r="AR21" s="23" t="s">
        <v>68</v>
      </c>
      <c r="AV21" s="28" t="s">
        <v>228</v>
      </c>
    </row>
    <row r="22" spans="1:48" x14ac:dyDescent="0.15">
      <c r="A22" s="53" t="s">
        <v>41</v>
      </c>
      <c r="B22" s="53" t="s">
        <v>157</v>
      </c>
      <c r="C22" s="62">
        <v>2019</v>
      </c>
      <c r="D22" s="63" t="s">
        <v>188</v>
      </c>
      <c r="E22" s="53" t="s">
        <v>186</v>
      </c>
      <c r="F22" s="53" t="s">
        <v>184</v>
      </c>
      <c r="G22" s="53" t="s">
        <v>42</v>
      </c>
      <c r="H22" s="53" t="s">
        <v>187</v>
      </c>
      <c r="I22" s="53" t="s">
        <v>159</v>
      </c>
      <c r="J22" s="53" t="s">
        <v>58</v>
      </c>
      <c r="K22" s="53" t="s">
        <v>59</v>
      </c>
      <c r="L22" s="53">
        <v>3</v>
      </c>
      <c r="M22" s="75"/>
      <c r="N22" s="53">
        <v>8</v>
      </c>
      <c r="O22" s="53">
        <v>0.85</v>
      </c>
      <c r="P22" s="53">
        <v>0.75</v>
      </c>
      <c r="Q22" s="74">
        <v>0.65</v>
      </c>
      <c r="R22" s="53">
        <v>14.1</v>
      </c>
      <c r="S22" s="53">
        <v>112</v>
      </c>
      <c r="T22" s="16">
        <f t="shared" si="1"/>
        <v>33</v>
      </c>
      <c r="U22" s="53">
        <v>626</v>
      </c>
      <c r="V22" s="16">
        <f t="shared" si="2"/>
        <v>2582.25</v>
      </c>
      <c r="W22" s="53">
        <v>1</v>
      </c>
      <c r="X22" s="53" t="s">
        <v>46</v>
      </c>
      <c r="Y22" s="53" t="s">
        <v>90</v>
      </c>
      <c r="Z22" s="53" t="s">
        <v>84</v>
      </c>
      <c r="AA22" s="53" t="s">
        <v>50</v>
      </c>
      <c r="AB22" s="53" t="s">
        <v>158</v>
      </c>
      <c r="AP22" s="27" t="s">
        <v>229</v>
      </c>
      <c r="AR22" s="23" t="s">
        <v>83</v>
      </c>
    </row>
    <row r="23" spans="1:48" x14ac:dyDescent="0.15">
      <c r="A23" s="53" t="s">
        <v>41</v>
      </c>
      <c r="B23" s="53" t="s">
        <v>157</v>
      </c>
      <c r="C23" s="62">
        <v>2019</v>
      </c>
      <c r="D23" s="63" t="s">
        <v>188</v>
      </c>
      <c r="E23" s="53" t="s">
        <v>186</v>
      </c>
      <c r="F23" s="53" t="s">
        <v>184</v>
      </c>
      <c r="G23" s="53" t="s">
        <v>42</v>
      </c>
      <c r="H23" s="53" t="s">
        <v>164</v>
      </c>
      <c r="I23" s="53" t="s">
        <v>159</v>
      </c>
      <c r="J23" s="53" t="s">
        <v>38</v>
      </c>
      <c r="K23" s="53" t="s">
        <v>161</v>
      </c>
      <c r="L23" s="53">
        <v>1</v>
      </c>
      <c r="M23" s="75"/>
      <c r="N23" s="53">
        <v>1</v>
      </c>
      <c r="O23" s="53">
        <v>0.85</v>
      </c>
      <c r="P23" s="53">
        <v>0.95</v>
      </c>
      <c r="Q23" s="16">
        <v>0.38</v>
      </c>
      <c r="R23" s="53">
        <v>12.5</v>
      </c>
      <c r="S23" s="53">
        <v>127</v>
      </c>
      <c r="T23" s="16">
        <f t="shared" si="1"/>
        <v>27</v>
      </c>
      <c r="U23" s="53">
        <v>105</v>
      </c>
      <c r="V23" s="16">
        <f t="shared" si="2"/>
        <v>2835</v>
      </c>
      <c r="W23" s="53">
        <v>1</v>
      </c>
      <c r="X23" s="53" t="s">
        <v>39</v>
      </c>
      <c r="Y23" s="53" t="s">
        <v>90</v>
      </c>
      <c r="Z23" s="53" t="s">
        <v>84</v>
      </c>
      <c r="AA23" s="53" t="s">
        <v>50</v>
      </c>
      <c r="AB23" s="53" t="s">
        <v>158</v>
      </c>
      <c r="AP23" s="27" t="s">
        <v>230</v>
      </c>
      <c r="AR23" s="23" t="s">
        <v>61</v>
      </c>
    </row>
    <row r="24" spans="1:48" x14ac:dyDescent="0.15">
      <c r="A24" s="53" t="s">
        <v>41</v>
      </c>
      <c r="B24" s="53" t="s">
        <v>157</v>
      </c>
      <c r="C24" s="62">
        <v>2019</v>
      </c>
      <c r="D24" s="63" t="s">
        <v>188</v>
      </c>
      <c r="E24" s="53" t="s">
        <v>186</v>
      </c>
      <c r="F24" s="53" t="s">
        <v>184</v>
      </c>
      <c r="G24" s="53" t="s">
        <v>42</v>
      </c>
      <c r="H24" s="53" t="s">
        <v>164</v>
      </c>
      <c r="I24" s="53" t="s">
        <v>159</v>
      </c>
      <c r="J24" s="53" t="s">
        <v>38</v>
      </c>
      <c r="K24" s="53" t="s">
        <v>161</v>
      </c>
      <c r="L24" s="53">
        <v>2</v>
      </c>
      <c r="M24" s="75"/>
      <c r="N24" s="53">
        <v>1</v>
      </c>
      <c r="O24" s="53">
        <v>0.9</v>
      </c>
      <c r="P24" s="53">
        <v>1</v>
      </c>
      <c r="Q24" s="16">
        <v>0.83</v>
      </c>
      <c r="R24" s="53">
        <v>13.5</v>
      </c>
      <c r="S24" s="53">
        <v>125</v>
      </c>
      <c r="T24" s="16">
        <f t="shared" si="1"/>
        <v>27</v>
      </c>
      <c r="U24" s="53">
        <v>105</v>
      </c>
      <c r="V24" s="16">
        <f t="shared" si="2"/>
        <v>2835</v>
      </c>
      <c r="W24" s="53">
        <v>1</v>
      </c>
      <c r="X24" s="53" t="s">
        <v>39</v>
      </c>
      <c r="Y24" s="53" t="s">
        <v>90</v>
      </c>
      <c r="Z24" s="53" t="s">
        <v>84</v>
      </c>
      <c r="AA24" s="53" t="s">
        <v>50</v>
      </c>
      <c r="AB24" s="53" t="s">
        <v>158</v>
      </c>
      <c r="AP24" s="27" t="s">
        <v>231</v>
      </c>
      <c r="AR24" s="23" t="s">
        <v>91</v>
      </c>
    </row>
    <row r="25" spans="1:48" x14ac:dyDescent="0.15">
      <c r="A25" s="53" t="s">
        <v>41</v>
      </c>
      <c r="B25" s="53" t="s">
        <v>157</v>
      </c>
      <c r="C25" s="62">
        <v>2019</v>
      </c>
      <c r="D25" s="63" t="s">
        <v>188</v>
      </c>
      <c r="E25" s="53" t="s">
        <v>186</v>
      </c>
      <c r="F25" s="53" t="s">
        <v>184</v>
      </c>
      <c r="G25" s="53" t="s">
        <v>42</v>
      </c>
      <c r="H25" s="53" t="s">
        <v>164</v>
      </c>
      <c r="I25" s="53" t="s">
        <v>159</v>
      </c>
      <c r="J25" s="53" t="s">
        <v>38</v>
      </c>
      <c r="K25" s="53" t="s">
        <v>161</v>
      </c>
      <c r="L25" s="53">
        <v>3</v>
      </c>
      <c r="M25" s="75"/>
      <c r="N25" s="53">
        <v>1</v>
      </c>
      <c r="O25" s="53">
        <v>0.8</v>
      </c>
      <c r="P25" s="53">
        <v>0.95</v>
      </c>
      <c r="Q25" s="16">
        <v>0.5</v>
      </c>
      <c r="R25" s="53">
        <v>13.8</v>
      </c>
      <c r="S25" s="53">
        <v>126</v>
      </c>
      <c r="T25" s="16">
        <f t="shared" si="1"/>
        <v>27</v>
      </c>
      <c r="U25" s="53">
        <v>105</v>
      </c>
      <c r="V25" s="16">
        <f t="shared" si="2"/>
        <v>2835</v>
      </c>
      <c r="W25" s="53">
        <v>1</v>
      </c>
      <c r="X25" s="53" t="s">
        <v>39</v>
      </c>
      <c r="Y25" s="53" t="s">
        <v>90</v>
      </c>
      <c r="Z25" s="53" t="s">
        <v>84</v>
      </c>
      <c r="AA25" s="53" t="s">
        <v>50</v>
      </c>
      <c r="AB25" s="53" t="s">
        <v>158</v>
      </c>
      <c r="AP25" s="27" t="s">
        <v>232</v>
      </c>
      <c r="AR25" s="27" t="s">
        <v>51</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M26" s="75"/>
      <c r="N26" s="53">
        <v>6</v>
      </c>
      <c r="O26" s="53">
        <v>0.65</v>
      </c>
      <c r="P26" s="53">
        <v>0.75</v>
      </c>
      <c r="Q26" s="16">
        <v>0.8</v>
      </c>
      <c r="R26" s="53">
        <v>12</v>
      </c>
      <c r="S26" s="53">
        <v>107</v>
      </c>
      <c r="T26" s="16">
        <f t="shared" si="1"/>
        <v>33</v>
      </c>
      <c r="U26" s="53">
        <v>378</v>
      </c>
      <c r="V26" s="16">
        <f t="shared" si="2"/>
        <v>2079</v>
      </c>
      <c r="W26" s="53">
        <v>1</v>
      </c>
      <c r="X26" s="53" t="s">
        <v>39</v>
      </c>
      <c r="Y26" s="53" t="s">
        <v>90</v>
      </c>
      <c r="Z26" s="53" t="s">
        <v>84</v>
      </c>
      <c r="AA26" s="53" t="s">
        <v>50</v>
      </c>
      <c r="AB26" s="53" t="s">
        <v>158</v>
      </c>
      <c r="AP26" s="27" t="s">
        <v>233</v>
      </c>
      <c r="AR26" s="53" t="s">
        <v>234</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M27" s="75"/>
      <c r="N27" s="53">
        <v>6</v>
      </c>
      <c r="O27" s="53">
        <v>0.65</v>
      </c>
      <c r="P27" s="53">
        <v>0.65</v>
      </c>
      <c r="Q27" s="16">
        <v>0.2</v>
      </c>
      <c r="R27" s="53">
        <v>11.4</v>
      </c>
      <c r="S27" s="53">
        <v>100</v>
      </c>
      <c r="T27" s="16">
        <f t="shared" si="1"/>
        <v>33</v>
      </c>
      <c r="U27" s="53">
        <v>378</v>
      </c>
      <c r="V27" s="16">
        <f t="shared" si="2"/>
        <v>2079</v>
      </c>
      <c r="W27" s="53">
        <v>1</v>
      </c>
      <c r="X27" s="53" t="s">
        <v>39</v>
      </c>
      <c r="Y27" s="53" t="s">
        <v>90</v>
      </c>
      <c r="Z27" s="53" t="s">
        <v>84</v>
      </c>
      <c r="AA27" s="53" t="s">
        <v>50</v>
      </c>
      <c r="AB27" s="53" t="s">
        <v>158</v>
      </c>
      <c r="AP27" s="27" t="s">
        <v>235</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M28" s="75"/>
      <c r="N28" s="53">
        <v>6</v>
      </c>
      <c r="O28" s="53">
        <v>0.55000000000000004</v>
      </c>
      <c r="P28" s="53">
        <v>0.55000000000000004</v>
      </c>
      <c r="Q28" s="16">
        <v>0.6</v>
      </c>
      <c r="R28" s="53">
        <v>15.4</v>
      </c>
      <c r="S28" s="53">
        <v>110</v>
      </c>
      <c r="T28" s="16">
        <f t="shared" si="1"/>
        <v>33</v>
      </c>
      <c r="U28" s="53">
        <v>378</v>
      </c>
      <c r="V28" s="16">
        <f t="shared" si="2"/>
        <v>2079</v>
      </c>
      <c r="W28" s="53">
        <v>1</v>
      </c>
      <c r="X28" s="53" t="s">
        <v>39</v>
      </c>
      <c r="Y28" s="53" t="s">
        <v>90</v>
      </c>
      <c r="Z28" s="53" t="s">
        <v>84</v>
      </c>
      <c r="AA28" s="53" t="s">
        <v>50</v>
      </c>
      <c r="AB28" s="53" t="s">
        <v>158</v>
      </c>
    </row>
    <row r="29" spans="1:48" x14ac:dyDescent="0.15">
      <c r="A29" s="53" t="s">
        <v>41</v>
      </c>
      <c r="B29" s="53" t="s">
        <v>157</v>
      </c>
      <c r="C29" s="62">
        <v>2019</v>
      </c>
      <c r="D29" s="63" t="s">
        <v>188</v>
      </c>
      <c r="E29" s="53" t="s">
        <v>186</v>
      </c>
      <c r="F29" s="53" t="s">
        <v>189</v>
      </c>
      <c r="G29" s="53" t="s">
        <v>42</v>
      </c>
      <c r="H29" s="53" t="s">
        <v>187</v>
      </c>
      <c r="I29" s="53" t="s">
        <v>159</v>
      </c>
      <c r="J29" s="53" t="s">
        <v>58</v>
      </c>
      <c r="K29" s="53" t="s">
        <v>59</v>
      </c>
      <c r="L29" s="53">
        <v>1</v>
      </c>
      <c r="M29" s="75"/>
      <c r="N29" s="53">
        <v>6</v>
      </c>
      <c r="O29" s="53">
        <v>0.65</v>
      </c>
      <c r="P29" s="53">
        <v>0.7</v>
      </c>
      <c r="Q29" s="16">
        <v>0.38</v>
      </c>
      <c r="R29" s="53">
        <v>11.5</v>
      </c>
      <c r="S29" s="53">
        <v>114</v>
      </c>
      <c r="T29" s="16">
        <f t="shared" si="1"/>
        <v>30</v>
      </c>
      <c r="U29" s="53">
        <v>429</v>
      </c>
      <c r="V29" s="16">
        <f t="shared" si="2"/>
        <v>2145</v>
      </c>
      <c r="W29" s="53">
        <v>2</v>
      </c>
      <c r="X29" s="53" t="s">
        <v>39</v>
      </c>
      <c r="Y29" s="53" t="s">
        <v>84</v>
      </c>
      <c r="Z29" s="53" t="s">
        <v>90</v>
      </c>
      <c r="AA29" s="53" t="s">
        <v>69</v>
      </c>
      <c r="AB29" s="53" t="s">
        <v>158</v>
      </c>
    </row>
    <row r="30" spans="1:48" x14ac:dyDescent="0.15">
      <c r="A30" s="53" t="s">
        <v>41</v>
      </c>
      <c r="B30" s="53" t="s">
        <v>157</v>
      </c>
      <c r="C30" s="62">
        <v>2019</v>
      </c>
      <c r="D30" s="63" t="s">
        <v>188</v>
      </c>
      <c r="E30" s="53" t="s">
        <v>186</v>
      </c>
      <c r="F30" s="53" t="s">
        <v>189</v>
      </c>
      <c r="G30" s="53" t="s">
        <v>42</v>
      </c>
      <c r="H30" s="53" t="s">
        <v>187</v>
      </c>
      <c r="I30" s="53" t="s">
        <v>159</v>
      </c>
      <c r="J30" s="53" t="s">
        <v>58</v>
      </c>
      <c r="K30" s="53" t="s">
        <v>59</v>
      </c>
      <c r="L30" s="53">
        <v>2</v>
      </c>
      <c r="M30" s="75"/>
      <c r="N30" s="53">
        <v>6</v>
      </c>
      <c r="O30" s="53">
        <v>0.7</v>
      </c>
      <c r="P30" s="53">
        <v>0.65</v>
      </c>
      <c r="Q30" s="16">
        <v>0.83</v>
      </c>
      <c r="R30" s="53">
        <v>15.2</v>
      </c>
      <c r="S30" s="53">
        <v>112</v>
      </c>
      <c r="T30" s="16">
        <f t="shared" si="1"/>
        <v>33</v>
      </c>
      <c r="U30" s="53">
        <v>429</v>
      </c>
      <c r="V30" s="16">
        <f t="shared" si="2"/>
        <v>2359.5</v>
      </c>
      <c r="W30" s="53">
        <v>2</v>
      </c>
      <c r="X30" s="53" t="s">
        <v>39</v>
      </c>
      <c r="Y30" s="53" t="s">
        <v>84</v>
      </c>
      <c r="Z30" s="53" t="s">
        <v>90</v>
      </c>
      <c r="AA30" s="53" t="s">
        <v>69</v>
      </c>
      <c r="AB30" s="53" t="s">
        <v>158</v>
      </c>
    </row>
    <row r="31" spans="1:48" x14ac:dyDescent="0.15">
      <c r="A31" s="53" t="s">
        <v>41</v>
      </c>
      <c r="B31" s="53" t="s">
        <v>157</v>
      </c>
      <c r="C31" s="62">
        <v>2019</v>
      </c>
      <c r="D31" s="63" t="s">
        <v>188</v>
      </c>
      <c r="E31" s="53" t="s">
        <v>186</v>
      </c>
      <c r="F31" s="53" t="s">
        <v>189</v>
      </c>
      <c r="G31" s="53" t="s">
        <v>42</v>
      </c>
      <c r="H31" s="53" t="s">
        <v>187</v>
      </c>
      <c r="I31" s="53" t="s">
        <v>159</v>
      </c>
      <c r="J31" s="53" t="s">
        <v>58</v>
      </c>
      <c r="K31" s="53" t="s">
        <v>59</v>
      </c>
      <c r="L31" s="53">
        <v>3</v>
      </c>
      <c r="M31" s="75"/>
      <c r="N31" s="53">
        <v>6</v>
      </c>
      <c r="O31" s="53">
        <v>0.5</v>
      </c>
      <c r="P31" s="53">
        <v>0.65</v>
      </c>
      <c r="Q31" s="16">
        <v>0.5</v>
      </c>
      <c r="R31" s="53">
        <v>14.8</v>
      </c>
      <c r="S31" s="53">
        <v>111</v>
      </c>
      <c r="T31" s="16">
        <f t="shared" si="1"/>
        <v>33</v>
      </c>
      <c r="U31" s="53">
        <v>429</v>
      </c>
      <c r="V31" s="16">
        <f t="shared" si="2"/>
        <v>2359.5</v>
      </c>
      <c r="W31" s="53">
        <v>2</v>
      </c>
      <c r="X31" s="53" t="s">
        <v>39</v>
      </c>
      <c r="Y31" s="53" t="s">
        <v>84</v>
      </c>
      <c r="Z31" s="53" t="s">
        <v>90</v>
      </c>
      <c r="AA31" s="53" t="s">
        <v>69</v>
      </c>
      <c r="AB31" s="53" t="s">
        <v>158</v>
      </c>
    </row>
    <row r="32" spans="1:48" x14ac:dyDescent="0.15">
      <c r="A32" s="53" t="s">
        <v>41</v>
      </c>
      <c r="B32" s="53" t="s">
        <v>157</v>
      </c>
      <c r="C32" s="62">
        <v>2019</v>
      </c>
      <c r="D32" s="63" t="s">
        <v>188</v>
      </c>
      <c r="E32" s="53" t="s">
        <v>186</v>
      </c>
      <c r="F32" s="53" t="s">
        <v>189</v>
      </c>
      <c r="G32" s="53" t="s">
        <v>42</v>
      </c>
      <c r="H32" s="53" t="s">
        <v>164</v>
      </c>
      <c r="I32" s="53" t="s">
        <v>159</v>
      </c>
      <c r="J32" s="53" t="s">
        <v>38</v>
      </c>
      <c r="K32" s="53" t="s">
        <v>161</v>
      </c>
      <c r="L32" s="53">
        <v>1</v>
      </c>
      <c r="M32" s="75"/>
      <c r="N32" s="53">
        <v>1</v>
      </c>
      <c r="O32" s="53">
        <v>1.3</v>
      </c>
      <c r="P32" s="53">
        <v>1.4</v>
      </c>
      <c r="Q32" s="16">
        <v>2.4</v>
      </c>
      <c r="R32" s="53">
        <v>11.3</v>
      </c>
      <c r="S32" s="53">
        <v>129</v>
      </c>
      <c r="T32" s="16">
        <f t="shared" si="1"/>
        <v>25</v>
      </c>
      <c r="U32" s="53">
        <v>105</v>
      </c>
      <c r="V32" s="16">
        <f t="shared" si="2"/>
        <v>2625</v>
      </c>
      <c r="W32" s="53">
        <v>1</v>
      </c>
      <c r="X32" s="53" t="s">
        <v>39</v>
      </c>
      <c r="Y32" s="53" t="s">
        <v>84</v>
      </c>
      <c r="Z32" s="53" t="s">
        <v>90</v>
      </c>
      <c r="AA32" s="53" t="s">
        <v>69</v>
      </c>
      <c r="AB32" s="53" t="s">
        <v>158</v>
      </c>
    </row>
    <row r="33" spans="1:28" x14ac:dyDescent="0.15">
      <c r="A33" s="53" t="s">
        <v>41</v>
      </c>
      <c r="B33" s="53" t="s">
        <v>157</v>
      </c>
      <c r="C33" s="62">
        <v>2019</v>
      </c>
      <c r="D33" s="63" t="s">
        <v>188</v>
      </c>
      <c r="E33" s="53" t="s">
        <v>186</v>
      </c>
      <c r="F33" s="53" t="s">
        <v>189</v>
      </c>
      <c r="G33" s="53" t="s">
        <v>42</v>
      </c>
      <c r="H33" s="53" t="s">
        <v>164</v>
      </c>
      <c r="I33" s="53" t="s">
        <v>159</v>
      </c>
      <c r="J33" s="53" t="s">
        <v>38</v>
      </c>
      <c r="K33" s="53" t="s">
        <v>161</v>
      </c>
      <c r="L33" s="53">
        <v>2</v>
      </c>
      <c r="M33" s="75"/>
      <c r="N33" s="53">
        <v>1</v>
      </c>
      <c r="O33" s="53">
        <v>0.95</v>
      </c>
      <c r="P33" s="53">
        <v>1</v>
      </c>
      <c r="Q33" s="16">
        <v>1.73</v>
      </c>
      <c r="R33" s="53">
        <v>10.5</v>
      </c>
      <c r="S33" s="53">
        <v>130</v>
      </c>
      <c r="T33" s="16">
        <f t="shared" si="1"/>
        <v>25</v>
      </c>
      <c r="U33" s="53">
        <v>105</v>
      </c>
      <c r="V33" s="16">
        <f t="shared" si="2"/>
        <v>2625</v>
      </c>
      <c r="W33" s="53">
        <v>1</v>
      </c>
      <c r="X33" s="53" t="s">
        <v>39</v>
      </c>
      <c r="Y33" s="53" t="s">
        <v>84</v>
      </c>
      <c r="Z33" s="53" t="s">
        <v>90</v>
      </c>
      <c r="AA33" s="53" t="s">
        <v>69</v>
      </c>
      <c r="AB33" s="53" t="s">
        <v>158</v>
      </c>
    </row>
    <row r="34" spans="1:28" x14ac:dyDescent="0.15">
      <c r="A34" s="53" t="s">
        <v>41</v>
      </c>
      <c r="B34" s="53" t="s">
        <v>157</v>
      </c>
      <c r="C34" s="62">
        <v>2019</v>
      </c>
      <c r="D34" s="63" t="s">
        <v>188</v>
      </c>
      <c r="E34" s="53" t="s">
        <v>186</v>
      </c>
      <c r="F34" s="53" t="s">
        <v>189</v>
      </c>
      <c r="G34" s="53" t="s">
        <v>42</v>
      </c>
      <c r="H34" s="53" t="s">
        <v>164</v>
      </c>
      <c r="I34" s="53" t="s">
        <v>159</v>
      </c>
      <c r="J34" s="53" t="s">
        <v>38</v>
      </c>
      <c r="K34" s="53" t="s">
        <v>161</v>
      </c>
      <c r="L34" s="53">
        <v>3</v>
      </c>
      <c r="M34" s="75"/>
      <c r="N34" s="53">
        <v>1</v>
      </c>
      <c r="O34" s="53">
        <v>1</v>
      </c>
      <c r="P34" s="53">
        <v>1.2</v>
      </c>
      <c r="Q34" s="16">
        <v>1.88</v>
      </c>
      <c r="R34" s="53">
        <v>9.9</v>
      </c>
      <c r="S34" s="53">
        <v>131</v>
      </c>
      <c r="T34" s="16">
        <f t="shared" si="1"/>
        <v>25</v>
      </c>
      <c r="U34" s="53">
        <v>105</v>
      </c>
      <c r="V34" s="16">
        <f t="shared" si="2"/>
        <v>2625</v>
      </c>
      <c r="W34" s="53">
        <v>1</v>
      </c>
      <c r="X34" s="53" t="s">
        <v>39</v>
      </c>
      <c r="Y34" s="53" t="s">
        <v>84</v>
      </c>
      <c r="Z34" s="53" t="s">
        <v>90</v>
      </c>
      <c r="AA34" s="53" t="s">
        <v>69</v>
      </c>
      <c r="AB34" s="53" t="s">
        <v>158</v>
      </c>
    </row>
    <row r="35" spans="1:28" x14ac:dyDescent="0.15">
      <c r="A35" s="53" t="s">
        <v>41</v>
      </c>
      <c r="B35" s="53" t="s">
        <v>157</v>
      </c>
      <c r="C35" s="62">
        <v>2019</v>
      </c>
      <c r="D35" s="63" t="s">
        <v>188</v>
      </c>
      <c r="E35" s="53" t="s">
        <v>186</v>
      </c>
      <c r="F35" s="53" t="s">
        <v>189</v>
      </c>
      <c r="G35" s="53" t="s">
        <v>42</v>
      </c>
      <c r="H35" s="53" t="s">
        <v>164</v>
      </c>
      <c r="I35" s="53" t="s">
        <v>159</v>
      </c>
      <c r="J35" s="53" t="s">
        <v>38</v>
      </c>
      <c r="K35" s="53" t="s">
        <v>161</v>
      </c>
      <c r="L35" s="53">
        <v>1</v>
      </c>
      <c r="M35" s="75"/>
      <c r="N35" s="53">
        <v>5</v>
      </c>
      <c r="O35" s="53">
        <v>0.85</v>
      </c>
      <c r="P35" s="53">
        <v>0.9</v>
      </c>
      <c r="Q35" s="16">
        <v>1.1299999999999999</v>
      </c>
      <c r="R35" s="53">
        <v>12.8</v>
      </c>
      <c r="S35" s="53">
        <v>107</v>
      </c>
      <c r="T35" s="16">
        <f t="shared" si="1"/>
        <v>33</v>
      </c>
      <c r="U35" s="53">
        <v>378</v>
      </c>
      <c r="V35" s="16">
        <f t="shared" si="2"/>
        <v>2494.7999999999997</v>
      </c>
      <c r="W35" s="53">
        <v>1</v>
      </c>
      <c r="X35" s="53" t="s">
        <v>39</v>
      </c>
      <c r="Y35" s="53" t="s">
        <v>84</v>
      </c>
      <c r="Z35" s="53" t="s">
        <v>90</v>
      </c>
      <c r="AA35" s="53" t="s">
        <v>69</v>
      </c>
      <c r="AB35" s="53" t="s">
        <v>158</v>
      </c>
    </row>
    <row r="36" spans="1:28" x14ac:dyDescent="0.15">
      <c r="A36" s="53" t="s">
        <v>41</v>
      </c>
      <c r="B36" s="53" t="s">
        <v>157</v>
      </c>
      <c r="C36" s="62">
        <v>2019</v>
      </c>
      <c r="D36" s="63" t="s">
        <v>188</v>
      </c>
      <c r="E36" s="53" t="s">
        <v>186</v>
      </c>
      <c r="F36" s="53" t="s">
        <v>189</v>
      </c>
      <c r="G36" s="53" t="s">
        <v>42</v>
      </c>
      <c r="H36" s="53" t="s">
        <v>164</v>
      </c>
      <c r="I36" s="53" t="s">
        <v>159</v>
      </c>
      <c r="J36" s="53" t="s">
        <v>38</v>
      </c>
      <c r="K36" s="53" t="s">
        <v>161</v>
      </c>
      <c r="L36" s="53">
        <v>2</v>
      </c>
      <c r="M36" s="75"/>
      <c r="N36" s="53">
        <v>5</v>
      </c>
      <c r="O36" s="53">
        <v>1</v>
      </c>
      <c r="P36" s="53">
        <v>0.85</v>
      </c>
      <c r="Q36" s="16">
        <v>1.2</v>
      </c>
      <c r="R36" s="53">
        <v>13.7</v>
      </c>
      <c r="S36" s="53">
        <v>100</v>
      </c>
      <c r="T36" s="16">
        <f t="shared" si="1"/>
        <v>33</v>
      </c>
      <c r="U36" s="53">
        <v>378</v>
      </c>
      <c r="V36" s="16">
        <f t="shared" si="2"/>
        <v>2494.7999999999997</v>
      </c>
      <c r="W36" s="53">
        <v>1</v>
      </c>
      <c r="X36" s="53" t="s">
        <v>39</v>
      </c>
      <c r="Y36" s="53" t="s">
        <v>84</v>
      </c>
      <c r="Z36" s="53" t="s">
        <v>90</v>
      </c>
      <c r="AA36" s="53" t="s">
        <v>69</v>
      </c>
      <c r="AB36" s="53" t="s">
        <v>158</v>
      </c>
    </row>
    <row r="37" spans="1:28" x14ac:dyDescent="0.15">
      <c r="A37" s="53" t="s">
        <v>41</v>
      </c>
      <c r="B37" s="53" t="s">
        <v>157</v>
      </c>
      <c r="C37" s="62">
        <v>2019</v>
      </c>
      <c r="D37" s="63" t="s">
        <v>188</v>
      </c>
      <c r="E37" s="53" t="s">
        <v>186</v>
      </c>
      <c r="F37" s="53" t="s">
        <v>189</v>
      </c>
      <c r="G37" s="53" t="s">
        <v>42</v>
      </c>
      <c r="H37" s="53" t="s">
        <v>164</v>
      </c>
      <c r="I37" s="53" t="s">
        <v>159</v>
      </c>
      <c r="J37" s="53" t="s">
        <v>38</v>
      </c>
      <c r="K37" s="53" t="s">
        <v>161</v>
      </c>
      <c r="L37" s="53">
        <v>3</v>
      </c>
      <c r="M37" s="75"/>
      <c r="N37" s="53">
        <v>5</v>
      </c>
      <c r="O37" s="53">
        <v>0.95</v>
      </c>
      <c r="P37" s="53">
        <v>0.85</v>
      </c>
      <c r="Q37" s="16">
        <v>1.1299999999999999</v>
      </c>
      <c r="R37" s="53">
        <v>12.9</v>
      </c>
      <c r="S37" s="53">
        <v>105</v>
      </c>
      <c r="T37" s="16">
        <f t="shared" si="1"/>
        <v>33</v>
      </c>
      <c r="U37" s="53">
        <v>378</v>
      </c>
      <c r="V37" s="16">
        <f t="shared" si="2"/>
        <v>2494.7999999999997</v>
      </c>
      <c r="W37" s="53">
        <v>1</v>
      </c>
      <c r="X37" s="53" t="s">
        <v>39</v>
      </c>
      <c r="Y37" s="53" t="s">
        <v>84</v>
      </c>
      <c r="Z37" s="53" t="s">
        <v>90</v>
      </c>
      <c r="AA37" s="53" t="s">
        <v>69</v>
      </c>
      <c r="AB37" s="53" t="s">
        <v>158</v>
      </c>
    </row>
    <row r="38" spans="1:28" x14ac:dyDescent="0.15">
      <c r="A38" s="53" t="s">
        <v>41</v>
      </c>
      <c r="B38" s="53" t="s">
        <v>157</v>
      </c>
      <c r="C38" s="62">
        <v>2019</v>
      </c>
      <c r="D38" s="63" t="s">
        <v>188</v>
      </c>
      <c r="E38" s="53" t="s">
        <v>194</v>
      </c>
      <c r="F38" s="53" t="s">
        <v>184</v>
      </c>
      <c r="G38" s="53" t="s">
        <v>42</v>
      </c>
      <c r="H38" s="53" t="s">
        <v>160</v>
      </c>
      <c r="I38" s="53" t="s">
        <v>159</v>
      </c>
      <c r="J38" s="53" t="s">
        <v>38</v>
      </c>
      <c r="K38" s="53" t="s">
        <v>54</v>
      </c>
      <c r="L38" s="53">
        <v>1</v>
      </c>
      <c r="M38" s="75"/>
      <c r="N38" s="53">
        <v>1</v>
      </c>
      <c r="O38" s="53">
        <v>0.35</v>
      </c>
      <c r="P38" s="53">
        <v>0.3</v>
      </c>
      <c r="Q38" s="16">
        <v>1.1299999999999999</v>
      </c>
      <c r="R38" s="53">
        <v>11.5</v>
      </c>
      <c r="S38" s="53">
        <v>128</v>
      </c>
      <c r="T38" s="16">
        <f t="shared" si="1"/>
        <v>27</v>
      </c>
      <c r="U38" s="53">
        <v>170</v>
      </c>
      <c r="V38" s="16">
        <f t="shared" si="2"/>
        <v>4590</v>
      </c>
      <c r="W38" s="53">
        <v>1</v>
      </c>
      <c r="X38" s="53" t="s">
        <v>46</v>
      </c>
      <c r="Y38" s="53" t="s">
        <v>84</v>
      </c>
      <c r="Z38" s="53" t="s">
        <v>90</v>
      </c>
      <c r="AA38" s="53" t="s">
        <v>50</v>
      </c>
      <c r="AB38" s="53" t="s">
        <v>158</v>
      </c>
    </row>
    <row r="39" spans="1:28" x14ac:dyDescent="0.15">
      <c r="A39" s="53" t="s">
        <v>41</v>
      </c>
      <c r="B39" s="53" t="s">
        <v>157</v>
      </c>
      <c r="C39" s="62">
        <v>2019</v>
      </c>
      <c r="D39" s="63" t="s">
        <v>188</v>
      </c>
      <c r="E39" s="53" t="s">
        <v>194</v>
      </c>
      <c r="F39" s="53" t="s">
        <v>184</v>
      </c>
      <c r="G39" s="53" t="s">
        <v>42</v>
      </c>
      <c r="H39" s="53" t="s">
        <v>160</v>
      </c>
      <c r="I39" s="53" t="s">
        <v>159</v>
      </c>
      <c r="J39" s="53" t="s">
        <v>38</v>
      </c>
      <c r="K39" s="53" t="s">
        <v>54</v>
      </c>
      <c r="L39" s="53">
        <v>2</v>
      </c>
      <c r="M39" s="75"/>
      <c r="N39" s="53">
        <v>1</v>
      </c>
      <c r="O39" s="53">
        <v>0.4</v>
      </c>
      <c r="P39" s="53">
        <v>0.35</v>
      </c>
      <c r="Q39" s="16">
        <v>1.2</v>
      </c>
      <c r="R39" s="53">
        <v>14.8</v>
      </c>
      <c r="S39" s="53">
        <v>127</v>
      </c>
      <c r="T39" s="16">
        <f t="shared" si="1"/>
        <v>27</v>
      </c>
      <c r="U39" s="53">
        <v>170</v>
      </c>
      <c r="V39" s="16">
        <f t="shared" si="2"/>
        <v>4590</v>
      </c>
      <c r="W39" s="53">
        <v>1</v>
      </c>
      <c r="X39" s="53" t="s">
        <v>46</v>
      </c>
      <c r="Y39" s="53" t="s">
        <v>84</v>
      </c>
      <c r="Z39" s="53" t="s">
        <v>90</v>
      </c>
      <c r="AA39" s="53" t="s">
        <v>50</v>
      </c>
      <c r="AB39" s="53" t="s">
        <v>158</v>
      </c>
    </row>
    <row r="40" spans="1:28" x14ac:dyDescent="0.15">
      <c r="A40" s="53" t="s">
        <v>41</v>
      </c>
      <c r="B40" s="53" t="s">
        <v>157</v>
      </c>
      <c r="C40" s="62">
        <v>2019</v>
      </c>
      <c r="D40" s="63" t="s">
        <v>188</v>
      </c>
      <c r="E40" s="53" t="s">
        <v>194</v>
      </c>
      <c r="F40" s="53" t="s">
        <v>184</v>
      </c>
      <c r="G40" s="53" t="s">
        <v>42</v>
      </c>
      <c r="H40" s="53" t="s">
        <v>160</v>
      </c>
      <c r="I40" s="53" t="s">
        <v>159</v>
      </c>
      <c r="J40" s="53" t="s">
        <v>38</v>
      </c>
      <c r="K40" s="53" t="s">
        <v>54</v>
      </c>
      <c r="L40" s="53">
        <v>3</v>
      </c>
      <c r="M40" s="75"/>
      <c r="N40" s="53">
        <v>1</v>
      </c>
      <c r="O40" s="53">
        <v>0.5</v>
      </c>
      <c r="P40" s="53">
        <v>0.4</v>
      </c>
      <c r="Q40" s="16">
        <v>1.1299999999999999</v>
      </c>
      <c r="R40" s="53">
        <v>14.2</v>
      </c>
      <c r="S40" s="53">
        <v>128</v>
      </c>
      <c r="T40" s="16">
        <f t="shared" si="1"/>
        <v>27</v>
      </c>
      <c r="U40" s="53">
        <v>170</v>
      </c>
      <c r="V40" s="16">
        <f t="shared" si="2"/>
        <v>4590</v>
      </c>
      <c r="W40" s="53">
        <v>1</v>
      </c>
      <c r="X40" s="53" t="s">
        <v>46</v>
      </c>
      <c r="Y40" s="53" t="s">
        <v>84</v>
      </c>
      <c r="Z40" s="53" t="s">
        <v>90</v>
      </c>
      <c r="AA40" s="53" t="s">
        <v>50</v>
      </c>
      <c r="AB40" s="53" t="s">
        <v>158</v>
      </c>
    </row>
    <row r="41" spans="1:28" x14ac:dyDescent="0.15">
      <c r="A41" s="53" t="s">
        <v>41</v>
      </c>
      <c r="B41" s="53" t="s">
        <v>157</v>
      </c>
      <c r="C41" s="62">
        <v>2019</v>
      </c>
      <c r="D41" s="63" t="s">
        <v>188</v>
      </c>
      <c r="E41" s="53" t="s">
        <v>194</v>
      </c>
      <c r="F41" s="53" t="s">
        <v>184</v>
      </c>
      <c r="G41" s="53" t="s">
        <v>42</v>
      </c>
      <c r="H41" s="53" t="s">
        <v>164</v>
      </c>
      <c r="I41" s="53" t="s">
        <v>159</v>
      </c>
      <c r="J41" s="53" t="s">
        <v>38</v>
      </c>
      <c r="K41" s="53" t="s">
        <v>161</v>
      </c>
      <c r="L41" s="53">
        <v>1</v>
      </c>
      <c r="N41" s="53">
        <v>1</v>
      </c>
      <c r="O41" s="53">
        <v>0.75</v>
      </c>
      <c r="P41" s="53">
        <v>0.5</v>
      </c>
      <c r="Q41" s="74">
        <f t="shared" ref="Q41:Q97" si="3">IF(OR(O41="",P41=""),"",AVERAGE(O41,P41))</f>
        <v>0.625</v>
      </c>
      <c r="R41" s="53">
        <v>12.6</v>
      </c>
      <c r="S41" s="53">
        <v>127</v>
      </c>
      <c r="T41" s="16">
        <f t="shared" si="1"/>
        <v>27</v>
      </c>
      <c r="U41" s="53">
        <v>108</v>
      </c>
      <c r="V41" s="16">
        <f t="shared" si="2"/>
        <v>2916</v>
      </c>
      <c r="W41" s="53">
        <v>2</v>
      </c>
      <c r="X41" s="53" t="s">
        <v>46</v>
      </c>
      <c r="Y41" s="53" t="s">
        <v>84</v>
      </c>
      <c r="Z41" s="53" t="s">
        <v>90</v>
      </c>
      <c r="AA41" s="53" t="s">
        <v>50</v>
      </c>
      <c r="AB41" s="53" t="s">
        <v>158</v>
      </c>
    </row>
    <row r="42" spans="1:28" x14ac:dyDescent="0.15">
      <c r="A42" s="53" t="s">
        <v>41</v>
      </c>
      <c r="B42" s="53" t="s">
        <v>157</v>
      </c>
      <c r="C42" s="62">
        <v>2019</v>
      </c>
      <c r="D42" s="63" t="s">
        <v>188</v>
      </c>
      <c r="E42" s="53" t="s">
        <v>194</v>
      </c>
      <c r="F42" s="53" t="s">
        <v>184</v>
      </c>
      <c r="G42" s="53" t="s">
        <v>42</v>
      </c>
      <c r="H42" s="53" t="s">
        <v>164</v>
      </c>
      <c r="I42" s="53" t="s">
        <v>159</v>
      </c>
      <c r="J42" s="53" t="s">
        <v>38</v>
      </c>
      <c r="K42" s="53" t="s">
        <v>161</v>
      </c>
      <c r="L42" s="53">
        <v>2</v>
      </c>
      <c r="M42" s="75"/>
      <c r="N42" s="53">
        <v>1</v>
      </c>
      <c r="O42" s="53">
        <v>0.65</v>
      </c>
      <c r="P42" s="53">
        <v>0.5</v>
      </c>
      <c r="Q42" s="74">
        <f t="shared" si="3"/>
        <v>0.57499999999999996</v>
      </c>
      <c r="R42" s="53">
        <v>13.2</v>
      </c>
      <c r="S42" s="53">
        <v>126</v>
      </c>
      <c r="T42" s="16">
        <f t="shared" si="1"/>
        <v>27</v>
      </c>
      <c r="U42" s="53">
        <v>108</v>
      </c>
      <c r="V42" s="16">
        <f t="shared" si="2"/>
        <v>2916</v>
      </c>
      <c r="W42" s="53">
        <v>2</v>
      </c>
      <c r="X42" s="53" t="s">
        <v>46</v>
      </c>
      <c r="Y42" s="53" t="s">
        <v>84</v>
      </c>
      <c r="Z42" s="53" t="s">
        <v>90</v>
      </c>
      <c r="AA42" s="53" t="s">
        <v>50</v>
      </c>
      <c r="AB42" s="53" t="s">
        <v>158</v>
      </c>
    </row>
    <row r="43" spans="1:28" x14ac:dyDescent="0.15">
      <c r="A43" s="53" t="s">
        <v>41</v>
      </c>
      <c r="B43" s="53" t="s">
        <v>157</v>
      </c>
      <c r="C43" s="62">
        <v>2019</v>
      </c>
      <c r="D43" s="63" t="s">
        <v>188</v>
      </c>
      <c r="E43" s="53" t="s">
        <v>194</v>
      </c>
      <c r="F43" s="53" t="s">
        <v>184</v>
      </c>
      <c r="G43" s="53" t="s">
        <v>42</v>
      </c>
      <c r="H43" s="53" t="s">
        <v>164</v>
      </c>
      <c r="I43" s="53" t="s">
        <v>159</v>
      </c>
      <c r="J43" s="53" t="s">
        <v>38</v>
      </c>
      <c r="K43" s="53" t="s">
        <v>161</v>
      </c>
      <c r="L43" s="53">
        <v>3</v>
      </c>
      <c r="M43" s="75"/>
      <c r="N43" s="53">
        <v>1</v>
      </c>
      <c r="O43" s="53">
        <v>0.45</v>
      </c>
      <c r="P43" s="53">
        <v>0.65</v>
      </c>
      <c r="Q43" s="74">
        <f t="shared" si="3"/>
        <v>0.55000000000000004</v>
      </c>
      <c r="R43" s="53">
        <v>15</v>
      </c>
      <c r="S43" s="53">
        <v>128</v>
      </c>
      <c r="T43" s="16">
        <f t="shared" si="1"/>
        <v>27</v>
      </c>
      <c r="U43" s="53">
        <v>108</v>
      </c>
      <c r="V43" s="16">
        <f t="shared" si="2"/>
        <v>2916</v>
      </c>
      <c r="W43" s="53">
        <v>2</v>
      </c>
      <c r="X43" s="53" t="s">
        <v>46</v>
      </c>
      <c r="Y43" s="53" t="s">
        <v>84</v>
      </c>
      <c r="Z43" s="53" t="s">
        <v>90</v>
      </c>
      <c r="AA43" s="53" t="s">
        <v>50</v>
      </c>
      <c r="AB43" s="53" t="s">
        <v>158</v>
      </c>
    </row>
    <row r="44" spans="1:28" x14ac:dyDescent="0.15">
      <c r="A44" s="53" t="s">
        <v>41</v>
      </c>
      <c r="B44" s="53" t="s">
        <v>157</v>
      </c>
      <c r="C44" s="62">
        <v>2019</v>
      </c>
      <c r="D44" s="63" t="s">
        <v>188</v>
      </c>
      <c r="E44" s="53" t="s">
        <v>194</v>
      </c>
      <c r="F44" s="53" t="s">
        <v>184</v>
      </c>
      <c r="G44" s="53" t="s">
        <v>42</v>
      </c>
      <c r="H44" s="53" t="s">
        <v>164</v>
      </c>
      <c r="I44" s="53" t="s">
        <v>159</v>
      </c>
      <c r="J44" s="53" t="s">
        <v>38</v>
      </c>
      <c r="K44" s="53" t="s">
        <v>161</v>
      </c>
      <c r="L44" s="53">
        <v>1</v>
      </c>
      <c r="N44" s="53">
        <v>8</v>
      </c>
      <c r="O44" s="53">
        <v>0.85</v>
      </c>
      <c r="P44" s="53">
        <v>0.7</v>
      </c>
      <c r="Q44" s="74">
        <f t="shared" si="3"/>
        <v>0.77499999999999991</v>
      </c>
      <c r="R44" s="53">
        <v>10.4</v>
      </c>
      <c r="S44" s="53">
        <v>115</v>
      </c>
      <c r="T44" s="16">
        <f t="shared" si="1"/>
        <v>30</v>
      </c>
      <c r="U44" s="53">
        <v>540</v>
      </c>
      <c r="V44" s="16">
        <f t="shared" si="2"/>
        <v>2025</v>
      </c>
      <c r="W44" s="53">
        <v>2</v>
      </c>
      <c r="X44" s="53" t="s">
        <v>46</v>
      </c>
      <c r="Y44" s="53" t="s">
        <v>84</v>
      </c>
      <c r="Z44" s="53" t="s">
        <v>90</v>
      </c>
      <c r="AA44" s="53" t="s">
        <v>50</v>
      </c>
      <c r="AB44" s="53" t="s">
        <v>158</v>
      </c>
    </row>
    <row r="45" spans="1:28" x14ac:dyDescent="0.15">
      <c r="A45" s="53" t="s">
        <v>41</v>
      </c>
      <c r="B45" s="53" t="s">
        <v>157</v>
      </c>
      <c r="C45" s="62">
        <v>2019</v>
      </c>
      <c r="D45" s="63" t="s">
        <v>188</v>
      </c>
      <c r="E45" s="53" t="s">
        <v>194</v>
      </c>
      <c r="F45" s="53" t="s">
        <v>184</v>
      </c>
      <c r="G45" s="53" t="s">
        <v>42</v>
      </c>
      <c r="H45" s="53" t="s">
        <v>164</v>
      </c>
      <c r="I45" s="53" t="s">
        <v>159</v>
      </c>
      <c r="J45" s="53" t="s">
        <v>38</v>
      </c>
      <c r="K45" s="53" t="s">
        <v>161</v>
      </c>
      <c r="L45" s="53">
        <v>2</v>
      </c>
      <c r="M45" s="75"/>
      <c r="N45" s="53">
        <v>8</v>
      </c>
      <c r="O45" s="53">
        <v>1</v>
      </c>
      <c r="P45" s="53">
        <v>0.95</v>
      </c>
      <c r="Q45" s="74">
        <f t="shared" si="3"/>
        <v>0.97499999999999998</v>
      </c>
      <c r="R45" s="53">
        <v>11.5</v>
      </c>
      <c r="S45" s="53">
        <v>120</v>
      </c>
      <c r="T45" s="16">
        <f t="shared" si="1"/>
        <v>30</v>
      </c>
      <c r="U45" s="53">
        <v>540</v>
      </c>
      <c r="V45" s="16">
        <f t="shared" si="2"/>
        <v>2025</v>
      </c>
      <c r="W45" s="53">
        <v>2</v>
      </c>
      <c r="X45" s="53" t="s">
        <v>46</v>
      </c>
      <c r="Y45" s="53" t="s">
        <v>84</v>
      </c>
      <c r="Z45" s="53" t="s">
        <v>90</v>
      </c>
      <c r="AA45" s="53" t="s">
        <v>50</v>
      </c>
      <c r="AB45" s="53" t="s">
        <v>158</v>
      </c>
    </row>
    <row r="46" spans="1:28" x14ac:dyDescent="0.15">
      <c r="A46" s="53" t="s">
        <v>41</v>
      </c>
      <c r="B46" s="53" t="s">
        <v>157</v>
      </c>
      <c r="C46" s="62">
        <v>2019</v>
      </c>
      <c r="D46" s="63" t="s">
        <v>188</v>
      </c>
      <c r="E46" s="53" t="s">
        <v>194</v>
      </c>
      <c r="F46" s="53" t="s">
        <v>184</v>
      </c>
      <c r="G46" s="53" t="s">
        <v>42</v>
      </c>
      <c r="H46" s="53" t="s">
        <v>164</v>
      </c>
      <c r="I46" s="53" t="s">
        <v>159</v>
      </c>
      <c r="J46" s="53" t="s">
        <v>38</v>
      </c>
      <c r="K46" s="53" t="s">
        <v>161</v>
      </c>
      <c r="L46" s="53">
        <v>3</v>
      </c>
      <c r="M46" s="75"/>
      <c r="N46" s="53">
        <v>8</v>
      </c>
      <c r="O46" s="53">
        <v>0.95</v>
      </c>
      <c r="P46" s="53">
        <v>0.75</v>
      </c>
      <c r="Q46" s="74">
        <f t="shared" si="3"/>
        <v>0.85</v>
      </c>
      <c r="R46" s="53">
        <v>11.4</v>
      </c>
      <c r="S46" s="53">
        <v>120</v>
      </c>
      <c r="T46" s="16">
        <f t="shared" si="1"/>
        <v>30</v>
      </c>
      <c r="U46" s="53">
        <v>540</v>
      </c>
      <c r="V46" s="16">
        <f t="shared" si="2"/>
        <v>2025</v>
      </c>
      <c r="W46" s="53">
        <v>2</v>
      </c>
      <c r="X46" s="53" t="s">
        <v>46</v>
      </c>
      <c r="Y46" s="53" t="s">
        <v>84</v>
      </c>
      <c r="Z46" s="53" t="s">
        <v>90</v>
      </c>
      <c r="AA46" s="53" t="s">
        <v>50</v>
      </c>
      <c r="AB46" s="53" t="s">
        <v>158</v>
      </c>
    </row>
    <row r="47" spans="1:28" x14ac:dyDescent="0.15">
      <c r="A47" s="53" t="s">
        <v>41</v>
      </c>
      <c r="B47" s="53" t="s">
        <v>157</v>
      </c>
      <c r="C47" s="62">
        <v>2019</v>
      </c>
      <c r="D47" s="63" t="s">
        <v>188</v>
      </c>
      <c r="E47" s="53" t="s">
        <v>194</v>
      </c>
      <c r="F47" s="53" t="s">
        <v>196</v>
      </c>
      <c r="G47" s="53" t="s">
        <v>42</v>
      </c>
      <c r="H47" s="53" t="s">
        <v>164</v>
      </c>
      <c r="I47" s="53" t="s">
        <v>159</v>
      </c>
      <c r="J47" s="53" t="s">
        <v>38</v>
      </c>
      <c r="K47" s="53" t="s">
        <v>161</v>
      </c>
      <c r="L47" s="53">
        <v>1</v>
      </c>
      <c r="N47" s="53">
        <v>1</v>
      </c>
      <c r="O47" s="53">
        <v>0.4</v>
      </c>
      <c r="P47" s="53">
        <v>0.65</v>
      </c>
      <c r="Q47" s="74">
        <f t="shared" si="3"/>
        <v>0.52500000000000002</v>
      </c>
      <c r="R47" s="53">
        <v>14.2</v>
      </c>
      <c r="S47" s="53">
        <v>69</v>
      </c>
      <c r="T47" s="16">
        <f t="shared" si="1"/>
        <v>50</v>
      </c>
      <c r="U47" s="53">
        <v>63</v>
      </c>
      <c r="V47" s="16">
        <f t="shared" si="2"/>
        <v>3150</v>
      </c>
      <c r="W47" s="53">
        <v>2</v>
      </c>
      <c r="X47" s="53" t="s">
        <v>46</v>
      </c>
      <c r="Y47" s="53" t="s">
        <v>90</v>
      </c>
      <c r="Z47" s="53" t="s">
        <v>69</v>
      </c>
      <c r="AA47" s="53" t="s">
        <v>84</v>
      </c>
      <c r="AB47" s="53" t="s">
        <v>158</v>
      </c>
    </row>
    <row r="48" spans="1:28" x14ac:dyDescent="0.15">
      <c r="A48" s="53" t="s">
        <v>41</v>
      </c>
      <c r="B48" s="53" t="s">
        <v>157</v>
      </c>
      <c r="C48" s="62">
        <v>2019</v>
      </c>
      <c r="D48" s="63" t="s">
        <v>188</v>
      </c>
      <c r="E48" s="53" t="s">
        <v>194</v>
      </c>
      <c r="F48" s="53" t="s">
        <v>196</v>
      </c>
      <c r="G48" s="53" t="s">
        <v>42</v>
      </c>
      <c r="H48" s="53" t="s">
        <v>164</v>
      </c>
      <c r="I48" s="53" t="s">
        <v>159</v>
      </c>
      <c r="J48" s="53" t="s">
        <v>38</v>
      </c>
      <c r="K48" s="53" t="s">
        <v>161</v>
      </c>
      <c r="L48" s="53">
        <v>2</v>
      </c>
      <c r="M48" s="75"/>
      <c r="N48" s="53">
        <v>1</v>
      </c>
      <c r="O48" s="53">
        <v>0.4</v>
      </c>
      <c r="P48" s="53">
        <v>0.35</v>
      </c>
      <c r="Q48" s="74">
        <f t="shared" si="3"/>
        <v>0.375</v>
      </c>
      <c r="R48" s="53">
        <v>12.5</v>
      </c>
      <c r="S48" s="53">
        <v>70</v>
      </c>
      <c r="T48" s="16">
        <f t="shared" si="1"/>
        <v>50</v>
      </c>
      <c r="U48" s="53">
        <v>63</v>
      </c>
      <c r="V48" s="16">
        <f t="shared" si="2"/>
        <v>3150</v>
      </c>
      <c r="W48" s="53">
        <v>2</v>
      </c>
      <c r="X48" s="53" t="s">
        <v>46</v>
      </c>
      <c r="Y48" s="53" t="s">
        <v>90</v>
      </c>
      <c r="Z48" s="53" t="s">
        <v>69</v>
      </c>
      <c r="AA48" s="53" t="s">
        <v>84</v>
      </c>
      <c r="AB48" s="53" t="s">
        <v>158</v>
      </c>
    </row>
    <row r="49" spans="1:28" x14ac:dyDescent="0.15">
      <c r="A49" s="53" t="s">
        <v>41</v>
      </c>
      <c r="B49" s="53" t="s">
        <v>157</v>
      </c>
      <c r="C49" s="62">
        <v>2019</v>
      </c>
      <c r="D49" s="63" t="s">
        <v>188</v>
      </c>
      <c r="E49" s="53" t="s">
        <v>194</v>
      </c>
      <c r="F49" s="53" t="s">
        <v>196</v>
      </c>
      <c r="G49" s="53" t="s">
        <v>42</v>
      </c>
      <c r="H49" s="53" t="s">
        <v>164</v>
      </c>
      <c r="I49" s="53" t="s">
        <v>159</v>
      </c>
      <c r="J49" s="53" t="s">
        <v>38</v>
      </c>
      <c r="K49" s="53" t="s">
        <v>161</v>
      </c>
      <c r="L49" s="53">
        <v>3</v>
      </c>
      <c r="M49" s="75"/>
      <c r="N49" s="53">
        <v>1</v>
      </c>
      <c r="O49" s="53">
        <v>0.5</v>
      </c>
      <c r="P49" s="53">
        <v>0.4</v>
      </c>
      <c r="Q49" s="74">
        <f t="shared" si="3"/>
        <v>0.45</v>
      </c>
      <c r="R49" s="53">
        <v>16.2</v>
      </c>
      <c r="S49" s="53">
        <v>74</v>
      </c>
      <c r="T49" s="16">
        <f t="shared" si="1"/>
        <v>42</v>
      </c>
      <c r="U49" s="53">
        <v>63</v>
      </c>
      <c r="V49" s="16">
        <f t="shared" si="2"/>
        <v>2646</v>
      </c>
      <c r="W49" s="53">
        <v>2</v>
      </c>
      <c r="X49" s="53" t="s">
        <v>46</v>
      </c>
      <c r="Y49" s="53" t="s">
        <v>90</v>
      </c>
      <c r="Z49" s="53" t="s">
        <v>69</v>
      </c>
      <c r="AA49" s="53" t="s">
        <v>84</v>
      </c>
      <c r="AB49" s="53" t="s">
        <v>158</v>
      </c>
    </row>
    <row r="50" spans="1:28" x14ac:dyDescent="0.15">
      <c r="A50" s="53" t="s">
        <v>41</v>
      </c>
      <c r="B50" s="53" t="s">
        <v>157</v>
      </c>
      <c r="C50" s="62">
        <v>2019</v>
      </c>
      <c r="D50" s="63" t="s">
        <v>188</v>
      </c>
      <c r="E50" s="53" t="s">
        <v>194</v>
      </c>
      <c r="F50" s="53" t="s">
        <v>196</v>
      </c>
      <c r="G50" s="53" t="s">
        <v>42</v>
      </c>
      <c r="H50" s="53" t="s">
        <v>164</v>
      </c>
      <c r="I50" s="53" t="s">
        <v>159</v>
      </c>
      <c r="J50" s="53" t="s">
        <v>38</v>
      </c>
      <c r="K50" s="53" t="s">
        <v>161</v>
      </c>
      <c r="L50" s="53">
        <v>1</v>
      </c>
      <c r="N50" s="53">
        <v>4</v>
      </c>
      <c r="O50" s="53">
        <v>0.65</v>
      </c>
      <c r="P50" s="53">
        <v>0.75</v>
      </c>
      <c r="Q50" s="74">
        <f t="shared" si="3"/>
        <v>0.7</v>
      </c>
      <c r="R50" s="53">
        <v>12</v>
      </c>
      <c r="S50" s="53">
        <v>124</v>
      </c>
      <c r="T50" s="16">
        <f t="shared" si="1"/>
        <v>27</v>
      </c>
      <c r="U50" s="53">
        <v>429</v>
      </c>
      <c r="V50" s="16">
        <f t="shared" si="2"/>
        <v>2895.75</v>
      </c>
      <c r="W50" s="53">
        <v>2</v>
      </c>
      <c r="X50" s="53" t="s">
        <v>46</v>
      </c>
      <c r="Y50" s="53" t="s">
        <v>90</v>
      </c>
      <c r="Z50" s="53" t="s">
        <v>69</v>
      </c>
      <c r="AA50" s="53" t="s">
        <v>84</v>
      </c>
      <c r="AB50" s="53" t="s">
        <v>158</v>
      </c>
    </row>
    <row r="51" spans="1:28" x14ac:dyDescent="0.15">
      <c r="A51" s="53" t="s">
        <v>41</v>
      </c>
      <c r="B51" s="53" t="s">
        <v>157</v>
      </c>
      <c r="C51" s="62">
        <v>2019</v>
      </c>
      <c r="D51" s="63" t="s">
        <v>188</v>
      </c>
      <c r="E51" s="53" t="s">
        <v>194</v>
      </c>
      <c r="F51" s="53" t="s">
        <v>196</v>
      </c>
      <c r="G51" s="53" t="s">
        <v>42</v>
      </c>
      <c r="H51" s="53" t="s">
        <v>164</v>
      </c>
      <c r="I51" s="53" t="s">
        <v>159</v>
      </c>
      <c r="J51" s="53" t="s">
        <v>38</v>
      </c>
      <c r="K51" s="53" t="s">
        <v>161</v>
      </c>
      <c r="L51" s="53">
        <v>2</v>
      </c>
      <c r="M51" s="75"/>
      <c r="N51" s="53">
        <v>4</v>
      </c>
      <c r="O51" s="53">
        <v>0.7</v>
      </c>
      <c r="P51" s="53">
        <v>0.95</v>
      </c>
      <c r="Q51" s="74">
        <f t="shared" si="3"/>
        <v>0.82499999999999996</v>
      </c>
      <c r="R51" s="53">
        <v>13.5</v>
      </c>
      <c r="S51" s="53">
        <v>123</v>
      </c>
      <c r="T51" s="16">
        <f t="shared" si="1"/>
        <v>27</v>
      </c>
      <c r="U51" s="53">
        <v>429</v>
      </c>
      <c r="V51" s="16">
        <f t="shared" si="2"/>
        <v>2895.75</v>
      </c>
      <c r="W51" s="53">
        <v>2</v>
      </c>
      <c r="X51" s="53" t="s">
        <v>46</v>
      </c>
      <c r="Y51" s="53" t="s">
        <v>90</v>
      </c>
      <c r="Z51" s="53" t="s">
        <v>69</v>
      </c>
      <c r="AA51" s="53" t="s">
        <v>84</v>
      </c>
      <c r="AB51" s="53" t="s">
        <v>158</v>
      </c>
    </row>
    <row r="52" spans="1:28" x14ac:dyDescent="0.15">
      <c r="A52" s="53" t="s">
        <v>41</v>
      </c>
      <c r="B52" s="53" t="s">
        <v>157</v>
      </c>
      <c r="C52" s="62">
        <v>2019</v>
      </c>
      <c r="D52" s="63" t="s">
        <v>188</v>
      </c>
      <c r="E52" s="53" t="s">
        <v>194</v>
      </c>
      <c r="F52" s="53" t="s">
        <v>196</v>
      </c>
      <c r="G52" s="53" t="s">
        <v>42</v>
      </c>
      <c r="H52" s="53" t="s">
        <v>164</v>
      </c>
      <c r="I52" s="53" t="s">
        <v>159</v>
      </c>
      <c r="J52" s="53" t="s">
        <v>38</v>
      </c>
      <c r="K52" s="53" t="s">
        <v>161</v>
      </c>
      <c r="L52" s="53">
        <v>3</v>
      </c>
      <c r="M52" s="75"/>
      <c r="N52" s="53">
        <v>4</v>
      </c>
      <c r="O52" s="53">
        <v>0.85</v>
      </c>
      <c r="P52" s="53">
        <v>0.8</v>
      </c>
      <c r="Q52" s="74">
        <f t="shared" si="3"/>
        <v>0.82499999999999996</v>
      </c>
      <c r="R52" s="53">
        <v>12</v>
      </c>
      <c r="S52" s="53">
        <v>125</v>
      </c>
      <c r="T52" s="16">
        <f t="shared" si="1"/>
        <v>27</v>
      </c>
      <c r="U52" s="53">
        <v>429</v>
      </c>
      <c r="V52" s="16">
        <f t="shared" si="2"/>
        <v>2895.75</v>
      </c>
      <c r="W52" s="53">
        <v>2</v>
      </c>
      <c r="X52" s="53" t="s">
        <v>46</v>
      </c>
      <c r="Y52" s="53" t="s">
        <v>90</v>
      </c>
      <c r="Z52" s="53" t="s">
        <v>69</v>
      </c>
      <c r="AA52" s="53" t="s">
        <v>84</v>
      </c>
      <c r="AB52" s="53" t="s">
        <v>158</v>
      </c>
    </row>
    <row r="53" spans="1:28" x14ac:dyDescent="0.15">
      <c r="A53" s="53" t="s">
        <v>41</v>
      </c>
      <c r="B53" s="53" t="s">
        <v>157</v>
      </c>
      <c r="C53" s="62">
        <v>2019</v>
      </c>
      <c r="D53" s="63" t="s">
        <v>188</v>
      </c>
      <c r="E53" s="53" t="s">
        <v>194</v>
      </c>
      <c r="F53" s="53" t="s">
        <v>196</v>
      </c>
      <c r="G53" s="53" t="s">
        <v>42</v>
      </c>
      <c r="H53" s="53" t="s">
        <v>164</v>
      </c>
      <c r="I53" s="53" t="s">
        <v>159</v>
      </c>
      <c r="J53" s="53" t="s">
        <v>38</v>
      </c>
      <c r="K53" s="53" t="s">
        <v>161</v>
      </c>
      <c r="L53" s="53">
        <v>1</v>
      </c>
      <c r="N53" s="53">
        <v>8</v>
      </c>
      <c r="O53" s="53">
        <v>0.65</v>
      </c>
      <c r="P53" s="53">
        <v>0.75</v>
      </c>
      <c r="Q53" s="74">
        <f t="shared" si="3"/>
        <v>0.7</v>
      </c>
      <c r="R53" s="53">
        <v>11.2</v>
      </c>
      <c r="S53" s="53">
        <v>115</v>
      </c>
      <c r="T53" s="16">
        <f t="shared" si="1"/>
        <v>30</v>
      </c>
      <c r="U53" s="53">
        <v>540</v>
      </c>
      <c r="V53" s="16">
        <f t="shared" si="2"/>
        <v>2025</v>
      </c>
      <c r="W53" s="53">
        <v>2</v>
      </c>
      <c r="X53" s="53" t="s">
        <v>46</v>
      </c>
      <c r="Y53" s="53" t="s">
        <v>90</v>
      </c>
      <c r="Z53" s="53" t="s">
        <v>69</v>
      </c>
      <c r="AA53" s="53" t="s">
        <v>84</v>
      </c>
      <c r="AB53" s="53" t="s">
        <v>158</v>
      </c>
    </row>
    <row r="54" spans="1:28" x14ac:dyDescent="0.15">
      <c r="A54" s="53" t="s">
        <v>41</v>
      </c>
      <c r="B54" s="53" t="s">
        <v>157</v>
      </c>
      <c r="C54" s="62">
        <v>2019</v>
      </c>
      <c r="D54" s="63" t="s">
        <v>188</v>
      </c>
      <c r="E54" s="53" t="s">
        <v>194</v>
      </c>
      <c r="F54" s="53" t="s">
        <v>196</v>
      </c>
      <c r="G54" s="53" t="s">
        <v>42</v>
      </c>
      <c r="H54" s="53" t="s">
        <v>164</v>
      </c>
      <c r="I54" s="53" t="s">
        <v>159</v>
      </c>
      <c r="J54" s="53" t="s">
        <v>38</v>
      </c>
      <c r="K54" s="53" t="s">
        <v>161</v>
      </c>
      <c r="L54" s="53">
        <v>2</v>
      </c>
      <c r="M54" s="75"/>
      <c r="N54" s="53">
        <v>8</v>
      </c>
      <c r="O54" s="53">
        <v>0.7</v>
      </c>
      <c r="P54" s="53">
        <v>0.95</v>
      </c>
      <c r="Q54" s="74">
        <f t="shared" si="3"/>
        <v>0.82499999999999996</v>
      </c>
      <c r="R54" s="53">
        <v>13.5</v>
      </c>
      <c r="S54" s="53">
        <v>120</v>
      </c>
      <c r="T54" s="16">
        <f t="shared" si="1"/>
        <v>30</v>
      </c>
      <c r="U54" s="53">
        <v>540</v>
      </c>
      <c r="V54" s="16">
        <f t="shared" si="2"/>
        <v>2025</v>
      </c>
      <c r="W54" s="53">
        <v>2</v>
      </c>
      <c r="X54" s="53" t="s">
        <v>46</v>
      </c>
      <c r="Y54" s="53" t="s">
        <v>90</v>
      </c>
      <c r="Z54" s="53" t="s">
        <v>69</v>
      </c>
      <c r="AA54" s="53" t="s">
        <v>84</v>
      </c>
      <c r="AB54" s="53" t="s">
        <v>158</v>
      </c>
    </row>
    <row r="55" spans="1:28" x14ac:dyDescent="0.15">
      <c r="A55" s="53" t="s">
        <v>41</v>
      </c>
      <c r="B55" s="53" t="s">
        <v>157</v>
      </c>
      <c r="C55" s="62">
        <v>2019</v>
      </c>
      <c r="D55" s="63" t="s">
        <v>188</v>
      </c>
      <c r="E55" s="53" t="s">
        <v>194</v>
      </c>
      <c r="F55" s="53" t="s">
        <v>196</v>
      </c>
      <c r="G55" s="53" t="s">
        <v>42</v>
      </c>
      <c r="H55" s="53" t="s">
        <v>164</v>
      </c>
      <c r="I55" s="53" t="s">
        <v>159</v>
      </c>
      <c r="J55" s="53" t="s">
        <v>38</v>
      </c>
      <c r="K55" s="53" t="s">
        <v>161</v>
      </c>
      <c r="L55" s="53">
        <v>3</v>
      </c>
      <c r="M55" s="75"/>
      <c r="N55" s="53">
        <v>8</v>
      </c>
      <c r="O55" s="53">
        <v>0.85</v>
      </c>
      <c r="P55" s="53">
        <v>0.8</v>
      </c>
      <c r="Q55" s="74">
        <f t="shared" si="3"/>
        <v>0.82499999999999996</v>
      </c>
      <c r="R55" s="53">
        <v>12</v>
      </c>
      <c r="S55" s="53">
        <v>114</v>
      </c>
      <c r="T55" s="16">
        <f t="shared" si="1"/>
        <v>30</v>
      </c>
      <c r="U55" s="53">
        <v>540</v>
      </c>
      <c r="V55" s="16">
        <f t="shared" si="2"/>
        <v>2025</v>
      </c>
      <c r="W55" s="53">
        <v>2</v>
      </c>
      <c r="X55" s="53" t="s">
        <v>46</v>
      </c>
      <c r="Y55" s="53" t="s">
        <v>90</v>
      </c>
      <c r="Z55" s="53" t="s">
        <v>69</v>
      </c>
      <c r="AA55" s="53" t="s">
        <v>84</v>
      </c>
      <c r="AB55" s="53" t="s">
        <v>158</v>
      </c>
    </row>
    <row r="56" spans="1:28" x14ac:dyDescent="0.15">
      <c r="A56" s="53" t="s">
        <v>41</v>
      </c>
      <c r="B56" s="53" t="s">
        <v>157</v>
      </c>
      <c r="C56" s="62">
        <v>2019</v>
      </c>
      <c r="D56" s="63" t="s">
        <v>188</v>
      </c>
      <c r="E56" s="53" t="s">
        <v>194</v>
      </c>
      <c r="F56" s="53" t="s">
        <v>196</v>
      </c>
      <c r="G56" s="53" t="s">
        <v>42</v>
      </c>
      <c r="H56" s="53" t="s">
        <v>164</v>
      </c>
      <c r="I56" s="53" t="s">
        <v>159</v>
      </c>
      <c r="J56" s="53" t="s">
        <v>74</v>
      </c>
      <c r="K56" s="53" t="s">
        <v>208</v>
      </c>
      <c r="L56" s="53">
        <v>1</v>
      </c>
      <c r="N56" s="53">
        <v>1</v>
      </c>
      <c r="O56" s="53">
        <v>0.65</v>
      </c>
      <c r="P56" s="53">
        <v>0.75</v>
      </c>
      <c r="Q56" s="74">
        <f t="shared" si="3"/>
        <v>0.7</v>
      </c>
      <c r="R56" s="53">
        <v>11.2</v>
      </c>
      <c r="S56" s="53">
        <v>130</v>
      </c>
      <c r="T56" s="16">
        <f t="shared" si="1"/>
        <v>25</v>
      </c>
      <c r="U56" s="53">
        <v>107</v>
      </c>
      <c r="V56" s="16">
        <f t="shared" si="2"/>
        <v>2675</v>
      </c>
      <c r="W56" s="53">
        <v>1</v>
      </c>
      <c r="X56" s="53" t="s">
        <v>46</v>
      </c>
      <c r="Y56" s="53" t="s">
        <v>90</v>
      </c>
      <c r="Z56" s="53" t="s">
        <v>69</v>
      </c>
      <c r="AA56" s="53" t="s">
        <v>84</v>
      </c>
      <c r="AB56" s="53" t="s">
        <v>158</v>
      </c>
    </row>
    <row r="57" spans="1:28" x14ac:dyDescent="0.15">
      <c r="A57" s="53" t="s">
        <v>41</v>
      </c>
      <c r="B57" s="53" t="s">
        <v>157</v>
      </c>
      <c r="C57" s="62">
        <v>2019</v>
      </c>
      <c r="D57" s="63" t="s">
        <v>188</v>
      </c>
      <c r="E57" s="53" t="s">
        <v>194</v>
      </c>
      <c r="F57" s="53" t="s">
        <v>196</v>
      </c>
      <c r="G57" s="53" t="s">
        <v>42</v>
      </c>
      <c r="H57" s="53" t="s">
        <v>164</v>
      </c>
      <c r="I57" s="53" t="s">
        <v>159</v>
      </c>
      <c r="J57" s="53" t="s">
        <v>74</v>
      </c>
      <c r="K57" s="53" t="s">
        <v>208</v>
      </c>
      <c r="L57" s="53">
        <v>2</v>
      </c>
      <c r="M57" s="75"/>
      <c r="N57" s="53">
        <v>1</v>
      </c>
      <c r="O57" s="53">
        <v>0.7</v>
      </c>
      <c r="P57" s="53">
        <v>0.95</v>
      </c>
      <c r="Q57" s="74">
        <f t="shared" si="3"/>
        <v>0.82499999999999996</v>
      </c>
      <c r="R57" s="53">
        <v>13.5</v>
      </c>
      <c r="S57" s="53">
        <v>134</v>
      </c>
      <c r="T57" s="16">
        <f t="shared" si="1"/>
        <v>25</v>
      </c>
      <c r="U57" s="53">
        <v>107</v>
      </c>
      <c r="V57" s="16">
        <f t="shared" si="2"/>
        <v>2675</v>
      </c>
      <c r="W57" s="53">
        <v>1</v>
      </c>
      <c r="X57" s="53" t="s">
        <v>46</v>
      </c>
      <c r="Y57" s="53" t="s">
        <v>90</v>
      </c>
      <c r="Z57" s="53" t="s">
        <v>69</v>
      </c>
      <c r="AA57" s="53" t="s">
        <v>84</v>
      </c>
      <c r="AB57" s="53" t="s">
        <v>158</v>
      </c>
    </row>
    <row r="58" spans="1:28" x14ac:dyDescent="0.15">
      <c r="A58" s="53" t="s">
        <v>41</v>
      </c>
      <c r="B58" s="53" t="s">
        <v>157</v>
      </c>
      <c r="C58" s="62">
        <v>2019</v>
      </c>
      <c r="D58" s="63" t="s">
        <v>188</v>
      </c>
      <c r="E58" s="53" t="s">
        <v>194</v>
      </c>
      <c r="F58" s="53" t="s">
        <v>196</v>
      </c>
      <c r="G58" s="53" t="s">
        <v>42</v>
      </c>
      <c r="H58" s="53" t="s">
        <v>164</v>
      </c>
      <c r="I58" s="53" t="s">
        <v>159</v>
      </c>
      <c r="J58" s="53" t="s">
        <v>74</v>
      </c>
      <c r="K58" s="53" t="s">
        <v>208</v>
      </c>
      <c r="L58" s="53">
        <v>3</v>
      </c>
      <c r="M58" s="75"/>
      <c r="N58" s="53">
        <v>1</v>
      </c>
      <c r="O58" s="53">
        <v>0.85</v>
      </c>
      <c r="P58" s="53">
        <v>0.8</v>
      </c>
      <c r="Q58" s="74">
        <f t="shared" si="3"/>
        <v>0.82499999999999996</v>
      </c>
      <c r="R58" s="53">
        <v>12</v>
      </c>
      <c r="S58" s="53">
        <v>136</v>
      </c>
      <c r="T58" s="16">
        <f t="shared" si="1"/>
        <v>25</v>
      </c>
      <c r="U58" s="53">
        <v>107</v>
      </c>
      <c r="V58" s="16">
        <f t="shared" si="2"/>
        <v>2675</v>
      </c>
      <c r="W58" s="53">
        <v>1</v>
      </c>
      <c r="X58" s="53" t="s">
        <v>46</v>
      </c>
      <c r="Y58" s="53" t="s">
        <v>90</v>
      </c>
      <c r="Z58" s="53" t="s">
        <v>69</v>
      </c>
      <c r="AA58" s="53" t="s">
        <v>84</v>
      </c>
      <c r="AB58" s="53" t="s">
        <v>158</v>
      </c>
    </row>
    <row r="59" spans="1:28" x14ac:dyDescent="0.15">
      <c r="A59" s="53" t="s">
        <v>41</v>
      </c>
      <c r="B59" s="53" t="s">
        <v>157</v>
      </c>
      <c r="C59" s="62">
        <v>2019</v>
      </c>
      <c r="D59" s="63" t="s">
        <v>188</v>
      </c>
      <c r="E59" s="53" t="s">
        <v>199</v>
      </c>
      <c r="F59" s="53" t="s">
        <v>196</v>
      </c>
      <c r="G59" s="53" t="s">
        <v>42</v>
      </c>
      <c r="H59" s="53" t="s">
        <v>164</v>
      </c>
      <c r="I59" s="53" t="s">
        <v>159</v>
      </c>
      <c r="J59" s="53" t="s">
        <v>38</v>
      </c>
      <c r="K59" s="53" t="s">
        <v>161</v>
      </c>
      <c r="L59" s="53">
        <v>1</v>
      </c>
      <c r="N59" s="53">
        <v>1</v>
      </c>
      <c r="O59" s="53">
        <v>1.25</v>
      </c>
      <c r="P59" s="53">
        <v>1.3</v>
      </c>
      <c r="Q59" s="72">
        <f t="shared" si="3"/>
        <v>1.2749999999999999</v>
      </c>
      <c r="R59" s="53">
        <v>9.8000000000000007</v>
      </c>
      <c r="S59" s="53">
        <v>118</v>
      </c>
      <c r="T59" s="16">
        <f t="shared" si="1"/>
        <v>30</v>
      </c>
      <c r="U59" s="53">
        <v>105</v>
      </c>
      <c r="V59" s="16">
        <f t="shared" si="2"/>
        <v>3150</v>
      </c>
      <c r="W59" s="53">
        <v>2</v>
      </c>
      <c r="X59" s="53" t="s">
        <v>46</v>
      </c>
      <c r="Y59" s="53" t="s">
        <v>84</v>
      </c>
      <c r="Z59" s="53" t="s">
        <v>90</v>
      </c>
      <c r="AA59" s="53" t="s">
        <v>78</v>
      </c>
      <c r="AB59" s="53" t="s">
        <v>158</v>
      </c>
    </row>
    <row r="60" spans="1:28" x14ac:dyDescent="0.15">
      <c r="A60" s="53" t="s">
        <v>41</v>
      </c>
      <c r="B60" s="53" t="s">
        <v>157</v>
      </c>
      <c r="C60" s="62">
        <v>2019</v>
      </c>
      <c r="D60" s="63" t="s">
        <v>188</v>
      </c>
      <c r="E60" s="53" t="s">
        <v>199</v>
      </c>
      <c r="F60" s="53" t="s">
        <v>196</v>
      </c>
      <c r="G60" s="53" t="s">
        <v>42</v>
      </c>
      <c r="H60" s="53" t="s">
        <v>164</v>
      </c>
      <c r="I60" s="53" t="s">
        <v>159</v>
      </c>
      <c r="J60" s="53" t="s">
        <v>38</v>
      </c>
      <c r="K60" s="53" t="s">
        <v>161</v>
      </c>
      <c r="L60" s="53">
        <v>2</v>
      </c>
      <c r="M60" s="75"/>
      <c r="N60" s="53">
        <v>1</v>
      </c>
      <c r="O60" s="53">
        <v>1.3</v>
      </c>
      <c r="P60" s="53">
        <v>1</v>
      </c>
      <c r="Q60" s="72">
        <f t="shared" si="3"/>
        <v>1.1499999999999999</v>
      </c>
      <c r="R60" s="53">
        <v>10.199999999999999</v>
      </c>
      <c r="S60" s="53">
        <v>120</v>
      </c>
      <c r="T60" s="16">
        <f t="shared" si="1"/>
        <v>30</v>
      </c>
      <c r="U60" s="53">
        <v>105</v>
      </c>
      <c r="V60" s="16">
        <f t="shared" si="2"/>
        <v>3150</v>
      </c>
      <c r="W60" s="53">
        <v>2</v>
      </c>
      <c r="X60" s="53" t="s">
        <v>46</v>
      </c>
      <c r="Y60" s="53" t="s">
        <v>84</v>
      </c>
      <c r="Z60" s="53" t="s">
        <v>90</v>
      </c>
      <c r="AA60" s="53" t="s">
        <v>78</v>
      </c>
      <c r="AB60" s="53" t="s">
        <v>158</v>
      </c>
    </row>
    <row r="61" spans="1:28" x14ac:dyDescent="0.15">
      <c r="A61" s="53" t="s">
        <v>41</v>
      </c>
      <c r="B61" s="53" t="s">
        <v>157</v>
      </c>
      <c r="C61" s="62">
        <v>2019</v>
      </c>
      <c r="D61" s="63" t="s">
        <v>188</v>
      </c>
      <c r="E61" s="53" t="s">
        <v>199</v>
      </c>
      <c r="F61" s="53" t="s">
        <v>196</v>
      </c>
      <c r="G61" s="53" t="s">
        <v>42</v>
      </c>
      <c r="H61" s="53" t="s">
        <v>164</v>
      </c>
      <c r="I61" s="53" t="s">
        <v>159</v>
      </c>
      <c r="J61" s="53" t="s">
        <v>38</v>
      </c>
      <c r="K61" s="53" t="s">
        <v>161</v>
      </c>
      <c r="L61" s="53">
        <v>3</v>
      </c>
      <c r="M61" s="75"/>
      <c r="N61" s="53">
        <v>1</v>
      </c>
      <c r="O61" s="53">
        <v>1</v>
      </c>
      <c r="P61" s="53">
        <v>0.8</v>
      </c>
      <c r="Q61" s="72">
        <f t="shared" si="3"/>
        <v>0.9</v>
      </c>
      <c r="R61" s="53">
        <v>10.4</v>
      </c>
      <c r="S61" s="53">
        <v>120</v>
      </c>
      <c r="T61" s="16">
        <f t="shared" si="1"/>
        <v>30</v>
      </c>
      <c r="U61" s="53">
        <v>105</v>
      </c>
      <c r="V61" s="16">
        <f t="shared" si="2"/>
        <v>3150</v>
      </c>
      <c r="W61" s="53">
        <v>2</v>
      </c>
      <c r="X61" s="53" t="s">
        <v>46</v>
      </c>
      <c r="Y61" s="53" t="s">
        <v>84</v>
      </c>
      <c r="Z61" s="53" t="s">
        <v>90</v>
      </c>
      <c r="AA61" s="53" t="s">
        <v>78</v>
      </c>
      <c r="AB61" s="53" t="s">
        <v>158</v>
      </c>
    </row>
    <row r="62" spans="1:28" x14ac:dyDescent="0.15">
      <c r="A62" s="53" t="s">
        <v>41</v>
      </c>
      <c r="B62" s="53" t="s">
        <v>157</v>
      </c>
      <c r="C62" s="62">
        <v>2019</v>
      </c>
      <c r="D62" s="63" t="s">
        <v>188</v>
      </c>
      <c r="E62" s="53" t="s">
        <v>199</v>
      </c>
      <c r="F62" s="53" t="s">
        <v>196</v>
      </c>
      <c r="G62" s="53" t="s">
        <v>42</v>
      </c>
      <c r="H62" s="53" t="s">
        <v>164</v>
      </c>
      <c r="I62" s="53" t="s">
        <v>159</v>
      </c>
      <c r="J62" s="53" t="s">
        <v>38</v>
      </c>
      <c r="K62" s="53" t="s">
        <v>161</v>
      </c>
      <c r="L62" s="53">
        <v>1</v>
      </c>
      <c r="N62" s="53">
        <v>1</v>
      </c>
      <c r="O62" s="53">
        <v>0.8</v>
      </c>
      <c r="P62" s="53">
        <v>0.5</v>
      </c>
      <c r="Q62" s="72">
        <f t="shared" si="3"/>
        <v>0.65</v>
      </c>
      <c r="R62" s="53">
        <v>12.6</v>
      </c>
      <c r="S62" s="53">
        <v>113</v>
      </c>
      <c r="T62" s="16">
        <f t="shared" si="1"/>
        <v>30</v>
      </c>
      <c r="U62" s="53">
        <v>429</v>
      </c>
      <c r="V62" s="16">
        <f t="shared" si="2"/>
        <v>12870</v>
      </c>
      <c r="W62" s="53">
        <v>2</v>
      </c>
      <c r="X62" s="53" t="s">
        <v>46</v>
      </c>
      <c r="Y62" s="53" t="s">
        <v>84</v>
      </c>
      <c r="Z62" s="53" t="s">
        <v>90</v>
      </c>
      <c r="AA62" s="53" t="s">
        <v>78</v>
      </c>
      <c r="AB62" s="53" t="s">
        <v>158</v>
      </c>
    </row>
    <row r="63" spans="1:28" x14ac:dyDescent="0.15">
      <c r="A63" s="53" t="s">
        <v>41</v>
      </c>
      <c r="B63" s="53" t="s">
        <v>157</v>
      </c>
      <c r="C63" s="62">
        <v>2019</v>
      </c>
      <c r="D63" s="63" t="s">
        <v>188</v>
      </c>
      <c r="E63" s="53" t="s">
        <v>199</v>
      </c>
      <c r="F63" s="53" t="s">
        <v>196</v>
      </c>
      <c r="G63" s="53" t="s">
        <v>42</v>
      </c>
      <c r="H63" s="53" t="s">
        <v>164</v>
      </c>
      <c r="I63" s="53" t="s">
        <v>159</v>
      </c>
      <c r="J63" s="53" t="s">
        <v>38</v>
      </c>
      <c r="K63" s="53" t="s">
        <v>161</v>
      </c>
      <c r="L63" s="53">
        <v>2</v>
      </c>
      <c r="M63" s="75"/>
      <c r="N63" s="53">
        <v>1</v>
      </c>
      <c r="O63" s="53">
        <v>0.65</v>
      </c>
      <c r="P63" s="53">
        <v>0.65</v>
      </c>
      <c r="Q63" s="72">
        <f t="shared" si="3"/>
        <v>0.65</v>
      </c>
      <c r="R63" s="53">
        <v>13</v>
      </c>
      <c r="S63" s="53">
        <v>113</v>
      </c>
      <c r="T63" s="16">
        <f t="shared" si="1"/>
        <v>30</v>
      </c>
      <c r="U63" s="53">
        <v>429</v>
      </c>
      <c r="V63" s="16">
        <f t="shared" si="2"/>
        <v>12870</v>
      </c>
      <c r="W63" s="53">
        <v>2</v>
      </c>
      <c r="X63" s="53" t="s">
        <v>46</v>
      </c>
      <c r="Y63" s="53" t="s">
        <v>84</v>
      </c>
      <c r="Z63" s="53" t="s">
        <v>90</v>
      </c>
      <c r="AA63" s="53" t="s">
        <v>78</v>
      </c>
      <c r="AB63" s="53" t="s">
        <v>158</v>
      </c>
    </row>
    <row r="64" spans="1:28" x14ac:dyDescent="0.15">
      <c r="A64" s="53" t="s">
        <v>41</v>
      </c>
      <c r="B64" s="53" t="s">
        <v>157</v>
      </c>
      <c r="C64" s="62">
        <v>2019</v>
      </c>
      <c r="D64" s="63" t="s">
        <v>188</v>
      </c>
      <c r="E64" s="53" t="s">
        <v>199</v>
      </c>
      <c r="F64" s="53" t="s">
        <v>196</v>
      </c>
      <c r="G64" s="53" t="s">
        <v>42</v>
      </c>
      <c r="H64" s="53" t="s">
        <v>164</v>
      </c>
      <c r="I64" s="53" t="s">
        <v>159</v>
      </c>
      <c r="J64" s="53" t="s">
        <v>38</v>
      </c>
      <c r="K64" s="53" t="s">
        <v>161</v>
      </c>
      <c r="L64" s="53">
        <v>3</v>
      </c>
      <c r="M64" s="75"/>
      <c r="N64" s="53">
        <v>1</v>
      </c>
      <c r="O64" s="53">
        <v>0.5</v>
      </c>
      <c r="P64" s="53">
        <v>0.65</v>
      </c>
      <c r="Q64" s="72">
        <f t="shared" si="3"/>
        <v>0.57499999999999996</v>
      </c>
      <c r="R64" s="53">
        <v>13.4</v>
      </c>
      <c r="S64" s="53">
        <v>115</v>
      </c>
      <c r="T64" s="16">
        <f t="shared" si="1"/>
        <v>30</v>
      </c>
      <c r="U64" s="53">
        <v>429</v>
      </c>
      <c r="V64" s="16">
        <f t="shared" si="2"/>
        <v>12870</v>
      </c>
      <c r="W64" s="53">
        <v>2</v>
      </c>
      <c r="X64" s="53" t="s">
        <v>46</v>
      </c>
      <c r="Y64" s="53" t="s">
        <v>84</v>
      </c>
      <c r="Z64" s="53" t="s">
        <v>90</v>
      </c>
      <c r="AA64" s="53" t="s">
        <v>78</v>
      </c>
      <c r="AB64" s="53" t="s">
        <v>158</v>
      </c>
    </row>
    <row r="65" spans="1:34" x14ac:dyDescent="0.15">
      <c r="A65" s="53" t="s">
        <v>41</v>
      </c>
      <c r="B65" s="53" t="s">
        <v>157</v>
      </c>
      <c r="C65" s="62">
        <v>2019</v>
      </c>
      <c r="D65" s="63" t="s">
        <v>188</v>
      </c>
      <c r="E65" s="53" t="s">
        <v>202</v>
      </c>
      <c r="F65" s="53" t="s">
        <v>203</v>
      </c>
      <c r="G65" s="53" t="s">
        <v>42</v>
      </c>
      <c r="H65" s="53" t="s">
        <v>164</v>
      </c>
      <c r="I65" s="53" t="s">
        <v>159</v>
      </c>
      <c r="J65" s="53" t="s">
        <v>38</v>
      </c>
      <c r="K65" s="53" t="s">
        <v>161</v>
      </c>
      <c r="L65" s="53">
        <v>1</v>
      </c>
      <c r="N65" s="53">
        <v>1</v>
      </c>
      <c r="O65" s="53">
        <v>0.35</v>
      </c>
      <c r="P65" s="53">
        <v>0.5</v>
      </c>
      <c r="Q65" s="74">
        <f t="shared" si="3"/>
        <v>0.42499999999999999</v>
      </c>
      <c r="R65" s="53">
        <v>11.2</v>
      </c>
      <c r="S65" s="53">
        <v>128</v>
      </c>
      <c r="T65" s="16">
        <f t="shared" si="1"/>
        <v>27</v>
      </c>
      <c r="U65" s="53">
        <v>105</v>
      </c>
      <c r="V65" s="38">
        <v>3146</v>
      </c>
      <c r="W65" s="53">
        <v>2</v>
      </c>
      <c r="X65" s="53" t="s">
        <v>46</v>
      </c>
      <c r="Y65" s="53" t="s">
        <v>84</v>
      </c>
      <c r="Z65" s="53" t="s">
        <v>90</v>
      </c>
      <c r="AA65" s="53" t="s">
        <v>50</v>
      </c>
      <c r="AB65" s="53" t="s">
        <v>158</v>
      </c>
      <c r="AC65" s="75"/>
      <c r="AD65" s="75"/>
      <c r="AF65" s="75"/>
      <c r="AG65" s="75"/>
      <c r="AH65" s="75"/>
    </row>
    <row r="66" spans="1:34" x14ac:dyDescent="0.15">
      <c r="A66" s="53" t="s">
        <v>41</v>
      </c>
      <c r="B66" s="53" t="s">
        <v>157</v>
      </c>
      <c r="C66" s="62">
        <v>2019</v>
      </c>
      <c r="D66" s="63" t="s">
        <v>188</v>
      </c>
      <c r="E66" s="53" t="s">
        <v>202</v>
      </c>
      <c r="F66" s="53" t="s">
        <v>203</v>
      </c>
      <c r="G66" s="53" t="s">
        <v>42</v>
      </c>
      <c r="H66" s="53" t="s">
        <v>164</v>
      </c>
      <c r="I66" s="53" t="s">
        <v>159</v>
      </c>
      <c r="J66" s="53" t="s">
        <v>38</v>
      </c>
      <c r="K66" s="53" t="s">
        <v>161</v>
      </c>
      <c r="L66" s="53">
        <v>2</v>
      </c>
      <c r="N66" s="53">
        <v>1</v>
      </c>
      <c r="O66" s="53">
        <v>0.45</v>
      </c>
      <c r="P66" s="53">
        <v>0.55000000000000004</v>
      </c>
      <c r="Q66" s="74">
        <f t="shared" si="3"/>
        <v>0.5</v>
      </c>
      <c r="R66" s="53">
        <v>13.5</v>
      </c>
      <c r="S66" s="53">
        <v>129</v>
      </c>
      <c r="T66" s="16">
        <f t="shared" ref="T66:T104" si="4">IF(H66="","",IF(OR(H66="GREEN",H66="GK"),IF(S66&gt;=$AX$2,VLOOKUP(S66,$AX$2:$AY$10,2,1),""),IF(S66&gt;=$AZ$2,VLOOKUP(S66,$AZ$2:$BA$10,2,1),"")))</f>
        <v>25</v>
      </c>
      <c r="U66" s="53">
        <v>105</v>
      </c>
      <c r="V66" s="38">
        <v>3146</v>
      </c>
      <c r="W66" s="53">
        <v>2</v>
      </c>
      <c r="X66" s="53" t="s">
        <v>46</v>
      </c>
      <c r="Y66" s="53" t="s">
        <v>84</v>
      </c>
      <c r="Z66" s="53" t="s">
        <v>90</v>
      </c>
      <c r="AA66" s="53" t="s">
        <v>50</v>
      </c>
      <c r="AB66" s="53" t="s">
        <v>158</v>
      </c>
      <c r="AC66" s="75"/>
      <c r="AD66" s="75"/>
      <c r="AF66" s="75"/>
      <c r="AG66" s="75"/>
      <c r="AH66" s="75"/>
    </row>
    <row r="67" spans="1:34" x14ac:dyDescent="0.15">
      <c r="A67" s="53" t="s">
        <v>41</v>
      </c>
      <c r="B67" s="53" t="s">
        <v>157</v>
      </c>
      <c r="C67" s="62">
        <v>2019</v>
      </c>
      <c r="D67" s="63" t="s">
        <v>188</v>
      </c>
      <c r="E67" s="53" t="s">
        <v>202</v>
      </c>
      <c r="F67" s="53" t="s">
        <v>203</v>
      </c>
      <c r="G67" s="53" t="s">
        <v>42</v>
      </c>
      <c r="H67" s="53" t="s">
        <v>164</v>
      </c>
      <c r="I67" s="53" t="s">
        <v>159</v>
      </c>
      <c r="J67" s="53" t="s">
        <v>38</v>
      </c>
      <c r="K67" s="53" t="s">
        <v>161</v>
      </c>
      <c r="L67" s="53">
        <v>3</v>
      </c>
      <c r="N67" s="53">
        <v>1</v>
      </c>
      <c r="O67" s="53">
        <v>0.5</v>
      </c>
      <c r="P67" s="53">
        <v>0.65</v>
      </c>
      <c r="Q67" s="74">
        <f t="shared" si="3"/>
        <v>0.57499999999999996</v>
      </c>
      <c r="R67" s="53">
        <v>12.1</v>
      </c>
      <c r="S67" s="53">
        <v>132</v>
      </c>
      <c r="T67" s="16">
        <f t="shared" si="4"/>
        <v>25</v>
      </c>
      <c r="U67" s="53">
        <v>105</v>
      </c>
      <c r="V67" s="38">
        <v>3146</v>
      </c>
      <c r="W67" s="53">
        <v>2</v>
      </c>
      <c r="X67" s="53" t="s">
        <v>46</v>
      </c>
      <c r="Y67" s="53" t="s">
        <v>84</v>
      </c>
      <c r="Z67" s="53" t="s">
        <v>90</v>
      </c>
      <c r="AA67" s="53" t="s">
        <v>50</v>
      </c>
      <c r="AB67" s="53" t="s">
        <v>158</v>
      </c>
      <c r="AC67" s="75"/>
      <c r="AD67" s="75"/>
      <c r="AF67" s="75"/>
      <c r="AG67" s="75"/>
      <c r="AH67" s="75"/>
    </row>
    <row r="68" spans="1:34" x14ac:dyDescent="0.15">
      <c r="A68" s="53" t="s">
        <v>41</v>
      </c>
      <c r="B68" s="53" t="s">
        <v>157</v>
      </c>
      <c r="C68" s="62">
        <v>2019</v>
      </c>
      <c r="D68" s="63" t="s">
        <v>188</v>
      </c>
      <c r="E68" s="53" t="s">
        <v>202</v>
      </c>
      <c r="F68" s="53" t="s">
        <v>203</v>
      </c>
      <c r="G68" s="53" t="s">
        <v>42</v>
      </c>
      <c r="H68" s="53" t="s">
        <v>164</v>
      </c>
      <c r="I68" s="53" t="s">
        <v>159</v>
      </c>
      <c r="J68" s="53" t="s">
        <v>38</v>
      </c>
      <c r="K68" s="53" t="s">
        <v>161</v>
      </c>
      <c r="L68" s="53">
        <v>1</v>
      </c>
      <c r="N68" s="53">
        <v>6</v>
      </c>
      <c r="O68" s="53">
        <v>0.7</v>
      </c>
      <c r="P68" s="53">
        <v>0.8</v>
      </c>
      <c r="Q68" s="74">
        <f t="shared" si="3"/>
        <v>0.75</v>
      </c>
      <c r="R68" s="53">
        <v>11.7</v>
      </c>
      <c r="S68" s="53">
        <v>114</v>
      </c>
      <c r="T68" s="16">
        <f t="shared" si="4"/>
        <v>30</v>
      </c>
      <c r="U68" s="53">
        <v>429</v>
      </c>
      <c r="V68" s="38">
        <v>3670</v>
      </c>
      <c r="W68" s="53">
        <v>1</v>
      </c>
      <c r="X68" s="53" t="s">
        <v>46</v>
      </c>
      <c r="Y68" s="53" t="s">
        <v>84</v>
      </c>
      <c r="Z68" s="53" t="s">
        <v>90</v>
      </c>
      <c r="AA68" s="53" t="s">
        <v>50</v>
      </c>
      <c r="AB68" s="53" t="s">
        <v>158</v>
      </c>
      <c r="AC68" s="75"/>
      <c r="AD68" s="75"/>
      <c r="AF68" s="75"/>
      <c r="AG68" s="75"/>
      <c r="AH68" s="75"/>
    </row>
    <row r="69" spans="1:34" x14ac:dyDescent="0.15">
      <c r="A69" s="53" t="s">
        <v>41</v>
      </c>
      <c r="B69" s="53" t="s">
        <v>157</v>
      </c>
      <c r="C69" s="62">
        <v>2019</v>
      </c>
      <c r="D69" s="63" t="s">
        <v>188</v>
      </c>
      <c r="E69" s="53" t="s">
        <v>202</v>
      </c>
      <c r="F69" s="53" t="s">
        <v>203</v>
      </c>
      <c r="G69" s="53" t="s">
        <v>42</v>
      </c>
      <c r="H69" s="53" t="s">
        <v>164</v>
      </c>
      <c r="I69" s="53" t="s">
        <v>159</v>
      </c>
      <c r="J69" s="53" t="s">
        <v>38</v>
      </c>
      <c r="K69" s="53" t="s">
        <v>161</v>
      </c>
      <c r="L69" s="53">
        <v>2</v>
      </c>
      <c r="N69" s="53">
        <v>6</v>
      </c>
      <c r="O69" s="53">
        <v>0.65</v>
      </c>
      <c r="P69" s="53">
        <v>0.65</v>
      </c>
      <c r="Q69" s="74">
        <f t="shared" si="3"/>
        <v>0.65</v>
      </c>
      <c r="R69" s="53">
        <v>13.4</v>
      </c>
      <c r="S69" s="53">
        <v>112</v>
      </c>
      <c r="T69" s="16">
        <f t="shared" si="4"/>
        <v>33</v>
      </c>
      <c r="U69" s="53">
        <v>429</v>
      </c>
      <c r="V69" s="38">
        <v>3303</v>
      </c>
      <c r="W69" s="53">
        <v>1</v>
      </c>
      <c r="X69" s="53" t="s">
        <v>46</v>
      </c>
      <c r="Y69" s="53" t="s">
        <v>84</v>
      </c>
      <c r="Z69" s="53" t="s">
        <v>90</v>
      </c>
      <c r="AA69" s="53" t="s">
        <v>50</v>
      </c>
      <c r="AB69" s="53" t="s">
        <v>158</v>
      </c>
      <c r="AC69" s="75"/>
      <c r="AD69" s="75"/>
      <c r="AF69" s="75"/>
      <c r="AG69" s="75"/>
      <c r="AH69" s="75"/>
    </row>
    <row r="70" spans="1:34" x14ac:dyDescent="0.15">
      <c r="A70" s="53" t="s">
        <v>41</v>
      </c>
      <c r="B70" s="53" t="s">
        <v>157</v>
      </c>
      <c r="C70" s="62">
        <v>2019</v>
      </c>
      <c r="D70" s="63" t="s">
        <v>188</v>
      </c>
      <c r="E70" s="53" t="s">
        <v>202</v>
      </c>
      <c r="F70" s="53" t="s">
        <v>203</v>
      </c>
      <c r="G70" s="53" t="s">
        <v>42</v>
      </c>
      <c r="H70" s="53" t="s">
        <v>164</v>
      </c>
      <c r="I70" s="53" t="s">
        <v>159</v>
      </c>
      <c r="J70" s="53" t="s">
        <v>38</v>
      </c>
      <c r="K70" s="53" t="s">
        <v>161</v>
      </c>
      <c r="L70" s="53">
        <v>3</v>
      </c>
      <c r="N70" s="53">
        <v>6</v>
      </c>
      <c r="O70" s="53">
        <v>0.65</v>
      </c>
      <c r="P70" s="53">
        <v>0.7</v>
      </c>
      <c r="Q70" s="74">
        <f t="shared" si="3"/>
        <v>0.67500000000000004</v>
      </c>
      <c r="R70" s="53">
        <v>10.5</v>
      </c>
      <c r="S70" s="53">
        <v>111</v>
      </c>
      <c r="T70" s="16">
        <f t="shared" si="4"/>
        <v>33</v>
      </c>
      <c r="U70" s="53">
        <v>429</v>
      </c>
      <c r="V70" s="38">
        <v>3670</v>
      </c>
      <c r="W70" s="53">
        <v>1</v>
      </c>
      <c r="X70" s="53" t="s">
        <v>46</v>
      </c>
      <c r="Y70" s="53" t="s">
        <v>84</v>
      </c>
      <c r="Z70" s="53" t="s">
        <v>90</v>
      </c>
      <c r="AA70" s="53" t="s">
        <v>50</v>
      </c>
      <c r="AB70" s="53" t="s">
        <v>158</v>
      </c>
      <c r="AC70" s="75"/>
      <c r="AD70" s="75"/>
      <c r="AF70" s="75"/>
      <c r="AG70" s="75"/>
      <c r="AH70" s="75"/>
    </row>
    <row r="71" spans="1:34" x14ac:dyDescent="0.15">
      <c r="A71" s="53" t="s">
        <v>41</v>
      </c>
      <c r="B71" s="53" t="s">
        <v>157</v>
      </c>
      <c r="C71" s="62">
        <v>2019</v>
      </c>
      <c r="D71" s="63" t="s">
        <v>188</v>
      </c>
      <c r="E71" s="53" t="s">
        <v>202</v>
      </c>
      <c r="F71" s="53" t="s">
        <v>203</v>
      </c>
      <c r="G71" s="53" t="s">
        <v>42</v>
      </c>
      <c r="H71" s="53" t="s">
        <v>187</v>
      </c>
      <c r="I71" s="53" t="s">
        <v>159</v>
      </c>
      <c r="J71" s="53" t="s">
        <v>80</v>
      </c>
      <c r="K71" s="53" t="s">
        <v>63</v>
      </c>
      <c r="L71" s="53">
        <v>1</v>
      </c>
      <c r="N71" s="53">
        <v>5</v>
      </c>
      <c r="O71" s="53">
        <v>0.6</v>
      </c>
      <c r="P71" s="53">
        <v>0.65</v>
      </c>
      <c r="Q71" s="74">
        <f t="shared" si="3"/>
        <v>0.625</v>
      </c>
      <c r="R71" s="53">
        <v>13.8</v>
      </c>
      <c r="S71" s="53">
        <v>71</v>
      </c>
      <c r="T71" s="16">
        <f t="shared" si="4"/>
        <v>42</v>
      </c>
      <c r="U71" s="53">
        <v>429</v>
      </c>
      <c r="V71" s="38">
        <v>3670</v>
      </c>
      <c r="W71" s="53">
        <v>1</v>
      </c>
      <c r="X71" s="53" t="s">
        <v>46</v>
      </c>
      <c r="Y71" s="53" t="s">
        <v>84</v>
      </c>
      <c r="Z71" s="53" t="s">
        <v>90</v>
      </c>
      <c r="AA71" s="53" t="s">
        <v>50</v>
      </c>
      <c r="AB71" s="53" t="s">
        <v>158</v>
      </c>
      <c r="AC71" s="75"/>
      <c r="AD71" s="75"/>
      <c r="AF71" s="75"/>
      <c r="AG71" s="75"/>
      <c r="AH71" s="75"/>
    </row>
    <row r="72" spans="1:34" x14ac:dyDescent="0.15">
      <c r="A72" s="53" t="s">
        <v>41</v>
      </c>
      <c r="B72" s="53" t="s">
        <v>157</v>
      </c>
      <c r="C72" s="62">
        <v>2019</v>
      </c>
      <c r="D72" s="63" t="s">
        <v>188</v>
      </c>
      <c r="E72" s="53" t="s">
        <v>202</v>
      </c>
      <c r="F72" s="53" t="s">
        <v>203</v>
      </c>
      <c r="G72" s="53" t="s">
        <v>42</v>
      </c>
      <c r="H72" s="53" t="s">
        <v>187</v>
      </c>
      <c r="I72" s="53" t="s">
        <v>159</v>
      </c>
      <c r="J72" s="53" t="s">
        <v>80</v>
      </c>
      <c r="K72" s="53" t="s">
        <v>63</v>
      </c>
      <c r="L72" s="53">
        <v>2</v>
      </c>
      <c r="N72" s="53">
        <v>5</v>
      </c>
      <c r="O72" s="53">
        <v>0.75</v>
      </c>
      <c r="P72" s="53">
        <v>0.5</v>
      </c>
      <c r="Q72" s="74">
        <f t="shared" si="3"/>
        <v>0.625</v>
      </c>
      <c r="R72" s="53">
        <v>14</v>
      </c>
      <c r="S72" s="53">
        <v>65</v>
      </c>
      <c r="T72" s="16">
        <f t="shared" si="4"/>
        <v>50</v>
      </c>
      <c r="U72" s="53">
        <v>429</v>
      </c>
      <c r="V72" s="38">
        <v>3303</v>
      </c>
      <c r="W72" s="53">
        <v>1</v>
      </c>
      <c r="X72" s="53" t="s">
        <v>46</v>
      </c>
      <c r="Y72" s="53" t="s">
        <v>84</v>
      </c>
      <c r="Z72" s="53" t="s">
        <v>90</v>
      </c>
      <c r="AA72" s="53" t="s">
        <v>50</v>
      </c>
      <c r="AB72" s="53" t="s">
        <v>158</v>
      </c>
      <c r="AC72" s="75"/>
      <c r="AD72" s="75"/>
      <c r="AF72" s="75"/>
      <c r="AG72" s="75"/>
      <c r="AH72" s="75"/>
    </row>
    <row r="73" spans="1:34" x14ac:dyDescent="0.15">
      <c r="A73" s="53" t="s">
        <v>41</v>
      </c>
      <c r="B73" s="53" t="s">
        <v>157</v>
      </c>
      <c r="C73" s="62">
        <v>2019</v>
      </c>
      <c r="D73" s="63" t="s">
        <v>188</v>
      </c>
      <c r="E73" s="53" t="s">
        <v>202</v>
      </c>
      <c r="F73" s="53" t="s">
        <v>203</v>
      </c>
      <c r="G73" s="53" t="s">
        <v>42</v>
      </c>
      <c r="H73" s="53" t="s">
        <v>187</v>
      </c>
      <c r="I73" s="53" t="s">
        <v>159</v>
      </c>
      <c r="J73" s="53" t="s">
        <v>80</v>
      </c>
      <c r="K73" s="53" t="s">
        <v>63</v>
      </c>
      <c r="L73" s="53">
        <v>3</v>
      </c>
      <c r="N73" s="53">
        <v>5</v>
      </c>
      <c r="O73" s="53">
        <v>0.5</v>
      </c>
      <c r="P73" s="53">
        <v>0.7</v>
      </c>
      <c r="Q73" s="74">
        <f t="shared" si="3"/>
        <v>0.6</v>
      </c>
      <c r="R73" s="53">
        <v>11.7</v>
      </c>
      <c r="S73" s="53">
        <v>62</v>
      </c>
      <c r="T73" s="16">
        <f t="shared" si="4"/>
        <v>50</v>
      </c>
      <c r="U73" s="53">
        <v>429</v>
      </c>
      <c r="V73" s="38">
        <v>3670</v>
      </c>
      <c r="W73" s="53">
        <v>1</v>
      </c>
      <c r="X73" s="53" t="s">
        <v>46</v>
      </c>
      <c r="Y73" s="53" t="s">
        <v>84</v>
      </c>
      <c r="Z73" s="53" t="s">
        <v>90</v>
      </c>
      <c r="AA73" s="53" t="s">
        <v>50</v>
      </c>
      <c r="AB73" s="53" t="s">
        <v>158</v>
      </c>
      <c r="AC73" s="75"/>
      <c r="AD73" s="75"/>
      <c r="AF73" s="75"/>
      <c r="AG73" s="75"/>
      <c r="AH73" s="75"/>
    </row>
    <row r="74" spans="1:34" x14ac:dyDescent="0.15">
      <c r="A74" s="53" t="s">
        <v>41</v>
      </c>
      <c r="B74" s="53" t="s">
        <v>157</v>
      </c>
      <c r="C74" s="62">
        <v>2019</v>
      </c>
      <c r="D74" s="63" t="s">
        <v>188</v>
      </c>
      <c r="E74" s="53" t="s">
        <v>202</v>
      </c>
      <c r="F74" s="53" t="s">
        <v>209</v>
      </c>
      <c r="G74" s="53" t="s">
        <v>42</v>
      </c>
      <c r="H74" s="53" t="s">
        <v>164</v>
      </c>
      <c r="I74" s="53" t="s">
        <v>159</v>
      </c>
      <c r="J74" s="53" t="s">
        <v>38</v>
      </c>
      <c r="K74" s="53" t="s">
        <v>161</v>
      </c>
      <c r="L74" s="53">
        <v>1</v>
      </c>
      <c r="N74" s="53">
        <v>1</v>
      </c>
      <c r="O74" s="53">
        <v>0.45</v>
      </c>
      <c r="P74" s="53">
        <v>0.4</v>
      </c>
      <c r="Q74" s="16">
        <f t="shared" si="3"/>
        <v>0.42500000000000004</v>
      </c>
      <c r="R74" s="53">
        <v>13.4</v>
      </c>
      <c r="S74" s="53">
        <v>132</v>
      </c>
      <c r="T74" s="16">
        <f t="shared" si="4"/>
        <v>25</v>
      </c>
      <c r="U74" s="53">
        <v>95</v>
      </c>
      <c r="V74" s="38">
        <f t="shared" ref="V74:V97" si="5">IF(OR(N74="",U74="",T74=""),"",U74/N74*T74)</f>
        <v>2375</v>
      </c>
      <c r="W74" s="53">
        <v>2</v>
      </c>
      <c r="X74" s="53" t="s">
        <v>46</v>
      </c>
      <c r="Y74" s="53" t="s">
        <v>84</v>
      </c>
      <c r="Z74" s="53" t="s">
        <v>90</v>
      </c>
      <c r="AA74" s="53" t="s">
        <v>50</v>
      </c>
      <c r="AB74" s="53" t="s">
        <v>158</v>
      </c>
      <c r="AC74" s="75"/>
      <c r="AD74" s="75"/>
      <c r="AF74" s="75"/>
      <c r="AG74" s="75"/>
      <c r="AH74" s="75"/>
    </row>
    <row r="75" spans="1:34" x14ac:dyDescent="0.15">
      <c r="A75" s="53" t="s">
        <v>41</v>
      </c>
      <c r="B75" s="53" t="s">
        <v>157</v>
      </c>
      <c r="C75" s="62">
        <v>2019</v>
      </c>
      <c r="D75" s="63" t="s">
        <v>188</v>
      </c>
      <c r="E75" s="53" t="s">
        <v>202</v>
      </c>
      <c r="F75" s="53" t="s">
        <v>209</v>
      </c>
      <c r="G75" s="53" t="s">
        <v>42</v>
      </c>
      <c r="H75" s="53" t="s">
        <v>164</v>
      </c>
      <c r="I75" s="53" t="s">
        <v>159</v>
      </c>
      <c r="J75" s="53" t="s">
        <v>38</v>
      </c>
      <c r="K75" s="53" t="s">
        <v>161</v>
      </c>
      <c r="L75" s="53">
        <v>2</v>
      </c>
      <c r="N75" s="53">
        <v>1</v>
      </c>
      <c r="O75" s="53">
        <v>0.5</v>
      </c>
      <c r="P75" s="53">
        <v>0.45</v>
      </c>
      <c r="Q75" s="16">
        <f t="shared" si="3"/>
        <v>0.47499999999999998</v>
      </c>
      <c r="R75" s="53">
        <v>12.1</v>
      </c>
      <c r="S75" s="53">
        <v>130</v>
      </c>
      <c r="T75" s="16">
        <f t="shared" si="4"/>
        <v>25</v>
      </c>
      <c r="U75" s="53">
        <v>95</v>
      </c>
      <c r="V75" s="38">
        <f t="shared" si="5"/>
        <v>2375</v>
      </c>
      <c r="W75" s="53">
        <v>2</v>
      </c>
      <c r="X75" s="53" t="s">
        <v>46</v>
      </c>
      <c r="Y75" s="53" t="s">
        <v>84</v>
      </c>
      <c r="Z75" s="53" t="s">
        <v>90</v>
      </c>
      <c r="AA75" s="53" t="s">
        <v>50</v>
      </c>
      <c r="AB75" s="53" t="s">
        <v>158</v>
      </c>
      <c r="AC75" s="75"/>
      <c r="AD75" s="75"/>
      <c r="AF75" s="75"/>
      <c r="AG75" s="75"/>
      <c r="AH75" s="75"/>
    </row>
    <row r="76" spans="1:34" x14ac:dyDescent="0.15">
      <c r="A76" s="53" t="s">
        <v>41</v>
      </c>
      <c r="B76" s="53" t="s">
        <v>157</v>
      </c>
      <c r="C76" s="62">
        <v>2019</v>
      </c>
      <c r="D76" s="63" t="s">
        <v>188</v>
      </c>
      <c r="E76" s="53" t="s">
        <v>202</v>
      </c>
      <c r="F76" s="53" t="s">
        <v>209</v>
      </c>
      <c r="G76" s="53" t="s">
        <v>42</v>
      </c>
      <c r="H76" s="53" t="s">
        <v>164</v>
      </c>
      <c r="I76" s="53" t="s">
        <v>159</v>
      </c>
      <c r="J76" s="53" t="s">
        <v>38</v>
      </c>
      <c r="K76" s="53" t="s">
        <v>161</v>
      </c>
      <c r="L76" s="53">
        <v>3</v>
      </c>
      <c r="N76" s="53">
        <v>1</v>
      </c>
      <c r="O76" s="53">
        <v>0.35</v>
      </c>
      <c r="P76" s="53">
        <v>0.25</v>
      </c>
      <c r="Q76" s="16">
        <f t="shared" si="3"/>
        <v>0.3</v>
      </c>
      <c r="R76" s="53">
        <v>10.5</v>
      </c>
      <c r="S76" s="53">
        <v>129</v>
      </c>
      <c r="T76" s="16">
        <f t="shared" si="4"/>
        <v>25</v>
      </c>
      <c r="U76" s="53">
        <v>95</v>
      </c>
      <c r="V76" s="38">
        <f t="shared" si="5"/>
        <v>2375</v>
      </c>
      <c r="W76" s="53">
        <v>2</v>
      </c>
      <c r="X76" s="53" t="s">
        <v>46</v>
      </c>
      <c r="Y76" s="53" t="s">
        <v>84</v>
      </c>
      <c r="Z76" s="53" t="s">
        <v>90</v>
      </c>
      <c r="AA76" s="53" t="s">
        <v>50</v>
      </c>
      <c r="AB76" s="53" t="s">
        <v>158</v>
      </c>
      <c r="AC76" s="75"/>
      <c r="AD76" s="75"/>
      <c r="AF76" s="75"/>
      <c r="AG76" s="75"/>
      <c r="AH76" s="75"/>
    </row>
    <row r="77" spans="1:34" x14ac:dyDescent="0.15">
      <c r="A77" s="53" t="s">
        <v>41</v>
      </c>
      <c r="B77" s="53" t="s">
        <v>157</v>
      </c>
      <c r="C77" s="62">
        <v>2019</v>
      </c>
      <c r="D77" s="63" t="s">
        <v>188</v>
      </c>
      <c r="E77" s="53" t="s">
        <v>202</v>
      </c>
      <c r="F77" s="53" t="s">
        <v>209</v>
      </c>
      <c r="G77" s="53" t="s">
        <v>42</v>
      </c>
      <c r="H77" s="53" t="s">
        <v>164</v>
      </c>
      <c r="I77" s="53" t="s">
        <v>159</v>
      </c>
      <c r="J77" s="53" t="s">
        <v>38</v>
      </c>
      <c r="K77" s="53" t="s">
        <v>161</v>
      </c>
      <c r="L77" s="53">
        <v>1</v>
      </c>
      <c r="N77" s="53">
        <v>6</v>
      </c>
      <c r="O77" s="53">
        <v>1</v>
      </c>
      <c r="P77" s="53">
        <v>0.95</v>
      </c>
      <c r="Q77" s="16">
        <f t="shared" si="3"/>
        <v>0.97499999999999998</v>
      </c>
      <c r="R77" s="53">
        <v>12.2</v>
      </c>
      <c r="S77" s="53">
        <v>114</v>
      </c>
      <c r="T77" s="16">
        <f t="shared" si="4"/>
        <v>30</v>
      </c>
      <c r="U77" s="53">
        <v>538</v>
      </c>
      <c r="V77" s="16">
        <f t="shared" si="5"/>
        <v>2690</v>
      </c>
      <c r="W77" s="53">
        <v>1</v>
      </c>
      <c r="X77" s="53" t="s">
        <v>46</v>
      </c>
      <c r="Y77" s="53" t="s">
        <v>84</v>
      </c>
      <c r="Z77" s="53" t="s">
        <v>90</v>
      </c>
      <c r="AA77" s="53" t="s">
        <v>50</v>
      </c>
      <c r="AB77" s="53" t="s">
        <v>158</v>
      </c>
      <c r="AC77" s="75"/>
      <c r="AD77" s="75"/>
      <c r="AF77" s="75"/>
      <c r="AG77" s="75"/>
      <c r="AH77" s="75"/>
    </row>
    <row r="78" spans="1:34" x14ac:dyDescent="0.15">
      <c r="A78" s="53" t="s">
        <v>41</v>
      </c>
      <c r="B78" s="53" t="s">
        <v>157</v>
      </c>
      <c r="C78" s="62">
        <v>2019</v>
      </c>
      <c r="D78" s="63" t="s">
        <v>188</v>
      </c>
      <c r="E78" s="53" t="s">
        <v>202</v>
      </c>
      <c r="F78" s="53" t="s">
        <v>209</v>
      </c>
      <c r="G78" s="53" t="s">
        <v>42</v>
      </c>
      <c r="H78" s="53" t="s">
        <v>164</v>
      </c>
      <c r="I78" s="53" t="s">
        <v>159</v>
      </c>
      <c r="J78" s="53" t="s">
        <v>38</v>
      </c>
      <c r="K78" s="53" t="s">
        <v>161</v>
      </c>
      <c r="L78" s="53">
        <v>2</v>
      </c>
      <c r="N78" s="53">
        <v>6</v>
      </c>
      <c r="O78" s="53">
        <v>0.95</v>
      </c>
      <c r="P78" s="53">
        <v>1.1000000000000001</v>
      </c>
      <c r="Q78" s="16">
        <f t="shared" si="3"/>
        <v>1.0249999999999999</v>
      </c>
      <c r="R78" s="53">
        <v>14.2</v>
      </c>
      <c r="S78" s="53">
        <v>115</v>
      </c>
      <c r="T78" s="16">
        <f t="shared" si="4"/>
        <v>30</v>
      </c>
      <c r="U78" s="53">
        <v>538</v>
      </c>
      <c r="V78" s="16">
        <f t="shared" si="5"/>
        <v>2690</v>
      </c>
      <c r="W78" s="53">
        <v>1</v>
      </c>
      <c r="X78" s="53" t="s">
        <v>46</v>
      </c>
      <c r="Y78" s="53" t="s">
        <v>84</v>
      </c>
      <c r="Z78" s="53" t="s">
        <v>90</v>
      </c>
      <c r="AA78" s="53" t="s">
        <v>50</v>
      </c>
      <c r="AB78" s="53" t="s">
        <v>158</v>
      </c>
      <c r="AC78" s="75"/>
      <c r="AD78" s="75"/>
      <c r="AF78" s="75"/>
      <c r="AG78" s="75"/>
      <c r="AH78" s="75"/>
    </row>
    <row r="79" spans="1:34" x14ac:dyDescent="0.15">
      <c r="A79" s="53" t="s">
        <v>41</v>
      </c>
      <c r="B79" s="53" t="s">
        <v>157</v>
      </c>
      <c r="C79" s="62">
        <v>2019</v>
      </c>
      <c r="D79" s="63" t="s">
        <v>188</v>
      </c>
      <c r="E79" s="53" t="s">
        <v>202</v>
      </c>
      <c r="F79" s="53" t="s">
        <v>209</v>
      </c>
      <c r="G79" s="53" t="s">
        <v>42</v>
      </c>
      <c r="H79" s="53" t="s">
        <v>164</v>
      </c>
      <c r="I79" s="53" t="s">
        <v>159</v>
      </c>
      <c r="J79" s="53" t="s">
        <v>38</v>
      </c>
      <c r="K79" s="53" t="s">
        <v>161</v>
      </c>
      <c r="L79" s="53">
        <v>3</v>
      </c>
      <c r="N79" s="53">
        <v>6</v>
      </c>
      <c r="O79" s="53">
        <v>0.95</v>
      </c>
      <c r="P79" s="53">
        <v>1</v>
      </c>
      <c r="Q79" s="16">
        <f t="shared" si="3"/>
        <v>0.97499999999999998</v>
      </c>
      <c r="R79" s="53">
        <v>15.6</v>
      </c>
      <c r="S79" s="53">
        <v>115</v>
      </c>
      <c r="T79" s="16">
        <f t="shared" si="4"/>
        <v>30</v>
      </c>
      <c r="U79" s="53">
        <v>538</v>
      </c>
      <c r="V79" s="16">
        <f t="shared" si="5"/>
        <v>2690</v>
      </c>
      <c r="W79" s="53">
        <v>1</v>
      </c>
      <c r="X79" s="53" t="s">
        <v>46</v>
      </c>
      <c r="Y79" s="53" t="s">
        <v>84</v>
      </c>
      <c r="Z79" s="53" t="s">
        <v>90</v>
      </c>
      <c r="AA79" s="53" t="s">
        <v>50</v>
      </c>
      <c r="AB79" s="53" t="s">
        <v>158</v>
      </c>
      <c r="AC79" s="75"/>
      <c r="AD79" s="75"/>
      <c r="AF79" s="75"/>
      <c r="AG79" s="75"/>
      <c r="AH79" s="75"/>
    </row>
    <row r="80" spans="1:34" x14ac:dyDescent="0.15">
      <c r="A80" s="53" t="s">
        <v>41</v>
      </c>
      <c r="B80" s="53" t="s">
        <v>157</v>
      </c>
      <c r="C80" s="62">
        <v>2019</v>
      </c>
      <c r="D80" s="63" t="s">
        <v>188</v>
      </c>
      <c r="E80" s="53" t="s">
        <v>202</v>
      </c>
      <c r="F80" s="53" t="s">
        <v>209</v>
      </c>
      <c r="G80" s="53" t="s">
        <v>42</v>
      </c>
      <c r="H80" s="53" t="s">
        <v>187</v>
      </c>
      <c r="I80" s="53" t="s">
        <v>159</v>
      </c>
      <c r="J80" s="53" t="s">
        <v>80</v>
      </c>
      <c r="K80" s="53" t="s">
        <v>63</v>
      </c>
      <c r="L80" s="53">
        <v>1</v>
      </c>
      <c r="N80" s="53">
        <v>5</v>
      </c>
      <c r="O80" s="53">
        <v>0.4</v>
      </c>
      <c r="P80" s="53">
        <v>0.5</v>
      </c>
      <c r="Q80" s="74">
        <f t="shared" si="3"/>
        <v>0.45</v>
      </c>
      <c r="R80" s="53">
        <v>13.8</v>
      </c>
      <c r="S80" s="53">
        <v>65</v>
      </c>
      <c r="T80" s="16">
        <f t="shared" si="4"/>
        <v>50</v>
      </c>
      <c r="U80" s="53">
        <v>429</v>
      </c>
      <c r="V80" s="38">
        <v>3670</v>
      </c>
      <c r="W80" s="53">
        <v>2</v>
      </c>
      <c r="X80" s="53" t="s">
        <v>46</v>
      </c>
      <c r="Y80" s="53" t="s">
        <v>84</v>
      </c>
      <c r="Z80" s="53" t="s">
        <v>90</v>
      </c>
      <c r="AA80" s="53" t="s">
        <v>50</v>
      </c>
      <c r="AB80" s="53" t="s">
        <v>158</v>
      </c>
      <c r="AC80" s="75"/>
      <c r="AD80" s="75"/>
      <c r="AF80" s="75"/>
      <c r="AG80" s="75"/>
      <c r="AH80" s="75"/>
    </row>
    <row r="81" spans="1:34" x14ac:dyDescent="0.15">
      <c r="A81" s="53" t="s">
        <v>41</v>
      </c>
      <c r="B81" s="53" t="s">
        <v>157</v>
      </c>
      <c r="C81" s="62">
        <v>2019</v>
      </c>
      <c r="D81" s="63" t="s">
        <v>188</v>
      </c>
      <c r="E81" s="53" t="s">
        <v>202</v>
      </c>
      <c r="F81" s="53" t="s">
        <v>209</v>
      </c>
      <c r="G81" s="53" t="s">
        <v>42</v>
      </c>
      <c r="H81" s="53" t="s">
        <v>187</v>
      </c>
      <c r="I81" s="53" t="s">
        <v>159</v>
      </c>
      <c r="J81" s="53" t="s">
        <v>80</v>
      </c>
      <c r="K81" s="53" t="s">
        <v>63</v>
      </c>
      <c r="L81" s="53">
        <v>2</v>
      </c>
      <c r="N81" s="53">
        <v>5</v>
      </c>
      <c r="O81" s="53">
        <v>0.5</v>
      </c>
      <c r="P81" s="53">
        <v>0.6</v>
      </c>
      <c r="Q81" s="74">
        <f t="shared" si="3"/>
        <v>0.55000000000000004</v>
      </c>
      <c r="R81" s="53">
        <v>13.3</v>
      </c>
      <c r="S81" s="53">
        <v>70</v>
      </c>
      <c r="T81" s="16">
        <f t="shared" si="4"/>
        <v>50</v>
      </c>
      <c r="U81" s="53">
        <v>429</v>
      </c>
      <c r="V81" s="38">
        <v>3303</v>
      </c>
      <c r="W81" s="53">
        <v>2</v>
      </c>
      <c r="X81" s="53" t="s">
        <v>46</v>
      </c>
      <c r="Y81" s="53" t="s">
        <v>84</v>
      </c>
      <c r="Z81" s="53" t="s">
        <v>90</v>
      </c>
      <c r="AA81" s="53" t="s">
        <v>50</v>
      </c>
      <c r="AB81" s="53" t="s">
        <v>158</v>
      </c>
      <c r="AC81" s="75"/>
      <c r="AD81" s="75"/>
      <c r="AF81" s="75"/>
      <c r="AG81" s="75"/>
      <c r="AH81" s="75"/>
    </row>
    <row r="82" spans="1:34" x14ac:dyDescent="0.15">
      <c r="A82" s="53" t="s">
        <v>41</v>
      </c>
      <c r="B82" s="53" t="s">
        <v>157</v>
      </c>
      <c r="C82" s="62">
        <v>2019</v>
      </c>
      <c r="D82" s="63" t="s">
        <v>188</v>
      </c>
      <c r="E82" s="53" t="s">
        <v>202</v>
      </c>
      <c r="F82" s="53" t="s">
        <v>209</v>
      </c>
      <c r="G82" s="53" t="s">
        <v>42</v>
      </c>
      <c r="H82" s="53" t="s">
        <v>187</v>
      </c>
      <c r="I82" s="53" t="s">
        <v>159</v>
      </c>
      <c r="J82" s="53" t="s">
        <v>80</v>
      </c>
      <c r="K82" s="53" t="s">
        <v>63</v>
      </c>
      <c r="L82" s="53">
        <v>3</v>
      </c>
      <c r="N82" s="53">
        <v>5</v>
      </c>
      <c r="O82" s="53">
        <v>0.65</v>
      </c>
      <c r="P82" s="53">
        <v>0.55000000000000004</v>
      </c>
      <c r="Q82" s="74">
        <f t="shared" si="3"/>
        <v>0.60000000000000009</v>
      </c>
      <c r="R82" s="53">
        <v>12.7</v>
      </c>
      <c r="S82" s="53">
        <v>63</v>
      </c>
      <c r="T82" s="16">
        <f t="shared" si="4"/>
        <v>50</v>
      </c>
      <c r="U82" s="53">
        <v>429</v>
      </c>
      <c r="V82" s="38">
        <v>3670</v>
      </c>
      <c r="W82" s="53">
        <v>2</v>
      </c>
      <c r="X82" s="53" t="s">
        <v>46</v>
      </c>
      <c r="Y82" s="53" t="s">
        <v>84</v>
      </c>
      <c r="Z82" s="53" t="s">
        <v>90</v>
      </c>
      <c r="AA82" s="53" t="s">
        <v>50</v>
      </c>
      <c r="AB82" s="53" t="s">
        <v>158</v>
      </c>
      <c r="AC82" s="75"/>
      <c r="AD82" s="75"/>
      <c r="AF82" s="75"/>
      <c r="AG82" s="75"/>
      <c r="AH82" s="75"/>
    </row>
    <row r="83" spans="1:34" x14ac:dyDescent="0.15">
      <c r="A83" s="53" t="s">
        <v>41</v>
      </c>
      <c r="B83" s="53" t="s">
        <v>157</v>
      </c>
      <c r="C83" s="62">
        <v>2019</v>
      </c>
      <c r="D83" s="63" t="s">
        <v>188</v>
      </c>
      <c r="E83" s="53" t="s">
        <v>205</v>
      </c>
      <c r="F83" s="53" t="s">
        <v>206</v>
      </c>
      <c r="G83" s="53" t="s">
        <v>42</v>
      </c>
      <c r="H83" s="53" t="s">
        <v>164</v>
      </c>
      <c r="I83" s="53" t="s">
        <v>159</v>
      </c>
      <c r="J83" s="53" t="s">
        <v>38</v>
      </c>
      <c r="K83" s="53" t="s">
        <v>161</v>
      </c>
      <c r="L83" s="53">
        <v>1</v>
      </c>
      <c r="N83" s="53">
        <v>1</v>
      </c>
      <c r="O83" s="53">
        <v>0.85</v>
      </c>
      <c r="P83" s="53">
        <v>0.95</v>
      </c>
      <c r="Q83" s="74">
        <f t="shared" si="3"/>
        <v>0.89999999999999991</v>
      </c>
      <c r="R83" s="53">
        <v>11.4</v>
      </c>
      <c r="S83" s="53">
        <v>122</v>
      </c>
      <c r="T83" s="16">
        <f t="shared" si="4"/>
        <v>27</v>
      </c>
      <c r="U83" s="53">
        <v>105</v>
      </c>
      <c r="V83" s="16">
        <f t="shared" si="5"/>
        <v>2835</v>
      </c>
      <c r="W83" s="53">
        <v>2</v>
      </c>
      <c r="X83" s="53" t="s">
        <v>46</v>
      </c>
      <c r="Y83" s="53" t="s">
        <v>84</v>
      </c>
      <c r="Z83" s="53" t="s">
        <v>90</v>
      </c>
      <c r="AA83" s="53" t="s">
        <v>69</v>
      </c>
      <c r="AB83" s="53" t="s">
        <v>158</v>
      </c>
      <c r="AC83" s="75"/>
      <c r="AD83" s="75"/>
      <c r="AF83" s="75"/>
      <c r="AG83" s="75"/>
      <c r="AH83" s="75"/>
    </row>
    <row r="84" spans="1:34" x14ac:dyDescent="0.15">
      <c r="A84" s="53" t="s">
        <v>41</v>
      </c>
      <c r="B84" s="53" t="s">
        <v>157</v>
      </c>
      <c r="C84" s="62">
        <v>2019</v>
      </c>
      <c r="D84" s="63" t="s">
        <v>188</v>
      </c>
      <c r="E84" s="53" t="s">
        <v>205</v>
      </c>
      <c r="F84" s="53" t="s">
        <v>206</v>
      </c>
      <c r="G84" s="53" t="s">
        <v>42</v>
      </c>
      <c r="H84" s="53" t="s">
        <v>164</v>
      </c>
      <c r="I84" s="53" t="s">
        <v>159</v>
      </c>
      <c r="J84" s="53" t="s">
        <v>38</v>
      </c>
      <c r="K84" s="53" t="s">
        <v>161</v>
      </c>
      <c r="L84" s="53">
        <v>2</v>
      </c>
      <c r="N84" s="53">
        <v>1</v>
      </c>
      <c r="O84" s="53">
        <v>0.9</v>
      </c>
      <c r="P84" s="53">
        <v>0.85</v>
      </c>
      <c r="Q84" s="74">
        <f t="shared" si="3"/>
        <v>0.875</v>
      </c>
      <c r="R84" s="53">
        <v>12.1</v>
      </c>
      <c r="S84" s="53">
        <v>122</v>
      </c>
      <c r="T84" s="16">
        <f t="shared" si="4"/>
        <v>27</v>
      </c>
      <c r="U84" s="53">
        <v>105</v>
      </c>
      <c r="V84" s="16">
        <f t="shared" si="5"/>
        <v>2835</v>
      </c>
      <c r="W84" s="53">
        <v>2</v>
      </c>
      <c r="X84" s="53" t="s">
        <v>46</v>
      </c>
      <c r="Y84" s="53" t="s">
        <v>84</v>
      </c>
      <c r="Z84" s="53" t="s">
        <v>90</v>
      </c>
      <c r="AA84" s="53" t="s">
        <v>69</v>
      </c>
      <c r="AB84" s="53" t="s">
        <v>158</v>
      </c>
      <c r="AC84" s="75"/>
      <c r="AD84" s="75"/>
      <c r="AF84" s="75"/>
      <c r="AG84" s="75"/>
      <c r="AH84" s="75"/>
    </row>
    <row r="85" spans="1:34" x14ac:dyDescent="0.15">
      <c r="A85" s="53" t="s">
        <v>41</v>
      </c>
      <c r="B85" s="53" t="s">
        <v>157</v>
      </c>
      <c r="C85" s="62">
        <v>2019</v>
      </c>
      <c r="D85" s="63" t="s">
        <v>188</v>
      </c>
      <c r="E85" s="53" t="s">
        <v>205</v>
      </c>
      <c r="F85" s="53" t="s">
        <v>206</v>
      </c>
      <c r="G85" s="53" t="s">
        <v>42</v>
      </c>
      <c r="H85" s="53" t="s">
        <v>164</v>
      </c>
      <c r="I85" s="53" t="s">
        <v>159</v>
      </c>
      <c r="J85" s="53" t="s">
        <v>38</v>
      </c>
      <c r="K85" s="53" t="s">
        <v>161</v>
      </c>
      <c r="L85" s="53">
        <v>3</v>
      </c>
      <c r="N85" s="53">
        <v>1</v>
      </c>
      <c r="O85" s="53">
        <v>1</v>
      </c>
      <c r="P85" s="53">
        <v>0.85</v>
      </c>
      <c r="Q85" s="74">
        <f t="shared" si="3"/>
        <v>0.92500000000000004</v>
      </c>
      <c r="R85" s="53">
        <v>13.2</v>
      </c>
      <c r="S85" s="53">
        <v>124</v>
      </c>
      <c r="T85" s="16">
        <f t="shared" si="4"/>
        <v>27</v>
      </c>
      <c r="U85" s="53">
        <v>105</v>
      </c>
      <c r="V85" s="38">
        <f t="shared" si="5"/>
        <v>2835</v>
      </c>
      <c r="W85" s="53">
        <v>2</v>
      </c>
      <c r="X85" s="53" t="s">
        <v>46</v>
      </c>
      <c r="Y85" s="53" t="s">
        <v>84</v>
      </c>
      <c r="Z85" s="53" t="s">
        <v>90</v>
      </c>
      <c r="AA85" s="53" t="s">
        <v>69</v>
      </c>
      <c r="AB85" s="53" t="s">
        <v>158</v>
      </c>
      <c r="AC85" s="75"/>
      <c r="AD85" s="75"/>
      <c r="AF85" s="75"/>
      <c r="AG85" s="75"/>
      <c r="AH85" s="75"/>
    </row>
    <row r="86" spans="1:34" x14ac:dyDescent="0.15">
      <c r="A86" s="53" t="s">
        <v>41</v>
      </c>
      <c r="B86" s="53" t="s">
        <v>157</v>
      </c>
      <c r="C86" s="62">
        <v>2019</v>
      </c>
      <c r="D86" s="63" t="s">
        <v>188</v>
      </c>
      <c r="E86" s="53" t="s">
        <v>205</v>
      </c>
      <c r="F86" s="53" t="s">
        <v>206</v>
      </c>
      <c r="G86" s="53" t="s">
        <v>42</v>
      </c>
      <c r="H86" s="53" t="s">
        <v>164</v>
      </c>
      <c r="I86" s="53" t="s">
        <v>159</v>
      </c>
      <c r="J86" s="53" t="s">
        <v>38</v>
      </c>
      <c r="K86" s="53" t="s">
        <v>161</v>
      </c>
      <c r="L86" s="53">
        <v>1</v>
      </c>
      <c r="N86" s="53">
        <v>4</v>
      </c>
      <c r="O86" s="53">
        <v>0.3</v>
      </c>
      <c r="P86" s="53">
        <v>0.25</v>
      </c>
      <c r="Q86" s="74">
        <f t="shared" si="3"/>
        <v>0.27500000000000002</v>
      </c>
      <c r="R86" s="53">
        <v>12.1</v>
      </c>
      <c r="S86" s="53">
        <v>120</v>
      </c>
      <c r="T86" s="16">
        <f t="shared" si="4"/>
        <v>30</v>
      </c>
      <c r="U86" s="53">
        <v>441</v>
      </c>
      <c r="V86" s="16">
        <f t="shared" si="5"/>
        <v>3307.5</v>
      </c>
      <c r="W86" s="53">
        <v>2</v>
      </c>
      <c r="X86" s="53" t="s">
        <v>46</v>
      </c>
      <c r="Y86" s="53" t="s">
        <v>84</v>
      </c>
      <c r="Z86" s="53" t="s">
        <v>90</v>
      </c>
      <c r="AA86" s="53" t="s">
        <v>69</v>
      </c>
      <c r="AB86" s="53" t="s">
        <v>158</v>
      </c>
      <c r="AC86" s="75"/>
      <c r="AD86" s="75"/>
      <c r="AF86" s="75"/>
      <c r="AG86" s="75"/>
      <c r="AH86" s="75"/>
    </row>
    <row r="87" spans="1:34" x14ac:dyDescent="0.15">
      <c r="A87" s="53" t="s">
        <v>41</v>
      </c>
      <c r="B87" s="53" t="s">
        <v>157</v>
      </c>
      <c r="C87" s="62">
        <v>2019</v>
      </c>
      <c r="D87" s="63" t="s">
        <v>188</v>
      </c>
      <c r="E87" s="53" t="s">
        <v>205</v>
      </c>
      <c r="F87" s="53" t="s">
        <v>206</v>
      </c>
      <c r="G87" s="53" t="s">
        <v>42</v>
      </c>
      <c r="H87" s="53" t="s">
        <v>164</v>
      </c>
      <c r="I87" s="53" t="s">
        <v>159</v>
      </c>
      <c r="J87" s="53" t="s">
        <v>38</v>
      </c>
      <c r="K87" s="53" t="s">
        <v>161</v>
      </c>
      <c r="L87" s="53">
        <v>2</v>
      </c>
      <c r="N87" s="53">
        <v>4</v>
      </c>
      <c r="O87" s="53">
        <v>0.45</v>
      </c>
      <c r="P87" s="53">
        <v>0.3</v>
      </c>
      <c r="Q87" s="74">
        <f t="shared" si="3"/>
        <v>0.375</v>
      </c>
      <c r="R87" s="53">
        <v>15.4</v>
      </c>
      <c r="S87" s="53">
        <v>115</v>
      </c>
      <c r="T87" s="16">
        <f t="shared" si="4"/>
        <v>30</v>
      </c>
      <c r="U87" s="53">
        <v>441</v>
      </c>
      <c r="V87" s="16">
        <f t="shared" si="5"/>
        <v>3307.5</v>
      </c>
      <c r="W87" s="53">
        <v>2</v>
      </c>
      <c r="X87" s="53" t="s">
        <v>46</v>
      </c>
      <c r="Y87" s="53" t="s">
        <v>84</v>
      </c>
      <c r="Z87" s="53" t="s">
        <v>90</v>
      </c>
      <c r="AA87" s="53" t="s">
        <v>69</v>
      </c>
      <c r="AB87" s="53" t="s">
        <v>158</v>
      </c>
      <c r="AC87" s="75"/>
      <c r="AD87" s="75"/>
      <c r="AF87" s="75"/>
      <c r="AG87" s="75"/>
      <c r="AH87" s="75"/>
    </row>
    <row r="88" spans="1:34" x14ac:dyDescent="0.15">
      <c r="A88" s="53" t="s">
        <v>41</v>
      </c>
      <c r="B88" s="53" t="s">
        <v>157</v>
      </c>
      <c r="C88" s="62">
        <v>2019</v>
      </c>
      <c r="D88" s="63" t="s">
        <v>188</v>
      </c>
      <c r="E88" s="53" t="s">
        <v>205</v>
      </c>
      <c r="F88" s="53" t="s">
        <v>206</v>
      </c>
      <c r="G88" s="53" t="s">
        <v>42</v>
      </c>
      <c r="H88" s="53" t="s">
        <v>164</v>
      </c>
      <c r="I88" s="53" t="s">
        <v>159</v>
      </c>
      <c r="J88" s="53" t="s">
        <v>38</v>
      </c>
      <c r="K88" s="53" t="s">
        <v>161</v>
      </c>
      <c r="L88" s="53">
        <v>3</v>
      </c>
      <c r="N88" s="53">
        <v>4</v>
      </c>
      <c r="O88" s="53">
        <v>0.3</v>
      </c>
      <c r="P88" s="53">
        <v>0.35</v>
      </c>
      <c r="Q88" s="74">
        <f t="shared" si="3"/>
        <v>0.32499999999999996</v>
      </c>
      <c r="R88" s="53">
        <v>14.1</v>
      </c>
      <c r="S88" s="53">
        <v>117</v>
      </c>
      <c r="T88" s="16">
        <f t="shared" si="4"/>
        <v>30</v>
      </c>
      <c r="U88" s="53">
        <v>441</v>
      </c>
      <c r="V88" s="38">
        <f t="shared" si="5"/>
        <v>3307.5</v>
      </c>
      <c r="W88" s="53">
        <v>2</v>
      </c>
      <c r="X88" s="53" t="s">
        <v>46</v>
      </c>
      <c r="Y88" s="53" t="s">
        <v>84</v>
      </c>
      <c r="Z88" s="53" t="s">
        <v>90</v>
      </c>
      <c r="AA88" s="53" t="s">
        <v>69</v>
      </c>
      <c r="AB88" s="53" t="s">
        <v>158</v>
      </c>
      <c r="AC88" s="75"/>
      <c r="AD88" s="75"/>
      <c r="AF88" s="75"/>
      <c r="AG88" s="75"/>
      <c r="AH88" s="75"/>
    </row>
    <row r="89" spans="1:34" x14ac:dyDescent="0.15">
      <c r="A89" s="53" t="s">
        <v>41</v>
      </c>
      <c r="B89" s="53" t="s">
        <v>157</v>
      </c>
      <c r="C89" s="62">
        <v>2018</v>
      </c>
      <c r="D89" s="63" t="s">
        <v>188</v>
      </c>
      <c r="E89" s="53" t="s">
        <v>205</v>
      </c>
      <c r="F89" s="53" t="s">
        <v>206</v>
      </c>
      <c r="G89" s="53" t="s">
        <v>42</v>
      </c>
      <c r="H89" s="53" t="s">
        <v>164</v>
      </c>
      <c r="I89" s="53" t="s">
        <v>159</v>
      </c>
      <c r="J89" s="53" t="s">
        <v>38</v>
      </c>
      <c r="K89" s="53" t="s">
        <v>161</v>
      </c>
      <c r="L89" s="53">
        <v>1</v>
      </c>
      <c r="N89" s="53">
        <v>8</v>
      </c>
      <c r="O89" s="53">
        <v>0.85</v>
      </c>
      <c r="P89" s="53">
        <v>1.1000000000000001</v>
      </c>
      <c r="Q89" s="74">
        <f t="shared" si="3"/>
        <v>0.97500000000000009</v>
      </c>
      <c r="R89" s="53">
        <v>12.1</v>
      </c>
      <c r="S89" s="53">
        <v>114</v>
      </c>
      <c r="T89" s="16">
        <f t="shared" si="4"/>
        <v>30</v>
      </c>
      <c r="U89" s="53">
        <v>794</v>
      </c>
      <c r="V89" s="16">
        <f t="shared" si="5"/>
        <v>2977.5</v>
      </c>
      <c r="W89" s="53">
        <v>2</v>
      </c>
      <c r="X89" s="53" t="s">
        <v>46</v>
      </c>
      <c r="Y89" s="53" t="s">
        <v>84</v>
      </c>
      <c r="Z89" s="53" t="s">
        <v>90</v>
      </c>
      <c r="AA89" s="53" t="s">
        <v>69</v>
      </c>
      <c r="AB89" s="53" t="s">
        <v>158</v>
      </c>
      <c r="AC89" s="75"/>
      <c r="AD89" s="75"/>
      <c r="AF89" s="75"/>
      <c r="AG89" s="75"/>
      <c r="AH89" s="75"/>
    </row>
    <row r="90" spans="1:34" x14ac:dyDescent="0.15">
      <c r="A90" s="53" t="s">
        <v>41</v>
      </c>
      <c r="B90" s="53" t="s">
        <v>157</v>
      </c>
      <c r="C90" s="62">
        <v>2018</v>
      </c>
      <c r="D90" s="63" t="s">
        <v>188</v>
      </c>
      <c r="E90" s="53" t="s">
        <v>205</v>
      </c>
      <c r="F90" s="53" t="s">
        <v>206</v>
      </c>
      <c r="G90" s="53" t="s">
        <v>42</v>
      </c>
      <c r="H90" s="53" t="s">
        <v>164</v>
      </c>
      <c r="I90" s="53" t="s">
        <v>159</v>
      </c>
      <c r="J90" s="53" t="s">
        <v>38</v>
      </c>
      <c r="K90" s="53" t="s">
        <v>161</v>
      </c>
      <c r="L90" s="53">
        <v>2</v>
      </c>
      <c r="N90" s="53">
        <v>8</v>
      </c>
      <c r="O90" s="53">
        <v>0.65</v>
      </c>
      <c r="P90" s="53">
        <v>0.75</v>
      </c>
      <c r="Q90" s="74">
        <f t="shared" si="3"/>
        <v>0.7</v>
      </c>
      <c r="R90" s="53">
        <v>12.6</v>
      </c>
      <c r="S90" s="53">
        <v>115</v>
      </c>
      <c r="T90" s="16">
        <f t="shared" si="4"/>
        <v>30</v>
      </c>
      <c r="U90" s="53">
        <v>794</v>
      </c>
      <c r="V90" s="16">
        <f t="shared" si="5"/>
        <v>2977.5</v>
      </c>
      <c r="W90" s="53">
        <v>2</v>
      </c>
      <c r="X90" s="53" t="s">
        <v>46</v>
      </c>
      <c r="Y90" s="53" t="s">
        <v>84</v>
      </c>
      <c r="Z90" s="53" t="s">
        <v>90</v>
      </c>
      <c r="AA90" s="53" t="s">
        <v>69</v>
      </c>
      <c r="AB90" s="53" t="s">
        <v>158</v>
      </c>
      <c r="AC90" s="75"/>
      <c r="AD90" s="75"/>
      <c r="AF90" s="75"/>
      <c r="AG90" s="75"/>
      <c r="AH90" s="75"/>
    </row>
    <row r="91" spans="1:34" x14ac:dyDescent="0.15">
      <c r="A91" s="53" t="s">
        <v>41</v>
      </c>
      <c r="B91" s="53" t="s">
        <v>157</v>
      </c>
      <c r="C91" s="62">
        <v>2018</v>
      </c>
      <c r="D91" s="63" t="s">
        <v>188</v>
      </c>
      <c r="E91" s="53" t="s">
        <v>205</v>
      </c>
      <c r="F91" s="53" t="s">
        <v>206</v>
      </c>
      <c r="G91" s="53" t="s">
        <v>42</v>
      </c>
      <c r="H91" s="53" t="s">
        <v>164</v>
      </c>
      <c r="I91" s="53" t="s">
        <v>159</v>
      </c>
      <c r="J91" s="53" t="s">
        <v>38</v>
      </c>
      <c r="K91" s="53" t="s">
        <v>161</v>
      </c>
      <c r="L91" s="53">
        <v>3</v>
      </c>
      <c r="N91" s="53">
        <v>8</v>
      </c>
      <c r="O91" s="53">
        <v>0.8</v>
      </c>
      <c r="P91" s="53">
        <v>0.85</v>
      </c>
      <c r="Q91" s="74">
        <f t="shared" si="3"/>
        <v>0.82499999999999996</v>
      </c>
      <c r="R91" s="53">
        <v>13.1</v>
      </c>
      <c r="S91" s="53">
        <v>117</v>
      </c>
      <c r="T91" s="16">
        <f t="shared" si="4"/>
        <v>30</v>
      </c>
      <c r="U91" s="53">
        <v>794</v>
      </c>
      <c r="V91" s="16">
        <f t="shared" si="5"/>
        <v>2977.5</v>
      </c>
      <c r="W91" s="53">
        <v>2</v>
      </c>
      <c r="X91" s="53" t="s">
        <v>46</v>
      </c>
      <c r="Y91" s="53" t="s">
        <v>84</v>
      </c>
      <c r="Z91" s="53" t="s">
        <v>90</v>
      </c>
      <c r="AA91" s="53" t="s">
        <v>69</v>
      </c>
      <c r="AB91" s="53" t="s">
        <v>158</v>
      </c>
      <c r="AC91" s="75"/>
      <c r="AD91" s="75"/>
      <c r="AF91" s="75"/>
      <c r="AG91" s="75"/>
      <c r="AH91" s="75"/>
    </row>
    <row r="92" spans="1:34" x14ac:dyDescent="0.15">
      <c r="A92" s="53" t="s">
        <v>41</v>
      </c>
      <c r="B92" s="53" t="s">
        <v>157</v>
      </c>
      <c r="C92" s="62">
        <v>2019</v>
      </c>
      <c r="D92" s="63" t="s">
        <v>188</v>
      </c>
      <c r="E92" s="53" t="s">
        <v>211</v>
      </c>
      <c r="F92" s="53" t="s">
        <v>212</v>
      </c>
      <c r="G92" s="53" t="s">
        <v>42</v>
      </c>
      <c r="H92" s="53" t="s">
        <v>164</v>
      </c>
      <c r="I92" s="53" t="s">
        <v>159</v>
      </c>
      <c r="J92" s="53" t="s">
        <v>38</v>
      </c>
      <c r="K92" s="53" t="s">
        <v>161</v>
      </c>
      <c r="L92" s="53">
        <v>1</v>
      </c>
      <c r="N92" s="53">
        <v>1</v>
      </c>
      <c r="O92" s="53">
        <v>0.95</v>
      </c>
      <c r="P92" s="76">
        <v>1.5</v>
      </c>
      <c r="Q92" s="16">
        <f t="shared" si="3"/>
        <v>1.2250000000000001</v>
      </c>
      <c r="R92" s="53">
        <v>11.1</v>
      </c>
      <c r="S92" s="53">
        <v>130</v>
      </c>
      <c r="T92" s="16">
        <f t="shared" si="4"/>
        <v>25</v>
      </c>
      <c r="U92" s="53">
        <v>105</v>
      </c>
      <c r="V92" s="38">
        <f t="shared" si="5"/>
        <v>2625</v>
      </c>
      <c r="W92" s="53">
        <v>2</v>
      </c>
      <c r="X92" s="53" t="s">
        <v>46</v>
      </c>
      <c r="Y92" s="53" t="s">
        <v>84</v>
      </c>
      <c r="Z92" s="53" t="s">
        <v>90</v>
      </c>
      <c r="AA92" s="53" t="s">
        <v>69</v>
      </c>
      <c r="AB92" s="53" t="s">
        <v>158</v>
      </c>
      <c r="AC92" s="75"/>
      <c r="AD92" s="75"/>
      <c r="AF92" s="75"/>
      <c r="AG92" s="75"/>
      <c r="AH92" s="75"/>
    </row>
    <row r="93" spans="1:34" x14ac:dyDescent="0.15">
      <c r="A93" s="53" t="s">
        <v>41</v>
      </c>
      <c r="B93" s="53" t="s">
        <v>157</v>
      </c>
      <c r="C93" s="62">
        <v>2019</v>
      </c>
      <c r="D93" s="63" t="s">
        <v>188</v>
      </c>
      <c r="E93" s="53" t="s">
        <v>211</v>
      </c>
      <c r="F93" s="53" t="s">
        <v>212</v>
      </c>
      <c r="G93" s="53" t="s">
        <v>42</v>
      </c>
      <c r="H93" s="53" t="s">
        <v>164</v>
      </c>
      <c r="I93" s="53" t="s">
        <v>159</v>
      </c>
      <c r="J93" s="53" t="s">
        <v>38</v>
      </c>
      <c r="K93" s="53" t="s">
        <v>161</v>
      </c>
      <c r="L93" s="53">
        <v>2</v>
      </c>
      <c r="N93" s="53">
        <v>1</v>
      </c>
      <c r="O93" s="53">
        <v>0.8</v>
      </c>
      <c r="P93" s="53">
        <v>1</v>
      </c>
      <c r="Q93" s="16">
        <f t="shared" si="3"/>
        <v>0.9</v>
      </c>
      <c r="R93" s="53">
        <v>10.199999999999999</v>
      </c>
      <c r="S93" s="53">
        <v>128</v>
      </c>
      <c r="T93" s="16">
        <f t="shared" si="4"/>
        <v>27</v>
      </c>
      <c r="U93" s="53">
        <v>105</v>
      </c>
      <c r="V93" s="38">
        <f t="shared" si="5"/>
        <v>2835</v>
      </c>
      <c r="W93" s="53">
        <v>2</v>
      </c>
      <c r="X93" s="53" t="s">
        <v>46</v>
      </c>
      <c r="Y93" s="53" t="s">
        <v>84</v>
      </c>
      <c r="Z93" s="53" t="s">
        <v>90</v>
      </c>
      <c r="AA93" s="53" t="s">
        <v>69</v>
      </c>
      <c r="AB93" s="53" t="s">
        <v>158</v>
      </c>
      <c r="AC93" s="75"/>
      <c r="AD93" s="75"/>
      <c r="AF93" s="75"/>
      <c r="AG93" s="75"/>
      <c r="AH93" s="75"/>
    </row>
    <row r="94" spans="1:34" x14ac:dyDescent="0.15">
      <c r="A94" s="53" t="s">
        <v>41</v>
      </c>
      <c r="B94" s="53" t="s">
        <v>157</v>
      </c>
      <c r="C94" s="62">
        <v>2019</v>
      </c>
      <c r="D94" s="63" t="s">
        <v>188</v>
      </c>
      <c r="E94" s="53" t="s">
        <v>211</v>
      </c>
      <c r="F94" s="53" t="s">
        <v>212</v>
      </c>
      <c r="G94" s="53" t="s">
        <v>42</v>
      </c>
      <c r="H94" s="53" t="s">
        <v>164</v>
      </c>
      <c r="I94" s="53" t="s">
        <v>159</v>
      </c>
      <c r="J94" s="53" t="s">
        <v>38</v>
      </c>
      <c r="K94" s="53" t="s">
        <v>161</v>
      </c>
      <c r="L94" s="53">
        <v>3</v>
      </c>
      <c r="N94" s="53">
        <v>1</v>
      </c>
      <c r="O94" s="53">
        <v>0.8</v>
      </c>
      <c r="P94" s="53">
        <v>0.9</v>
      </c>
      <c r="Q94" s="16">
        <f t="shared" si="3"/>
        <v>0.85000000000000009</v>
      </c>
      <c r="R94" s="53">
        <v>12.1</v>
      </c>
      <c r="S94" s="53">
        <v>127</v>
      </c>
      <c r="T94" s="38">
        <f t="shared" si="4"/>
        <v>27</v>
      </c>
      <c r="U94" s="53">
        <v>105</v>
      </c>
      <c r="V94" s="38">
        <f t="shared" si="5"/>
        <v>2835</v>
      </c>
      <c r="W94" s="53">
        <v>2</v>
      </c>
      <c r="X94" s="53" t="s">
        <v>46</v>
      </c>
      <c r="Y94" s="53" t="s">
        <v>84</v>
      </c>
      <c r="Z94" s="53" t="s">
        <v>90</v>
      </c>
      <c r="AA94" s="53" t="s">
        <v>69</v>
      </c>
      <c r="AB94" s="53" t="s">
        <v>158</v>
      </c>
      <c r="AC94" s="75"/>
      <c r="AD94" s="75"/>
      <c r="AF94" s="75"/>
      <c r="AG94" s="75"/>
      <c r="AH94" s="75"/>
    </row>
    <row r="95" spans="1:34" x14ac:dyDescent="0.15">
      <c r="A95" s="53" t="s">
        <v>41</v>
      </c>
      <c r="B95" s="53" t="s">
        <v>157</v>
      </c>
      <c r="C95" s="62">
        <v>2019</v>
      </c>
      <c r="D95" s="63" t="s">
        <v>188</v>
      </c>
      <c r="E95" s="53" t="s">
        <v>211</v>
      </c>
      <c r="F95" s="53" t="s">
        <v>212</v>
      </c>
      <c r="G95" s="53" t="s">
        <v>42</v>
      </c>
      <c r="H95" s="53" t="s">
        <v>164</v>
      </c>
      <c r="I95" s="53" t="s">
        <v>159</v>
      </c>
      <c r="J95" s="53" t="s">
        <v>38</v>
      </c>
      <c r="K95" s="53" t="s">
        <v>161</v>
      </c>
      <c r="L95" s="53">
        <v>1</v>
      </c>
      <c r="N95" s="53">
        <v>4</v>
      </c>
      <c r="O95" s="53">
        <v>1.2</v>
      </c>
      <c r="P95" s="76">
        <v>1.05</v>
      </c>
      <c r="Q95" s="16">
        <f t="shared" si="3"/>
        <v>1.125</v>
      </c>
      <c r="R95" s="53">
        <v>9.1</v>
      </c>
      <c r="S95" s="53">
        <v>120</v>
      </c>
      <c r="T95" s="16">
        <f t="shared" si="4"/>
        <v>30</v>
      </c>
      <c r="U95" s="53">
        <v>407</v>
      </c>
      <c r="V95" s="38">
        <f t="shared" si="5"/>
        <v>3052.5</v>
      </c>
      <c r="W95" s="53">
        <v>1</v>
      </c>
      <c r="X95" s="53" t="s">
        <v>46</v>
      </c>
      <c r="Y95" s="53" t="s">
        <v>84</v>
      </c>
      <c r="Z95" s="53" t="s">
        <v>90</v>
      </c>
      <c r="AA95" s="53" t="s">
        <v>69</v>
      </c>
      <c r="AB95" s="53" t="s">
        <v>158</v>
      </c>
    </row>
    <row r="96" spans="1:34" x14ac:dyDescent="0.15">
      <c r="A96" s="53" t="s">
        <v>41</v>
      </c>
      <c r="B96" s="53" t="s">
        <v>157</v>
      </c>
      <c r="C96" s="62">
        <v>2019</v>
      </c>
      <c r="D96" s="63" t="s">
        <v>188</v>
      </c>
      <c r="E96" s="53" t="s">
        <v>211</v>
      </c>
      <c r="F96" s="53" t="s">
        <v>212</v>
      </c>
      <c r="G96" s="53" t="s">
        <v>42</v>
      </c>
      <c r="H96" s="53" t="s">
        <v>164</v>
      </c>
      <c r="I96" s="53" t="s">
        <v>159</v>
      </c>
      <c r="J96" s="53" t="s">
        <v>38</v>
      </c>
      <c r="K96" s="53" t="s">
        <v>161</v>
      </c>
      <c r="L96" s="53">
        <v>2</v>
      </c>
      <c r="N96" s="53">
        <v>4</v>
      </c>
      <c r="O96" s="53">
        <v>1.2</v>
      </c>
      <c r="P96" s="53">
        <v>1.05</v>
      </c>
      <c r="Q96" s="16">
        <f t="shared" si="3"/>
        <v>1.125</v>
      </c>
      <c r="R96" s="53">
        <v>9</v>
      </c>
      <c r="S96" s="53">
        <v>120</v>
      </c>
      <c r="T96" s="16">
        <f t="shared" si="4"/>
        <v>30</v>
      </c>
      <c r="U96" s="53">
        <v>407</v>
      </c>
      <c r="V96" s="38">
        <f t="shared" si="5"/>
        <v>3052.5</v>
      </c>
      <c r="W96" s="53">
        <v>1</v>
      </c>
      <c r="X96" s="53" t="s">
        <v>46</v>
      </c>
      <c r="Y96" s="53" t="s">
        <v>84</v>
      </c>
      <c r="Z96" s="53" t="s">
        <v>90</v>
      </c>
      <c r="AA96" s="53" t="s">
        <v>69</v>
      </c>
      <c r="AB96" s="53" t="s">
        <v>158</v>
      </c>
    </row>
    <row r="97" spans="1:34" x14ac:dyDescent="0.15">
      <c r="A97" s="53" t="s">
        <v>41</v>
      </c>
      <c r="B97" s="53" t="s">
        <v>157</v>
      </c>
      <c r="C97" s="62">
        <v>2019</v>
      </c>
      <c r="D97" s="63" t="s">
        <v>188</v>
      </c>
      <c r="E97" s="53" t="s">
        <v>211</v>
      </c>
      <c r="F97" s="53" t="s">
        <v>212</v>
      </c>
      <c r="G97" s="53" t="s">
        <v>42</v>
      </c>
      <c r="H97" s="53" t="s">
        <v>164</v>
      </c>
      <c r="I97" s="53" t="s">
        <v>159</v>
      </c>
      <c r="J97" s="53" t="s">
        <v>38</v>
      </c>
      <c r="K97" s="53" t="s">
        <v>161</v>
      </c>
      <c r="L97" s="53">
        <v>3</v>
      </c>
      <c r="N97" s="53">
        <v>4</v>
      </c>
      <c r="O97" s="53">
        <v>1.05</v>
      </c>
      <c r="P97" s="53">
        <v>0.95</v>
      </c>
      <c r="Q97" s="16">
        <f t="shared" si="3"/>
        <v>1</v>
      </c>
      <c r="R97" s="53">
        <v>11.4</v>
      </c>
      <c r="S97" s="53">
        <v>118</v>
      </c>
      <c r="T97" s="38">
        <f t="shared" si="4"/>
        <v>30</v>
      </c>
      <c r="U97" s="53">
        <v>407</v>
      </c>
      <c r="V97" s="38">
        <f t="shared" si="5"/>
        <v>3052.5</v>
      </c>
      <c r="W97" s="53">
        <v>1</v>
      </c>
      <c r="X97" s="53" t="s">
        <v>46</v>
      </c>
      <c r="Y97" s="53" t="s">
        <v>84</v>
      </c>
      <c r="Z97" s="53" t="s">
        <v>90</v>
      </c>
      <c r="AA97" s="53" t="s">
        <v>69</v>
      </c>
      <c r="AB97" s="53" t="s">
        <v>158</v>
      </c>
    </row>
    <row r="98" spans="1:34" x14ac:dyDescent="0.15">
      <c r="C98" s="62"/>
      <c r="D98" s="63"/>
      <c r="P98" s="76"/>
      <c r="V98" s="38"/>
      <c r="AC98" s="75"/>
      <c r="AD98" s="75"/>
      <c r="AF98" s="75"/>
      <c r="AG98" s="75"/>
      <c r="AH98" s="75"/>
    </row>
    <row r="99" spans="1:34" x14ac:dyDescent="0.15">
      <c r="C99" s="62"/>
      <c r="D99" s="63"/>
      <c r="V99" s="38"/>
      <c r="AC99" s="75"/>
      <c r="AD99" s="75"/>
      <c r="AF99" s="75"/>
      <c r="AG99" s="75"/>
      <c r="AH99" s="75"/>
    </row>
    <row r="100" spans="1:34" x14ac:dyDescent="0.15">
      <c r="C100" s="62"/>
      <c r="D100" s="63"/>
      <c r="T100" s="38"/>
      <c r="V100" s="38"/>
      <c r="AC100" s="75"/>
      <c r="AD100" s="75"/>
      <c r="AF100" s="75"/>
      <c r="AG100" s="75"/>
      <c r="AH100" s="75"/>
    </row>
    <row r="101" spans="1:34" x14ac:dyDescent="0.15">
      <c r="C101" s="62"/>
      <c r="D101" s="63"/>
      <c r="P101" s="76"/>
      <c r="V101" s="38"/>
      <c r="AC101" s="75"/>
      <c r="AD101" s="75"/>
      <c r="AF101" s="75"/>
      <c r="AG101" s="75"/>
      <c r="AH101" s="75"/>
    </row>
    <row r="102" spans="1:34" x14ac:dyDescent="0.15">
      <c r="C102" s="62"/>
      <c r="D102" s="63"/>
      <c r="V102" s="38"/>
      <c r="AC102" s="75"/>
      <c r="AD102" s="75"/>
      <c r="AF102" s="75"/>
      <c r="AG102" s="75"/>
      <c r="AH102" s="75"/>
    </row>
    <row r="103" spans="1:34" x14ac:dyDescent="0.15">
      <c r="C103" s="62"/>
      <c r="D103" s="63"/>
      <c r="T103" s="38"/>
      <c r="V103" s="38"/>
      <c r="AC103" s="75"/>
      <c r="AD103" s="75"/>
      <c r="AF103" s="75"/>
      <c r="AG103" s="75"/>
      <c r="AH103" s="75"/>
    </row>
    <row r="104" spans="1:34" x14ac:dyDescent="0.15">
      <c r="C104" s="62"/>
      <c r="D104" s="63"/>
      <c r="P104" s="76"/>
      <c r="V104" s="38"/>
      <c r="AC104" s="75"/>
      <c r="AD104" s="75"/>
      <c r="AF104" s="75"/>
      <c r="AG104" s="75"/>
      <c r="AH104" s="75"/>
    </row>
    <row r="105" spans="1:34" x14ac:dyDescent="0.15">
      <c r="C105" s="62"/>
      <c r="D105" s="63"/>
      <c r="V105" s="38"/>
      <c r="AC105" s="75"/>
      <c r="AD105" s="75"/>
      <c r="AF105" s="75"/>
      <c r="AG105" s="75"/>
      <c r="AH105" s="75"/>
    </row>
    <row r="106" spans="1:34" x14ac:dyDescent="0.15">
      <c r="C106" s="62"/>
      <c r="D106" s="63"/>
      <c r="T106" s="38"/>
      <c r="V106" s="38"/>
      <c r="AC106" s="75"/>
      <c r="AD106" s="75"/>
      <c r="AF106" s="75"/>
      <c r="AG106" s="75"/>
      <c r="AH106" s="75"/>
    </row>
    <row r="107" spans="1:34" x14ac:dyDescent="0.15">
      <c r="Q107" s="74"/>
    </row>
    <row r="108" spans="1:34" x14ac:dyDescent="0.15">
      <c r="Q108" s="74"/>
    </row>
    <row r="109" spans="1:34" x14ac:dyDescent="0.15">
      <c r="Q109" s="74"/>
    </row>
    <row r="110" spans="1:34" x14ac:dyDescent="0.15">
      <c r="Q110" s="74" t="str">
        <f t="shared" ref="Q110:Q173" si="6">IF(OR(O110="",P110=""),"",AVERAGE(O110,P110))</f>
        <v/>
      </c>
      <c r="T110" s="16" t="str">
        <f t="shared" ref="T110:T173" si="7">IF(H110="","",IF(OR(H110="GREEN",H110="GK"),IF(S110&gt;=$AX$2,VLOOKUP(S110,$AX$2:$AY$10,2,1),""),IF(S110&gt;=$AZ$2,VLOOKUP(S110,$AZ$2:$BA$10,2,1),"")))</f>
        <v/>
      </c>
      <c r="V110" s="16" t="str">
        <f t="shared" ref="V110:V173" si="8">IF(OR(N110="",U110="",T110=""),"",U110/N110*T110)</f>
        <v/>
      </c>
    </row>
    <row r="111" spans="1:34" x14ac:dyDescent="0.15">
      <c r="Q111" s="74" t="str">
        <f t="shared" si="6"/>
        <v/>
      </c>
      <c r="T111" s="16" t="str">
        <f t="shared" si="7"/>
        <v/>
      </c>
      <c r="V111" s="16" t="str">
        <f t="shared" si="8"/>
        <v/>
      </c>
    </row>
    <row r="112" spans="1:34" x14ac:dyDescent="0.15">
      <c r="Q112" s="74" t="str">
        <f t="shared" si="6"/>
        <v/>
      </c>
      <c r="T112" s="16" t="str">
        <f t="shared" si="7"/>
        <v/>
      </c>
      <c r="V112" s="16" t="str">
        <f t="shared" si="8"/>
        <v/>
      </c>
    </row>
    <row r="113" spans="17:22" x14ac:dyDescent="0.15">
      <c r="Q113" s="74" t="str">
        <f t="shared" si="6"/>
        <v/>
      </c>
      <c r="T113" s="16" t="str">
        <f t="shared" si="7"/>
        <v/>
      </c>
      <c r="V113" s="16" t="str">
        <f t="shared" si="8"/>
        <v/>
      </c>
    </row>
    <row r="114" spans="17:22" x14ac:dyDescent="0.15">
      <c r="Q114" s="74" t="str">
        <f t="shared" si="6"/>
        <v/>
      </c>
      <c r="T114" s="16" t="str">
        <f t="shared" si="7"/>
        <v/>
      </c>
      <c r="V114" s="16" t="str">
        <f t="shared" si="8"/>
        <v/>
      </c>
    </row>
    <row r="115" spans="17:22" x14ac:dyDescent="0.15">
      <c r="Q115" s="74" t="str">
        <f t="shared" si="6"/>
        <v/>
      </c>
      <c r="T115" s="16" t="str">
        <f t="shared" si="7"/>
        <v/>
      </c>
      <c r="V115" s="16" t="str">
        <f t="shared" si="8"/>
        <v/>
      </c>
    </row>
    <row r="116" spans="17:22" x14ac:dyDescent="0.15">
      <c r="Q116" s="74" t="str">
        <f t="shared" si="6"/>
        <v/>
      </c>
      <c r="T116" s="16" t="str">
        <f t="shared" si="7"/>
        <v/>
      </c>
      <c r="V116" s="16" t="str">
        <f t="shared" si="8"/>
        <v/>
      </c>
    </row>
    <row r="117" spans="17:22" x14ac:dyDescent="0.15">
      <c r="Q117" s="74" t="str">
        <f t="shared" si="6"/>
        <v/>
      </c>
      <c r="T117" s="16" t="str">
        <f t="shared" si="7"/>
        <v/>
      </c>
      <c r="V117" s="16" t="str">
        <f t="shared" si="8"/>
        <v/>
      </c>
    </row>
    <row r="118" spans="17:22" x14ac:dyDescent="0.15">
      <c r="Q118" s="74" t="str">
        <f t="shared" si="6"/>
        <v/>
      </c>
      <c r="T118" s="16" t="str">
        <f t="shared" si="7"/>
        <v/>
      </c>
      <c r="V118" s="16" t="str">
        <f t="shared" si="8"/>
        <v/>
      </c>
    </row>
    <row r="119" spans="17:22" x14ac:dyDescent="0.15">
      <c r="Q119" s="74" t="str">
        <f t="shared" si="6"/>
        <v/>
      </c>
      <c r="T119" s="16" t="str">
        <f t="shared" si="7"/>
        <v/>
      </c>
      <c r="V119" s="16" t="str">
        <f t="shared" si="8"/>
        <v/>
      </c>
    </row>
    <row r="120" spans="17:22" x14ac:dyDescent="0.15">
      <c r="Q120" s="74" t="str">
        <f t="shared" si="6"/>
        <v/>
      </c>
      <c r="T120" s="16" t="str">
        <f t="shared" si="7"/>
        <v/>
      </c>
      <c r="V120" s="16" t="str">
        <f t="shared" si="8"/>
        <v/>
      </c>
    </row>
    <row r="121" spans="17:22" x14ac:dyDescent="0.15">
      <c r="Q121" s="74" t="str">
        <f t="shared" si="6"/>
        <v/>
      </c>
      <c r="T121" s="16" t="str">
        <f t="shared" si="7"/>
        <v/>
      </c>
      <c r="V121" s="16" t="str">
        <f t="shared" si="8"/>
        <v/>
      </c>
    </row>
    <row r="122" spans="17:22" x14ac:dyDescent="0.15">
      <c r="Q122" s="74" t="str">
        <f t="shared" si="6"/>
        <v/>
      </c>
      <c r="T122" s="16" t="str">
        <f t="shared" si="7"/>
        <v/>
      </c>
      <c r="V122" s="16" t="str">
        <f t="shared" si="8"/>
        <v/>
      </c>
    </row>
    <row r="123" spans="17:22" x14ac:dyDescent="0.15">
      <c r="Q123" s="74" t="str">
        <f t="shared" si="6"/>
        <v/>
      </c>
      <c r="T123" s="16" t="str">
        <f t="shared" si="7"/>
        <v/>
      </c>
      <c r="V123" s="16" t="str">
        <f t="shared" si="8"/>
        <v/>
      </c>
    </row>
    <row r="124" spans="17:22" x14ac:dyDescent="0.15">
      <c r="Q124" s="74" t="str">
        <f t="shared" si="6"/>
        <v/>
      </c>
      <c r="T124" s="16" t="str">
        <f t="shared" si="7"/>
        <v/>
      </c>
      <c r="V124" s="16" t="str">
        <f t="shared" si="8"/>
        <v/>
      </c>
    </row>
    <row r="125" spans="17:22" x14ac:dyDescent="0.15">
      <c r="Q125" s="74" t="str">
        <f t="shared" si="6"/>
        <v/>
      </c>
      <c r="T125" s="16" t="str">
        <f t="shared" si="7"/>
        <v/>
      </c>
      <c r="V125" s="16" t="str">
        <f t="shared" si="8"/>
        <v/>
      </c>
    </row>
    <row r="126" spans="17:22" x14ac:dyDescent="0.15">
      <c r="Q126" s="74" t="str">
        <f t="shared" si="6"/>
        <v/>
      </c>
      <c r="T126" s="16" t="str">
        <f t="shared" si="7"/>
        <v/>
      </c>
      <c r="V126" s="16" t="str">
        <f t="shared" si="8"/>
        <v/>
      </c>
    </row>
    <row r="127" spans="17:22" x14ac:dyDescent="0.15">
      <c r="Q127" s="74" t="str">
        <f t="shared" si="6"/>
        <v/>
      </c>
      <c r="T127" s="16" t="str">
        <f t="shared" si="7"/>
        <v/>
      </c>
      <c r="V127" s="16" t="str">
        <f t="shared" si="8"/>
        <v/>
      </c>
    </row>
    <row r="128" spans="17:22" x14ac:dyDescent="0.15">
      <c r="Q128" s="74" t="str">
        <f t="shared" si="6"/>
        <v/>
      </c>
      <c r="T128" s="16" t="str">
        <f t="shared" si="7"/>
        <v/>
      </c>
      <c r="V128" s="16" t="str">
        <f t="shared" si="8"/>
        <v/>
      </c>
    </row>
    <row r="129" spans="17:22" x14ac:dyDescent="0.15">
      <c r="Q129" s="74" t="str">
        <f t="shared" si="6"/>
        <v/>
      </c>
      <c r="T129" s="16" t="str">
        <f t="shared" si="7"/>
        <v/>
      </c>
      <c r="V129" s="16" t="str">
        <f t="shared" si="8"/>
        <v/>
      </c>
    </row>
    <row r="130" spans="17:22" x14ac:dyDescent="0.15">
      <c r="Q130" s="74" t="str">
        <f t="shared" si="6"/>
        <v/>
      </c>
      <c r="T130" s="16" t="str">
        <f t="shared" si="7"/>
        <v/>
      </c>
      <c r="V130" s="16" t="str">
        <f t="shared" si="8"/>
        <v/>
      </c>
    </row>
    <row r="131" spans="17:22" x14ac:dyDescent="0.15">
      <c r="Q131" s="74" t="str">
        <f t="shared" si="6"/>
        <v/>
      </c>
      <c r="T131" s="16" t="str">
        <f t="shared" si="7"/>
        <v/>
      </c>
      <c r="V131" s="16" t="str">
        <f t="shared" si="8"/>
        <v/>
      </c>
    </row>
    <row r="132" spans="17:22" x14ac:dyDescent="0.15">
      <c r="Q132" s="74" t="str">
        <f t="shared" si="6"/>
        <v/>
      </c>
      <c r="T132" s="16" t="str">
        <f t="shared" si="7"/>
        <v/>
      </c>
      <c r="V132" s="16" t="str">
        <f t="shared" si="8"/>
        <v/>
      </c>
    </row>
    <row r="133" spans="17:22" x14ac:dyDescent="0.15">
      <c r="Q133" s="74" t="str">
        <f t="shared" si="6"/>
        <v/>
      </c>
      <c r="T133" s="16" t="str">
        <f t="shared" si="7"/>
        <v/>
      </c>
      <c r="V133" s="16" t="str">
        <f t="shared" si="8"/>
        <v/>
      </c>
    </row>
    <row r="134" spans="17:22" x14ac:dyDescent="0.15">
      <c r="Q134" s="74" t="str">
        <f t="shared" si="6"/>
        <v/>
      </c>
      <c r="T134" s="16" t="str">
        <f t="shared" si="7"/>
        <v/>
      </c>
      <c r="V134" s="16" t="str">
        <f t="shared" si="8"/>
        <v/>
      </c>
    </row>
    <row r="135" spans="17:22" x14ac:dyDescent="0.15">
      <c r="Q135" s="74" t="str">
        <f t="shared" si="6"/>
        <v/>
      </c>
      <c r="T135" s="16" t="str">
        <f t="shared" si="7"/>
        <v/>
      </c>
      <c r="V135" s="16" t="str">
        <f t="shared" si="8"/>
        <v/>
      </c>
    </row>
    <row r="136" spans="17:22" x14ac:dyDescent="0.15">
      <c r="Q136" s="74" t="str">
        <f t="shared" si="6"/>
        <v/>
      </c>
      <c r="T136" s="16" t="str">
        <f t="shared" si="7"/>
        <v/>
      </c>
      <c r="V136" s="16" t="str">
        <f t="shared" si="8"/>
        <v/>
      </c>
    </row>
    <row r="137" spans="17:22" x14ac:dyDescent="0.15">
      <c r="Q137" s="74" t="str">
        <f t="shared" si="6"/>
        <v/>
      </c>
      <c r="T137" s="16" t="str">
        <f t="shared" si="7"/>
        <v/>
      </c>
      <c r="V137" s="16" t="str">
        <f t="shared" si="8"/>
        <v/>
      </c>
    </row>
    <row r="138" spans="17:22" x14ac:dyDescent="0.15">
      <c r="Q138" s="74" t="str">
        <f t="shared" si="6"/>
        <v/>
      </c>
      <c r="T138" s="16" t="str">
        <f t="shared" si="7"/>
        <v/>
      </c>
      <c r="V138" s="16" t="str">
        <f t="shared" si="8"/>
        <v/>
      </c>
    </row>
    <row r="139" spans="17:22" x14ac:dyDescent="0.15">
      <c r="Q139" s="74" t="str">
        <f t="shared" si="6"/>
        <v/>
      </c>
      <c r="T139" s="16" t="str">
        <f t="shared" si="7"/>
        <v/>
      </c>
      <c r="V139" s="16" t="str">
        <f t="shared" si="8"/>
        <v/>
      </c>
    </row>
    <row r="140" spans="17:22" x14ac:dyDescent="0.15">
      <c r="Q140" s="74" t="str">
        <f t="shared" si="6"/>
        <v/>
      </c>
      <c r="T140" s="16" t="str">
        <f t="shared" si="7"/>
        <v/>
      </c>
      <c r="V140" s="16" t="str">
        <f t="shared" si="8"/>
        <v/>
      </c>
    </row>
    <row r="141" spans="17:22" x14ac:dyDescent="0.15">
      <c r="Q141" s="74" t="str">
        <f t="shared" si="6"/>
        <v/>
      </c>
      <c r="T141" s="16" t="str">
        <f t="shared" si="7"/>
        <v/>
      </c>
      <c r="V141" s="16" t="str">
        <f t="shared" si="8"/>
        <v/>
      </c>
    </row>
    <row r="142" spans="17:22" x14ac:dyDescent="0.15">
      <c r="Q142" s="74" t="str">
        <f t="shared" si="6"/>
        <v/>
      </c>
      <c r="T142" s="16" t="str">
        <f t="shared" si="7"/>
        <v/>
      </c>
      <c r="V142" s="16" t="str">
        <f t="shared" si="8"/>
        <v/>
      </c>
    </row>
    <row r="143" spans="17:22" x14ac:dyDescent="0.15">
      <c r="Q143" s="74" t="str">
        <f t="shared" si="6"/>
        <v/>
      </c>
      <c r="T143" s="16" t="str">
        <f t="shared" si="7"/>
        <v/>
      </c>
      <c r="V143" s="16" t="str">
        <f t="shared" si="8"/>
        <v/>
      </c>
    </row>
    <row r="144" spans="17:22" x14ac:dyDescent="0.15">
      <c r="Q144" s="74" t="str">
        <f t="shared" si="6"/>
        <v/>
      </c>
      <c r="T144" s="16" t="str">
        <f t="shared" si="7"/>
        <v/>
      </c>
      <c r="V144" s="16" t="str">
        <f t="shared" si="8"/>
        <v/>
      </c>
    </row>
    <row r="145" spans="17:22" x14ac:dyDescent="0.15">
      <c r="Q145" s="74" t="str">
        <f t="shared" si="6"/>
        <v/>
      </c>
      <c r="T145" s="16" t="str">
        <f t="shared" si="7"/>
        <v/>
      </c>
      <c r="V145" s="16" t="str">
        <f t="shared" si="8"/>
        <v/>
      </c>
    </row>
    <row r="146" spans="17:22" x14ac:dyDescent="0.15">
      <c r="Q146" s="74" t="str">
        <f t="shared" si="6"/>
        <v/>
      </c>
      <c r="T146" s="16" t="str">
        <f t="shared" si="7"/>
        <v/>
      </c>
      <c r="V146" s="16" t="str">
        <f t="shared" si="8"/>
        <v/>
      </c>
    </row>
    <row r="147" spans="17:22" x14ac:dyDescent="0.15">
      <c r="Q147" s="74" t="str">
        <f t="shared" si="6"/>
        <v/>
      </c>
      <c r="T147" s="16" t="str">
        <f t="shared" si="7"/>
        <v/>
      </c>
      <c r="V147" s="16" t="str">
        <f t="shared" si="8"/>
        <v/>
      </c>
    </row>
    <row r="148" spans="17:22" x14ac:dyDescent="0.15">
      <c r="Q148" s="74" t="str">
        <f t="shared" si="6"/>
        <v/>
      </c>
      <c r="T148" s="16" t="str">
        <f t="shared" si="7"/>
        <v/>
      </c>
      <c r="V148" s="16" t="str">
        <f t="shared" si="8"/>
        <v/>
      </c>
    </row>
    <row r="149" spans="17:22" x14ac:dyDescent="0.15">
      <c r="Q149" s="74" t="str">
        <f t="shared" si="6"/>
        <v/>
      </c>
      <c r="T149" s="16" t="str">
        <f t="shared" si="7"/>
        <v/>
      </c>
      <c r="V149" s="16" t="str">
        <f t="shared" si="8"/>
        <v/>
      </c>
    </row>
    <row r="150" spans="17:22" x14ac:dyDescent="0.15">
      <c r="Q150" s="74" t="str">
        <f t="shared" si="6"/>
        <v/>
      </c>
      <c r="T150" s="16" t="str">
        <f t="shared" si="7"/>
        <v/>
      </c>
      <c r="V150" s="16" t="str">
        <f t="shared" si="8"/>
        <v/>
      </c>
    </row>
    <row r="151" spans="17:22" x14ac:dyDescent="0.15">
      <c r="Q151" s="74" t="str">
        <f t="shared" si="6"/>
        <v/>
      </c>
      <c r="T151" s="16" t="str">
        <f t="shared" si="7"/>
        <v/>
      </c>
      <c r="V151" s="16" t="str">
        <f t="shared" si="8"/>
        <v/>
      </c>
    </row>
    <row r="152" spans="17:22" x14ac:dyDescent="0.15">
      <c r="Q152" s="74" t="str">
        <f t="shared" si="6"/>
        <v/>
      </c>
      <c r="T152" s="16" t="str">
        <f t="shared" si="7"/>
        <v/>
      </c>
      <c r="V152" s="16" t="str">
        <f t="shared" si="8"/>
        <v/>
      </c>
    </row>
    <row r="153" spans="17:22" x14ac:dyDescent="0.15">
      <c r="Q153" s="74" t="str">
        <f t="shared" si="6"/>
        <v/>
      </c>
      <c r="T153" s="16" t="str">
        <f t="shared" si="7"/>
        <v/>
      </c>
      <c r="V153" s="16" t="str">
        <f t="shared" si="8"/>
        <v/>
      </c>
    </row>
    <row r="154" spans="17:22" x14ac:dyDescent="0.15">
      <c r="Q154" s="74" t="str">
        <f t="shared" si="6"/>
        <v/>
      </c>
      <c r="T154" s="16" t="str">
        <f t="shared" si="7"/>
        <v/>
      </c>
      <c r="V154" s="16" t="str">
        <f t="shared" si="8"/>
        <v/>
      </c>
    </row>
    <row r="155" spans="17:22" x14ac:dyDescent="0.15">
      <c r="Q155" s="74" t="str">
        <f t="shared" si="6"/>
        <v/>
      </c>
      <c r="T155" s="16" t="str">
        <f t="shared" si="7"/>
        <v/>
      </c>
      <c r="V155" s="16" t="str">
        <f t="shared" si="8"/>
        <v/>
      </c>
    </row>
    <row r="156" spans="17:22" x14ac:dyDescent="0.15">
      <c r="Q156" s="74" t="str">
        <f t="shared" si="6"/>
        <v/>
      </c>
      <c r="T156" s="16" t="str">
        <f t="shared" si="7"/>
        <v/>
      </c>
      <c r="V156" s="16" t="str">
        <f t="shared" si="8"/>
        <v/>
      </c>
    </row>
    <row r="157" spans="17:22" x14ac:dyDescent="0.15">
      <c r="Q157" s="74" t="str">
        <f t="shared" si="6"/>
        <v/>
      </c>
      <c r="T157" s="16" t="str">
        <f t="shared" si="7"/>
        <v/>
      </c>
      <c r="V157" s="16" t="str">
        <f t="shared" si="8"/>
        <v/>
      </c>
    </row>
    <row r="158" spans="17:22" x14ac:dyDescent="0.15">
      <c r="Q158" s="74" t="str">
        <f t="shared" si="6"/>
        <v/>
      </c>
      <c r="T158" s="16" t="str">
        <f t="shared" si="7"/>
        <v/>
      </c>
      <c r="V158" s="16" t="str">
        <f t="shared" si="8"/>
        <v/>
      </c>
    </row>
    <row r="159" spans="17:22" x14ac:dyDescent="0.15">
      <c r="Q159" s="74" t="str">
        <f t="shared" si="6"/>
        <v/>
      </c>
      <c r="T159" s="16" t="str">
        <f t="shared" si="7"/>
        <v/>
      </c>
      <c r="V159" s="16" t="str">
        <f t="shared" si="8"/>
        <v/>
      </c>
    </row>
    <row r="160" spans="17:22" x14ac:dyDescent="0.15">
      <c r="Q160" s="74" t="str">
        <f t="shared" si="6"/>
        <v/>
      </c>
      <c r="T160" s="16" t="str">
        <f t="shared" si="7"/>
        <v/>
      </c>
      <c r="V160" s="16" t="str">
        <f t="shared" si="8"/>
        <v/>
      </c>
    </row>
    <row r="161" spans="17:22" x14ac:dyDescent="0.15">
      <c r="Q161" s="74" t="str">
        <f t="shared" si="6"/>
        <v/>
      </c>
      <c r="T161" s="16" t="str">
        <f t="shared" si="7"/>
        <v/>
      </c>
      <c r="V161" s="16" t="str">
        <f t="shared" si="8"/>
        <v/>
      </c>
    </row>
    <row r="162" spans="17:22" x14ac:dyDescent="0.15">
      <c r="Q162" s="74" t="str">
        <f t="shared" si="6"/>
        <v/>
      </c>
      <c r="T162" s="16" t="str">
        <f t="shared" si="7"/>
        <v/>
      </c>
      <c r="V162" s="16" t="str">
        <f t="shared" si="8"/>
        <v/>
      </c>
    </row>
    <row r="163" spans="17:22" x14ac:dyDescent="0.15">
      <c r="Q163" s="74" t="str">
        <f t="shared" si="6"/>
        <v/>
      </c>
      <c r="T163" s="16" t="str">
        <f t="shared" si="7"/>
        <v/>
      </c>
      <c r="V163" s="16" t="str">
        <f t="shared" si="8"/>
        <v/>
      </c>
    </row>
    <row r="164" spans="17:22" x14ac:dyDescent="0.15">
      <c r="Q164" s="74" t="str">
        <f t="shared" si="6"/>
        <v/>
      </c>
      <c r="T164" s="16" t="str">
        <f t="shared" si="7"/>
        <v/>
      </c>
      <c r="V164" s="16" t="str">
        <f t="shared" si="8"/>
        <v/>
      </c>
    </row>
    <row r="165" spans="17:22" x14ac:dyDescent="0.15">
      <c r="Q165" s="74" t="str">
        <f t="shared" si="6"/>
        <v/>
      </c>
      <c r="T165" s="16" t="str">
        <f t="shared" si="7"/>
        <v/>
      </c>
      <c r="V165" s="16" t="str">
        <f t="shared" si="8"/>
        <v/>
      </c>
    </row>
    <row r="166" spans="17:22" x14ac:dyDescent="0.15">
      <c r="Q166" s="74" t="str">
        <f t="shared" si="6"/>
        <v/>
      </c>
      <c r="T166" s="16" t="str">
        <f t="shared" si="7"/>
        <v/>
      </c>
      <c r="V166" s="16" t="str">
        <f t="shared" si="8"/>
        <v/>
      </c>
    </row>
    <row r="167" spans="17:22" x14ac:dyDescent="0.15">
      <c r="Q167" s="74" t="str">
        <f t="shared" si="6"/>
        <v/>
      </c>
      <c r="T167" s="16" t="str">
        <f t="shared" si="7"/>
        <v/>
      </c>
      <c r="V167" s="16" t="str">
        <f t="shared" si="8"/>
        <v/>
      </c>
    </row>
    <row r="168" spans="17:22" x14ac:dyDescent="0.15">
      <c r="Q168" s="74" t="str">
        <f t="shared" si="6"/>
        <v/>
      </c>
      <c r="T168" s="16" t="str">
        <f t="shared" si="7"/>
        <v/>
      </c>
      <c r="V168" s="16" t="str">
        <f t="shared" si="8"/>
        <v/>
      </c>
    </row>
    <row r="169" spans="17:22" x14ac:dyDescent="0.15">
      <c r="Q169" s="74" t="str">
        <f t="shared" si="6"/>
        <v/>
      </c>
      <c r="T169" s="16" t="str">
        <f t="shared" si="7"/>
        <v/>
      </c>
      <c r="V169" s="16" t="str">
        <f t="shared" si="8"/>
        <v/>
      </c>
    </row>
    <row r="170" spans="17:22" x14ac:dyDescent="0.15">
      <c r="Q170" s="74" t="str">
        <f t="shared" si="6"/>
        <v/>
      </c>
      <c r="T170" s="16" t="str">
        <f t="shared" si="7"/>
        <v/>
      </c>
      <c r="V170" s="16" t="str">
        <f t="shared" si="8"/>
        <v/>
      </c>
    </row>
    <row r="171" spans="17:22" x14ac:dyDescent="0.15">
      <c r="Q171" s="74" t="str">
        <f t="shared" si="6"/>
        <v/>
      </c>
      <c r="T171" s="16" t="str">
        <f t="shared" si="7"/>
        <v/>
      </c>
      <c r="V171" s="16" t="str">
        <f t="shared" si="8"/>
        <v/>
      </c>
    </row>
    <row r="172" spans="17:22" x14ac:dyDescent="0.15">
      <c r="Q172" s="74" t="str">
        <f t="shared" si="6"/>
        <v/>
      </c>
      <c r="T172" s="16" t="str">
        <f t="shared" si="7"/>
        <v/>
      </c>
      <c r="V172" s="16" t="str">
        <f t="shared" si="8"/>
        <v/>
      </c>
    </row>
    <row r="173" spans="17:22" x14ac:dyDescent="0.15">
      <c r="Q173" s="74" t="str">
        <f t="shared" si="6"/>
        <v/>
      </c>
      <c r="T173" s="16" t="str">
        <f t="shared" si="7"/>
        <v/>
      </c>
      <c r="V173" s="16" t="str">
        <f t="shared" si="8"/>
        <v/>
      </c>
    </row>
    <row r="174" spans="17:22" x14ac:dyDescent="0.15">
      <c r="Q174" s="74" t="str">
        <f t="shared" ref="Q174:Q237" si="9">IF(OR(O174="",P174=""),"",AVERAGE(O174,P174))</f>
        <v/>
      </c>
      <c r="T174" s="16" t="str">
        <f t="shared" ref="T174:T237" si="10">IF(H174="","",IF(OR(H174="GREEN",H174="GK"),IF(S174&gt;=$AX$2,VLOOKUP(S174,$AX$2:$AY$10,2,1),""),IF(S174&gt;=$AZ$2,VLOOKUP(S174,$AZ$2:$BA$10,2,1),"")))</f>
        <v/>
      </c>
      <c r="V174" s="16" t="str">
        <f t="shared" ref="V174:V237" si="11">IF(OR(N174="",U174="",T174=""),"",U174/N174*T174)</f>
        <v/>
      </c>
    </row>
    <row r="175" spans="17:22" x14ac:dyDescent="0.15">
      <c r="Q175" s="74" t="str">
        <f t="shared" si="9"/>
        <v/>
      </c>
      <c r="T175" s="16" t="str">
        <f t="shared" si="10"/>
        <v/>
      </c>
      <c r="V175" s="16" t="str">
        <f t="shared" si="11"/>
        <v/>
      </c>
    </row>
    <row r="176" spans="17:22" x14ac:dyDescent="0.15">
      <c r="Q176" s="74" t="str">
        <f t="shared" si="9"/>
        <v/>
      </c>
      <c r="T176" s="16" t="str">
        <f t="shared" si="10"/>
        <v/>
      </c>
      <c r="V176" s="16" t="str">
        <f t="shared" si="11"/>
        <v/>
      </c>
    </row>
    <row r="177" spans="17:22" x14ac:dyDescent="0.15">
      <c r="Q177" s="74" t="str">
        <f t="shared" si="9"/>
        <v/>
      </c>
      <c r="T177" s="16" t="str">
        <f t="shared" si="10"/>
        <v/>
      </c>
      <c r="V177" s="16" t="str">
        <f t="shared" si="11"/>
        <v/>
      </c>
    </row>
    <row r="178" spans="17:22" x14ac:dyDescent="0.15">
      <c r="Q178" s="74" t="str">
        <f t="shared" si="9"/>
        <v/>
      </c>
      <c r="T178" s="16" t="str">
        <f t="shared" si="10"/>
        <v/>
      </c>
      <c r="V178" s="16" t="str">
        <f t="shared" si="11"/>
        <v/>
      </c>
    </row>
    <row r="179" spans="17:22" x14ac:dyDescent="0.15">
      <c r="Q179" s="74" t="str">
        <f t="shared" si="9"/>
        <v/>
      </c>
      <c r="T179" s="16" t="str">
        <f t="shared" si="10"/>
        <v/>
      </c>
      <c r="V179" s="16" t="str">
        <f t="shared" si="11"/>
        <v/>
      </c>
    </row>
    <row r="180" spans="17:22" x14ac:dyDescent="0.15">
      <c r="Q180" s="74" t="str">
        <f t="shared" si="9"/>
        <v/>
      </c>
      <c r="T180" s="16" t="str">
        <f t="shared" si="10"/>
        <v/>
      </c>
      <c r="V180" s="16" t="str">
        <f t="shared" si="11"/>
        <v/>
      </c>
    </row>
    <row r="181" spans="17:22" x14ac:dyDescent="0.15">
      <c r="Q181" s="74" t="str">
        <f t="shared" si="9"/>
        <v/>
      </c>
      <c r="T181" s="16" t="str">
        <f t="shared" si="10"/>
        <v/>
      </c>
      <c r="V181" s="16" t="str">
        <f t="shared" si="11"/>
        <v/>
      </c>
    </row>
    <row r="182" spans="17:22" x14ac:dyDescent="0.15">
      <c r="Q182" s="74" t="str">
        <f t="shared" si="9"/>
        <v/>
      </c>
      <c r="T182" s="16" t="str">
        <f t="shared" si="10"/>
        <v/>
      </c>
      <c r="V182" s="16" t="str">
        <f t="shared" si="11"/>
        <v/>
      </c>
    </row>
    <row r="183" spans="17:22" x14ac:dyDescent="0.15">
      <c r="Q183" s="74" t="str">
        <f t="shared" si="9"/>
        <v/>
      </c>
      <c r="T183" s="16" t="str">
        <f t="shared" si="10"/>
        <v/>
      </c>
      <c r="V183" s="16" t="str">
        <f t="shared" si="11"/>
        <v/>
      </c>
    </row>
    <row r="184" spans="17:22" x14ac:dyDescent="0.15">
      <c r="Q184" s="74" t="str">
        <f t="shared" si="9"/>
        <v/>
      </c>
      <c r="T184" s="16" t="str">
        <f t="shared" si="10"/>
        <v/>
      </c>
      <c r="V184" s="16" t="str">
        <f t="shared" si="11"/>
        <v/>
      </c>
    </row>
    <row r="185" spans="17:22" x14ac:dyDescent="0.15">
      <c r="Q185" s="74" t="str">
        <f t="shared" si="9"/>
        <v/>
      </c>
      <c r="T185" s="16" t="str">
        <f t="shared" si="10"/>
        <v/>
      </c>
      <c r="V185" s="16" t="str">
        <f t="shared" si="11"/>
        <v/>
      </c>
    </row>
    <row r="186" spans="17:22" x14ac:dyDescent="0.15">
      <c r="Q186" s="74" t="str">
        <f t="shared" si="9"/>
        <v/>
      </c>
      <c r="T186" s="16" t="str">
        <f t="shared" si="10"/>
        <v/>
      </c>
      <c r="V186" s="16" t="str">
        <f t="shared" si="11"/>
        <v/>
      </c>
    </row>
    <row r="187" spans="17:22" x14ac:dyDescent="0.15">
      <c r="Q187" s="74" t="str">
        <f t="shared" si="9"/>
        <v/>
      </c>
      <c r="T187" s="16" t="str">
        <f t="shared" si="10"/>
        <v/>
      </c>
      <c r="V187" s="16" t="str">
        <f t="shared" si="11"/>
        <v/>
      </c>
    </row>
    <row r="188" spans="17:22" x14ac:dyDescent="0.15">
      <c r="Q188" s="74" t="str">
        <f t="shared" si="9"/>
        <v/>
      </c>
      <c r="T188" s="16" t="str">
        <f t="shared" si="10"/>
        <v/>
      </c>
      <c r="V188" s="16" t="str">
        <f t="shared" si="11"/>
        <v/>
      </c>
    </row>
    <row r="189" spans="17:22" x14ac:dyDescent="0.15">
      <c r="Q189" s="74" t="str">
        <f t="shared" si="9"/>
        <v/>
      </c>
      <c r="T189" s="16" t="str">
        <f t="shared" si="10"/>
        <v/>
      </c>
      <c r="V189" s="16" t="str">
        <f t="shared" si="11"/>
        <v/>
      </c>
    </row>
    <row r="190" spans="17:22" x14ac:dyDescent="0.15">
      <c r="Q190" s="74" t="str">
        <f t="shared" si="9"/>
        <v/>
      </c>
      <c r="T190" s="16" t="str">
        <f t="shared" si="10"/>
        <v/>
      </c>
      <c r="V190" s="16" t="str">
        <f t="shared" si="11"/>
        <v/>
      </c>
    </row>
    <row r="191" spans="17:22" x14ac:dyDescent="0.15">
      <c r="Q191" s="74" t="str">
        <f t="shared" si="9"/>
        <v/>
      </c>
      <c r="T191" s="16" t="str">
        <f t="shared" si="10"/>
        <v/>
      </c>
      <c r="V191" s="16" t="str">
        <f t="shared" si="11"/>
        <v/>
      </c>
    </row>
    <row r="192" spans="17:22" x14ac:dyDescent="0.15">
      <c r="Q192" s="74" t="str">
        <f t="shared" si="9"/>
        <v/>
      </c>
      <c r="T192" s="16" t="str">
        <f t="shared" si="10"/>
        <v/>
      </c>
      <c r="V192" s="16" t="str">
        <f t="shared" si="11"/>
        <v/>
      </c>
    </row>
    <row r="193" spans="17:22" x14ac:dyDescent="0.15">
      <c r="Q193" s="74" t="str">
        <f t="shared" si="9"/>
        <v/>
      </c>
      <c r="T193" s="16" t="str">
        <f t="shared" si="10"/>
        <v/>
      </c>
      <c r="V193" s="16" t="str">
        <f t="shared" si="11"/>
        <v/>
      </c>
    </row>
    <row r="194" spans="17:22" x14ac:dyDescent="0.15">
      <c r="Q194" s="74" t="str">
        <f t="shared" si="9"/>
        <v/>
      </c>
      <c r="T194" s="16" t="str">
        <f t="shared" si="10"/>
        <v/>
      </c>
      <c r="V194" s="16" t="str">
        <f t="shared" si="11"/>
        <v/>
      </c>
    </row>
    <row r="195" spans="17:22" x14ac:dyDescent="0.15">
      <c r="Q195" s="74" t="str">
        <f t="shared" si="9"/>
        <v/>
      </c>
      <c r="T195" s="16" t="str">
        <f t="shared" si="10"/>
        <v/>
      </c>
      <c r="V195" s="16" t="str">
        <f t="shared" si="11"/>
        <v/>
      </c>
    </row>
    <row r="196" spans="17:22" x14ac:dyDescent="0.15">
      <c r="Q196" s="74" t="str">
        <f t="shared" si="9"/>
        <v/>
      </c>
      <c r="T196" s="16" t="str">
        <f t="shared" si="10"/>
        <v/>
      </c>
      <c r="V196" s="16" t="str">
        <f t="shared" si="11"/>
        <v/>
      </c>
    </row>
    <row r="197" spans="17:22" x14ac:dyDescent="0.15">
      <c r="Q197" s="74" t="str">
        <f t="shared" si="9"/>
        <v/>
      </c>
      <c r="T197" s="16" t="str">
        <f t="shared" si="10"/>
        <v/>
      </c>
      <c r="V197" s="16" t="str">
        <f t="shared" si="11"/>
        <v/>
      </c>
    </row>
    <row r="198" spans="17:22" x14ac:dyDescent="0.15">
      <c r="Q198" s="74" t="str">
        <f t="shared" si="9"/>
        <v/>
      </c>
      <c r="T198" s="16" t="str">
        <f t="shared" si="10"/>
        <v/>
      </c>
      <c r="V198" s="16" t="str">
        <f t="shared" si="11"/>
        <v/>
      </c>
    </row>
    <row r="199" spans="17:22" x14ac:dyDescent="0.15">
      <c r="Q199" s="74" t="str">
        <f t="shared" si="9"/>
        <v/>
      </c>
      <c r="T199" s="16" t="str">
        <f t="shared" si="10"/>
        <v/>
      </c>
      <c r="V199" s="16" t="str">
        <f t="shared" si="11"/>
        <v/>
      </c>
    </row>
    <row r="200" spans="17:22" x14ac:dyDescent="0.15">
      <c r="Q200" s="74" t="str">
        <f t="shared" si="9"/>
        <v/>
      </c>
      <c r="T200" s="16" t="str">
        <f t="shared" si="10"/>
        <v/>
      </c>
      <c r="V200" s="16" t="str">
        <f t="shared" si="11"/>
        <v/>
      </c>
    </row>
    <row r="201" spans="17:22" x14ac:dyDescent="0.15">
      <c r="Q201" s="74" t="str">
        <f t="shared" si="9"/>
        <v/>
      </c>
      <c r="T201" s="16" t="str">
        <f t="shared" si="10"/>
        <v/>
      </c>
      <c r="V201" s="16" t="str">
        <f t="shared" si="11"/>
        <v/>
      </c>
    </row>
    <row r="202" spans="17:22" x14ac:dyDescent="0.15">
      <c r="Q202" s="74" t="str">
        <f t="shared" si="9"/>
        <v/>
      </c>
      <c r="T202" s="16" t="str">
        <f t="shared" si="10"/>
        <v/>
      </c>
      <c r="V202" s="16" t="str">
        <f t="shared" si="11"/>
        <v/>
      </c>
    </row>
    <row r="203" spans="17:22" x14ac:dyDescent="0.15">
      <c r="Q203" s="74" t="str">
        <f t="shared" si="9"/>
        <v/>
      </c>
      <c r="T203" s="16" t="str">
        <f t="shared" si="10"/>
        <v/>
      </c>
      <c r="V203" s="16" t="str">
        <f t="shared" si="11"/>
        <v/>
      </c>
    </row>
    <row r="204" spans="17:22" x14ac:dyDescent="0.15">
      <c r="Q204" s="74" t="str">
        <f t="shared" si="9"/>
        <v/>
      </c>
      <c r="T204" s="16" t="str">
        <f t="shared" si="10"/>
        <v/>
      </c>
      <c r="V204" s="16" t="str">
        <f t="shared" si="11"/>
        <v/>
      </c>
    </row>
    <row r="205" spans="17:22" x14ac:dyDescent="0.15">
      <c r="Q205" s="74" t="str">
        <f t="shared" si="9"/>
        <v/>
      </c>
      <c r="T205" s="16" t="str">
        <f t="shared" si="10"/>
        <v/>
      </c>
      <c r="V205" s="16" t="str">
        <f t="shared" si="11"/>
        <v/>
      </c>
    </row>
    <row r="206" spans="17:22" x14ac:dyDescent="0.15">
      <c r="Q206" s="74" t="str">
        <f t="shared" si="9"/>
        <v/>
      </c>
      <c r="T206" s="16" t="str">
        <f t="shared" si="10"/>
        <v/>
      </c>
      <c r="V206" s="16" t="str">
        <f t="shared" si="11"/>
        <v/>
      </c>
    </row>
    <row r="207" spans="17:22" x14ac:dyDescent="0.15">
      <c r="Q207" s="74" t="str">
        <f t="shared" si="9"/>
        <v/>
      </c>
      <c r="T207" s="16" t="str">
        <f t="shared" si="10"/>
        <v/>
      </c>
      <c r="V207" s="16" t="str">
        <f t="shared" si="11"/>
        <v/>
      </c>
    </row>
    <row r="208" spans="17:22" x14ac:dyDescent="0.15">
      <c r="Q208" s="74" t="str">
        <f t="shared" si="9"/>
        <v/>
      </c>
      <c r="T208" s="16" t="str">
        <f t="shared" si="10"/>
        <v/>
      </c>
      <c r="V208" s="16" t="str">
        <f t="shared" si="11"/>
        <v/>
      </c>
    </row>
    <row r="209" spans="17:22" x14ac:dyDescent="0.15">
      <c r="Q209" s="74" t="str">
        <f t="shared" si="9"/>
        <v/>
      </c>
      <c r="T209" s="16" t="str">
        <f t="shared" si="10"/>
        <v/>
      </c>
      <c r="V209" s="16" t="str">
        <f t="shared" si="11"/>
        <v/>
      </c>
    </row>
    <row r="210" spans="17:22" x14ac:dyDescent="0.15">
      <c r="Q210" s="74" t="str">
        <f t="shared" si="9"/>
        <v/>
      </c>
      <c r="T210" s="16" t="str">
        <f t="shared" si="10"/>
        <v/>
      </c>
      <c r="V210" s="16" t="str">
        <f t="shared" si="11"/>
        <v/>
      </c>
    </row>
    <row r="211" spans="17:22" x14ac:dyDescent="0.15">
      <c r="Q211" s="74" t="str">
        <f t="shared" si="9"/>
        <v/>
      </c>
      <c r="T211" s="16" t="str">
        <f t="shared" si="10"/>
        <v/>
      </c>
      <c r="V211" s="16" t="str">
        <f t="shared" si="11"/>
        <v/>
      </c>
    </row>
    <row r="212" spans="17:22" x14ac:dyDescent="0.15">
      <c r="Q212" s="74" t="str">
        <f t="shared" si="9"/>
        <v/>
      </c>
      <c r="T212" s="16" t="str">
        <f t="shared" si="10"/>
        <v/>
      </c>
      <c r="V212" s="16" t="str">
        <f t="shared" si="11"/>
        <v/>
      </c>
    </row>
    <row r="213" spans="17:22" x14ac:dyDescent="0.15">
      <c r="Q213" s="74" t="str">
        <f t="shared" si="9"/>
        <v/>
      </c>
      <c r="T213" s="16" t="str">
        <f t="shared" si="10"/>
        <v/>
      </c>
      <c r="V213" s="16" t="str">
        <f t="shared" si="11"/>
        <v/>
      </c>
    </row>
    <row r="214" spans="17:22" x14ac:dyDescent="0.15">
      <c r="Q214" s="74" t="str">
        <f t="shared" si="9"/>
        <v/>
      </c>
      <c r="T214" s="16" t="str">
        <f t="shared" si="10"/>
        <v/>
      </c>
      <c r="V214" s="16" t="str">
        <f t="shared" si="11"/>
        <v/>
      </c>
    </row>
    <row r="215" spans="17:22" x14ac:dyDescent="0.15">
      <c r="Q215" s="74" t="str">
        <f t="shared" si="9"/>
        <v/>
      </c>
      <c r="T215" s="16" t="str">
        <f t="shared" si="10"/>
        <v/>
      </c>
      <c r="V215" s="16" t="str">
        <f t="shared" si="11"/>
        <v/>
      </c>
    </row>
    <row r="216" spans="17:22" x14ac:dyDescent="0.15">
      <c r="Q216" s="74" t="str">
        <f t="shared" si="9"/>
        <v/>
      </c>
      <c r="T216" s="16" t="str">
        <f t="shared" si="10"/>
        <v/>
      </c>
      <c r="V216" s="16" t="str">
        <f t="shared" si="11"/>
        <v/>
      </c>
    </row>
    <row r="217" spans="17:22" x14ac:dyDescent="0.15">
      <c r="Q217" s="74" t="str">
        <f t="shared" si="9"/>
        <v/>
      </c>
      <c r="T217" s="16" t="str">
        <f t="shared" si="10"/>
        <v/>
      </c>
      <c r="V217" s="16" t="str">
        <f t="shared" si="11"/>
        <v/>
      </c>
    </row>
    <row r="218" spans="17:22" x14ac:dyDescent="0.15">
      <c r="Q218" s="74" t="str">
        <f t="shared" si="9"/>
        <v/>
      </c>
      <c r="T218" s="16" t="str">
        <f t="shared" si="10"/>
        <v/>
      </c>
      <c r="V218" s="16" t="str">
        <f t="shared" si="11"/>
        <v/>
      </c>
    </row>
    <row r="219" spans="17:22" x14ac:dyDescent="0.15">
      <c r="Q219" s="74" t="str">
        <f t="shared" si="9"/>
        <v/>
      </c>
      <c r="T219" s="16" t="str">
        <f t="shared" si="10"/>
        <v/>
      </c>
      <c r="V219" s="16" t="str">
        <f t="shared" si="11"/>
        <v/>
      </c>
    </row>
    <row r="220" spans="17:22" x14ac:dyDescent="0.15">
      <c r="Q220" s="74" t="str">
        <f t="shared" si="9"/>
        <v/>
      </c>
      <c r="T220" s="16" t="str">
        <f t="shared" si="10"/>
        <v/>
      </c>
      <c r="V220" s="16" t="str">
        <f t="shared" si="11"/>
        <v/>
      </c>
    </row>
    <row r="221" spans="17:22" x14ac:dyDescent="0.15">
      <c r="Q221" s="74" t="str">
        <f t="shared" si="9"/>
        <v/>
      </c>
      <c r="T221" s="16" t="str">
        <f t="shared" si="10"/>
        <v/>
      </c>
      <c r="V221" s="16" t="str">
        <f t="shared" si="11"/>
        <v/>
      </c>
    </row>
    <row r="222" spans="17:22" x14ac:dyDescent="0.15">
      <c r="Q222" s="74" t="str">
        <f t="shared" si="9"/>
        <v/>
      </c>
      <c r="T222" s="16" t="str">
        <f t="shared" si="10"/>
        <v/>
      </c>
      <c r="V222" s="16" t="str">
        <f t="shared" si="11"/>
        <v/>
      </c>
    </row>
    <row r="223" spans="17:22" x14ac:dyDescent="0.15">
      <c r="Q223" s="74" t="str">
        <f t="shared" si="9"/>
        <v/>
      </c>
      <c r="T223" s="16" t="str">
        <f t="shared" si="10"/>
        <v/>
      </c>
      <c r="V223" s="16" t="str">
        <f t="shared" si="11"/>
        <v/>
      </c>
    </row>
    <row r="224" spans="17:22" x14ac:dyDescent="0.15">
      <c r="Q224" s="74" t="str">
        <f t="shared" si="9"/>
        <v/>
      </c>
      <c r="T224" s="16" t="str">
        <f t="shared" si="10"/>
        <v/>
      </c>
      <c r="V224" s="16" t="str">
        <f t="shared" si="11"/>
        <v/>
      </c>
    </row>
    <row r="225" spans="17:22" x14ac:dyDescent="0.15">
      <c r="Q225" s="74" t="str">
        <f t="shared" si="9"/>
        <v/>
      </c>
      <c r="T225" s="16" t="str">
        <f t="shared" si="10"/>
        <v/>
      </c>
      <c r="V225" s="16" t="str">
        <f t="shared" si="11"/>
        <v/>
      </c>
    </row>
    <row r="226" spans="17:22" x14ac:dyDescent="0.15">
      <c r="Q226" s="74" t="str">
        <f t="shared" si="9"/>
        <v/>
      </c>
      <c r="T226" s="16" t="str">
        <f t="shared" si="10"/>
        <v/>
      </c>
      <c r="V226" s="16" t="str">
        <f t="shared" si="11"/>
        <v/>
      </c>
    </row>
    <row r="227" spans="17:22" x14ac:dyDescent="0.15">
      <c r="Q227" s="74" t="str">
        <f t="shared" si="9"/>
        <v/>
      </c>
      <c r="T227" s="16" t="str">
        <f t="shared" si="10"/>
        <v/>
      </c>
      <c r="V227" s="16" t="str">
        <f t="shared" si="11"/>
        <v/>
      </c>
    </row>
    <row r="228" spans="17:22" x14ac:dyDescent="0.15">
      <c r="Q228" s="74" t="str">
        <f t="shared" si="9"/>
        <v/>
      </c>
      <c r="T228" s="16" t="str">
        <f t="shared" si="10"/>
        <v/>
      </c>
      <c r="V228" s="16" t="str">
        <f t="shared" si="11"/>
        <v/>
      </c>
    </row>
    <row r="229" spans="17:22" x14ac:dyDescent="0.15">
      <c r="Q229" s="74" t="str">
        <f t="shared" si="9"/>
        <v/>
      </c>
      <c r="T229" s="16" t="str">
        <f t="shared" si="10"/>
        <v/>
      </c>
      <c r="V229" s="16" t="str">
        <f t="shared" si="11"/>
        <v/>
      </c>
    </row>
    <row r="230" spans="17:22" x14ac:dyDescent="0.15">
      <c r="Q230" s="74" t="str">
        <f t="shared" si="9"/>
        <v/>
      </c>
      <c r="T230" s="16" t="str">
        <f t="shared" si="10"/>
        <v/>
      </c>
      <c r="V230" s="16" t="str">
        <f t="shared" si="11"/>
        <v/>
      </c>
    </row>
    <row r="231" spans="17:22" x14ac:dyDescent="0.15">
      <c r="Q231" s="74" t="str">
        <f t="shared" si="9"/>
        <v/>
      </c>
      <c r="T231" s="16" t="str">
        <f t="shared" si="10"/>
        <v/>
      </c>
      <c r="V231" s="16" t="str">
        <f t="shared" si="11"/>
        <v/>
      </c>
    </row>
    <row r="232" spans="17:22" x14ac:dyDescent="0.15">
      <c r="Q232" s="74" t="str">
        <f t="shared" si="9"/>
        <v/>
      </c>
      <c r="T232" s="16" t="str">
        <f t="shared" si="10"/>
        <v/>
      </c>
      <c r="V232" s="16" t="str">
        <f t="shared" si="11"/>
        <v/>
      </c>
    </row>
    <row r="233" spans="17:22" x14ac:dyDescent="0.15">
      <c r="Q233" s="74" t="str">
        <f t="shared" si="9"/>
        <v/>
      </c>
      <c r="T233" s="16" t="str">
        <f t="shared" si="10"/>
        <v/>
      </c>
      <c r="V233" s="16" t="str">
        <f t="shared" si="11"/>
        <v/>
      </c>
    </row>
    <row r="234" spans="17:22" x14ac:dyDescent="0.15">
      <c r="Q234" s="74" t="str">
        <f t="shared" si="9"/>
        <v/>
      </c>
      <c r="T234" s="16" t="str">
        <f t="shared" si="10"/>
        <v/>
      </c>
      <c r="V234" s="16" t="str">
        <f t="shared" si="11"/>
        <v/>
      </c>
    </row>
    <row r="235" spans="17:22" x14ac:dyDescent="0.15">
      <c r="Q235" s="74" t="str">
        <f t="shared" si="9"/>
        <v/>
      </c>
      <c r="T235" s="16" t="str">
        <f t="shared" si="10"/>
        <v/>
      </c>
      <c r="V235" s="16" t="str">
        <f t="shared" si="11"/>
        <v/>
      </c>
    </row>
    <row r="236" spans="17:22" x14ac:dyDescent="0.15">
      <c r="Q236" s="74" t="str">
        <f t="shared" si="9"/>
        <v/>
      </c>
      <c r="T236" s="16" t="str">
        <f t="shared" si="10"/>
        <v/>
      </c>
      <c r="V236" s="16" t="str">
        <f t="shared" si="11"/>
        <v/>
      </c>
    </row>
    <row r="237" spans="17:22" x14ac:dyDescent="0.15">
      <c r="Q237" s="74" t="str">
        <f t="shared" si="9"/>
        <v/>
      </c>
      <c r="T237" s="16" t="str">
        <f t="shared" si="10"/>
        <v/>
      </c>
      <c r="V237" s="16" t="str">
        <f t="shared" si="11"/>
        <v/>
      </c>
    </row>
    <row r="238" spans="17:22" x14ac:dyDescent="0.15">
      <c r="Q238" s="74" t="str">
        <f t="shared" ref="Q238:Q301" si="12">IF(OR(O238="",P238=""),"",AVERAGE(O238,P238))</f>
        <v/>
      </c>
      <c r="T238" s="16" t="str">
        <f t="shared" ref="T238:T301" si="13">IF(H238="","",IF(OR(H238="GREEN",H238="GK"),IF(S238&gt;=$AX$2,VLOOKUP(S238,$AX$2:$AY$10,2,1),""),IF(S238&gt;=$AZ$2,VLOOKUP(S238,$AZ$2:$BA$10,2,1),"")))</f>
        <v/>
      </c>
      <c r="V238" s="16" t="str">
        <f t="shared" ref="V238:V301" si="14">IF(OR(N238="",U238="",T238=""),"",U238/N238*T238)</f>
        <v/>
      </c>
    </row>
    <row r="239" spans="17:22" x14ac:dyDescent="0.15">
      <c r="Q239" s="74" t="str">
        <f t="shared" si="12"/>
        <v/>
      </c>
      <c r="T239" s="16" t="str">
        <f t="shared" si="13"/>
        <v/>
      </c>
      <c r="V239" s="16" t="str">
        <f t="shared" si="14"/>
        <v/>
      </c>
    </row>
    <row r="240" spans="17:22" x14ac:dyDescent="0.15">
      <c r="Q240" s="74" t="str">
        <f t="shared" si="12"/>
        <v/>
      </c>
      <c r="T240" s="16" t="str">
        <f t="shared" si="13"/>
        <v/>
      </c>
      <c r="V240" s="16" t="str">
        <f t="shared" si="14"/>
        <v/>
      </c>
    </row>
    <row r="241" spans="17:22" x14ac:dyDescent="0.15">
      <c r="Q241" s="74" t="str">
        <f t="shared" si="12"/>
        <v/>
      </c>
      <c r="T241" s="16" t="str">
        <f t="shared" si="13"/>
        <v/>
      </c>
      <c r="V241" s="16" t="str">
        <f t="shared" si="14"/>
        <v/>
      </c>
    </row>
    <row r="242" spans="17:22" x14ac:dyDescent="0.15">
      <c r="Q242" s="74" t="str">
        <f t="shared" si="12"/>
        <v/>
      </c>
      <c r="T242" s="16" t="str">
        <f t="shared" si="13"/>
        <v/>
      </c>
      <c r="V242" s="16" t="str">
        <f t="shared" si="14"/>
        <v/>
      </c>
    </row>
    <row r="243" spans="17:22" x14ac:dyDescent="0.15">
      <c r="Q243" s="74" t="str">
        <f t="shared" si="12"/>
        <v/>
      </c>
      <c r="T243" s="16" t="str">
        <f t="shared" si="13"/>
        <v/>
      </c>
      <c r="V243" s="16" t="str">
        <f t="shared" si="14"/>
        <v/>
      </c>
    </row>
    <row r="244" spans="17:22" x14ac:dyDescent="0.15">
      <c r="Q244" s="74" t="str">
        <f t="shared" si="12"/>
        <v/>
      </c>
      <c r="T244" s="16" t="str">
        <f t="shared" si="13"/>
        <v/>
      </c>
      <c r="V244" s="16" t="str">
        <f t="shared" si="14"/>
        <v/>
      </c>
    </row>
    <row r="245" spans="17:22" x14ac:dyDescent="0.15">
      <c r="Q245" s="74" t="str">
        <f t="shared" si="12"/>
        <v/>
      </c>
      <c r="T245" s="16" t="str">
        <f t="shared" si="13"/>
        <v/>
      </c>
      <c r="V245" s="16" t="str">
        <f t="shared" si="14"/>
        <v/>
      </c>
    </row>
    <row r="246" spans="17:22" x14ac:dyDescent="0.15">
      <c r="Q246" s="74" t="str">
        <f t="shared" si="12"/>
        <v/>
      </c>
      <c r="T246" s="16" t="str">
        <f t="shared" si="13"/>
        <v/>
      </c>
      <c r="V246" s="16" t="str">
        <f t="shared" si="14"/>
        <v/>
      </c>
    </row>
    <row r="247" spans="17:22" x14ac:dyDescent="0.15">
      <c r="Q247" s="74" t="str">
        <f t="shared" si="12"/>
        <v/>
      </c>
      <c r="T247" s="16" t="str">
        <f t="shared" si="13"/>
        <v/>
      </c>
      <c r="V247" s="16" t="str">
        <f t="shared" si="14"/>
        <v/>
      </c>
    </row>
    <row r="248" spans="17:22" x14ac:dyDescent="0.15">
      <c r="Q248" s="74" t="str">
        <f t="shared" si="12"/>
        <v/>
      </c>
      <c r="T248" s="16" t="str">
        <f t="shared" si="13"/>
        <v/>
      </c>
      <c r="V248" s="16" t="str">
        <f t="shared" si="14"/>
        <v/>
      </c>
    </row>
    <row r="249" spans="17:22" x14ac:dyDescent="0.15">
      <c r="Q249" s="74" t="str">
        <f t="shared" si="12"/>
        <v/>
      </c>
      <c r="T249" s="16" t="str">
        <f t="shared" si="13"/>
        <v/>
      </c>
      <c r="V249" s="16" t="str">
        <f t="shared" si="14"/>
        <v/>
      </c>
    </row>
    <row r="250" spans="17:22" x14ac:dyDescent="0.15">
      <c r="Q250" s="74" t="str">
        <f t="shared" si="12"/>
        <v/>
      </c>
      <c r="T250" s="16" t="str">
        <f t="shared" si="13"/>
        <v/>
      </c>
      <c r="V250" s="16" t="str">
        <f t="shared" si="14"/>
        <v/>
      </c>
    </row>
    <row r="251" spans="17:22" x14ac:dyDescent="0.15">
      <c r="Q251" s="74" t="str">
        <f t="shared" si="12"/>
        <v/>
      </c>
      <c r="T251" s="16" t="str">
        <f t="shared" si="13"/>
        <v/>
      </c>
      <c r="V251" s="16" t="str">
        <f t="shared" si="14"/>
        <v/>
      </c>
    </row>
    <row r="252" spans="17:22" x14ac:dyDescent="0.15">
      <c r="Q252" s="74" t="str">
        <f t="shared" si="12"/>
        <v/>
      </c>
      <c r="T252" s="16" t="str">
        <f t="shared" si="13"/>
        <v/>
      </c>
      <c r="V252" s="16" t="str">
        <f t="shared" si="14"/>
        <v/>
      </c>
    </row>
    <row r="253" spans="17:22" x14ac:dyDescent="0.15">
      <c r="Q253" s="74" t="str">
        <f t="shared" si="12"/>
        <v/>
      </c>
      <c r="T253" s="16" t="str">
        <f t="shared" si="13"/>
        <v/>
      </c>
      <c r="V253" s="16" t="str">
        <f t="shared" si="14"/>
        <v/>
      </c>
    </row>
    <row r="254" spans="17:22" x14ac:dyDescent="0.15">
      <c r="Q254" s="74" t="str">
        <f t="shared" si="12"/>
        <v/>
      </c>
      <c r="T254" s="16" t="str">
        <f t="shared" si="13"/>
        <v/>
      </c>
      <c r="V254" s="16" t="str">
        <f t="shared" si="14"/>
        <v/>
      </c>
    </row>
    <row r="255" spans="17:22" x14ac:dyDescent="0.15">
      <c r="Q255" s="74" t="str">
        <f t="shared" si="12"/>
        <v/>
      </c>
      <c r="T255" s="16" t="str">
        <f t="shared" si="13"/>
        <v/>
      </c>
      <c r="V255" s="16" t="str">
        <f t="shared" si="14"/>
        <v/>
      </c>
    </row>
    <row r="256" spans="17:22" x14ac:dyDescent="0.15">
      <c r="Q256" s="74" t="str">
        <f t="shared" si="12"/>
        <v/>
      </c>
      <c r="T256" s="16" t="str">
        <f t="shared" si="13"/>
        <v/>
      </c>
      <c r="V256" s="16" t="str">
        <f t="shared" si="14"/>
        <v/>
      </c>
    </row>
    <row r="257" spans="17:22" x14ac:dyDescent="0.15">
      <c r="Q257" s="74" t="str">
        <f t="shared" si="12"/>
        <v/>
      </c>
      <c r="T257" s="16" t="str">
        <f t="shared" si="13"/>
        <v/>
      </c>
      <c r="V257" s="16" t="str">
        <f t="shared" si="14"/>
        <v/>
      </c>
    </row>
    <row r="258" spans="17:22" x14ac:dyDescent="0.15">
      <c r="Q258" s="74" t="str">
        <f t="shared" si="12"/>
        <v/>
      </c>
      <c r="T258" s="16" t="str">
        <f t="shared" si="13"/>
        <v/>
      </c>
      <c r="V258" s="16" t="str">
        <f t="shared" si="14"/>
        <v/>
      </c>
    </row>
    <row r="259" spans="17:22" x14ac:dyDescent="0.15">
      <c r="Q259" s="74" t="str">
        <f t="shared" si="12"/>
        <v/>
      </c>
      <c r="T259" s="16" t="str">
        <f t="shared" si="13"/>
        <v/>
      </c>
      <c r="V259" s="16" t="str">
        <f t="shared" si="14"/>
        <v/>
      </c>
    </row>
    <row r="260" spans="17:22" x14ac:dyDescent="0.15">
      <c r="Q260" s="74" t="str">
        <f t="shared" si="12"/>
        <v/>
      </c>
      <c r="T260" s="16" t="str">
        <f t="shared" si="13"/>
        <v/>
      </c>
      <c r="V260" s="16" t="str">
        <f t="shared" si="14"/>
        <v/>
      </c>
    </row>
    <row r="261" spans="17:22" x14ac:dyDescent="0.15">
      <c r="Q261" s="74" t="str">
        <f t="shared" si="12"/>
        <v/>
      </c>
      <c r="T261" s="16" t="str">
        <f t="shared" si="13"/>
        <v/>
      </c>
      <c r="V261" s="16" t="str">
        <f t="shared" si="14"/>
        <v/>
      </c>
    </row>
    <row r="262" spans="17:22" x14ac:dyDescent="0.15">
      <c r="Q262" s="74" t="str">
        <f t="shared" si="12"/>
        <v/>
      </c>
      <c r="T262" s="16" t="str">
        <f t="shared" si="13"/>
        <v/>
      </c>
      <c r="V262" s="16" t="str">
        <f t="shared" si="14"/>
        <v/>
      </c>
    </row>
    <row r="263" spans="17:22" x14ac:dyDescent="0.15">
      <c r="Q263" s="74" t="str">
        <f t="shared" si="12"/>
        <v/>
      </c>
      <c r="T263" s="16" t="str">
        <f t="shared" si="13"/>
        <v/>
      </c>
      <c r="V263" s="16" t="str">
        <f t="shared" si="14"/>
        <v/>
      </c>
    </row>
    <row r="264" spans="17:22" x14ac:dyDescent="0.15">
      <c r="Q264" s="74" t="str">
        <f t="shared" si="12"/>
        <v/>
      </c>
      <c r="T264" s="16" t="str">
        <f t="shared" si="13"/>
        <v/>
      </c>
      <c r="V264" s="16" t="str">
        <f t="shared" si="14"/>
        <v/>
      </c>
    </row>
    <row r="265" spans="17:22" x14ac:dyDescent="0.15">
      <c r="Q265" s="74" t="str">
        <f t="shared" si="12"/>
        <v/>
      </c>
      <c r="T265" s="16" t="str">
        <f t="shared" si="13"/>
        <v/>
      </c>
      <c r="V265" s="16" t="str">
        <f t="shared" si="14"/>
        <v/>
      </c>
    </row>
    <row r="266" spans="17:22" x14ac:dyDescent="0.15">
      <c r="Q266" s="74" t="str">
        <f t="shared" si="12"/>
        <v/>
      </c>
      <c r="T266" s="16" t="str">
        <f t="shared" si="13"/>
        <v/>
      </c>
      <c r="V266" s="16" t="str">
        <f t="shared" si="14"/>
        <v/>
      </c>
    </row>
    <row r="267" spans="17:22" x14ac:dyDescent="0.15">
      <c r="Q267" s="74" t="str">
        <f t="shared" si="12"/>
        <v/>
      </c>
      <c r="T267" s="16" t="str">
        <f t="shared" si="13"/>
        <v/>
      </c>
      <c r="V267" s="16" t="str">
        <f t="shared" si="14"/>
        <v/>
      </c>
    </row>
    <row r="268" spans="17:22" x14ac:dyDescent="0.15">
      <c r="Q268" s="74" t="str">
        <f t="shared" si="12"/>
        <v/>
      </c>
      <c r="T268" s="16" t="str">
        <f t="shared" si="13"/>
        <v/>
      </c>
      <c r="V268" s="16" t="str">
        <f t="shared" si="14"/>
        <v/>
      </c>
    </row>
    <row r="269" spans="17:22" x14ac:dyDescent="0.15">
      <c r="Q269" s="74" t="str">
        <f t="shared" si="12"/>
        <v/>
      </c>
      <c r="T269" s="16" t="str">
        <f t="shared" si="13"/>
        <v/>
      </c>
      <c r="V269" s="16" t="str">
        <f t="shared" si="14"/>
        <v/>
      </c>
    </row>
    <row r="270" spans="17:22" x14ac:dyDescent="0.15">
      <c r="Q270" s="74" t="str">
        <f t="shared" si="12"/>
        <v/>
      </c>
      <c r="T270" s="16" t="str">
        <f t="shared" si="13"/>
        <v/>
      </c>
      <c r="V270" s="16" t="str">
        <f t="shared" si="14"/>
        <v/>
      </c>
    </row>
    <row r="271" spans="17:22" x14ac:dyDescent="0.15">
      <c r="Q271" s="74" t="str">
        <f t="shared" si="12"/>
        <v/>
      </c>
      <c r="T271" s="16" t="str">
        <f t="shared" si="13"/>
        <v/>
      </c>
      <c r="V271" s="16" t="str">
        <f t="shared" si="14"/>
        <v/>
      </c>
    </row>
    <row r="272" spans="17:22" x14ac:dyDescent="0.15">
      <c r="Q272" s="74" t="str">
        <f t="shared" si="12"/>
        <v/>
      </c>
      <c r="T272" s="16" t="str">
        <f t="shared" si="13"/>
        <v/>
      </c>
      <c r="V272" s="16" t="str">
        <f t="shared" si="14"/>
        <v/>
      </c>
    </row>
    <row r="273" spans="17:22" x14ac:dyDescent="0.15">
      <c r="Q273" s="74" t="str">
        <f t="shared" si="12"/>
        <v/>
      </c>
      <c r="T273" s="16" t="str">
        <f t="shared" si="13"/>
        <v/>
      </c>
      <c r="V273" s="16" t="str">
        <f t="shared" si="14"/>
        <v/>
      </c>
    </row>
    <row r="274" spans="17:22" x14ac:dyDescent="0.15">
      <c r="Q274" s="74" t="str">
        <f t="shared" si="12"/>
        <v/>
      </c>
      <c r="T274" s="16" t="str">
        <f t="shared" si="13"/>
        <v/>
      </c>
      <c r="V274" s="16" t="str">
        <f t="shared" si="14"/>
        <v/>
      </c>
    </row>
    <row r="275" spans="17:22" x14ac:dyDescent="0.15">
      <c r="Q275" s="74" t="str">
        <f t="shared" si="12"/>
        <v/>
      </c>
      <c r="T275" s="16" t="str">
        <f t="shared" si="13"/>
        <v/>
      </c>
      <c r="V275" s="16" t="str">
        <f t="shared" si="14"/>
        <v/>
      </c>
    </row>
    <row r="276" spans="17:22" x14ac:dyDescent="0.15">
      <c r="Q276" s="74" t="str">
        <f t="shared" si="12"/>
        <v/>
      </c>
      <c r="T276" s="16" t="str">
        <f t="shared" si="13"/>
        <v/>
      </c>
      <c r="V276" s="16" t="str">
        <f t="shared" si="14"/>
        <v/>
      </c>
    </row>
    <row r="277" spans="17:22" x14ac:dyDescent="0.15">
      <c r="Q277" s="74" t="str">
        <f t="shared" si="12"/>
        <v/>
      </c>
      <c r="T277" s="16" t="str">
        <f t="shared" si="13"/>
        <v/>
      </c>
      <c r="V277" s="16" t="str">
        <f t="shared" si="14"/>
        <v/>
      </c>
    </row>
    <row r="278" spans="17:22" x14ac:dyDescent="0.15">
      <c r="Q278" s="74" t="str">
        <f t="shared" si="12"/>
        <v/>
      </c>
      <c r="T278" s="16" t="str">
        <f t="shared" si="13"/>
        <v/>
      </c>
      <c r="V278" s="16" t="str">
        <f t="shared" si="14"/>
        <v/>
      </c>
    </row>
    <row r="279" spans="17:22" x14ac:dyDescent="0.15">
      <c r="Q279" s="74" t="str">
        <f t="shared" si="12"/>
        <v/>
      </c>
      <c r="T279" s="16" t="str">
        <f t="shared" si="13"/>
        <v/>
      </c>
      <c r="V279" s="16" t="str">
        <f t="shared" si="14"/>
        <v/>
      </c>
    </row>
    <row r="280" spans="17:22" x14ac:dyDescent="0.15">
      <c r="Q280" s="74" t="str">
        <f t="shared" si="12"/>
        <v/>
      </c>
      <c r="T280" s="16" t="str">
        <f t="shared" si="13"/>
        <v/>
      </c>
      <c r="V280" s="16" t="str">
        <f t="shared" si="14"/>
        <v/>
      </c>
    </row>
    <row r="281" spans="17:22" x14ac:dyDescent="0.15">
      <c r="Q281" s="74" t="str">
        <f t="shared" si="12"/>
        <v/>
      </c>
      <c r="T281" s="16" t="str">
        <f t="shared" si="13"/>
        <v/>
      </c>
      <c r="V281" s="16" t="str">
        <f t="shared" si="14"/>
        <v/>
      </c>
    </row>
    <row r="282" spans="17:22" x14ac:dyDescent="0.15">
      <c r="Q282" s="74" t="str">
        <f t="shared" si="12"/>
        <v/>
      </c>
      <c r="T282" s="16" t="str">
        <f t="shared" si="13"/>
        <v/>
      </c>
      <c r="V282" s="16" t="str">
        <f t="shared" si="14"/>
        <v/>
      </c>
    </row>
    <row r="283" spans="17:22" x14ac:dyDescent="0.15">
      <c r="Q283" s="74" t="str">
        <f t="shared" si="12"/>
        <v/>
      </c>
      <c r="T283" s="16" t="str">
        <f t="shared" si="13"/>
        <v/>
      </c>
      <c r="V283" s="16" t="str">
        <f t="shared" si="14"/>
        <v/>
      </c>
    </row>
    <row r="284" spans="17:22" x14ac:dyDescent="0.15">
      <c r="Q284" s="74" t="str">
        <f t="shared" si="12"/>
        <v/>
      </c>
      <c r="T284" s="16" t="str">
        <f t="shared" si="13"/>
        <v/>
      </c>
      <c r="V284" s="16" t="str">
        <f t="shared" si="14"/>
        <v/>
      </c>
    </row>
    <row r="285" spans="17:22" x14ac:dyDescent="0.15">
      <c r="Q285" s="74" t="str">
        <f t="shared" si="12"/>
        <v/>
      </c>
      <c r="T285" s="16" t="str">
        <f t="shared" si="13"/>
        <v/>
      </c>
      <c r="V285" s="16" t="str">
        <f t="shared" si="14"/>
        <v/>
      </c>
    </row>
    <row r="286" spans="17:22" x14ac:dyDescent="0.15">
      <c r="Q286" s="74" t="str">
        <f t="shared" si="12"/>
        <v/>
      </c>
      <c r="T286" s="16" t="str">
        <f t="shared" si="13"/>
        <v/>
      </c>
      <c r="V286" s="16" t="str">
        <f t="shared" si="14"/>
        <v/>
      </c>
    </row>
    <row r="287" spans="17:22" x14ac:dyDescent="0.15">
      <c r="Q287" s="74" t="str">
        <f t="shared" si="12"/>
        <v/>
      </c>
      <c r="T287" s="16" t="str">
        <f t="shared" si="13"/>
        <v/>
      </c>
      <c r="V287" s="16" t="str">
        <f t="shared" si="14"/>
        <v/>
      </c>
    </row>
    <row r="288" spans="17:22" x14ac:dyDescent="0.15">
      <c r="Q288" s="74" t="str">
        <f t="shared" si="12"/>
        <v/>
      </c>
      <c r="T288" s="16" t="str">
        <f t="shared" si="13"/>
        <v/>
      </c>
      <c r="V288" s="16" t="str">
        <f t="shared" si="14"/>
        <v/>
      </c>
    </row>
    <row r="289" spans="17:22" x14ac:dyDescent="0.15">
      <c r="Q289" s="74" t="str">
        <f t="shared" si="12"/>
        <v/>
      </c>
      <c r="T289" s="16" t="str">
        <f t="shared" si="13"/>
        <v/>
      </c>
      <c r="V289" s="16" t="str">
        <f t="shared" si="14"/>
        <v/>
      </c>
    </row>
    <row r="290" spans="17:22" x14ac:dyDescent="0.15">
      <c r="Q290" s="74" t="str">
        <f t="shared" si="12"/>
        <v/>
      </c>
      <c r="T290" s="16" t="str">
        <f t="shared" si="13"/>
        <v/>
      </c>
      <c r="V290" s="16" t="str">
        <f t="shared" si="14"/>
        <v/>
      </c>
    </row>
    <row r="291" spans="17:22" x14ac:dyDescent="0.15">
      <c r="Q291" s="74" t="str">
        <f t="shared" si="12"/>
        <v/>
      </c>
      <c r="T291" s="16" t="str">
        <f t="shared" si="13"/>
        <v/>
      </c>
      <c r="V291" s="16" t="str">
        <f t="shared" si="14"/>
        <v/>
      </c>
    </row>
    <row r="292" spans="17:22" x14ac:dyDescent="0.15">
      <c r="Q292" s="74" t="str">
        <f t="shared" si="12"/>
        <v/>
      </c>
      <c r="T292" s="16" t="str">
        <f t="shared" si="13"/>
        <v/>
      </c>
      <c r="V292" s="16" t="str">
        <f t="shared" si="14"/>
        <v/>
      </c>
    </row>
    <row r="293" spans="17:22" x14ac:dyDescent="0.15">
      <c r="Q293" s="74" t="str">
        <f t="shared" si="12"/>
        <v/>
      </c>
      <c r="T293" s="16" t="str">
        <f t="shared" si="13"/>
        <v/>
      </c>
      <c r="V293" s="16" t="str">
        <f t="shared" si="14"/>
        <v/>
      </c>
    </row>
    <row r="294" spans="17:22" x14ac:dyDescent="0.15">
      <c r="Q294" s="74" t="str">
        <f t="shared" si="12"/>
        <v/>
      </c>
      <c r="T294" s="16" t="str">
        <f t="shared" si="13"/>
        <v/>
      </c>
      <c r="V294" s="16" t="str">
        <f t="shared" si="14"/>
        <v/>
      </c>
    </row>
    <row r="295" spans="17:22" x14ac:dyDescent="0.15">
      <c r="Q295" s="74" t="str">
        <f t="shared" si="12"/>
        <v/>
      </c>
      <c r="T295" s="16" t="str">
        <f t="shared" si="13"/>
        <v/>
      </c>
      <c r="V295" s="16" t="str">
        <f t="shared" si="14"/>
        <v/>
      </c>
    </row>
    <row r="296" spans="17:22" x14ac:dyDescent="0.15">
      <c r="Q296" s="74" t="str">
        <f t="shared" si="12"/>
        <v/>
      </c>
      <c r="T296" s="16" t="str">
        <f t="shared" si="13"/>
        <v/>
      </c>
      <c r="V296" s="16" t="str">
        <f t="shared" si="14"/>
        <v/>
      </c>
    </row>
    <row r="297" spans="17:22" x14ac:dyDescent="0.15">
      <c r="Q297" s="74" t="str">
        <f t="shared" si="12"/>
        <v/>
      </c>
      <c r="T297" s="16" t="str">
        <f t="shared" si="13"/>
        <v/>
      </c>
      <c r="V297" s="16" t="str">
        <f t="shared" si="14"/>
        <v/>
      </c>
    </row>
    <row r="298" spans="17:22" x14ac:dyDescent="0.15">
      <c r="Q298" s="74" t="str">
        <f t="shared" si="12"/>
        <v/>
      </c>
      <c r="T298" s="16" t="str">
        <f t="shared" si="13"/>
        <v/>
      </c>
      <c r="V298" s="16" t="str">
        <f t="shared" si="14"/>
        <v/>
      </c>
    </row>
    <row r="299" spans="17:22" x14ac:dyDescent="0.15">
      <c r="T299" s="16" t="str">
        <f t="shared" si="13"/>
        <v/>
      </c>
      <c r="V299" s="16" t="str">
        <f t="shared" si="14"/>
        <v/>
      </c>
    </row>
    <row r="300" spans="17:22" x14ac:dyDescent="0.15">
      <c r="T300" s="16" t="str">
        <f t="shared" si="13"/>
        <v/>
      </c>
      <c r="V300" s="16" t="str">
        <f t="shared" si="14"/>
        <v/>
      </c>
    </row>
    <row r="301" spans="17:22" x14ac:dyDescent="0.15">
      <c r="T301" s="16" t="str">
        <f t="shared" si="13"/>
        <v/>
      </c>
      <c r="V301" s="16" t="str">
        <f t="shared" si="14"/>
        <v/>
      </c>
    </row>
    <row r="302" spans="17:22" x14ac:dyDescent="0.15">
      <c r="T302" s="16" t="str">
        <f t="shared" ref="T302:T360" si="15">IF(H302="","",IF(OR(H302="GREEN",H302="GK"),IF(S302&gt;=$AX$2,VLOOKUP(S302,$AX$2:$AY$10,2,1),""),IF(S302&gt;=$AZ$2,VLOOKUP(S302,$AZ$2:$BA$10,2,1),"")))</f>
        <v/>
      </c>
      <c r="V302" s="16" t="str">
        <f t="shared" ref="V302:V365" si="16">IF(OR(N302="",U302="",T302=""),"",U302/N302*T302)</f>
        <v/>
      </c>
    </row>
    <row r="303" spans="17:22" x14ac:dyDescent="0.15">
      <c r="T303" s="16" t="str">
        <f t="shared" si="15"/>
        <v/>
      </c>
      <c r="V303" s="16" t="str">
        <f t="shared" si="16"/>
        <v/>
      </c>
    </row>
    <row r="304" spans="17:22" x14ac:dyDescent="0.15">
      <c r="T304" s="16" t="str">
        <f t="shared" si="15"/>
        <v/>
      </c>
      <c r="V304" s="16" t="str">
        <f t="shared" si="16"/>
        <v/>
      </c>
    </row>
    <row r="305" spans="20:22" x14ac:dyDescent="0.15">
      <c r="T305" s="16" t="str">
        <f t="shared" si="15"/>
        <v/>
      </c>
      <c r="V305" s="16" t="str">
        <f t="shared" si="16"/>
        <v/>
      </c>
    </row>
    <row r="306" spans="20:22" x14ac:dyDescent="0.15">
      <c r="T306" s="16" t="str">
        <f t="shared" si="15"/>
        <v/>
      </c>
      <c r="V306" s="16" t="str">
        <f t="shared" si="16"/>
        <v/>
      </c>
    </row>
    <row r="307" spans="20:22" x14ac:dyDescent="0.15">
      <c r="T307" s="16" t="str">
        <f t="shared" si="15"/>
        <v/>
      </c>
    </row>
    <row r="308" spans="20:22" x14ac:dyDescent="0.15">
      <c r="T308" s="16" t="str">
        <f t="shared" si="15"/>
        <v/>
      </c>
    </row>
    <row r="309" spans="20:22" x14ac:dyDescent="0.15">
      <c r="T309" s="16" t="str">
        <f t="shared" si="15"/>
        <v/>
      </c>
    </row>
    <row r="310" spans="20:22" x14ac:dyDescent="0.15">
      <c r="T310" s="16" t="str">
        <f t="shared" si="15"/>
        <v/>
      </c>
    </row>
    <row r="311" spans="20:22" x14ac:dyDescent="0.15">
      <c r="T311" s="16" t="str">
        <f t="shared" si="15"/>
        <v/>
      </c>
    </row>
    <row r="312" spans="20:22" x14ac:dyDescent="0.15">
      <c r="T312" s="16" t="str">
        <f t="shared" si="15"/>
        <v/>
      </c>
    </row>
    <row r="313" spans="20:22" x14ac:dyDescent="0.15">
      <c r="T313" s="16" t="str">
        <f t="shared" si="15"/>
        <v/>
      </c>
    </row>
    <row r="314" spans="20:22" x14ac:dyDescent="0.15">
      <c r="T314" s="16" t="str">
        <f t="shared" si="15"/>
        <v/>
      </c>
    </row>
    <row r="315" spans="20:22" x14ac:dyDescent="0.15">
      <c r="T315" s="16" t="str">
        <f t="shared" si="15"/>
        <v/>
      </c>
    </row>
    <row r="316" spans="20:22" x14ac:dyDescent="0.15">
      <c r="T316" s="16" t="str">
        <f t="shared" si="15"/>
        <v/>
      </c>
    </row>
    <row r="317" spans="20:22" x14ac:dyDescent="0.15">
      <c r="T317" s="16" t="str">
        <f t="shared" si="15"/>
        <v/>
      </c>
    </row>
    <row r="318" spans="20:22" x14ac:dyDescent="0.15">
      <c r="T318" s="16" t="str">
        <f t="shared" si="15"/>
        <v/>
      </c>
    </row>
    <row r="319" spans="20:22" x14ac:dyDescent="0.15">
      <c r="T319" s="16" t="str">
        <f t="shared" si="15"/>
        <v/>
      </c>
    </row>
    <row r="320" spans="20:22" x14ac:dyDescent="0.15">
      <c r="T320" s="16" t="str">
        <f t="shared" si="15"/>
        <v/>
      </c>
    </row>
    <row r="321" spans="20:20" x14ac:dyDescent="0.15">
      <c r="T321" s="16" t="str">
        <f t="shared" si="15"/>
        <v/>
      </c>
    </row>
    <row r="322" spans="20:20" x14ac:dyDescent="0.15">
      <c r="T322" s="16" t="str">
        <f t="shared" si="15"/>
        <v/>
      </c>
    </row>
    <row r="323" spans="20:20" x14ac:dyDescent="0.15">
      <c r="T323" s="16" t="str">
        <f t="shared" si="15"/>
        <v/>
      </c>
    </row>
    <row r="324" spans="20:20" x14ac:dyDescent="0.15">
      <c r="T324" s="16" t="str">
        <f t="shared" si="15"/>
        <v/>
      </c>
    </row>
    <row r="325" spans="20:20" x14ac:dyDescent="0.15">
      <c r="T325" s="16" t="str">
        <f t="shared" si="15"/>
        <v/>
      </c>
    </row>
    <row r="326" spans="20:20" x14ac:dyDescent="0.15">
      <c r="T326" s="16" t="str">
        <f t="shared" si="15"/>
        <v/>
      </c>
    </row>
  </sheetData>
  <autoFilter ref="A1:BA326" xr:uid="{00000000-0009-0000-0000-000001000000}"/>
  <phoneticPr fontId="3"/>
  <dataValidations count="14">
    <dataValidation type="list" allowBlank="1" showInputMessage="1" showErrorMessage="1" sqref="X2:X282" xr:uid="{1C031BB9-4C9B-4386-A8EC-77CC42226942}">
      <formula1>$AT$2:$AT$3</formula1>
    </dataValidation>
    <dataValidation type="decimal" allowBlank="1" showInputMessage="1" showErrorMessage="1" error="硬度を正しく入力して下さい。" sqref="O2:P282" xr:uid="{16C5EC11-FEEB-4CFA-B4E0-95E6EC8B877C}">
      <formula1>0</formula1>
      <formula2>7</formula2>
    </dataValidation>
    <dataValidation type="list" allowBlank="1" showInputMessage="1" showErrorMessage="1" sqref="H2:H282" xr:uid="{A626408F-291F-4B5C-A703-582DC0944F47}">
      <formula1>$AL$2:$AL$8</formula1>
    </dataValidation>
    <dataValidation type="list" allowBlank="1" showInputMessage="1" showErrorMessage="1" sqref="G2:G282" xr:uid="{C7121370-6D94-45BB-9A85-4E6F2C1D187D}">
      <formula1>$AJ$2:$AJ$4</formula1>
    </dataValidation>
    <dataValidation type="list" allowBlank="1" showInputMessage="1" showErrorMessage="1" sqref="I2:I282" xr:uid="{0D2C0D37-970C-4778-B5AB-395939DA31F3}">
      <formula1>$AN$5:$AN$6</formula1>
    </dataValidation>
    <dataValidation type="list" allowBlank="1" showInputMessage="1" showErrorMessage="1" sqref="E1:E65436" xr:uid="{77540DD6-5BA9-4F05-B0B4-CBF8F7852AC0}">
      <formula1>$AG$2:$AG$11</formula1>
    </dataValidation>
    <dataValidation type="list" allowBlank="1" showInputMessage="1" showErrorMessage="1" sqref="J2:J282" xr:uid="{69B7328A-A49F-4350-A7E5-9D490669C88C}">
      <formula1>$AP$2:$AP$19</formula1>
    </dataValidation>
    <dataValidation type="list" allowBlank="1" showInputMessage="1" showErrorMessage="1" sqref="F1:F65436" xr:uid="{32F60863-A521-4F09-886C-D49CAD9D27A7}">
      <formula1>$AH$2:$AH$11</formula1>
    </dataValidation>
    <dataValidation type="list" allowBlank="1" showInputMessage="1" showErrorMessage="1" sqref="A2:A282" xr:uid="{BFEBD19C-C96F-4330-8C5B-3A6F993F2320}">
      <formula1>$AE$2:$AE$16</formula1>
    </dataValidation>
    <dataValidation type="list" allowBlank="1" showInputMessage="1" showErrorMessage="1" sqref="Y2:AA106" xr:uid="{C6B12097-81E7-46FC-89D6-9A69C79ABC0C}">
      <formula1>$AV$2:$AV$23</formula1>
    </dataValidation>
    <dataValidation type="list" allowBlank="1" showInputMessage="1" showErrorMessage="1" sqref="K2:K106" xr:uid="{5698F628-7A99-418C-9DF0-6B1CA082293C}">
      <formula1>$AR$2:$AR$23</formula1>
    </dataValidation>
    <dataValidation allowBlank="1" showInputMessage="1" showErrorMessage="1" sqref="B2:B106" xr:uid="{9B43D187-D8ED-44A6-9699-FD4C358147FC}"/>
    <dataValidation type="list" allowBlank="1" showInputMessage="1" showErrorMessage="1" sqref="Y107:AA282" xr:uid="{AA8DB449-5527-456D-A9F6-4041F8EFE0B5}">
      <formula1>$AV$2:$AV$16</formula1>
    </dataValidation>
    <dataValidation type="list" allowBlank="1" showInputMessage="1" showErrorMessage="1" sqref="K107:K282" xr:uid="{377CED21-9A68-4AC6-90A8-2D0144E7B1AF}">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3A22-E4F2-4751-9514-8338D697330D}">
  <dimension ref="A1:BA82"/>
  <sheetViews>
    <sheetView topLeftCell="A34" zoomScale="85" zoomScaleNormal="85" workbookViewId="0">
      <selection activeCell="AC25" sqref="AC25"/>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236</v>
      </c>
      <c r="C2" s="53">
        <v>2019</v>
      </c>
      <c r="D2" s="81" t="s">
        <v>237</v>
      </c>
      <c r="E2" s="53" t="s">
        <v>238</v>
      </c>
      <c r="F2" s="53" t="s">
        <v>239</v>
      </c>
      <c r="G2" s="53" t="s">
        <v>42</v>
      </c>
      <c r="H2" s="53" t="s">
        <v>164</v>
      </c>
      <c r="I2" s="53" t="s">
        <v>198</v>
      </c>
      <c r="J2" s="53" t="s">
        <v>38</v>
      </c>
      <c r="K2" s="53" t="s">
        <v>161</v>
      </c>
      <c r="L2" s="53">
        <v>1</v>
      </c>
      <c r="N2" s="53">
        <v>1</v>
      </c>
      <c r="O2" s="53">
        <v>0.55000000000000004</v>
      </c>
      <c r="P2" s="53">
        <v>0.55000000000000004</v>
      </c>
      <c r="Q2" s="74">
        <f t="shared" ref="Q2:Q55" si="0">IF(OR(O2="",P2=""),"",AVERAGE(O2,P2))</f>
        <v>0.55000000000000004</v>
      </c>
      <c r="R2" s="53">
        <v>13</v>
      </c>
      <c r="S2" s="53">
        <v>117</v>
      </c>
      <c r="T2" s="16">
        <f t="shared" ref="T2:T55" si="1">IF(H2="","",IF(OR(H2="GREEN",H2="GK"),IF(S2&gt;=$AX$2,VLOOKUP(S2,$AX$2:$AY$10,2,1),""),IF(S2&gt;=$AZ$2,VLOOKUP(S2,$AZ$2:$BA$10,2,1),"")))</f>
        <v>30</v>
      </c>
      <c r="U2" s="53">
        <v>161</v>
      </c>
      <c r="V2" s="16">
        <f t="shared" ref="V2:V55" si="2">IF(OR(N2="",U2="",T2=""),"",U2/N2*T2)</f>
        <v>4830</v>
      </c>
      <c r="W2" s="53">
        <v>2</v>
      </c>
      <c r="X2" s="53" t="s">
        <v>39</v>
      </c>
      <c r="Y2" s="53" t="s">
        <v>90</v>
      </c>
      <c r="Z2" s="53" t="s">
        <v>50</v>
      </c>
      <c r="AA2" s="53" t="s">
        <v>84</v>
      </c>
      <c r="AB2" s="53" t="s">
        <v>240</v>
      </c>
      <c r="AE2" s="64" t="s">
        <v>35</v>
      </c>
      <c r="AG2" s="23" t="s">
        <v>241</v>
      </c>
      <c r="AH2" s="82" t="s">
        <v>242</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236</v>
      </c>
      <c r="C3" s="53">
        <v>2019</v>
      </c>
      <c r="D3" s="81" t="s">
        <v>237</v>
      </c>
      <c r="E3" s="53" t="s">
        <v>238</v>
      </c>
      <c r="F3" s="53" t="s">
        <v>239</v>
      </c>
      <c r="G3" s="53" t="s">
        <v>42</v>
      </c>
      <c r="H3" s="53" t="s">
        <v>164</v>
      </c>
      <c r="I3" s="53" t="s">
        <v>198</v>
      </c>
      <c r="J3" s="53" t="s">
        <v>38</v>
      </c>
      <c r="K3" s="53" t="s">
        <v>161</v>
      </c>
      <c r="L3" s="53">
        <v>2</v>
      </c>
      <c r="N3" s="53">
        <v>1</v>
      </c>
      <c r="O3" s="53">
        <v>0.6</v>
      </c>
      <c r="P3" s="53">
        <v>0.6</v>
      </c>
      <c r="Q3" s="74">
        <f t="shared" si="0"/>
        <v>0.6</v>
      </c>
      <c r="R3" s="53">
        <v>16.5</v>
      </c>
      <c r="S3" s="53">
        <v>110</v>
      </c>
      <c r="T3" s="16">
        <f t="shared" si="1"/>
        <v>33</v>
      </c>
      <c r="U3" s="53">
        <v>161</v>
      </c>
      <c r="V3" s="16">
        <f t="shared" si="2"/>
        <v>5313</v>
      </c>
      <c r="W3" s="53">
        <v>2</v>
      </c>
      <c r="X3" s="53" t="s">
        <v>39</v>
      </c>
      <c r="Y3" s="53" t="s">
        <v>90</v>
      </c>
      <c r="Z3" s="53" t="s">
        <v>50</v>
      </c>
      <c r="AA3" s="53" t="s">
        <v>84</v>
      </c>
      <c r="AB3" s="53" t="s">
        <v>240</v>
      </c>
      <c r="AE3" s="22" t="s">
        <v>41</v>
      </c>
      <c r="AG3" s="23" t="s">
        <v>243</v>
      </c>
      <c r="AH3" s="82" t="s">
        <v>239</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236</v>
      </c>
      <c r="C4" s="53">
        <v>2019</v>
      </c>
      <c r="D4" s="81" t="s">
        <v>237</v>
      </c>
      <c r="E4" s="53" t="s">
        <v>238</v>
      </c>
      <c r="F4" s="53" t="s">
        <v>239</v>
      </c>
      <c r="G4" s="53" t="s">
        <v>42</v>
      </c>
      <c r="H4" s="53" t="s">
        <v>164</v>
      </c>
      <c r="I4" s="53" t="s">
        <v>198</v>
      </c>
      <c r="J4" s="53" t="s">
        <v>38</v>
      </c>
      <c r="K4" s="53" t="s">
        <v>161</v>
      </c>
      <c r="L4" s="53">
        <v>3</v>
      </c>
      <c r="N4" s="53">
        <v>1</v>
      </c>
      <c r="O4" s="53">
        <v>0.55000000000000004</v>
      </c>
      <c r="P4" s="53">
        <v>0.5</v>
      </c>
      <c r="Q4" s="74">
        <f t="shared" si="0"/>
        <v>0.52500000000000002</v>
      </c>
      <c r="R4" s="53">
        <v>13.8</v>
      </c>
      <c r="S4" s="53">
        <v>119</v>
      </c>
      <c r="T4" s="16">
        <f t="shared" si="1"/>
        <v>30</v>
      </c>
      <c r="U4" s="53">
        <v>161</v>
      </c>
      <c r="V4" s="16">
        <f t="shared" si="2"/>
        <v>4830</v>
      </c>
      <c r="W4" s="53">
        <v>2</v>
      </c>
      <c r="X4" s="53" t="s">
        <v>39</v>
      </c>
      <c r="Y4" s="53" t="s">
        <v>90</v>
      </c>
      <c r="Z4" s="53" t="s">
        <v>50</v>
      </c>
      <c r="AA4" s="53" t="s">
        <v>84</v>
      </c>
      <c r="AB4" s="53" t="s">
        <v>240</v>
      </c>
      <c r="AE4" s="22" t="s">
        <v>34</v>
      </c>
      <c r="AG4" s="23" t="s">
        <v>244</v>
      </c>
      <c r="AH4" s="82" t="s">
        <v>245</v>
      </c>
      <c r="AJ4" s="27" t="s">
        <v>48</v>
      </c>
      <c r="AL4" s="27" t="s">
        <v>246</v>
      </c>
      <c r="AN4" s="28" t="s">
        <v>49</v>
      </c>
      <c r="AP4" s="23" t="s">
        <v>93</v>
      </c>
      <c r="AR4" s="23" t="s">
        <v>121</v>
      </c>
      <c r="AT4" s="28"/>
      <c r="AV4" s="23" t="s">
        <v>50</v>
      </c>
      <c r="AX4" s="24">
        <v>75</v>
      </c>
      <c r="AY4" s="25">
        <v>42</v>
      </c>
      <c r="AZ4" s="25">
        <v>76</v>
      </c>
      <c r="BA4" s="26">
        <v>39</v>
      </c>
    </row>
    <row r="5" spans="1:53" x14ac:dyDescent="0.15">
      <c r="A5" s="53" t="s">
        <v>56</v>
      </c>
      <c r="B5" s="53" t="s">
        <v>236</v>
      </c>
      <c r="C5" s="53">
        <v>2019</v>
      </c>
      <c r="D5" s="81" t="s">
        <v>237</v>
      </c>
      <c r="E5" s="53" t="s">
        <v>247</v>
      </c>
      <c r="F5" s="53" t="s">
        <v>239</v>
      </c>
      <c r="G5" s="53" t="s">
        <v>42</v>
      </c>
      <c r="H5" s="53" t="s">
        <v>164</v>
      </c>
      <c r="I5" s="53" t="s">
        <v>159</v>
      </c>
      <c r="J5" s="53" t="s">
        <v>38</v>
      </c>
      <c r="K5" s="53" t="s">
        <v>161</v>
      </c>
      <c r="L5" s="53">
        <v>1</v>
      </c>
      <c r="N5" s="53">
        <v>6</v>
      </c>
      <c r="O5" s="53">
        <v>0.85</v>
      </c>
      <c r="P5" s="53">
        <v>0.85</v>
      </c>
      <c r="Q5" s="74">
        <f t="shared" si="0"/>
        <v>0.85</v>
      </c>
      <c r="R5" s="53">
        <v>12.9</v>
      </c>
      <c r="S5" s="53">
        <v>97</v>
      </c>
      <c r="T5" s="16">
        <f t="shared" si="1"/>
        <v>36</v>
      </c>
      <c r="U5" s="53">
        <v>518</v>
      </c>
      <c r="V5" s="16">
        <f t="shared" si="2"/>
        <v>3108</v>
      </c>
      <c r="W5" s="53">
        <v>8</v>
      </c>
      <c r="X5" s="53" t="s">
        <v>46</v>
      </c>
      <c r="Y5" s="53" t="s">
        <v>84</v>
      </c>
      <c r="Z5" s="53" t="s">
        <v>50</v>
      </c>
      <c r="AA5" s="53" t="s">
        <v>90</v>
      </c>
      <c r="AB5" s="53" t="s">
        <v>240</v>
      </c>
      <c r="AE5" s="22" t="s">
        <v>51</v>
      </c>
      <c r="AG5" s="23" t="s">
        <v>248</v>
      </c>
      <c r="AH5" s="82" t="s">
        <v>249</v>
      </c>
      <c r="AJ5" s="28"/>
      <c r="AL5" s="73" t="s">
        <v>66</v>
      </c>
      <c r="AN5" s="73" t="s">
        <v>52</v>
      </c>
      <c r="AP5" s="23" t="s">
        <v>250</v>
      </c>
      <c r="AR5" s="23" t="s">
        <v>54</v>
      </c>
      <c r="AV5" s="23" t="s">
        <v>55</v>
      </c>
      <c r="AX5" s="24">
        <v>84</v>
      </c>
      <c r="AY5" s="25">
        <v>39</v>
      </c>
      <c r="AZ5" s="25">
        <v>84</v>
      </c>
      <c r="BA5" s="26">
        <v>36</v>
      </c>
    </row>
    <row r="6" spans="1:53" x14ac:dyDescent="0.15">
      <c r="A6" s="53" t="s">
        <v>56</v>
      </c>
      <c r="B6" s="53" t="s">
        <v>236</v>
      </c>
      <c r="C6" s="53">
        <v>2019</v>
      </c>
      <c r="D6" s="81" t="s">
        <v>237</v>
      </c>
      <c r="E6" s="53" t="s">
        <v>247</v>
      </c>
      <c r="F6" s="53" t="s">
        <v>239</v>
      </c>
      <c r="G6" s="53" t="s">
        <v>42</v>
      </c>
      <c r="H6" s="53" t="s">
        <v>164</v>
      </c>
      <c r="I6" s="53" t="s">
        <v>159</v>
      </c>
      <c r="J6" s="53" t="s">
        <v>38</v>
      </c>
      <c r="K6" s="53" t="s">
        <v>161</v>
      </c>
      <c r="L6" s="53">
        <v>2</v>
      </c>
      <c r="N6" s="53">
        <v>6</v>
      </c>
      <c r="O6" s="53">
        <v>0.8</v>
      </c>
      <c r="P6" s="53">
        <v>0.8</v>
      </c>
      <c r="Q6" s="74">
        <f t="shared" si="0"/>
        <v>0.8</v>
      </c>
      <c r="R6" s="53">
        <v>13.1</v>
      </c>
      <c r="S6" s="53">
        <v>100</v>
      </c>
      <c r="T6" s="16">
        <f t="shared" si="1"/>
        <v>33</v>
      </c>
      <c r="U6" s="53">
        <v>518</v>
      </c>
      <c r="V6" s="16">
        <f t="shared" si="2"/>
        <v>2849</v>
      </c>
      <c r="W6" s="53">
        <v>8</v>
      </c>
      <c r="X6" s="53" t="s">
        <v>46</v>
      </c>
      <c r="Y6" s="53" t="s">
        <v>84</v>
      </c>
      <c r="Z6" s="53" t="s">
        <v>50</v>
      </c>
      <c r="AA6" s="53" t="s">
        <v>90</v>
      </c>
      <c r="AB6" s="53" t="s">
        <v>240</v>
      </c>
      <c r="AE6" s="22" t="s">
        <v>56</v>
      </c>
      <c r="AG6" s="23" t="s">
        <v>251</v>
      </c>
      <c r="AH6" s="82" t="s">
        <v>249</v>
      </c>
      <c r="AL6" s="73" t="s">
        <v>99</v>
      </c>
      <c r="AN6" s="73" t="s">
        <v>57</v>
      </c>
      <c r="AP6" s="23" t="s">
        <v>53</v>
      </c>
      <c r="AR6" s="23" t="s">
        <v>59</v>
      </c>
      <c r="AV6" s="23" t="s">
        <v>60</v>
      </c>
      <c r="AX6" s="24">
        <v>97</v>
      </c>
      <c r="AY6" s="25">
        <v>36</v>
      </c>
      <c r="AZ6" s="25">
        <v>99</v>
      </c>
      <c r="BA6" s="26">
        <v>33</v>
      </c>
    </row>
    <row r="7" spans="1:53" x14ac:dyDescent="0.15">
      <c r="A7" s="53" t="s">
        <v>56</v>
      </c>
      <c r="B7" s="53" t="s">
        <v>236</v>
      </c>
      <c r="C7" s="53">
        <v>2019</v>
      </c>
      <c r="D7" s="81" t="s">
        <v>237</v>
      </c>
      <c r="E7" s="53" t="s">
        <v>247</v>
      </c>
      <c r="F7" s="53" t="s">
        <v>239</v>
      </c>
      <c r="G7" s="53" t="s">
        <v>42</v>
      </c>
      <c r="H7" s="53" t="s">
        <v>164</v>
      </c>
      <c r="I7" s="53" t="s">
        <v>159</v>
      </c>
      <c r="J7" s="53" t="s">
        <v>38</v>
      </c>
      <c r="K7" s="53" t="s">
        <v>161</v>
      </c>
      <c r="L7" s="53">
        <v>3</v>
      </c>
      <c r="N7" s="53">
        <v>6</v>
      </c>
      <c r="O7" s="53">
        <v>0.75</v>
      </c>
      <c r="P7" s="53">
        <v>0.8</v>
      </c>
      <c r="Q7" s="74">
        <f t="shared" si="0"/>
        <v>0.77500000000000002</v>
      </c>
      <c r="R7" s="53">
        <v>12.7</v>
      </c>
      <c r="S7" s="53">
        <v>97</v>
      </c>
      <c r="T7" s="16">
        <f t="shared" si="1"/>
        <v>36</v>
      </c>
      <c r="U7" s="53">
        <v>518</v>
      </c>
      <c r="V7" s="16">
        <f t="shared" si="2"/>
        <v>3108</v>
      </c>
      <c r="W7" s="53">
        <v>8</v>
      </c>
      <c r="X7" s="53" t="s">
        <v>46</v>
      </c>
      <c r="Y7" s="53" t="s">
        <v>84</v>
      </c>
      <c r="Z7" s="53" t="s">
        <v>50</v>
      </c>
      <c r="AA7" s="53" t="s">
        <v>90</v>
      </c>
      <c r="AB7" s="53" t="s">
        <v>240</v>
      </c>
      <c r="AE7" s="22" t="s">
        <v>61</v>
      </c>
      <c r="AG7" s="23" t="s">
        <v>252</v>
      </c>
      <c r="AH7" s="82" t="s">
        <v>253</v>
      </c>
      <c r="AL7" s="83" t="s">
        <v>109</v>
      </c>
      <c r="AP7" s="23" t="s">
        <v>58</v>
      </c>
      <c r="AR7" s="23" t="s">
        <v>122</v>
      </c>
      <c r="AV7" s="23" t="s">
        <v>64</v>
      </c>
      <c r="AX7" s="24">
        <v>109</v>
      </c>
      <c r="AY7" s="25">
        <v>33</v>
      </c>
      <c r="AZ7" s="25">
        <v>113</v>
      </c>
      <c r="BA7" s="26">
        <v>30</v>
      </c>
    </row>
    <row r="8" spans="1:53" x14ac:dyDescent="0.15">
      <c r="A8" s="53" t="s">
        <v>56</v>
      </c>
      <c r="B8" s="53" t="s">
        <v>236</v>
      </c>
      <c r="C8" s="53">
        <v>2019</v>
      </c>
      <c r="D8" s="81" t="s">
        <v>237</v>
      </c>
      <c r="E8" s="53" t="s">
        <v>162</v>
      </c>
      <c r="F8" s="53" t="s">
        <v>254</v>
      </c>
      <c r="G8" s="53" t="s">
        <v>42</v>
      </c>
      <c r="H8" s="53" t="s">
        <v>164</v>
      </c>
      <c r="I8" s="53" t="s">
        <v>159</v>
      </c>
      <c r="J8" s="53" t="s">
        <v>38</v>
      </c>
      <c r="K8" s="53" t="s">
        <v>161</v>
      </c>
      <c r="L8" s="53">
        <v>1</v>
      </c>
      <c r="N8" s="53">
        <v>5</v>
      </c>
      <c r="O8" s="53">
        <v>0.75</v>
      </c>
      <c r="P8" s="53">
        <v>0.75</v>
      </c>
      <c r="Q8" s="74">
        <f t="shared" si="0"/>
        <v>0.75</v>
      </c>
      <c r="R8" s="53">
        <v>13.2</v>
      </c>
      <c r="S8" s="53">
        <v>84</v>
      </c>
      <c r="T8" s="16">
        <f t="shared" si="1"/>
        <v>36</v>
      </c>
      <c r="U8" s="53">
        <v>430</v>
      </c>
      <c r="V8" s="16">
        <f t="shared" si="2"/>
        <v>3096</v>
      </c>
      <c r="W8" s="53">
        <v>2</v>
      </c>
      <c r="X8" s="53" t="s">
        <v>46</v>
      </c>
      <c r="Y8" s="53" t="s">
        <v>78</v>
      </c>
      <c r="Z8" s="53" t="s">
        <v>84</v>
      </c>
      <c r="AA8" s="53" t="s">
        <v>50</v>
      </c>
      <c r="AB8" s="53" t="s">
        <v>240</v>
      </c>
      <c r="AE8" s="22" t="s">
        <v>59</v>
      </c>
      <c r="AG8" s="23" t="s">
        <v>255</v>
      </c>
      <c r="AH8" s="82" t="s">
        <v>253</v>
      </c>
      <c r="AL8" s="83" t="s">
        <v>134</v>
      </c>
      <c r="AP8" s="23" t="s">
        <v>62</v>
      </c>
      <c r="AR8" s="23" t="s">
        <v>81</v>
      </c>
      <c r="AV8" s="23" t="s">
        <v>97</v>
      </c>
      <c r="AX8" s="24">
        <v>119</v>
      </c>
      <c r="AY8" s="25">
        <v>30</v>
      </c>
      <c r="AZ8" s="25">
        <v>121</v>
      </c>
      <c r="BA8" s="26">
        <v>27</v>
      </c>
    </row>
    <row r="9" spans="1:53" x14ac:dyDescent="0.15">
      <c r="A9" s="53" t="s">
        <v>56</v>
      </c>
      <c r="B9" s="53" t="s">
        <v>236</v>
      </c>
      <c r="C9" s="53">
        <v>2019</v>
      </c>
      <c r="D9" s="81" t="s">
        <v>237</v>
      </c>
      <c r="E9" s="53" t="s">
        <v>162</v>
      </c>
      <c r="F9" s="53" t="s">
        <v>254</v>
      </c>
      <c r="G9" s="53" t="s">
        <v>42</v>
      </c>
      <c r="H9" s="53" t="s">
        <v>164</v>
      </c>
      <c r="I9" s="53" t="s">
        <v>159</v>
      </c>
      <c r="J9" s="53" t="s">
        <v>38</v>
      </c>
      <c r="K9" s="53" t="s">
        <v>161</v>
      </c>
      <c r="L9" s="53">
        <v>2</v>
      </c>
      <c r="N9" s="53">
        <v>5</v>
      </c>
      <c r="O9" s="53">
        <v>0.65</v>
      </c>
      <c r="P9" s="53">
        <v>0.75</v>
      </c>
      <c r="Q9" s="74">
        <f t="shared" si="0"/>
        <v>0.7</v>
      </c>
      <c r="R9" s="53">
        <v>12.4</v>
      </c>
      <c r="S9" s="53">
        <v>83</v>
      </c>
      <c r="T9" s="16">
        <f t="shared" si="1"/>
        <v>39</v>
      </c>
      <c r="U9" s="53">
        <v>430</v>
      </c>
      <c r="V9" s="16">
        <f t="shared" si="2"/>
        <v>3354</v>
      </c>
      <c r="W9" s="53">
        <v>2</v>
      </c>
      <c r="X9" s="53" t="s">
        <v>46</v>
      </c>
      <c r="Y9" s="53" t="s">
        <v>78</v>
      </c>
      <c r="Z9" s="53" t="s">
        <v>84</v>
      </c>
      <c r="AA9" s="53" t="s">
        <v>50</v>
      </c>
      <c r="AB9" s="53" t="s">
        <v>240</v>
      </c>
      <c r="AE9" s="22" t="s">
        <v>98</v>
      </c>
      <c r="AG9" s="23" t="s">
        <v>238</v>
      </c>
      <c r="AH9" s="23" t="s">
        <v>239</v>
      </c>
      <c r="AL9" s="73"/>
      <c r="AP9" s="23" t="s">
        <v>95</v>
      </c>
      <c r="AR9" s="23" t="s">
        <v>89</v>
      </c>
      <c r="AV9" s="23" t="s">
        <v>102</v>
      </c>
      <c r="AX9" s="24">
        <v>128</v>
      </c>
      <c r="AY9" s="25">
        <v>27</v>
      </c>
      <c r="AZ9" s="25">
        <v>129</v>
      </c>
      <c r="BA9" s="26">
        <v>25</v>
      </c>
    </row>
    <row r="10" spans="1:53" x14ac:dyDescent="0.15">
      <c r="A10" s="53" t="s">
        <v>56</v>
      </c>
      <c r="B10" s="53" t="s">
        <v>236</v>
      </c>
      <c r="C10" s="53">
        <v>2019</v>
      </c>
      <c r="D10" s="81" t="s">
        <v>237</v>
      </c>
      <c r="E10" s="53" t="s">
        <v>162</v>
      </c>
      <c r="F10" s="53" t="s">
        <v>254</v>
      </c>
      <c r="G10" s="53" t="s">
        <v>42</v>
      </c>
      <c r="H10" s="53" t="s">
        <v>164</v>
      </c>
      <c r="I10" s="53" t="s">
        <v>159</v>
      </c>
      <c r="J10" s="53" t="s">
        <v>38</v>
      </c>
      <c r="K10" s="53" t="s">
        <v>161</v>
      </c>
      <c r="L10" s="53">
        <v>3</v>
      </c>
      <c r="N10" s="53">
        <v>5</v>
      </c>
      <c r="O10" s="53">
        <v>0.65</v>
      </c>
      <c r="P10" s="53">
        <v>0.6</v>
      </c>
      <c r="Q10" s="74">
        <f t="shared" si="0"/>
        <v>0.625</v>
      </c>
      <c r="R10" s="53">
        <v>13.1</v>
      </c>
      <c r="S10" s="53">
        <v>91</v>
      </c>
      <c r="T10" s="16">
        <f t="shared" si="1"/>
        <v>36</v>
      </c>
      <c r="U10" s="53">
        <v>430</v>
      </c>
      <c r="V10" s="16">
        <f t="shared" si="2"/>
        <v>3096</v>
      </c>
      <c r="W10" s="53">
        <v>2</v>
      </c>
      <c r="X10" s="53" t="s">
        <v>46</v>
      </c>
      <c r="Y10" s="53" t="s">
        <v>78</v>
      </c>
      <c r="Z10" s="53" t="s">
        <v>84</v>
      </c>
      <c r="AA10" s="53" t="s">
        <v>50</v>
      </c>
      <c r="AB10" s="53" t="s">
        <v>240</v>
      </c>
      <c r="AE10" s="22" t="s">
        <v>103</v>
      </c>
      <c r="AG10" s="23" t="s">
        <v>252</v>
      </c>
      <c r="AH10" s="82" t="s">
        <v>249</v>
      </c>
      <c r="AL10" s="83"/>
      <c r="AP10" s="23" t="s">
        <v>100</v>
      </c>
      <c r="AR10" s="23" t="s">
        <v>123</v>
      </c>
      <c r="AV10" s="23" t="s">
        <v>106</v>
      </c>
      <c r="AX10" s="24">
        <v>138</v>
      </c>
      <c r="AY10" s="25">
        <v>25</v>
      </c>
      <c r="AZ10" s="25">
        <v>138</v>
      </c>
      <c r="BA10" s="26">
        <v>22</v>
      </c>
    </row>
    <row r="11" spans="1:53" x14ac:dyDescent="0.15">
      <c r="A11" s="53" t="s">
        <v>56</v>
      </c>
      <c r="B11" s="53" t="s">
        <v>236</v>
      </c>
      <c r="C11" s="53">
        <v>2019</v>
      </c>
      <c r="D11" s="81" t="s">
        <v>237</v>
      </c>
      <c r="E11" s="53" t="s">
        <v>162</v>
      </c>
      <c r="F11" s="53" t="s">
        <v>254</v>
      </c>
      <c r="G11" s="53" t="s">
        <v>42</v>
      </c>
      <c r="H11" s="53" t="s">
        <v>160</v>
      </c>
      <c r="I11" s="53" t="s">
        <v>159</v>
      </c>
      <c r="J11" s="53" t="s">
        <v>38</v>
      </c>
      <c r="K11" s="53" t="s">
        <v>161</v>
      </c>
      <c r="L11" s="53">
        <v>1</v>
      </c>
      <c r="N11" s="53">
        <v>4</v>
      </c>
      <c r="O11" s="53">
        <v>0.5</v>
      </c>
      <c r="P11" s="53">
        <v>0.5</v>
      </c>
      <c r="Q11" s="74">
        <f t="shared" si="0"/>
        <v>0.5</v>
      </c>
      <c r="R11" s="53">
        <v>14.6</v>
      </c>
      <c r="S11" s="53">
        <v>93</v>
      </c>
      <c r="T11" s="16">
        <f t="shared" si="1"/>
        <v>36</v>
      </c>
      <c r="U11" s="53">
        <v>538</v>
      </c>
      <c r="V11" s="16">
        <f t="shared" si="2"/>
        <v>4842</v>
      </c>
      <c r="W11" s="53">
        <v>2</v>
      </c>
      <c r="X11" s="53" t="s">
        <v>46</v>
      </c>
      <c r="Y11" s="53" t="s">
        <v>78</v>
      </c>
      <c r="Z11" s="53" t="s">
        <v>84</v>
      </c>
      <c r="AA11" s="53" t="s">
        <v>50</v>
      </c>
      <c r="AB11" s="53" t="s">
        <v>240</v>
      </c>
      <c r="AE11" s="22" t="s">
        <v>65</v>
      </c>
      <c r="AG11" s="23" t="s">
        <v>251</v>
      </c>
      <c r="AH11" s="82" t="s">
        <v>249</v>
      </c>
      <c r="AJ11" s="83"/>
      <c r="AP11" s="23" t="s">
        <v>104</v>
      </c>
      <c r="AR11" s="23" t="s">
        <v>87</v>
      </c>
      <c r="AV11" s="23" t="s">
        <v>69</v>
      </c>
    </row>
    <row r="12" spans="1:53" x14ac:dyDescent="0.15">
      <c r="A12" s="53" t="s">
        <v>56</v>
      </c>
      <c r="B12" s="53" t="s">
        <v>236</v>
      </c>
      <c r="C12" s="53">
        <v>2019</v>
      </c>
      <c r="D12" s="81" t="s">
        <v>237</v>
      </c>
      <c r="E12" s="53" t="s">
        <v>162</v>
      </c>
      <c r="F12" s="53" t="s">
        <v>254</v>
      </c>
      <c r="G12" s="53" t="s">
        <v>42</v>
      </c>
      <c r="H12" s="53" t="s">
        <v>160</v>
      </c>
      <c r="I12" s="53" t="s">
        <v>159</v>
      </c>
      <c r="J12" s="53" t="s">
        <v>38</v>
      </c>
      <c r="K12" s="53" t="s">
        <v>161</v>
      </c>
      <c r="L12" s="53">
        <v>2</v>
      </c>
      <c r="N12" s="53">
        <v>4</v>
      </c>
      <c r="O12" s="53">
        <v>0.5</v>
      </c>
      <c r="P12" s="53">
        <v>0.5</v>
      </c>
      <c r="Q12" s="74">
        <f t="shared" si="0"/>
        <v>0.5</v>
      </c>
      <c r="R12" s="53">
        <v>15.6</v>
      </c>
      <c r="S12" s="53">
        <v>101</v>
      </c>
      <c r="T12" s="16">
        <f t="shared" si="1"/>
        <v>33</v>
      </c>
      <c r="U12" s="53">
        <v>538</v>
      </c>
      <c r="V12" s="16">
        <f t="shared" si="2"/>
        <v>4438.5</v>
      </c>
      <c r="W12" s="53">
        <v>2</v>
      </c>
      <c r="X12" s="53" t="s">
        <v>46</v>
      </c>
      <c r="Y12" s="53" t="s">
        <v>78</v>
      </c>
      <c r="Z12" s="53" t="s">
        <v>84</v>
      </c>
      <c r="AA12" s="53" t="s">
        <v>50</v>
      </c>
      <c r="AB12" s="53" t="s">
        <v>240</v>
      </c>
      <c r="AE12" s="22" t="s">
        <v>70</v>
      </c>
      <c r="AG12" s="23" t="s">
        <v>243</v>
      </c>
      <c r="AH12" s="82" t="s">
        <v>249</v>
      </c>
      <c r="AJ12" s="83"/>
      <c r="AP12" s="23" t="s">
        <v>67</v>
      </c>
      <c r="AR12" s="23" t="s">
        <v>124</v>
      </c>
      <c r="AV12" s="23" t="s">
        <v>72</v>
      </c>
    </row>
    <row r="13" spans="1:53" x14ac:dyDescent="0.15">
      <c r="A13" s="53" t="s">
        <v>56</v>
      </c>
      <c r="B13" s="53" t="s">
        <v>236</v>
      </c>
      <c r="C13" s="53">
        <v>2019</v>
      </c>
      <c r="D13" s="81" t="s">
        <v>237</v>
      </c>
      <c r="E13" s="53" t="s">
        <v>162</v>
      </c>
      <c r="F13" s="53" t="s">
        <v>254</v>
      </c>
      <c r="G13" s="53" t="s">
        <v>42</v>
      </c>
      <c r="H13" s="53" t="s">
        <v>160</v>
      </c>
      <c r="I13" s="53" t="s">
        <v>159</v>
      </c>
      <c r="J13" s="53" t="s">
        <v>38</v>
      </c>
      <c r="K13" s="53" t="s">
        <v>161</v>
      </c>
      <c r="L13" s="53">
        <v>3</v>
      </c>
      <c r="N13" s="53">
        <v>4</v>
      </c>
      <c r="O13" s="53">
        <v>0.5</v>
      </c>
      <c r="P13" s="53">
        <v>0.5</v>
      </c>
      <c r="Q13" s="74">
        <f t="shared" si="0"/>
        <v>0.5</v>
      </c>
      <c r="R13" s="53">
        <v>16.7</v>
      </c>
      <c r="S13" s="53">
        <v>98</v>
      </c>
      <c r="T13" s="16">
        <f t="shared" si="1"/>
        <v>36</v>
      </c>
      <c r="U13" s="53">
        <v>538</v>
      </c>
      <c r="V13" s="16">
        <f t="shared" si="2"/>
        <v>4842</v>
      </c>
      <c r="W13" s="53">
        <v>2</v>
      </c>
      <c r="X13" s="53" t="s">
        <v>46</v>
      </c>
      <c r="Y13" s="53" t="s">
        <v>78</v>
      </c>
      <c r="Z13" s="53" t="s">
        <v>84</v>
      </c>
      <c r="AA13" s="53" t="s">
        <v>50</v>
      </c>
      <c r="AB13" s="53" t="s">
        <v>240</v>
      </c>
      <c r="AE13" s="22" t="s">
        <v>73</v>
      </c>
      <c r="AP13" s="23" t="s">
        <v>71</v>
      </c>
      <c r="AR13" s="23" t="s">
        <v>103</v>
      </c>
      <c r="AV13" s="23" t="s">
        <v>75</v>
      </c>
    </row>
    <row r="14" spans="1:53" x14ac:dyDescent="0.15">
      <c r="A14" s="53" t="s">
        <v>56</v>
      </c>
      <c r="B14" s="53" t="s">
        <v>236</v>
      </c>
      <c r="C14" s="53">
        <v>2019</v>
      </c>
      <c r="D14" s="81" t="s">
        <v>237</v>
      </c>
      <c r="E14" s="53" t="s">
        <v>256</v>
      </c>
      <c r="F14" s="53" t="s">
        <v>257</v>
      </c>
      <c r="G14" s="53" t="s">
        <v>42</v>
      </c>
      <c r="H14" s="53" t="s">
        <v>164</v>
      </c>
      <c r="I14" s="53" t="s">
        <v>159</v>
      </c>
      <c r="J14" s="53" t="s">
        <v>38</v>
      </c>
      <c r="K14" s="53" t="s">
        <v>161</v>
      </c>
      <c r="L14" s="53">
        <v>1</v>
      </c>
      <c r="N14" s="53">
        <v>5</v>
      </c>
      <c r="O14" s="53">
        <v>0.7</v>
      </c>
      <c r="P14" s="53">
        <v>0.6</v>
      </c>
      <c r="Q14" s="74">
        <f t="shared" si="0"/>
        <v>0.64999999999999991</v>
      </c>
      <c r="R14" s="53">
        <v>14.3</v>
      </c>
      <c r="S14" s="53">
        <v>81</v>
      </c>
      <c r="T14" s="16">
        <f t="shared" si="1"/>
        <v>39</v>
      </c>
      <c r="U14" s="53">
        <v>430</v>
      </c>
      <c r="V14" s="16">
        <f t="shared" si="2"/>
        <v>3354</v>
      </c>
      <c r="W14" s="53">
        <v>2</v>
      </c>
      <c r="X14" s="53" t="s">
        <v>46</v>
      </c>
      <c r="Y14" s="53" t="s">
        <v>84</v>
      </c>
      <c r="Z14" s="53" t="s">
        <v>50</v>
      </c>
      <c r="AA14" s="53" t="s">
        <v>90</v>
      </c>
      <c r="AB14" s="53" t="s">
        <v>240</v>
      </c>
      <c r="AE14" s="22" t="s">
        <v>76</v>
      </c>
      <c r="AP14" s="23" t="s">
        <v>74</v>
      </c>
      <c r="AR14" s="23" t="s">
        <v>125</v>
      </c>
      <c r="AV14" s="23" t="s">
        <v>78</v>
      </c>
    </row>
    <row r="15" spans="1:53" x14ac:dyDescent="0.15">
      <c r="A15" s="53" t="s">
        <v>56</v>
      </c>
      <c r="B15" s="53" t="s">
        <v>236</v>
      </c>
      <c r="C15" s="53">
        <v>2019</v>
      </c>
      <c r="D15" s="81" t="s">
        <v>237</v>
      </c>
      <c r="E15" s="53" t="s">
        <v>256</v>
      </c>
      <c r="F15" s="53" t="s">
        <v>257</v>
      </c>
      <c r="G15" s="53" t="s">
        <v>42</v>
      </c>
      <c r="H15" s="53" t="s">
        <v>164</v>
      </c>
      <c r="I15" s="53" t="s">
        <v>159</v>
      </c>
      <c r="J15" s="53" t="s">
        <v>38</v>
      </c>
      <c r="K15" s="53" t="s">
        <v>161</v>
      </c>
      <c r="L15" s="53">
        <v>2</v>
      </c>
      <c r="N15" s="53">
        <v>5</v>
      </c>
      <c r="O15" s="53">
        <v>0.65</v>
      </c>
      <c r="P15" s="53">
        <v>0.6</v>
      </c>
      <c r="Q15" s="74">
        <f t="shared" si="0"/>
        <v>0.625</v>
      </c>
      <c r="R15" s="53">
        <v>13.6</v>
      </c>
      <c r="S15" s="53">
        <v>89</v>
      </c>
      <c r="T15" s="16">
        <f t="shared" si="1"/>
        <v>36</v>
      </c>
      <c r="U15" s="53">
        <v>430</v>
      </c>
      <c r="V15" s="16">
        <f t="shared" si="2"/>
        <v>3096</v>
      </c>
      <c r="W15" s="53">
        <v>2</v>
      </c>
      <c r="X15" s="53" t="s">
        <v>46</v>
      </c>
      <c r="Y15" s="53" t="s">
        <v>84</v>
      </c>
      <c r="Z15" s="53" t="s">
        <v>50</v>
      </c>
      <c r="AA15" s="53" t="s">
        <v>90</v>
      </c>
      <c r="AB15" s="53" t="s">
        <v>240</v>
      </c>
      <c r="AE15" s="22" t="s">
        <v>79</v>
      </c>
      <c r="AP15" s="23" t="s">
        <v>77</v>
      </c>
      <c r="AR15" s="23" t="s">
        <v>94</v>
      </c>
      <c r="AV15" s="23" t="s">
        <v>107</v>
      </c>
    </row>
    <row r="16" spans="1:53" x14ac:dyDescent="0.15">
      <c r="A16" s="53" t="s">
        <v>56</v>
      </c>
      <c r="B16" s="53" t="s">
        <v>236</v>
      </c>
      <c r="C16" s="53">
        <v>2019</v>
      </c>
      <c r="D16" s="81" t="s">
        <v>237</v>
      </c>
      <c r="E16" s="53" t="s">
        <v>256</v>
      </c>
      <c r="F16" s="53" t="s">
        <v>257</v>
      </c>
      <c r="G16" s="53" t="s">
        <v>42</v>
      </c>
      <c r="H16" s="53" t="s">
        <v>164</v>
      </c>
      <c r="I16" s="53" t="s">
        <v>159</v>
      </c>
      <c r="J16" s="53" t="s">
        <v>38</v>
      </c>
      <c r="K16" s="53" t="s">
        <v>161</v>
      </c>
      <c r="L16" s="53">
        <v>3</v>
      </c>
      <c r="N16" s="53">
        <v>5</v>
      </c>
      <c r="O16" s="53">
        <v>0.6</v>
      </c>
      <c r="P16" s="53">
        <v>0.6</v>
      </c>
      <c r="Q16" s="74">
        <f t="shared" si="0"/>
        <v>0.6</v>
      </c>
      <c r="R16" s="53">
        <v>14.4</v>
      </c>
      <c r="S16" s="53">
        <v>102</v>
      </c>
      <c r="T16" s="16">
        <f t="shared" si="1"/>
        <v>33</v>
      </c>
      <c r="U16" s="53">
        <v>430</v>
      </c>
      <c r="V16" s="16">
        <f t="shared" si="2"/>
        <v>2838</v>
      </c>
      <c r="W16" s="53">
        <v>2</v>
      </c>
      <c r="X16" s="53" t="s">
        <v>46</v>
      </c>
      <c r="Y16" s="53" t="s">
        <v>84</v>
      </c>
      <c r="Z16" s="53" t="s">
        <v>50</v>
      </c>
      <c r="AA16" s="53" t="s">
        <v>90</v>
      </c>
      <c r="AB16" s="53" t="s">
        <v>240</v>
      </c>
      <c r="AE16" s="22" t="s">
        <v>82</v>
      </c>
      <c r="AP16" s="23" t="s">
        <v>80</v>
      </c>
      <c r="AR16" s="23" t="s">
        <v>63</v>
      </c>
      <c r="AV16" s="23" t="s">
        <v>84</v>
      </c>
    </row>
    <row r="17" spans="1:48" x14ac:dyDescent="0.15">
      <c r="A17" s="53" t="s">
        <v>56</v>
      </c>
      <c r="B17" s="53" t="s">
        <v>236</v>
      </c>
      <c r="C17" s="53">
        <v>2019</v>
      </c>
      <c r="D17" s="81" t="s">
        <v>237</v>
      </c>
      <c r="E17" s="53" t="s">
        <v>256</v>
      </c>
      <c r="F17" s="53" t="s">
        <v>257</v>
      </c>
      <c r="G17" s="53" t="s">
        <v>42</v>
      </c>
      <c r="H17" s="53" t="s">
        <v>160</v>
      </c>
      <c r="I17" s="53" t="s">
        <v>159</v>
      </c>
      <c r="J17" s="53" t="s">
        <v>38</v>
      </c>
      <c r="K17" s="53" t="s">
        <v>161</v>
      </c>
      <c r="L17" s="53">
        <v>1</v>
      </c>
      <c r="N17" s="53">
        <v>5</v>
      </c>
      <c r="O17" s="53">
        <v>0.7</v>
      </c>
      <c r="P17" s="53">
        <v>0.75</v>
      </c>
      <c r="Q17" s="74">
        <f t="shared" si="0"/>
        <v>0.72499999999999998</v>
      </c>
      <c r="R17" s="53">
        <v>15.9</v>
      </c>
      <c r="S17" s="53">
        <v>94</v>
      </c>
      <c r="T17" s="16">
        <f t="shared" si="1"/>
        <v>36</v>
      </c>
      <c r="U17" s="53">
        <v>646</v>
      </c>
      <c r="V17" s="16">
        <f t="shared" si="2"/>
        <v>4651.2</v>
      </c>
      <c r="W17" s="53">
        <v>2</v>
      </c>
      <c r="X17" s="53" t="s">
        <v>46</v>
      </c>
      <c r="Y17" s="53" t="s">
        <v>84</v>
      </c>
      <c r="Z17" s="53" t="s">
        <v>50</v>
      </c>
      <c r="AA17" s="53" t="s">
        <v>90</v>
      </c>
      <c r="AB17" s="53" t="s">
        <v>240</v>
      </c>
      <c r="AE17" s="22" t="s">
        <v>85</v>
      </c>
      <c r="AP17" s="27" t="s">
        <v>110</v>
      </c>
      <c r="AR17" s="23" t="s">
        <v>96</v>
      </c>
      <c r="AV17" s="23" t="s">
        <v>86</v>
      </c>
    </row>
    <row r="18" spans="1:48" x14ac:dyDescent="0.15">
      <c r="A18" s="53" t="s">
        <v>56</v>
      </c>
      <c r="B18" s="53" t="s">
        <v>236</v>
      </c>
      <c r="C18" s="53">
        <v>2019</v>
      </c>
      <c r="D18" s="81" t="s">
        <v>237</v>
      </c>
      <c r="E18" s="53" t="s">
        <v>256</v>
      </c>
      <c r="F18" s="53" t="s">
        <v>257</v>
      </c>
      <c r="G18" s="53" t="s">
        <v>42</v>
      </c>
      <c r="H18" s="53" t="s">
        <v>160</v>
      </c>
      <c r="I18" s="53" t="s">
        <v>159</v>
      </c>
      <c r="J18" s="53" t="s">
        <v>38</v>
      </c>
      <c r="K18" s="53" t="s">
        <v>161</v>
      </c>
      <c r="L18" s="53">
        <v>2</v>
      </c>
      <c r="N18" s="53">
        <v>5</v>
      </c>
      <c r="O18" s="53">
        <v>0.65</v>
      </c>
      <c r="P18" s="53">
        <v>0.6</v>
      </c>
      <c r="Q18" s="74">
        <f t="shared" si="0"/>
        <v>0.625</v>
      </c>
      <c r="R18" s="53">
        <v>14.7</v>
      </c>
      <c r="S18" s="53">
        <v>100</v>
      </c>
      <c r="T18" s="16">
        <f t="shared" si="1"/>
        <v>33</v>
      </c>
      <c r="U18" s="53">
        <v>646</v>
      </c>
      <c r="V18" s="16">
        <f t="shared" si="2"/>
        <v>4263.5999999999995</v>
      </c>
      <c r="W18" s="53">
        <v>2</v>
      </c>
      <c r="X18" s="53" t="s">
        <v>46</v>
      </c>
      <c r="Y18" s="53" t="s">
        <v>84</v>
      </c>
      <c r="Z18" s="53" t="s">
        <v>50</v>
      </c>
      <c r="AA18" s="53" t="s">
        <v>90</v>
      </c>
      <c r="AB18" s="53" t="s">
        <v>240</v>
      </c>
      <c r="AE18" s="22" t="s">
        <v>87</v>
      </c>
      <c r="AP18" s="27" t="s">
        <v>111</v>
      </c>
      <c r="AR18" s="23" t="s">
        <v>101</v>
      </c>
      <c r="AV18" s="23" t="s">
        <v>88</v>
      </c>
    </row>
    <row r="19" spans="1:48" x14ac:dyDescent="0.15">
      <c r="A19" s="53" t="s">
        <v>56</v>
      </c>
      <c r="B19" s="53" t="s">
        <v>236</v>
      </c>
      <c r="C19" s="53">
        <v>2019</v>
      </c>
      <c r="D19" s="81" t="s">
        <v>237</v>
      </c>
      <c r="E19" s="53" t="s">
        <v>256</v>
      </c>
      <c r="F19" s="53" t="s">
        <v>257</v>
      </c>
      <c r="G19" s="53" t="s">
        <v>42</v>
      </c>
      <c r="H19" s="53" t="s">
        <v>160</v>
      </c>
      <c r="I19" s="53" t="s">
        <v>159</v>
      </c>
      <c r="J19" s="53" t="s">
        <v>38</v>
      </c>
      <c r="K19" s="53" t="s">
        <v>161</v>
      </c>
      <c r="L19" s="53">
        <v>3</v>
      </c>
      <c r="N19" s="53">
        <v>5</v>
      </c>
      <c r="O19" s="53">
        <v>0.7</v>
      </c>
      <c r="P19" s="53">
        <v>0.6</v>
      </c>
      <c r="Q19" s="74">
        <f t="shared" si="0"/>
        <v>0.64999999999999991</v>
      </c>
      <c r="R19" s="53">
        <v>14.4</v>
      </c>
      <c r="S19" s="53">
        <v>100</v>
      </c>
      <c r="T19" s="16">
        <f t="shared" si="1"/>
        <v>33</v>
      </c>
      <c r="U19" s="53">
        <v>646</v>
      </c>
      <c r="V19" s="16">
        <f t="shared" si="2"/>
        <v>4263.5999999999995</v>
      </c>
      <c r="W19" s="53">
        <v>2</v>
      </c>
      <c r="X19" s="53" t="s">
        <v>46</v>
      </c>
      <c r="Y19" s="53" t="s">
        <v>84</v>
      </c>
      <c r="Z19" s="53" t="s">
        <v>50</v>
      </c>
      <c r="AA19" s="53" t="s">
        <v>90</v>
      </c>
      <c r="AB19" s="53" t="s">
        <v>240</v>
      </c>
      <c r="AE19" s="35" t="s">
        <v>89</v>
      </c>
      <c r="AP19" s="27" t="s">
        <v>112</v>
      </c>
      <c r="AR19" s="23" t="s">
        <v>126</v>
      </c>
      <c r="AV19" s="23" t="s">
        <v>90</v>
      </c>
    </row>
    <row r="20" spans="1:48" x14ac:dyDescent="0.15">
      <c r="A20" s="53" t="s">
        <v>56</v>
      </c>
      <c r="B20" s="53" t="s">
        <v>236</v>
      </c>
      <c r="C20" s="53">
        <v>2019</v>
      </c>
      <c r="D20" s="81" t="s">
        <v>237</v>
      </c>
      <c r="E20" s="53" t="s">
        <v>258</v>
      </c>
      <c r="F20" s="53" t="s">
        <v>254</v>
      </c>
      <c r="G20" s="53" t="s">
        <v>42</v>
      </c>
      <c r="H20" s="53" t="s">
        <v>164</v>
      </c>
      <c r="I20" s="53" t="s">
        <v>159</v>
      </c>
      <c r="J20" s="53" t="s">
        <v>38</v>
      </c>
      <c r="K20" s="53" t="s">
        <v>161</v>
      </c>
      <c r="L20" s="53">
        <v>1</v>
      </c>
      <c r="N20" s="53">
        <v>7</v>
      </c>
      <c r="O20" s="53">
        <v>0.75</v>
      </c>
      <c r="P20" s="53">
        <v>0.7</v>
      </c>
      <c r="Q20" s="16">
        <f t="shared" si="0"/>
        <v>0.72499999999999998</v>
      </c>
      <c r="R20" s="53">
        <v>14.7</v>
      </c>
      <c r="S20" s="53">
        <v>82</v>
      </c>
      <c r="T20" s="16">
        <f t="shared" si="1"/>
        <v>39</v>
      </c>
      <c r="U20" s="53">
        <v>429</v>
      </c>
      <c r="V20" s="16">
        <f t="shared" si="2"/>
        <v>2390.1428571428569</v>
      </c>
      <c r="W20" s="53">
        <v>4</v>
      </c>
      <c r="X20" s="53" t="s">
        <v>39</v>
      </c>
      <c r="Y20" s="53" t="s">
        <v>84</v>
      </c>
      <c r="Z20" s="53" t="s">
        <v>90</v>
      </c>
      <c r="AA20" s="53" t="s">
        <v>78</v>
      </c>
      <c r="AB20" s="53" t="s">
        <v>240</v>
      </c>
      <c r="AP20" s="27" t="s">
        <v>113</v>
      </c>
      <c r="AR20" s="23" t="s">
        <v>105</v>
      </c>
      <c r="AV20" s="27" t="s">
        <v>135</v>
      </c>
    </row>
    <row r="21" spans="1:48" x14ac:dyDescent="0.15">
      <c r="A21" s="53" t="s">
        <v>56</v>
      </c>
      <c r="B21" s="53" t="s">
        <v>236</v>
      </c>
      <c r="C21" s="53">
        <v>2019</v>
      </c>
      <c r="D21" s="81" t="s">
        <v>237</v>
      </c>
      <c r="E21" s="53" t="s">
        <v>258</v>
      </c>
      <c r="F21" s="53" t="s">
        <v>254</v>
      </c>
      <c r="G21" s="53" t="s">
        <v>42</v>
      </c>
      <c r="H21" s="53" t="s">
        <v>164</v>
      </c>
      <c r="I21" s="53" t="s">
        <v>159</v>
      </c>
      <c r="J21" s="53" t="s">
        <v>38</v>
      </c>
      <c r="K21" s="53" t="s">
        <v>161</v>
      </c>
      <c r="L21" s="53">
        <v>2</v>
      </c>
      <c r="N21" s="53">
        <v>7</v>
      </c>
      <c r="O21" s="53">
        <v>0.6</v>
      </c>
      <c r="P21" s="53">
        <v>0.55000000000000004</v>
      </c>
      <c r="Q21" s="16">
        <f t="shared" si="0"/>
        <v>0.57499999999999996</v>
      </c>
      <c r="R21" s="53">
        <v>15.2</v>
      </c>
      <c r="S21" s="53">
        <v>89</v>
      </c>
      <c r="T21" s="16">
        <f t="shared" si="1"/>
        <v>36</v>
      </c>
      <c r="U21" s="53">
        <v>429</v>
      </c>
      <c r="V21" s="16">
        <f t="shared" si="2"/>
        <v>2206.2857142857142</v>
      </c>
      <c r="W21" s="53">
        <v>4</v>
      </c>
      <c r="X21" s="53" t="s">
        <v>39</v>
      </c>
      <c r="Y21" s="53" t="s">
        <v>84</v>
      </c>
      <c r="Z21" s="53" t="s">
        <v>90</v>
      </c>
      <c r="AA21" s="53" t="s">
        <v>78</v>
      </c>
      <c r="AB21" s="53" t="s">
        <v>240</v>
      </c>
      <c r="AP21" s="27" t="s">
        <v>114</v>
      </c>
      <c r="AR21" s="23" t="s">
        <v>68</v>
      </c>
      <c r="AV21" s="28" t="s">
        <v>259</v>
      </c>
    </row>
    <row r="22" spans="1:48" x14ac:dyDescent="0.15">
      <c r="A22" s="53" t="s">
        <v>56</v>
      </c>
      <c r="B22" s="53" t="s">
        <v>236</v>
      </c>
      <c r="C22" s="53">
        <v>2019</v>
      </c>
      <c r="D22" s="81" t="s">
        <v>237</v>
      </c>
      <c r="E22" s="53" t="s">
        <v>258</v>
      </c>
      <c r="F22" s="53" t="s">
        <v>254</v>
      </c>
      <c r="G22" s="53" t="s">
        <v>42</v>
      </c>
      <c r="H22" s="53" t="s">
        <v>164</v>
      </c>
      <c r="I22" s="53" t="s">
        <v>159</v>
      </c>
      <c r="J22" s="53" t="s">
        <v>38</v>
      </c>
      <c r="K22" s="53" t="s">
        <v>161</v>
      </c>
      <c r="L22" s="53">
        <v>3</v>
      </c>
      <c r="N22" s="53">
        <v>7</v>
      </c>
      <c r="O22" s="53">
        <v>0.7</v>
      </c>
      <c r="P22" s="53">
        <v>0.7</v>
      </c>
      <c r="Q22" s="16">
        <f t="shared" si="0"/>
        <v>0.7</v>
      </c>
      <c r="R22" s="53">
        <v>15.1</v>
      </c>
      <c r="S22" s="53">
        <v>83</v>
      </c>
      <c r="T22" s="16">
        <f t="shared" si="1"/>
        <v>39</v>
      </c>
      <c r="U22" s="53">
        <v>429</v>
      </c>
      <c r="V22" s="16">
        <f t="shared" si="2"/>
        <v>2390.1428571428569</v>
      </c>
      <c r="W22" s="53">
        <v>4</v>
      </c>
      <c r="X22" s="53" t="s">
        <v>39</v>
      </c>
      <c r="Y22" s="53" t="s">
        <v>84</v>
      </c>
      <c r="Z22" s="53" t="s">
        <v>90</v>
      </c>
      <c r="AA22" s="53" t="s">
        <v>78</v>
      </c>
      <c r="AB22" s="53" t="s">
        <v>240</v>
      </c>
      <c r="AP22" s="27" t="s">
        <v>115</v>
      </c>
      <c r="AR22" s="23" t="s">
        <v>83</v>
      </c>
    </row>
    <row r="23" spans="1:48" x14ac:dyDescent="0.15">
      <c r="A23" s="53" t="s">
        <v>56</v>
      </c>
      <c r="B23" s="53" t="s">
        <v>236</v>
      </c>
      <c r="C23" s="53">
        <v>2019</v>
      </c>
      <c r="D23" s="81" t="s">
        <v>237</v>
      </c>
      <c r="E23" s="53" t="s">
        <v>258</v>
      </c>
      <c r="F23" s="53" t="s">
        <v>254</v>
      </c>
      <c r="G23" s="53" t="s">
        <v>42</v>
      </c>
      <c r="H23" s="53" t="s">
        <v>128</v>
      </c>
      <c r="I23" s="53" t="s">
        <v>159</v>
      </c>
      <c r="J23" s="53" t="s">
        <v>80</v>
      </c>
      <c r="K23" s="53" t="s">
        <v>63</v>
      </c>
      <c r="L23" s="53">
        <v>1</v>
      </c>
      <c r="N23" s="53">
        <v>4</v>
      </c>
      <c r="O23" s="53">
        <v>0.7</v>
      </c>
      <c r="P23" s="53">
        <v>0.55000000000000004</v>
      </c>
      <c r="Q23" s="16">
        <f t="shared" si="0"/>
        <v>0.625</v>
      </c>
      <c r="R23" s="53">
        <v>12.9</v>
      </c>
      <c r="S23" s="53">
        <v>100</v>
      </c>
      <c r="T23" s="16">
        <f t="shared" si="1"/>
        <v>33</v>
      </c>
      <c r="U23" s="53">
        <v>429</v>
      </c>
      <c r="V23" s="16">
        <f t="shared" si="2"/>
        <v>3539.25</v>
      </c>
      <c r="W23" s="53">
        <v>2</v>
      </c>
      <c r="X23" s="53" t="s">
        <v>39</v>
      </c>
      <c r="Y23" s="53" t="s">
        <v>84</v>
      </c>
      <c r="Z23" s="53" t="s">
        <v>90</v>
      </c>
      <c r="AA23" s="53" t="s">
        <v>78</v>
      </c>
      <c r="AB23" s="53" t="s">
        <v>240</v>
      </c>
      <c r="AP23" s="27" t="s">
        <v>137</v>
      </c>
      <c r="AR23" s="23" t="s">
        <v>61</v>
      </c>
    </row>
    <row r="24" spans="1:48" x14ac:dyDescent="0.15">
      <c r="A24" s="53" t="s">
        <v>56</v>
      </c>
      <c r="B24" s="53" t="s">
        <v>236</v>
      </c>
      <c r="C24" s="53">
        <v>2019</v>
      </c>
      <c r="D24" s="81" t="s">
        <v>237</v>
      </c>
      <c r="E24" s="53" t="s">
        <v>258</v>
      </c>
      <c r="F24" s="53" t="s">
        <v>254</v>
      </c>
      <c r="G24" s="53" t="s">
        <v>42</v>
      </c>
      <c r="H24" s="53" t="s">
        <v>128</v>
      </c>
      <c r="I24" s="53" t="s">
        <v>159</v>
      </c>
      <c r="J24" s="53" t="s">
        <v>80</v>
      </c>
      <c r="K24" s="53" t="s">
        <v>63</v>
      </c>
      <c r="L24" s="53">
        <v>2</v>
      </c>
      <c r="N24" s="53">
        <v>4</v>
      </c>
      <c r="O24" s="53">
        <v>0.6</v>
      </c>
      <c r="P24" s="53">
        <v>0.55000000000000004</v>
      </c>
      <c r="Q24" s="16">
        <f t="shared" si="0"/>
        <v>0.57499999999999996</v>
      </c>
      <c r="R24" s="53">
        <v>13.9</v>
      </c>
      <c r="S24" s="53">
        <v>81</v>
      </c>
      <c r="T24" s="16">
        <f t="shared" si="1"/>
        <v>39</v>
      </c>
      <c r="U24" s="53">
        <v>429</v>
      </c>
      <c r="V24" s="16">
        <f t="shared" si="2"/>
        <v>4182.75</v>
      </c>
      <c r="W24" s="53">
        <v>2</v>
      </c>
      <c r="X24" s="53" t="s">
        <v>39</v>
      </c>
      <c r="Y24" s="53" t="s">
        <v>84</v>
      </c>
      <c r="Z24" s="53" t="s">
        <v>90</v>
      </c>
      <c r="AA24" s="53" t="s">
        <v>78</v>
      </c>
      <c r="AB24" s="53" t="s">
        <v>240</v>
      </c>
      <c r="AP24" s="27" t="s">
        <v>138</v>
      </c>
      <c r="AR24" s="23" t="s">
        <v>91</v>
      </c>
    </row>
    <row r="25" spans="1:48" x14ac:dyDescent="0.15">
      <c r="A25" s="53" t="s">
        <v>56</v>
      </c>
      <c r="B25" s="53" t="s">
        <v>236</v>
      </c>
      <c r="C25" s="53">
        <v>2019</v>
      </c>
      <c r="D25" s="81" t="s">
        <v>237</v>
      </c>
      <c r="E25" s="53" t="s">
        <v>258</v>
      </c>
      <c r="F25" s="53" t="s">
        <v>254</v>
      </c>
      <c r="G25" s="53" t="s">
        <v>42</v>
      </c>
      <c r="H25" s="53" t="s">
        <v>128</v>
      </c>
      <c r="I25" s="53" t="s">
        <v>159</v>
      </c>
      <c r="J25" s="53" t="s">
        <v>80</v>
      </c>
      <c r="K25" s="53" t="s">
        <v>63</v>
      </c>
      <c r="L25" s="53">
        <v>3</v>
      </c>
      <c r="N25" s="53">
        <v>4</v>
      </c>
      <c r="O25" s="53">
        <v>0.6</v>
      </c>
      <c r="P25" s="53">
        <v>0.6</v>
      </c>
      <c r="Q25" s="16">
        <f t="shared" si="0"/>
        <v>0.6</v>
      </c>
      <c r="R25" s="53">
        <v>14.9</v>
      </c>
      <c r="S25" s="53">
        <v>106</v>
      </c>
      <c r="T25" s="16">
        <f t="shared" si="1"/>
        <v>33</v>
      </c>
      <c r="U25" s="53">
        <v>429</v>
      </c>
      <c r="V25" s="16">
        <f t="shared" si="2"/>
        <v>3539.25</v>
      </c>
      <c r="W25" s="53">
        <v>2</v>
      </c>
      <c r="X25" s="53" t="s">
        <v>39</v>
      </c>
      <c r="Y25" s="53" t="s">
        <v>84</v>
      </c>
      <c r="Z25" s="53" t="s">
        <v>90</v>
      </c>
      <c r="AA25" s="53" t="s">
        <v>78</v>
      </c>
      <c r="AB25" s="53" t="s">
        <v>240</v>
      </c>
      <c r="AP25" s="27" t="s">
        <v>116</v>
      </c>
      <c r="AR25" s="27" t="s">
        <v>92</v>
      </c>
    </row>
    <row r="26" spans="1:48" x14ac:dyDescent="0.15">
      <c r="A26" s="53" t="s">
        <v>56</v>
      </c>
      <c r="B26" s="53" t="s">
        <v>236</v>
      </c>
      <c r="C26" s="53">
        <v>2019</v>
      </c>
      <c r="D26" s="81" t="s">
        <v>237</v>
      </c>
      <c r="E26" s="53" t="s">
        <v>162</v>
      </c>
      <c r="F26" s="53" t="s">
        <v>253</v>
      </c>
      <c r="G26" s="53" t="s">
        <v>42</v>
      </c>
      <c r="H26" s="53" t="s">
        <v>164</v>
      </c>
      <c r="I26" s="53" t="s">
        <v>159</v>
      </c>
      <c r="J26" s="53" t="s">
        <v>38</v>
      </c>
      <c r="K26" s="53" t="s">
        <v>161</v>
      </c>
      <c r="L26" s="53">
        <v>1</v>
      </c>
      <c r="N26" s="53">
        <v>1</v>
      </c>
      <c r="O26" s="53">
        <v>0.55000000000000004</v>
      </c>
      <c r="P26" s="53">
        <v>0.5</v>
      </c>
      <c r="Q26" s="16">
        <f t="shared" si="0"/>
        <v>0.52500000000000002</v>
      </c>
      <c r="R26" s="53">
        <v>15.4</v>
      </c>
      <c r="S26" s="53">
        <v>109</v>
      </c>
      <c r="T26" s="16">
        <f t="shared" si="1"/>
        <v>33</v>
      </c>
      <c r="U26" s="53">
        <v>106</v>
      </c>
      <c r="V26" s="16">
        <f t="shared" si="2"/>
        <v>3498</v>
      </c>
      <c r="W26" s="53">
        <v>2</v>
      </c>
      <c r="X26" s="53" t="s">
        <v>46</v>
      </c>
      <c r="Y26" s="53" t="s">
        <v>84</v>
      </c>
      <c r="Z26" s="53" t="s">
        <v>90</v>
      </c>
      <c r="AA26" s="53" t="s">
        <v>50</v>
      </c>
      <c r="AB26" s="53" t="s">
        <v>240</v>
      </c>
      <c r="AP26" s="27" t="s">
        <v>117</v>
      </c>
      <c r="AR26" s="53" t="s">
        <v>153</v>
      </c>
    </row>
    <row r="27" spans="1:48" x14ac:dyDescent="0.15">
      <c r="A27" s="53" t="s">
        <v>56</v>
      </c>
      <c r="B27" s="53" t="s">
        <v>236</v>
      </c>
      <c r="C27" s="53">
        <v>2019</v>
      </c>
      <c r="D27" s="81" t="s">
        <v>237</v>
      </c>
      <c r="E27" s="53" t="s">
        <v>162</v>
      </c>
      <c r="F27" s="53" t="s">
        <v>253</v>
      </c>
      <c r="G27" s="53" t="s">
        <v>42</v>
      </c>
      <c r="H27" s="53" t="s">
        <v>164</v>
      </c>
      <c r="I27" s="53" t="s">
        <v>159</v>
      </c>
      <c r="J27" s="53" t="s">
        <v>38</v>
      </c>
      <c r="K27" s="53" t="s">
        <v>161</v>
      </c>
      <c r="L27" s="53">
        <v>2</v>
      </c>
      <c r="N27" s="53">
        <v>1</v>
      </c>
      <c r="O27" s="53">
        <v>0.55000000000000004</v>
      </c>
      <c r="P27" s="53">
        <v>0.55000000000000004</v>
      </c>
      <c r="Q27" s="16">
        <f t="shared" si="0"/>
        <v>0.55000000000000004</v>
      </c>
      <c r="R27" s="53">
        <v>14.1</v>
      </c>
      <c r="S27" s="53">
        <v>111</v>
      </c>
      <c r="T27" s="16">
        <f t="shared" si="1"/>
        <v>33</v>
      </c>
      <c r="U27" s="53">
        <v>106</v>
      </c>
      <c r="V27" s="16">
        <f t="shared" si="2"/>
        <v>3498</v>
      </c>
      <c r="W27" s="53">
        <v>2</v>
      </c>
      <c r="X27" s="53" t="s">
        <v>46</v>
      </c>
      <c r="Y27" s="53" t="s">
        <v>84</v>
      </c>
      <c r="Z27" s="53" t="s">
        <v>90</v>
      </c>
      <c r="AA27" s="53" t="s">
        <v>50</v>
      </c>
      <c r="AB27" s="53" t="s">
        <v>240</v>
      </c>
      <c r="AP27" s="27" t="s">
        <v>118</v>
      </c>
    </row>
    <row r="28" spans="1:48" x14ac:dyDescent="0.15">
      <c r="A28" s="53" t="s">
        <v>56</v>
      </c>
      <c r="B28" s="53" t="s">
        <v>236</v>
      </c>
      <c r="C28" s="53">
        <v>2019</v>
      </c>
      <c r="D28" s="81" t="s">
        <v>237</v>
      </c>
      <c r="E28" s="53" t="s">
        <v>162</v>
      </c>
      <c r="F28" s="53" t="s">
        <v>253</v>
      </c>
      <c r="G28" s="53" t="s">
        <v>42</v>
      </c>
      <c r="H28" s="53" t="s">
        <v>164</v>
      </c>
      <c r="I28" s="53" t="s">
        <v>159</v>
      </c>
      <c r="J28" s="53" t="s">
        <v>38</v>
      </c>
      <c r="K28" s="53" t="s">
        <v>161</v>
      </c>
      <c r="L28" s="53">
        <v>3</v>
      </c>
      <c r="N28" s="53">
        <v>1</v>
      </c>
      <c r="O28" s="53">
        <v>0.7</v>
      </c>
      <c r="P28" s="53">
        <v>0.6</v>
      </c>
      <c r="Q28" s="16">
        <f t="shared" si="0"/>
        <v>0.64999999999999991</v>
      </c>
      <c r="R28" s="53">
        <v>14.7</v>
      </c>
      <c r="S28" s="53">
        <v>111</v>
      </c>
      <c r="T28" s="16">
        <f t="shared" si="1"/>
        <v>33</v>
      </c>
      <c r="U28" s="53">
        <v>106</v>
      </c>
      <c r="V28" s="16">
        <f t="shared" si="2"/>
        <v>3498</v>
      </c>
      <c r="W28" s="53">
        <v>2</v>
      </c>
      <c r="X28" s="53" t="s">
        <v>46</v>
      </c>
      <c r="Y28" s="53" t="s">
        <v>84</v>
      </c>
      <c r="Z28" s="53" t="s">
        <v>90</v>
      </c>
      <c r="AA28" s="53" t="s">
        <v>50</v>
      </c>
      <c r="AB28" s="53" t="s">
        <v>240</v>
      </c>
    </row>
    <row r="29" spans="1:48" x14ac:dyDescent="0.15">
      <c r="A29" s="53" t="s">
        <v>56</v>
      </c>
      <c r="B29" s="53" t="s">
        <v>236</v>
      </c>
      <c r="C29" s="53">
        <v>2019</v>
      </c>
      <c r="D29" s="81" t="s">
        <v>237</v>
      </c>
      <c r="E29" s="53" t="s">
        <v>162</v>
      </c>
      <c r="F29" s="53" t="s">
        <v>253</v>
      </c>
      <c r="G29" s="53" t="s">
        <v>42</v>
      </c>
      <c r="H29" s="53" t="s">
        <v>160</v>
      </c>
      <c r="I29" s="53" t="s">
        <v>159</v>
      </c>
      <c r="J29" s="53" t="s">
        <v>38</v>
      </c>
      <c r="K29" s="53" t="s">
        <v>161</v>
      </c>
      <c r="L29" s="53">
        <v>1</v>
      </c>
      <c r="N29" s="53">
        <v>1</v>
      </c>
      <c r="O29" s="53">
        <v>0.5</v>
      </c>
      <c r="P29" s="53">
        <v>0.5</v>
      </c>
      <c r="Q29" s="16">
        <f t="shared" si="0"/>
        <v>0.5</v>
      </c>
      <c r="R29" s="53">
        <v>15.4</v>
      </c>
      <c r="S29" s="53">
        <v>90</v>
      </c>
      <c r="T29" s="16">
        <f t="shared" si="1"/>
        <v>36</v>
      </c>
      <c r="U29" s="53">
        <v>138</v>
      </c>
      <c r="V29" s="16">
        <f t="shared" si="2"/>
        <v>4968</v>
      </c>
      <c r="W29" s="53">
        <v>2</v>
      </c>
      <c r="X29" s="53" t="s">
        <v>46</v>
      </c>
      <c r="Y29" s="53" t="s">
        <v>84</v>
      </c>
      <c r="Z29" s="53" t="s">
        <v>90</v>
      </c>
      <c r="AA29" s="53" t="s">
        <v>50</v>
      </c>
      <c r="AB29" s="53" t="s">
        <v>240</v>
      </c>
    </row>
    <row r="30" spans="1:48" x14ac:dyDescent="0.15">
      <c r="A30" s="53" t="s">
        <v>56</v>
      </c>
      <c r="B30" s="53" t="s">
        <v>236</v>
      </c>
      <c r="C30" s="53">
        <v>2019</v>
      </c>
      <c r="D30" s="81" t="s">
        <v>237</v>
      </c>
      <c r="E30" s="53" t="s">
        <v>162</v>
      </c>
      <c r="F30" s="53" t="s">
        <v>253</v>
      </c>
      <c r="G30" s="53" t="s">
        <v>42</v>
      </c>
      <c r="H30" s="53" t="s">
        <v>160</v>
      </c>
      <c r="I30" s="53" t="s">
        <v>159</v>
      </c>
      <c r="J30" s="53" t="s">
        <v>38</v>
      </c>
      <c r="K30" s="53" t="s">
        <v>161</v>
      </c>
      <c r="L30" s="53">
        <v>2</v>
      </c>
      <c r="N30" s="53">
        <v>1</v>
      </c>
      <c r="O30" s="53">
        <v>0.5</v>
      </c>
      <c r="P30" s="53">
        <v>0.5</v>
      </c>
      <c r="Q30" s="16">
        <f t="shared" si="0"/>
        <v>0.5</v>
      </c>
      <c r="R30" s="53">
        <v>15.4</v>
      </c>
      <c r="S30" s="53">
        <v>90</v>
      </c>
      <c r="T30" s="16">
        <f t="shared" si="1"/>
        <v>36</v>
      </c>
      <c r="U30" s="53">
        <v>138</v>
      </c>
      <c r="V30" s="16">
        <f t="shared" si="2"/>
        <v>4968</v>
      </c>
      <c r="W30" s="53">
        <v>2</v>
      </c>
      <c r="X30" s="53" t="s">
        <v>46</v>
      </c>
      <c r="Y30" s="53" t="s">
        <v>84</v>
      </c>
      <c r="Z30" s="53" t="s">
        <v>90</v>
      </c>
      <c r="AA30" s="53" t="s">
        <v>50</v>
      </c>
      <c r="AB30" s="53" t="s">
        <v>240</v>
      </c>
    </row>
    <row r="31" spans="1:48" x14ac:dyDescent="0.15">
      <c r="A31" s="53" t="s">
        <v>56</v>
      </c>
      <c r="B31" s="53" t="s">
        <v>236</v>
      </c>
      <c r="C31" s="53">
        <v>2019</v>
      </c>
      <c r="D31" s="81" t="s">
        <v>237</v>
      </c>
      <c r="E31" s="53" t="s">
        <v>162</v>
      </c>
      <c r="F31" s="53" t="s">
        <v>253</v>
      </c>
      <c r="G31" s="53" t="s">
        <v>42</v>
      </c>
      <c r="H31" s="53" t="s">
        <v>160</v>
      </c>
      <c r="I31" s="53" t="s">
        <v>159</v>
      </c>
      <c r="J31" s="53" t="s">
        <v>38</v>
      </c>
      <c r="K31" s="53" t="s">
        <v>161</v>
      </c>
      <c r="L31" s="53">
        <v>3</v>
      </c>
      <c r="N31" s="53">
        <v>1</v>
      </c>
      <c r="O31" s="53">
        <v>0.6</v>
      </c>
      <c r="P31" s="53">
        <v>0.55000000000000004</v>
      </c>
      <c r="Q31" s="16">
        <f t="shared" si="0"/>
        <v>0.57499999999999996</v>
      </c>
      <c r="R31" s="53">
        <v>14.1</v>
      </c>
      <c r="S31" s="53">
        <v>94</v>
      </c>
      <c r="T31" s="16">
        <f t="shared" si="1"/>
        <v>36</v>
      </c>
      <c r="U31" s="53">
        <v>138</v>
      </c>
      <c r="V31" s="16">
        <f t="shared" si="2"/>
        <v>4968</v>
      </c>
      <c r="W31" s="53">
        <v>2</v>
      </c>
      <c r="X31" s="53" t="s">
        <v>46</v>
      </c>
      <c r="Y31" s="53" t="s">
        <v>84</v>
      </c>
      <c r="Z31" s="53" t="s">
        <v>90</v>
      </c>
      <c r="AA31" s="53" t="s">
        <v>50</v>
      </c>
      <c r="AB31" s="53" t="s">
        <v>240</v>
      </c>
    </row>
    <row r="32" spans="1:48" x14ac:dyDescent="0.15">
      <c r="A32" s="53" t="s">
        <v>56</v>
      </c>
      <c r="B32" s="53" t="s">
        <v>236</v>
      </c>
      <c r="C32" s="53">
        <v>2019</v>
      </c>
      <c r="D32" s="81" t="s">
        <v>237</v>
      </c>
      <c r="E32" s="53" t="s">
        <v>260</v>
      </c>
      <c r="F32" s="53" t="s">
        <v>253</v>
      </c>
      <c r="G32" s="53" t="s">
        <v>42</v>
      </c>
      <c r="H32" s="53" t="s">
        <v>164</v>
      </c>
      <c r="I32" s="53" t="s">
        <v>159</v>
      </c>
      <c r="J32" s="53" t="s">
        <v>38</v>
      </c>
      <c r="K32" s="53" t="s">
        <v>161</v>
      </c>
      <c r="L32" s="53">
        <v>1</v>
      </c>
      <c r="N32" s="53">
        <v>1</v>
      </c>
      <c r="O32" s="53">
        <v>0.6</v>
      </c>
      <c r="P32" s="53">
        <v>0.55000000000000004</v>
      </c>
      <c r="Q32" s="16">
        <f t="shared" si="0"/>
        <v>0.57499999999999996</v>
      </c>
      <c r="R32" s="53">
        <v>17.5</v>
      </c>
      <c r="S32" s="53">
        <v>134</v>
      </c>
      <c r="T32" s="16">
        <f t="shared" si="1"/>
        <v>25</v>
      </c>
      <c r="U32" s="53">
        <v>138</v>
      </c>
      <c r="V32" s="16">
        <f t="shared" si="2"/>
        <v>3450</v>
      </c>
      <c r="W32" s="53">
        <v>1</v>
      </c>
      <c r="X32" s="53" t="s">
        <v>39</v>
      </c>
      <c r="Y32" s="53" t="s">
        <v>84</v>
      </c>
      <c r="Z32" s="53" t="s">
        <v>90</v>
      </c>
      <c r="AA32" s="53" t="s">
        <v>40</v>
      </c>
      <c r="AB32" s="53" t="s">
        <v>240</v>
      </c>
    </row>
    <row r="33" spans="1:28" x14ac:dyDescent="0.15">
      <c r="A33" s="53" t="s">
        <v>56</v>
      </c>
      <c r="B33" s="53" t="s">
        <v>236</v>
      </c>
      <c r="C33" s="53">
        <v>2019</v>
      </c>
      <c r="D33" s="81" t="s">
        <v>237</v>
      </c>
      <c r="E33" s="53" t="s">
        <v>260</v>
      </c>
      <c r="F33" s="53" t="s">
        <v>253</v>
      </c>
      <c r="G33" s="53" t="s">
        <v>42</v>
      </c>
      <c r="H33" s="53" t="s">
        <v>164</v>
      </c>
      <c r="I33" s="53" t="s">
        <v>159</v>
      </c>
      <c r="J33" s="53" t="s">
        <v>38</v>
      </c>
      <c r="K33" s="53" t="s">
        <v>161</v>
      </c>
      <c r="L33" s="53">
        <v>2</v>
      </c>
      <c r="N33" s="53">
        <v>1</v>
      </c>
      <c r="O33" s="53">
        <v>1.1000000000000001</v>
      </c>
      <c r="P33" s="53">
        <v>1.1000000000000001</v>
      </c>
      <c r="Q33" s="16">
        <f t="shared" si="0"/>
        <v>1.1000000000000001</v>
      </c>
      <c r="R33" s="53">
        <v>14.1</v>
      </c>
      <c r="S33" s="53">
        <v>126</v>
      </c>
      <c r="T33" s="16">
        <f t="shared" si="1"/>
        <v>27</v>
      </c>
      <c r="U33" s="53">
        <v>138</v>
      </c>
      <c r="V33" s="16">
        <f t="shared" si="2"/>
        <v>3726</v>
      </c>
      <c r="W33" s="53">
        <v>1</v>
      </c>
      <c r="X33" s="53" t="s">
        <v>39</v>
      </c>
      <c r="Y33" s="53" t="s">
        <v>84</v>
      </c>
      <c r="Z33" s="53" t="s">
        <v>90</v>
      </c>
      <c r="AA33" s="53" t="s">
        <v>40</v>
      </c>
      <c r="AB33" s="53" t="s">
        <v>240</v>
      </c>
    </row>
    <row r="34" spans="1:28" x14ac:dyDescent="0.15">
      <c r="A34" s="53" t="s">
        <v>56</v>
      </c>
      <c r="B34" s="53" t="s">
        <v>236</v>
      </c>
      <c r="C34" s="53">
        <v>2019</v>
      </c>
      <c r="D34" s="81" t="s">
        <v>237</v>
      </c>
      <c r="E34" s="53" t="s">
        <v>260</v>
      </c>
      <c r="F34" s="53" t="s">
        <v>253</v>
      </c>
      <c r="G34" s="53" t="s">
        <v>42</v>
      </c>
      <c r="H34" s="53" t="s">
        <v>164</v>
      </c>
      <c r="I34" s="53" t="s">
        <v>159</v>
      </c>
      <c r="J34" s="53" t="s">
        <v>38</v>
      </c>
      <c r="K34" s="53" t="s">
        <v>161</v>
      </c>
      <c r="L34" s="53">
        <v>3</v>
      </c>
      <c r="N34" s="53">
        <v>1</v>
      </c>
      <c r="O34" s="53">
        <v>0.85</v>
      </c>
      <c r="P34" s="53">
        <v>0.75</v>
      </c>
      <c r="Q34" s="16">
        <f t="shared" si="0"/>
        <v>0.8</v>
      </c>
      <c r="R34" s="53">
        <v>12.9</v>
      </c>
      <c r="S34" s="53">
        <v>135</v>
      </c>
      <c r="T34" s="16">
        <f t="shared" si="1"/>
        <v>25</v>
      </c>
      <c r="U34" s="53">
        <v>138</v>
      </c>
      <c r="V34" s="16">
        <f t="shared" si="2"/>
        <v>3450</v>
      </c>
      <c r="W34" s="53">
        <v>1</v>
      </c>
      <c r="X34" s="53" t="s">
        <v>39</v>
      </c>
      <c r="Y34" s="53" t="s">
        <v>84</v>
      </c>
      <c r="Z34" s="53" t="s">
        <v>90</v>
      </c>
      <c r="AA34" s="53" t="s">
        <v>40</v>
      </c>
      <c r="AB34" s="53" t="s">
        <v>240</v>
      </c>
    </row>
    <row r="35" spans="1:28" x14ac:dyDescent="0.15">
      <c r="A35" s="53" t="s">
        <v>56</v>
      </c>
      <c r="B35" s="53" t="s">
        <v>236</v>
      </c>
      <c r="C35" s="53">
        <v>2019</v>
      </c>
      <c r="D35" s="81" t="s">
        <v>237</v>
      </c>
      <c r="E35" s="53" t="s">
        <v>260</v>
      </c>
      <c r="F35" s="53" t="s">
        <v>253</v>
      </c>
      <c r="G35" s="53" t="s">
        <v>42</v>
      </c>
      <c r="H35" s="53" t="s">
        <v>160</v>
      </c>
      <c r="I35" s="53" t="s">
        <v>159</v>
      </c>
      <c r="J35" s="53" t="s">
        <v>38</v>
      </c>
      <c r="K35" s="53" t="s">
        <v>161</v>
      </c>
      <c r="L35" s="53">
        <v>1</v>
      </c>
      <c r="N35" s="53">
        <v>1</v>
      </c>
      <c r="O35" s="53">
        <v>0.7</v>
      </c>
      <c r="P35" s="53">
        <v>0.7</v>
      </c>
      <c r="Q35" s="16">
        <f t="shared" si="0"/>
        <v>0.7</v>
      </c>
      <c r="R35" s="53">
        <v>15.5</v>
      </c>
      <c r="S35" s="53">
        <v>104</v>
      </c>
      <c r="T35" s="16">
        <f t="shared" si="1"/>
        <v>33</v>
      </c>
      <c r="U35" s="53">
        <v>198</v>
      </c>
      <c r="V35" s="16">
        <f t="shared" si="2"/>
        <v>6534</v>
      </c>
      <c r="W35" s="53">
        <v>1</v>
      </c>
      <c r="X35" s="53" t="s">
        <v>39</v>
      </c>
      <c r="Y35" s="53" t="s">
        <v>84</v>
      </c>
      <c r="Z35" s="53" t="s">
        <v>90</v>
      </c>
      <c r="AA35" s="53" t="s">
        <v>40</v>
      </c>
      <c r="AB35" s="53" t="s">
        <v>240</v>
      </c>
    </row>
    <row r="36" spans="1:28" x14ac:dyDescent="0.15">
      <c r="A36" s="53" t="s">
        <v>56</v>
      </c>
      <c r="B36" s="53" t="s">
        <v>236</v>
      </c>
      <c r="C36" s="53">
        <v>2019</v>
      </c>
      <c r="D36" s="81" t="s">
        <v>237</v>
      </c>
      <c r="E36" s="53" t="s">
        <v>260</v>
      </c>
      <c r="F36" s="53" t="s">
        <v>253</v>
      </c>
      <c r="G36" s="53" t="s">
        <v>42</v>
      </c>
      <c r="H36" s="53" t="s">
        <v>160</v>
      </c>
      <c r="I36" s="53" t="s">
        <v>159</v>
      </c>
      <c r="J36" s="53" t="s">
        <v>38</v>
      </c>
      <c r="K36" s="53" t="s">
        <v>161</v>
      </c>
      <c r="L36" s="53">
        <v>2</v>
      </c>
      <c r="N36" s="53">
        <v>1</v>
      </c>
      <c r="O36" s="53">
        <v>0.6</v>
      </c>
      <c r="P36" s="53">
        <v>0.7</v>
      </c>
      <c r="Q36" s="16">
        <f t="shared" si="0"/>
        <v>0.64999999999999991</v>
      </c>
      <c r="R36" s="53">
        <v>14.6</v>
      </c>
      <c r="S36" s="53">
        <v>100</v>
      </c>
      <c r="T36" s="16">
        <f t="shared" si="1"/>
        <v>33</v>
      </c>
      <c r="U36" s="53">
        <v>198</v>
      </c>
      <c r="V36" s="16">
        <f t="shared" si="2"/>
        <v>6534</v>
      </c>
      <c r="W36" s="53">
        <v>1</v>
      </c>
      <c r="X36" s="53" t="s">
        <v>39</v>
      </c>
      <c r="Y36" s="53" t="s">
        <v>84</v>
      </c>
      <c r="Z36" s="53" t="s">
        <v>90</v>
      </c>
      <c r="AA36" s="53" t="s">
        <v>40</v>
      </c>
      <c r="AB36" s="53" t="s">
        <v>240</v>
      </c>
    </row>
    <row r="37" spans="1:28" x14ac:dyDescent="0.15">
      <c r="A37" s="53" t="s">
        <v>56</v>
      </c>
      <c r="B37" s="53" t="s">
        <v>236</v>
      </c>
      <c r="C37" s="53">
        <v>2019</v>
      </c>
      <c r="D37" s="81" t="s">
        <v>237</v>
      </c>
      <c r="E37" s="53" t="s">
        <v>260</v>
      </c>
      <c r="F37" s="53" t="s">
        <v>253</v>
      </c>
      <c r="G37" s="53" t="s">
        <v>42</v>
      </c>
      <c r="H37" s="53" t="s">
        <v>160</v>
      </c>
      <c r="I37" s="53" t="s">
        <v>159</v>
      </c>
      <c r="J37" s="53" t="s">
        <v>38</v>
      </c>
      <c r="K37" s="53" t="s">
        <v>161</v>
      </c>
      <c r="L37" s="53">
        <v>3</v>
      </c>
      <c r="N37" s="53">
        <v>1</v>
      </c>
      <c r="O37" s="53">
        <v>0.55000000000000004</v>
      </c>
      <c r="P37" s="53">
        <v>0.6</v>
      </c>
      <c r="Q37" s="16">
        <f t="shared" si="0"/>
        <v>0.57499999999999996</v>
      </c>
      <c r="R37" s="53">
        <v>15.3</v>
      </c>
      <c r="S37" s="53">
        <v>103</v>
      </c>
      <c r="T37" s="16">
        <f t="shared" si="1"/>
        <v>33</v>
      </c>
      <c r="U37" s="53">
        <v>198</v>
      </c>
      <c r="V37" s="16">
        <f t="shared" si="2"/>
        <v>6534</v>
      </c>
      <c r="W37" s="53">
        <v>1</v>
      </c>
      <c r="X37" s="53" t="s">
        <v>39</v>
      </c>
      <c r="Y37" s="53" t="s">
        <v>84</v>
      </c>
      <c r="Z37" s="53" t="s">
        <v>90</v>
      </c>
      <c r="AA37" s="53" t="s">
        <v>40</v>
      </c>
      <c r="AB37" s="53" t="s">
        <v>240</v>
      </c>
    </row>
    <row r="38" spans="1:28" x14ac:dyDescent="0.15">
      <c r="A38" s="53" t="s">
        <v>56</v>
      </c>
      <c r="B38" s="53" t="s">
        <v>236</v>
      </c>
      <c r="C38" s="53">
        <v>2019</v>
      </c>
      <c r="D38" s="81" t="s">
        <v>237</v>
      </c>
      <c r="E38" s="53" t="s">
        <v>260</v>
      </c>
      <c r="F38" s="53" t="s">
        <v>253</v>
      </c>
      <c r="G38" s="53" t="s">
        <v>42</v>
      </c>
      <c r="H38" s="53" t="s">
        <v>127</v>
      </c>
      <c r="I38" s="53" t="s">
        <v>159</v>
      </c>
      <c r="J38" s="53" t="s">
        <v>80</v>
      </c>
      <c r="K38" s="53" t="s">
        <v>94</v>
      </c>
      <c r="L38" s="53">
        <v>1</v>
      </c>
      <c r="N38" s="53">
        <v>6</v>
      </c>
      <c r="O38" s="53">
        <v>0.5</v>
      </c>
      <c r="P38" s="53">
        <v>0.5</v>
      </c>
      <c r="Q38" s="16">
        <f t="shared" si="0"/>
        <v>0.5</v>
      </c>
      <c r="R38" s="53">
        <v>12.1</v>
      </c>
      <c r="S38" s="53">
        <v>72</v>
      </c>
      <c r="T38" s="16">
        <f t="shared" si="1"/>
        <v>42</v>
      </c>
      <c r="U38" s="53">
        <v>298</v>
      </c>
      <c r="V38" s="16">
        <f t="shared" si="2"/>
        <v>2086</v>
      </c>
      <c r="W38" s="53">
        <v>1</v>
      </c>
      <c r="X38" s="53" t="s">
        <v>39</v>
      </c>
      <c r="Y38" s="53" t="s">
        <v>84</v>
      </c>
      <c r="Z38" s="53" t="s">
        <v>90</v>
      </c>
      <c r="AA38" s="53" t="s">
        <v>40</v>
      </c>
      <c r="AB38" s="53" t="s">
        <v>240</v>
      </c>
    </row>
    <row r="39" spans="1:28" x14ac:dyDescent="0.15">
      <c r="A39" s="53" t="s">
        <v>56</v>
      </c>
      <c r="B39" s="53" t="s">
        <v>236</v>
      </c>
      <c r="C39" s="53">
        <v>2019</v>
      </c>
      <c r="D39" s="81" t="s">
        <v>237</v>
      </c>
      <c r="E39" s="53" t="s">
        <v>260</v>
      </c>
      <c r="F39" s="53" t="s">
        <v>253</v>
      </c>
      <c r="G39" s="53" t="s">
        <v>42</v>
      </c>
      <c r="H39" s="53" t="s">
        <v>127</v>
      </c>
      <c r="I39" s="53" t="s">
        <v>159</v>
      </c>
      <c r="J39" s="53" t="s">
        <v>80</v>
      </c>
      <c r="K39" s="53" t="s">
        <v>94</v>
      </c>
      <c r="L39" s="53">
        <v>2</v>
      </c>
      <c r="N39" s="53">
        <v>6</v>
      </c>
      <c r="O39" s="53">
        <v>0.6</v>
      </c>
      <c r="P39" s="53">
        <v>0.65</v>
      </c>
      <c r="Q39" s="16">
        <f t="shared" si="0"/>
        <v>0.625</v>
      </c>
      <c r="R39" s="53">
        <v>12.8</v>
      </c>
      <c r="S39" s="53">
        <v>68</v>
      </c>
      <c r="T39" s="16">
        <f t="shared" si="1"/>
        <v>50</v>
      </c>
      <c r="U39" s="53">
        <v>298</v>
      </c>
      <c r="V39" s="16">
        <f t="shared" si="2"/>
        <v>2483.333333333333</v>
      </c>
      <c r="W39" s="53">
        <v>1</v>
      </c>
      <c r="X39" s="53" t="s">
        <v>39</v>
      </c>
      <c r="Y39" s="53" t="s">
        <v>84</v>
      </c>
      <c r="Z39" s="53" t="s">
        <v>90</v>
      </c>
      <c r="AA39" s="53" t="s">
        <v>40</v>
      </c>
      <c r="AB39" s="53" t="s">
        <v>240</v>
      </c>
    </row>
    <row r="40" spans="1:28" x14ac:dyDescent="0.15">
      <c r="A40" s="53" t="s">
        <v>56</v>
      </c>
      <c r="B40" s="53" t="s">
        <v>236</v>
      </c>
      <c r="C40" s="53">
        <v>2019</v>
      </c>
      <c r="D40" s="81" t="s">
        <v>237</v>
      </c>
      <c r="E40" s="53" t="s">
        <v>260</v>
      </c>
      <c r="F40" s="53" t="s">
        <v>253</v>
      </c>
      <c r="G40" s="53" t="s">
        <v>42</v>
      </c>
      <c r="H40" s="53" t="s">
        <v>127</v>
      </c>
      <c r="I40" s="53" t="s">
        <v>159</v>
      </c>
      <c r="J40" s="53" t="s">
        <v>80</v>
      </c>
      <c r="K40" s="53" t="s">
        <v>94</v>
      </c>
      <c r="L40" s="53">
        <v>3</v>
      </c>
      <c r="N40" s="53">
        <v>6</v>
      </c>
      <c r="O40" s="53">
        <v>0.7</v>
      </c>
      <c r="P40" s="53">
        <v>0.7</v>
      </c>
      <c r="Q40" s="16">
        <f t="shared" si="0"/>
        <v>0.7</v>
      </c>
      <c r="R40" s="53">
        <v>11.4</v>
      </c>
      <c r="S40" s="53">
        <v>71</v>
      </c>
      <c r="T40" s="16">
        <f t="shared" si="1"/>
        <v>42</v>
      </c>
      <c r="U40" s="53">
        <v>298</v>
      </c>
      <c r="V40" s="16">
        <f t="shared" si="2"/>
        <v>2086</v>
      </c>
      <c r="W40" s="53">
        <v>1</v>
      </c>
      <c r="X40" s="53" t="s">
        <v>39</v>
      </c>
      <c r="Y40" s="53" t="s">
        <v>84</v>
      </c>
      <c r="Z40" s="53" t="s">
        <v>90</v>
      </c>
      <c r="AA40" s="53" t="s">
        <v>40</v>
      </c>
      <c r="AB40" s="53" t="s">
        <v>240</v>
      </c>
    </row>
    <row r="41" spans="1:28" x14ac:dyDescent="0.15">
      <c r="A41" s="53" t="s">
        <v>56</v>
      </c>
      <c r="B41" s="53" t="s">
        <v>236</v>
      </c>
      <c r="C41" s="53">
        <v>2019</v>
      </c>
      <c r="D41" s="81" t="s">
        <v>237</v>
      </c>
      <c r="E41" s="53" t="s">
        <v>261</v>
      </c>
      <c r="F41" s="53" t="s">
        <v>242</v>
      </c>
      <c r="G41" s="53" t="s">
        <v>42</v>
      </c>
      <c r="H41" s="53" t="s">
        <v>164</v>
      </c>
      <c r="I41" s="53" t="s">
        <v>159</v>
      </c>
      <c r="J41" s="53" t="s">
        <v>38</v>
      </c>
      <c r="K41" s="53" t="s">
        <v>161</v>
      </c>
      <c r="L41" s="53">
        <v>1</v>
      </c>
      <c r="N41" s="53">
        <v>5</v>
      </c>
      <c r="O41" s="53">
        <v>0.7</v>
      </c>
      <c r="P41" s="53">
        <v>0.65</v>
      </c>
      <c r="Q41" s="16">
        <f t="shared" si="0"/>
        <v>0.67500000000000004</v>
      </c>
      <c r="R41" s="53">
        <v>14.7</v>
      </c>
      <c r="S41" s="53">
        <v>94</v>
      </c>
      <c r="T41" s="16">
        <f t="shared" si="1"/>
        <v>36</v>
      </c>
      <c r="U41" s="53">
        <v>429</v>
      </c>
      <c r="V41" s="16">
        <f t="shared" si="2"/>
        <v>3088.7999999999997</v>
      </c>
      <c r="W41" s="53">
        <v>1</v>
      </c>
      <c r="X41" s="53" t="s">
        <v>39</v>
      </c>
      <c r="Y41" s="53" t="s">
        <v>84</v>
      </c>
      <c r="Z41" s="53" t="s">
        <v>90</v>
      </c>
      <c r="AA41" s="53" t="s">
        <v>50</v>
      </c>
      <c r="AB41" s="53" t="s">
        <v>240</v>
      </c>
    </row>
    <row r="42" spans="1:28" x14ac:dyDescent="0.15">
      <c r="A42" s="53" t="s">
        <v>56</v>
      </c>
      <c r="B42" s="53" t="s">
        <v>236</v>
      </c>
      <c r="C42" s="53">
        <v>2019</v>
      </c>
      <c r="D42" s="81" t="s">
        <v>237</v>
      </c>
      <c r="E42" s="53" t="s">
        <v>261</v>
      </c>
      <c r="F42" s="53" t="s">
        <v>242</v>
      </c>
      <c r="G42" s="53" t="s">
        <v>42</v>
      </c>
      <c r="H42" s="53" t="s">
        <v>164</v>
      </c>
      <c r="I42" s="53" t="s">
        <v>159</v>
      </c>
      <c r="J42" s="53" t="s">
        <v>38</v>
      </c>
      <c r="K42" s="53" t="s">
        <v>161</v>
      </c>
      <c r="L42" s="53">
        <v>2</v>
      </c>
      <c r="N42" s="53">
        <v>5</v>
      </c>
      <c r="O42" s="53">
        <v>0.6</v>
      </c>
      <c r="P42" s="53">
        <v>0.7</v>
      </c>
      <c r="Q42" s="16">
        <f t="shared" si="0"/>
        <v>0.64999999999999991</v>
      </c>
      <c r="R42" s="53">
        <v>16.2</v>
      </c>
      <c r="S42" s="53">
        <v>102</v>
      </c>
      <c r="T42" s="16">
        <f t="shared" si="1"/>
        <v>33</v>
      </c>
      <c r="U42" s="53">
        <v>429</v>
      </c>
      <c r="V42" s="16">
        <f t="shared" si="2"/>
        <v>2831.4</v>
      </c>
      <c r="W42" s="53">
        <v>1</v>
      </c>
      <c r="X42" s="53" t="s">
        <v>39</v>
      </c>
      <c r="Y42" s="53" t="s">
        <v>84</v>
      </c>
      <c r="Z42" s="53" t="s">
        <v>90</v>
      </c>
      <c r="AA42" s="53" t="s">
        <v>50</v>
      </c>
      <c r="AB42" s="53" t="s">
        <v>240</v>
      </c>
    </row>
    <row r="43" spans="1:28" x14ac:dyDescent="0.15">
      <c r="A43" s="53" t="s">
        <v>56</v>
      </c>
      <c r="B43" s="53" t="s">
        <v>236</v>
      </c>
      <c r="C43" s="53">
        <v>2019</v>
      </c>
      <c r="D43" s="81" t="s">
        <v>237</v>
      </c>
      <c r="E43" s="53" t="s">
        <v>261</v>
      </c>
      <c r="F43" s="53" t="s">
        <v>242</v>
      </c>
      <c r="G43" s="53" t="s">
        <v>42</v>
      </c>
      <c r="H43" s="53" t="s">
        <v>164</v>
      </c>
      <c r="I43" s="53" t="s">
        <v>159</v>
      </c>
      <c r="J43" s="53" t="s">
        <v>38</v>
      </c>
      <c r="K43" s="53" t="s">
        <v>161</v>
      </c>
      <c r="L43" s="53">
        <v>3</v>
      </c>
      <c r="N43" s="53">
        <v>5</v>
      </c>
      <c r="O43" s="53">
        <v>0.5</v>
      </c>
      <c r="P43" s="53">
        <v>0.55000000000000004</v>
      </c>
      <c r="Q43" s="16">
        <f t="shared" si="0"/>
        <v>0.52500000000000002</v>
      </c>
      <c r="R43" s="53">
        <v>13</v>
      </c>
      <c r="S43" s="53">
        <v>100</v>
      </c>
      <c r="T43" s="16">
        <f t="shared" si="1"/>
        <v>33</v>
      </c>
      <c r="U43" s="53">
        <v>429</v>
      </c>
      <c r="V43" s="16">
        <f t="shared" si="2"/>
        <v>2831.4</v>
      </c>
      <c r="W43" s="53">
        <v>1</v>
      </c>
      <c r="X43" s="53" t="s">
        <v>39</v>
      </c>
      <c r="Y43" s="53" t="s">
        <v>84</v>
      </c>
      <c r="Z43" s="53" t="s">
        <v>90</v>
      </c>
      <c r="AA43" s="53" t="s">
        <v>50</v>
      </c>
      <c r="AB43" s="53" t="s">
        <v>240</v>
      </c>
    </row>
    <row r="44" spans="1:28" x14ac:dyDescent="0.15">
      <c r="A44" s="53" t="s">
        <v>56</v>
      </c>
      <c r="B44" s="53" t="s">
        <v>236</v>
      </c>
      <c r="C44" s="53">
        <v>2019</v>
      </c>
      <c r="D44" s="81" t="s">
        <v>237</v>
      </c>
      <c r="E44" s="53" t="s">
        <v>261</v>
      </c>
      <c r="F44" s="53" t="s">
        <v>242</v>
      </c>
      <c r="G44" s="53" t="s">
        <v>42</v>
      </c>
      <c r="H44" s="53" t="s">
        <v>128</v>
      </c>
      <c r="I44" s="53" t="s">
        <v>159</v>
      </c>
      <c r="J44" s="53" t="s">
        <v>80</v>
      </c>
      <c r="K44" s="53" t="s">
        <v>63</v>
      </c>
      <c r="L44" s="53">
        <v>1</v>
      </c>
      <c r="N44" s="53">
        <v>4</v>
      </c>
      <c r="O44" s="53">
        <v>0.55000000000000004</v>
      </c>
      <c r="P44" s="53">
        <v>0.55000000000000004</v>
      </c>
      <c r="Q44" s="16">
        <f t="shared" si="0"/>
        <v>0.55000000000000004</v>
      </c>
      <c r="R44" s="53">
        <v>16.600000000000001</v>
      </c>
      <c r="S44" s="53">
        <v>92</v>
      </c>
      <c r="T44" s="16">
        <f t="shared" si="1"/>
        <v>36</v>
      </c>
      <c r="U44" s="53">
        <v>429</v>
      </c>
      <c r="V44" s="16">
        <f t="shared" si="2"/>
        <v>3861</v>
      </c>
      <c r="W44" s="53">
        <v>1</v>
      </c>
      <c r="X44" s="53" t="s">
        <v>39</v>
      </c>
      <c r="Y44" s="53" t="s">
        <v>84</v>
      </c>
      <c r="Z44" s="53" t="s">
        <v>90</v>
      </c>
      <c r="AA44" s="53" t="s">
        <v>50</v>
      </c>
      <c r="AB44" s="53" t="s">
        <v>240</v>
      </c>
    </row>
    <row r="45" spans="1:28" x14ac:dyDescent="0.15">
      <c r="A45" s="53" t="s">
        <v>56</v>
      </c>
      <c r="B45" s="53" t="s">
        <v>236</v>
      </c>
      <c r="C45" s="53">
        <v>2019</v>
      </c>
      <c r="D45" s="81" t="s">
        <v>237</v>
      </c>
      <c r="E45" s="53" t="s">
        <v>261</v>
      </c>
      <c r="F45" s="53" t="s">
        <v>242</v>
      </c>
      <c r="G45" s="53" t="s">
        <v>42</v>
      </c>
      <c r="H45" s="53" t="s">
        <v>128</v>
      </c>
      <c r="I45" s="53" t="s">
        <v>159</v>
      </c>
      <c r="J45" s="53" t="s">
        <v>80</v>
      </c>
      <c r="K45" s="53" t="s">
        <v>63</v>
      </c>
      <c r="L45" s="53">
        <v>2</v>
      </c>
      <c r="N45" s="53">
        <v>4</v>
      </c>
      <c r="O45" s="53">
        <v>0.65</v>
      </c>
      <c r="P45" s="53">
        <v>0.65</v>
      </c>
      <c r="Q45" s="16">
        <f t="shared" si="0"/>
        <v>0.65</v>
      </c>
      <c r="R45" s="53">
        <v>16.8</v>
      </c>
      <c r="S45" s="53">
        <v>99</v>
      </c>
      <c r="T45" s="16">
        <f t="shared" si="1"/>
        <v>33</v>
      </c>
      <c r="U45" s="53">
        <v>429</v>
      </c>
      <c r="V45" s="16">
        <f t="shared" si="2"/>
        <v>3539.25</v>
      </c>
      <c r="W45" s="53">
        <v>1</v>
      </c>
      <c r="X45" s="53" t="s">
        <v>39</v>
      </c>
      <c r="Y45" s="53" t="s">
        <v>84</v>
      </c>
      <c r="Z45" s="53" t="s">
        <v>90</v>
      </c>
      <c r="AA45" s="53" t="s">
        <v>50</v>
      </c>
      <c r="AB45" s="53" t="s">
        <v>240</v>
      </c>
    </row>
    <row r="46" spans="1:28" x14ac:dyDescent="0.15">
      <c r="A46" s="53" t="s">
        <v>56</v>
      </c>
      <c r="B46" s="53" t="s">
        <v>236</v>
      </c>
      <c r="C46" s="53">
        <v>2019</v>
      </c>
      <c r="D46" s="81" t="s">
        <v>237</v>
      </c>
      <c r="E46" s="53" t="s">
        <v>261</v>
      </c>
      <c r="F46" s="53" t="s">
        <v>242</v>
      </c>
      <c r="G46" s="53" t="s">
        <v>42</v>
      </c>
      <c r="H46" s="53" t="s">
        <v>128</v>
      </c>
      <c r="I46" s="53" t="s">
        <v>159</v>
      </c>
      <c r="J46" s="53" t="s">
        <v>80</v>
      </c>
      <c r="K46" s="53" t="s">
        <v>63</v>
      </c>
      <c r="L46" s="53">
        <v>3</v>
      </c>
      <c r="N46" s="53">
        <v>4</v>
      </c>
      <c r="O46" s="53">
        <v>0.65</v>
      </c>
      <c r="P46" s="53">
        <v>0.6</v>
      </c>
      <c r="Q46" s="16">
        <f t="shared" si="0"/>
        <v>0.625</v>
      </c>
      <c r="R46" s="53">
        <v>16.899999999999999</v>
      </c>
      <c r="S46" s="53">
        <v>102</v>
      </c>
      <c r="T46" s="16">
        <f t="shared" si="1"/>
        <v>33</v>
      </c>
      <c r="U46" s="53">
        <v>429</v>
      </c>
      <c r="V46" s="16">
        <f t="shared" si="2"/>
        <v>3539.25</v>
      </c>
      <c r="W46" s="53">
        <v>1</v>
      </c>
      <c r="X46" s="53" t="s">
        <v>39</v>
      </c>
      <c r="Y46" s="53" t="s">
        <v>84</v>
      </c>
      <c r="Z46" s="53" t="s">
        <v>90</v>
      </c>
      <c r="AA46" s="53" t="s">
        <v>50</v>
      </c>
      <c r="AB46" s="53" t="s">
        <v>240</v>
      </c>
    </row>
    <row r="47" spans="1:28" x14ac:dyDescent="0.15">
      <c r="A47" s="53" t="s">
        <v>56</v>
      </c>
      <c r="B47" s="53" t="s">
        <v>236</v>
      </c>
      <c r="C47" s="53">
        <v>2019</v>
      </c>
      <c r="D47" s="81" t="s">
        <v>237</v>
      </c>
      <c r="E47" s="53" t="s">
        <v>247</v>
      </c>
      <c r="F47" s="53" t="s">
        <v>254</v>
      </c>
      <c r="G47" s="53" t="s">
        <v>42</v>
      </c>
      <c r="H47" s="53" t="s">
        <v>164</v>
      </c>
      <c r="I47" s="53" t="s">
        <v>159</v>
      </c>
      <c r="J47" s="53" t="s">
        <v>38</v>
      </c>
      <c r="K47" s="53" t="s">
        <v>161</v>
      </c>
      <c r="L47" s="53">
        <v>1</v>
      </c>
      <c r="N47" s="53">
        <v>6</v>
      </c>
      <c r="O47" s="53">
        <v>0.85</v>
      </c>
      <c r="P47" s="53">
        <v>0.9</v>
      </c>
      <c r="Q47" s="16">
        <f t="shared" si="0"/>
        <v>0.875</v>
      </c>
      <c r="R47" s="53">
        <v>14.6</v>
      </c>
      <c r="S47" s="53">
        <v>102</v>
      </c>
      <c r="T47" s="16">
        <f t="shared" si="1"/>
        <v>33</v>
      </c>
      <c r="U47" s="53">
        <v>429</v>
      </c>
      <c r="V47" s="16">
        <f t="shared" si="2"/>
        <v>2359.5</v>
      </c>
      <c r="W47" s="53">
        <v>6</v>
      </c>
      <c r="X47" s="53" t="s">
        <v>46</v>
      </c>
      <c r="Y47" s="53" t="s">
        <v>84</v>
      </c>
      <c r="Z47" s="53" t="s">
        <v>90</v>
      </c>
      <c r="AA47" s="53" t="s">
        <v>50</v>
      </c>
      <c r="AB47" s="53" t="s">
        <v>240</v>
      </c>
    </row>
    <row r="48" spans="1:28" x14ac:dyDescent="0.15">
      <c r="A48" s="53" t="s">
        <v>56</v>
      </c>
      <c r="B48" s="53" t="s">
        <v>236</v>
      </c>
      <c r="C48" s="53">
        <v>2019</v>
      </c>
      <c r="D48" s="81" t="s">
        <v>237</v>
      </c>
      <c r="E48" s="53" t="s">
        <v>247</v>
      </c>
      <c r="F48" s="53" t="s">
        <v>254</v>
      </c>
      <c r="G48" s="53" t="s">
        <v>42</v>
      </c>
      <c r="H48" s="53" t="s">
        <v>164</v>
      </c>
      <c r="I48" s="53" t="s">
        <v>159</v>
      </c>
      <c r="J48" s="53" t="s">
        <v>38</v>
      </c>
      <c r="K48" s="53" t="s">
        <v>161</v>
      </c>
      <c r="L48" s="53">
        <v>2</v>
      </c>
      <c r="N48" s="53">
        <v>6</v>
      </c>
      <c r="O48" s="53">
        <v>0.8</v>
      </c>
      <c r="P48" s="53">
        <v>0.75</v>
      </c>
      <c r="Q48" s="16">
        <f t="shared" si="0"/>
        <v>0.77500000000000002</v>
      </c>
      <c r="R48" s="53">
        <v>13.4</v>
      </c>
      <c r="S48" s="53">
        <v>97</v>
      </c>
      <c r="T48" s="16">
        <f t="shared" si="1"/>
        <v>36</v>
      </c>
      <c r="U48" s="53">
        <v>429</v>
      </c>
      <c r="V48" s="16">
        <f t="shared" si="2"/>
        <v>2574</v>
      </c>
      <c r="W48" s="53">
        <v>6</v>
      </c>
      <c r="X48" s="53" t="s">
        <v>46</v>
      </c>
      <c r="Y48" s="53" t="s">
        <v>84</v>
      </c>
      <c r="Z48" s="53" t="s">
        <v>90</v>
      </c>
      <c r="AA48" s="53" t="s">
        <v>50</v>
      </c>
      <c r="AB48" s="53" t="s">
        <v>240</v>
      </c>
    </row>
    <row r="49" spans="1:28" x14ac:dyDescent="0.15">
      <c r="A49" s="53" t="s">
        <v>56</v>
      </c>
      <c r="B49" s="53" t="s">
        <v>236</v>
      </c>
      <c r="C49" s="53">
        <v>2019</v>
      </c>
      <c r="D49" s="81" t="s">
        <v>237</v>
      </c>
      <c r="E49" s="53" t="s">
        <v>247</v>
      </c>
      <c r="F49" s="53" t="s">
        <v>254</v>
      </c>
      <c r="G49" s="53" t="s">
        <v>42</v>
      </c>
      <c r="H49" s="53" t="s">
        <v>164</v>
      </c>
      <c r="I49" s="53" t="s">
        <v>159</v>
      </c>
      <c r="J49" s="53" t="s">
        <v>38</v>
      </c>
      <c r="K49" s="53" t="s">
        <v>161</v>
      </c>
      <c r="L49" s="53">
        <v>3</v>
      </c>
      <c r="N49" s="53">
        <v>6</v>
      </c>
      <c r="O49" s="53">
        <v>0.7</v>
      </c>
      <c r="P49" s="53">
        <v>0.8</v>
      </c>
      <c r="Q49" s="16">
        <f t="shared" si="0"/>
        <v>0.75</v>
      </c>
      <c r="R49" s="53">
        <v>13.6</v>
      </c>
      <c r="S49" s="53">
        <v>95</v>
      </c>
      <c r="T49" s="16">
        <f t="shared" si="1"/>
        <v>36</v>
      </c>
      <c r="U49" s="53">
        <v>429</v>
      </c>
      <c r="V49" s="16">
        <f t="shared" si="2"/>
        <v>2574</v>
      </c>
      <c r="W49" s="53">
        <v>6</v>
      </c>
      <c r="X49" s="53" t="s">
        <v>46</v>
      </c>
      <c r="Y49" s="53" t="s">
        <v>84</v>
      </c>
      <c r="Z49" s="53" t="s">
        <v>90</v>
      </c>
      <c r="AA49" s="53" t="s">
        <v>50</v>
      </c>
      <c r="AB49" s="53" t="s">
        <v>240</v>
      </c>
    </row>
    <row r="50" spans="1:28" x14ac:dyDescent="0.15">
      <c r="A50" s="53" t="s">
        <v>56</v>
      </c>
      <c r="B50" s="53" t="s">
        <v>236</v>
      </c>
      <c r="C50" s="53">
        <v>2019</v>
      </c>
      <c r="D50" s="81" t="s">
        <v>237</v>
      </c>
      <c r="E50" s="53" t="s">
        <v>262</v>
      </c>
      <c r="F50" s="53" t="s">
        <v>254</v>
      </c>
      <c r="G50" s="53" t="s">
        <v>42</v>
      </c>
      <c r="H50" s="53" t="s">
        <v>164</v>
      </c>
      <c r="I50" s="53" t="s">
        <v>159</v>
      </c>
      <c r="J50" s="53" t="s">
        <v>38</v>
      </c>
      <c r="K50" s="53" t="s">
        <v>161</v>
      </c>
      <c r="L50" s="53">
        <v>1</v>
      </c>
      <c r="N50" s="53">
        <v>5</v>
      </c>
      <c r="O50" s="53">
        <v>0.6</v>
      </c>
      <c r="P50" s="53">
        <v>0.5</v>
      </c>
      <c r="Q50" s="16">
        <f t="shared" si="0"/>
        <v>0.55000000000000004</v>
      </c>
      <c r="R50" s="53">
        <v>13.3</v>
      </c>
      <c r="S50" s="53">
        <v>96</v>
      </c>
      <c r="T50" s="16">
        <f t="shared" si="1"/>
        <v>36</v>
      </c>
      <c r="U50" s="53">
        <v>430</v>
      </c>
      <c r="V50" s="16">
        <f t="shared" si="2"/>
        <v>3096</v>
      </c>
      <c r="W50" s="53">
        <v>4</v>
      </c>
      <c r="X50" s="53" t="s">
        <v>46</v>
      </c>
      <c r="Y50" s="53" t="s">
        <v>84</v>
      </c>
      <c r="Z50" s="53" t="s">
        <v>50</v>
      </c>
      <c r="AA50" s="53" t="s">
        <v>90</v>
      </c>
      <c r="AB50" s="53" t="s">
        <v>240</v>
      </c>
    </row>
    <row r="51" spans="1:28" x14ac:dyDescent="0.15">
      <c r="A51" s="53" t="s">
        <v>56</v>
      </c>
      <c r="B51" s="53" t="s">
        <v>236</v>
      </c>
      <c r="C51" s="53">
        <v>2019</v>
      </c>
      <c r="D51" s="81" t="s">
        <v>237</v>
      </c>
      <c r="E51" s="53" t="s">
        <v>262</v>
      </c>
      <c r="F51" s="53" t="s">
        <v>254</v>
      </c>
      <c r="G51" s="53" t="s">
        <v>42</v>
      </c>
      <c r="H51" s="53" t="s">
        <v>164</v>
      </c>
      <c r="I51" s="53" t="s">
        <v>159</v>
      </c>
      <c r="J51" s="53" t="s">
        <v>38</v>
      </c>
      <c r="K51" s="53" t="s">
        <v>161</v>
      </c>
      <c r="L51" s="53">
        <v>2</v>
      </c>
      <c r="N51" s="53">
        <v>5</v>
      </c>
      <c r="O51" s="53">
        <v>0.75</v>
      </c>
      <c r="P51" s="53">
        <v>0.7</v>
      </c>
      <c r="Q51" s="16">
        <f t="shared" si="0"/>
        <v>0.72499999999999998</v>
      </c>
      <c r="R51" s="53">
        <v>13.5</v>
      </c>
      <c r="S51" s="53">
        <v>89</v>
      </c>
      <c r="T51" s="16">
        <f t="shared" si="1"/>
        <v>36</v>
      </c>
      <c r="U51" s="53">
        <v>430</v>
      </c>
      <c r="V51" s="16">
        <f t="shared" si="2"/>
        <v>3096</v>
      </c>
      <c r="W51" s="53">
        <v>4</v>
      </c>
      <c r="X51" s="53" t="s">
        <v>46</v>
      </c>
      <c r="Y51" s="53" t="s">
        <v>84</v>
      </c>
      <c r="Z51" s="53" t="s">
        <v>50</v>
      </c>
      <c r="AA51" s="53" t="s">
        <v>90</v>
      </c>
      <c r="AB51" s="53" t="s">
        <v>240</v>
      </c>
    </row>
    <row r="52" spans="1:28" x14ac:dyDescent="0.15">
      <c r="A52" s="53" t="s">
        <v>56</v>
      </c>
      <c r="B52" s="53" t="s">
        <v>236</v>
      </c>
      <c r="C52" s="53">
        <v>2019</v>
      </c>
      <c r="D52" s="81" t="s">
        <v>237</v>
      </c>
      <c r="E52" s="53" t="s">
        <v>262</v>
      </c>
      <c r="F52" s="53" t="s">
        <v>254</v>
      </c>
      <c r="G52" s="53" t="s">
        <v>42</v>
      </c>
      <c r="H52" s="53" t="s">
        <v>164</v>
      </c>
      <c r="I52" s="53" t="s">
        <v>159</v>
      </c>
      <c r="J52" s="53" t="s">
        <v>38</v>
      </c>
      <c r="K52" s="53" t="s">
        <v>161</v>
      </c>
      <c r="L52" s="53">
        <v>3</v>
      </c>
      <c r="N52" s="53">
        <v>5</v>
      </c>
      <c r="O52" s="53">
        <v>0.6</v>
      </c>
      <c r="P52" s="53">
        <v>0.6</v>
      </c>
      <c r="Q52" s="16">
        <f t="shared" si="0"/>
        <v>0.6</v>
      </c>
      <c r="R52" s="53">
        <v>12.6</v>
      </c>
      <c r="S52" s="53">
        <v>101</v>
      </c>
      <c r="T52" s="16">
        <f t="shared" si="1"/>
        <v>33</v>
      </c>
      <c r="U52" s="53">
        <v>430</v>
      </c>
      <c r="V52" s="16">
        <f t="shared" si="2"/>
        <v>2838</v>
      </c>
      <c r="W52" s="53">
        <v>4</v>
      </c>
      <c r="X52" s="53" t="s">
        <v>46</v>
      </c>
      <c r="Y52" s="53" t="s">
        <v>84</v>
      </c>
      <c r="Z52" s="53" t="s">
        <v>50</v>
      </c>
      <c r="AA52" s="53" t="s">
        <v>90</v>
      </c>
      <c r="AB52" s="53" t="s">
        <v>240</v>
      </c>
    </row>
    <row r="53" spans="1:28" x14ac:dyDescent="0.15">
      <c r="A53" s="53" t="s">
        <v>56</v>
      </c>
      <c r="B53" s="53" t="s">
        <v>236</v>
      </c>
      <c r="C53" s="53">
        <v>2019</v>
      </c>
      <c r="D53" s="81" t="s">
        <v>237</v>
      </c>
      <c r="E53" s="53" t="s">
        <v>262</v>
      </c>
      <c r="F53" s="53" t="s">
        <v>254</v>
      </c>
      <c r="G53" s="53" t="s">
        <v>42</v>
      </c>
      <c r="H53" s="53" t="s">
        <v>160</v>
      </c>
      <c r="I53" s="53" t="s">
        <v>159</v>
      </c>
      <c r="J53" s="53" t="s">
        <v>38</v>
      </c>
      <c r="K53" s="53" t="s">
        <v>161</v>
      </c>
      <c r="L53" s="53">
        <v>1</v>
      </c>
      <c r="N53" s="53">
        <v>5</v>
      </c>
      <c r="O53" s="53">
        <v>0.6</v>
      </c>
      <c r="P53" s="53">
        <v>0.6</v>
      </c>
      <c r="Q53" s="16">
        <f t="shared" si="0"/>
        <v>0.6</v>
      </c>
      <c r="R53" s="53">
        <v>16.600000000000001</v>
      </c>
      <c r="S53" s="53">
        <v>93</v>
      </c>
      <c r="T53" s="16">
        <f t="shared" si="1"/>
        <v>36</v>
      </c>
      <c r="U53" s="53">
        <v>646</v>
      </c>
      <c r="V53" s="16">
        <f t="shared" si="2"/>
        <v>4651.2</v>
      </c>
      <c r="W53" s="53">
        <v>4</v>
      </c>
      <c r="X53" s="53" t="s">
        <v>46</v>
      </c>
      <c r="Y53" s="53" t="s">
        <v>84</v>
      </c>
      <c r="Z53" s="53" t="s">
        <v>50</v>
      </c>
      <c r="AA53" s="53" t="s">
        <v>90</v>
      </c>
      <c r="AB53" s="53" t="s">
        <v>240</v>
      </c>
    </row>
    <row r="54" spans="1:28" x14ac:dyDescent="0.15">
      <c r="A54" s="53" t="s">
        <v>56</v>
      </c>
      <c r="B54" s="53" t="s">
        <v>236</v>
      </c>
      <c r="C54" s="53">
        <v>2019</v>
      </c>
      <c r="D54" s="81" t="s">
        <v>237</v>
      </c>
      <c r="E54" s="53" t="s">
        <v>262</v>
      </c>
      <c r="F54" s="53" t="s">
        <v>254</v>
      </c>
      <c r="G54" s="53" t="s">
        <v>42</v>
      </c>
      <c r="H54" s="53" t="s">
        <v>160</v>
      </c>
      <c r="I54" s="53" t="s">
        <v>159</v>
      </c>
      <c r="J54" s="53" t="s">
        <v>38</v>
      </c>
      <c r="K54" s="53" t="s">
        <v>161</v>
      </c>
      <c r="L54" s="53">
        <v>2</v>
      </c>
      <c r="N54" s="53">
        <v>5</v>
      </c>
      <c r="O54" s="53">
        <v>0.6</v>
      </c>
      <c r="P54" s="53">
        <v>0.6</v>
      </c>
      <c r="Q54" s="16">
        <f t="shared" si="0"/>
        <v>0.6</v>
      </c>
      <c r="R54" s="53">
        <v>16.2</v>
      </c>
      <c r="S54" s="53">
        <v>103</v>
      </c>
      <c r="T54" s="16">
        <f t="shared" si="1"/>
        <v>33</v>
      </c>
      <c r="U54" s="53">
        <v>646</v>
      </c>
      <c r="V54" s="16">
        <f t="shared" si="2"/>
        <v>4263.5999999999995</v>
      </c>
      <c r="W54" s="53">
        <v>4</v>
      </c>
      <c r="X54" s="53" t="s">
        <v>46</v>
      </c>
      <c r="Y54" s="53" t="s">
        <v>84</v>
      </c>
      <c r="Z54" s="53" t="s">
        <v>50</v>
      </c>
      <c r="AA54" s="53" t="s">
        <v>90</v>
      </c>
      <c r="AB54" s="53" t="s">
        <v>240</v>
      </c>
    </row>
    <row r="55" spans="1:28" x14ac:dyDescent="0.15">
      <c r="A55" s="53" t="s">
        <v>56</v>
      </c>
      <c r="B55" s="53" t="s">
        <v>236</v>
      </c>
      <c r="C55" s="53">
        <v>2019</v>
      </c>
      <c r="D55" s="81" t="s">
        <v>237</v>
      </c>
      <c r="E55" s="53" t="s">
        <v>262</v>
      </c>
      <c r="F55" s="53" t="s">
        <v>254</v>
      </c>
      <c r="G55" s="53" t="s">
        <v>42</v>
      </c>
      <c r="H55" s="53" t="s">
        <v>160</v>
      </c>
      <c r="I55" s="53" t="s">
        <v>159</v>
      </c>
      <c r="J55" s="53" t="s">
        <v>38</v>
      </c>
      <c r="K55" s="53" t="s">
        <v>161</v>
      </c>
      <c r="L55" s="53">
        <v>3</v>
      </c>
      <c r="N55" s="53">
        <v>5</v>
      </c>
      <c r="O55" s="53">
        <v>0.6</v>
      </c>
      <c r="P55" s="53">
        <v>0.55000000000000004</v>
      </c>
      <c r="Q55" s="16">
        <f t="shared" si="0"/>
        <v>0.57499999999999996</v>
      </c>
      <c r="R55" s="53">
        <v>14.1</v>
      </c>
      <c r="S55" s="53">
        <v>97</v>
      </c>
      <c r="T55" s="16">
        <f t="shared" si="1"/>
        <v>36</v>
      </c>
      <c r="U55" s="53">
        <v>646</v>
      </c>
      <c r="V55" s="16">
        <f t="shared" si="2"/>
        <v>4651.2</v>
      </c>
      <c r="W55" s="53">
        <v>4</v>
      </c>
      <c r="X55" s="53" t="s">
        <v>46</v>
      </c>
      <c r="Y55" s="53" t="s">
        <v>84</v>
      </c>
      <c r="Z55" s="53" t="s">
        <v>50</v>
      </c>
      <c r="AA55" s="53" t="s">
        <v>90</v>
      </c>
      <c r="AB55" s="53" t="s">
        <v>240</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E00AAC9D-9C37-4F55-8D29-73DBD45F62E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3803850-3EB0-4A2B-A7F9-D890C700BAA5}">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B86B9AF6-BC5D-4E2F-9BAE-6AF68365F581}">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94742207-8CF2-4E09-8FD4-0E52C3E25203}">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78E6A91E-CD39-4E47-9928-5E271CFF6305}">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59253CAB-E14B-441F-A537-C46F059CFCD1}"/>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980BB720-27C3-4C30-AFB5-175E41B8E797}">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CFEF6A8A-BF5A-4F8B-9DD5-8325610DDDE6}">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BAF7D79B-9296-4FBF-A200-2C350787C89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1ABD7547-39EE-4352-9563-4C692CAC0294}">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A6DFA85A-69F0-4F8C-AA95-802C04EB7F2B}">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2BCE59BC-0779-4552-A276-4772386B5E01}">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8478C1B2-F003-4083-8885-85BA6EAD3C61}">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30EAFE2C-77AD-4C28-9957-75A59AFA0F4B}">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94B77C39-91EB-462F-AB87-B8E57E7C578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BF00364D-2EF7-49E7-A509-E160B8693892}">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F524EAF0-8FE5-4D87-93EF-5419DEA550D2}">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ADF82594-5502-492C-BB89-C71E9EB028AF}">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E448-811C-4ED9-9479-60D62CC36877}">
  <dimension ref="A1:BA91"/>
  <sheetViews>
    <sheetView zoomScale="85" zoomScaleNormal="85"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263</v>
      </c>
      <c r="AY1" s="99" t="s">
        <v>180</v>
      </c>
      <c r="AZ1" s="99" t="s">
        <v>264</v>
      </c>
      <c r="BA1" s="100" t="s">
        <v>182</v>
      </c>
    </row>
    <row r="2" spans="1:53" x14ac:dyDescent="0.15">
      <c r="A2" s="93" t="s">
        <v>51</v>
      </c>
      <c r="B2" s="93" t="s">
        <v>157</v>
      </c>
      <c r="C2" s="93">
        <v>2019</v>
      </c>
      <c r="D2" s="101" t="s">
        <v>265</v>
      </c>
      <c r="E2" s="93" t="s">
        <v>266</v>
      </c>
      <c r="F2" s="93" t="s">
        <v>267</v>
      </c>
      <c r="G2" s="93" t="s">
        <v>42</v>
      </c>
      <c r="H2" s="93" t="s">
        <v>164</v>
      </c>
      <c r="I2" s="93" t="s">
        <v>159</v>
      </c>
      <c r="J2" s="93" t="s">
        <v>38</v>
      </c>
      <c r="K2" s="93" t="s">
        <v>161</v>
      </c>
      <c r="L2" s="93">
        <v>1</v>
      </c>
      <c r="N2" s="93">
        <v>1</v>
      </c>
      <c r="O2" s="93">
        <v>0.95</v>
      </c>
      <c r="P2" s="93">
        <v>0.9</v>
      </c>
      <c r="Q2" s="102">
        <f t="shared" ref="Q2:Q65" si="0">IF(OR(O2="",P2=""),"",AVERAGE(O2,P2))</f>
        <v>0.92500000000000004</v>
      </c>
      <c r="R2" s="93">
        <v>14.6</v>
      </c>
      <c r="S2" s="93">
        <v>126</v>
      </c>
      <c r="T2" s="103">
        <f t="shared" ref="T2:T65" si="1">IF(H2="","",IF(OR(H2="GREEN",H2="GK"),IF(S2&gt;=$AX$2,VLOOKUP(S2,$AX$2:$AY$12,2,1),""),IF(S2&gt;=$AZ$2,VLOOKUP(S2,$AZ$2:$BA$12,2,1),"")))</f>
        <v>27</v>
      </c>
      <c r="U2" s="93">
        <v>98</v>
      </c>
      <c r="V2" s="104">
        <f t="shared" ref="V2:V65" si="2">IF(OR(N2="",U2="",T2=""),"",U2/N2*T2)</f>
        <v>2646</v>
      </c>
      <c r="W2" s="93">
        <v>5</v>
      </c>
      <c r="X2" s="93" t="s">
        <v>39</v>
      </c>
      <c r="Y2" s="93" t="s">
        <v>84</v>
      </c>
      <c r="Z2" s="93" t="s">
        <v>50</v>
      </c>
      <c r="AA2" s="93" t="s">
        <v>69</v>
      </c>
      <c r="AB2" s="93" t="s">
        <v>158</v>
      </c>
      <c r="AE2" s="105" t="s">
        <v>35</v>
      </c>
      <c r="AG2" s="106" t="s">
        <v>211</v>
      </c>
      <c r="AH2" s="106" t="s">
        <v>268</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265</v>
      </c>
      <c r="E3" s="93" t="s">
        <v>266</v>
      </c>
      <c r="F3" s="93" t="s">
        <v>267</v>
      </c>
      <c r="G3" s="93" t="s">
        <v>42</v>
      </c>
      <c r="H3" s="93" t="s">
        <v>164</v>
      </c>
      <c r="I3" s="93" t="s">
        <v>159</v>
      </c>
      <c r="J3" s="93" t="s">
        <v>38</v>
      </c>
      <c r="K3" s="93" t="s">
        <v>161</v>
      </c>
      <c r="L3" s="93">
        <v>2</v>
      </c>
      <c r="N3" s="93">
        <v>1</v>
      </c>
      <c r="O3" s="93">
        <v>1</v>
      </c>
      <c r="P3" s="93">
        <v>1</v>
      </c>
      <c r="Q3" s="102">
        <f t="shared" si="0"/>
        <v>1</v>
      </c>
      <c r="R3" s="93">
        <v>14.1</v>
      </c>
      <c r="S3" s="93">
        <v>120</v>
      </c>
      <c r="T3" s="103">
        <f t="shared" si="1"/>
        <v>30</v>
      </c>
      <c r="U3" s="93">
        <v>98</v>
      </c>
      <c r="V3" s="104">
        <f t="shared" si="2"/>
        <v>2940</v>
      </c>
      <c r="W3" s="93">
        <v>5</v>
      </c>
      <c r="X3" s="93" t="s">
        <v>39</v>
      </c>
      <c r="Y3" s="93" t="s">
        <v>84</v>
      </c>
      <c r="Z3" s="93" t="s">
        <v>50</v>
      </c>
      <c r="AA3" s="93" t="s">
        <v>69</v>
      </c>
      <c r="AB3" s="93" t="s">
        <v>158</v>
      </c>
      <c r="AE3" s="110" t="s">
        <v>41</v>
      </c>
      <c r="AG3" s="106" t="s">
        <v>269</v>
      </c>
      <c r="AH3" s="106" t="s">
        <v>270</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265</v>
      </c>
      <c r="E4" s="93" t="s">
        <v>266</v>
      </c>
      <c r="F4" s="93" t="s">
        <v>267</v>
      </c>
      <c r="G4" s="93" t="s">
        <v>42</v>
      </c>
      <c r="H4" s="93" t="s">
        <v>164</v>
      </c>
      <c r="I4" s="93" t="s">
        <v>159</v>
      </c>
      <c r="J4" s="93" t="s">
        <v>38</v>
      </c>
      <c r="K4" s="93" t="s">
        <v>161</v>
      </c>
      <c r="L4" s="93">
        <v>3</v>
      </c>
      <c r="N4" s="93">
        <v>1</v>
      </c>
      <c r="O4" s="93">
        <v>0.95</v>
      </c>
      <c r="P4" s="93">
        <v>1.05</v>
      </c>
      <c r="Q4" s="102">
        <f t="shared" si="0"/>
        <v>1</v>
      </c>
      <c r="R4" s="93">
        <v>14.9</v>
      </c>
      <c r="S4" s="93">
        <v>130</v>
      </c>
      <c r="T4" s="103">
        <f t="shared" si="1"/>
        <v>25</v>
      </c>
      <c r="U4" s="93">
        <v>98</v>
      </c>
      <c r="V4" s="104">
        <f t="shared" si="2"/>
        <v>2450</v>
      </c>
      <c r="W4" s="93">
        <v>5</v>
      </c>
      <c r="X4" s="93" t="s">
        <v>39</v>
      </c>
      <c r="Y4" s="93" t="s">
        <v>84</v>
      </c>
      <c r="Z4" s="93" t="s">
        <v>50</v>
      </c>
      <c r="AA4" s="93" t="s">
        <v>69</v>
      </c>
      <c r="AB4" s="93" t="s">
        <v>158</v>
      </c>
      <c r="AE4" s="110" t="s">
        <v>34</v>
      </c>
      <c r="AG4" s="106" t="s">
        <v>271</v>
      </c>
      <c r="AH4" s="106" t="s">
        <v>272</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265</v>
      </c>
      <c r="E5" s="93" t="s">
        <v>269</v>
      </c>
      <c r="F5" s="93" t="s">
        <v>270</v>
      </c>
      <c r="G5" s="93" t="s">
        <v>36</v>
      </c>
      <c r="H5" s="93" t="s">
        <v>164</v>
      </c>
      <c r="I5" s="93" t="s">
        <v>159</v>
      </c>
      <c r="J5" s="93" t="s">
        <v>38</v>
      </c>
      <c r="K5" s="93" t="s">
        <v>161</v>
      </c>
      <c r="L5" s="93">
        <v>1</v>
      </c>
      <c r="N5" s="93">
        <v>1</v>
      </c>
      <c r="O5" s="93">
        <v>0.85</v>
      </c>
      <c r="P5" s="93">
        <v>0.8</v>
      </c>
      <c r="Q5" s="102">
        <f t="shared" si="0"/>
        <v>0.82499999999999996</v>
      </c>
      <c r="R5" s="93">
        <v>15.3</v>
      </c>
      <c r="S5" s="93">
        <v>150</v>
      </c>
      <c r="T5" s="103">
        <f t="shared" si="1"/>
        <v>22</v>
      </c>
      <c r="U5" s="93">
        <v>138</v>
      </c>
      <c r="V5" s="104">
        <f t="shared" si="2"/>
        <v>3036</v>
      </c>
      <c r="W5" s="93">
        <v>4</v>
      </c>
      <c r="X5" s="93" t="s">
        <v>39</v>
      </c>
      <c r="Y5" s="93" t="s">
        <v>90</v>
      </c>
      <c r="Z5" s="93" t="s">
        <v>84</v>
      </c>
      <c r="AA5" s="93" t="s">
        <v>50</v>
      </c>
      <c r="AB5" s="93" t="s">
        <v>158</v>
      </c>
      <c r="AE5" s="110" t="s">
        <v>51</v>
      </c>
      <c r="AG5" s="106" t="s">
        <v>273</v>
      </c>
      <c r="AH5" s="106" t="s">
        <v>267</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265</v>
      </c>
      <c r="E6" s="93" t="s">
        <v>269</v>
      </c>
      <c r="F6" s="93" t="s">
        <v>270</v>
      </c>
      <c r="G6" s="93" t="s">
        <v>36</v>
      </c>
      <c r="H6" s="93" t="s">
        <v>164</v>
      </c>
      <c r="I6" s="93" t="s">
        <v>159</v>
      </c>
      <c r="J6" s="93" t="s">
        <v>38</v>
      </c>
      <c r="K6" s="93" t="s">
        <v>161</v>
      </c>
      <c r="L6" s="93">
        <v>2</v>
      </c>
      <c r="N6" s="93">
        <v>1</v>
      </c>
      <c r="O6" s="93">
        <v>0.8</v>
      </c>
      <c r="P6" s="93">
        <v>0.7</v>
      </c>
      <c r="Q6" s="102">
        <f t="shared" si="0"/>
        <v>0.75</v>
      </c>
      <c r="R6" s="93">
        <v>15.1</v>
      </c>
      <c r="S6" s="93">
        <v>148</v>
      </c>
      <c r="T6" s="103">
        <f t="shared" si="1"/>
        <v>22</v>
      </c>
      <c r="U6" s="93">
        <v>138</v>
      </c>
      <c r="V6" s="104">
        <f t="shared" si="2"/>
        <v>3036</v>
      </c>
      <c r="W6" s="93">
        <v>4</v>
      </c>
      <c r="X6" s="93" t="s">
        <v>39</v>
      </c>
      <c r="Y6" s="93" t="s">
        <v>90</v>
      </c>
      <c r="Z6" s="93" t="s">
        <v>84</v>
      </c>
      <c r="AA6" s="93" t="s">
        <v>50</v>
      </c>
      <c r="AB6" s="93" t="s">
        <v>158</v>
      </c>
      <c r="AE6" s="110" t="s">
        <v>56</v>
      </c>
      <c r="AG6" s="106" t="s">
        <v>274</v>
      </c>
      <c r="AH6" s="106" t="s">
        <v>275</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265</v>
      </c>
      <c r="E7" s="93" t="s">
        <v>269</v>
      </c>
      <c r="F7" s="93" t="s">
        <v>270</v>
      </c>
      <c r="G7" s="93" t="s">
        <v>36</v>
      </c>
      <c r="H7" s="93" t="s">
        <v>164</v>
      </c>
      <c r="I7" s="93" t="s">
        <v>159</v>
      </c>
      <c r="J7" s="93" t="s">
        <v>38</v>
      </c>
      <c r="K7" s="93" t="s">
        <v>161</v>
      </c>
      <c r="L7" s="93">
        <v>3</v>
      </c>
      <c r="N7" s="93">
        <v>1</v>
      </c>
      <c r="O7" s="93">
        <v>0.75</v>
      </c>
      <c r="P7" s="93">
        <v>0.75</v>
      </c>
      <c r="Q7" s="102">
        <f t="shared" si="0"/>
        <v>0.75</v>
      </c>
      <c r="R7" s="93">
        <v>14.5</v>
      </c>
      <c r="S7" s="93">
        <v>146</v>
      </c>
      <c r="T7" s="103">
        <f t="shared" si="1"/>
        <v>22</v>
      </c>
      <c r="U7" s="93">
        <v>138</v>
      </c>
      <c r="V7" s="104">
        <f t="shared" si="2"/>
        <v>3036</v>
      </c>
      <c r="W7" s="93">
        <v>4</v>
      </c>
      <c r="X7" s="93" t="s">
        <v>39</v>
      </c>
      <c r="Y7" s="93" t="s">
        <v>90</v>
      </c>
      <c r="Z7" s="93" t="s">
        <v>84</v>
      </c>
      <c r="AA7" s="93" t="s">
        <v>50</v>
      </c>
      <c r="AB7" s="93" t="s">
        <v>158</v>
      </c>
      <c r="AE7" s="110" t="s">
        <v>61</v>
      </c>
      <c r="AG7" s="106" t="s">
        <v>276</v>
      </c>
      <c r="AH7" s="106" t="s">
        <v>268</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265</v>
      </c>
      <c r="E8" s="93" t="s">
        <v>269</v>
      </c>
      <c r="F8" s="93" t="s">
        <v>270</v>
      </c>
      <c r="G8" s="93" t="s">
        <v>36</v>
      </c>
      <c r="H8" s="93" t="s">
        <v>160</v>
      </c>
      <c r="I8" s="93" t="s">
        <v>159</v>
      </c>
      <c r="J8" s="93" t="s">
        <v>38</v>
      </c>
      <c r="K8" s="93" t="s">
        <v>161</v>
      </c>
      <c r="L8" s="93">
        <v>1</v>
      </c>
      <c r="N8" s="93">
        <v>4</v>
      </c>
      <c r="O8" s="93">
        <v>0.6</v>
      </c>
      <c r="P8" s="93">
        <v>0.6</v>
      </c>
      <c r="Q8" s="102">
        <f t="shared" si="0"/>
        <v>0.6</v>
      </c>
      <c r="R8" s="93">
        <v>14.8</v>
      </c>
      <c r="S8" s="93">
        <v>98</v>
      </c>
      <c r="T8" s="103">
        <f t="shared" si="1"/>
        <v>36</v>
      </c>
      <c r="U8" s="93">
        <v>498</v>
      </c>
      <c r="V8" s="104">
        <f t="shared" si="2"/>
        <v>4482</v>
      </c>
      <c r="W8" s="93">
        <v>4</v>
      </c>
      <c r="X8" s="93" t="s">
        <v>39</v>
      </c>
      <c r="Y8" s="93" t="s">
        <v>90</v>
      </c>
      <c r="Z8" s="93" t="s">
        <v>84</v>
      </c>
      <c r="AA8" s="93" t="s">
        <v>50</v>
      </c>
      <c r="AB8" s="93" t="s">
        <v>158</v>
      </c>
      <c r="AE8" s="110" t="s">
        <v>59</v>
      </c>
      <c r="AG8" s="106" t="s">
        <v>277</v>
      </c>
      <c r="AH8" s="106" t="s">
        <v>278</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265</v>
      </c>
      <c r="E9" s="93" t="s">
        <v>269</v>
      </c>
      <c r="F9" s="93" t="s">
        <v>270</v>
      </c>
      <c r="G9" s="93" t="s">
        <v>36</v>
      </c>
      <c r="H9" s="93" t="s">
        <v>160</v>
      </c>
      <c r="I9" s="93" t="s">
        <v>159</v>
      </c>
      <c r="J9" s="93" t="s">
        <v>38</v>
      </c>
      <c r="K9" s="93" t="s">
        <v>161</v>
      </c>
      <c r="L9" s="93">
        <v>2</v>
      </c>
      <c r="N9" s="93">
        <v>4</v>
      </c>
      <c r="O9" s="93">
        <v>0.65</v>
      </c>
      <c r="P9" s="93">
        <v>0.65</v>
      </c>
      <c r="Q9" s="102">
        <f t="shared" si="0"/>
        <v>0.65</v>
      </c>
      <c r="R9" s="93">
        <v>15</v>
      </c>
      <c r="S9" s="93">
        <v>104</v>
      </c>
      <c r="T9" s="103">
        <f t="shared" si="1"/>
        <v>33</v>
      </c>
      <c r="U9" s="93">
        <v>498</v>
      </c>
      <c r="V9" s="104">
        <f t="shared" si="2"/>
        <v>4108.5</v>
      </c>
      <c r="W9" s="93">
        <v>4</v>
      </c>
      <c r="X9" s="93" t="s">
        <v>39</v>
      </c>
      <c r="Y9" s="93" t="s">
        <v>90</v>
      </c>
      <c r="Z9" s="93" t="s">
        <v>84</v>
      </c>
      <c r="AA9" s="93" t="s">
        <v>50</v>
      </c>
      <c r="AB9" s="93" t="s">
        <v>158</v>
      </c>
      <c r="AE9" s="110" t="s">
        <v>204</v>
      </c>
      <c r="AG9" s="106" t="s">
        <v>279</v>
      </c>
      <c r="AH9" s="106" t="s">
        <v>267</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265</v>
      </c>
      <c r="E10" s="93" t="s">
        <v>269</v>
      </c>
      <c r="F10" s="93" t="s">
        <v>270</v>
      </c>
      <c r="G10" s="93" t="s">
        <v>36</v>
      </c>
      <c r="H10" s="93" t="s">
        <v>160</v>
      </c>
      <c r="I10" s="93" t="s">
        <v>159</v>
      </c>
      <c r="J10" s="93" t="s">
        <v>38</v>
      </c>
      <c r="K10" s="93" t="s">
        <v>161</v>
      </c>
      <c r="L10" s="93">
        <v>3</v>
      </c>
      <c r="N10" s="93">
        <v>4</v>
      </c>
      <c r="O10" s="93">
        <v>0.65</v>
      </c>
      <c r="P10" s="93">
        <v>0.55000000000000004</v>
      </c>
      <c r="Q10" s="102">
        <f t="shared" si="0"/>
        <v>0.60000000000000009</v>
      </c>
      <c r="R10" s="93">
        <v>15.3</v>
      </c>
      <c r="S10" s="93">
        <v>100</v>
      </c>
      <c r="T10" s="103">
        <f t="shared" si="1"/>
        <v>33</v>
      </c>
      <c r="U10" s="93">
        <v>498</v>
      </c>
      <c r="V10" s="104">
        <f t="shared" si="2"/>
        <v>4108.5</v>
      </c>
      <c r="W10" s="93">
        <v>4</v>
      </c>
      <c r="X10" s="93" t="s">
        <v>39</v>
      </c>
      <c r="Y10" s="93" t="s">
        <v>90</v>
      </c>
      <c r="Z10" s="93" t="s">
        <v>84</v>
      </c>
      <c r="AA10" s="93" t="s">
        <v>50</v>
      </c>
      <c r="AB10" s="93" t="s">
        <v>158</v>
      </c>
      <c r="AE10" s="110" t="s">
        <v>208</v>
      </c>
      <c r="AG10" s="106" t="s">
        <v>266</v>
      </c>
      <c r="AH10" s="111" t="s">
        <v>267</v>
      </c>
      <c r="AP10" s="111" t="s">
        <v>100</v>
      </c>
      <c r="AR10" s="111" t="s">
        <v>210</v>
      </c>
      <c r="AV10" s="111" t="s">
        <v>106</v>
      </c>
      <c r="AX10" s="112">
        <v>138</v>
      </c>
      <c r="AY10" s="113">
        <v>25</v>
      </c>
      <c r="AZ10" s="113">
        <v>138</v>
      </c>
      <c r="BA10" s="114">
        <v>22</v>
      </c>
    </row>
    <row r="11" spans="1:53" x14ac:dyDescent="0.15">
      <c r="A11" s="93" t="s">
        <v>51</v>
      </c>
      <c r="B11" s="93" t="s">
        <v>157</v>
      </c>
      <c r="C11" s="93">
        <v>2019</v>
      </c>
      <c r="D11" s="101" t="s">
        <v>265</v>
      </c>
      <c r="E11" s="93" t="s">
        <v>139</v>
      </c>
      <c r="F11" s="93" t="s">
        <v>280</v>
      </c>
      <c r="G11" s="93" t="s">
        <v>42</v>
      </c>
      <c r="H11" s="93" t="s">
        <v>164</v>
      </c>
      <c r="I11" s="93" t="s">
        <v>159</v>
      </c>
      <c r="J11" s="93" t="s">
        <v>38</v>
      </c>
      <c r="K11" s="93" t="s">
        <v>161</v>
      </c>
      <c r="L11" s="93">
        <v>1</v>
      </c>
      <c r="N11" s="93">
        <v>1</v>
      </c>
      <c r="O11" s="93">
        <v>0.5</v>
      </c>
      <c r="P11" s="93">
        <v>0.75</v>
      </c>
      <c r="Q11" s="102">
        <f t="shared" si="0"/>
        <v>0.625</v>
      </c>
      <c r="R11" s="93">
        <v>12.2</v>
      </c>
      <c r="S11" s="93">
        <v>114</v>
      </c>
      <c r="T11" s="103">
        <f t="shared" si="1"/>
        <v>30</v>
      </c>
      <c r="U11" s="93">
        <v>98</v>
      </c>
      <c r="V11" s="104">
        <f t="shared" si="2"/>
        <v>2940</v>
      </c>
      <c r="W11" s="93">
        <v>10</v>
      </c>
      <c r="X11" s="93" t="s">
        <v>46</v>
      </c>
      <c r="Y11" s="93" t="s">
        <v>84</v>
      </c>
      <c r="Z11" s="93" t="s">
        <v>50</v>
      </c>
      <c r="AA11" s="93" t="s">
        <v>90</v>
      </c>
      <c r="AB11" s="93" t="s">
        <v>158</v>
      </c>
      <c r="AE11" s="110" t="s">
        <v>68</v>
      </c>
      <c r="AG11" s="106" t="s">
        <v>139</v>
      </c>
      <c r="AH11" s="111" t="s">
        <v>280</v>
      </c>
      <c r="AP11" s="111" t="s">
        <v>104</v>
      </c>
      <c r="AR11" s="111" t="s">
        <v>213</v>
      </c>
      <c r="AV11" s="111" t="s">
        <v>69</v>
      </c>
      <c r="AX11" s="112">
        <v>151</v>
      </c>
      <c r="AY11" s="113">
        <v>22</v>
      </c>
      <c r="AZ11" s="113">
        <v>152</v>
      </c>
      <c r="BA11" s="114">
        <v>18</v>
      </c>
    </row>
    <row r="12" spans="1:53" x14ac:dyDescent="0.15">
      <c r="A12" s="93" t="s">
        <v>51</v>
      </c>
      <c r="B12" s="93" t="s">
        <v>157</v>
      </c>
      <c r="C12" s="93">
        <v>2019</v>
      </c>
      <c r="D12" s="101" t="s">
        <v>265</v>
      </c>
      <c r="E12" s="93" t="s">
        <v>139</v>
      </c>
      <c r="F12" s="93" t="s">
        <v>280</v>
      </c>
      <c r="G12" s="93" t="s">
        <v>42</v>
      </c>
      <c r="H12" s="93" t="s">
        <v>164</v>
      </c>
      <c r="I12" s="93" t="s">
        <v>159</v>
      </c>
      <c r="J12" s="93" t="s">
        <v>38</v>
      </c>
      <c r="K12" s="93" t="s">
        <v>161</v>
      </c>
      <c r="L12" s="93">
        <v>2</v>
      </c>
      <c r="N12" s="93">
        <v>1</v>
      </c>
      <c r="O12" s="93">
        <v>0.7</v>
      </c>
      <c r="P12" s="93">
        <v>0.7</v>
      </c>
      <c r="Q12" s="102">
        <f t="shared" si="0"/>
        <v>0.7</v>
      </c>
      <c r="R12" s="93">
        <v>13.5</v>
      </c>
      <c r="S12" s="93">
        <v>118</v>
      </c>
      <c r="T12" s="103">
        <f t="shared" si="1"/>
        <v>30</v>
      </c>
      <c r="U12" s="93">
        <v>98</v>
      </c>
      <c r="V12" s="104">
        <f t="shared" si="2"/>
        <v>2940</v>
      </c>
      <c r="W12" s="93">
        <v>10</v>
      </c>
      <c r="X12" s="93" t="s">
        <v>46</v>
      </c>
      <c r="Y12" s="93" t="s">
        <v>84</v>
      </c>
      <c r="Z12" s="93" t="s">
        <v>50</v>
      </c>
      <c r="AA12" s="93" t="s">
        <v>90</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265</v>
      </c>
      <c r="E13" s="93" t="s">
        <v>139</v>
      </c>
      <c r="F13" s="93" t="s">
        <v>280</v>
      </c>
      <c r="G13" s="93" t="s">
        <v>42</v>
      </c>
      <c r="H13" s="93" t="s">
        <v>164</v>
      </c>
      <c r="I13" s="93" t="s">
        <v>159</v>
      </c>
      <c r="J13" s="93" t="s">
        <v>38</v>
      </c>
      <c r="K13" s="93" t="s">
        <v>161</v>
      </c>
      <c r="L13" s="93">
        <v>3</v>
      </c>
      <c r="N13" s="93">
        <v>1</v>
      </c>
      <c r="O13" s="93">
        <v>0.7</v>
      </c>
      <c r="P13" s="93">
        <v>0.65</v>
      </c>
      <c r="Q13" s="102">
        <f t="shared" si="0"/>
        <v>0.67500000000000004</v>
      </c>
      <c r="R13" s="93">
        <v>13.8</v>
      </c>
      <c r="S13" s="93">
        <v>118</v>
      </c>
      <c r="T13" s="103">
        <f t="shared" si="1"/>
        <v>30</v>
      </c>
      <c r="U13" s="93">
        <v>98</v>
      </c>
      <c r="V13" s="104">
        <f t="shared" si="2"/>
        <v>2940</v>
      </c>
      <c r="W13" s="93">
        <v>10</v>
      </c>
      <c r="X13" s="93" t="s">
        <v>46</v>
      </c>
      <c r="Y13" s="93" t="s">
        <v>84</v>
      </c>
      <c r="Z13" s="93" t="s">
        <v>50</v>
      </c>
      <c r="AA13" s="93" t="s">
        <v>90</v>
      </c>
      <c r="AB13" s="93" t="s">
        <v>158</v>
      </c>
      <c r="AE13" s="110" t="s">
        <v>216</v>
      </c>
      <c r="AG13" s="111"/>
      <c r="AH13" s="111"/>
      <c r="AP13" s="111" t="s">
        <v>71</v>
      </c>
      <c r="AR13" s="111" t="s">
        <v>208</v>
      </c>
      <c r="AV13" s="111" t="s">
        <v>75</v>
      </c>
    </row>
    <row r="14" spans="1:53" x14ac:dyDescent="0.15">
      <c r="A14" s="93" t="s">
        <v>51</v>
      </c>
      <c r="B14" s="93" t="s">
        <v>157</v>
      </c>
      <c r="C14" s="93">
        <v>2019</v>
      </c>
      <c r="D14" s="101" t="s">
        <v>265</v>
      </c>
      <c r="E14" s="93" t="s">
        <v>139</v>
      </c>
      <c r="F14" s="93" t="s">
        <v>280</v>
      </c>
      <c r="G14" s="93" t="s">
        <v>42</v>
      </c>
      <c r="H14" s="93" t="s">
        <v>160</v>
      </c>
      <c r="I14" s="93" t="s">
        <v>159</v>
      </c>
      <c r="J14" s="93" t="s">
        <v>38</v>
      </c>
      <c r="K14" s="93" t="s">
        <v>213</v>
      </c>
      <c r="L14" s="93">
        <v>1</v>
      </c>
      <c r="N14" s="93">
        <v>1</v>
      </c>
      <c r="O14" s="93">
        <v>0.75</v>
      </c>
      <c r="P14" s="93">
        <v>0.7</v>
      </c>
      <c r="Q14" s="102">
        <f t="shared" si="0"/>
        <v>0.72499999999999998</v>
      </c>
      <c r="R14" s="93">
        <v>14.2</v>
      </c>
      <c r="S14" s="93">
        <v>110</v>
      </c>
      <c r="T14" s="103">
        <f t="shared" si="1"/>
        <v>33</v>
      </c>
      <c r="U14" s="93">
        <v>178</v>
      </c>
      <c r="V14" s="104">
        <f t="shared" si="2"/>
        <v>5874</v>
      </c>
      <c r="W14" s="93">
        <v>10</v>
      </c>
      <c r="X14" s="93" t="s">
        <v>46</v>
      </c>
      <c r="Y14" s="93" t="s">
        <v>84</v>
      </c>
      <c r="Z14" s="93" t="s">
        <v>50</v>
      </c>
      <c r="AA14" s="93" t="s">
        <v>90</v>
      </c>
      <c r="AB14" s="93" t="s">
        <v>158</v>
      </c>
      <c r="AE14" s="110" t="s">
        <v>96</v>
      </c>
      <c r="AG14" s="111"/>
      <c r="AH14" s="111"/>
      <c r="AP14" s="111" t="s">
        <v>74</v>
      </c>
      <c r="AR14" s="111" t="s">
        <v>217</v>
      </c>
      <c r="AV14" s="111" t="s">
        <v>78</v>
      </c>
    </row>
    <row r="15" spans="1:53" x14ac:dyDescent="0.15">
      <c r="A15" s="93" t="s">
        <v>51</v>
      </c>
      <c r="B15" s="93" t="s">
        <v>157</v>
      </c>
      <c r="C15" s="93">
        <v>2019</v>
      </c>
      <c r="D15" s="101" t="s">
        <v>265</v>
      </c>
      <c r="E15" s="93" t="s">
        <v>139</v>
      </c>
      <c r="F15" s="93" t="s">
        <v>280</v>
      </c>
      <c r="G15" s="93" t="s">
        <v>42</v>
      </c>
      <c r="H15" s="93" t="s">
        <v>160</v>
      </c>
      <c r="I15" s="93" t="s">
        <v>159</v>
      </c>
      <c r="J15" s="93" t="s">
        <v>38</v>
      </c>
      <c r="K15" s="93" t="s">
        <v>213</v>
      </c>
      <c r="L15" s="93">
        <v>2</v>
      </c>
      <c r="N15" s="93">
        <v>1</v>
      </c>
      <c r="O15" s="93">
        <v>0.6</v>
      </c>
      <c r="P15" s="93">
        <v>0.7</v>
      </c>
      <c r="Q15" s="102">
        <f t="shared" si="0"/>
        <v>0.64999999999999991</v>
      </c>
      <c r="R15" s="93">
        <v>13.9</v>
      </c>
      <c r="S15" s="93">
        <v>108</v>
      </c>
      <c r="T15" s="103">
        <f t="shared" si="1"/>
        <v>33</v>
      </c>
      <c r="U15" s="93">
        <v>178</v>
      </c>
      <c r="V15" s="104">
        <f t="shared" si="2"/>
        <v>5874</v>
      </c>
      <c r="W15" s="93">
        <v>10</v>
      </c>
      <c r="X15" s="93" t="s">
        <v>46</v>
      </c>
      <c r="Y15" s="93" t="s">
        <v>84</v>
      </c>
      <c r="Z15" s="93" t="s">
        <v>50</v>
      </c>
      <c r="AA15" s="93" t="s">
        <v>90</v>
      </c>
      <c r="AB15" s="93" t="s">
        <v>158</v>
      </c>
      <c r="AE15" s="110" t="s">
        <v>218</v>
      </c>
      <c r="AG15" s="111"/>
      <c r="AH15" s="111"/>
      <c r="AP15" s="111" t="s">
        <v>77</v>
      </c>
      <c r="AR15" s="111" t="s">
        <v>80</v>
      </c>
      <c r="AV15" s="111" t="s">
        <v>107</v>
      </c>
    </row>
    <row r="16" spans="1:53" x14ac:dyDescent="0.15">
      <c r="A16" s="93" t="s">
        <v>51</v>
      </c>
      <c r="B16" s="93" t="s">
        <v>157</v>
      </c>
      <c r="C16" s="93">
        <v>2019</v>
      </c>
      <c r="D16" s="101" t="s">
        <v>265</v>
      </c>
      <c r="E16" s="93" t="s">
        <v>139</v>
      </c>
      <c r="F16" s="93" t="s">
        <v>280</v>
      </c>
      <c r="G16" s="93" t="s">
        <v>42</v>
      </c>
      <c r="H16" s="93" t="s">
        <v>160</v>
      </c>
      <c r="I16" s="93" t="s">
        <v>159</v>
      </c>
      <c r="J16" s="93" t="s">
        <v>38</v>
      </c>
      <c r="K16" s="93" t="s">
        <v>213</v>
      </c>
      <c r="L16" s="93">
        <v>3</v>
      </c>
      <c r="N16" s="93">
        <v>1</v>
      </c>
      <c r="O16" s="93">
        <v>0.65</v>
      </c>
      <c r="P16" s="93">
        <v>0.65</v>
      </c>
      <c r="Q16" s="102">
        <f t="shared" si="0"/>
        <v>0.65</v>
      </c>
      <c r="R16" s="93">
        <v>14.7</v>
      </c>
      <c r="S16" s="93">
        <v>116</v>
      </c>
      <c r="T16" s="103">
        <f t="shared" si="1"/>
        <v>30</v>
      </c>
      <c r="U16" s="93">
        <v>178</v>
      </c>
      <c r="V16" s="104">
        <f t="shared" si="2"/>
        <v>5340</v>
      </c>
      <c r="W16" s="93">
        <v>10</v>
      </c>
      <c r="X16" s="93" t="s">
        <v>46</v>
      </c>
      <c r="Y16" s="93" t="s">
        <v>84</v>
      </c>
      <c r="Z16" s="93" t="s">
        <v>50</v>
      </c>
      <c r="AA16" s="93" t="s">
        <v>90</v>
      </c>
      <c r="AB16" s="93" t="s">
        <v>158</v>
      </c>
      <c r="AE16" s="110" t="s">
        <v>219</v>
      </c>
      <c r="AG16" s="116"/>
      <c r="AH16" s="116"/>
      <c r="AP16" s="111" t="s">
        <v>80</v>
      </c>
      <c r="AR16" s="111" t="s">
        <v>63</v>
      </c>
      <c r="AV16" s="111" t="s">
        <v>84</v>
      </c>
    </row>
    <row r="17" spans="1:48" x14ac:dyDescent="0.15">
      <c r="A17" s="93" t="s">
        <v>51</v>
      </c>
      <c r="B17" s="93" t="s">
        <v>157</v>
      </c>
      <c r="C17" s="93">
        <v>2019</v>
      </c>
      <c r="D17" s="101" t="s">
        <v>265</v>
      </c>
      <c r="E17" s="93" t="s">
        <v>139</v>
      </c>
      <c r="F17" s="93" t="s">
        <v>280</v>
      </c>
      <c r="G17" s="93" t="s">
        <v>42</v>
      </c>
      <c r="H17" s="93" t="s">
        <v>187</v>
      </c>
      <c r="I17" s="93" t="s">
        <v>159</v>
      </c>
      <c r="J17" s="93" t="s">
        <v>80</v>
      </c>
      <c r="K17" s="93" t="s">
        <v>63</v>
      </c>
      <c r="L17" s="93">
        <v>1</v>
      </c>
      <c r="N17" s="93">
        <v>4</v>
      </c>
      <c r="O17" s="93">
        <v>1</v>
      </c>
      <c r="P17" s="93">
        <v>0.9</v>
      </c>
      <c r="Q17" s="102">
        <f t="shared" si="0"/>
        <v>0.95</v>
      </c>
      <c r="R17" s="93">
        <v>12.9</v>
      </c>
      <c r="S17" s="93">
        <v>90</v>
      </c>
      <c r="T17" s="103">
        <f t="shared" si="1"/>
        <v>36</v>
      </c>
      <c r="U17" s="93">
        <v>398</v>
      </c>
      <c r="V17" s="104">
        <f t="shared" si="2"/>
        <v>3582</v>
      </c>
      <c r="W17" s="93">
        <v>10</v>
      </c>
      <c r="X17" s="93" t="s">
        <v>46</v>
      </c>
      <c r="Y17" s="93" t="s">
        <v>84</v>
      </c>
      <c r="Z17" s="93" t="s">
        <v>50</v>
      </c>
      <c r="AA17" s="93" t="s">
        <v>90</v>
      </c>
      <c r="AB17" s="93" t="s">
        <v>158</v>
      </c>
      <c r="AE17" s="110" t="s">
        <v>220</v>
      </c>
      <c r="AP17" s="115" t="s">
        <v>221</v>
      </c>
      <c r="AR17" s="111" t="s">
        <v>96</v>
      </c>
      <c r="AV17" s="111" t="s">
        <v>86</v>
      </c>
    </row>
    <row r="18" spans="1:48" x14ac:dyDescent="0.15">
      <c r="A18" s="93" t="s">
        <v>51</v>
      </c>
      <c r="B18" s="93" t="s">
        <v>157</v>
      </c>
      <c r="C18" s="93">
        <v>2019</v>
      </c>
      <c r="D18" s="101" t="s">
        <v>265</v>
      </c>
      <c r="E18" s="93" t="s">
        <v>139</v>
      </c>
      <c r="F18" s="93" t="s">
        <v>280</v>
      </c>
      <c r="G18" s="93" t="s">
        <v>42</v>
      </c>
      <c r="H18" s="93" t="s">
        <v>187</v>
      </c>
      <c r="I18" s="93" t="s">
        <v>159</v>
      </c>
      <c r="J18" s="93" t="s">
        <v>80</v>
      </c>
      <c r="K18" s="93" t="s">
        <v>63</v>
      </c>
      <c r="L18" s="93">
        <v>2</v>
      </c>
      <c r="N18" s="93">
        <v>4</v>
      </c>
      <c r="O18" s="93">
        <v>1.25</v>
      </c>
      <c r="P18" s="93">
        <v>1.1499999999999999</v>
      </c>
      <c r="Q18" s="102">
        <f t="shared" si="0"/>
        <v>1.2</v>
      </c>
      <c r="R18" s="93">
        <v>15.2</v>
      </c>
      <c r="S18" s="93">
        <v>87</v>
      </c>
      <c r="T18" s="103">
        <f t="shared" si="1"/>
        <v>36</v>
      </c>
      <c r="U18" s="93">
        <v>398</v>
      </c>
      <c r="V18" s="104">
        <f t="shared" si="2"/>
        <v>3582</v>
      </c>
      <c r="W18" s="93">
        <v>10</v>
      </c>
      <c r="X18" s="93" t="s">
        <v>46</v>
      </c>
      <c r="Y18" s="93" t="s">
        <v>84</v>
      </c>
      <c r="Z18" s="93" t="s">
        <v>50</v>
      </c>
      <c r="AA18" s="93" t="s">
        <v>90</v>
      </c>
      <c r="AB18" s="93" t="s">
        <v>158</v>
      </c>
      <c r="AE18" s="110" t="s">
        <v>213</v>
      </c>
      <c r="AP18" s="115" t="s">
        <v>222</v>
      </c>
      <c r="AR18" s="111" t="s">
        <v>101</v>
      </c>
      <c r="AV18" s="111" t="s">
        <v>88</v>
      </c>
    </row>
    <row r="19" spans="1:48" x14ac:dyDescent="0.15">
      <c r="A19" s="93" t="s">
        <v>51</v>
      </c>
      <c r="B19" s="93" t="s">
        <v>157</v>
      </c>
      <c r="C19" s="93">
        <v>2019</v>
      </c>
      <c r="D19" s="101" t="s">
        <v>265</v>
      </c>
      <c r="E19" s="93" t="s">
        <v>139</v>
      </c>
      <c r="F19" s="93" t="s">
        <v>280</v>
      </c>
      <c r="G19" s="93" t="s">
        <v>42</v>
      </c>
      <c r="H19" s="93" t="s">
        <v>187</v>
      </c>
      <c r="I19" s="93" t="s">
        <v>159</v>
      </c>
      <c r="J19" s="93" t="s">
        <v>80</v>
      </c>
      <c r="K19" s="93" t="s">
        <v>63</v>
      </c>
      <c r="L19" s="93">
        <v>3</v>
      </c>
      <c r="N19" s="93">
        <v>4</v>
      </c>
      <c r="O19" s="93">
        <v>1.1000000000000001</v>
      </c>
      <c r="P19" s="93">
        <v>1.2</v>
      </c>
      <c r="Q19" s="102">
        <f t="shared" si="0"/>
        <v>1.1499999999999999</v>
      </c>
      <c r="R19" s="93">
        <v>15.6</v>
      </c>
      <c r="S19" s="93">
        <v>95</v>
      </c>
      <c r="T19" s="103">
        <f t="shared" si="1"/>
        <v>36</v>
      </c>
      <c r="U19" s="93">
        <v>398</v>
      </c>
      <c r="V19" s="104">
        <f t="shared" si="2"/>
        <v>3582</v>
      </c>
      <c r="W19" s="93">
        <v>10</v>
      </c>
      <c r="X19" s="93" t="s">
        <v>46</v>
      </c>
      <c r="Y19" s="93" t="s">
        <v>84</v>
      </c>
      <c r="Z19" s="93" t="s">
        <v>50</v>
      </c>
      <c r="AA19" s="93" t="s">
        <v>90</v>
      </c>
      <c r="AB19" s="93" t="s">
        <v>158</v>
      </c>
      <c r="AE19" s="121" t="s">
        <v>207</v>
      </c>
      <c r="AP19" s="115" t="s">
        <v>223</v>
      </c>
      <c r="AR19" s="111" t="s">
        <v>224</v>
      </c>
      <c r="AV19" s="111" t="s">
        <v>90</v>
      </c>
    </row>
    <row r="20" spans="1:48" x14ac:dyDescent="0.15">
      <c r="A20" s="93" t="s">
        <v>51</v>
      </c>
      <c r="B20" s="93" t="s">
        <v>157</v>
      </c>
      <c r="C20" s="93">
        <v>2019</v>
      </c>
      <c r="D20" s="101" t="s">
        <v>265</v>
      </c>
      <c r="E20" s="93" t="s">
        <v>274</v>
      </c>
      <c r="F20" s="93" t="s">
        <v>275</v>
      </c>
      <c r="G20" s="93" t="s">
        <v>36</v>
      </c>
      <c r="H20" s="93" t="s">
        <v>160</v>
      </c>
      <c r="I20" s="93" t="s">
        <v>159</v>
      </c>
      <c r="J20" s="93" t="s">
        <v>38</v>
      </c>
      <c r="K20" s="93" t="s">
        <v>161</v>
      </c>
      <c r="L20" s="93">
        <v>1</v>
      </c>
      <c r="N20" s="93">
        <v>1</v>
      </c>
      <c r="O20" s="93">
        <v>0.85</v>
      </c>
      <c r="P20" s="93">
        <v>0.95</v>
      </c>
      <c r="Q20" s="102">
        <f t="shared" si="0"/>
        <v>0.89999999999999991</v>
      </c>
      <c r="R20" s="93">
        <v>16.2</v>
      </c>
      <c r="S20" s="93">
        <v>132</v>
      </c>
      <c r="T20" s="103">
        <f t="shared" si="1"/>
        <v>25</v>
      </c>
      <c r="U20" s="93">
        <v>118</v>
      </c>
      <c r="V20" s="104">
        <f t="shared" si="2"/>
        <v>2950</v>
      </c>
      <c r="W20" s="93">
        <v>3</v>
      </c>
      <c r="X20" s="93" t="s">
        <v>46</v>
      </c>
      <c r="Y20" s="93" t="s">
        <v>84</v>
      </c>
      <c r="Z20" s="93" t="s">
        <v>50</v>
      </c>
      <c r="AA20" s="93" t="s">
        <v>90</v>
      </c>
      <c r="AB20" s="93" t="s">
        <v>158</v>
      </c>
      <c r="AE20" s="121"/>
      <c r="AP20" s="115" t="s">
        <v>225</v>
      </c>
      <c r="AR20" s="111" t="s">
        <v>105</v>
      </c>
      <c r="AV20" s="115" t="s">
        <v>226</v>
      </c>
    </row>
    <row r="21" spans="1:48" x14ac:dyDescent="0.15">
      <c r="A21" s="93" t="s">
        <v>51</v>
      </c>
      <c r="B21" s="93" t="s">
        <v>157</v>
      </c>
      <c r="C21" s="93">
        <v>2019</v>
      </c>
      <c r="D21" s="101" t="s">
        <v>265</v>
      </c>
      <c r="E21" s="93" t="s">
        <v>274</v>
      </c>
      <c r="F21" s="93" t="s">
        <v>275</v>
      </c>
      <c r="G21" s="93" t="s">
        <v>36</v>
      </c>
      <c r="H21" s="93" t="s">
        <v>160</v>
      </c>
      <c r="I21" s="93" t="s">
        <v>159</v>
      </c>
      <c r="J21" s="93" t="s">
        <v>38</v>
      </c>
      <c r="K21" s="93" t="s">
        <v>161</v>
      </c>
      <c r="L21" s="93">
        <v>2</v>
      </c>
      <c r="N21" s="93">
        <v>1</v>
      </c>
      <c r="O21" s="93">
        <v>0.8</v>
      </c>
      <c r="P21" s="93">
        <v>0.8</v>
      </c>
      <c r="Q21" s="102">
        <f t="shared" si="0"/>
        <v>0.8</v>
      </c>
      <c r="R21" s="93">
        <v>17.100000000000001</v>
      </c>
      <c r="S21" s="93">
        <v>142</v>
      </c>
      <c r="T21" s="103">
        <f t="shared" si="1"/>
        <v>22</v>
      </c>
      <c r="U21" s="93">
        <v>118</v>
      </c>
      <c r="V21" s="104">
        <f t="shared" si="2"/>
        <v>2596</v>
      </c>
      <c r="W21" s="93">
        <v>3</v>
      </c>
      <c r="X21" s="93" t="s">
        <v>46</v>
      </c>
      <c r="Y21" s="93" t="s">
        <v>84</v>
      </c>
      <c r="Z21" s="93" t="s">
        <v>50</v>
      </c>
      <c r="AA21" s="93" t="s">
        <v>90</v>
      </c>
      <c r="AB21" s="93" t="s">
        <v>158</v>
      </c>
      <c r="AE21" s="116"/>
      <c r="AP21" s="115" t="s">
        <v>227</v>
      </c>
      <c r="AR21" s="111" t="s">
        <v>68</v>
      </c>
      <c r="AV21" s="115" t="s">
        <v>228</v>
      </c>
    </row>
    <row r="22" spans="1:48" x14ac:dyDescent="0.15">
      <c r="A22" s="93" t="s">
        <v>51</v>
      </c>
      <c r="B22" s="93" t="s">
        <v>157</v>
      </c>
      <c r="C22" s="93">
        <v>2019</v>
      </c>
      <c r="D22" s="101" t="s">
        <v>265</v>
      </c>
      <c r="E22" s="93" t="s">
        <v>274</v>
      </c>
      <c r="F22" s="93" t="s">
        <v>275</v>
      </c>
      <c r="G22" s="93" t="s">
        <v>36</v>
      </c>
      <c r="H22" s="93" t="s">
        <v>160</v>
      </c>
      <c r="I22" s="93" t="s">
        <v>159</v>
      </c>
      <c r="J22" s="93" t="s">
        <v>38</v>
      </c>
      <c r="K22" s="93" t="s">
        <v>161</v>
      </c>
      <c r="L22" s="93">
        <v>3</v>
      </c>
      <c r="N22" s="93">
        <v>1</v>
      </c>
      <c r="O22" s="93">
        <v>0.75</v>
      </c>
      <c r="P22" s="93">
        <v>0.9</v>
      </c>
      <c r="Q22" s="102">
        <f t="shared" si="0"/>
        <v>0.82499999999999996</v>
      </c>
      <c r="R22" s="93">
        <v>16.7</v>
      </c>
      <c r="S22" s="93">
        <v>138</v>
      </c>
      <c r="T22" s="103">
        <f t="shared" si="1"/>
        <v>22</v>
      </c>
      <c r="U22" s="93">
        <v>118</v>
      </c>
      <c r="V22" s="104">
        <f t="shared" si="2"/>
        <v>2596</v>
      </c>
      <c r="W22" s="93">
        <v>3</v>
      </c>
      <c r="X22" s="93" t="s">
        <v>46</v>
      </c>
      <c r="Y22" s="93" t="s">
        <v>84</v>
      </c>
      <c r="Z22" s="93" t="s">
        <v>50</v>
      </c>
      <c r="AA22" s="93" t="s">
        <v>90</v>
      </c>
      <c r="AB22" s="93" t="s">
        <v>158</v>
      </c>
      <c r="AP22" s="115" t="s">
        <v>229</v>
      </c>
      <c r="AR22" s="111" t="s">
        <v>83</v>
      </c>
      <c r="AV22" s="115"/>
    </row>
    <row r="23" spans="1:48" x14ac:dyDescent="0.15">
      <c r="A23" s="93" t="s">
        <v>51</v>
      </c>
      <c r="B23" s="93" t="s">
        <v>157</v>
      </c>
      <c r="C23" s="93">
        <v>2019</v>
      </c>
      <c r="D23" s="101" t="s">
        <v>265</v>
      </c>
      <c r="E23" s="93" t="s">
        <v>274</v>
      </c>
      <c r="F23" s="93" t="s">
        <v>275</v>
      </c>
      <c r="G23" s="93" t="s">
        <v>36</v>
      </c>
      <c r="H23" s="93" t="s">
        <v>164</v>
      </c>
      <c r="I23" s="93" t="s">
        <v>159</v>
      </c>
      <c r="J23" s="93" t="s">
        <v>38</v>
      </c>
      <c r="K23" s="93" t="s">
        <v>161</v>
      </c>
      <c r="L23" s="93">
        <v>1</v>
      </c>
      <c r="N23" s="93">
        <v>4</v>
      </c>
      <c r="O23" s="93">
        <v>0.25</v>
      </c>
      <c r="P23" s="93">
        <v>0.25</v>
      </c>
      <c r="Q23" s="102">
        <f t="shared" si="0"/>
        <v>0.25</v>
      </c>
      <c r="R23" s="93">
        <v>16.2</v>
      </c>
      <c r="S23" s="93">
        <v>95</v>
      </c>
      <c r="T23" s="103">
        <f t="shared" si="1"/>
        <v>36</v>
      </c>
      <c r="U23" s="93">
        <v>498</v>
      </c>
      <c r="V23" s="104">
        <f t="shared" si="2"/>
        <v>4482</v>
      </c>
      <c r="W23" s="93">
        <v>3</v>
      </c>
      <c r="X23" s="93" t="s">
        <v>46</v>
      </c>
      <c r="Y23" s="93" t="s">
        <v>84</v>
      </c>
      <c r="Z23" s="93" t="s">
        <v>50</v>
      </c>
      <c r="AA23" s="93" t="s">
        <v>90</v>
      </c>
      <c r="AB23" s="93" t="s">
        <v>158</v>
      </c>
      <c r="AP23" s="115" t="s">
        <v>230</v>
      </c>
      <c r="AR23" s="111" t="s">
        <v>61</v>
      </c>
    </row>
    <row r="24" spans="1:48" x14ac:dyDescent="0.15">
      <c r="A24" s="93" t="s">
        <v>51</v>
      </c>
      <c r="B24" s="93" t="s">
        <v>157</v>
      </c>
      <c r="C24" s="93">
        <v>2019</v>
      </c>
      <c r="D24" s="101" t="s">
        <v>265</v>
      </c>
      <c r="E24" s="93" t="s">
        <v>274</v>
      </c>
      <c r="F24" s="93" t="s">
        <v>275</v>
      </c>
      <c r="G24" s="93" t="s">
        <v>36</v>
      </c>
      <c r="H24" s="93" t="s">
        <v>164</v>
      </c>
      <c r="I24" s="93" t="s">
        <v>159</v>
      </c>
      <c r="J24" s="93" t="s">
        <v>38</v>
      </c>
      <c r="K24" s="93" t="s">
        <v>161</v>
      </c>
      <c r="L24" s="93">
        <v>2</v>
      </c>
      <c r="N24" s="93">
        <v>4</v>
      </c>
      <c r="O24" s="93">
        <v>0.25</v>
      </c>
      <c r="P24" s="93">
        <v>0.25</v>
      </c>
      <c r="Q24" s="102">
        <f t="shared" si="0"/>
        <v>0.25</v>
      </c>
      <c r="R24" s="93">
        <v>15.7</v>
      </c>
      <c r="S24" s="93">
        <v>100</v>
      </c>
      <c r="T24" s="103">
        <f t="shared" si="1"/>
        <v>33</v>
      </c>
      <c r="U24" s="93">
        <v>498</v>
      </c>
      <c r="V24" s="104">
        <f t="shared" si="2"/>
        <v>4108.5</v>
      </c>
      <c r="W24" s="93">
        <v>3</v>
      </c>
      <c r="X24" s="93" t="s">
        <v>46</v>
      </c>
      <c r="Y24" s="93" t="s">
        <v>84</v>
      </c>
      <c r="Z24" s="93" t="s">
        <v>50</v>
      </c>
      <c r="AA24" s="93" t="s">
        <v>90</v>
      </c>
      <c r="AB24" s="93" t="s">
        <v>158</v>
      </c>
      <c r="AP24" s="115" t="s">
        <v>231</v>
      </c>
      <c r="AR24" s="111" t="s">
        <v>91</v>
      </c>
    </row>
    <row r="25" spans="1:48" x14ac:dyDescent="0.15">
      <c r="A25" s="93" t="s">
        <v>51</v>
      </c>
      <c r="B25" s="93" t="s">
        <v>157</v>
      </c>
      <c r="C25" s="93">
        <v>2019</v>
      </c>
      <c r="D25" s="101" t="s">
        <v>265</v>
      </c>
      <c r="E25" s="93" t="s">
        <v>274</v>
      </c>
      <c r="F25" s="93" t="s">
        <v>275</v>
      </c>
      <c r="G25" s="93" t="s">
        <v>36</v>
      </c>
      <c r="H25" s="93" t="s">
        <v>164</v>
      </c>
      <c r="I25" s="93" t="s">
        <v>159</v>
      </c>
      <c r="J25" s="93" t="s">
        <v>38</v>
      </c>
      <c r="K25" s="93" t="s">
        <v>161</v>
      </c>
      <c r="L25" s="93">
        <v>3</v>
      </c>
      <c r="N25" s="93">
        <v>4</v>
      </c>
      <c r="O25" s="93">
        <v>0.5</v>
      </c>
      <c r="P25" s="93">
        <v>0.25</v>
      </c>
      <c r="Q25" s="102">
        <f t="shared" si="0"/>
        <v>0.375</v>
      </c>
      <c r="R25" s="93">
        <v>16.600000000000001</v>
      </c>
      <c r="S25" s="93">
        <v>106</v>
      </c>
      <c r="T25" s="103">
        <f t="shared" si="1"/>
        <v>33</v>
      </c>
      <c r="U25" s="93">
        <v>498</v>
      </c>
      <c r="V25" s="104">
        <f t="shared" si="2"/>
        <v>4108.5</v>
      </c>
      <c r="W25" s="93">
        <v>3</v>
      </c>
      <c r="X25" s="93" t="s">
        <v>46</v>
      </c>
      <c r="Y25" s="93" t="s">
        <v>84</v>
      </c>
      <c r="Z25" s="93" t="s">
        <v>50</v>
      </c>
      <c r="AA25" s="93" t="s">
        <v>90</v>
      </c>
      <c r="AB25" s="93" t="s">
        <v>158</v>
      </c>
      <c r="AP25" s="115" t="s">
        <v>232</v>
      </c>
      <c r="AR25" s="115" t="s">
        <v>51</v>
      </c>
    </row>
    <row r="26" spans="1:48" x14ac:dyDescent="0.15">
      <c r="A26" s="93" t="s">
        <v>51</v>
      </c>
      <c r="B26" s="93" t="s">
        <v>157</v>
      </c>
      <c r="C26" s="93">
        <v>2019</v>
      </c>
      <c r="D26" s="101" t="s">
        <v>265</v>
      </c>
      <c r="E26" s="93" t="s">
        <v>211</v>
      </c>
      <c r="F26" s="93" t="s">
        <v>268</v>
      </c>
      <c r="G26" s="93" t="s">
        <v>42</v>
      </c>
      <c r="H26" s="93" t="s">
        <v>164</v>
      </c>
      <c r="I26" s="93" t="s">
        <v>159</v>
      </c>
      <c r="J26" s="93" t="s">
        <v>38</v>
      </c>
      <c r="K26" s="93" t="s">
        <v>161</v>
      </c>
      <c r="L26" s="93">
        <v>1</v>
      </c>
      <c r="N26" s="93">
        <v>1</v>
      </c>
      <c r="O26" s="93">
        <v>0.95</v>
      </c>
      <c r="P26" s="93">
        <v>0.9</v>
      </c>
      <c r="Q26" s="102">
        <f t="shared" si="0"/>
        <v>0.92500000000000004</v>
      </c>
      <c r="R26" s="93">
        <v>13.2</v>
      </c>
      <c r="S26" s="93">
        <v>116</v>
      </c>
      <c r="T26" s="103">
        <f t="shared" si="1"/>
        <v>30</v>
      </c>
      <c r="U26" s="93">
        <v>97</v>
      </c>
      <c r="V26" s="104">
        <f t="shared" si="2"/>
        <v>2910</v>
      </c>
      <c r="W26" s="93">
        <v>8</v>
      </c>
      <c r="X26" s="93" t="s">
        <v>46</v>
      </c>
      <c r="Y26" s="93" t="s">
        <v>84</v>
      </c>
      <c r="Z26" s="93" t="s">
        <v>90</v>
      </c>
      <c r="AA26" s="93" t="s">
        <v>50</v>
      </c>
      <c r="AB26" s="93" t="s">
        <v>158</v>
      </c>
      <c r="AP26" s="115" t="s">
        <v>233</v>
      </c>
      <c r="AR26" s="93" t="s">
        <v>234</v>
      </c>
    </row>
    <row r="27" spans="1:48" x14ac:dyDescent="0.15">
      <c r="A27" s="93" t="s">
        <v>51</v>
      </c>
      <c r="B27" s="93" t="s">
        <v>157</v>
      </c>
      <c r="C27" s="93">
        <v>2019</v>
      </c>
      <c r="D27" s="101" t="s">
        <v>265</v>
      </c>
      <c r="E27" s="93" t="s">
        <v>211</v>
      </c>
      <c r="F27" s="93" t="s">
        <v>268</v>
      </c>
      <c r="G27" s="93" t="s">
        <v>42</v>
      </c>
      <c r="H27" s="93" t="s">
        <v>164</v>
      </c>
      <c r="I27" s="93" t="s">
        <v>159</v>
      </c>
      <c r="J27" s="93" t="s">
        <v>38</v>
      </c>
      <c r="K27" s="93" t="s">
        <v>161</v>
      </c>
      <c r="L27" s="93">
        <v>2</v>
      </c>
      <c r="N27" s="93">
        <v>1</v>
      </c>
      <c r="O27" s="93">
        <v>0.85</v>
      </c>
      <c r="P27" s="93">
        <v>0.9</v>
      </c>
      <c r="Q27" s="102">
        <f t="shared" si="0"/>
        <v>0.875</v>
      </c>
      <c r="R27" s="93">
        <v>14.1</v>
      </c>
      <c r="S27" s="93">
        <v>122</v>
      </c>
      <c r="T27" s="103">
        <f t="shared" si="1"/>
        <v>27</v>
      </c>
      <c r="U27" s="93">
        <v>97</v>
      </c>
      <c r="V27" s="104">
        <f t="shared" si="2"/>
        <v>2619</v>
      </c>
      <c r="W27" s="93">
        <v>8</v>
      </c>
      <c r="X27" s="93" t="s">
        <v>46</v>
      </c>
      <c r="Y27" s="93" t="s">
        <v>84</v>
      </c>
      <c r="Z27" s="93" t="s">
        <v>90</v>
      </c>
      <c r="AA27" s="93" t="s">
        <v>50</v>
      </c>
      <c r="AB27" s="93" t="s">
        <v>158</v>
      </c>
      <c r="AP27" s="115" t="s">
        <v>235</v>
      </c>
    </row>
    <row r="28" spans="1:48" x14ac:dyDescent="0.15">
      <c r="A28" s="93" t="s">
        <v>51</v>
      </c>
      <c r="B28" s="93" t="s">
        <v>157</v>
      </c>
      <c r="C28" s="93">
        <v>2019</v>
      </c>
      <c r="D28" s="101" t="s">
        <v>265</v>
      </c>
      <c r="E28" s="93" t="s">
        <v>211</v>
      </c>
      <c r="F28" s="93" t="s">
        <v>268</v>
      </c>
      <c r="G28" s="93" t="s">
        <v>42</v>
      </c>
      <c r="H28" s="93" t="s">
        <v>164</v>
      </c>
      <c r="I28" s="93" t="s">
        <v>159</v>
      </c>
      <c r="J28" s="93" t="s">
        <v>38</v>
      </c>
      <c r="K28" s="93" t="s">
        <v>161</v>
      </c>
      <c r="L28" s="93">
        <v>3</v>
      </c>
      <c r="N28" s="93">
        <v>1</v>
      </c>
      <c r="O28" s="93">
        <v>0.9</v>
      </c>
      <c r="P28" s="93">
        <v>0.95</v>
      </c>
      <c r="Q28" s="102">
        <f t="shared" si="0"/>
        <v>0.92500000000000004</v>
      </c>
      <c r="R28" s="93">
        <v>14.5</v>
      </c>
      <c r="S28" s="93">
        <v>124</v>
      </c>
      <c r="T28" s="103">
        <f t="shared" si="1"/>
        <v>27</v>
      </c>
      <c r="U28" s="93">
        <v>97</v>
      </c>
      <c r="V28" s="104">
        <f t="shared" si="2"/>
        <v>2619</v>
      </c>
      <c r="W28" s="93">
        <v>8</v>
      </c>
      <c r="X28" s="93" t="s">
        <v>46</v>
      </c>
      <c r="Y28" s="93" t="s">
        <v>84</v>
      </c>
      <c r="Z28" s="93" t="s">
        <v>90</v>
      </c>
      <c r="AA28" s="93" t="s">
        <v>50</v>
      </c>
      <c r="AB28" s="93" t="s">
        <v>158</v>
      </c>
    </row>
    <row r="29" spans="1:48" x14ac:dyDescent="0.15">
      <c r="A29" s="93" t="s">
        <v>51</v>
      </c>
      <c r="B29" s="93" t="s">
        <v>157</v>
      </c>
      <c r="C29" s="93">
        <v>2019</v>
      </c>
      <c r="D29" s="101" t="s">
        <v>265</v>
      </c>
      <c r="E29" s="93" t="s">
        <v>211</v>
      </c>
      <c r="F29" s="93" t="s">
        <v>268</v>
      </c>
      <c r="G29" s="93" t="s">
        <v>42</v>
      </c>
      <c r="H29" s="93" t="s">
        <v>164</v>
      </c>
      <c r="I29" s="93" t="s">
        <v>159</v>
      </c>
      <c r="J29" s="93" t="s">
        <v>104</v>
      </c>
      <c r="K29" s="93" t="s">
        <v>210</v>
      </c>
      <c r="L29" s="93">
        <v>1</v>
      </c>
      <c r="N29" s="93">
        <v>4</v>
      </c>
      <c r="O29" s="93">
        <v>0.25</v>
      </c>
      <c r="P29" s="93">
        <v>0.5</v>
      </c>
      <c r="Q29" s="102">
        <f t="shared" si="0"/>
        <v>0.375</v>
      </c>
      <c r="R29" s="93">
        <v>14.7</v>
      </c>
      <c r="S29" s="93">
        <v>144</v>
      </c>
      <c r="T29" s="103">
        <f t="shared" si="1"/>
        <v>22</v>
      </c>
      <c r="U29" s="93">
        <v>298</v>
      </c>
      <c r="V29" s="104">
        <f t="shared" si="2"/>
        <v>1639</v>
      </c>
      <c r="W29" s="93">
        <v>8</v>
      </c>
      <c r="X29" s="93" t="s">
        <v>46</v>
      </c>
      <c r="Y29" s="93" t="s">
        <v>84</v>
      </c>
      <c r="Z29" s="93" t="s">
        <v>90</v>
      </c>
      <c r="AA29" s="93" t="s">
        <v>50</v>
      </c>
      <c r="AB29" s="93" t="s">
        <v>158</v>
      </c>
    </row>
    <row r="30" spans="1:48" x14ac:dyDescent="0.15">
      <c r="A30" s="93" t="s">
        <v>51</v>
      </c>
      <c r="B30" s="93" t="s">
        <v>157</v>
      </c>
      <c r="C30" s="93">
        <v>2019</v>
      </c>
      <c r="D30" s="101" t="s">
        <v>265</v>
      </c>
      <c r="E30" s="93" t="s">
        <v>211</v>
      </c>
      <c r="F30" s="93" t="s">
        <v>268</v>
      </c>
      <c r="G30" s="93" t="s">
        <v>42</v>
      </c>
      <c r="H30" s="93" t="s">
        <v>164</v>
      </c>
      <c r="I30" s="93" t="s">
        <v>159</v>
      </c>
      <c r="J30" s="93" t="s">
        <v>104</v>
      </c>
      <c r="K30" s="93" t="s">
        <v>210</v>
      </c>
      <c r="L30" s="93">
        <v>2</v>
      </c>
      <c r="N30" s="93">
        <v>4</v>
      </c>
      <c r="O30" s="93">
        <v>0.8</v>
      </c>
      <c r="P30" s="93">
        <v>0.75</v>
      </c>
      <c r="Q30" s="102">
        <f t="shared" si="0"/>
        <v>0.77500000000000002</v>
      </c>
      <c r="R30" s="93">
        <v>13.6</v>
      </c>
      <c r="S30" s="93">
        <v>110</v>
      </c>
      <c r="T30" s="103">
        <f t="shared" si="1"/>
        <v>33</v>
      </c>
      <c r="U30" s="93">
        <v>298</v>
      </c>
      <c r="V30" s="104">
        <f t="shared" si="2"/>
        <v>2458.5</v>
      </c>
      <c r="W30" s="93">
        <v>8</v>
      </c>
      <c r="X30" s="93" t="s">
        <v>46</v>
      </c>
      <c r="Y30" s="93" t="s">
        <v>84</v>
      </c>
      <c r="Z30" s="93" t="s">
        <v>90</v>
      </c>
      <c r="AA30" s="93" t="s">
        <v>50</v>
      </c>
      <c r="AB30" s="93" t="s">
        <v>158</v>
      </c>
    </row>
    <row r="31" spans="1:48" x14ac:dyDescent="0.15">
      <c r="A31" s="93" t="s">
        <v>51</v>
      </c>
      <c r="B31" s="93" t="s">
        <v>157</v>
      </c>
      <c r="C31" s="93">
        <v>2019</v>
      </c>
      <c r="D31" s="101" t="s">
        <v>265</v>
      </c>
      <c r="E31" s="93" t="s">
        <v>211</v>
      </c>
      <c r="F31" s="93" t="s">
        <v>268</v>
      </c>
      <c r="G31" s="93" t="s">
        <v>42</v>
      </c>
      <c r="H31" s="93" t="s">
        <v>164</v>
      </c>
      <c r="I31" s="93" t="s">
        <v>159</v>
      </c>
      <c r="J31" s="93" t="s">
        <v>104</v>
      </c>
      <c r="K31" s="93" t="s">
        <v>210</v>
      </c>
      <c r="L31" s="93">
        <v>3</v>
      </c>
      <c r="N31" s="93">
        <v>4</v>
      </c>
      <c r="O31" s="93">
        <v>0.7</v>
      </c>
      <c r="P31" s="93">
        <v>0.8</v>
      </c>
      <c r="Q31" s="102">
        <f t="shared" si="0"/>
        <v>0.75</v>
      </c>
      <c r="R31" s="93">
        <v>14.5</v>
      </c>
      <c r="S31" s="93">
        <v>140</v>
      </c>
      <c r="T31" s="103">
        <f t="shared" si="1"/>
        <v>22</v>
      </c>
      <c r="U31" s="93">
        <v>298</v>
      </c>
      <c r="V31" s="104">
        <f t="shared" si="2"/>
        <v>1639</v>
      </c>
      <c r="W31" s="93">
        <v>8</v>
      </c>
      <c r="X31" s="93" t="s">
        <v>46</v>
      </c>
      <c r="Y31" s="93" t="s">
        <v>84</v>
      </c>
      <c r="Z31" s="93" t="s">
        <v>90</v>
      </c>
      <c r="AA31" s="93" t="s">
        <v>50</v>
      </c>
      <c r="AB31" s="93" t="s">
        <v>158</v>
      </c>
    </row>
    <row r="32" spans="1:48" x14ac:dyDescent="0.15">
      <c r="A32" s="93" t="s">
        <v>51</v>
      </c>
      <c r="B32" s="93" t="s">
        <v>157</v>
      </c>
      <c r="C32" s="93">
        <v>2019</v>
      </c>
      <c r="D32" s="101" t="s">
        <v>265</v>
      </c>
      <c r="E32" s="93" t="s">
        <v>276</v>
      </c>
      <c r="F32" s="93" t="s">
        <v>268</v>
      </c>
      <c r="G32" s="93" t="s">
        <v>42</v>
      </c>
      <c r="H32" s="93" t="s">
        <v>164</v>
      </c>
      <c r="I32" s="93" t="s">
        <v>159</v>
      </c>
      <c r="J32" s="93" t="s">
        <v>38</v>
      </c>
      <c r="K32" s="93" t="s">
        <v>161</v>
      </c>
      <c r="L32" s="93">
        <v>1</v>
      </c>
      <c r="N32" s="93">
        <v>4</v>
      </c>
      <c r="O32" s="93">
        <v>0.7</v>
      </c>
      <c r="P32" s="93">
        <v>0.55000000000000004</v>
      </c>
      <c r="Q32" s="102">
        <f t="shared" si="0"/>
        <v>0.625</v>
      </c>
      <c r="R32" s="93">
        <v>16.399999999999999</v>
      </c>
      <c r="S32" s="93">
        <v>104</v>
      </c>
      <c r="T32" s="103">
        <f t="shared" si="1"/>
        <v>33</v>
      </c>
      <c r="U32" s="93">
        <v>298</v>
      </c>
      <c r="V32" s="104">
        <f t="shared" si="2"/>
        <v>2458.5</v>
      </c>
      <c r="W32" s="93">
        <v>8</v>
      </c>
      <c r="X32" s="93" t="s">
        <v>46</v>
      </c>
      <c r="Y32" s="93" t="s">
        <v>69</v>
      </c>
      <c r="Z32" s="93" t="s">
        <v>84</v>
      </c>
      <c r="AA32" s="93" t="s">
        <v>90</v>
      </c>
      <c r="AB32" s="93" t="s">
        <v>158</v>
      </c>
    </row>
    <row r="33" spans="1:28" x14ac:dyDescent="0.15">
      <c r="A33" s="93" t="s">
        <v>51</v>
      </c>
      <c r="B33" s="93" t="s">
        <v>157</v>
      </c>
      <c r="C33" s="93">
        <v>2019</v>
      </c>
      <c r="D33" s="101" t="s">
        <v>265</v>
      </c>
      <c r="E33" s="93" t="s">
        <v>276</v>
      </c>
      <c r="F33" s="93" t="s">
        <v>268</v>
      </c>
      <c r="G33" s="93" t="s">
        <v>42</v>
      </c>
      <c r="H33" s="93" t="s">
        <v>164</v>
      </c>
      <c r="I33" s="93" t="s">
        <v>159</v>
      </c>
      <c r="J33" s="93" t="s">
        <v>38</v>
      </c>
      <c r="K33" s="93" t="s">
        <v>161</v>
      </c>
      <c r="L33" s="93">
        <v>2</v>
      </c>
      <c r="N33" s="93">
        <v>4</v>
      </c>
      <c r="O33" s="93">
        <v>0.6</v>
      </c>
      <c r="P33" s="93">
        <v>0.75</v>
      </c>
      <c r="Q33" s="102">
        <f t="shared" si="0"/>
        <v>0.67500000000000004</v>
      </c>
      <c r="R33" s="93">
        <v>15.9</v>
      </c>
      <c r="S33" s="93">
        <v>94</v>
      </c>
      <c r="T33" s="103">
        <f t="shared" si="1"/>
        <v>36</v>
      </c>
      <c r="U33" s="93">
        <v>298</v>
      </c>
      <c r="V33" s="104">
        <f t="shared" si="2"/>
        <v>2682</v>
      </c>
      <c r="W33" s="93">
        <v>8</v>
      </c>
      <c r="X33" s="93" t="s">
        <v>46</v>
      </c>
      <c r="Y33" s="93" t="s">
        <v>69</v>
      </c>
      <c r="Z33" s="93" t="s">
        <v>84</v>
      </c>
      <c r="AA33" s="93" t="s">
        <v>90</v>
      </c>
      <c r="AB33" s="93" t="s">
        <v>158</v>
      </c>
    </row>
    <row r="34" spans="1:28" x14ac:dyDescent="0.15">
      <c r="A34" s="93" t="s">
        <v>51</v>
      </c>
      <c r="B34" s="93" t="s">
        <v>157</v>
      </c>
      <c r="C34" s="93">
        <v>2019</v>
      </c>
      <c r="D34" s="101" t="s">
        <v>265</v>
      </c>
      <c r="E34" s="93" t="s">
        <v>276</v>
      </c>
      <c r="F34" s="93" t="s">
        <v>268</v>
      </c>
      <c r="G34" s="93" t="s">
        <v>42</v>
      </c>
      <c r="H34" s="93" t="s">
        <v>164</v>
      </c>
      <c r="I34" s="93" t="s">
        <v>159</v>
      </c>
      <c r="J34" s="93" t="s">
        <v>38</v>
      </c>
      <c r="K34" s="93" t="s">
        <v>161</v>
      </c>
      <c r="L34" s="93">
        <v>3</v>
      </c>
      <c r="N34" s="93">
        <v>4</v>
      </c>
      <c r="O34" s="93">
        <v>0.7</v>
      </c>
      <c r="P34" s="93">
        <v>0.7</v>
      </c>
      <c r="Q34" s="102">
        <f t="shared" si="0"/>
        <v>0.7</v>
      </c>
      <c r="R34" s="93">
        <v>16.2</v>
      </c>
      <c r="S34" s="93">
        <v>100</v>
      </c>
      <c r="T34" s="103">
        <f t="shared" si="1"/>
        <v>33</v>
      </c>
      <c r="U34" s="93">
        <v>298</v>
      </c>
      <c r="V34" s="104">
        <f t="shared" si="2"/>
        <v>2458.5</v>
      </c>
      <c r="W34" s="93">
        <v>8</v>
      </c>
      <c r="X34" s="93" t="s">
        <v>46</v>
      </c>
      <c r="Y34" s="93" t="s">
        <v>69</v>
      </c>
      <c r="Z34" s="93" t="s">
        <v>84</v>
      </c>
      <c r="AA34" s="93" t="s">
        <v>90</v>
      </c>
      <c r="AB34" s="93" t="s">
        <v>158</v>
      </c>
    </row>
    <row r="35" spans="1:28" x14ac:dyDescent="0.15">
      <c r="A35" s="93" t="s">
        <v>51</v>
      </c>
      <c r="B35" s="93" t="s">
        <v>157</v>
      </c>
      <c r="C35" s="93">
        <v>2019</v>
      </c>
      <c r="D35" s="101" t="s">
        <v>265</v>
      </c>
      <c r="E35" s="93" t="s">
        <v>276</v>
      </c>
      <c r="F35" s="93" t="s">
        <v>268</v>
      </c>
      <c r="G35" s="93" t="s">
        <v>42</v>
      </c>
      <c r="H35" s="93" t="s">
        <v>164</v>
      </c>
      <c r="I35" s="93" t="s">
        <v>198</v>
      </c>
      <c r="J35" s="93" t="s">
        <v>38</v>
      </c>
      <c r="K35" s="93" t="s">
        <v>161</v>
      </c>
      <c r="L35" s="93">
        <v>1</v>
      </c>
      <c r="N35" s="93">
        <v>4</v>
      </c>
      <c r="O35" s="93">
        <v>0.9</v>
      </c>
      <c r="P35" s="93">
        <v>0.8</v>
      </c>
      <c r="Q35" s="102">
        <f t="shared" si="0"/>
        <v>0.85000000000000009</v>
      </c>
      <c r="R35" s="93">
        <v>15.3</v>
      </c>
      <c r="S35" s="93">
        <v>102</v>
      </c>
      <c r="T35" s="103">
        <f t="shared" si="1"/>
        <v>33</v>
      </c>
      <c r="U35" s="93">
        <v>398</v>
      </c>
      <c r="V35" s="104">
        <f t="shared" si="2"/>
        <v>3283.5</v>
      </c>
      <c r="W35" s="93">
        <v>8</v>
      </c>
      <c r="X35" s="93" t="s">
        <v>46</v>
      </c>
      <c r="Y35" s="93" t="s">
        <v>69</v>
      </c>
      <c r="Z35" s="93" t="s">
        <v>84</v>
      </c>
      <c r="AA35" s="93" t="s">
        <v>90</v>
      </c>
      <c r="AB35" s="93" t="s">
        <v>158</v>
      </c>
    </row>
    <row r="36" spans="1:28" x14ac:dyDescent="0.15">
      <c r="A36" s="93" t="s">
        <v>51</v>
      </c>
      <c r="B36" s="93" t="s">
        <v>157</v>
      </c>
      <c r="C36" s="93">
        <v>2019</v>
      </c>
      <c r="D36" s="101" t="s">
        <v>265</v>
      </c>
      <c r="E36" s="93" t="s">
        <v>276</v>
      </c>
      <c r="F36" s="93" t="s">
        <v>268</v>
      </c>
      <c r="G36" s="93" t="s">
        <v>42</v>
      </c>
      <c r="H36" s="93" t="s">
        <v>164</v>
      </c>
      <c r="I36" s="93" t="s">
        <v>198</v>
      </c>
      <c r="J36" s="93" t="s">
        <v>38</v>
      </c>
      <c r="K36" s="93" t="s">
        <v>161</v>
      </c>
      <c r="L36" s="93">
        <v>2</v>
      </c>
      <c r="N36" s="93">
        <v>4</v>
      </c>
      <c r="O36" s="93">
        <v>0.85</v>
      </c>
      <c r="P36" s="93">
        <v>0.95</v>
      </c>
      <c r="Q36" s="102">
        <f t="shared" si="0"/>
        <v>0.89999999999999991</v>
      </c>
      <c r="R36" s="93">
        <v>14.4</v>
      </c>
      <c r="S36" s="93">
        <v>95</v>
      </c>
      <c r="T36" s="103">
        <f t="shared" si="1"/>
        <v>36</v>
      </c>
      <c r="U36" s="93">
        <v>398</v>
      </c>
      <c r="V36" s="104">
        <f t="shared" si="2"/>
        <v>3582</v>
      </c>
      <c r="W36" s="93">
        <v>8</v>
      </c>
      <c r="X36" s="93" t="s">
        <v>46</v>
      </c>
      <c r="Y36" s="93" t="s">
        <v>69</v>
      </c>
      <c r="Z36" s="93" t="s">
        <v>84</v>
      </c>
      <c r="AA36" s="93" t="s">
        <v>90</v>
      </c>
      <c r="AB36" s="93" t="s">
        <v>158</v>
      </c>
    </row>
    <row r="37" spans="1:28" x14ac:dyDescent="0.15">
      <c r="A37" s="93" t="s">
        <v>51</v>
      </c>
      <c r="B37" s="93" t="s">
        <v>157</v>
      </c>
      <c r="C37" s="93">
        <v>2019</v>
      </c>
      <c r="D37" s="101" t="s">
        <v>265</v>
      </c>
      <c r="E37" s="93" t="s">
        <v>276</v>
      </c>
      <c r="F37" s="93" t="s">
        <v>268</v>
      </c>
      <c r="G37" s="93" t="s">
        <v>42</v>
      </c>
      <c r="H37" s="93" t="s">
        <v>164</v>
      </c>
      <c r="I37" s="93" t="s">
        <v>198</v>
      </c>
      <c r="J37" s="93" t="s">
        <v>38</v>
      </c>
      <c r="K37" s="93" t="s">
        <v>161</v>
      </c>
      <c r="L37" s="93">
        <v>3</v>
      </c>
      <c r="N37" s="93">
        <v>4</v>
      </c>
      <c r="O37" s="93">
        <v>0.75</v>
      </c>
      <c r="P37" s="93">
        <v>0.85</v>
      </c>
      <c r="Q37" s="102">
        <f t="shared" si="0"/>
        <v>0.8</v>
      </c>
      <c r="R37" s="93">
        <v>15.6</v>
      </c>
      <c r="S37" s="93">
        <v>106</v>
      </c>
      <c r="T37" s="103">
        <f t="shared" si="1"/>
        <v>33</v>
      </c>
      <c r="U37" s="93">
        <v>398</v>
      </c>
      <c r="V37" s="104">
        <f t="shared" si="2"/>
        <v>3283.5</v>
      </c>
      <c r="W37" s="93">
        <v>8</v>
      </c>
      <c r="X37" s="93" t="s">
        <v>46</v>
      </c>
      <c r="Y37" s="93" t="s">
        <v>69</v>
      </c>
      <c r="Z37" s="93" t="s">
        <v>84</v>
      </c>
      <c r="AA37" s="93" t="s">
        <v>90</v>
      </c>
      <c r="AB37" s="93" t="s">
        <v>158</v>
      </c>
    </row>
    <row r="38" spans="1:28" x14ac:dyDescent="0.15">
      <c r="A38" s="93" t="s">
        <v>51</v>
      </c>
      <c r="B38" s="93" t="s">
        <v>157</v>
      </c>
      <c r="C38" s="93">
        <v>2019</v>
      </c>
      <c r="D38" s="101" t="s">
        <v>265</v>
      </c>
      <c r="E38" s="93" t="s">
        <v>276</v>
      </c>
      <c r="F38" s="93" t="s">
        <v>268</v>
      </c>
      <c r="G38" s="93" t="s">
        <v>42</v>
      </c>
      <c r="H38" s="93" t="s">
        <v>160</v>
      </c>
      <c r="I38" s="93" t="s">
        <v>159</v>
      </c>
      <c r="J38" s="93" t="s">
        <v>38</v>
      </c>
      <c r="K38" s="93" t="s">
        <v>161</v>
      </c>
      <c r="L38" s="93">
        <v>1</v>
      </c>
      <c r="N38" s="93">
        <v>4</v>
      </c>
      <c r="O38" s="93">
        <v>0.65</v>
      </c>
      <c r="P38" s="93">
        <v>0.7</v>
      </c>
      <c r="Q38" s="102">
        <f t="shared" si="0"/>
        <v>0.67500000000000004</v>
      </c>
      <c r="R38" s="93">
        <v>16.600000000000001</v>
      </c>
      <c r="S38" s="93">
        <v>106</v>
      </c>
      <c r="T38" s="103">
        <f t="shared" si="1"/>
        <v>33</v>
      </c>
      <c r="U38" s="93">
        <v>498</v>
      </c>
      <c r="V38" s="104">
        <f t="shared" si="2"/>
        <v>4108.5</v>
      </c>
      <c r="W38" s="93">
        <v>8</v>
      </c>
      <c r="X38" s="93" t="s">
        <v>46</v>
      </c>
      <c r="Y38" s="93" t="s">
        <v>69</v>
      </c>
      <c r="Z38" s="93" t="s">
        <v>84</v>
      </c>
      <c r="AA38" s="93" t="s">
        <v>90</v>
      </c>
      <c r="AB38" s="93" t="s">
        <v>158</v>
      </c>
    </row>
    <row r="39" spans="1:28" x14ac:dyDescent="0.15">
      <c r="A39" s="93" t="s">
        <v>51</v>
      </c>
      <c r="B39" s="93" t="s">
        <v>157</v>
      </c>
      <c r="C39" s="93">
        <v>2019</v>
      </c>
      <c r="D39" s="101" t="s">
        <v>265</v>
      </c>
      <c r="E39" s="93" t="s">
        <v>276</v>
      </c>
      <c r="F39" s="93" t="s">
        <v>268</v>
      </c>
      <c r="G39" s="93" t="s">
        <v>42</v>
      </c>
      <c r="H39" s="93" t="s">
        <v>160</v>
      </c>
      <c r="I39" s="93" t="s">
        <v>159</v>
      </c>
      <c r="J39" s="93" t="s">
        <v>38</v>
      </c>
      <c r="K39" s="93" t="s">
        <v>161</v>
      </c>
      <c r="L39" s="93">
        <v>2</v>
      </c>
      <c r="N39" s="93">
        <v>4</v>
      </c>
      <c r="O39" s="93">
        <v>0.6</v>
      </c>
      <c r="P39" s="93">
        <v>0.55000000000000004</v>
      </c>
      <c r="Q39" s="102">
        <f t="shared" si="0"/>
        <v>0.57499999999999996</v>
      </c>
      <c r="R39" s="93">
        <v>16.399999999999999</v>
      </c>
      <c r="S39" s="93">
        <v>104</v>
      </c>
      <c r="T39" s="103">
        <f t="shared" si="1"/>
        <v>33</v>
      </c>
      <c r="U39" s="93">
        <v>498</v>
      </c>
      <c r="V39" s="104">
        <f t="shared" si="2"/>
        <v>4108.5</v>
      </c>
      <c r="W39" s="93">
        <v>8</v>
      </c>
      <c r="X39" s="93" t="s">
        <v>46</v>
      </c>
      <c r="Y39" s="93" t="s">
        <v>69</v>
      </c>
      <c r="Z39" s="93" t="s">
        <v>84</v>
      </c>
      <c r="AA39" s="93" t="s">
        <v>90</v>
      </c>
      <c r="AB39" s="93" t="s">
        <v>158</v>
      </c>
    </row>
    <row r="40" spans="1:28" x14ac:dyDescent="0.15">
      <c r="A40" s="93" t="s">
        <v>51</v>
      </c>
      <c r="B40" s="93" t="s">
        <v>157</v>
      </c>
      <c r="C40" s="93">
        <v>2019</v>
      </c>
      <c r="D40" s="101" t="s">
        <v>265</v>
      </c>
      <c r="E40" s="93" t="s">
        <v>276</v>
      </c>
      <c r="F40" s="93" t="s">
        <v>268</v>
      </c>
      <c r="G40" s="93" t="s">
        <v>42</v>
      </c>
      <c r="H40" s="93" t="s">
        <v>160</v>
      </c>
      <c r="I40" s="93" t="s">
        <v>159</v>
      </c>
      <c r="J40" s="93" t="s">
        <v>38</v>
      </c>
      <c r="K40" s="93" t="s">
        <v>161</v>
      </c>
      <c r="L40" s="93">
        <v>3</v>
      </c>
      <c r="N40" s="93">
        <v>4</v>
      </c>
      <c r="O40" s="93">
        <v>0.65</v>
      </c>
      <c r="P40" s="93">
        <v>0.65</v>
      </c>
      <c r="Q40" s="102">
        <f t="shared" si="0"/>
        <v>0.65</v>
      </c>
      <c r="R40" s="93">
        <v>16.899999999999999</v>
      </c>
      <c r="S40" s="93">
        <v>108</v>
      </c>
      <c r="T40" s="103">
        <f t="shared" si="1"/>
        <v>33</v>
      </c>
      <c r="U40" s="93">
        <v>498</v>
      </c>
      <c r="V40" s="104">
        <f t="shared" si="2"/>
        <v>4108.5</v>
      </c>
      <c r="W40" s="93">
        <v>8</v>
      </c>
      <c r="X40" s="93" t="s">
        <v>46</v>
      </c>
      <c r="Y40" s="93" t="s">
        <v>69</v>
      </c>
      <c r="Z40" s="93" t="s">
        <v>84</v>
      </c>
      <c r="AA40" s="93" t="s">
        <v>90</v>
      </c>
      <c r="AB40" s="93" t="s">
        <v>158</v>
      </c>
    </row>
    <row r="41" spans="1:28" x14ac:dyDescent="0.15">
      <c r="A41" s="93" t="s">
        <v>51</v>
      </c>
      <c r="B41" s="93" t="s">
        <v>157</v>
      </c>
      <c r="C41" s="93">
        <v>2019</v>
      </c>
      <c r="D41" s="101" t="s">
        <v>265</v>
      </c>
      <c r="E41" s="93" t="s">
        <v>276</v>
      </c>
      <c r="F41" s="93" t="s">
        <v>268</v>
      </c>
      <c r="G41" s="93" t="s">
        <v>42</v>
      </c>
      <c r="H41" s="93" t="s">
        <v>160</v>
      </c>
      <c r="I41" s="93" t="s">
        <v>159</v>
      </c>
      <c r="J41" s="93" t="s">
        <v>38</v>
      </c>
      <c r="K41" s="93" t="s">
        <v>213</v>
      </c>
      <c r="L41" s="93">
        <v>1</v>
      </c>
      <c r="N41" s="93">
        <v>4</v>
      </c>
      <c r="O41" s="93">
        <v>0.85</v>
      </c>
      <c r="P41" s="93">
        <v>1</v>
      </c>
      <c r="Q41" s="102">
        <f t="shared" si="0"/>
        <v>0.92500000000000004</v>
      </c>
      <c r="R41" s="93">
        <v>15.4</v>
      </c>
      <c r="S41" s="93">
        <v>100</v>
      </c>
      <c r="T41" s="103">
        <f t="shared" si="1"/>
        <v>33</v>
      </c>
      <c r="U41" s="93">
        <v>498</v>
      </c>
      <c r="V41" s="104">
        <f t="shared" si="2"/>
        <v>4108.5</v>
      </c>
      <c r="W41" s="93">
        <v>8</v>
      </c>
      <c r="X41" s="93" t="s">
        <v>46</v>
      </c>
      <c r="Y41" s="93" t="s">
        <v>69</v>
      </c>
      <c r="Z41" s="93" t="s">
        <v>84</v>
      </c>
      <c r="AA41" s="93" t="s">
        <v>90</v>
      </c>
      <c r="AB41" s="93" t="s">
        <v>158</v>
      </c>
    </row>
    <row r="42" spans="1:28" x14ac:dyDescent="0.15">
      <c r="A42" s="93" t="s">
        <v>51</v>
      </c>
      <c r="B42" s="93" t="s">
        <v>157</v>
      </c>
      <c r="C42" s="93">
        <v>2019</v>
      </c>
      <c r="D42" s="101" t="s">
        <v>265</v>
      </c>
      <c r="E42" s="93" t="s">
        <v>276</v>
      </c>
      <c r="F42" s="93" t="s">
        <v>268</v>
      </c>
      <c r="G42" s="93" t="s">
        <v>42</v>
      </c>
      <c r="H42" s="93" t="s">
        <v>160</v>
      </c>
      <c r="I42" s="93" t="s">
        <v>159</v>
      </c>
      <c r="J42" s="93" t="s">
        <v>38</v>
      </c>
      <c r="K42" s="93" t="s">
        <v>213</v>
      </c>
      <c r="L42" s="93">
        <v>2</v>
      </c>
      <c r="N42" s="93">
        <v>4</v>
      </c>
      <c r="O42" s="93">
        <v>0.9</v>
      </c>
      <c r="P42" s="93">
        <v>0.85</v>
      </c>
      <c r="Q42" s="102">
        <f t="shared" si="0"/>
        <v>0.875</v>
      </c>
      <c r="R42" s="93">
        <v>15.8</v>
      </c>
      <c r="S42" s="93">
        <v>100</v>
      </c>
      <c r="T42" s="103">
        <f t="shared" si="1"/>
        <v>33</v>
      </c>
      <c r="U42" s="93">
        <v>498</v>
      </c>
      <c r="V42" s="104">
        <f t="shared" si="2"/>
        <v>4108.5</v>
      </c>
      <c r="W42" s="93">
        <v>8</v>
      </c>
      <c r="X42" s="93" t="s">
        <v>46</v>
      </c>
      <c r="Y42" s="93" t="s">
        <v>69</v>
      </c>
      <c r="Z42" s="93" t="s">
        <v>84</v>
      </c>
      <c r="AA42" s="93" t="s">
        <v>90</v>
      </c>
      <c r="AB42" s="93" t="s">
        <v>158</v>
      </c>
    </row>
    <row r="43" spans="1:28" x14ac:dyDescent="0.15">
      <c r="A43" s="93" t="s">
        <v>51</v>
      </c>
      <c r="B43" s="93" t="s">
        <v>157</v>
      </c>
      <c r="C43" s="93">
        <v>2019</v>
      </c>
      <c r="D43" s="101" t="s">
        <v>265</v>
      </c>
      <c r="E43" s="93" t="s">
        <v>276</v>
      </c>
      <c r="F43" s="93" t="s">
        <v>268</v>
      </c>
      <c r="G43" s="93" t="s">
        <v>42</v>
      </c>
      <c r="H43" s="93" t="s">
        <v>160</v>
      </c>
      <c r="I43" s="93" t="s">
        <v>159</v>
      </c>
      <c r="J43" s="93" t="s">
        <v>38</v>
      </c>
      <c r="K43" s="93" t="s">
        <v>213</v>
      </c>
      <c r="L43" s="93">
        <v>3</v>
      </c>
      <c r="N43" s="93">
        <v>4</v>
      </c>
      <c r="O43" s="93">
        <v>0.8</v>
      </c>
      <c r="P43" s="93">
        <v>0.8</v>
      </c>
      <c r="Q43" s="102">
        <f t="shared" si="0"/>
        <v>0.8</v>
      </c>
      <c r="R43" s="93">
        <v>16</v>
      </c>
      <c r="S43" s="93">
        <v>104</v>
      </c>
      <c r="T43" s="103">
        <f t="shared" si="1"/>
        <v>33</v>
      </c>
      <c r="U43" s="93">
        <v>498</v>
      </c>
      <c r="V43" s="104">
        <f t="shared" si="2"/>
        <v>4108.5</v>
      </c>
      <c r="W43" s="93">
        <v>8</v>
      </c>
      <c r="X43" s="93" t="s">
        <v>46</v>
      </c>
      <c r="Y43" s="93" t="s">
        <v>69</v>
      </c>
      <c r="Z43" s="93" t="s">
        <v>84</v>
      </c>
      <c r="AA43" s="93" t="s">
        <v>90</v>
      </c>
      <c r="AB43" s="93" t="s">
        <v>158</v>
      </c>
    </row>
    <row r="44" spans="1:28" x14ac:dyDescent="0.15">
      <c r="A44" s="93" t="s">
        <v>51</v>
      </c>
      <c r="B44" s="93" t="s">
        <v>157</v>
      </c>
      <c r="C44" s="93">
        <v>2019</v>
      </c>
      <c r="D44" s="101" t="s">
        <v>265</v>
      </c>
      <c r="E44" s="93" t="s">
        <v>271</v>
      </c>
      <c r="F44" s="93" t="s">
        <v>272</v>
      </c>
      <c r="G44" s="93" t="s">
        <v>42</v>
      </c>
      <c r="H44" s="93" t="s">
        <v>164</v>
      </c>
      <c r="I44" s="93" t="s">
        <v>159</v>
      </c>
      <c r="J44" s="93" t="s">
        <v>38</v>
      </c>
      <c r="K44" s="93" t="s">
        <v>161</v>
      </c>
      <c r="L44" s="93">
        <v>1</v>
      </c>
      <c r="N44" s="93">
        <v>1</v>
      </c>
      <c r="O44" s="93">
        <v>0.7</v>
      </c>
      <c r="P44" s="93">
        <v>0.6</v>
      </c>
      <c r="Q44" s="102">
        <f t="shared" si="0"/>
        <v>0.64999999999999991</v>
      </c>
      <c r="R44" s="93">
        <v>16.7</v>
      </c>
      <c r="S44" s="93">
        <v>134</v>
      </c>
      <c r="T44" s="103">
        <f t="shared" si="1"/>
        <v>25</v>
      </c>
      <c r="U44" s="93">
        <v>99</v>
      </c>
      <c r="V44" s="104">
        <f t="shared" si="2"/>
        <v>2475</v>
      </c>
      <c r="W44" s="93">
        <v>1</v>
      </c>
      <c r="X44" s="93" t="s">
        <v>39</v>
      </c>
      <c r="Y44" s="93" t="s">
        <v>69</v>
      </c>
      <c r="Z44" s="93" t="s">
        <v>90</v>
      </c>
      <c r="AA44" s="93" t="s">
        <v>84</v>
      </c>
      <c r="AB44" s="93" t="s">
        <v>158</v>
      </c>
    </row>
    <row r="45" spans="1:28" x14ac:dyDescent="0.15">
      <c r="A45" s="93" t="s">
        <v>51</v>
      </c>
      <c r="B45" s="93" t="s">
        <v>157</v>
      </c>
      <c r="C45" s="93">
        <v>2019</v>
      </c>
      <c r="D45" s="101" t="s">
        <v>265</v>
      </c>
      <c r="E45" s="93" t="s">
        <v>271</v>
      </c>
      <c r="F45" s="93" t="s">
        <v>272</v>
      </c>
      <c r="G45" s="93" t="s">
        <v>42</v>
      </c>
      <c r="H45" s="93" t="s">
        <v>164</v>
      </c>
      <c r="I45" s="93" t="s">
        <v>159</v>
      </c>
      <c r="J45" s="93" t="s">
        <v>38</v>
      </c>
      <c r="K45" s="93" t="s">
        <v>161</v>
      </c>
      <c r="L45" s="93">
        <v>2</v>
      </c>
      <c r="N45" s="93">
        <v>1</v>
      </c>
      <c r="O45" s="93">
        <v>0.7</v>
      </c>
      <c r="P45" s="93">
        <v>0.7</v>
      </c>
      <c r="Q45" s="102">
        <f t="shared" si="0"/>
        <v>0.7</v>
      </c>
      <c r="R45" s="93">
        <v>16.399999999999999</v>
      </c>
      <c r="S45" s="93">
        <v>134</v>
      </c>
      <c r="T45" s="103">
        <f t="shared" si="1"/>
        <v>25</v>
      </c>
      <c r="U45" s="93">
        <v>99</v>
      </c>
      <c r="V45" s="104">
        <f t="shared" si="2"/>
        <v>2475</v>
      </c>
      <c r="W45" s="93">
        <v>1</v>
      </c>
      <c r="X45" s="93" t="s">
        <v>39</v>
      </c>
      <c r="Y45" s="93" t="s">
        <v>69</v>
      </c>
      <c r="Z45" s="93" t="s">
        <v>90</v>
      </c>
      <c r="AA45" s="93" t="s">
        <v>84</v>
      </c>
      <c r="AB45" s="93" t="s">
        <v>158</v>
      </c>
    </row>
    <row r="46" spans="1:28" x14ac:dyDescent="0.15">
      <c r="A46" s="93" t="s">
        <v>51</v>
      </c>
      <c r="B46" s="93" t="s">
        <v>157</v>
      </c>
      <c r="C46" s="93">
        <v>2019</v>
      </c>
      <c r="D46" s="101" t="s">
        <v>265</v>
      </c>
      <c r="E46" s="93" t="s">
        <v>271</v>
      </c>
      <c r="F46" s="93" t="s">
        <v>272</v>
      </c>
      <c r="G46" s="93" t="s">
        <v>42</v>
      </c>
      <c r="H46" s="93" t="s">
        <v>164</v>
      </c>
      <c r="I46" s="93" t="s">
        <v>159</v>
      </c>
      <c r="J46" s="93" t="s">
        <v>38</v>
      </c>
      <c r="K46" s="93" t="s">
        <v>161</v>
      </c>
      <c r="L46" s="93">
        <v>3</v>
      </c>
      <c r="N46" s="93">
        <v>1</v>
      </c>
      <c r="O46" s="93">
        <v>0.65</v>
      </c>
      <c r="P46" s="93">
        <v>0.65</v>
      </c>
      <c r="Q46" s="102">
        <f t="shared" si="0"/>
        <v>0.65</v>
      </c>
      <c r="R46" s="93">
        <v>16.100000000000001</v>
      </c>
      <c r="S46" s="93">
        <v>132</v>
      </c>
      <c r="T46" s="103">
        <f t="shared" si="1"/>
        <v>25</v>
      </c>
      <c r="U46" s="93">
        <v>99</v>
      </c>
      <c r="V46" s="104">
        <f t="shared" si="2"/>
        <v>2475</v>
      </c>
      <c r="W46" s="93">
        <v>1</v>
      </c>
      <c r="X46" s="93" t="s">
        <v>39</v>
      </c>
      <c r="Y46" s="93" t="s">
        <v>69</v>
      </c>
      <c r="Z46" s="93" t="s">
        <v>90</v>
      </c>
      <c r="AA46" s="93" t="s">
        <v>84</v>
      </c>
      <c r="AB46" s="93" t="s">
        <v>158</v>
      </c>
    </row>
    <row r="47" spans="1:28" x14ac:dyDescent="0.15">
      <c r="A47" s="93" t="s">
        <v>51</v>
      </c>
      <c r="B47" s="93" t="s">
        <v>157</v>
      </c>
      <c r="C47" s="93">
        <v>2019</v>
      </c>
      <c r="D47" s="101" t="s">
        <v>265</v>
      </c>
      <c r="E47" s="93" t="s">
        <v>273</v>
      </c>
      <c r="F47" s="93" t="s">
        <v>267</v>
      </c>
      <c r="G47" s="93" t="s">
        <v>36</v>
      </c>
      <c r="H47" s="93" t="s">
        <v>164</v>
      </c>
      <c r="I47" s="93" t="s">
        <v>159</v>
      </c>
      <c r="J47" s="93" t="s">
        <v>38</v>
      </c>
      <c r="K47" s="93" t="s">
        <v>161</v>
      </c>
      <c r="L47" s="93">
        <v>1</v>
      </c>
      <c r="N47" s="93">
        <v>1</v>
      </c>
      <c r="O47" s="93">
        <v>0.65</v>
      </c>
      <c r="P47" s="93">
        <v>0.75</v>
      </c>
      <c r="Q47" s="102">
        <f t="shared" si="0"/>
        <v>0.7</v>
      </c>
      <c r="R47" s="93">
        <v>15.8</v>
      </c>
      <c r="S47" s="93">
        <v>114</v>
      </c>
      <c r="T47" s="103">
        <f t="shared" si="1"/>
        <v>30</v>
      </c>
      <c r="U47" s="93">
        <v>89</v>
      </c>
      <c r="V47" s="104">
        <f t="shared" si="2"/>
        <v>2670</v>
      </c>
      <c r="W47" s="93">
        <v>1</v>
      </c>
      <c r="X47" s="93" t="s">
        <v>46</v>
      </c>
      <c r="Y47" s="93" t="s">
        <v>84</v>
      </c>
      <c r="Z47" s="93" t="s">
        <v>69</v>
      </c>
      <c r="AA47" s="93" t="s">
        <v>90</v>
      </c>
      <c r="AB47" s="93" t="s">
        <v>158</v>
      </c>
    </row>
    <row r="48" spans="1:28" x14ac:dyDescent="0.15">
      <c r="A48" s="93" t="s">
        <v>51</v>
      </c>
      <c r="B48" s="93" t="s">
        <v>157</v>
      </c>
      <c r="C48" s="93">
        <v>2019</v>
      </c>
      <c r="D48" s="101" t="s">
        <v>265</v>
      </c>
      <c r="E48" s="93" t="s">
        <v>273</v>
      </c>
      <c r="F48" s="93" t="s">
        <v>267</v>
      </c>
      <c r="G48" s="93" t="s">
        <v>36</v>
      </c>
      <c r="H48" s="93" t="s">
        <v>164</v>
      </c>
      <c r="I48" s="93" t="s">
        <v>159</v>
      </c>
      <c r="J48" s="93" t="s">
        <v>38</v>
      </c>
      <c r="K48" s="93" t="s">
        <v>161</v>
      </c>
      <c r="L48" s="93">
        <v>2</v>
      </c>
      <c r="N48" s="93">
        <v>1</v>
      </c>
      <c r="O48" s="93">
        <v>0.7</v>
      </c>
      <c r="P48" s="93">
        <v>0.7</v>
      </c>
      <c r="Q48" s="102">
        <f t="shared" si="0"/>
        <v>0.7</v>
      </c>
      <c r="R48" s="93">
        <v>15.5</v>
      </c>
      <c r="S48" s="93">
        <v>108</v>
      </c>
      <c r="T48" s="103">
        <f t="shared" si="1"/>
        <v>33</v>
      </c>
      <c r="U48" s="93">
        <v>89</v>
      </c>
      <c r="V48" s="104">
        <f t="shared" si="2"/>
        <v>2937</v>
      </c>
      <c r="W48" s="93">
        <v>1</v>
      </c>
      <c r="X48" s="93" t="s">
        <v>46</v>
      </c>
      <c r="Y48" s="93" t="s">
        <v>84</v>
      </c>
      <c r="Z48" s="93" t="s">
        <v>69</v>
      </c>
      <c r="AA48" s="93" t="s">
        <v>90</v>
      </c>
      <c r="AB48" s="93" t="s">
        <v>158</v>
      </c>
    </row>
    <row r="49" spans="1:28" x14ac:dyDescent="0.15">
      <c r="A49" s="93" t="s">
        <v>51</v>
      </c>
      <c r="B49" s="93" t="s">
        <v>157</v>
      </c>
      <c r="C49" s="93">
        <v>2019</v>
      </c>
      <c r="D49" s="101" t="s">
        <v>265</v>
      </c>
      <c r="E49" s="93" t="s">
        <v>273</v>
      </c>
      <c r="F49" s="93" t="s">
        <v>267</v>
      </c>
      <c r="G49" s="93" t="s">
        <v>36</v>
      </c>
      <c r="H49" s="93" t="s">
        <v>164</v>
      </c>
      <c r="I49" s="93" t="s">
        <v>159</v>
      </c>
      <c r="J49" s="93" t="s">
        <v>38</v>
      </c>
      <c r="K49" s="93" t="s">
        <v>161</v>
      </c>
      <c r="L49" s="93">
        <v>3</v>
      </c>
      <c r="N49" s="93">
        <v>1</v>
      </c>
      <c r="O49" s="93">
        <v>0.7</v>
      </c>
      <c r="P49" s="93">
        <v>0.6</v>
      </c>
      <c r="Q49" s="102">
        <f t="shared" si="0"/>
        <v>0.64999999999999991</v>
      </c>
      <c r="R49" s="93">
        <v>16.100000000000001</v>
      </c>
      <c r="S49" s="93">
        <v>116</v>
      </c>
      <c r="T49" s="103">
        <f t="shared" si="1"/>
        <v>30</v>
      </c>
      <c r="U49" s="93">
        <v>89</v>
      </c>
      <c r="V49" s="104">
        <f t="shared" si="2"/>
        <v>2670</v>
      </c>
      <c r="W49" s="93">
        <v>1</v>
      </c>
      <c r="X49" s="93" t="s">
        <v>46</v>
      </c>
      <c r="Y49" s="93" t="s">
        <v>84</v>
      </c>
      <c r="Z49" s="93" t="s">
        <v>69</v>
      </c>
      <c r="AA49" s="93" t="s">
        <v>90</v>
      </c>
      <c r="AB49" s="93" t="s">
        <v>158</v>
      </c>
    </row>
    <row r="50" spans="1:28" x14ac:dyDescent="0.15">
      <c r="A50" s="93" t="s">
        <v>51</v>
      </c>
      <c r="B50" s="93" t="s">
        <v>157</v>
      </c>
      <c r="C50" s="93">
        <v>2019</v>
      </c>
      <c r="D50" s="101" t="s">
        <v>265</v>
      </c>
      <c r="E50" s="93" t="s">
        <v>277</v>
      </c>
      <c r="F50" s="93" t="s">
        <v>278</v>
      </c>
      <c r="G50" s="93" t="s">
        <v>36</v>
      </c>
      <c r="H50" s="93" t="s">
        <v>164</v>
      </c>
      <c r="I50" s="93" t="s">
        <v>159</v>
      </c>
      <c r="J50" s="93" t="s">
        <v>38</v>
      </c>
      <c r="K50" s="93" t="s">
        <v>161</v>
      </c>
      <c r="L50" s="93">
        <v>1</v>
      </c>
      <c r="N50" s="93">
        <v>1</v>
      </c>
      <c r="O50" s="93">
        <v>0.8</v>
      </c>
      <c r="P50" s="93">
        <v>0.75</v>
      </c>
      <c r="Q50" s="102">
        <f t="shared" si="0"/>
        <v>0.77500000000000002</v>
      </c>
      <c r="R50" s="93">
        <v>16.7</v>
      </c>
      <c r="S50" s="93">
        <v>138</v>
      </c>
      <c r="T50" s="103">
        <f t="shared" si="1"/>
        <v>22</v>
      </c>
      <c r="U50" s="93">
        <v>128</v>
      </c>
      <c r="V50" s="104">
        <f t="shared" si="2"/>
        <v>2816</v>
      </c>
      <c r="W50" s="93">
        <v>4</v>
      </c>
      <c r="X50" s="93" t="s">
        <v>39</v>
      </c>
      <c r="Y50" s="93" t="s">
        <v>84</v>
      </c>
      <c r="Z50" s="93" t="s">
        <v>69</v>
      </c>
      <c r="AA50" s="93" t="s">
        <v>90</v>
      </c>
      <c r="AB50" s="93" t="s">
        <v>158</v>
      </c>
    </row>
    <row r="51" spans="1:28" x14ac:dyDescent="0.15">
      <c r="A51" s="93" t="s">
        <v>51</v>
      </c>
      <c r="B51" s="93" t="s">
        <v>157</v>
      </c>
      <c r="C51" s="93">
        <v>2019</v>
      </c>
      <c r="D51" s="101" t="s">
        <v>265</v>
      </c>
      <c r="E51" s="93" t="s">
        <v>277</v>
      </c>
      <c r="F51" s="93" t="s">
        <v>278</v>
      </c>
      <c r="G51" s="93" t="s">
        <v>36</v>
      </c>
      <c r="H51" s="93" t="s">
        <v>164</v>
      </c>
      <c r="I51" s="93" t="s">
        <v>159</v>
      </c>
      <c r="J51" s="93" t="s">
        <v>38</v>
      </c>
      <c r="K51" s="93" t="s">
        <v>161</v>
      </c>
      <c r="L51" s="93">
        <v>2</v>
      </c>
      <c r="N51" s="93">
        <v>1</v>
      </c>
      <c r="O51" s="93">
        <v>0.7</v>
      </c>
      <c r="P51" s="93">
        <v>0.7</v>
      </c>
      <c r="Q51" s="102">
        <f t="shared" si="0"/>
        <v>0.7</v>
      </c>
      <c r="R51" s="93">
        <v>17.3</v>
      </c>
      <c r="S51" s="93">
        <v>146</v>
      </c>
      <c r="T51" s="103">
        <f t="shared" si="1"/>
        <v>22</v>
      </c>
      <c r="U51" s="93">
        <v>128</v>
      </c>
      <c r="V51" s="104">
        <f t="shared" si="2"/>
        <v>2816</v>
      </c>
      <c r="W51" s="93">
        <v>4</v>
      </c>
      <c r="X51" s="93" t="s">
        <v>39</v>
      </c>
      <c r="Y51" s="93" t="s">
        <v>84</v>
      </c>
      <c r="Z51" s="93" t="s">
        <v>69</v>
      </c>
      <c r="AA51" s="93" t="s">
        <v>90</v>
      </c>
      <c r="AB51" s="93" t="s">
        <v>158</v>
      </c>
    </row>
    <row r="52" spans="1:28" x14ac:dyDescent="0.15">
      <c r="A52" s="93" t="s">
        <v>51</v>
      </c>
      <c r="B52" s="93" t="s">
        <v>157</v>
      </c>
      <c r="C52" s="93">
        <v>2019</v>
      </c>
      <c r="D52" s="101" t="s">
        <v>265</v>
      </c>
      <c r="E52" s="93" t="s">
        <v>277</v>
      </c>
      <c r="F52" s="93" t="s">
        <v>278</v>
      </c>
      <c r="G52" s="93" t="s">
        <v>36</v>
      </c>
      <c r="H52" s="93" t="s">
        <v>164</v>
      </c>
      <c r="I52" s="93" t="s">
        <v>159</v>
      </c>
      <c r="J52" s="93" t="s">
        <v>38</v>
      </c>
      <c r="K52" s="93" t="s">
        <v>161</v>
      </c>
      <c r="L52" s="93">
        <v>3</v>
      </c>
      <c r="N52" s="93">
        <v>1</v>
      </c>
      <c r="O52" s="93">
        <v>0.8</v>
      </c>
      <c r="P52" s="93">
        <v>0.8</v>
      </c>
      <c r="Q52" s="102">
        <f t="shared" si="0"/>
        <v>0.8</v>
      </c>
      <c r="R52" s="93">
        <v>16.899999999999999</v>
      </c>
      <c r="S52" s="93">
        <v>146</v>
      </c>
      <c r="T52" s="103">
        <f t="shared" si="1"/>
        <v>22</v>
      </c>
      <c r="U52" s="93">
        <v>128</v>
      </c>
      <c r="V52" s="104">
        <f t="shared" si="2"/>
        <v>2816</v>
      </c>
      <c r="W52" s="93">
        <v>4</v>
      </c>
      <c r="X52" s="93" t="s">
        <v>39</v>
      </c>
      <c r="Y52" s="93" t="s">
        <v>84</v>
      </c>
      <c r="Z52" s="93" t="s">
        <v>69</v>
      </c>
      <c r="AA52" s="93" t="s">
        <v>90</v>
      </c>
      <c r="AB52" s="93" t="s">
        <v>158</v>
      </c>
    </row>
    <row r="53" spans="1:28" x14ac:dyDescent="0.15">
      <c r="A53" s="93" t="s">
        <v>51</v>
      </c>
      <c r="B53" s="93" t="s">
        <v>157</v>
      </c>
      <c r="C53" s="93">
        <v>2019</v>
      </c>
      <c r="D53" s="101" t="s">
        <v>265</v>
      </c>
      <c r="E53" s="93" t="s">
        <v>277</v>
      </c>
      <c r="F53" s="93" t="s">
        <v>278</v>
      </c>
      <c r="G53" s="93" t="s">
        <v>36</v>
      </c>
      <c r="H53" s="93" t="s">
        <v>160</v>
      </c>
      <c r="I53" s="93" t="s">
        <v>159</v>
      </c>
      <c r="J53" s="93" t="s">
        <v>80</v>
      </c>
      <c r="K53" s="93" t="s">
        <v>45</v>
      </c>
      <c r="L53" s="93">
        <v>1</v>
      </c>
      <c r="N53" s="93">
        <v>1</v>
      </c>
      <c r="O53" s="93">
        <v>1.3</v>
      </c>
      <c r="P53" s="93">
        <v>1.45</v>
      </c>
      <c r="Q53" s="102">
        <f t="shared" si="0"/>
        <v>1.375</v>
      </c>
      <c r="R53" s="93">
        <v>13.7</v>
      </c>
      <c r="S53" s="93">
        <v>104</v>
      </c>
      <c r="T53" s="103">
        <f t="shared" si="1"/>
        <v>33</v>
      </c>
      <c r="U53" s="93">
        <v>98</v>
      </c>
      <c r="V53" s="104">
        <f t="shared" si="2"/>
        <v>3234</v>
      </c>
      <c r="W53" s="93">
        <v>4</v>
      </c>
      <c r="X53" s="93" t="s">
        <v>39</v>
      </c>
      <c r="Y53" s="93" t="s">
        <v>84</v>
      </c>
      <c r="Z53" s="93" t="s">
        <v>69</v>
      </c>
      <c r="AA53" s="93" t="s">
        <v>90</v>
      </c>
      <c r="AB53" s="93" t="s">
        <v>158</v>
      </c>
    </row>
    <row r="54" spans="1:28" x14ac:dyDescent="0.15">
      <c r="A54" s="93" t="s">
        <v>51</v>
      </c>
      <c r="B54" s="93" t="s">
        <v>157</v>
      </c>
      <c r="C54" s="93">
        <v>2019</v>
      </c>
      <c r="D54" s="101" t="s">
        <v>265</v>
      </c>
      <c r="E54" s="93" t="s">
        <v>277</v>
      </c>
      <c r="F54" s="93" t="s">
        <v>278</v>
      </c>
      <c r="G54" s="93" t="s">
        <v>36</v>
      </c>
      <c r="H54" s="93" t="s">
        <v>160</v>
      </c>
      <c r="I54" s="93" t="s">
        <v>159</v>
      </c>
      <c r="J54" s="93" t="s">
        <v>80</v>
      </c>
      <c r="K54" s="93" t="s">
        <v>45</v>
      </c>
      <c r="L54" s="93">
        <v>2</v>
      </c>
      <c r="N54" s="93">
        <v>1</v>
      </c>
      <c r="O54" s="93">
        <v>1.25</v>
      </c>
      <c r="P54" s="93">
        <v>1.1000000000000001</v>
      </c>
      <c r="Q54" s="102">
        <f t="shared" si="0"/>
        <v>1.175</v>
      </c>
      <c r="R54" s="93">
        <v>14.4</v>
      </c>
      <c r="S54" s="93">
        <v>110</v>
      </c>
      <c r="T54" s="103">
        <f t="shared" si="1"/>
        <v>33</v>
      </c>
      <c r="U54" s="93">
        <v>98</v>
      </c>
      <c r="V54" s="104">
        <f t="shared" si="2"/>
        <v>3234</v>
      </c>
      <c r="W54" s="93">
        <v>4</v>
      </c>
      <c r="X54" s="93" t="s">
        <v>39</v>
      </c>
      <c r="Y54" s="93" t="s">
        <v>84</v>
      </c>
      <c r="Z54" s="93" t="s">
        <v>69</v>
      </c>
      <c r="AA54" s="93" t="s">
        <v>90</v>
      </c>
      <c r="AB54" s="93" t="s">
        <v>158</v>
      </c>
    </row>
    <row r="55" spans="1:28" x14ac:dyDescent="0.15">
      <c r="A55" s="93" t="s">
        <v>51</v>
      </c>
      <c r="B55" s="93" t="s">
        <v>157</v>
      </c>
      <c r="C55" s="93">
        <v>2019</v>
      </c>
      <c r="D55" s="101" t="s">
        <v>265</v>
      </c>
      <c r="E55" s="93" t="s">
        <v>277</v>
      </c>
      <c r="F55" s="93" t="s">
        <v>278</v>
      </c>
      <c r="G55" s="93" t="s">
        <v>36</v>
      </c>
      <c r="H55" s="93" t="s">
        <v>160</v>
      </c>
      <c r="I55" s="93" t="s">
        <v>159</v>
      </c>
      <c r="J55" s="93" t="s">
        <v>80</v>
      </c>
      <c r="K55" s="93" t="s">
        <v>45</v>
      </c>
      <c r="L55" s="93">
        <v>3</v>
      </c>
      <c r="N55" s="93">
        <v>1</v>
      </c>
      <c r="O55" s="93">
        <v>1.1499999999999999</v>
      </c>
      <c r="P55" s="93">
        <v>1.2</v>
      </c>
      <c r="Q55" s="102">
        <f t="shared" si="0"/>
        <v>1.1749999999999998</v>
      </c>
      <c r="R55" s="93">
        <v>14.1</v>
      </c>
      <c r="S55" s="93">
        <v>106</v>
      </c>
      <c r="T55" s="103">
        <f t="shared" si="1"/>
        <v>33</v>
      </c>
      <c r="U55" s="93">
        <v>98</v>
      </c>
      <c r="V55" s="104">
        <f t="shared" si="2"/>
        <v>3234</v>
      </c>
      <c r="W55" s="93">
        <v>4</v>
      </c>
      <c r="X55" s="93" t="s">
        <v>39</v>
      </c>
      <c r="Y55" s="93" t="s">
        <v>84</v>
      </c>
      <c r="Z55" s="93" t="s">
        <v>69</v>
      </c>
      <c r="AA55" s="93" t="s">
        <v>90</v>
      </c>
      <c r="AB55" s="93" t="s">
        <v>158</v>
      </c>
    </row>
    <row r="56" spans="1:28" x14ac:dyDescent="0.15">
      <c r="A56" s="93" t="s">
        <v>51</v>
      </c>
      <c r="B56" s="93" t="s">
        <v>157</v>
      </c>
      <c r="C56" s="93">
        <v>2019</v>
      </c>
      <c r="D56" s="101" t="s">
        <v>265</v>
      </c>
      <c r="E56" s="93" t="s">
        <v>279</v>
      </c>
      <c r="F56" s="93" t="s">
        <v>267</v>
      </c>
      <c r="G56" s="93" t="s">
        <v>42</v>
      </c>
      <c r="H56" s="93" t="s">
        <v>164</v>
      </c>
      <c r="I56" s="93" t="s">
        <v>159</v>
      </c>
      <c r="J56" s="93" t="s">
        <v>38</v>
      </c>
      <c r="K56" s="93" t="s">
        <v>161</v>
      </c>
      <c r="L56" s="93">
        <v>1</v>
      </c>
      <c r="N56" s="93">
        <v>1</v>
      </c>
      <c r="O56" s="93">
        <v>0.8</v>
      </c>
      <c r="P56" s="93">
        <v>0.85</v>
      </c>
      <c r="Q56" s="102">
        <f t="shared" si="0"/>
        <v>0.82499999999999996</v>
      </c>
      <c r="R56" s="93">
        <v>14.3</v>
      </c>
      <c r="S56" s="93">
        <v>110</v>
      </c>
      <c r="T56" s="103">
        <f t="shared" si="1"/>
        <v>33</v>
      </c>
      <c r="U56" s="93">
        <v>98</v>
      </c>
      <c r="V56" s="104">
        <f t="shared" si="2"/>
        <v>3234</v>
      </c>
      <c r="W56" s="93">
        <v>3</v>
      </c>
      <c r="X56" s="93" t="s">
        <v>39</v>
      </c>
      <c r="Y56" s="93" t="s">
        <v>84</v>
      </c>
      <c r="Z56" s="93" t="s">
        <v>90</v>
      </c>
      <c r="AA56" s="93" t="s">
        <v>69</v>
      </c>
      <c r="AB56" s="93" t="s">
        <v>158</v>
      </c>
    </row>
    <row r="57" spans="1:28" x14ac:dyDescent="0.15">
      <c r="A57" s="93" t="s">
        <v>51</v>
      </c>
      <c r="B57" s="93" t="s">
        <v>157</v>
      </c>
      <c r="C57" s="93">
        <v>2019</v>
      </c>
      <c r="D57" s="101" t="s">
        <v>265</v>
      </c>
      <c r="E57" s="93" t="s">
        <v>279</v>
      </c>
      <c r="F57" s="93" t="s">
        <v>267</v>
      </c>
      <c r="G57" s="93" t="s">
        <v>42</v>
      </c>
      <c r="H57" s="93" t="s">
        <v>164</v>
      </c>
      <c r="I57" s="93" t="s">
        <v>159</v>
      </c>
      <c r="J57" s="93" t="s">
        <v>38</v>
      </c>
      <c r="K57" s="93" t="s">
        <v>161</v>
      </c>
      <c r="L57" s="93">
        <v>2</v>
      </c>
      <c r="N57" s="93">
        <v>1</v>
      </c>
      <c r="O57" s="93">
        <v>0.75</v>
      </c>
      <c r="P57" s="93">
        <v>0.8</v>
      </c>
      <c r="Q57" s="102">
        <f t="shared" si="0"/>
        <v>0.77500000000000002</v>
      </c>
      <c r="R57" s="93">
        <v>14.7</v>
      </c>
      <c r="S57" s="93">
        <v>110</v>
      </c>
      <c r="T57" s="103">
        <f t="shared" si="1"/>
        <v>33</v>
      </c>
      <c r="U57" s="93">
        <v>98</v>
      </c>
      <c r="V57" s="104">
        <f t="shared" si="2"/>
        <v>3234</v>
      </c>
      <c r="W57" s="93">
        <v>3</v>
      </c>
      <c r="X57" s="93" t="s">
        <v>39</v>
      </c>
      <c r="Y57" s="93" t="s">
        <v>84</v>
      </c>
      <c r="Z57" s="93" t="s">
        <v>90</v>
      </c>
      <c r="AA57" s="93" t="s">
        <v>69</v>
      </c>
      <c r="AB57" s="93" t="s">
        <v>158</v>
      </c>
    </row>
    <row r="58" spans="1:28" x14ac:dyDescent="0.15">
      <c r="A58" s="93" t="s">
        <v>51</v>
      </c>
      <c r="B58" s="93" t="s">
        <v>157</v>
      </c>
      <c r="C58" s="93">
        <v>2019</v>
      </c>
      <c r="D58" s="101" t="s">
        <v>265</v>
      </c>
      <c r="E58" s="93" t="s">
        <v>279</v>
      </c>
      <c r="F58" s="93" t="s">
        <v>267</v>
      </c>
      <c r="G58" s="93" t="s">
        <v>42</v>
      </c>
      <c r="H58" s="93" t="s">
        <v>164</v>
      </c>
      <c r="I58" s="93" t="s">
        <v>159</v>
      </c>
      <c r="J58" s="93" t="s">
        <v>38</v>
      </c>
      <c r="K58" s="93" t="s">
        <v>161</v>
      </c>
      <c r="L58" s="93">
        <v>3</v>
      </c>
      <c r="N58" s="93">
        <v>1</v>
      </c>
      <c r="O58" s="93">
        <v>0.8</v>
      </c>
      <c r="P58" s="93">
        <v>0.8</v>
      </c>
      <c r="Q58" s="102">
        <f t="shared" si="0"/>
        <v>0.8</v>
      </c>
      <c r="R58" s="93">
        <v>15.1</v>
      </c>
      <c r="S58" s="93">
        <v>114</v>
      </c>
      <c r="T58" s="103">
        <f t="shared" si="1"/>
        <v>30</v>
      </c>
      <c r="U58" s="93">
        <v>98</v>
      </c>
      <c r="V58" s="104">
        <f t="shared" si="2"/>
        <v>2940</v>
      </c>
      <c r="W58" s="93">
        <v>3</v>
      </c>
      <c r="X58" s="93" t="s">
        <v>39</v>
      </c>
      <c r="Y58" s="93" t="s">
        <v>84</v>
      </c>
      <c r="Z58" s="93" t="s">
        <v>90</v>
      </c>
      <c r="AA58" s="93" t="s">
        <v>69</v>
      </c>
      <c r="AB58" s="93" t="s">
        <v>158</v>
      </c>
    </row>
    <row r="59" spans="1:28" x14ac:dyDescent="0.15">
      <c r="A59" s="93" t="s">
        <v>51</v>
      </c>
      <c r="B59" s="93" t="s">
        <v>157</v>
      </c>
      <c r="C59" s="93">
        <v>2019</v>
      </c>
      <c r="D59" s="101" t="s">
        <v>265</v>
      </c>
      <c r="E59" s="93" t="s">
        <v>279</v>
      </c>
      <c r="F59" s="93" t="s">
        <v>267</v>
      </c>
      <c r="G59" s="93" t="s">
        <v>42</v>
      </c>
      <c r="H59" s="93" t="s">
        <v>160</v>
      </c>
      <c r="I59" s="93" t="s">
        <v>159</v>
      </c>
      <c r="J59" s="93" t="s">
        <v>38</v>
      </c>
      <c r="K59" s="93" t="s">
        <v>234</v>
      </c>
      <c r="L59" s="93">
        <v>1</v>
      </c>
      <c r="N59" s="93">
        <v>4</v>
      </c>
      <c r="O59" s="93">
        <v>0.7</v>
      </c>
      <c r="P59" s="93">
        <v>0.65</v>
      </c>
      <c r="Q59" s="102">
        <f t="shared" si="0"/>
        <v>0.67500000000000004</v>
      </c>
      <c r="R59" s="93">
        <v>14</v>
      </c>
      <c r="S59" s="93">
        <v>90</v>
      </c>
      <c r="T59" s="103">
        <f t="shared" si="1"/>
        <v>36</v>
      </c>
      <c r="U59" s="93">
        <v>598</v>
      </c>
      <c r="V59" s="104">
        <f t="shared" si="2"/>
        <v>5382</v>
      </c>
      <c r="W59" s="93">
        <v>3</v>
      </c>
      <c r="X59" s="93" t="s">
        <v>39</v>
      </c>
      <c r="Y59" s="93" t="s">
        <v>84</v>
      </c>
      <c r="Z59" s="93" t="s">
        <v>90</v>
      </c>
      <c r="AA59" s="93" t="s">
        <v>69</v>
      </c>
      <c r="AB59" s="93" t="s">
        <v>158</v>
      </c>
    </row>
    <row r="60" spans="1:28" x14ac:dyDescent="0.15">
      <c r="A60" s="93" t="s">
        <v>51</v>
      </c>
      <c r="B60" s="93" t="s">
        <v>157</v>
      </c>
      <c r="C60" s="93">
        <v>2019</v>
      </c>
      <c r="D60" s="101" t="s">
        <v>265</v>
      </c>
      <c r="E60" s="93" t="s">
        <v>279</v>
      </c>
      <c r="F60" s="93" t="s">
        <v>267</v>
      </c>
      <c r="G60" s="93" t="s">
        <v>42</v>
      </c>
      <c r="H60" s="93" t="s">
        <v>160</v>
      </c>
      <c r="I60" s="93" t="s">
        <v>159</v>
      </c>
      <c r="J60" s="93" t="s">
        <v>38</v>
      </c>
      <c r="K60" s="93" t="s">
        <v>234</v>
      </c>
      <c r="L60" s="93">
        <v>2</v>
      </c>
      <c r="N60" s="93">
        <v>4</v>
      </c>
      <c r="O60" s="93">
        <v>0.75</v>
      </c>
      <c r="P60" s="93">
        <v>0.7</v>
      </c>
      <c r="Q60" s="102">
        <f t="shared" si="0"/>
        <v>0.72499999999999998</v>
      </c>
      <c r="R60" s="93">
        <v>13.7</v>
      </c>
      <c r="S60" s="93">
        <v>91</v>
      </c>
      <c r="T60" s="103">
        <f t="shared" si="1"/>
        <v>36</v>
      </c>
      <c r="U60" s="93">
        <v>598</v>
      </c>
      <c r="V60" s="104">
        <f t="shared" si="2"/>
        <v>5382</v>
      </c>
      <c r="W60" s="93">
        <v>3</v>
      </c>
      <c r="X60" s="93" t="s">
        <v>39</v>
      </c>
      <c r="Y60" s="93" t="s">
        <v>84</v>
      </c>
      <c r="Z60" s="93" t="s">
        <v>90</v>
      </c>
      <c r="AA60" s="93" t="s">
        <v>69</v>
      </c>
      <c r="AB60" s="93" t="s">
        <v>158</v>
      </c>
    </row>
    <row r="61" spans="1:28" x14ac:dyDescent="0.15">
      <c r="A61" s="93" t="s">
        <v>51</v>
      </c>
      <c r="B61" s="93" t="s">
        <v>157</v>
      </c>
      <c r="C61" s="93">
        <v>2019</v>
      </c>
      <c r="D61" s="101" t="s">
        <v>265</v>
      </c>
      <c r="E61" s="93" t="s">
        <v>279</v>
      </c>
      <c r="F61" s="93" t="s">
        <v>267</v>
      </c>
      <c r="G61" s="93" t="s">
        <v>42</v>
      </c>
      <c r="H61" s="93" t="s">
        <v>160</v>
      </c>
      <c r="I61" s="93" t="s">
        <v>159</v>
      </c>
      <c r="J61" s="93" t="s">
        <v>38</v>
      </c>
      <c r="K61" s="93" t="s">
        <v>234</v>
      </c>
      <c r="L61" s="93">
        <v>3</v>
      </c>
      <c r="N61" s="93">
        <v>4</v>
      </c>
      <c r="O61" s="93">
        <v>0.8</v>
      </c>
      <c r="P61" s="93">
        <v>0.75</v>
      </c>
      <c r="Q61" s="102">
        <f t="shared" si="0"/>
        <v>0.77500000000000002</v>
      </c>
      <c r="R61" s="93">
        <v>13.8</v>
      </c>
      <c r="S61" s="93">
        <v>86</v>
      </c>
      <c r="T61" s="103">
        <f t="shared" si="1"/>
        <v>36</v>
      </c>
      <c r="U61" s="93">
        <v>598</v>
      </c>
      <c r="V61" s="104">
        <f t="shared" si="2"/>
        <v>5382</v>
      </c>
      <c r="W61" s="93">
        <v>3</v>
      </c>
      <c r="X61" s="93" t="s">
        <v>39</v>
      </c>
      <c r="Y61" s="93" t="s">
        <v>84</v>
      </c>
      <c r="Z61" s="93" t="s">
        <v>90</v>
      </c>
      <c r="AA61" s="93" t="s">
        <v>69</v>
      </c>
      <c r="AB61" s="93" t="s">
        <v>158</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6419A0CF-0673-4DD9-9EE2-78477087C4B4}">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76A1B1AF-FB89-4A0D-8325-5E3D7CEFAF56}">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314D7AB8-9B12-4596-AA9B-8C398E18AB2F}">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DE630528-67D2-4F71-B873-D1CA765C0C49}">
      <formula1>$AN$5:$AN$6</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39BF7C66-7A09-4441-A8AB-DF1209E4FA16}">
      <formula1>$AT$2:$AT$3</formula1>
    </dataValidation>
    <dataValidation type="list" allowBlank="1" showInputMessage="1" showErrorMessage="1" sqref="Y2:AA500" xr:uid="{35AB88DD-0F64-41AD-BDF5-0568CCCFFDAE}">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8199DF1C-78B1-4837-9375-A8185EF01450}">
      <formula1>$AP$2:$AP$27</formula1>
    </dataValidation>
    <dataValidation type="list" allowBlank="1" showInputMessage="1" showErrorMessage="1" sqref="H2:H500" xr:uid="{5ECB9C72-D753-4F47-B232-97E598D0E8CC}">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33D2EF40-023E-4BE0-9334-9A4315AFEBA7}">
      <formula1>$AH$2:$AH$11</formula1>
    </dataValidation>
    <dataValidation type="list" allowBlank="1" showInputMessage="1" showErrorMessage="1" sqref="K2:K89" xr:uid="{43D8B794-2B6D-4A81-BDE5-A38C7A5B41EE}">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FE173A12-063C-40D6-BD02-753801AF8E41}">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9CD1EA46-F5BA-41F7-AAF5-A72C47C8EE03}"/>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8FBEE173-F11E-45DC-ACDB-79F14D80EC93}">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2AE5BE2A-02E9-4CF2-9A0C-33933D578E94}">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375F34C9-60CF-4319-8E50-1A6F4D6CD93C}">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332A-650F-4DF5-A830-5F8A73A128D1}">
  <sheetPr>
    <pageSetUpPr fitToPage="1"/>
  </sheetPr>
  <dimension ref="A1:BA99"/>
  <sheetViews>
    <sheetView topLeftCell="A28" zoomScale="85" zoomScaleNormal="85" workbookViewId="0">
      <selection activeCell="M74" sqref="M74"/>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236</v>
      </c>
      <c r="C2" s="127">
        <v>2019</v>
      </c>
      <c r="D2" s="128" t="s">
        <v>284</v>
      </c>
      <c r="E2" s="127" t="s">
        <v>285</v>
      </c>
      <c r="F2" s="127" t="s">
        <v>286</v>
      </c>
      <c r="G2" s="127" t="s">
        <v>42</v>
      </c>
      <c r="H2" s="53" t="s">
        <v>127</v>
      </c>
      <c r="I2" s="53" t="s">
        <v>159</v>
      </c>
      <c r="J2" s="127" t="s">
        <v>67</v>
      </c>
      <c r="K2" s="53" t="s">
        <v>87</v>
      </c>
      <c r="L2" s="53">
        <v>1</v>
      </c>
      <c r="M2" s="53"/>
      <c r="N2" s="53">
        <v>5</v>
      </c>
      <c r="O2" s="53">
        <v>2.2999999999999998</v>
      </c>
      <c r="P2" s="53">
        <v>3.3</v>
      </c>
      <c r="Q2" s="74">
        <f t="shared" ref="Q2:Q58" si="0">IF(OR(O2="",P2=""),"",AVERAGE(O2,P2))</f>
        <v>2.8</v>
      </c>
      <c r="R2" s="53">
        <v>11.9</v>
      </c>
      <c r="S2" s="53">
        <v>80</v>
      </c>
      <c r="T2" s="16">
        <f t="shared" ref="T2:T58" si="1">IF(H2="","",IF(OR(H2="GREEN",H2="GK"),IF(S2&gt;=$AX$2,VLOOKUP(S2,$AX$2:$AY$12,2,1),""),IF(S2&gt;=$AZ$2,VLOOKUP(S2,$AZ$2:$BA$12,2,1),"")))</f>
        <v>39</v>
      </c>
      <c r="U2" s="53">
        <v>138</v>
      </c>
      <c r="V2" s="129">
        <f t="shared" ref="V2:V58" si="2">IF(OR(N2="",U2="",T2=""),"",U2/N2*T2)</f>
        <v>1076.4000000000001</v>
      </c>
      <c r="W2" s="53">
        <v>2</v>
      </c>
      <c r="X2" s="127" t="s">
        <v>39</v>
      </c>
      <c r="Y2" s="53" t="s">
        <v>90</v>
      </c>
      <c r="Z2" s="53" t="s">
        <v>84</v>
      </c>
      <c r="AA2" s="53" t="s">
        <v>50</v>
      </c>
      <c r="AB2" s="127" t="s">
        <v>240</v>
      </c>
      <c r="AC2" s="34"/>
      <c r="AE2" s="64" t="s">
        <v>35</v>
      </c>
      <c r="AG2" s="49" t="s">
        <v>285</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236</v>
      </c>
      <c r="C3" s="127">
        <v>2019</v>
      </c>
      <c r="D3" s="128" t="s">
        <v>284</v>
      </c>
      <c r="E3" s="127" t="s">
        <v>285</v>
      </c>
      <c r="F3" s="127" t="s">
        <v>286</v>
      </c>
      <c r="G3" s="127" t="s">
        <v>42</v>
      </c>
      <c r="H3" s="53" t="s">
        <v>127</v>
      </c>
      <c r="I3" s="53" t="s">
        <v>159</v>
      </c>
      <c r="J3" s="127" t="s">
        <v>67</v>
      </c>
      <c r="K3" s="53" t="s">
        <v>87</v>
      </c>
      <c r="L3" s="53">
        <v>2</v>
      </c>
      <c r="N3" s="53">
        <v>5</v>
      </c>
      <c r="O3" s="53">
        <v>3.2</v>
      </c>
      <c r="P3" s="53">
        <v>3.2</v>
      </c>
      <c r="Q3" s="74">
        <f t="shared" si="0"/>
        <v>3.2</v>
      </c>
      <c r="R3" s="53">
        <v>11.7</v>
      </c>
      <c r="S3" s="53">
        <v>89</v>
      </c>
      <c r="T3" s="16">
        <f t="shared" si="1"/>
        <v>39</v>
      </c>
      <c r="U3" s="53">
        <v>138</v>
      </c>
      <c r="V3" s="129">
        <f t="shared" si="2"/>
        <v>1076.4000000000001</v>
      </c>
      <c r="W3" s="53">
        <v>2</v>
      </c>
      <c r="X3" s="127" t="s">
        <v>39</v>
      </c>
      <c r="Y3" s="53" t="s">
        <v>90</v>
      </c>
      <c r="Z3" s="53" t="s">
        <v>84</v>
      </c>
      <c r="AA3" s="53" t="s">
        <v>50</v>
      </c>
      <c r="AB3" s="127" t="s">
        <v>240</v>
      </c>
      <c r="AC3" s="34"/>
      <c r="AE3" s="22" t="s">
        <v>41</v>
      </c>
      <c r="AG3" s="49" t="s">
        <v>287</v>
      </c>
      <c r="AH3" s="49" t="s">
        <v>288</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236</v>
      </c>
      <c r="C4" s="127">
        <v>2019</v>
      </c>
      <c r="D4" s="128" t="s">
        <v>284</v>
      </c>
      <c r="E4" s="127" t="s">
        <v>285</v>
      </c>
      <c r="F4" s="127" t="s">
        <v>286</v>
      </c>
      <c r="G4" s="127" t="s">
        <v>42</v>
      </c>
      <c r="H4" s="53" t="s">
        <v>127</v>
      </c>
      <c r="I4" s="53" t="s">
        <v>159</v>
      </c>
      <c r="J4" s="127" t="s">
        <v>67</v>
      </c>
      <c r="K4" s="53" t="s">
        <v>87</v>
      </c>
      <c r="L4" s="53">
        <v>3</v>
      </c>
      <c r="N4" s="53">
        <v>5</v>
      </c>
      <c r="O4" s="53">
        <v>2.4500000000000002</v>
      </c>
      <c r="P4" s="53">
        <v>2.9</v>
      </c>
      <c r="Q4" s="74">
        <f t="shared" si="0"/>
        <v>2.6749999999999998</v>
      </c>
      <c r="R4" s="53">
        <v>11.7</v>
      </c>
      <c r="S4" s="53">
        <v>92</v>
      </c>
      <c r="T4" s="16">
        <f t="shared" si="1"/>
        <v>39</v>
      </c>
      <c r="U4" s="53">
        <v>138</v>
      </c>
      <c r="V4" s="129">
        <f t="shared" si="2"/>
        <v>1076.4000000000001</v>
      </c>
      <c r="W4" s="53">
        <v>2</v>
      </c>
      <c r="X4" s="127" t="s">
        <v>39</v>
      </c>
      <c r="Y4" s="53" t="s">
        <v>90</v>
      </c>
      <c r="Z4" s="53" t="s">
        <v>84</v>
      </c>
      <c r="AA4" s="53" t="s">
        <v>50</v>
      </c>
      <c r="AB4" s="127" t="s">
        <v>240</v>
      </c>
      <c r="AC4" s="34"/>
      <c r="AE4" s="22" t="s">
        <v>34</v>
      </c>
      <c r="AG4" s="49" t="s">
        <v>289</v>
      </c>
      <c r="AH4" s="49" t="s">
        <v>290</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236</v>
      </c>
      <c r="C5" s="127">
        <v>2019</v>
      </c>
      <c r="D5" s="128" t="s">
        <v>284</v>
      </c>
      <c r="E5" s="127" t="s">
        <v>287</v>
      </c>
      <c r="F5" s="127" t="s">
        <v>288</v>
      </c>
      <c r="G5" s="127" t="s">
        <v>42</v>
      </c>
      <c r="H5" s="53" t="s">
        <v>164</v>
      </c>
      <c r="I5" s="53" t="s">
        <v>159</v>
      </c>
      <c r="J5" s="127" t="s">
        <v>38</v>
      </c>
      <c r="K5" s="53" t="s">
        <v>161</v>
      </c>
      <c r="L5" s="53">
        <v>1</v>
      </c>
      <c r="N5" s="53">
        <v>1</v>
      </c>
      <c r="O5" s="53">
        <v>0.5</v>
      </c>
      <c r="P5" s="53">
        <v>0.5</v>
      </c>
      <c r="Q5" s="74">
        <f t="shared" si="0"/>
        <v>0.5</v>
      </c>
      <c r="R5" s="53">
        <v>12.1</v>
      </c>
      <c r="S5" s="53">
        <v>137</v>
      </c>
      <c r="T5" s="16">
        <f t="shared" si="1"/>
        <v>25</v>
      </c>
      <c r="U5" s="53">
        <v>128</v>
      </c>
      <c r="V5" s="129">
        <f t="shared" si="2"/>
        <v>3200</v>
      </c>
      <c r="W5" s="53">
        <v>4</v>
      </c>
      <c r="X5" s="127" t="s">
        <v>46</v>
      </c>
      <c r="Y5" s="53" t="s">
        <v>90</v>
      </c>
      <c r="Z5" s="53" t="s">
        <v>50</v>
      </c>
      <c r="AA5" s="53" t="s">
        <v>84</v>
      </c>
      <c r="AB5" s="127" t="s">
        <v>240</v>
      </c>
      <c r="AC5" s="34"/>
      <c r="AE5" s="22" t="s">
        <v>59</v>
      </c>
      <c r="AG5" s="49" t="s">
        <v>291</v>
      </c>
      <c r="AH5" s="49" t="s">
        <v>292</v>
      </c>
      <c r="AJ5" s="28"/>
      <c r="AL5" s="34" t="s">
        <v>134</v>
      </c>
      <c r="AN5" s="73"/>
      <c r="AP5" s="23" t="s">
        <v>62</v>
      </c>
      <c r="AR5" s="23" t="s">
        <v>81</v>
      </c>
      <c r="AV5" s="23" t="s">
        <v>97</v>
      </c>
      <c r="AX5" s="24">
        <v>119</v>
      </c>
      <c r="AY5" s="25">
        <v>30</v>
      </c>
      <c r="AZ5" s="25">
        <v>121</v>
      </c>
      <c r="BA5" s="26">
        <v>27</v>
      </c>
    </row>
    <row r="6" spans="1:53" x14ac:dyDescent="0.15">
      <c r="A6" s="127" t="s">
        <v>61</v>
      </c>
      <c r="B6" s="127" t="s">
        <v>236</v>
      </c>
      <c r="C6" s="127">
        <v>2019</v>
      </c>
      <c r="D6" s="128" t="s">
        <v>284</v>
      </c>
      <c r="E6" s="127" t="s">
        <v>287</v>
      </c>
      <c r="F6" s="127" t="s">
        <v>288</v>
      </c>
      <c r="G6" s="127" t="s">
        <v>42</v>
      </c>
      <c r="H6" s="53" t="s">
        <v>164</v>
      </c>
      <c r="I6" s="53" t="s">
        <v>159</v>
      </c>
      <c r="J6" s="127" t="s">
        <v>38</v>
      </c>
      <c r="K6" s="53" t="s">
        <v>161</v>
      </c>
      <c r="L6" s="53">
        <v>2</v>
      </c>
      <c r="N6" s="53">
        <v>1</v>
      </c>
      <c r="O6" s="53">
        <v>0.5</v>
      </c>
      <c r="P6" s="53">
        <v>0.5</v>
      </c>
      <c r="Q6" s="74">
        <f t="shared" si="0"/>
        <v>0.5</v>
      </c>
      <c r="R6" s="34">
        <v>13.5</v>
      </c>
      <c r="S6" s="53">
        <v>109</v>
      </c>
      <c r="T6" s="16">
        <f t="shared" si="1"/>
        <v>39</v>
      </c>
      <c r="U6" s="53">
        <v>128</v>
      </c>
      <c r="V6" s="129">
        <f t="shared" si="2"/>
        <v>4992</v>
      </c>
      <c r="W6" s="53">
        <v>4</v>
      </c>
      <c r="X6" s="127" t="s">
        <v>46</v>
      </c>
      <c r="Y6" s="53" t="s">
        <v>90</v>
      </c>
      <c r="Z6" s="53" t="s">
        <v>50</v>
      </c>
      <c r="AA6" s="53" t="s">
        <v>84</v>
      </c>
      <c r="AB6" s="127" t="s">
        <v>240</v>
      </c>
      <c r="AC6" s="34"/>
      <c r="AE6" s="22" t="s">
        <v>98</v>
      </c>
      <c r="AG6" s="49" t="s">
        <v>133</v>
      </c>
      <c r="AH6" s="49" t="s">
        <v>293</v>
      </c>
      <c r="AL6" s="73"/>
      <c r="AN6" s="73"/>
      <c r="AP6" s="23" t="s">
        <v>95</v>
      </c>
      <c r="AR6" s="23" t="s">
        <v>89</v>
      </c>
      <c r="AV6" s="23" t="s">
        <v>102</v>
      </c>
      <c r="AX6" s="24">
        <v>128</v>
      </c>
      <c r="AY6" s="25">
        <v>27</v>
      </c>
      <c r="AZ6" s="25">
        <v>129</v>
      </c>
      <c r="BA6" s="26">
        <v>25</v>
      </c>
    </row>
    <row r="7" spans="1:53" x14ac:dyDescent="0.15">
      <c r="A7" s="127" t="s">
        <v>61</v>
      </c>
      <c r="B7" s="127" t="s">
        <v>236</v>
      </c>
      <c r="C7" s="127">
        <v>2019</v>
      </c>
      <c r="D7" s="128" t="s">
        <v>284</v>
      </c>
      <c r="E7" s="127" t="s">
        <v>287</v>
      </c>
      <c r="F7" s="127" t="s">
        <v>288</v>
      </c>
      <c r="G7" s="127" t="s">
        <v>42</v>
      </c>
      <c r="H7" s="53" t="s">
        <v>164</v>
      </c>
      <c r="I7" s="53" t="s">
        <v>159</v>
      </c>
      <c r="J7" s="127" t="s">
        <v>38</v>
      </c>
      <c r="K7" s="53" t="s">
        <v>161</v>
      </c>
      <c r="L7" s="53">
        <v>3</v>
      </c>
      <c r="N7" s="53">
        <v>1</v>
      </c>
      <c r="O7" s="53">
        <v>0.5</v>
      </c>
      <c r="P7" s="53">
        <v>0.6</v>
      </c>
      <c r="Q7" s="74">
        <f t="shared" si="0"/>
        <v>0.55000000000000004</v>
      </c>
      <c r="R7" s="53">
        <v>12.4</v>
      </c>
      <c r="S7" s="53">
        <v>118</v>
      </c>
      <c r="T7" s="16">
        <f t="shared" si="1"/>
        <v>39</v>
      </c>
      <c r="U7" s="53">
        <v>128</v>
      </c>
      <c r="V7" s="129">
        <f t="shared" si="2"/>
        <v>4992</v>
      </c>
      <c r="W7" s="53">
        <v>4</v>
      </c>
      <c r="X7" s="127" t="s">
        <v>46</v>
      </c>
      <c r="Y7" s="53" t="s">
        <v>90</v>
      </c>
      <c r="Z7" s="53" t="s">
        <v>50</v>
      </c>
      <c r="AA7" s="53" t="s">
        <v>84</v>
      </c>
      <c r="AB7" s="127" t="s">
        <v>240</v>
      </c>
      <c r="AC7" s="34"/>
      <c r="AE7" s="22" t="s">
        <v>103</v>
      </c>
      <c r="AG7" s="49" t="s">
        <v>294</v>
      </c>
      <c r="AH7" s="49" t="s">
        <v>295</v>
      </c>
      <c r="AL7" s="27"/>
      <c r="AP7" s="23" t="s">
        <v>100</v>
      </c>
      <c r="AR7" s="23" t="s">
        <v>123</v>
      </c>
      <c r="AV7" s="23" t="s">
        <v>106</v>
      </c>
      <c r="AX7" s="24">
        <v>138</v>
      </c>
      <c r="AY7" s="25">
        <v>25</v>
      </c>
      <c r="AZ7" s="25">
        <v>138</v>
      </c>
      <c r="BA7" s="26">
        <v>22</v>
      </c>
    </row>
    <row r="8" spans="1:53" x14ac:dyDescent="0.15">
      <c r="A8" s="127" t="s">
        <v>61</v>
      </c>
      <c r="B8" s="127" t="s">
        <v>236</v>
      </c>
      <c r="C8" s="127">
        <v>2019</v>
      </c>
      <c r="D8" s="128" t="s">
        <v>284</v>
      </c>
      <c r="E8" s="127" t="s">
        <v>287</v>
      </c>
      <c r="F8" s="127" t="s">
        <v>288</v>
      </c>
      <c r="G8" s="127" t="s">
        <v>42</v>
      </c>
      <c r="H8" s="53" t="s">
        <v>160</v>
      </c>
      <c r="I8" s="53" t="s">
        <v>159</v>
      </c>
      <c r="J8" s="127" t="s">
        <v>38</v>
      </c>
      <c r="K8" s="53" t="s">
        <v>161</v>
      </c>
      <c r="L8" s="53">
        <v>1</v>
      </c>
      <c r="N8" s="53">
        <v>4</v>
      </c>
      <c r="O8" s="53">
        <v>0.5</v>
      </c>
      <c r="P8" s="53">
        <v>0.5</v>
      </c>
      <c r="Q8" s="74">
        <f t="shared" si="0"/>
        <v>0.5</v>
      </c>
      <c r="R8" s="53">
        <v>12.1</v>
      </c>
      <c r="S8" s="53">
        <v>101</v>
      </c>
      <c r="T8" s="16">
        <f t="shared" si="1"/>
        <v>39</v>
      </c>
      <c r="U8" s="53">
        <v>498</v>
      </c>
      <c r="V8" s="129">
        <f t="shared" si="2"/>
        <v>4855.5</v>
      </c>
      <c r="W8" s="53">
        <v>4</v>
      </c>
      <c r="X8" s="127" t="s">
        <v>46</v>
      </c>
      <c r="Y8" s="53" t="s">
        <v>90</v>
      </c>
      <c r="Z8" s="53" t="s">
        <v>50</v>
      </c>
      <c r="AA8" s="53" t="s">
        <v>84</v>
      </c>
      <c r="AB8" s="127" t="s">
        <v>240</v>
      </c>
      <c r="AC8" s="34"/>
      <c r="AE8" s="22" t="s">
        <v>65</v>
      </c>
      <c r="AG8" s="49" t="s">
        <v>296</v>
      </c>
      <c r="AH8" s="49" t="s">
        <v>295</v>
      </c>
      <c r="AL8" s="134"/>
      <c r="AP8" s="23" t="s">
        <v>104</v>
      </c>
      <c r="AR8" s="23" t="s">
        <v>87</v>
      </c>
      <c r="AV8" s="135" t="s">
        <v>297</v>
      </c>
      <c r="AX8" s="24">
        <v>151</v>
      </c>
      <c r="AY8" s="25">
        <v>22</v>
      </c>
      <c r="AZ8" s="25">
        <v>152</v>
      </c>
      <c r="BA8" s="26">
        <v>18</v>
      </c>
    </row>
    <row r="9" spans="1:53" x14ac:dyDescent="0.15">
      <c r="A9" s="127" t="s">
        <v>61</v>
      </c>
      <c r="B9" s="127" t="s">
        <v>236</v>
      </c>
      <c r="C9" s="127">
        <v>2019</v>
      </c>
      <c r="D9" s="128" t="s">
        <v>284</v>
      </c>
      <c r="E9" s="127" t="s">
        <v>287</v>
      </c>
      <c r="F9" s="127" t="s">
        <v>288</v>
      </c>
      <c r="G9" s="127" t="s">
        <v>42</v>
      </c>
      <c r="H9" s="53" t="s">
        <v>160</v>
      </c>
      <c r="I9" s="53" t="s">
        <v>159</v>
      </c>
      <c r="J9" s="127" t="s">
        <v>38</v>
      </c>
      <c r="K9" s="53" t="s">
        <v>161</v>
      </c>
      <c r="L9" s="53">
        <v>2</v>
      </c>
      <c r="N9" s="53">
        <v>4</v>
      </c>
      <c r="O9" s="53">
        <v>0.55000000000000004</v>
      </c>
      <c r="P9" s="53">
        <v>0.6</v>
      </c>
      <c r="Q9" s="74">
        <f t="shared" si="0"/>
        <v>0.57499999999999996</v>
      </c>
      <c r="R9" s="34">
        <v>12.1</v>
      </c>
      <c r="S9" s="53">
        <v>99</v>
      </c>
      <c r="T9" s="16">
        <f t="shared" si="1"/>
        <v>39</v>
      </c>
      <c r="U9" s="53">
        <v>498</v>
      </c>
      <c r="V9" s="129">
        <f t="shared" si="2"/>
        <v>4855.5</v>
      </c>
      <c r="W9" s="53">
        <v>4</v>
      </c>
      <c r="X9" s="127" t="s">
        <v>46</v>
      </c>
      <c r="Y9" s="53" t="s">
        <v>90</v>
      </c>
      <c r="Z9" s="53" t="s">
        <v>50</v>
      </c>
      <c r="AA9" s="53" t="s">
        <v>84</v>
      </c>
      <c r="AB9" s="127" t="s">
        <v>240</v>
      </c>
      <c r="AC9" s="34"/>
      <c r="AE9" s="22" t="s">
        <v>70</v>
      </c>
      <c r="AG9" s="23"/>
      <c r="AH9" s="22"/>
      <c r="AL9" s="134"/>
      <c r="AP9" s="23" t="s">
        <v>67</v>
      </c>
      <c r="AR9" s="23" t="s">
        <v>124</v>
      </c>
      <c r="AV9" s="135" t="s">
        <v>298</v>
      </c>
      <c r="AX9" s="24">
        <v>180</v>
      </c>
      <c r="AY9" s="25">
        <v>18</v>
      </c>
      <c r="AZ9" s="25">
        <v>181</v>
      </c>
      <c r="BA9" s="26">
        <v>16</v>
      </c>
    </row>
    <row r="10" spans="1:53" x14ac:dyDescent="0.15">
      <c r="A10" s="127" t="s">
        <v>61</v>
      </c>
      <c r="B10" s="127" t="s">
        <v>236</v>
      </c>
      <c r="C10" s="127">
        <v>2019</v>
      </c>
      <c r="D10" s="128" t="s">
        <v>284</v>
      </c>
      <c r="E10" s="127" t="s">
        <v>287</v>
      </c>
      <c r="F10" s="127" t="s">
        <v>288</v>
      </c>
      <c r="G10" s="127" t="s">
        <v>42</v>
      </c>
      <c r="H10" s="53" t="s">
        <v>160</v>
      </c>
      <c r="I10" s="53" t="s">
        <v>159</v>
      </c>
      <c r="J10" s="127" t="s">
        <v>38</v>
      </c>
      <c r="K10" s="53" t="s">
        <v>161</v>
      </c>
      <c r="L10" s="53">
        <v>3</v>
      </c>
      <c r="N10" s="53">
        <v>4</v>
      </c>
      <c r="O10" s="53">
        <v>0.5</v>
      </c>
      <c r="P10" s="53">
        <v>0.75</v>
      </c>
      <c r="Q10" s="74">
        <f t="shared" si="0"/>
        <v>0.625</v>
      </c>
      <c r="R10" s="53">
        <v>12</v>
      </c>
      <c r="S10" s="53">
        <v>99</v>
      </c>
      <c r="T10" s="16">
        <f t="shared" si="1"/>
        <v>39</v>
      </c>
      <c r="U10" s="53">
        <v>498</v>
      </c>
      <c r="V10" s="129">
        <f t="shared" si="2"/>
        <v>4855.5</v>
      </c>
      <c r="W10" s="53">
        <v>4</v>
      </c>
      <c r="X10" s="127" t="s">
        <v>46</v>
      </c>
      <c r="Y10" s="53" t="s">
        <v>90</v>
      </c>
      <c r="Z10" s="53" t="s">
        <v>50</v>
      </c>
      <c r="AA10" s="53" t="s">
        <v>84</v>
      </c>
      <c r="AB10" s="127" t="s">
        <v>240</v>
      </c>
      <c r="AC10" s="34"/>
      <c r="AE10" s="22" t="s">
        <v>73</v>
      </c>
      <c r="AG10" s="23"/>
      <c r="AH10" s="22"/>
      <c r="AL10" s="136"/>
      <c r="AP10" s="23" t="s">
        <v>71</v>
      </c>
      <c r="AR10" s="23" t="s">
        <v>103</v>
      </c>
      <c r="AV10" s="135" t="s">
        <v>299</v>
      </c>
      <c r="AX10" s="24"/>
      <c r="AY10" s="25"/>
      <c r="AZ10" s="25"/>
      <c r="BA10" s="26"/>
    </row>
    <row r="11" spans="1:53" x14ac:dyDescent="0.15">
      <c r="A11" s="127" t="s">
        <v>61</v>
      </c>
      <c r="B11" s="127" t="s">
        <v>236</v>
      </c>
      <c r="C11" s="127">
        <v>2019</v>
      </c>
      <c r="D11" s="128" t="s">
        <v>284</v>
      </c>
      <c r="E11" s="127" t="s">
        <v>289</v>
      </c>
      <c r="F11" s="127" t="s">
        <v>290</v>
      </c>
      <c r="G11" s="127" t="s">
        <v>42</v>
      </c>
      <c r="H11" s="53" t="s">
        <v>160</v>
      </c>
      <c r="I11" s="53" t="s">
        <v>159</v>
      </c>
      <c r="J11" s="127" t="s">
        <v>38</v>
      </c>
      <c r="K11" s="53" t="s">
        <v>161</v>
      </c>
      <c r="L11" s="53">
        <v>1</v>
      </c>
      <c r="N11" s="53">
        <v>1</v>
      </c>
      <c r="O11" s="53">
        <v>0.75</v>
      </c>
      <c r="P11" s="53">
        <v>0.75</v>
      </c>
      <c r="Q11" s="74">
        <f t="shared" si="0"/>
        <v>0.75</v>
      </c>
      <c r="R11" s="53">
        <v>13.3</v>
      </c>
      <c r="S11" s="53">
        <v>123</v>
      </c>
      <c r="T11" s="16">
        <f t="shared" si="1"/>
        <v>27</v>
      </c>
      <c r="U11" s="53">
        <v>98</v>
      </c>
      <c r="V11" s="129">
        <f t="shared" si="2"/>
        <v>2646</v>
      </c>
      <c r="W11" s="53">
        <v>4</v>
      </c>
      <c r="X11" s="127" t="s">
        <v>46</v>
      </c>
      <c r="Y11" s="53" t="s">
        <v>50</v>
      </c>
      <c r="Z11" s="53" t="s">
        <v>90</v>
      </c>
      <c r="AA11" s="53" t="s">
        <v>84</v>
      </c>
      <c r="AB11" s="127" t="s">
        <v>240</v>
      </c>
      <c r="AC11" s="34"/>
      <c r="AE11" s="22" t="s">
        <v>76</v>
      </c>
      <c r="AG11" s="23"/>
      <c r="AH11" s="22"/>
      <c r="AL11" s="34"/>
      <c r="AP11" s="23" t="s">
        <v>74</v>
      </c>
      <c r="AR11" s="23" t="s">
        <v>125</v>
      </c>
      <c r="AV11" s="135" t="s">
        <v>300</v>
      </c>
      <c r="AX11" s="24"/>
      <c r="AY11" s="25"/>
      <c r="AZ11" s="25"/>
      <c r="BA11" s="26"/>
    </row>
    <row r="12" spans="1:53" x14ac:dyDescent="0.15">
      <c r="A12" s="127" t="s">
        <v>61</v>
      </c>
      <c r="B12" s="127" t="s">
        <v>236</v>
      </c>
      <c r="C12" s="127">
        <v>2019</v>
      </c>
      <c r="D12" s="128" t="s">
        <v>284</v>
      </c>
      <c r="E12" s="127" t="s">
        <v>289</v>
      </c>
      <c r="F12" s="127" t="s">
        <v>290</v>
      </c>
      <c r="G12" s="127" t="s">
        <v>42</v>
      </c>
      <c r="H12" s="53" t="s">
        <v>160</v>
      </c>
      <c r="I12" s="53" t="s">
        <v>159</v>
      </c>
      <c r="J12" s="127" t="s">
        <v>38</v>
      </c>
      <c r="K12" s="53" t="s">
        <v>161</v>
      </c>
      <c r="L12" s="53">
        <v>2</v>
      </c>
      <c r="N12" s="53">
        <v>1</v>
      </c>
      <c r="O12" s="53">
        <v>0.7</v>
      </c>
      <c r="P12" s="53">
        <v>0.95</v>
      </c>
      <c r="Q12" s="74">
        <f t="shared" si="0"/>
        <v>0.82499999999999996</v>
      </c>
      <c r="R12" s="34">
        <v>11.1</v>
      </c>
      <c r="S12" s="53">
        <v>116</v>
      </c>
      <c r="T12" s="16">
        <f t="shared" si="1"/>
        <v>39</v>
      </c>
      <c r="U12" s="53">
        <v>98</v>
      </c>
      <c r="V12" s="129">
        <f t="shared" si="2"/>
        <v>3822</v>
      </c>
      <c r="W12" s="53">
        <v>4</v>
      </c>
      <c r="X12" s="127" t="s">
        <v>46</v>
      </c>
      <c r="Y12" s="53" t="s">
        <v>50</v>
      </c>
      <c r="Z12" s="53" t="s">
        <v>90</v>
      </c>
      <c r="AA12" s="53" t="s">
        <v>84</v>
      </c>
      <c r="AB12" s="127" t="s">
        <v>240</v>
      </c>
      <c r="AC12" s="34"/>
      <c r="AE12" s="22" t="s">
        <v>79</v>
      </c>
      <c r="AG12" s="23"/>
      <c r="AH12" s="23"/>
      <c r="AL12" s="34"/>
      <c r="AP12" s="23" t="s">
        <v>77</v>
      </c>
      <c r="AR12" s="23" t="s">
        <v>94</v>
      </c>
      <c r="AV12" s="135" t="s">
        <v>301</v>
      </c>
      <c r="AX12" s="31"/>
      <c r="AY12" s="32"/>
      <c r="AZ12" s="32"/>
      <c r="BA12" s="33"/>
    </row>
    <row r="13" spans="1:53" x14ac:dyDescent="0.15">
      <c r="A13" s="127" t="s">
        <v>61</v>
      </c>
      <c r="B13" s="127" t="s">
        <v>236</v>
      </c>
      <c r="C13" s="127">
        <v>2019</v>
      </c>
      <c r="D13" s="128" t="s">
        <v>284</v>
      </c>
      <c r="E13" s="127" t="s">
        <v>289</v>
      </c>
      <c r="F13" s="127" t="s">
        <v>290</v>
      </c>
      <c r="G13" s="127" t="s">
        <v>42</v>
      </c>
      <c r="H13" s="53" t="s">
        <v>160</v>
      </c>
      <c r="I13" s="53" t="s">
        <v>159</v>
      </c>
      <c r="J13" s="127" t="s">
        <v>38</v>
      </c>
      <c r="K13" s="53" t="s">
        <v>161</v>
      </c>
      <c r="L13" s="53">
        <v>3</v>
      </c>
      <c r="N13" s="53">
        <v>1</v>
      </c>
      <c r="O13" s="53">
        <v>0.75</v>
      </c>
      <c r="P13" s="53">
        <v>0.8</v>
      </c>
      <c r="Q13" s="74">
        <f t="shared" si="0"/>
        <v>0.77500000000000002</v>
      </c>
      <c r="R13" s="53">
        <v>12.1</v>
      </c>
      <c r="S13" s="53">
        <v>124</v>
      </c>
      <c r="T13" s="16">
        <f t="shared" si="1"/>
        <v>27</v>
      </c>
      <c r="U13" s="53">
        <v>98</v>
      </c>
      <c r="V13" s="129">
        <f t="shared" si="2"/>
        <v>2646</v>
      </c>
      <c r="W13" s="53">
        <v>4</v>
      </c>
      <c r="X13" s="127" t="s">
        <v>46</v>
      </c>
      <c r="Y13" s="53" t="s">
        <v>50</v>
      </c>
      <c r="Z13" s="53" t="s">
        <v>90</v>
      </c>
      <c r="AA13" s="53" t="s">
        <v>84</v>
      </c>
      <c r="AB13" s="127" t="s">
        <v>240</v>
      </c>
      <c r="AC13" s="34"/>
      <c r="AE13" s="22" t="s">
        <v>82</v>
      </c>
      <c r="AG13" s="23"/>
      <c r="AH13" s="23"/>
      <c r="AP13" s="23" t="s">
        <v>80</v>
      </c>
      <c r="AR13" s="23" t="s">
        <v>63</v>
      </c>
      <c r="AV13" s="135" t="s">
        <v>302</v>
      </c>
    </row>
    <row r="14" spans="1:53" x14ac:dyDescent="0.15">
      <c r="A14" s="127" t="s">
        <v>61</v>
      </c>
      <c r="B14" s="127" t="s">
        <v>236</v>
      </c>
      <c r="C14" s="127">
        <v>2019</v>
      </c>
      <c r="D14" s="128" t="s">
        <v>284</v>
      </c>
      <c r="E14" s="127" t="s">
        <v>303</v>
      </c>
      <c r="F14" s="127" t="s">
        <v>304</v>
      </c>
      <c r="G14" s="127" t="s">
        <v>42</v>
      </c>
      <c r="H14" s="53" t="s">
        <v>164</v>
      </c>
      <c r="I14" s="53" t="s">
        <v>159</v>
      </c>
      <c r="J14" s="127" t="s">
        <v>38</v>
      </c>
      <c r="K14" s="53" t="s">
        <v>161</v>
      </c>
      <c r="L14" s="53">
        <v>1</v>
      </c>
      <c r="N14" s="53">
        <v>1</v>
      </c>
      <c r="O14" s="53">
        <v>0.85</v>
      </c>
      <c r="P14" s="53">
        <v>0.8</v>
      </c>
      <c r="Q14" s="74">
        <f t="shared" si="0"/>
        <v>0.82499999999999996</v>
      </c>
      <c r="R14" s="53">
        <v>12.1</v>
      </c>
      <c r="S14" s="53">
        <v>139</v>
      </c>
      <c r="T14" s="16">
        <f t="shared" si="1"/>
        <v>22</v>
      </c>
      <c r="U14" s="53">
        <v>128</v>
      </c>
      <c r="V14" s="129">
        <f t="shared" si="2"/>
        <v>2816</v>
      </c>
      <c r="W14" s="53">
        <v>8</v>
      </c>
      <c r="X14" s="127" t="s">
        <v>46</v>
      </c>
      <c r="Y14" s="53" t="s">
        <v>84</v>
      </c>
      <c r="Z14" s="53" t="s">
        <v>50</v>
      </c>
      <c r="AA14" s="53" t="s">
        <v>90</v>
      </c>
      <c r="AB14" s="127" t="s">
        <v>240</v>
      </c>
      <c r="AC14" s="34"/>
      <c r="AE14" s="22"/>
      <c r="AP14" s="27" t="s">
        <v>113</v>
      </c>
      <c r="AR14" s="23" t="s">
        <v>105</v>
      </c>
      <c r="AV14" s="135" t="s">
        <v>305</v>
      </c>
    </row>
    <row r="15" spans="1:53" x14ac:dyDescent="0.15">
      <c r="A15" s="127" t="s">
        <v>61</v>
      </c>
      <c r="B15" s="127" t="s">
        <v>236</v>
      </c>
      <c r="C15" s="127">
        <v>2019</v>
      </c>
      <c r="D15" s="128" t="s">
        <v>284</v>
      </c>
      <c r="E15" s="127" t="s">
        <v>303</v>
      </c>
      <c r="F15" s="127" t="s">
        <v>304</v>
      </c>
      <c r="G15" s="127" t="s">
        <v>42</v>
      </c>
      <c r="H15" s="53" t="s">
        <v>164</v>
      </c>
      <c r="I15" s="53" t="s">
        <v>159</v>
      </c>
      <c r="J15" s="127" t="s">
        <v>38</v>
      </c>
      <c r="K15" s="53" t="s">
        <v>161</v>
      </c>
      <c r="L15" s="53">
        <v>2</v>
      </c>
      <c r="N15" s="53">
        <v>1</v>
      </c>
      <c r="O15" s="53">
        <v>0.85</v>
      </c>
      <c r="P15" s="53">
        <v>1.05</v>
      </c>
      <c r="Q15" s="74">
        <f t="shared" si="0"/>
        <v>0.95</v>
      </c>
      <c r="R15" s="53">
        <v>12.6</v>
      </c>
      <c r="S15" s="53">
        <v>129</v>
      </c>
      <c r="T15" s="16">
        <f t="shared" si="1"/>
        <v>25</v>
      </c>
      <c r="U15" s="53">
        <v>128</v>
      </c>
      <c r="V15" s="129">
        <f t="shared" si="2"/>
        <v>3200</v>
      </c>
      <c r="W15" s="53">
        <v>8</v>
      </c>
      <c r="X15" s="127" t="s">
        <v>46</v>
      </c>
      <c r="Y15" s="53" t="s">
        <v>84</v>
      </c>
      <c r="Z15" s="53" t="s">
        <v>50</v>
      </c>
      <c r="AA15" s="53" t="s">
        <v>90</v>
      </c>
      <c r="AB15" s="127" t="s">
        <v>240</v>
      </c>
      <c r="AC15" s="34"/>
      <c r="AE15" s="22"/>
      <c r="AP15" s="27" t="s">
        <v>114</v>
      </c>
      <c r="AR15" s="23" t="s">
        <v>68</v>
      </c>
      <c r="AV15" s="135" t="s">
        <v>306</v>
      </c>
    </row>
    <row r="16" spans="1:53" x14ac:dyDescent="0.15">
      <c r="A16" s="127" t="s">
        <v>61</v>
      </c>
      <c r="B16" s="127" t="s">
        <v>236</v>
      </c>
      <c r="C16" s="127">
        <v>2019</v>
      </c>
      <c r="D16" s="128" t="s">
        <v>284</v>
      </c>
      <c r="E16" s="127" t="s">
        <v>303</v>
      </c>
      <c r="F16" s="127" t="s">
        <v>304</v>
      </c>
      <c r="G16" s="127" t="s">
        <v>42</v>
      </c>
      <c r="H16" s="53" t="s">
        <v>164</v>
      </c>
      <c r="I16" s="53" t="s">
        <v>159</v>
      </c>
      <c r="J16" s="127" t="s">
        <v>38</v>
      </c>
      <c r="K16" s="53" t="s">
        <v>161</v>
      </c>
      <c r="L16" s="53">
        <v>3</v>
      </c>
      <c r="N16" s="53">
        <v>1</v>
      </c>
      <c r="O16" s="53">
        <v>0.6</v>
      </c>
      <c r="P16" s="53">
        <v>0.5</v>
      </c>
      <c r="Q16" s="74">
        <f t="shared" si="0"/>
        <v>0.55000000000000004</v>
      </c>
      <c r="R16" s="53">
        <v>13.1</v>
      </c>
      <c r="S16" s="53">
        <v>125</v>
      </c>
      <c r="T16" s="16">
        <f t="shared" si="1"/>
        <v>27</v>
      </c>
      <c r="U16" s="53">
        <v>128</v>
      </c>
      <c r="V16" s="129">
        <f t="shared" si="2"/>
        <v>3456</v>
      </c>
      <c r="W16" s="53">
        <v>8</v>
      </c>
      <c r="X16" s="127" t="s">
        <v>46</v>
      </c>
      <c r="Y16" s="53" t="s">
        <v>84</v>
      </c>
      <c r="Z16" s="53" t="s">
        <v>50</v>
      </c>
      <c r="AA16" s="53" t="s">
        <v>90</v>
      </c>
      <c r="AB16" s="127" t="s">
        <v>240</v>
      </c>
      <c r="AC16" s="34"/>
      <c r="AE16" s="35"/>
      <c r="AP16" s="27" t="s">
        <v>115</v>
      </c>
      <c r="AR16" s="23" t="s">
        <v>83</v>
      </c>
      <c r="AV16" s="23"/>
    </row>
    <row r="17" spans="1:48" x14ac:dyDescent="0.15">
      <c r="A17" s="127" t="s">
        <v>61</v>
      </c>
      <c r="B17" s="127" t="s">
        <v>236</v>
      </c>
      <c r="C17" s="127">
        <v>2019</v>
      </c>
      <c r="D17" s="128" t="s">
        <v>284</v>
      </c>
      <c r="E17" s="127" t="s">
        <v>303</v>
      </c>
      <c r="F17" s="127" t="s">
        <v>304</v>
      </c>
      <c r="G17" s="127" t="s">
        <v>42</v>
      </c>
      <c r="H17" s="53" t="s">
        <v>164</v>
      </c>
      <c r="I17" s="53" t="s">
        <v>198</v>
      </c>
      <c r="J17" s="127" t="s">
        <v>38</v>
      </c>
      <c r="K17" s="53" t="s">
        <v>161</v>
      </c>
      <c r="L17" s="53">
        <v>1</v>
      </c>
      <c r="N17" s="53">
        <v>5</v>
      </c>
      <c r="O17" s="53">
        <v>0.65</v>
      </c>
      <c r="P17" s="53">
        <v>0.5</v>
      </c>
      <c r="Q17" s="74">
        <f t="shared" si="0"/>
        <v>0.57499999999999996</v>
      </c>
      <c r="R17" s="53">
        <v>12.3</v>
      </c>
      <c r="S17" s="53">
        <v>77</v>
      </c>
      <c r="T17" s="16">
        <f t="shared" si="1"/>
        <v>39</v>
      </c>
      <c r="U17" s="53">
        <v>398</v>
      </c>
      <c r="V17" s="129">
        <f t="shared" si="2"/>
        <v>3104.3999999999996</v>
      </c>
      <c r="W17" s="53">
        <v>8</v>
      </c>
      <c r="X17" s="127" t="s">
        <v>46</v>
      </c>
      <c r="Y17" s="53" t="s">
        <v>84</v>
      </c>
      <c r="Z17" s="53" t="s">
        <v>50</v>
      </c>
      <c r="AA17" s="53" t="s">
        <v>90</v>
      </c>
      <c r="AB17" s="127" t="s">
        <v>240</v>
      </c>
      <c r="AC17" s="34"/>
      <c r="AE17" s="22"/>
      <c r="AP17" s="27" t="s">
        <v>113</v>
      </c>
      <c r="AR17" s="23" t="s">
        <v>105</v>
      </c>
      <c r="AV17" s="135" t="s">
        <v>305</v>
      </c>
    </row>
    <row r="18" spans="1:48" x14ac:dyDescent="0.15">
      <c r="A18" s="127" t="s">
        <v>61</v>
      </c>
      <c r="B18" s="127" t="s">
        <v>236</v>
      </c>
      <c r="C18" s="127">
        <v>2019</v>
      </c>
      <c r="D18" s="128" t="s">
        <v>284</v>
      </c>
      <c r="E18" s="127" t="s">
        <v>303</v>
      </c>
      <c r="F18" s="127" t="s">
        <v>304</v>
      </c>
      <c r="G18" s="127" t="s">
        <v>42</v>
      </c>
      <c r="H18" s="53" t="s">
        <v>164</v>
      </c>
      <c r="I18" s="53" t="s">
        <v>198</v>
      </c>
      <c r="J18" s="127" t="s">
        <v>38</v>
      </c>
      <c r="K18" s="53" t="s">
        <v>161</v>
      </c>
      <c r="L18" s="53">
        <v>2</v>
      </c>
      <c r="N18" s="53">
        <v>5</v>
      </c>
      <c r="O18" s="53">
        <v>0.75</v>
      </c>
      <c r="P18" s="53">
        <v>0.5</v>
      </c>
      <c r="Q18" s="74">
        <f t="shared" si="0"/>
        <v>0.625</v>
      </c>
      <c r="R18" s="53">
        <v>12.1</v>
      </c>
      <c r="S18" s="53">
        <v>76</v>
      </c>
      <c r="T18" s="16">
        <f t="shared" si="1"/>
        <v>39</v>
      </c>
      <c r="U18" s="53">
        <v>398</v>
      </c>
      <c r="V18" s="129">
        <f t="shared" si="2"/>
        <v>3104.3999999999996</v>
      </c>
      <c r="W18" s="53">
        <v>8</v>
      </c>
      <c r="X18" s="127" t="s">
        <v>46</v>
      </c>
      <c r="Y18" s="53" t="s">
        <v>84</v>
      </c>
      <c r="Z18" s="53" t="s">
        <v>50</v>
      </c>
      <c r="AA18" s="53" t="s">
        <v>90</v>
      </c>
      <c r="AB18" s="127" t="s">
        <v>240</v>
      </c>
      <c r="AC18" s="34"/>
      <c r="AE18" s="22"/>
      <c r="AP18" s="27" t="s">
        <v>114</v>
      </c>
      <c r="AR18" s="23" t="s">
        <v>68</v>
      </c>
      <c r="AV18" s="135" t="s">
        <v>306</v>
      </c>
    </row>
    <row r="19" spans="1:48" x14ac:dyDescent="0.15">
      <c r="A19" s="127" t="s">
        <v>61</v>
      </c>
      <c r="B19" s="127" t="s">
        <v>236</v>
      </c>
      <c r="C19" s="127">
        <v>2019</v>
      </c>
      <c r="D19" s="128" t="s">
        <v>284</v>
      </c>
      <c r="E19" s="127" t="s">
        <v>303</v>
      </c>
      <c r="F19" s="127" t="s">
        <v>304</v>
      </c>
      <c r="G19" s="127" t="s">
        <v>42</v>
      </c>
      <c r="H19" s="53" t="s">
        <v>164</v>
      </c>
      <c r="I19" s="53" t="s">
        <v>198</v>
      </c>
      <c r="J19" s="127" t="s">
        <v>38</v>
      </c>
      <c r="K19" s="53" t="s">
        <v>161</v>
      </c>
      <c r="L19" s="53">
        <v>3</v>
      </c>
      <c r="N19" s="53">
        <v>5</v>
      </c>
      <c r="O19" s="53">
        <v>0.55000000000000004</v>
      </c>
      <c r="P19" s="53">
        <v>2.5</v>
      </c>
      <c r="Q19" s="74">
        <f t="shared" si="0"/>
        <v>1.5249999999999999</v>
      </c>
      <c r="R19" s="53">
        <v>11.3</v>
      </c>
      <c r="S19" s="53">
        <v>74</v>
      </c>
      <c r="T19" s="16">
        <f t="shared" si="1"/>
        <v>42</v>
      </c>
      <c r="U19" s="53">
        <v>398</v>
      </c>
      <c r="V19" s="129">
        <f t="shared" si="2"/>
        <v>3343.2</v>
      </c>
      <c r="W19" s="53">
        <v>8</v>
      </c>
      <c r="X19" s="127" t="s">
        <v>46</v>
      </c>
      <c r="Y19" s="53" t="s">
        <v>84</v>
      </c>
      <c r="Z19" s="53" t="s">
        <v>50</v>
      </c>
      <c r="AA19" s="53" t="s">
        <v>90</v>
      </c>
      <c r="AB19" s="127" t="s">
        <v>240</v>
      </c>
      <c r="AC19" s="34"/>
      <c r="AE19" s="35"/>
      <c r="AP19" s="27" t="s">
        <v>115</v>
      </c>
      <c r="AR19" s="23" t="s">
        <v>83</v>
      </c>
      <c r="AV19" s="23"/>
    </row>
    <row r="20" spans="1:48" x14ac:dyDescent="0.15">
      <c r="A20" s="127" t="s">
        <v>61</v>
      </c>
      <c r="B20" s="127" t="s">
        <v>236</v>
      </c>
      <c r="C20" s="127">
        <v>2019</v>
      </c>
      <c r="D20" s="128" t="s">
        <v>284</v>
      </c>
      <c r="E20" s="127" t="s">
        <v>303</v>
      </c>
      <c r="F20" s="127" t="s">
        <v>304</v>
      </c>
      <c r="G20" s="127" t="s">
        <v>42</v>
      </c>
      <c r="H20" s="53" t="s">
        <v>128</v>
      </c>
      <c r="I20" s="53" t="s">
        <v>159</v>
      </c>
      <c r="J20" s="127" t="s">
        <v>80</v>
      </c>
      <c r="K20" s="53" t="s">
        <v>105</v>
      </c>
      <c r="L20" s="53">
        <v>1</v>
      </c>
      <c r="N20" s="53">
        <v>1</v>
      </c>
      <c r="O20" s="53">
        <v>0.5</v>
      </c>
      <c r="P20" s="53">
        <v>0.5</v>
      </c>
      <c r="Q20" s="74">
        <f t="shared" si="0"/>
        <v>0.5</v>
      </c>
      <c r="R20" s="53">
        <v>13.1</v>
      </c>
      <c r="S20" s="53">
        <v>178</v>
      </c>
      <c r="T20" s="16">
        <f t="shared" si="1"/>
        <v>18</v>
      </c>
      <c r="U20" s="53">
        <v>198</v>
      </c>
      <c r="V20" s="129">
        <f t="shared" si="2"/>
        <v>3564</v>
      </c>
      <c r="W20" s="53">
        <v>8</v>
      </c>
      <c r="X20" s="127" t="s">
        <v>46</v>
      </c>
      <c r="Y20" s="53" t="s">
        <v>84</v>
      </c>
      <c r="Z20" s="53" t="s">
        <v>50</v>
      </c>
      <c r="AA20" s="53" t="s">
        <v>90</v>
      </c>
      <c r="AB20" s="127" t="s">
        <v>240</v>
      </c>
      <c r="AC20" s="34"/>
      <c r="AE20" s="22"/>
      <c r="AP20" s="27" t="s">
        <v>113</v>
      </c>
      <c r="AR20" s="23" t="s">
        <v>105</v>
      </c>
      <c r="AV20" s="135" t="s">
        <v>305</v>
      </c>
    </row>
    <row r="21" spans="1:48" x14ac:dyDescent="0.15">
      <c r="A21" s="127" t="s">
        <v>61</v>
      </c>
      <c r="B21" s="127" t="s">
        <v>236</v>
      </c>
      <c r="C21" s="127">
        <v>2019</v>
      </c>
      <c r="D21" s="128" t="s">
        <v>284</v>
      </c>
      <c r="E21" s="127" t="s">
        <v>303</v>
      </c>
      <c r="F21" s="127" t="s">
        <v>304</v>
      </c>
      <c r="G21" s="127" t="s">
        <v>42</v>
      </c>
      <c r="H21" s="53" t="s">
        <v>128</v>
      </c>
      <c r="I21" s="53" t="s">
        <v>159</v>
      </c>
      <c r="J21" s="127" t="s">
        <v>80</v>
      </c>
      <c r="K21" s="53" t="s">
        <v>105</v>
      </c>
      <c r="L21" s="53">
        <v>2</v>
      </c>
      <c r="N21" s="53">
        <v>1</v>
      </c>
      <c r="O21" s="53">
        <v>0.5</v>
      </c>
      <c r="P21" s="53">
        <v>0.5</v>
      </c>
      <c r="Q21" s="74">
        <f t="shared" si="0"/>
        <v>0.5</v>
      </c>
      <c r="R21" s="53">
        <v>11.8</v>
      </c>
      <c r="S21" s="53">
        <v>177</v>
      </c>
      <c r="T21" s="16">
        <f t="shared" si="1"/>
        <v>18</v>
      </c>
      <c r="U21" s="53">
        <v>198</v>
      </c>
      <c r="V21" s="129">
        <f t="shared" si="2"/>
        <v>3564</v>
      </c>
      <c r="W21" s="53">
        <v>8</v>
      </c>
      <c r="X21" s="127" t="s">
        <v>46</v>
      </c>
      <c r="Y21" s="53" t="s">
        <v>84</v>
      </c>
      <c r="Z21" s="53" t="s">
        <v>50</v>
      </c>
      <c r="AA21" s="53" t="s">
        <v>90</v>
      </c>
      <c r="AB21" s="127" t="s">
        <v>240</v>
      </c>
      <c r="AC21" s="34"/>
      <c r="AE21" s="22"/>
      <c r="AP21" s="27" t="s">
        <v>114</v>
      </c>
      <c r="AR21" s="23" t="s">
        <v>68</v>
      </c>
      <c r="AV21" s="135" t="s">
        <v>306</v>
      </c>
    </row>
    <row r="22" spans="1:48" x14ac:dyDescent="0.15">
      <c r="A22" s="127" t="s">
        <v>61</v>
      </c>
      <c r="B22" s="127" t="s">
        <v>236</v>
      </c>
      <c r="C22" s="127">
        <v>2019</v>
      </c>
      <c r="D22" s="128" t="s">
        <v>284</v>
      </c>
      <c r="E22" s="127" t="s">
        <v>303</v>
      </c>
      <c r="F22" s="127" t="s">
        <v>304</v>
      </c>
      <c r="G22" s="127" t="s">
        <v>42</v>
      </c>
      <c r="H22" s="53" t="s">
        <v>128</v>
      </c>
      <c r="I22" s="53" t="s">
        <v>159</v>
      </c>
      <c r="J22" s="127" t="s">
        <v>80</v>
      </c>
      <c r="K22" s="53" t="s">
        <v>105</v>
      </c>
      <c r="L22" s="53">
        <v>3</v>
      </c>
      <c r="N22" s="53">
        <v>1</v>
      </c>
      <c r="O22" s="53">
        <v>0.5</v>
      </c>
      <c r="P22" s="53">
        <v>0.6</v>
      </c>
      <c r="Q22" s="74">
        <f t="shared" si="0"/>
        <v>0.55000000000000004</v>
      </c>
      <c r="R22" s="53">
        <v>12.4</v>
      </c>
      <c r="S22" s="53">
        <v>182</v>
      </c>
      <c r="T22" s="16">
        <f t="shared" si="1"/>
        <v>16</v>
      </c>
      <c r="U22" s="53">
        <v>198</v>
      </c>
      <c r="V22" s="129">
        <f t="shared" si="2"/>
        <v>3168</v>
      </c>
      <c r="W22" s="53">
        <v>8</v>
      </c>
      <c r="X22" s="127" t="s">
        <v>46</v>
      </c>
      <c r="Y22" s="53" t="s">
        <v>84</v>
      </c>
      <c r="Z22" s="53" t="s">
        <v>50</v>
      </c>
      <c r="AA22" s="53" t="s">
        <v>90</v>
      </c>
      <c r="AB22" s="127" t="s">
        <v>240</v>
      </c>
      <c r="AC22" s="34"/>
      <c r="AE22" s="35"/>
      <c r="AP22" s="27" t="s">
        <v>115</v>
      </c>
      <c r="AR22" s="23" t="s">
        <v>83</v>
      </c>
      <c r="AV22" s="23"/>
    </row>
    <row r="23" spans="1:48" x14ac:dyDescent="0.15">
      <c r="A23" s="127" t="s">
        <v>61</v>
      </c>
      <c r="B23" s="127" t="s">
        <v>236</v>
      </c>
      <c r="C23" s="127">
        <v>2019</v>
      </c>
      <c r="D23" s="128" t="s">
        <v>284</v>
      </c>
      <c r="E23" s="127" t="s">
        <v>307</v>
      </c>
      <c r="F23" s="127" t="s">
        <v>308</v>
      </c>
      <c r="G23" s="127" t="s">
        <v>42</v>
      </c>
      <c r="H23" s="53" t="s">
        <v>164</v>
      </c>
      <c r="I23" s="53" t="s">
        <v>198</v>
      </c>
      <c r="J23" s="127" t="s">
        <v>38</v>
      </c>
      <c r="K23" s="53" t="s">
        <v>161</v>
      </c>
      <c r="L23" s="53">
        <v>1</v>
      </c>
      <c r="N23" s="53">
        <v>1</v>
      </c>
      <c r="O23" s="34">
        <v>0.85</v>
      </c>
      <c r="P23" s="53">
        <v>0.95</v>
      </c>
      <c r="Q23" s="74">
        <f t="shared" si="0"/>
        <v>0.89999999999999991</v>
      </c>
      <c r="R23" s="53">
        <v>14.9</v>
      </c>
      <c r="S23" s="53">
        <v>116</v>
      </c>
      <c r="T23" s="16">
        <f t="shared" si="1"/>
        <v>39</v>
      </c>
      <c r="U23" s="53">
        <v>78</v>
      </c>
      <c r="V23" s="129">
        <f t="shared" si="2"/>
        <v>3042</v>
      </c>
      <c r="W23" s="53">
        <v>4</v>
      </c>
      <c r="X23" s="127" t="s">
        <v>39</v>
      </c>
      <c r="Y23" s="53" t="s">
        <v>90</v>
      </c>
      <c r="Z23" s="53" t="s">
        <v>84</v>
      </c>
      <c r="AA23" s="53" t="s">
        <v>50</v>
      </c>
      <c r="AB23" s="127" t="s">
        <v>240</v>
      </c>
      <c r="AC23" s="34"/>
      <c r="AD23" s="34"/>
      <c r="AE23" s="35"/>
      <c r="AP23" s="27" t="s">
        <v>117</v>
      </c>
      <c r="AR23" s="23" t="s">
        <v>153</v>
      </c>
    </row>
    <row r="24" spans="1:48" x14ac:dyDescent="0.15">
      <c r="A24" s="127" t="s">
        <v>61</v>
      </c>
      <c r="B24" s="127" t="s">
        <v>236</v>
      </c>
      <c r="C24" s="127">
        <v>2019</v>
      </c>
      <c r="D24" s="128" t="s">
        <v>284</v>
      </c>
      <c r="E24" s="127" t="s">
        <v>307</v>
      </c>
      <c r="F24" s="127" t="s">
        <v>308</v>
      </c>
      <c r="G24" s="127" t="s">
        <v>42</v>
      </c>
      <c r="H24" s="53" t="s">
        <v>164</v>
      </c>
      <c r="I24" s="53" t="s">
        <v>198</v>
      </c>
      <c r="J24" s="127" t="s">
        <v>38</v>
      </c>
      <c r="K24" s="53" t="s">
        <v>161</v>
      </c>
      <c r="L24" s="53">
        <v>2</v>
      </c>
      <c r="N24" s="53">
        <v>1</v>
      </c>
      <c r="O24" s="34">
        <v>0.85</v>
      </c>
      <c r="P24" s="53">
        <v>0.85</v>
      </c>
      <c r="Q24" s="74">
        <f t="shared" si="0"/>
        <v>0.85</v>
      </c>
      <c r="R24" s="53">
        <v>12.1</v>
      </c>
      <c r="S24" s="53">
        <v>121</v>
      </c>
      <c r="T24" s="16">
        <f t="shared" si="1"/>
        <v>27</v>
      </c>
      <c r="U24" s="53">
        <v>78</v>
      </c>
      <c r="V24" s="129">
        <f t="shared" si="2"/>
        <v>2106</v>
      </c>
      <c r="W24" s="53">
        <v>4</v>
      </c>
      <c r="X24" s="127" t="s">
        <v>39</v>
      </c>
      <c r="Y24" s="53" t="s">
        <v>90</v>
      </c>
      <c r="Z24" s="53" t="s">
        <v>84</v>
      </c>
      <c r="AA24" s="53" t="s">
        <v>50</v>
      </c>
      <c r="AB24" s="127" t="s">
        <v>240</v>
      </c>
      <c r="AC24" s="34"/>
      <c r="AD24" s="34"/>
      <c r="AE24" s="28"/>
      <c r="AP24" s="27" t="s">
        <v>118</v>
      </c>
      <c r="AR24" s="23"/>
    </row>
    <row r="25" spans="1:48" x14ac:dyDescent="0.15">
      <c r="A25" s="127" t="s">
        <v>61</v>
      </c>
      <c r="B25" s="127" t="s">
        <v>236</v>
      </c>
      <c r="C25" s="127">
        <v>2019</v>
      </c>
      <c r="D25" s="128" t="s">
        <v>284</v>
      </c>
      <c r="E25" s="127" t="s">
        <v>307</v>
      </c>
      <c r="F25" s="127" t="s">
        <v>308</v>
      </c>
      <c r="G25" s="127" t="s">
        <v>42</v>
      </c>
      <c r="H25" s="53" t="s">
        <v>164</v>
      </c>
      <c r="I25" s="53" t="s">
        <v>198</v>
      </c>
      <c r="J25" s="127" t="s">
        <v>38</v>
      </c>
      <c r="K25" s="53" t="s">
        <v>161</v>
      </c>
      <c r="L25" s="53">
        <v>3</v>
      </c>
      <c r="N25" s="53">
        <v>1</v>
      </c>
      <c r="O25" s="34">
        <v>0.5</v>
      </c>
      <c r="P25" s="53">
        <v>0.65</v>
      </c>
      <c r="Q25" s="74">
        <f t="shared" si="0"/>
        <v>0.57499999999999996</v>
      </c>
      <c r="R25" s="53">
        <v>11.2</v>
      </c>
      <c r="S25" s="53">
        <v>123</v>
      </c>
      <c r="T25" s="16">
        <f t="shared" si="1"/>
        <v>27</v>
      </c>
      <c r="U25" s="53">
        <v>78</v>
      </c>
      <c r="V25" s="129">
        <f t="shared" si="2"/>
        <v>2106</v>
      </c>
      <c r="W25" s="53">
        <v>4</v>
      </c>
      <c r="X25" s="127" t="s">
        <v>39</v>
      </c>
      <c r="Y25" s="53" t="s">
        <v>90</v>
      </c>
      <c r="Z25" s="53" t="s">
        <v>84</v>
      </c>
      <c r="AA25" s="53" t="s">
        <v>50</v>
      </c>
      <c r="AB25" s="127" t="s">
        <v>240</v>
      </c>
      <c r="AC25" s="34"/>
      <c r="AD25" s="34"/>
      <c r="AP25" s="27"/>
      <c r="AR25" s="23"/>
    </row>
    <row r="26" spans="1:48" x14ac:dyDescent="0.15">
      <c r="A26" s="127" t="s">
        <v>61</v>
      </c>
      <c r="B26" s="127" t="s">
        <v>236</v>
      </c>
      <c r="C26" s="127">
        <v>2019</v>
      </c>
      <c r="D26" s="128" t="s">
        <v>284</v>
      </c>
      <c r="E26" s="127" t="s">
        <v>307</v>
      </c>
      <c r="F26" s="127" t="s">
        <v>308</v>
      </c>
      <c r="G26" s="127" t="s">
        <v>42</v>
      </c>
      <c r="H26" s="53" t="s">
        <v>127</v>
      </c>
      <c r="I26" s="53" t="s">
        <v>159</v>
      </c>
      <c r="J26" s="127" t="s">
        <v>58</v>
      </c>
      <c r="K26" s="53" t="s">
        <v>59</v>
      </c>
      <c r="L26" s="53">
        <v>1</v>
      </c>
      <c r="N26" s="53">
        <v>2</v>
      </c>
      <c r="O26" s="53">
        <v>0.65</v>
      </c>
      <c r="P26" s="53">
        <v>0.75</v>
      </c>
      <c r="Q26" s="74">
        <f t="shared" si="0"/>
        <v>0.7</v>
      </c>
      <c r="R26" s="53">
        <v>11.5</v>
      </c>
      <c r="S26" s="53">
        <v>144</v>
      </c>
      <c r="T26" s="16">
        <f t="shared" si="1"/>
        <v>22</v>
      </c>
      <c r="U26" s="53">
        <v>398</v>
      </c>
      <c r="V26" s="129">
        <f t="shared" si="2"/>
        <v>4378</v>
      </c>
      <c r="W26" s="53">
        <v>4</v>
      </c>
      <c r="X26" s="127" t="s">
        <v>39</v>
      </c>
      <c r="Y26" s="53" t="s">
        <v>90</v>
      </c>
      <c r="Z26" s="53" t="s">
        <v>84</v>
      </c>
      <c r="AA26" s="53" t="s">
        <v>50</v>
      </c>
      <c r="AB26" s="127" t="s">
        <v>240</v>
      </c>
      <c r="AC26" s="34"/>
      <c r="AE26" s="22"/>
      <c r="AP26" s="27" t="s">
        <v>113</v>
      </c>
      <c r="AR26" s="23" t="s">
        <v>105</v>
      </c>
      <c r="AV26" s="135" t="s">
        <v>305</v>
      </c>
    </row>
    <row r="27" spans="1:48" x14ac:dyDescent="0.15">
      <c r="A27" s="127" t="s">
        <v>61</v>
      </c>
      <c r="B27" s="127" t="s">
        <v>236</v>
      </c>
      <c r="C27" s="127">
        <v>2019</v>
      </c>
      <c r="D27" s="128" t="s">
        <v>284</v>
      </c>
      <c r="E27" s="127" t="s">
        <v>307</v>
      </c>
      <c r="F27" s="127" t="s">
        <v>308</v>
      </c>
      <c r="G27" s="127" t="s">
        <v>42</v>
      </c>
      <c r="H27" s="53" t="s">
        <v>127</v>
      </c>
      <c r="I27" s="53" t="s">
        <v>159</v>
      </c>
      <c r="J27" s="127" t="s">
        <v>58</v>
      </c>
      <c r="K27" s="53" t="s">
        <v>59</v>
      </c>
      <c r="L27" s="53">
        <v>2</v>
      </c>
      <c r="N27" s="53">
        <v>2</v>
      </c>
      <c r="O27" s="53">
        <v>0.65</v>
      </c>
      <c r="P27" s="53">
        <v>0.5</v>
      </c>
      <c r="Q27" s="74">
        <f t="shared" si="0"/>
        <v>0.57499999999999996</v>
      </c>
      <c r="R27" s="53">
        <v>11.8</v>
      </c>
      <c r="S27" s="53">
        <v>144</v>
      </c>
      <c r="T27" s="16">
        <f t="shared" si="1"/>
        <v>22</v>
      </c>
      <c r="U27" s="53">
        <v>398</v>
      </c>
      <c r="V27" s="129">
        <f t="shared" si="2"/>
        <v>4378</v>
      </c>
      <c r="W27" s="53">
        <v>4</v>
      </c>
      <c r="X27" s="127" t="s">
        <v>39</v>
      </c>
      <c r="Y27" s="53" t="s">
        <v>90</v>
      </c>
      <c r="Z27" s="53" t="s">
        <v>84</v>
      </c>
      <c r="AA27" s="53" t="s">
        <v>50</v>
      </c>
      <c r="AB27" s="127" t="s">
        <v>240</v>
      </c>
      <c r="AC27" s="34"/>
      <c r="AE27" s="22"/>
      <c r="AP27" s="27" t="s">
        <v>114</v>
      </c>
      <c r="AR27" s="23" t="s">
        <v>68</v>
      </c>
      <c r="AV27" s="135" t="s">
        <v>306</v>
      </c>
    </row>
    <row r="28" spans="1:48" x14ac:dyDescent="0.15">
      <c r="A28" s="127" t="s">
        <v>61</v>
      </c>
      <c r="B28" s="127" t="s">
        <v>236</v>
      </c>
      <c r="C28" s="127">
        <v>2019</v>
      </c>
      <c r="D28" s="128" t="s">
        <v>284</v>
      </c>
      <c r="E28" s="127" t="s">
        <v>307</v>
      </c>
      <c r="F28" s="127" t="s">
        <v>308</v>
      </c>
      <c r="G28" s="127" t="s">
        <v>42</v>
      </c>
      <c r="H28" s="53" t="s">
        <v>127</v>
      </c>
      <c r="I28" s="53" t="s">
        <v>159</v>
      </c>
      <c r="J28" s="127" t="s">
        <v>58</v>
      </c>
      <c r="K28" s="53" t="s">
        <v>59</v>
      </c>
      <c r="L28" s="53">
        <v>3</v>
      </c>
      <c r="N28" s="53">
        <v>2</v>
      </c>
      <c r="O28" s="53">
        <v>0.7</v>
      </c>
      <c r="P28" s="53">
        <v>0.7</v>
      </c>
      <c r="Q28" s="74">
        <f t="shared" si="0"/>
        <v>0.7</v>
      </c>
      <c r="R28" s="53">
        <v>11.4</v>
      </c>
      <c r="S28" s="53">
        <v>155</v>
      </c>
      <c r="T28" s="16">
        <f t="shared" si="1"/>
        <v>18</v>
      </c>
      <c r="U28" s="53">
        <v>398</v>
      </c>
      <c r="V28" s="129">
        <f t="shared" si="2"/>
        <v>3582</v>
      </c>
      <c r="W28" s="53">
        <v>4</v>
      </c>
      <c r="X28" s="127" t="s">
        <v>39</v>
      </c>
      <c r="Y28" s="53" t="s">
        <v>90</v>
      </c>
      <c r="Z28" s="53" t="s">
        <v>84</v>
      </c>
      <c r="AA28" s="53" t="s">
        <v>50</v>
      </c>
      <c r="AB28" s="127" t="s">
        <v>240</v>
      </c>
      <c r="AC28" s="34"/>
      <c r="AE28" s="35"/>
      <c r="AP28" s="27" t="s">
        <v>115</v>
      </c>
      <c r="AR28" s="23" t="s">
        <v>83</v>
      </c>
      <c r="AV28" s="23"/>
    </row>
    <row r="29" spans="1:48" x14ac:dyDescent="0.15">
      <c r="A29" s="127" t="s">
        <v>61</v>
      </c>
      <c r="B29" s="127" t="s">
        <v>236</v>
      </c>
      <c r="C29" s="127">
        <v>2019</v>
      </c>
      <c r="D29" s="128" t="s">
        <v>284</v>
      </c>
      <c r="E29" s="127" t="s">
        <v>309</v>
      </c>
      <c r="F29" s="127" t="s">
        <v>310</v>
      </c>
      <c r="G29" s="127" t="s">
        <v>42</v>
      </c>
      <c r="H29" s="53" t="s">
        <v>164</v>
      </c>
      <c r="I29" s="53" t="s">
        <v>159</v>
      </c>
      <c r="J29" s="127" t="s">
        <v>38</v>
      </c>
      <c r="K29" s="53" t="s">
        <v>161</v>
      </c>
      <c r="L29" s="53">
        <v>1</v>
      </c>
      <c r="N29" s="53">
        <v>1</v>
      </c>
      <c r="O29" s="34">
        <v>0.5</v>
      </c>
      <c r="P29" s="34">
        <v>0.5</v>
      </c>
      <c r="Q29" s="74">
        <f t="shared" si="0"/>
        <v>0.5</v>
      </c>
      <c r="R29" s="53">
        <v>14.9</v>
      </c>
      <c r="S29" s="53">
        <v>121</v>
      </c>
      <c r="T29" s="16">
        <f t="shared" si="1"/>
        <v>27</v>
      </c>
      <c r="U29" s="53">
        <v>98</v>
      </c>
      <c r="V29" s="129">
        <f t="shared" si="2"/>
        <v>2646</v>
      </c>
      <c r="W29" s="53">
        <v>10</v>
      </c>
      <c r="X29" s="127" t="s">
        <v>46</v>
      </c>
      <c r="Y29" s="53" t="s">
        <v>69</v>
      </c>
      <c r="Z29" s="53" t="s">
        <v>90</v>
      </c>
      <c r="AA29" s="53" t="s">
        <v>84</v>
      </c>
      <c r="AB29" s="127" t="s">
        <v>240</v>
      </c>
      <c r="AC29" s="34"/>
    </row>
    <row r="30" spans="1:48" x14ac:dyDescent="0.15">
      <c r="A30" s="127" t="s">
        <v>61</v>
      </c>
      <c r="B30" s="127" t="s">
        <v>236</v>
      </c>
      <c r="C30" s="127">
        <v>2019</v>
      </c>
      <c r="D30" s="128" t="s">
        <v>284</v>
      </c>
      <c r="E30" s="127" t="s">
        <v>309</v>
      </c>
      <c r="F30" s="127" t="s">
        <v>310</v>
      </c>
      <c r="G30" s="127" t="s">
        <v>42</v>
      </c>
      <c r="H30" s="53" t="s">
        <v>164</v>
      </c>
      <c r="I30" s="53" t="s">
        <v>159</v>
      </c>
      <c r="J30" s="127" t="s">
        <v>38</v>
      </c>
      <c r="K30" s="53" t="s">
        <v>161</v>
      </c>
      <c r="L30" s="53">
        <v>2</v>
      </c>
      <c r="N30" s="53">
        <v>1</v>
      </c>
      <c r="O30" s="34">
        <v>0.5</v>
      </c>
      <c r="P30" s="34">
        <v>0.5</v>
      </c>
      <c r="Q30" s="74">
        <f t="shared" si="0"/>
        <v>0.5</v>
      </c>
      <c r="R30" s="53">
        <v>15.3</v>
      </c>
      <c r="S30" s="53">
        <v>114</v>
      </c>
      <c r="T30" s="16">
        <f t="shared" si="1"/>
        <v>39</v>
      </c>
      <c r="U30" s="53">
        <v>98</v>
      </c>
      <c r="V30" s="129">
        <f t="shared" si="2"/>
        <v>3822</v>
      </c>
      <c r="W30" s="53">
        <v>10</v>
      </c>
      <c r="X30" s="127" t="s">
        <v>46</v>
      </c>
      <c r="Y30" s="53" t="s">
        <v>69</v>
      </c>
      <c r="Z30" s="53" t="s">
        <v>90</v>
      </c>
      <c r="AA30" s="53" t="s">
        <v>84</v>
      </c>
      <c r="AB30" s="127" t="s">
        <v>240</v>
      </c>
      <c r="AC30" s="34"/>
    </row>
    <row r="31" spans="1:48" x14ac:dyDescent="0.15">
      <c r="A31" s="127" t="s">
        <v>61</v>
      </c>
      <c r="B31" s="127" t="s">
        <v>236</v>
      </c>
      <c r="C31" s="127">
        <v>2019</v>
      </c>
      <c r="D31" s="128" t="s">
        <v>284</v>
      </c>
      <c r="E31" s="127" t="s">
        <v>309</v>
      </c>
      <c r="F31" s="127" t="s">
        <v>310</v>
      </c>
      <c r="G31" s="127" t="s">
        <v>42</v>
      </c>
      <c r="H31" s="53" t="s">
        <v>164</v>
      </c>
      <c r="I31" s="53" t="s">
        <v>159</v>
      </c>
      <c r="J31" s="127" t="s">
        <v>38</v>
      </c>
      <c r="K31" s="53" t="s">
        <v>161</v>
      </c>
      <c r="L31" s="53">
        <v>3</v>
      </c>
      <c r="N31" s="53">
        <v>1</v>
      </c>
      <c r="O31" s="34">
        <v>0.5</v>
      </c>
      <c r="P31" s="34">
        <v>0.5</v>
      </c>
      <c r="Q31" s="74">
        <f t="shared" si="0"/>
        <v>0.5</v>
      </c>
      <c r="R31" s="53">
        <v>14.8</v>
      </c>
      <c r="S31" s="53">
        <v>119</v>
      </c>
      <c r="T31" s="16">
        <f t="shared" si="1"/>
        <v>39</v>
      </c>
      <c r="U31" s="53">
        <v>98</v>
      </c>
      <c r="V31" s="129">
        <f t="shared" si="2"/>
        <v>3822</v>
      </c>
      <c r="W31" s="53">
        <v>10</v>
      </c>
      <c r="X31" s="127" t="s">
        <v>46</v>
      </c>
      <c r="Y31" s="53" t="s">
        <v>69</v>
      </c>
      <c r="Z31" s="53" t="s">
        <v>90</v>
      </c>
      <c r="AA31" s="53" t="s">
        <v>84</v>
      </c>
      <c r="AB31" s="127" t="s">
        <v>240</v>
      </c>
      <c r="AC31" s="34"/>
    </row>
    <row r="32" spans="1:48" x14ac:dyDescent="0.15">
      <c r="A32" s="127" t="s">
        <v>61</v>
      </c>
      <c r="B32" s="127" t="s">
        <v>236</v>
      </c>
      <c r="C32" s="127">
        <v>2019</v>
      </c>
      <c r="D32" s="128" t="s">
        <v>284</v>
      </c>
      <c r="E32" s="127" t="s">
        <v>291</v>
      </c>
      <c r="F32" s="127" t="s">
        <v>292</v>
      </c>
      <c r="G32" s="127" t="s">
        <v>42</v>
      </c>
      <c r="H32" s="53" t="s">
        <v>164</v>
      </c>
      <c r="I32" s="53" t="s">
        <v>159</v>
      </c>
      <c r="J32" s="127" t="s">
        <v>38</v>
      </c>
      <c r="K32" s="53" t="s">
        <v>161</v>
      </c>
      <c r="L32" s="53">
        <v>1</v>
      </c>
      <c r="N32" s="53">
        <v>4</v>
      </c>
      <c r="O32" s="34">
        <v>0.9</v>
      </c>
      <c r="P32" s="34">
        <v>0.7</v>
      </c>
      <c r="Q32" s="74">
        <f t="shared" si="0"/>
        <v>0.8</v>
      </c>
      <c r="R32" s="53">
        <v>13.4</v>
      </c>
      <c r="S32" s="53">
        <v>111</v>
      </c>
      <c r="T32" s="16">
        <f t="shared" si="1"/>
        <v>39</v>
      </c>
      <c r="U32" s="53">
        <v>321</v>
      </c>
      <c r="V32" s="129">
        <f t="shared" si="2"/>
        <v>3129.75</v>
      </c>
      <c r="W32" s="53">
        <v>4</v>
      </c>
      <c r="X32" s="127" t="s">
        <v>39</v>
      </c>
      <c r="Y32" s="53" t="s">
        <v>90</v>
      </c>
      <c r="Z32" s="53" t="s">
        <v>84</v>
      </c>
      <c r="AA32" s="53" t="s">
        <v>50</v>
      </c>
      <c r="AB32" s="127" t="s">
        <v>240</v>
      </c>
    </row>
    <row r="33" spans="1:29" x14ac:dyDescent="0.15">
      <c r="A33" s="127" t="s">
        <v>61</v>
      </c>
      <c r="B33" s="127" t="s">
        <v>236</v>
      </c>
      <c r="C33" s="127">
        <v>2020</v>
      </c>
      <c r="D33" s="128" t="s">
        <v>284</v>
      </c>
      <c r="E33" s="127" t="s">
        <v>291</v>
      </c>
      <c r="F33" s="127" t="s">
        <v>292</v>
      </c>
      <c r="G33" s="127" t="s">
        <v>42</v>
      </c>
      <c r="H33" s="53" t="s">
        <v>164</v>
      </c>
      <c r="I33" s="53" t="s">
        <v>159</v>
      </c>
      <c r="J33" s="127" t="s">
        <v>38</v>
      </c>
      <c r="K33" s="53" t="s">
        <v>161</v>
      </c>
      <c r="L33" s="53">
        <v>2</v>
      </c>
      <c r="N33" s="53">
        <v>4</v>
      </c>
      <c r="O33" s="34">
        <v>0.95</v>
      </c>
      <c r="P33" s="34">
        <v>0.65</v>
      </c>
      <c r="Q33" s="74">
        <f t="shared" si="0"/>
        <v>0.8</v>
      </c>
      <c r="R33" s="53">
        <v>15.8</v>
      </c>
      <c r="S33" s="53">
        <v>108</v>
      </c>
      <c r="T33" s="16">
        <f t="shared" si="1"/>
        <v>39</v>
      </c>
      <c r="U33" s="53">
        <v>321</v>
      </c>
      <c r="V33" s="129">
        <f t="shared" si="2"/>
        <v>3129.75</v>
      </c>
      <c r="W33" s="53">
        <v>4</v>
      </c>
      <c r="X33" s="127" t="s">
        <v>39</v>
      </c>
      <c r="Y33" s="53" t="s">
        <v>90</v>
      </c>
      <c r="Z33" s="53" t="s">
        <v>84</v>
      </c>
      <c r="AA33" s="53" t="s">
        <v>50</v>
      </c>
      <c r="AB33" s="127" t="s">
        <v>240</v>
      </c>
    </row>
    <row r="34" spans="1:29" x14ac:dyDescent="0.15">
      <c r="A34" s="127" t="s">
        <v>61</v>
      </c>
      <c r="B34" s="127" t="s">
        <v>236</v>
      </c>
      <c r="C34" s="127">
        <v>2021</v>
      </c>
      <c r="D34" s="128" t="s">
        <v>284</v>
      </c>
      <c r="E34" s="127" t="s">
        <v>291</v>
      </c>
      <c r="F34" s="127" t="s">
        <v>292</v>
      </c>
      <c r="G34" s="127" t="s">
        <v>42</v>
      </c>
      <c r="H34" s="53" t="s">
        <v>164</v>
      </c>
      <c r="I34" s="53" t="s">
        <v>159</v>
      </c>
      <c r="J34" s="127" t="s">
        <v>38</v>
      </c>
      <c r="K34" s="53" t="s">
        <v>161</v>
      </c>
      <c r="L34" s="53">
        <v>3</v>
      </c>
      <c r="N34" s="53">
        <v>4</v>
      </c>
      <c r="O34" s="34">
        <v>0.75</v>
      </c>
      <c r="P34" s="34">
        <v>0.75</v>
      </c>
      <c r="Q34" s="74">
        <f t="shared" si="0"/>
        <v>0.75</v>
      </c>
      <c r="R34" s="53">
        <v>15.6</v>
      </c>
      <c r="S34" s="53">
        <v>109</v>
      </c>
      <c r="T34" s="16">
        <f t="shared" si="1"/>
        <v>39</v>
      </c>
      <c r="U34" s="53">
        <v>321</v>
      </c>
      <c r="V34" s="129">
        <f t="shared" si="2"/>
        <v>3129.75</v>
      </c>
      <c r="W34" s="53">
        <v>4</v>
      </c>
      <c r="X34" s="127" t="s">
        <v>39</v>
      </c>
      <c r="Y34" s="53" t="s">
        <v>90</v>
      </c>
      <c r="Z34" s="53" t="s">
        <v>84</v>
      </c>
      <c r="AA34" s="53" t="s">
        <v>50</v>
      </c>
      <c r="AB34" s="127" t="s">
        <v>240</v>
      </c>
    </row>
    <row r="35" spans="1:29" x14ac:dyDescent="0.15">
      <c r="A35" s="127" t="s">
        <v>61</v>
      </c>
      <c r="B35" s="127" t="s">
        <v>236</v>
      </c>
      <c r="C35" s="127">
        <v>2019</v>
      </c>
      <c r="D35" s="128" t="s">
        <v>284</v>
      </c>
      <c r="E35" s="127" t="s">
        <v>133</v>
      </c>
      <c r="F35" s="127" t="s">
        <v>293</v>
      </c>
      <c r="G35" s="127" t="s">
        <v>42</v>
      </c>
      <c r="H35" s="53" t="s">
        <v>164</v>
      </c>
      <c r="I35" s="53" t="s">
        <v>159</v>
      </c>
      <c r="J35" s="127" t="s">
        <v>38</v>
      </c>
      <c r="K35" s="53" t="s">
        <v>161</v>
      </c>
      <c r="L35" s="53">
        <v>1</v>
      </c>
      <c r="N35" s="53">
        <v>1</v>
      </c>
      <c r="O35" s="53">
        <v>0.7</v>
      </c>
      <c r="P35" s="53">
        <v>0.75</v>
      </c>
      <c r="Q35" s="74">
        <f t="shared" si="0"/>
        <v>0.72499999999999998</v>
      </c>
      <c r="R35" s="53">
        <v>16.600000000000001</v>
      </c>
      <c r="S35" s="53">
        <v>108</v>
      </c>
      <c r="T35" s="16">
        <f t="shared" si="1"/>
        <v>39</v>
      </c>
      <c r="U35" s="53">
        <v>98</v>
      </c>
      <c r="V35" s="129">
        <f t="shared" si="2"/>
        <v>3822</v>
      </c>
      <c r="W35" s="53">
        <v>12</v>
      </c>
      <c r="X35" s="127" t="s">
        <v>46</v>
      </c>
      <c r="Y35" s="53" t="s">
        <v>50</v>
      </c>
      <c r="Z35" s="53" t="s">
        <v>84</v>
      </c>
      <c r="AA35" s="53" t="s">
        <v>90</v>
      </c>
      <c r="AB35" s="127" t="s">
        <v>240</v>
      </c>
      <c r="AC35" s="34"/>
    </row>
    <row r="36" spans="1:29" x14ac:dyDescent="0.15">
      <c r="A36" s="127" t="s">
        <v>61</v>
      </c>
      <c r="B36" s="127" t="s">
        <v>236</v>
      </c>
      <c r="C36" s="127">
        <v>2019</v>
      </c>
      <c r="D36" s="128" t="s">
        <v>284</v>
      </c>
      <c r="E36" s="127" t="s">
        <v>133</v>
      </c>
      <c r="F36" s="127" t="s">
        <v>293</v>
      </c>
      <c r="G36" s="127" t="s">
        <v>42</v>
      </c>
      <c r="H36" s="53" t="s">
        <v>164</v>
      </c>
      <c r="I36" s="53" t="s">
        <v>159</v>
      </c>
      <c r="J36" s="127" t="s">
        <v>38</v>
      </c>
      <c r="K36" s="53" t="s">
        <v>161</v>
      </c>
      <c r="L36" s="53">
        <v>2</v>
      </c>
      <c r="N36" s="53">
        <v>1</v>
      </c>
      <c r="O36" s="53">
        <v>0.75</v>
      </c>
      <c r="P36" s="53">
        <v>1</v>
      </c>
      <c r="Q36" s="74">
        <f t="shared" si="0"/>
        <v>0.875</v>
      </c>
      <c r="R36" s="53">
        <v>15.6</v>
      </c>
      <c r="S36" s="53">
        <v>104</v>
      </c>
      <c r="T36" s="16">
        <f t="shared" si="1"/>
        <v>39</v>
      </c>
      <c r="U36" s="53">
        <v>98</v>
      </c>
      <c r="V36" s="129">
        <f t="shared" si="2"/>
        <v>3822</v>
      </c>
      <c r="W36" s="53">
        <v>12</v>
      </c>
      <c r="X36" s="127" t="s">
        <v>46</v>
      </c>
      <c r="Y36" s="53" t="s">
        <v>50</v>
      </c>
      <c r="Z36" s="53" t="s">
        <v>84</v>
      </c>
      <c r="AA36" s="53" t="s">
        <v>90</v>
      </c>
      <c r="AB36" s="127" t="s">
        <v>240</v>
      </c>
      <c r="AC36" s="34"/>
    </row>
    <row r="37" spans="1:29" x14ac:dyDescent="0.15">
      <c r="A37" s="127" t="s">
        <v>61</v>
      </c>
      <c r="B37" s="127" t="s">
        <v>236</v>
      </c>
      <c r="C37" s="127">
        <v>2019</v>
      </c>
      <c r="D37" s="128" t="s">
        <v>284</v>
      </c>
      <c r="E37" s="127" t="s">
        <v>133</v>
      </c>
      <c r="F37" s="127" t="s">
        <v>293</v>
      </c>
      <c r="G37" s="127" t="s">
        <v>42</v>
      </c>
      <c r="H37" s="53" t="s">
        <v>164</v>
      </c>
      <c r="I37" s="53" t="s">
        <v>159</v>
      </c>
      <c r="J37" s="127" t="s">
        <v>38</v>
      </c>
      <c r="K37" s="53" t="s">
        <v>161</v>
      </c>
      <c r="L37" s="53">
        <v>3</v>
      </c>
      <c r="N37" s="53">
        <v>1</v>
      </c>
      <c r="O37" s="53">
        <v>0.8</v>
      </c>
      <c r="P37" s="53">
        <v>0.85</v>
      </c>
      <c r="Q37" s="74">
        <f t="shared" si="0"/>
        <v>0.82499999999999996</v>
      </c>
      <c r="R37" s="53">
        <v>16</v>
      </c>
      <c r="S37" s="53">
        <v>103</v>
      </c>
      <c r="T37" s="16">
        <f t="shared" si="1"/>
        <v>39</v>
      </c>
      <c r="U37" s="53">
        <v>98</v>
      </c>
      <c r="V37" s="129">
        <f t="shared" si="2"/>
        <v>3822</v>
      </c>
      <c r="W37" s="53">
        <v>12</v>
      </c>
      <c r="X37" s="127" t="s">
        <v>46</v>
      </c>
      <c r="Y37" s="53" t="s">
        <v>50</v>
      </c>
      <c r="Z37" s="53" t="s">
        <v>84</v>
      </c>
      <c r="AA37" s="53" t="s">
        <v>90</v>
      </c>
      <c r="AB37" s="127" t="s">
        <v>240</v>
      </c>
      <c r="AC37" s="34"/>
    </row>
    <row r="38" spans="1:29" x14ac:dyDescent="0.15">
      <c r="A38" s="127" t="s">
        <v>61</v>
      </c>
      <c r="B38" s="127" t="s">
        <v>236</v>
      </c>
      <c r="C38" s="127">
        <v>2019</v>
      </c>
      <c r="D38" s="128" t="s">
        <v>284</v>
      </c>
      <c r="E38" s="127" t="s">
        <v>133</v>
      </c>
      <c r="F38" s="127" t="s">
        <v>293</v>
      </c>
      <c r="G38" s="127" t="s">
        <v>42</v>
      </c>
      <c r="H38" s="53" t="s">
        <v>160</v>
      </c>
      <c r="I38" s="53" t="s">
        <v>159</v>
      </c>
      <c r="J38" s="127" t="s">
        <v>80</v>
      </c>
      <c r="K38" s="53" t="s">
        <v>45</v>
      </c>
      <c r="L38" s="53">
        <v>1</v>
      </c>
      <c r="N38" s="53">
        <v>1</v>
      </c>
      <c r="O38" s="53">
        <v>1</v>
      </c>
      <c r="P38" s="53">
        <v>1.3</v>
      </c>
      <c r="Q38" s="74">
        <f t="shared" si="0"/>
        <v>1.1499999999999999</v>
      </c>
      <c r="R38" s="53">
        <v>15.7</v>
      </c>
      <c r="S38" s="53">
        <v>102</v>
      </c>
      <c r="T38" s="16">
        <f t="shared" si="1"/>
        <v>39</v>
      </c>
      <c r="U38" s="53">
        <v>98</v>
      </c>
      <c r="V38" s="129">
        <f t="shared" si="2"/>
        <v>3822</v>
      </c>
      <c r="W38" s="53">
        <v>12</v>
      </c>
      <c r="X38" s="127" t="s">
        <v>46</v>
      </c>
      <c r="Y38" s="53" t="s">
        <v>50</v>
      </c>
      <c r="Z38" s="53" t="s">
        <v>84</v>
      </c>
      <c r="AA38" s="53" t="s">
        <v>90</v>
      </c>
      <c r="AB38" s="127" t="s">
        <v>240</v>
      </c>
      <c r="AC38" s="34"/>
    </row>
    <row r="39" spans="1:29" x14ac:dyDescent="0.15">
      <c r="A39" s="127" t="s">
        <v>61</v>
      </c>
      <c r="B39" s="127" t="s">
        <v>236</v>
      </c>
      <c r="C39" s="127">
        <v>2019</v>
      </c>
      <c r="D39" s="128" t="s">
        <v>284</v>
      </c>
      <c r="E39" s="127" t="s">
        <v>133</v>
      </c>
      <c r="F39" s="127" t="s">
        <v>293</v>
      </c>
      <c r="G39" s="127" t="s">
        <v>42</v>
      </c>
      <c r="H39" s="53" t="s">
        <v>160</v>
      </c>
      <c r="I39" s="53" t="s">
        <v>159</v>
      </c>
      <c r="J39" s="127" t="s">
        <v>80</v>
      </c>
      <c r="K39" s="53" t="s">
        <v>45</v>
      </c>
      <c r="L39" s="53">
        <v>2</v>
      </c>
      <c r="N39" s="53">
        <v>1</v>
      </c>
      <c r="O39" s="53">
        <v>0.8</v>
      </c>
      <c r="P39" s="53">
        <v>0.85</v>
      </c>
      <c r="Q39" s="74">
        <f t="shared" si="0"/>
        <v>0.82499999999999996</v>
      </c>
      <c r="R39" s="53">
        <v>16.2</v>
      </c>
      <c r="S39" s="53">
        <v>100</v>
      </c>
      <c r="T39" s="16">
        <f t="shared" si="1"/>
        <v>39</v>
      </c>
      <c r="U39" s="53">
        <v>98</v>
      </c>
      <c r="V39" s="129">
        <f t="shared" si="2"/>
        <v>3822</v>
      </c>
      <c r="W39" s="53">
        <v>12</v>
      </c>
      <c r="X39" s="127" t="s">
        <v>46</v>
      </c>
      <c r="Y39" s="53" t="s">
        <v>50</v>
      </c>
      <c r="Z39" s="53" t="s">
        <v>84</v>
      </c>
      <c r="AA39" s="53" t="s">
        <v>90</v>
      </c>
      <c r="AB39" s="127" t="s">
        <v>240</v>
      </c>
      <c r="AC39" s="34"/>
    </row>
    <row r="40" spans="1:29" x14ac:dyDescent="0.15">
      <c r="A40" s="127" t="s">
        <v>61</v>
      </c>
      <c r="B40" s="127" t="s">
        <v>236</v>
      </c>
      <c r="C40" s="127">
        <v>2019</v>
      </c>
      <c r="D40" s="128" t="s">
        <v>284</v>
      </c>
      <c r="E40" s="127" t="s">
        <v>133</v>
      </c>
      <c r="F40" s="127" t="s">
        <v>293</v>
      </c>
      <c r="G40" s="127" t="s">
        <v>42</v>
      </c>
      <c r="H40" s="53" t="s">
        <v>160</v>
      </c>
      <c r="I40" s="53" t="s">
        <v>159</v>
      </c>
      <c r="J40" s="127" t="s">
        <v>80</v>
      </c>
      <c r="K40" s="53" t="s">
        <v>45</v>
      </c>
      <c r="L40" s="53">
        <v>3</v>
      </c>
      <c r="N40" s="53">
        <v>1</v>
      </c>
      <c r="O40" s="53">
        <v>0.5</v>
      </c>
      <c r="P40" s="53">
        <v>0.5</v>
      </c>
      <c r="Q40" s="74">
        <f t="shared" si="0"/>
        <v>0.5</v>
      </c>
      <c r="R40" s="53">
        <v>15.7</v>
      </c>
      <c r="S40" s="53">
        <v>109</v>
      </c>
      <c r="T40" s="16">
        <f t="shared" si="1"/>
        <v>39</v>
      </c>
      <c r="U40" s="53">
        <v>98</v>
      </c>
      <c r="V40" s="129">
        <f t="shared" si="2"/>
        <v>3822</v>
      </c>
      <c r="W40" s="53">
        <v>12</v>
      </c>
      <c r="X40" s="127" t="s">
        <v>46</v>
      </c>
      <c r="Y40" s="53" t="s">
        <v>50</v>
      </c>
      <c r="Z40" s="53" t="s">
        <v>84</v>
      </c>
      <c r="AA40" s="53" t="s">
        <v>90</v>
      </c>
      <c r="AB40" s="127" t="s">
        <v>240</v>
      </c>
      <c r="AC40" s="34"/>
    </row>
    <row r="41" spans="1:29" x14ac:dyDescent="0.15">
      <c r="A41" s="127" t="s">
        <v>61</v>
      </c>
      <c r="B41" s="127" t="s">
        <v>236</v>
      </c>
      <c r="C41" s="127">
        <v>2019</v>
      </c>
      <c r="D41" s="128" t="s">
        <v>284</v>
      </c>
      <c r="E41" s="127" t="s">
        <v>133</v>
      </c>
      <c r="F41" s="127" t="s">
        <v>293</v>
      </c>
      <c r="G41" s="127" t="s">
        <v>42</v>
      </c>
      <c r="H41" s="53" t="s">
        <v>127</v>
      </c>
      <c r="I41" s="53" t="s">
        <v>159</v>
      </c>
      <c r="J41" s="127" t="s">
        <v>58</v>
      </c>
      <c r="K41" s="53" t="s">
        <v>59</v>
      </c>
      <c r="L41" s="53">
        <v>1</v>
      </c>
      <c r="N41" s="53">
        <v>1</v>
      </c>
      <c r="O41" s="53">
        <v>0.5</v>
      </c>
      <c r="P41" s="53">
        <v>0.5</v>
      </c>
      <c r="Q41" s="74">
        <f t="shared" si="0"/>
        <v>0.5</v>
      </c>
      <c r="R41" s="53">
        <v>14.6</v>
      </c>
      <c r="S41" s="53">
        <v>109</v>
      </c>
      <c r="T41" s="16">
        <f t="shared" si="1"/>
        <v>39</v>
      </c>
      <c r="U41" s="53">
        <v>148</v>
      </c>
      <c r="V41" s="129">
        <f t="shared" si="2"/>
        <v>5772</v>
      </c>
      <c r="W41" s="53">
        <v>12</v>
      </c>
      <c r="X41" s="127" t="s">
        <v>46</v>
      </c>
      <c r="Y41" s="53" t="s">
        <v>50</v>
      </c>
      <c r="Z41" s="53" t="s">
        <v>84</v>
      </c>
      <c r="AA41" s="53" t="s">
        <v>90</v>
      </c>
      <c r="AB41" s="127" t="s">
        <v>240</v>
      </c>
      <c r="AC41" s="34"/>
    </row>
    <row r="42" spans="1:29" x14ac:dyDescent="0.15">
      <c r="A42" s="127" t="s">
        <v>61</v>
      </c>
      <c r="B42" s="127" t="s">
        <v>236</v>
      </c>
      <c r="C42" s="127">
        <v>2019</v>
      </c>
      <c r="D42" s="128" t="s">
        <v>284</v>
      </c>
      <c r="E42" s="127" t="s">
        <v>133</v>
      </c>
      <c r="F42" s="127" t="s">
        <v>293</v>
      </c>
      <c r="G42" s="127" t="s">
        <v>42</v>
      </c>
      <c r="H42" s="53" t="s">
        <v>127</v>
      </c>
      <c r="I42" s="53" t="s">
        <v>159</v>
      </c>
      <c r="J42" s="127" t="s">
        <v>58</v>
      </c>
      <c r="K42" s="53" t="s">
        <v>59</v>
      </c>
      <c r="L42" s="53">
        <v>2</v>
      </c>
      <c r="N42" s="53">
        <v>1</v>
      </c>
      <c r="O42" s="53">
        <v>0.5</v>
      </c>
      <c r="P42" s="53">
        <v>0.5</v>
      </c>
      <c r="Q42" s="74">
        <f t="shared" si="0"/>
        <v>0.5</v>
      </c>
      <c r="R42" s="53">
        <v>11.7</v>
      </c>
      <c r="S42" s="53">
        <v>113</v>
      </c>
      <c r="T42" s="16">
        <f t="shared" si="1"/>
        <v>39</v>
      </c>
      <c r="U42" s="53">
        <v>148</v>
      </c>
      <c r="V42" s="129">
        <f t="shared" si="2"/>
        <v>5772</v>
      </c>
      <c r="W42" s="53">
        <v>12</v>
      </c>
      <c r="X42" s="127" t="s">
        <v>46</v>
      </c>
      <c r="Y42" s="53" t="s">
        <v>50</v>
      </c>
      <c r="Z42" s="53" t="s">
        <v>84</v>
      </c>
      <c r="AA42" s="53" t="s">
        <v>90</v>
      </c>
      <c r="AB42" s="127" t="s">
        <v>240</v>
      </c>
      <c r="AC42" s="34"/>
    </row>
    <row r="43" spans="1:29" x14ac:dyDescent="0.15">
      <c r="A43" s="127" t="s">
        <v>61</v>
      </c>
      <c r="B43" s="127" t="s">
        <v>236</v>
      </c>
      <c r="C43" s="127">
        <v>2019</v>
      </c>
      <c r="D43" s="128" t="s">
        <v>284</v>
      </c>
      <c r="E43" s="127" t="s">
        <v>133</v>
      </c>
      <c r="F43" s="127" t="s">
        <v>293</v>
      </c>
      <c r="G43" s="127" t="s">
        <v>42</v>
      </c>
      <c r="H43" s="53" t="s">
        <v>127</v>
      </c>
      <c r="I43" s="53" t="s">
        <v>159</v>
      </c>
      <c r="J43" s="127" t="s">
        <v>58</v>
      </c>
      <c r="K43" s="53" t="s">
        <v>59</v>
      </c>
      <c r="L43" s="53">
        <v>3</v>
      </c>
      <c r="N43" s="53">
        <v>1</v>
      </c>
      <c r="O43" s="53">
        <v>0.5</v>
      </c>
      <c r="P43" s="53">
        <v>0.5</v>
      </c>
      <c r="Q43" s="74">
        <f t="shared" si="0"/>
        <v>0.5</v>
      </c>
      <c r="R43" s="53">
        <v>13.2</v>
      </c>
      <c r="S43" s="53">
        <v>117</v>
      </c>
      <c r="T43" s="16">
        <f t="shared" si="1"/>
        <v>39</v>
      </c>
      <c r="U43" s="53">
        <v>148</v>
      </c>
      <c r="V43" s="129">
        <f t="shared" si="2"/>
        <v>5772</v>
      </c>
      <c r="W43" s="53">
        <v>12</v>
      </c>
      <c r="X43" s="127" t="s">
        <v>46</v>
      </c>
      <c r="Y43" s="53" t="s">
        <v>50</v>
      </c>
      <c r="Z43" s="53" t="s">
        <v>84</v>
      </c>
      <c r="AA43" s="53" t="s">
        <v>90</v>
      </c>
      <c r="AB43" s="127" t="s">
        <v>240</v>
      </c>
      <c r="AC43" s="34"/>
    </row>
    <row r="44" spans="1:29" x14ac:dyDescent="0.15">
      <c r="A44" s="127" t="s">
        <v>61</v>
      </c>
      <c r="B44" s="127" t="s">
        <v>236</v>
      </c>
      <c r="C44" s="127">
        <v>2019</v>
      </c>
      <c r="D44" s="128" t="s">
        <v>284</v>
      </c>
      <c r="E44" s="127" t="s">
        <v>294</v>
      </c>
      <c r="F44" s="127" t="s">
        <v>295</v>
      </c>
      <c r="G44" s="127" t="s">
        <v>42</v>
      </c>
      <c r="H44" s="53" t="s">
        <v>164</v>
      </c>
      <c r="I44" s="53" t="s">
        <v>198</v>
      </c>
      <c r="J44" s="127" t="s">
        <v>38</v>
      </c>
      <c r="K44" s="53" t="s">
        <v>161</v>
      </c>
      <c r="L44" s="53">
        <v>1</v>
      </c>
      <c r="N44" s="53">
        <v>5</v>
      </c>
      <c r="O44" s="53">
        <v>0.6</v>
      </c>
      <c r="P44" s="53">
        <v>0.7</v>
      </c>
      <c r="Q44" s="74">
        <f t="shared" si="0"/>
        <v>0.64999999999999991</v>
      </c>
      <c r="R44" s="53">
        <v>14.3</v>
      </c>
      <c r="S44" s="53">
        <v>71</v>
      </c>
      <c r="T44" s="16">
        <f t="shared" si="1"/>
        <v>42</v>
      </c>
      <c r="U44" s="53">
        <v>398</v>
      </c>
      <c r="V44" s="129">
        <f t="shared" si="2"/>
        <v>3343.2</v>
      </c>
      <c r="W44" s="53">
        <v>2</v>
      </c>
      <c r="X44" s="127" t="s">
        <v>39</v>
      </c>
      <c r="Y44" s="53" t="s">
        <v>50</v>
      </c>
      <c r="Z44" s="53" t="s">
        <v>84</v>
      </c>
      <c r="AA44" s="53" t="s">
        <v>90</v>
      </c>
      <c r="AB44" s="127" t="s">
        <v>240</v>
      </c>
      <c r="AC44" s="34"/>
    </row>
    <row r="45" spans="1:29" x14ac:dyDescent="0.15">
      <c r="A45" s="127" t="s">
        <v>61</v>
      </c>
      <c r="B45" s="127" t="s">
        <v>236</v>
      </c>
      <c r="C45" s="127">
        <v>2019</v>
      </c>
      <c r="D45" s="128" t="s">
        <v>284</v>
      </c>
      <c r="E45" s="127" t="s">
        <v>294</v>
      </c>
      <c r="F45" s="127" t="s">
        <v>295</v>
      </c>
      <c r="G45" s="127" t="s">
        <v>42</v>
      </c>
      <c r="H45" s="53" t="s">
        <v>164</v>
      </c>
      <c r="I45" s="53" t="s">
        <v>198</v>
      </c>
      <c r="J45" s="127" t="s">
        <v>38</v>
      </c>
      <c r="K45" s="53" t="s">
        <v>161</v>
      </c>
      <c r="L45" s="53">
        <v>2</v>
      </c>
      <c r="N45" s="53">
        <v>5</v>
      </c>
      <c r="O45" s="53">
        <v>0.6</v>
      </c>
      <c r="P45" s="53">
        <v>0.7</v>
      </c>
      <c r="Q45" s="74">
        <f t="shared" si="0"/>
        <v>0.64999999999999991</v>
      </c>
      <c r="R45" s="53">
        <v>14.2</v>
      </c>
      <c r="S45" s="53">
        <v>73</v>
      </c>
      <c r="T45" s="16">
        <f t="shared" si="1"/>
        <v>42</v>
      </c>
      <c r="U45" s="53">
        <v>398</v>
      </c>
      <c r="V45" s="129">
        <f t="shared" si="2"/>
        <v>3343.2</v>
      </c>
      <c r="W45" s="53">
        <v>2</v>
      </c>
      <c r="X45" s="127" t="s">
        <v>39</v>
      </c>
      <c r="Y45" s="53" t="s">
        <v>50</v>
      </c>
      <c r="Z45" s="53" t="s">
        <v>84</v>
      </c>
      <c r="AA45" s="53" t="s">
        <v>90</v>
      </c>
      <c r="AB45" s="127" t="s">
        <v>240</v>
      </c>
      <c r="AC45" s="34"/>
    </row>
    <row r="46" spans="1:29" x14ac:dyDescent="0.15">
      <c r="A46" s="127" t="s">
        <v>61</v>
      </c>
      <c r="B46" s="127" t="s">
        <v>236</v>
      </c>
      <c r="C46" s="127">
        <v>2019</v>
      </c>
      <c r="D46" s="128" t="s">
        <v>284</v>
      </c>
      <c r="E46" s="127" t="s">
        <v>294</v>
      </c>
      <c r="F46" s="127" t="s">
        <v>295</v>
      </c>
      <c r="G46" s="127" t="s">
        <v>42</v>
      </c>
      <c r="H46" s="53" t="s">
        <v>164</v>
      </c>
      <c r="I46" s="53" t="s">
        <v>198</v>
      </c>
      <c r="J46" s="127" t="s">
        <v>38</v>
      </c>
      <c r="K46" s="53" t="s">
        <v>161</v>
      </c>
      <c r="L46" s="53">
        <v>3</v>
      </c>
      <c r="N46" s="53">
        <v>5</v>
      </c>
      <c r="O46" s="53">
        <v>0.5</v>
      </c>
      <c r="P46" s="53">
        <v>0.6</v>
      </c>
      <c r="Q46" s="74">
        <f t="shared" si="0"/>
        <v>0.55000000000000004</v>
      </c>
      <c r="R46" s="53">
        <v>15.5</v>
      </c>
      <c r="S46" s="53">
        <v>78</v>
      </c>
      <c r="T46" s="16">
        <f t="shared" si="1"/>
        <v>39</v>
      </c>
      <c r="U46" s="53">
        <v>398</v>
      </c>
      <c r="V46" s="129">
        <f t="shared" si="2"/>
        <v>3104.3999999999996</v>
      </c>
      <c r="W46" s="53">
        <v>2</v>
      </c>
      <c r="X46" s="127" t="s">
        <v>39</v>
      </c>
      <c r="Y46" s="53" t="s">
        <v>50</v>
      </c>
      <c r="Z46" s="53" t="s">
        <v>84</v>
      </c>
      <c r="AA46" s="53" t="s">
        <v>90</v>
      </c>
      <c r="AB46" s="127" t="s">
        <v>240</v>
      </c>
      <c r="AC46" s="34"/>
    </row>
    <row r="47" spans="1:29" x14ac:dyDescent="0.15">
      <c r="A47" s="127" t="s">
        <v>61</v>
      </c>
      <c r="B47" s="127" t="s">
        <v>236</v>
      </c>
      <c r="C47" s="127">
        <v>2019</v>
      </c>
      <c r="D47" s="128" t="s">
        <v>284</v>
      </c>
      <c r="E47" s="127" t="s">
        <v>296</v>
      </c>
      <c r="F47" s="127" t="s">
        <v>295</v>
      </c>
      <c r="G47" s="127" t="s">
        <v>42</v>
      </c>
      <c r="H47" s="53" t="s">
        <v>164</v>
      </c>
      <c r="I47" s="53" t="s">
        <v>159</v>
      </c>
      <c r="J47" s="127" t="s">
        <v>38</v>
      </c>
      <c r="K47" s="53" t="s">
        <v>161</v>
      </c>
      <c r="L47" s="53">
        <v>1</v>
      </c>
      <c r="N47" s="53">
        <v>1</v>
      </c>
      <c r="O47" s="53">
        <v>0.85</v>
      </c>
      <c r="P47" s="53">
        <v>0.8</v>
      </c>
      <c r="Q47" s="74">
        <f t="shared" si="0"/>
        <v>0.82499999999999996</v>
      </c>
      <c r="R47" s="53">
        <v>16.100000000000001</v>
      </c>
      <c r="S47" s="53">
        <v>116</v>
      </c>
      <c r="T47" s="16">
        <f t="shared" si="1"/>
        <v>39</v>
      </c>
      <c r="U47" s="53">
        <v>159</v>
      </c>
      <c r="V47" s="129">
        <f t="shared" si="2"/>
        <v>6201</v>
      </c>
      <c r="W47" s="53">
        <v>10</v>
      </c>
      <c r="X47" s="127" t="s">
        <v>46</v>
      </c>
      <c r="Y47" s="53" t="s">
        <v>90</v>
      </c>
      <c r="Z47" s="53" t="s">
        <v>84</v>
      </c>
      <c r="AA47" s="53" t="s">
        <v>69</v>
      </c>
      <c r="AB47" s="127" t="s">
        <v>240</v>
      </c>
      <c r="AC47" s="34"/>
    </row>
    <row r="48" spans="1:29" x14ac:dyDescent="0.15">
      <c r="A48" s="127" t="s">
        <v>61</v>
      </c>
      <c r="B48" s="127" t="s">
        <v>236</v>
      </c>
      <c r="C48" s="127">
        <v>2019</v>
      </c>
      <c r="D48" s="128" t="s">
        <v>284</v>
      </c>
      <c r="E48" s="127" t="s">
        <v>296</v>
      </c>
      <c r="F48" s="127" t="s">
        <v>295</v>
      </c>
      <c r="G48" s="127" t="s">
        <v>42</v>
      </c>
      <c r="H48" s="53" t="s">
        <v>164</v>
      </c>
      <c r="I48" s="53" t="s">
        <v>159</v>
      </c>
      <c r="J48" s="127" t="s">
        <v>38</v>
      </c>
      <c r="K48" s="53" t="s">
        <v>161</v>
      </c>
      <c r="L48" s="53">
        <v>2</v>
      </c>
      <c r="N48" s="53">
        <v>1</v>
      </c>
      <c r="O48" s="53">
        <v>0.75</v>
      </c>
      <c r="P48" s="53">
        <v>0.7</v>
      </c>
      <c r="Q48" s="74">
        <f t="shared" si="0"/>
        <v>0.72499999999999998</v>
      </c>
      <c r="R48" s="53">
        <v>16.8</v>
      </c>
      <c r="S48" s="53">
        <v>118</v>
      </c>
      <c r="T48" s="16">
        <f t="shared" si="1"/>
        <v>39</v>
      </c>
      <c r="U48" s="53">
        <v>159</v>
      </c>
      <c r="V48" s="129">
        <f t="shared" si="2"/>
        <v>6201</v>
      </c>
      <c r="W48" s="53">
        <v>10</v>
      </c>
      <c r="X48" s="127" t="s">
        <v>46</v>
      </c>
      <c r="Y48" s="53" t="s">
        <v>90</v>
      </c>
      <c r="Z48" s="53" t="s">
        <v>84</v>
      </c>
      <c r="AA48" s="53" t="s">
        <v>69</v>
      </c>
      <c r="AB48" s="127" t="s">
        <v>240</v>
      </c>
      <c r="AC48" s="34"/>
    </row>
    <row r="49" spans="1:29" x14ac:dyDescent="0.15">
      <c r="A49" s="127" t="s">
        <v>61</v>
      </c>
      <c r="B49" s="127" t="s">
        <v>236</v>
      </c>
      <c r="C49" s="127">
        <v>2019</v>
      </c>
      <c r="D49" s="128" t="s">
        <v>284</v>
      </c>
      <c r="E49" s="127" t="s">
        <v>296</v>
      </c>
      <c r="F49" s="127" t="s">
        <v>295</v>
      </c>
      <c r="G49" s="127" t="s">
        <v>42</v>
      </c>
      <c r="H49" s="53" t="s">
        <v>164</v>
      </c>
      <c r="I49" s="53" t="s">
        <v>159</v>
      </c>
      <c r="J49" s="127" t="s">
        <v>38</v>
      </c>
      <c r="K49" s="53" t="s">
        <v>161</v>
      </c>
      <c r="L49" s="53">
        <v>3</v>
      </c>
      <c r="N49" s="53">
        <v>1</v>
      </c>
      <c r="O49" s="53">
        <v>0.9</v>
      </c>
      <c r="P49" s="53">
        <v>0.5</v>
      </c>
      <c r="Q49" s="74">
        <f t="shared" si="0"/>
        <v>0.7</v>
      </c>
      <c r="R49" s="53">
        <v>16.3</v>
      </c>
      <c r="S49" s="53">
        <v>120</v>
      </c>
      <c r="T49" s="16">
        <f t="shared" si="1"/>
        <v>39</v>
      </c>
      <c r="U49" s="53">
        <v>159</v>
      </c>
      <c r="V49" s="129">
        <f t="shared" si="2"/>
        <v>6201</v>
      </c>
      <c r="W49" s="53">
        <v>10</v>
      </c>
      <c r="X49" s="127" t="s">
        <v>46</v>
      </c>
      <c r="Y49" s="53" t="s">
        <v>90</v>
      </c>
      <c r="Z49" s="53" t="s">
        <v>84</v>
      </c>
      <c r="AA49" s="53" t="s">
        <v>69</v>
      </c>
      <c r="AB49" s="127" t="s">
        <v>240</v>
      </c>
      <c r="AC49" s="34"/>
    </row>
    <row r="50" spans="1:29" x14ac:dyDescent="0.15">
      <c r="A50" s="127" t="s">
        <v>61</v>
      </c>
      <c r="B50" s="127" t="s">
        <v>236</v>
      </c>
      <c r="C50" s="127">
        <v>2019</v>
      </c>
      <c r="D50" s="128" t="s">
        <v>284</v>
      </c>
      <c r="E50" s="127" t="s">
        <v>296</v>
      </c>
      <c r="F50" s="127" t="s">
        <v>295</v>
      </c>
      <c r="G50" s="127" t="s">
        <v>42</v>
      </c>
      <c r="H50" s="53" t="s">
        <v>160</v>
      </c>
      <c r="I50" s="53" t="s">
        <v>159</v>
      </c>
      <c r="J50" s="127" t="s">
        <v>38</v>
      </c>
      <c r="K50" s="53" t="s">
        <v>161</v>
      </c>
      <c r="L50" s="53">
        <v>1</v>
      </c>
      <c r="N50" s="53">
        <v>3</v>
      </c>
      <c r="O50" s="53">
        <v>0.9</v>
      </c>
      <c r="P50" s="53">
        <v>0.65</v>
      </c>
      <c r="Q50" s="74">
        <f t="shared" si="0"/>
        <v>0.77500000000000002</v>
      </c>
      <c r="R50" s="53">
        <v>20.9</v>
      </c>
      <c r="S50" s="53">
        <v>104</v>
      </c>
      <c r="T50" s="16">
        <f t="shared" si="1"/>
        <v>39</v>
      </c>
      <c r="U50" s="53">
        <v>429</v>
      </c>
      <c r="V50" s="129">
        <f t="shared" si="2"/>
        <v>5577</v>
      </c>
      <c r="W50" s="53">
        <v>10</v>
      </c>
      <c r="X50" s="127" t="s">
        <v>46</v>
      </c>
      <c r="Y50" s="53" t="s">
        <v>90</v>
      </c>
      <c r="Z50" s="53" t="s">
        <v>84</v>
      </c>
      <c r="AA50" s="53" t="s">
        <v>69</v>
      </c>
      <c r="AB50" s="127" t="s">
        <v>240</v>
      </c>
    </row>
    <row r="51" spans="1:29" x14ac:dyDescent="0.15">
      <c r="A51" s="127" t="s">
        <v>61</v>
      </c>
      <c r="B51" s="127" t="s">
        <v>236</v>
      </c>
      <c r="C51" s="127">
        <v>2019</v>
      </c>
      <c r="D51" s="128" t="s">
        <v>284</v>
      </c>
      <c r="E51" s="127" t="s">
        <v>296</v>
      </c>
      <c r="F51" s="127" t="s">
        <v>295</v>
      </c>
      <c r="G51" s="127" t="s">
        <v>42</v>
      </c>
      <c r="H51" s="53" t="s">
        <v>160</v>
      </c>
      <c r="I51" s="53" t="s">
        <v>159</v>
      </c>
      <c r="J51" s="127" t="s">
        <v>38</v>
      </c>
      <c r="K51" s="53" t="s">
        <v>161</v>
      </c>
      <c r="L51" s="53">
        <v>2</v>
      </c>
      <c r="N51" s="53">
        <v>3</v>
      </c>
      <c r="O51" s="53">
        <v>1.5</v>
      </c>
      <c r="P51" s="53">
        <v>1.5</v>
      </c>
      <c r="Q51" s="74">
        <f t="shared" si="0"/>
        <v>1.5</v>
      </c>
      <c r="R51" s="53">
        <v>16</v>
      </c>
      <c r="S51" s="53">
        <v>94</v>
      </c>
      <c r="T51" s="16">
        <f t="shared" si="1"/>
        <v>39</v>
      </c>
      <c r="U51" s="53">
        <v>429</v>
      </c>
      <c r="V51" s="129">
        <f t="shared" si="2"/>
        <v>5577</v>
      </c>
      <c r="W51" s="53">
        <v>10</v>
      </c>
      <c r="X51" s="127" t="s">
        <v>46</v>
      </c>
      <c r="Y51" s="53" t="s">
        <v>90</v>
      </c>
      <c r="Z51" s="53" t="s">
        <v>84</v>
      </c>
      <c r="AA51" s="53" t="s">
        <v>69</v>
      </c>
      <c r="AB51" s="127" t="s">
        <v>240</v>
      </c>
    </row>
    <row r="52" spans="1:29" x14ac:dyDescent="0.15">
      <c r="A52" s="127" t="s">
        <v>61</v>
      </c>
      <c r="B52" s="127" t="s">
        <v>236</v>
      </c>
      <c r="C52" s="127">
        <v>2019</v>
      </c>
      <c r="D52" s="128" t="s">
        <v>284</v>
      </c>
      <c r="E52" s="127" t="s">
        <v>296</v>
      </c>
      <c r="F52" s="127" t="s">
        <v>295</v>
      </c>
      <c r="G52" s="127" t="s">
        <v>42</v>
      </c>
      <c r="H52" s="53" t="s">
        <v>160</v>
      </c>
      <c r="I52" s="53" t="s">
        <v>159</v>
      </c>
      <c r="J52" s="127" t="s">
        <v>38</v>
      </c>
      <c r="K52" s="53" t="s">
        <v>161</v>
      </c>
      <c r="L52" s="53">
        <v>3</v>
      </c>
      <c r="N52" s="53">
        <v>3</v>
      </c>
      <c r="O52" s="53">
        <v>0.75</v>
      </c>
      <c r="P52" s="53">
        <v>0.7</v>
      </c>
      <c r="Q52" s="74">
        <f t="shared" si="0"/>
        <v>0.72499999999999998</v>
      </c>
      <c r="R52" s="53">
        <v>15.4</v>
      </c>
      <c r="S52" s="53">
        <v>95</v>
      </c>
      <c r="T52" s="16">
        <f t="shared" si="1"/>
        <v>39</v>
      </c>
      <c r="U52" s="53">
        <v>429</v>
      </c>
      <c r="V52" s="129">
        <f t="shared" si="2"/>
        <v>5577</v>
      </c>
      <c r="W52" s="53">
        <v>10</v>
      </c>
      <c r="X52" s="127" t="s">
        <v>46</v>
      </c>
      <c r="Y52" s="53" t="s">
        <v>90</v>
      </c>
      <c r="Z52" s="53" t="s">
        <v>84</v>
      </c>
      <c r="AA52" s="53" t="s">
        <v>69</v>
      </c>
      <c r="AB52" s="127" t="s">
        <v>240</v>
      </c>
    </row>
    <row r="53" spans="1:29" x14ac:dyDescent="0.15">
      <c r="A53" s="127" t="s">
        <v>61</v>
      </c>
      <c r="B53" s="127" t="s">
        <v>236</v>
      </c>
      <c r="C53" s="127">
        <v>2019</v>
      </c>
      <c r="D53" s="128" t="s">
        <v>284</v>
      </c>
      <c r="E53" s="127" t="s">
        <v>296</v>
      </c>
      <c r="F53" s="127" t="s">
        <v>295</v>
      </c>
      <c r="G53" s="127" t="s">
        <v>42</v>
      </c>
      <c r="H53" s="53" t="s">
        <v>128</v>
      </c>
      <c r="I53" s="53" t="s">
        <v>159</v>
      </c>
      <c r="J53" s="127" t="s">
        <v>80</v>
      </c>
      <c r="K53" s="53" t="s">
        <v>45</v>
      </c>
      <c r="L53" s="53">
        <v>1</v>
      </c>
      <c r="N53" s="53">
        <v>5</v>
      </c>
      <c r="O53" s="53">
        <v>1.85</v>
      </c>
      <c r="P53" s="53">
        <v>2.25</v>
      </c>
      <c r="Q53" s="74">
        <f t="shared" si="0"/>
        <v>2.0499999999999998</v>
      </c>
      <c r="R53" s="53">
        <v>14.8</v>
      </c>
      <c r="S53" s="53">
        <v>92</v>
      </c>
      <c r="T53" s="16">
        <f t="shared" si="1"/>
        <v>39</v>
      </c>
      <c r="U53" s="53">
        <v>429</v>
      </c>
      <c r="V53" s="129">
        <f t="shared" si="2"/>
        <v>3346.2</v>
      </c>
      <c r="W53" s="53">
        <v>10</v>
      </c>
      <c r="X53" s="127" t="s">
        <v>46</v>
      </c>
      <c r="Y53" s="53" t="s">
        <v>90</v>
      </c>
      <c r="Z53" s="53" t="s">
        <v>84</v>
      </c>
      <c r="AA53" s="53" t="s">
        <v>69</v>
      </c>
      <c r="AB53" s="127" t="s">
        <v>240</v>
      </c>
      <c r="AC53" s="34"/>
    </row>
    <row r="54" spans="1:29" x14ac:dyDescent="0.15">
      <c r="A54" s="127" t="s">
        <v>61</v>
      </c>
      <c r="B54" s="127" t="s">
        <v>236</v>
      </c>
      <c r="C54" s="127">
        <v>2019</v>
      </c>
      <c r="D54" s="128" t="s">
        <v>284</v>
      </c>
      <c r="E54" s="127" t="s">
        <v>296</v>
      </c>
      <c r="F54" s="127" t="s">
        <v>295</v>
      </c>
      <c r="G54" s="127" t="s">
        <v>42</v>
      </c>
      <c r="H54" s="53" t="s">
        <v>128</v>
      </c>
      <c r="I54" s="53" t="s">
        <v>159</v>
      </c>
      <c r="J54" s="127" t="s">
        <v>80</v>
      </c>
      <c r="K54" s="53" t="s">
        <v>45</v>
      </c>
      <c r="L54" s="53">
        <v>2</v>
      </c>
      <c r="N54" s="53">
        <v>5</v>
      </c>
      <c r="O54" s="53">
        <v>1.9</v>
      </c>
      <c r="P54" s="53">
        <v>2.0499999999999998</v>
      </c>
      <c r="Q54" s="74">
        <f t="shared" si="0"/>
        <v>1.9749999999999999</v>
      </c>
      <c r="R54" s="53">
        <v>14.3</v>
      </c>
      <c r="S54" s="53">
        <v>94</v>
      </c>
      <c r="T54" s="16">
        <f t="shared" si="1"/>
        <v>39</v>
      </c>
      <c r="U54" s="53">
        <v>429</v>
      </c>
      <c r="V54" s="129">
        <f t="shared" si="2"/>
        <v>3346.2</v>
      </c>
      <c r="W54" s="53">
        <v>10</v>
      </c>
      <c r="X54" s="127" t="s">
        <v>46</v>
      </c>
      <c r="Y54" s="53" t="s">
        <v>90</v>
      </c>
      <c r="Z54" s="53" t="s">
        <v>84</v>
      </c>
      <c r="AA54" s="53" t="s">
        <v>69</v>
      </c>
      <c r="AB54" s="127" t="s">
        <v>240</v>
      </c>
      <c r="AC54" s="34"/>
    </row>
    <row r="55" spans="1:29" x14ac:dyDescent="0.15">
      <c r="A55" s="127" t="s">
        <v>61</v>
      </c>
      <c r="B55" s="127" t="s">
        <v>236</v>
      </c>
      <c r="C55" s="127">
        <v>2019</v>
      </c>
      <c r="D55" s="128" t="s">
        <v>284</v>
      </c>
      <c r="E55" s="127" t="s">
        <v>296</v>
      </c>
      <c r="F55" s="127" t="s">
        <v>295</v>
      </c>
      <c r="G55" s="127" t="s">
        <v>42</v>
      </c>
      <c r="H55" s="53" t="s">
        <v>128</v>
      </c>
      <c r="I55" s="53" t="s">
        <v>159</v>
      </c>
      <c r="J55" s="127" t="s">
        <v>80</v>
      </c>
      <c r="K55" s="53" t="s">
        <v>45</v>
      </c>
      <c r="L55" s="53">
        <v>3</v>
      </c>
      <c r="N55" s="53">
        <v>5</v>
      </c>
      <c r="O55" s="53">
        <v>2.2999999999999998</v>
      </c>
      <c r="P55" s="53">
        <v>2.0499999999999998</v>
      </c>
      <c r="Q55" s="74">
        <f t="shared" si="0"/>
        <v>2.1749999999999998</v>
      </c>
      <c r="R55" s="53">
        <v>12.8</v>
      </c>
      <c r="S55" s="53">
        <v>89</v>
      </c>
      <c r="T55" s="16">
        <f t="shared" si="1"/>
        <v>39</v>
      </c>
      <c r="U55" s="53">
        <v>429</v>
      </c>
      <c r="V55" s="129">
        <f t="shared" si="2"/>
        <v>3346.2</v>
      </c>
      <c r="W55" s="53">
        <v>10</v>
      </c>
      <c r="X55" s="127" t="s">
        <v>46</v>
      </c>
      <c r="Y55" s="53" t="s">
        <v>90</v>
      </c>
      <c r="Z55" s="53" t="s">
        <v>84</v>
      </c>
      <c r="AA55" s="53" t="s">
        <v>69</v>
      </c>
      <c r="AB55" s="127" t="s">
        <v>240</v>
      </c>
      <c r="AC55" s="34"/>
    </row>
    <row r="56" spans="1:29" x14ac:dyDescent="0.15">
      <c r="A56" s="127"/>
      <c r="B56" s="127"/>
      <c r="C56" s="127"/>
      <c r="D56" s="128"/>
      <c r="F56" s="127"/>
      <c r="G56" s="127"/>
      <c r="J56" s="127"/>
      <c r="Q56" s="74" t="str">
        <f t="shared" si="0"/>
        <v/>
      </c>
      <c r="T56" s="16" t="str">
        <f t="shared" si="1"/>
        <v/>
      </c>
      <c r="V56" s="129" t="str">
        <f t="shared" si="2"/>
        <v/>
      </c>
      <c r="X56" s="127"/>
      <c r="AB56" s="127"/>
      <c r="AC56" s="34"/>
    </row>
    <row r="57" spans="1:29" x14ac:dyDescent="0.15">
      <c r="A57" s="127"/>
      <c r="B57" s="127"/>
      <c r="C57" s="127"/>
      <c r="D57" s="128"/>
      <c r="F57" s="127"/>
      <c r="G57" s="127"/>
      <c r="J57" s="127"/>
      <c r="Q57" s="74" t="str">
        <f t="shared" si="0"/>
        <v/>
      </c>
      <c r="T57" s="16" t="str">
        <f t="shared" si="1"/>
        <v/>
      </c>
      <c r="V57" s="129" t="str">
        <f t="shared" si="2"/>
        <v/>
      </c>
      <c r="X57" s="127"/>
      <c r="AB57" s="127"/>
      <c r="AC57" s="34"/>
    </row>
    <row r="58" spans="1:29" x14ac:dyDescent="0.15">
      <c r="A58" s="127"/>
      <c r="B58" s="127"/>
      <c r="C58" s="127"/>
      <c r="D58" s="128"/>
      <c r="G58" s="127"/>
      <c r="J58" s="127"/>
      <c r="Q58" s="74" t="str">
        <f t="shared" si="0"/>
        <v/>
      </c>
      <c r="T58" s="16" t="str">
        <f t="shared" si="1"/>
        <v/>
      </c>
      <c r="V58" s="129" t="str">
        <f t="shared" si="2"/>
        <v/>
      </c>
      <c r="X58" s="127"/>
      <c r="AB58" s="127"/>
      <c r="AC58" s="34"/>
    </row>
    <row r="59" spans="1:29" x14ac:dyDescent="0.15">
      <c r="A59" s="127"/>
      <c r="B59" s="127"/>
      <c r="C59" s="127"/>
      <c r="D59" s="128"/>
      <c r="G59" s="127"/>
      <c r="J59" s="127"/>
      <c r="Q59" s="74"/>
      <c r="V59" s="129"/>
      <c r="X59" s="127"/>
      <c r="AB59" s="127"/>
    </row>
    <row r="60" spans="1:29" x14ac:dyDescent="0.15">
      <c r="A60" s="127"/>
      <c r="B60" s="127"/>
      <c r="C60" s="127"/>
      <c r="D60" s="128"/>
      <c r="G60" s="127"/>
      <c r="J60" s="127"/>
      <c r="Q60" s="74"/>
      <c r="V60" s="129"/>
      <c r="X60" s="127"/>
      <c r="AB60" s="127"/>
    </row>
    <row r="61" spans="1:29" x14ac:dyDescent="0.15">
      <c r="A61" s="127"/>
      <c r="B61" s="127"/>
      <c r="C61" s="127"/>
      <c r="D61" s="128"/>
      <c r="G61" s="127"/>
      <c r="J61" s="127"/>
      <c r="Q61" s="74"/>
      <c r="V61" s="129"/>
      <c r="X61" s="127"/>
      <c r="AB61" s="127"/>
    </row>
    <row r="62" spans="1:29" x14ac:dyDescent="0.15">
      <c r="A62" s="127"/>
      <c r="B62" s="127"/>
      <c r="C62" s="127"/>
      <c r="D62" s="128"/>
      <c r="G62" s="127"/>
      <c r="J62" s="127"/>
      <c r="Q62" s="74" t="str">
        <f>IF(OR(O62="",P62=""),"",AVERAGE(O62,P62))</f>
        <v/>
      </c>
      <c r="T62" s="16" t="str">
        <f>IF(H62="","",IF(OR(H62="GREEN",H62="GK"),IF(S62&gt;=$AX$2,VLOOKUP(S62,$AX$2:$AY$12,2,1),""),IF(S62&gt;=$AZ$2,VLOOKUP(S62,$AZ$2:$BA$12,2,1),"")))</f>
        <v/>
      </c>
      <c r="V62" s="129" t="str">
        <f t="shared" ref="V62:V64" si="3">IF(OR(N62="",U62="",T62=""),"",U62/N62*T62)</f>
        <v/>
      </c>
      <c r="X62" s="127"/>
      <c r="AB62" s="127"/>
    </row>
    <row r="63" spans="1:29" x14ac:dyDescent="0.15">
      <c r="A63" s="127"/>
      <c r="B63" s="127"/>
      <c r="C63" s="127"/>
      <c r="D63" s="128"/>
      <c r="G63" s="127"/>
      <c r="J63" s="127"/>
      <c r="Q63" s="74" t="str">
        <f>IF(OR(O63="",P63=""),"",AVERAGE(O63,P63))</f>
        <v/>
      </c>
      <c r="T63" s="16" t="str">
        <f>IF(H63="","",IF(OR(H63="GREEN",H63="GK"),IF(S63&gt;=$AX$2,VLOOKUP(S63,$AX$2:$AY$12,2,1),""),IF(S63&gt;=$AZ$2,VLOOKUP(S63,$AZ$2:$BA$12,2,1),"")))</f>
        <v/>
      </c>
      <c r="V63" s="129" t="str">
        <f t="shared" si="3"/>
        <v/>
      </c>
      <c r="X63" s="127"/>
      <c r="AB63" s="127"/>
    </row>
    <row r="64" spans="1:29" x14ac:dyDescent="0.15">
      <c r="A64" s="127"/>
      <c r="B64" s="127"/>
      <c r="C64" s="127"/>
      <c r="D64" s="128"/>
      <c r="G64" s="127"/>
      <c r="J64" s="127"/>
      <c r="Q64" s="74" t="str">
        <f>IF(OR(O64="",P64=""),"",AVERAGE(O64,P64))</f>
        <v/>
      </c>
      <c r="T64" s="16" t="str">
        <f>IF(H64="","",IF(OR(H64="GREEN",H64="GK"),IF(S64&gt;=$AX$2,VLOOKUP(S64,$AX$2:$AY$12,2,1),""),IF(S64&gt;=$AZ$2,VLOOKUP(S64,$AZ$2:$BA$12,2,1),"")))</f>
        <v/>
      </c>
      <c r="V64" s="129" t="str">
        <f t="shared" si="3"/>
        <v/>
      </c>
      <c r="X64" s="127"/>
      <c r="AB64" s="127"/>
    </row>
    <row r="65" spans="1:28" x14ac:dyDescent="0.15">
      <c r="A65" s="127"/>
      <c r="B65" s="127"/>
      <c r="C65" s="127"/>
      <c r="D65" s="128"/>
      <c r="G65" s="127"/>
      <c r="J65" s="127"/>
      <c r="Q65" s="74"/>
      <c r="V65" s="129"/>
      <c r="X65" s="127"/>
      <c r="AB65" s="127"/>
    </row>
    <row r="66" spans="1:28" x14ac:dyDescent="0.15">
      <c r="A66" s="127"/>
      <c r="B66" s="127"/>
      <c r="C66" s="127"/>
      <c r="D66" s="128"/>
      <c r="G66" s="127"/>
      <c r="J66" s="127"/>
      <c r="Q66" s="74"/>
      <c r="V66" s="129"/>
      <c r="X66" s="127"/>
      <c r="AB66" s="127"/>
    </row>
    <row r="67" spans="1:28" x14ac:dyDescent="0.15">
      <c r="A67" s="127"/>
      <c r="B67" s="127"/>
      <c r="C67" s="127"/>
      <c r="D67" s="128"/>
      <c r="G67" s="127"/>
      <c r="J67" s="127"/>
      <c r="Q67" s="74"/>
      <c r="V67" s="129"/>
      <c r="X67" s="127"/>
      <c r="AB67" s="127"/>
    </row>
    <row r="68" spans="1:28" x14ac:dyDescent="0.15">
      <c r="A68" s="127"/>
      <c r="B68" s="127"/>
      <c r="C68" s="127"/>
      <c r="D68" s="128"/>
      <c r="G68" s="127"/>
      <c r="J68" s="127"/>
      <c r="Q68" s="74"/>
      <c r="V68" s="129"/>
      <c r="X68" s="127"/>
      <c r="AB68" s="127"/>
    </row>
    <row r="69" spans="1:28" x14ac:dyDescent="0.15">
      <c r="A69" s="127"/>
      <c r="B69" s="127"/>
      <c r="C69" s="127"/>
      <c r="D69" s="128"/>
      <c r="G69" s="127"/>
      <c r="J69" s="127"/>
      <c r="Q69" s="74"/>
      <c r="V69" s="129"/>
      <c r="X69" s="127"/>
      <c r="AB69" s="127"/>
    </row>
    <row r="70" spans="1:28" x14ac:dyDescent="0.15">
      <c r="A70" s="127"/>
      <c r="B70" s="127"/>
      <c r="C70" s="127"/>
      <c r="D70" s="128"/>
      <c r="G70" s="127"/>
      <c r="J70" s="127"/>
      <c r="Q70" s="74"/>
      <c r="V70" s="129"/>
      <c r="X70" s="127"/>
      <c r="AB70" s="127"/>
    </row>
    <row r="71" spans="1:28" x14ac:dyDescent="0.15">
      <c r="A71" s="127"/>
      <c r="B71" s="127"/>
      <c r="C71" s="127"/>
      <c r="D71" s="128"/>
      <c r="G71" s="127"/>
      <c r="J71" s="127"/>
      <c r="Q71" s="74"/>
      <c r="V71" s="129"/>
      <c r="X71" s="127"/>
      <c r="AB71" s="127"/>
    </row>
    <row r="72" spans="1:28" x14ac:dyDescent="0.15">
      <c r="A72" s="127"/>
      <c r="B72" s="127"/>
      <c r="C72" s="127"/>
      <c r="D72" s="128"/>
      <c r="G72" s="127"/>
      <c r="J72" s="127"/>
      <c r="Q72" s="74"/>
      <c r="V72" s="129"/>
      <c r="X72" s="127"/>
      <c r="AB72" s="127"/>
    </row>
    <row r="73" spans="1:28" x14ac:dyDescent="0.15">
      <c r="A73" s="127"/>
      <c r="B73" s="127"/>
      <c r="C73" s="127"/>
      <c r="D73" s="128"/>
      <c r="G73" s="127"/>
      <c r="J73" s="127"/>
      <c r="Q73" s="74"/>
      <c r="V73" s="129"/>
      <c r="X73" s="127"/>
      <c r="AB73" s="127"/>
    </row>
    <row r="74" spans="1:28" x14ac:dyDescent="0.15">
      <c r="A74" s="127"/>
      <c r="B74" s="127"/>
      <c r="C74" s="127"/>
      <c r="D74" s="128"/>
      <c r="G74" s="127"/>
      <c r="J74" s="127"/>
      <c r="Q74" s="74"/>
      <c r="V74" s="129"/>
      <c r="X74" s="127"/>
      <c r="AB74" s="127"/>
    </row>
    <row r="75" spans="1:28" x14ac:dyDescent="0.15">
      <c r="A75" s="127"/>
      <c r="B75" s="127"/>
      <c r="C75" s="127"/>
      <c r="D75" s="128"/>
      <c r="G75" s="127"/>
      <c r="J75" s="127"/>
      <c r="Q75" s="74"/>
      <c r="V75" s="129"/>
      <c r="X75" s="127"/>
      <c r="AB75" s="127"/>
    </row>
    <row r="76" spans="1:28" x14ac:dyDescent="0.15">
      <c r="A76" s="127"/>
      <c r="B76" s="127"/>
      <c r="C76" s="127"/>
      <c r="D76" s="128"/>
      <c r="G76" s="127"/>
      <c r="J76" s="127"/>
      <c r="Q76" s="74"/>
      <c r="V76" s="129"/>
      <c r="X76" s="127"/>
      <c r="AB76" s="127"/>
    </row>
    <row r="77" spans="1:28" x14ac:dyDescent="0.15">
      <c r="A77" s="127"/>
      <c r="B77" s="127"/>
      <c r="C77" s="127"/>
      <c r="D77" s="128"/>
      <c r="G77" s="127"/>
      <c r="J77" s="127"/>
      <c r="Q77" s="74"/>
      <c r="V77" s="129"/>
      <c r="X77" s="127"/>
      <c r="AB77" s="127"/>
    </row>
    <row r="78" spans="1:28" x14ac:dyDescent="0.15">
      <c r="A78" s="127"/>
      <c r="B78" s="127"/>
      <c r="C78" s="127"/>
      <c r="D78" s="128"/>
      <c r="G78" s="127"/>
      <c r="J78" s="127"/>
      <c r="Q78" s="74"/>
      <c r="V78" s="129"/>
      <c r="X78" s="127"/>
      <c r="AB78" s="127"/>
    </row>
    <row r="79" spans="1:28" x14ac:dyDescent="0.15">
      <c r="A79" s="127"/>
      <c r="B79" s="127"/>
      <c r="C79" s="127"/>
      <c r="D79" s="128"/>
      <c r="G79" s="127"/>
      <c r="J79" s="127"/>
      <c r="Q79" s="74"/>
      <c r="V79" s="129"/>
      <c r="X79" s="127"/>
      <c r="AB79" s="127"/>
    </row>
    <row r="80" spans="1:28" x14ac:dyDescent="0.15">
      <c r="D80" s="128"/>
    </row>
    <row r="81" spans="1:28" x14ac:dyDescent="0.15">
      <c r="A81" s="127"/>
      <c r="B81" s="127"/>
      <c r="C81" s="127"/>
      <c r="D81" s="128"/>
      <c r="G81" s="127"/>
      <c r="J81" s="127"/>
      <c r="Q81" s="74"/>
      <c r="V81" s="129"/>
      <c r="X81" s="127"/>
      <c r="AB81" s="127"/>
    </row>
    <row r="82" spans="1:28" x14ac:dyDescent="0.15">
      <c r="A82" s="127"/>
      <c r="B82" s="127"/>
      <c r="C82" s="127"/>
      <c r="G82" s="127"/>
      <c r="J82" s="127"/>
      <c r="Q82" s="74"/>
      <c r="V82" s="129"/>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D98" s="128"/>
    </row>
    <row r="99" spans="1:28" x14ac:dyDescent="0.15">
      <c r="D99" s="128"/>
    </row>
  </sheetData>
  <autoFilter ref="A1:BA1" xr:uid="{00000000-0009-0000-0000-000004000000}"/>
  <phoneticPr fontId="3"/>
  <dataValidations count="20">
    <dataValidation type="list" allowBlank="1" showInputMessage="1" showErrorMessage="1" sqref="K2:K485" xr:uid="{BFD5E247-753B-45C5-9166-F596B5A6F444}">
      <formula1>$AR$2:$AR$22</formula1>
    </dataValidation>
    <dataValidation type="list" allowBlank="1" showInputMessage="1" showErrorMessage="1" sqref="J81:J485 J2:J79" xr:uid="{3E205D58-4AA5-4D7E-B5BB-E00B42D7E10C}">
      <formula1>$AP$2:$AP$22</formula1>
    </dataValidation>
    <dataValidation type="list" allowBlank="1" showInputMessage="1" showErrorMessage="1" sqref="WVS981790:WVS981879 WCA981790:WCA981879 VSE981790:VSE981879 VII981790:VII981879 UYM981790:UYM981879 UOQ981790:UOQ981879 UEU981790:UEU981879 TUY981790:TUY981879 TLC981790:TLC981879 TBG981790:TBG981879 SRK981790:SRK981879 SHO981790:SHO981879 RXS981790:RXS981879 RNW981790:RNW981879 REA981790:REA981879 QUE981790:QUE981879 QKI981790:QKI981879 QAM981790:QAM981879 PQQ981790:PQQ981879 PGU981790:PGU981879 OWY981790:OWY981879 ONC981790:ONC981879 ODG981790:ODG981879 NTK981790:NTK981879 NJO981790:NJO981879 MZS981790:MZS981879 MPW981790:MPW981879 MGA981790:MGA981879 LWE981790:LWE981879 LMI981790:LMI981879 LCM981790:LCM981879 KSQ981790:KSQ981879 KIU981790:KIU981879 JYY981790:JYY981879 JPC981790:JPC981879 JFG981790:JFG981879 IVK981790:IVK981879 ILO981790:ILO981879 IBS981790:IBS981879 HRW981790:HRW981879 HIA981790:HIA981879 GYE981790:GYE981879 GOI981790:GOI981879 GEM981790:GEM981879 FUQ981790:FUQ981879 FKU981790:FKU981879 FAY981790:FAY981879 ERC981790:ERC981879 EHG981790:EHG981879 DXK981790:DXK981879 DNO981790:DNO981879 DDS981790:DDS981879 CTW981790:CTW981879 CKA981790:CKA981879 CAE981790:CAE981879 BQI981790:BQI981879 BGM981790:BGM981879 AWQ981790:AWQ981879 AMU981790:AMU981879 ACY981790:ACY981879 TC981790:TC981879 JG981790:JG981879 K981799:K981888 WVS916254:WVS916343 WLW916254:WLW916343 WCA916254:WCA916343 VSE916254:VSE916343 VII916254:VII916343 UYM916254:UYM916343 UOQ916254:UOQ916343 UEU916254:UEU916343 TUY916254:TUY916343 TLC916254:TLC916343 TBG916254:TBG916343 SRK916254:SRK916343 SHO916254:SHO916343 RXS916254:RXS916343 RNW916254:RNW916343 REA916254:REA916343 QUE916254:QUE916343 QKI916254:QKI916343 QAM916254:QAM916343 PQQ916254:PQQ916343 PGU916254:PGU916343 OWY916254:OWY916343 ONC916254:ONC916343 ODG916254:ODG916343 NTK916254:NTK916343 NJO916254:NJO916343 MZS916254:MZS916343 MPW916254:MPW916343 MGA916254:MGA916343 LWE916254:LWE916343 LMI916254:LMI916343 LCM916254:LCM916343 KSQ916254:KSQ916343 KIU916254:KIU916343 JYY916254:JYY916343 JPC916254:JPC916343 JFG916254:JFG916343 IVK916254:IVK916343 ILO916254:ILO916343 IBS916254:IBS916343 HRW916254:HRW916343 HIA916254:HIA916343 GYE916254:GYE916343 GOI916254:GOI916343 GEM916254:GEM916343 FUQ916254:FUQ916343 FKU916254:FKU916343 FAY916254:FAY916343 ERC916254:ERC916343 EHG916254:EHG916343 DXK916254:DXK916343 DNO916254:DNO916343 DDS916254:DDS916343 CTW916254:CTW916343 CKA916254:CKA916343 CAE916254:CAE916343 BQI916254:BQI916343 BGM916254:BGM916343 AWQ916254:AWQ916343 AMU916254:AMU916343 ACY916254:ACY916343 TC916254:TC916343 JG916254:JG916343 K916263:K916352 WVS850718:WVS850807 WLW850718:WLW850807 WCA850718:WCA850807 VSE850718:VSE850807 VII850718:VII850807 UYM850718:UYM850807 UOQ850718:UOQ850807 UEU850718:UEU850807 TUY850718:TUY850807 TLC850718:TLC850807 TBG850718:TBG850807 SRK850718:SRK850807 SHO850718:SHO850807 RXS850718:RXS850807 RNW850718:RNW850807 REA850718:REA850807 QUE850718:QUE850807 QKI850718:QKI850807 QAM850718:QAM850807 PQQ850718:PQQ850807 PGU850718:PGU850807 OWY850718:OWY850807 ONC850718:ONC850807 ODG850718:ODG850807 NTK850718:NTK850807 NJO850718:NJO850807 MZS850718:MZS850807 MPW850718:MPW850807 MGA850718:MGA850807 LWE850718:LWE850807 LMI850718:LMI850807 LCM850718:LCM850807 KSQ850718:KSQ850807 KIU850718:KIU850807 JYY850718:JYY850807 JPC850718:JPC850807 JFG850718:JFG850807 IVK850718:IVK850807 ILO850718:ILO850807 IBS850718:IBS850807 HRW850718:HRW850807 HIA850718:HIA850807 GYE850718:GYE850807 GOI850718:GOI850807 GEM850718:GEM850807 FUQ850718:FUQ850807 FKU850718:FKU850807 FAY850718:FAY850807 ERC850718:ERC850807 EHG850718:EHG850807 DXK850718:DXK850807 DNO850718:DNO850807 DDS850718:DDS850807 CTW850718:CTW850807 CKA850718:CKA850807 CAE850718:CAE850807 BQI850718:BQI850807 BGM850718:BGM850807 AWQ850718:AWQ850807 AMU850718:AMU850807 ACY850718:ACY850807 TC850718:TC850807 JG850718:JG850807 K850727:K850816 WVS785182:WVS785271 WLW785182:WLW785271 WCA785182:WCA785271 VSE785182:VSE785271 VII785182:VII785271 UYM785182:UYM785271 UOQ785182:UOQ785271 UEU785182:UEU785271 TUY785182:TUY785271 TLC785182:TLC785271 TBG785182:TBG785271 SRK785182:SRK785271 SHO785182:SHO785271 RXS785182:RXS785271 RNW785182:RNW785271 REA785182:REA785271 QUE785182:QUE785271 QKI785182:QKI785271 QAM785182:QAM785271 PQQ785182:PQQ785271 PGU785182:PGU785271 OWY785182:OWY785271 ONC785182:ONC785271 ODG785182:ODG785271 NTK785182:NTK785271 NJO785182:NJO785271 MZS785182:MZS785271 MPW785182:MPW785271 MGA785182:MGA785271 LWE785182:LWE785271 LMI785182:LMI785271 LCM785182:LCM785271 KSQ785182:KSQ785271 KIU785182:KIU785271 JYY785182:JYY785271 JPC785182:JPC785271 JFG785182:JFG785271 IVK785182:IVK785271 ILO785182:ILO785271 IBS785182:IBS785271 HRW785182:HRW785271 HIA785182:HIA785271 GYE785182:GYE785271 GOI785182:GOI785271 GEM785182:GEM785271 FUQ785182:FUQ785271 FKU785182:FKU785271 FAY785182:FAY785271 ERC785182:ERC785271 EHG785182:EHG785271 DXK785182:DXK785271 DNO785182:DNO785271 DDS785182:DDS785271 CTW785182:CTW785271 CKA785182:CKA785271 CAE785182:CAE785271 BQI785182:BQI785271 BGM785182:BGM785271 AWQ785182:AWQ785271 AMU785182:AMU785271 ACY785182:ACY785271 TC785182:TC785271 JG785182:JG785271 K785191:K785280 WVS719646:WVS719735 WLW719646:WLW719735 WCA719646:WCA719735 VSE719646:VSE719735 VII719646:VII719735 UYM719646:UYM719735 UOQ719646:UOQ719735 UEU719646:UEU719735 TUY719646:TUY719735 TLC719646:TLC719735 TBG719646:TBG719735 SRK719646:SRK719735 SHO719646:SHO719735 RXS719646:RXS719735 RNW719646:RNW719735 REA719646:REA719735 QUE719646:QUE719735 QKI719646:QKI719735 QAM719646:QAM719735 PQQ719646:PQQ719735 PGU719646:PGU719735 OWY719646:OWY719735 ONC719646:ONC719735 ODG719646:ODG719735 NTK719646:NTK719735 NJO719646:NJO719735 MZS719646:MZS719735 MPW719646:MPW719735 MGA719646:MGA719735 LWE719646:LWE719735 LMI719646:LMI719735 LCM719646:LCM719735 KSQ719646:KSQ719735 KIU719646:KIU719735 JYY719646:JYY719735 JPC719646:JPC719735 JFG719646:JFG719735 IVK719646:IVK719735 ILO719646:ILO719735 IBS719646:IBS719735 HRW719646:HRW719735 HIA719646:HIA719735 GYE719646:GYE719735 GOI719646:GOI719735 GEM719646:GEM719735 FUQ719646:FUQ719735 FKU719646:FKU719735 FAY719646:FAY719735 ERC719646:ERC719735 EHG719646:EHG719735 DXK719646:DXK719735 DNO719646:DNO719735 DDS719646:DDS719735 CTW719646:CTW719735 CKA719646:CKA719735 CAE719646:CAE719735 BQI719646:BQI719735 BGM719646:BGM719735 AWQ719646:AWQ719735 AMU719646:AMU719735 ACY719646:ACY719735 TC719646:TC719735 JG719646:JG719735 K719655:K719744 WVS654110:WVS654199 WLW654110:WLW654199 WCA654110:WCA654199 VSE654110:VSE654199 VII654110:VII654199 UYM654110:UYM654199 UOQ654110:UOQ654199 UEU654110:UEU654199 TUY654110:TUY654199 TLC654110:TLC654199 TBG654110:TBG654199 SRK654110:SRK654199 SHO654110:SHO654199 RXS654110:RXS654199 RNW654110:RNW654199 REA654110:REA654199 QUE654110:QUE654199 QKI654110:QKI654199 QAM654110:QAM654199 PQQ654110:PQQ654199 PGU654110:PGU654199 OWY654110:OWY654199 ONC654110:ONC654199 ODG654110:ODG654199 NTK654110:NTK654199 NJO654110:NJO654199 MZS654110:MZS654199 MPW654110:MPW654199 MGA654110:MGA654199 LWE654110:LWE654199 LMI654110:LMI654199 LCM654110:LCM654199 KSQ654110:KSQ654199 KIU654110:KIU654199 JYY654110:JYY654199 JPC654110:JPC654199 JFG654110:JFG654199 IVK654110:IVK654199 ILO654110:ILO654199 IBS654110:IBS654199 HRW654110:HRW654199 HIA654110:HIA654199 GYE654110:GYE654199 GOI654110:GOI654199 GEM654110:GEM654199 FUQ654110:FUQ654199 FKU654110:FKU654199 FAY654110:FAY654199 ERC654110:ERC654199 EHG654110:EHG654199 DXK654110:DXK654199 DNO654110:DNO654199 DDS654110:DDS654199 CTW654110:CTW654199 CKA654110:CKA654199 CAE654110:CAE654199 BQI654110:BQI654199 BGM654110:BGM654199 AWQ654110:AWQ654199 AMU654110:AMU654199 ACY654110:ACY654199 TC654110:TC654199 JG654110:JG654199 K654119:K654208 WVS588574:WVS588663 WLW588574:WLW588663 WCA588574:WCA588663 VSE588574:VSE588663 VII588574:VII588663 UYM588574:UYM588663 UOQ588574:UOQ588663 UEU588574:UEU588663 TUY588574:TUY588663 TLC588574:TLC588663 TBG588574:TBG588663 SRK588574:SRK588663 SHO588574:SHO588663 RXS588574:RXS588663 RNW588574:RNW588663 REA588574:REA588663 QUE588574:QUE588663 QKI588574:QKI588663 QAM588574:QAM588663 PQQ588574:PQQ588663 PGU588574:PGU588663 OWY588574:OWY588663 ONC588574:ONC588663 ODG588574:ODG588663 NTK588574:NTK588663 NJO588574:NJO588663 MZS588574:MZS588663 MPW588574:MPW588663 MGA588574:MGA588663 LWE588574:LWE588663 LMI588574:LMI588663 LCM588574:LCM588663 KSQ588574:KSQ588663 KIU588574:KIU588663 JYY588574:JYY588663 JPC588574:JPC588663 JFG588574:JFG588663 IVK588574:IVK588663 ILO588574:ILO588663 IBS588574:IBS588663 HRW588574:HRW588663 HIA588574:HIA588663 GYE588574:GYE588663 GOI588574:GOI588663 GEM588574:GEM588663 FUQ588574:FUQ588663 FKU588574:FKU588663 FAY588574:FAY588663 ERC588574:ERC588663 EHG588574:EHG588663 DXK588574:DXK588663 DNO588574:DNO588663 DDS588574:DDS588663 CTW588574:CTW588663 CKA588574:CKA588663 CAE588574:CAE588663 BQI588574:BQI588663 BGM588574:BGM588663 AWQ588574:AWQ588663 AMU588574:AMU588663 ACY588574:ACY588663 TC588574:TC588663 JG588574:JG588663 K588583:K588672 WVS523038:WVS523127 WLW523038:WLW523127 WCA523038:WCA523127 VSE523038:VSE523127 VII523038:VII523127 UYM523038:UYM523127 UOQ523038:UOQ523127 UEU523038:UEU523127 TUY523038:TUY523127 TLC523038:TLC523127 TBG523038:TBG523127 SRK523038:SRK523127 SHO523038:SHO523127 RXS523038:RXS523127 RNW523038:RNW523127 REA523038:REA523127 QUE523038:QUE523127 QKI523038:QKI523127 QAM523038:QAM523127 PQQ523038:PQQ523127 PGU523038:PGU523127 OWY523038:OWY523127 ONC523038:ONC523127 ODG523038:ODG523127 NTK523038:NTK523127 NJO523038:NJO523127 MZS523038:MZS523127 MPW523038:MPW523127 MGA523038:MGA523127 LWE523038:LWE523127 LMI523038:LMI523127 LCM523038:LCM523127 KSQ523038:KSQ523127 KIU523038:KIU523127 JYY523038:JYY523127 JPC523038:JPC523127 JFG523038:JFG523127 IVK523038:IVK523127 ILO523038:ILO523127 IBS523038:IBS523127 HRW523038:HRW523127 HIA523038:HIA523127 GYE523038:GYE523127 GOI523038:GOI523127 GEM523038:GEM523127 FUQ523038:FUQ523127 FKU523038:FKU523127 FAY523038:FAY523127 ERC523038:ERC523127 EHG523038:EHG523127 DXK523038:DXK523127 DNO523038:DNO523127 DDS523038:DDS523127 CTW523038:CTW523127 CKA523038:CKA523127 CAE523038:CAE523127 BQI523038:BQI523127 BGM523038:BGM523127 AWQ523038:AWQ523127 AMU523038:AMU523127 ACY523038:ACY523127 TC523038:TC523127 JG523038:JG523127 K523047:K523136 WVS457502:WVS457591 WLW457502:WLW457591 WCA457502:WCA457591 VSE457502:VSE457591 VII457502:VII457591 UYM457502:UYM457591 UOQ457502:UOQ457591 UEU457502:UEU457591 TUY457502:TUY457591 TLC457502:TLC457591 TBG457502:TBG457591 SRK457502:SRK457591 SHO457502:SHO457591 RXS457502:RXS457591 RNW457502:RNW457591 REA457502:REA457591 QUE457502:QUE457591 QKI457502:QKI457591 QAM457502:QAM457591 PQQ457502:PQQ457591 PGU457502:PGU457591 OWY457502:OWY457591 ONC457502:ONC457591 ODG457502:ODG457591 NTK457502:NTK457591 NJO457502:NJO457591 MZS457502:MZS457591 MPW457502:MPW457591 MGA457502:MGA457591 LWE457502:LWE457591 LMI457502:LMI457591 LCM457502:LCM457591 KSQ457502:KSQ457591 KIU457502:KIU457591 JYY457502:JYY457591 JPC457502:JPC457591 JFG457502:JFG457591 IVK457502:IVK457591 ILO457502:ILO457591 IBS457502:IBS457591 HRW457502:HRW457591 HIA457502:HIA457591 GYE457502:GYE457591 GOI457502:GOI457591 GEM457502:GEM457591 FUQ457502:FUQ457591 FKU457502:FKU457591 FAY457502:FAY457591 ERC457502:ERC457591 EHG457502:EHG457591 DXK457502:DXK457591 DNO457502:DNO457591 DDS457502:DDS457591 CTW457502:CTW457591 CKA457502:CKA457591 CAE457502:CAE457591 BQI457502:BQI457591 BGM457502:BGM457591 AWQ457502:AWQ457591 AMU457502:AMU457591 ACY457502:ACY457591 TC457502:TC457591 JG457502:JG457591 K457511:K457600 WVS391966:WVS392055 WLW391966:WLW392055 WCA391966:WCA392055 VSE391966:VSE392055 VII391966:VII392055 UYM391966:UYM392055 UOQ391966:UOQ392055 UEU391966:UEU392055 TUY391966:TUY392055 TLC391966:TLC392055 TBG391966:TBG392055 SRK391966:SRK392055 SHO391966:SHO392055 RXS391966:RXS392055 RNW391966:RNW392055 REA391966:REA392055 QUE391966:QUE392055 QKI391966:QKI392055 QAM391966:QAM392055 PQQ391966:PQQ392055 PGU391966:PGU392055 OWY391966:OWY392055 ONC391966:ONC392055 ODG391966:ODG392055 NTK391966:NTK392055 NJO391966:NJO392055 MZS391966:MZS392055 MPW391966:MPW392055 MGA391966:MGA392055 LWE391966:LWE392055 LMI391966:LMI392055 LCM391966:LCM392055 KSQ391966:KSQ392055 KIU391966:KIU392055 JYY391966:JYY392055 JPC391966:JPC392055 JFG391966:JFG392055 IVK391966:IVK392055 ILO391966:ILO392055 IBS391966:IBS392055 HRW391966:HRW392055 HIA391966:HIA392055 GYE391966:GYE392055 GOI391966:GOI392055 GEM391966:GEM392055 FUQ391966:FUQ392055 FKU391966:FKU392055 FAY391966:FAY392055 ERC391966:ERC392055 EHG391966:EHG392055 DXK391966:DXK392055 DNO391966:DNO392055 DDS391966:DDS392055 CTW391966:CTW392055 CKA391966:CKA392055 CAE391966:CAE392055 BQI391966:BQI392055 BGM391966:BGM392055 AWQ391966:AWQ392055 AMU391966:AMU392055 ACY391966:ACY392055 TC391966:TC392055 JG391966:JG392055 K391975:K392064 WVS326430:WVS326519 WLW326430:WLW326519 WCA326430:WCA326519 VSE326430:VSE326519 VII326430:VII326519 UYM326430:UYM326519 UOQ326430:UOQ326519 UEU326430:UEU326519 TUY326430:TUY326519 TLC326430:TLC326519 TBG326430:TBG326519 SRK326430:SRK326519 SHO326430:SHO326519 RXS326430:RXS326519 RNW326430:RNW326519 REA326430:REA326519 QUE326430:QUE326519 QKI326430:QKI326519 QAM326430:QAM326519 PQQ326430:PQQ326519 PGU326430:PGU326519 OWY326430:OWY326519 ONC326430:ONC326519 ODG326430:ODG326519 NTK326430:NTK326519 NJO326430:NJO326519 MZS326430:MZS326519 MPW326430:MPW326519 MGA326430:MGA326519 LWE326430:LWE326519 LMI326430:LMI326519 LCM326430:LCM326519 KSQ326430:KSQ326519 KIU326430:KIU326519 JYY326430:JYY326519 JPC326430:JPC326519 JFG326430:JFG326519 IVK326430:IVK326519 ILO326430:ILO326519 IBS326430:IBS326519 HRW326430:HRW326519 HIA326430:HIA326519 GYE326430:GYE326519 GOI326430:GOI326519 GEM326430:GEM326519 FUQ326430:FUQ326519 FKU326430:FKU326519 FAY326430:FAY326519 ERC326430:ERC326519 EHG326430:EHG326519 DXK326430:DXK326519 DNO326430:DNO326519 DDS326430:DDS326519 CTW326430:CTW326519 CKA326430:CKA326519 CAE326430:CAE326519 BQI326430:BQI326519 BGM326430:BGM326519 AWQ326430:AWQ326519 AMU326430:AMU326519 ACY326430:ACY326519 TC326430:TC326519 JG326430:JG326519 K326439:K326528 WVS260894:WVS260983 WLW260894:WLW260983 WCA260894:WCA260983 VSE260894:VSE260983 VII260894:VII260983 UYM260894:UYM260983 UOQ260894:UOQ260983 UEU260894:UEU260983 TUY260894:TUY260983 TLC260894:TLC260983 TBG260894:TBG260983 SRK260894:SRK260983 SHO260894:SHO260983 RXS260894:RXS260983 RNW260894:RNW260983 REA260894:REA260983 QUE260894:QUE260983 QKI260894:QKI260983 QAM260894:QAM260983 PQQ260894:PQQ260983 PGU260894:PGU260983 OWY260894:OWY260983 ONC260894:ONC260983 ODG260894:ODG260983 NTK260894:NTK260983 NJO260894:NJO260983 MZS260894:MZS260983 MPW260894:MPW260983 MGA260894:MGA260983 LWE260894:LWE260983 LMI260894:LMI260983 LCM260894:LCM260983 KSQ260894:KSQ260983 KIU260894:KIU260983 JYY260894:JYY260983 JPC260894:JPC260983 JFG260894:JFG260983 IVK260894:IVK260983 ILO260894:ILO260983 IBS260894:IBS260983 HRW260894:HRW260983 HIA260894:HIA260983 GYE260894:GYE260983 GOI260894:GOI260983 GEM260894:GEM260983 FUQ260894:FUQ260983 FKU260894:FKU260983 FAY260894:FAY260983 ERC260894:ERC260983 EHG260894:EHG260983 DXK260894:DXK260983 DNO260894:DNO260983 DDS260894:DDS260983 CTW260894:CTW260983 CKA260894:CKA260983 CAE260894:CAE260983 BQI260894:BQI260983 BGM260894:BGM260983 AWQ260894:AWQ260983 AMU260894:AMU260983 ACY260894:ACY260983 TC260894:TC260983 JG260894:JG260983 K260903:K260992 WVS195358:WVS195447 WLW195358:WLW195447 WCA195358:WCA195447 VSE195358:VSE195447 VII195358:VII195447 UYM195358:UYM195447 UOQ195358:UOQ195447 UEU195358:UEU195447 TUY195358:TUY195447 TLC195358:TLC195447 TBG195358:TBG195447 SRK195358:SRK195447 SHO195358:SHO195447 RXS195358:RXS195447 RNW195358:RNW195447 REA195358:REA195447 QUE195358:QUE195447 QKI195358:QKI195447 QAM195358:QAM195447 PQQ195358:PQQ195447 PGU195358:PGU195447 OWY195358:OWY195447 ONC195358:ONC195447 ODG195358:ODG195447 NTK195358:NTK195447 NJO195358:NJO195447 MZS195358:MZS195447 MPW195358:MPW195447 MGA195358:MGA195447 LWE195358:LWE195447 LMI195358:LMI195447 LCM195358:LCM195447 KSQ195358:KSQ195447 KIU195358:KIU195447 JYY195358:JYY195447 JPC195358:JPC195447 JFG195358:JFG195447 IVK195358:IVK195447 ILO195358:ILO195447 IBS195358:IBS195447 HRW195358:HRW195447 HIA195358:HIA195447 GYE195358:GYE195447 GOI195358:GOI195447 GEM195358:GEM195447 FUQ195358:FUQ195447 FKU195358:FKU195447 FAY195358:FAY195447 ERC195358:ERC195447 EHG195358:EHG195447 DXK195358:DXK195447 DNO195358:DNO195447 DDS195358:DDS195447 CTW195358:CTW195447 CKA195358:CKA195447 CAE195358:CAE195447 BQI195358:BQI195447 BGM195358:BGM195447 AWQ195358:AWQ195447 AMU195358:AMU195447 ACY195358:ACY195447 TC195358:TC195447 JG195358:JG195447 K195367:K195456 WVS129822:WVS129911 WLW129822:WLW129911 WCA129822:WCA129911 VSE129822:VSE129911 VII129822:VII129911 UYM129822:UYM129911 UOQ129822:UOQ129911 UEU129822:UEU129911 TUY129822:TUY129911 TLC129822:TLC129911 TBG129822:TBG129911 SRK129822:SRK129911 SHO129822:SHO129911 RXS129822:RXS129911 RNW129822:RNW129911 REA129822:REA129911 QUE129822:QUE129911 QKI129822:QKI129911 QAM129822:QAM129911 PQQ129822:PQQ129911 PGU129822:PGU129911 OWY129822:OWY129911 ONC129822:ONC129911 ODG129822:ODG129911 NTK129822:NTK129911 NJO129822:NJO129911 MZS129822:MZS129911 MPW129822:MPW129911 MGA129822:MGA129911 LWE129822:LWE129911 LMI129822:LMI129911 LCM129822:LCM129911 KSQ129822:KSQ129911 KIU129822:KIU129911 JYY129822:JYY129911 JPC129822:JPC129911 JFG129822:JFG129911 IVK129822:IVK129911 ILO129822:ILO129911 IBS129822:IBS129911 HRW129822:HRW129911 HIA129822:HIA129911 GYE129822:GYE129911 GOI129822:GOI129911 GEM129822:GEM129911 FUQ129822:FUQ129911 FKU129822:FKU129911 FAY129822:FAY129911 ERC129822:ERC129911 EHG129822:EHG129911 DXK129822:DXK129911 DNO129822:DNO129911 DDS129822:DDS129911 CTW129822:CTW129911 CKA129822:CKA129911 CAE129822:CAE129911 BQI129822:BQI129911 BGM129822:BGM129911 AWQ129822:AWQ129911 AMU129822:AMU129911 ACY129822:ACY129911 TC129822:TC129911 JG129822:JG129911 K129831:K129920 WVS64286:WVS64375 WLW64286:WLW64375 WCA64286:WCA64375 VSE64286:VSE64375 VII64286:VII64375 UYM64286:UYM64375 UOQ64286:UOQ64375 UEU64286:UEU64375 TUY64286:TUY64375 TLC64286:TLC64375 TBG64286:TBG64375 SRK64286:SRK64375 SHO64286:SHO64375 RXS64286:RXS64375 RNW64286:RNW64375 REA64286:REA64375 QUE64286:QUE64375 QKI64286:QKI64375 QAM64286:QAM64375 PQQ64286:PQQ64375 PGU64286:PGU64375 OWY64286:OWY64375 ONC64286:ONC64375 ODG64286:ODG64375 NTK64286:NTK64375 NJO64286:NJO64375 MZS64286:MZS64375 MPW64286:MPW64375 MGA64286:MGA64375 LWE64286:LWE64375 LMI64286:LMI64375 LCM64286:LCM64375 KSQ64286:KSQ64375 KIU64286:KIU64375 JYY64286:JYY64375 JPC64286:JPC64375 JFG64286:JFG64375 IVK64286:IVK64375 ILO64286:ILO64375 IBS64286:IBS64375 HRW64286:HRW64375 HIA64286:HIA64375 GYE64286:GYE64375 GOI64286:GOI64375 GEM64286:GEM64375 FUQ64286:FUQ64375 FKU64286:FKU64375 FAY64286:FAY64375 ERC64286:ERC64375 EHG64286:EHG64375 DXK64286:DXK64375 DNO64286:DNO64375 DDS64286:DDS64375 CTW64286:CTW64375 CKA64286:CKA64375 CAE64286:CAE64375 BQI64286:BQI64375 BGM64286:BGM64375 AWQ64286:AWQ64375 AMU64286:AMU64375 ACY64286:ACY64375 TC64286:TC64375 JG64286:JG64375 K64295:K64384 WLW981790:WLW981879 JG2:JG58 TC2:TC58 ACY2:ACY58 AMU2:AMU58 AWQ2:AWQ58 BGM2:BGM58 BQI2:BQI58 CAE2:CAE58 CKA2:CKA58 CTW2:CTW58 DDS2:DDS58 DNO2:DNO58 DXK2:DXK58 EHG2:EHG58 ERC2:ERC58 FAY2:FAY58 FKU2:FKU58 FUQ2:FUQ58 GEM2:GEM58 GOI2:GOI58 GYE2:GYE58 HIA2:HIA58 HRW2:HRW58 IBS2:IBS58 ILO2:ILO58 IVK2:IVK58 JFG2:JFG58 JPC2:JPC58 JYY2:JYY58 KIU2:KIU58 KSQ2:KSQ58 LCM2:LCM58 LMI2:LMI58 LWE2:LWE58 MGA2:MGA58 MPW2:MPW58 MZS2:MZS58 NJO2:NJO58 NTK2:NTK58 ODG2:ODG58 ONC2:ONC58 OWY2:OWY58 PGU2:PGU58 PQQ2:PQQ58 QAM2:QAM58 QKI2:QKI58 QUE2:QUE58 REA2:REA58 RNW2:RNW58 RXS2:RXS58 SHO2:SHO58 SRK2:SRK58 TBG2:TBG58 TLC2:TLC58 TUY2:TUY58 UEU2:UEU58 UOQ2:UOQ58 UYM2:UYM58 VII2:VII58 VSE2:VSE58 WCA2:WCA58 WLW2:WLW58 WVS2:WVS58" xr:uid="{8DA162D7-1CAE-4882-9021-84AC898952C4}">
      <formula1>$AR$2:$AR$16</formula1>
    </dataValidation>
    <dataValidation type="list" allowBlank="1" showInputMessage="1" showErrorMessage="1" sqref="I64391:I64396 JE64370:JE64375 TA64370:TA64375 ACW64370:ACW64375 AMS64370:AMS64375 AWO64370:AWO64375 BGK64370:BGK64375 BQG64370:BQG64375 CAC64370:CAC64375 CJY64370:CJY64375 CTU64370:CTU64375 DDQ64370:DDQ64375 DNM64370:DNM64375 DXI64370:DXI64375 EHE64370:EHE64375 ERA64370:ERA64375 FAW64370:FAW64375 FKS64370:FKS64375 FUO64370:FUO64375 GEK64370:GEK64375 GOG64370:GOG64375 GYC64370:GYC64375 HHY64370:HHY64375 HRU64370:HRU64375 IBQ64370:IBQ64375 ILM64370:ILM64375 IVI64370:IVI64375 JFE64370:JFE64375 JPA64370:JPA64375 JYW64370:JYW64375 KIS64370:KIS64375 KSO64370:KSO64375 LCK64370:LCK64375 LMG64370:LMG64375 LWC64370:LWC64375 MFY64370:MFY64375 MPU64370:MPU64375 MZQ64370:MZQ64375 NJM64370:NJM64375 NTI64370:NTI64375 ODE64370:ODE64375 ONA64370:ONA64375 OWW64370:OWW64375 PGS64370:PGS64375 PQO64370:PQO64375 QAK64370:QAK64375 QKG64370:QKG64375 QUC64370:QUC64375 RDY64370:RDY64375 RNU64370:RNU64375 RXQ64370:RXQ64375 SHM64370:SHM64375 SRI64370:SRI64375 TBE64370:TBE64375 TLA64370:TLA64375 TUW64370:TUW64375 UES64370:UES64375 UOO64370:UOO64375 UYK64370:UYK64375 VIG64370:VIG64375 VSC64370:VSC64375 WBY64370:WBY64375 WLU64370:WLU64375 WVQ64370:WVQ64375 I129927:I129932 JE129906:JE129911 TA129906:TA129911 ACW129906:ACW129911 AMS129906:AMS129911 AWO129906:AWO129911 BGK129906:BGK129911 BQG129906:BQG129911 CAC129906:CAC129911 CJY129906:CJY129911 CTU129906:CTU129911 DDQ129906:DDQ129911 DNM129906:DNM129911 DXI129906:DXI129911 EHE129906:EHE129911 ERA129906:ERA129911 FAW129906:FAW129911 FKS129906:FKS129911 FUO129906:FUO129911 GEK129906:GEK129911 GOG129906:GOG129911 GYC129906:GYC129911 HHY129906:HHY129911 HRU129906:HRU129911 IBQ129906:IBQ129911 ILM129906:ILM129911 IVI129906:IVI129911 JFE129906:JFE129911 JPA129906:JPA129911 JYW129906:JYW129911 KIS129906:KIS129911 KSO129906:KSO129911 LCK129906:LCK129911 LMG129906:LMG129911 LWC129906:LWC129911 MFY129906:MFY129911 MPU129906:MPU129911 MZQ129906:MZQ129911 NJM129906:NJM129911 NTI129906:NTI129911 ODE129906:ODE129911 ONA129906:ONA129911 OWW129906:OWW129911 PGS129906:PGS129911 PQO129906:PQO129911 QAK129906:QAK129911 QKG129906:QKG129911 QUC129906:QUC129911 RDY129906:RDY129911 RNU129906:RNU129911 RXQ129906:RXQ129911 SHM129906:SHM129911 SRI129906:SRI129911 TBE129906:TBE129911 TLA129906:TLA129911 TUW129906:TUW129911 UES129906:UES129911 UOO129906:UOO129911 UYK129906:UYK129911 VIG129906:VIG129911 VSC129906:VSC129911 WBY129906:WBY129911 WLU129906:WLU129911 WVQ129906:WVQ129911 I195463:I195468 JE195442:JE195447 TA195442:TA195447 ACW195442:ACW195447 AMS195442:AMS195447 AWO195442:AWO195447 BGK195442:BGK195447 BQG195442:BQG195447 CAC195442:CAC195447 CJY195442:CJY195447 CTU195442:CTU195447 DDQ195442:DDQ195447 DNM195442:DNM195447 DXI195442:DXI195447 EHE195442:EHE195447 ERA195442:ERA195447 FAW195442:FAW195447 FKS195442:FKS195447 FUO195442:FUO195447 GEK195442:GEK195447 GOG195442:GOG195447 GYC195442:GYC195447 HHY195442:HHY195447 HRU195442:HRU195447 IBQ195442:IBQ195447 ILM195442:ILM195447 IVI195442:IVI195447 JFE195442:JFE195447 JPA195442:JPA195447 JYW195442:JYW195447 KIS195442:KIS195447 KSO195442:KSO195447 LCK195442:LCK195447 LMG195442:LMG195447 LWC195442:LWC195447 MFY195442:MFY195447 MPU195442:MPU195447 MZQ195442:MZQ195447 NJM195442:NJM195447 NTI195442:NTI195447 ODE195442:ODE195447 ONA195442:ONA195447 OWW195442:OWW195447 PGS195442:PGS195447 PQO195442:PQO195447 QAK195442:QAK195447 QKG195442:QKG195447 QUC195442:QUC195447 RDY195442:RDY195447 RNU195442:RNU195447 RXQ195442:RXQ195447 SHM195442:SHM195447 SRI195442:SRI195447 TBE195442:TBE195447 TLA195442:TLA195447 TUW195442:TUW195447 UES195442:UES195447 UOO195442:UOO195447 UYK195442:UYK195447 VIG195442:VIG195447 VSC195442:VSC195447 WBY195442:WBY195447 WLU195442:WLU195447 WVQ195442:WVQ195447 I260999:I261004 JE260978:JE260983 TA260978:TA260983 ACW260978:ACW260983 AMS260978:AMS260983 AWO260978:AWO260983 BGK260978:BGK260983 BQG260978:BQG260983 CAC260978:CAC260983 CJY260978:CJY260983 CTU260978:CTU260983 DDQ260978:DDQ260983 DNM260978:DNM260983 DXI260978:DXI260983 EHE260978:EHE260983 ERA260978:ERA260983 FAW260978:FAW260983 FKS260978:FKS260983 FUO260978:FUO260983 GEK260978:GEK260983 GOG260978:GOG260983 GYC260978:GYC260983 HHY260978:HHY260983 HRU260978:HRU260983 IBQ260978:IBQ260983 ILM260978:ILM260983 IVI260978:IVI260983 JFE260978:JFE260983 JPA260978:JPA260983 JYW260978:JYW260983 KIS260978:KIS260983 KSO260978:KSO260983 LCK260978:LCK260983 LMG260978:LMG260983 LWC260978:LWC260983 MFY260978:MFY260983 MPU260978:MPU260983 MZQ260978:MZQ260983 NJM260978:NJM260983 NTI260978:NTI260983 ODE260978:ODE260983 ONA260978:ONA260983 OWW260978:OWW260983 PGS260978:PGS260983 PQO260978:PQO260983 QAK260978:QAK260983 QKG260978:QKG260983 QUC260978:QUC260983 RDY260978:RDY260983 RNU260978:RNU260983 RXQ260978:RXQ260983 SHM260978:SHM260983 SRI260978:SRI260983 TBE260978:TBE260983 TLA260978:TLA260983 TUW260978:TUW260983 UES260978:UES260983 UOO260978:UOO260983 UYK260978:UYK260983 VIG260978:VIG260983 VSC260978:VSC260983 WBY260978:WBY260983 WLU260978:WLU260983 WVQ260978:WVQ260983 I326535:I326540 JE326514:JE326519 TA326514:TA326519 ACW326514:ACW326519 AMS326514:AMS326519 AWO326514:AWO326519 BGK326514:BGK326519 BQG326514:BQG326519 CAC326514:CAC326519 CJY326514:CJY326519 CTU326514:CTU326519 DDQ326514:DDQ326519 DNM326514:DNM326519 DXI326514:DXI326519 EHE326514:EHE326519 ERA326514:ERA326519 FAW326514:FAW326519 FKS326514:FKS326519 FUO326514:FUO326519 GEK326514:GEK326519 GOG326514:GOG326519 GYC326514:GYC326519 HHY326514:HHY326519 HRU326514:HRU326519 IBQ326514:IBQ326519 ILM326514:ILM326519 IVI326514:IVI326519 JFE326514:JFE326519 JPA326514:JPA326519 JYW326514:JYW326519 KIS326514:KIS326519 KSO326514:KSO326519 LCK326514:LCK326519 LMG326514:LMG326519 LWC326514:LWC326519 MFY326514:MFY326519 MPU326514:MPU326519 MZQ326514:MZQ326519 NJM326514:NJM326519 NTI326514:NTI326519 ODE326514:ODE326519 ONA326514:ONA326519 OWW326514:OWW326519 PGS326514:PGS326519 PQO326514:PQO326519 QAK326514:QAK326519 QKG326514:QKG326519 QUC326514:QUC326519 RDY326514:RDY326519 RNU326514:RNU326519 RXQ326514:RXQ326519 SHM326514:SHM326519 SRI326514:SRI326519 TBE326514:TBE326519 TLA326514:TLA326519 TUW326514:TUW326519 UES326514:UES326519 UOO326514:UOO326519 UYK326514:UYK326519 VIG326514:VIG326519 VSC326514:VSC326519 WBY326514:WBY326519 WLU326514:WLU326519 WVQ326514:WVQ326519 I392071:I392076 JE392050:JE392055 TA392050:TA392055 ACW392050:ACW392055 AMS392050:AMS392055 AWO392050:AWO392055 BGK392050:BGK392055 BQG392050:BQG392055 CAC392050:CAC392055 CJY392050:CJY392055 CTU392050:CTU392055 DDQ392050:DDQ392055 DNM392050:DNM392055 DXI392050:DXI392055 EHE392050:EHE392055 ERA392050:ERA392055 FAW392050:FAW392055 FKS392050:FKS392055 FUO392050:FUO392055 GEK392050:GEK392055 GOG392050:GOG392055 GYC392050:GYC392055 HHY392050:HHY392055 HRU392050:HRU392055 IBQ392050:IBQ392055 ILM392050:ILM392055 IVI392050:IVI392055 JFE392050:JFE392055 JPA392050:JPA392055 JYW392050:JYW392055 KIS392050:KIS392055 KSO392050:KSO392055 LCK392050:LCK392055 LMG392050:LMG392055 LWC392050:LWC392055 MFY392050:MFY392055 MPU392050:MPU392055 MZQ392050:MZQ392055 NJM392050:NJM392055 NTI392050:NTI392055 ODE392050:ODE392055 ONA392050:ONA392055 OWW392050:OWW392055 PGS392050:PGS392055 PQO392050:PQO392055 QAK392050:QAK392055 QKG392050:QKG392055 QUC392050:QUC392055 RDY392050:RDY392055 RNU392050:RNU392055 RXQ392050:RXQ392055 SHM392050:SHM392055 SRI392050:SRI392055 TBE392050:TBE392055 TLA392050:TLA392055 TUW392050:TUW392055 UES392050:UES392055 UOO392050:UOO392055 UYK392050:UYK392055 VIG392050:VIG392055 VSC392050:VSC392055 WBY392050:WBY392055 WLU392050:WLU392055 WVQ392050:WVQ392055 I457607:I457612 JE457586:JE457591 TA457586:TA457591 ACW457586:ACW457591 AMS457586:AMS457591 AWO457586:AWO457591 BGK457586:BGK457591 BQG457586:BQG457591 CAC457586:CAC457591 CJY457586:CJY457591 CTU457586:CTU457591 DDQ457586:DDQ457591 DNM457586:DNM457591 DXI457586:DXI457591 EHE457586:EHE457591 ERA457586:ERA457591 FAW457586:FAW457591 FKS457586:FKS457591 FUO457586:FUO457591 GEK457586:GEK457591 GOG457586:GOG457591 GYC457586:GYC457591 HHY457586:HHY457591 HRU457586:HRU457591 IBQ457586:IBQ457591 ILM457586:ILM457591 IVI457586:IVI457591 JFE457586:JFE457591 JPA457586:JPA457591 JYW457586:JYW457591 KIS457586:KIS457591 KSO457586:KSO457591 LCK457586:LCK457591 LMG457586:LMG457591 LWC457586:LWC457591 MFY457586:MFY457591 MPU457586:MPU457591 MZQ457586:MZQ457591 NJM457586:NJM457591 NTI457586:NTI457591 ODE457586:ODE457591 ONA457586:ONA457591 OWW457586:OWW457591 PGS457586:PGS457591 PQO457586:PQO457591 QAK457586:QAK457591 QKG457586:QKG457591 QUC457586:QUC457591 RDY457586:RDY457591 RNU457586:RNU457591 RXQ457586:RXQ457591 SHM457586:SHM457591 SRI457586:SRI457591 TBE457586:TBE457591 TLA457586:TLA457591 TUW457586:TUW457591 UES457586:UES457591 UOO457586:UOO457591 UYK457586:UYK457591 VIG457586:VIG457591 VSC457586:VSC457591 WBY457586:WBY457591 WLU457586:WLU457591 WVQ457586:WVQ457591 I523143:I523148 JE523122:JE523127 TA523122:TA523127 ACW523122:ACW523127 AMS523122:AMS523127 AWO523122:AWO523127 BGK523122:BGK523127 BQG523122:BQG523127 CAC523122:CAC523127 CJY523122:CJY523127 CTU523122:CTU523127 DDQ523122:DDQ523127 DNM523122:DNM523127 DXI523122:DXI523127 EHE523122:EHE523127 ERA523122:ERA523127 FAW523122:FAW523127 FKS523122:FKS523127 FUO523122:FUO523127 GEK523122:GEK523127 GOG523122:GOG523127 GYC523122:GYC523127 HHY523122:HHY523127 HRU523122:HRU523127 IBQ523122:IBQ523127 ILM523122:ILM523127 IVI523122:IVI523127 JFE523122:JFE523127 JPA523122:JPA523127 JYW523122:JYW523127 KIS523122:KIS523127 KSO523122:KSO523127 LCK523122:LCK523127 LMG523122:LMG523127 LWC523122:LWC523127 MFY523122:MFY523127 MPU523122:MPU523127 MZQ523122:MZQ523127 NJM523122:NJM523127 NTI523122:NTI523127 ODE523122:ODE523127 ONA523122:ONA523127 OWW523122:OWW523127 PGS523122:PGS523127 PQO523122:PQO523127 QAK523122:QAK523127 QKG523122:QKG523127 QUC523122:QUC523127 RDY523122:RDY523127 RNU523122:RNU523127 RXQ523122:RXQ523127 SHM523122:SHM523127 SRI523122:SRI523127 TBE523122:TBE523127 TLA523122:TLA523127 TUW523122:TUW523127 UES523122:UES523127 UOO523122:UOO523127 UYK523122:UYK523127 VIG523122:VIG523127 VSC523122:VSC523127 WBY523122:WBY523127 WLU523122:WLU523127 WVQ523122:WVQ523127 I588679:I588684 JE588658:JE588663 TA588658:TA588663 ACW588658:ACW588663 AMS588658:AMS588663 AWO588658:AWO588663 BGK588658:BGK588663 BQG588658:BQG588663 CAC588658:CAC588663 CJY588658:CJY588663 CTU588658:CTU588663 DDQ588658:DDQ588663 DNM588658:DNM588663 DXI588658:DXI588663 EHE588658:EHE588663 ERA588658:ERA588663 FAW588658:FAW588663 FKS588658:FKS588663 FUO588658:FUO588663 GEK588658:GEK588663 GOG588658:GOG588663 GYC588658:GYC588663 HHY588658:HHY588663 HRU588658:HRU588663 IBQ588658:IBQ588663 ILM588658:ILM588663 IVI588658:IVI588663 JFE588658:JFE588663 JPA588658:JPA588663 JYW588658:JYW588663 KIS588658:KIS588663 KSO588658:KSO588663 LCK588658:LCK588663 LMG588658:LMG588663 LWC588658:LWC588663 MFY588658:MFY588663 MPU588658:MPU588663 MZQ588658:MZQ588663 NJM588658:NJM588663 NTI588658:NTI588663 ODE588658:ODE588663 ONA588658:ONA588663 OWW588658:OWW588663 PGS588658:PGS588663 PQO588658:PQO588663 QAK588658:QAK588663 QKG588658:QKG588663 QUC588658:QUC588663 RDY588658:RDY588663 RNU588658:RNU588663 RXQ588658:RXQ588663 SHM588658:SHM588663 SRI588658:SRI588663 TBE588658:TBE588663 TLA588658:TLA588663 TUW588658:TUW588663 UES588658:UES588663 UOO588658:UOO588663 UYK588658:UYK588663 VIG588658:VIG588663 VSC588658:VSC588663 WBY588658:WBY588663 WLU588658:WLU588663 WVQ588658:WVQ588663 I654215:I654220 JE654194:JE654199 TA654194:TA654199 ACW654194:ACW654199 AMS654194:AMS654199 AWO654194:AWO654199 BGK654194:BGK654199 BQG654194:BQG654199 CAC654194:CAC654199 CJY654194:CJY654199 CTU654194:CTU654199 DDQ654194:DDQ654199 DNM654194:DNM654199 DXI654194:DXI654199 EHE654194:EHE654199 ERA654194:ERA654199 FAW654194:FAW654199 FKS654194:FKS654199 FUO654194:FUO654199 GEK654194:GEK654199 GOG654194:GOG654199 GYC654194:GYC654199 HHY654194:HHY654199 HRU654194:HRU654199 IBQ654194:IBQ654199 ILM654194:ILM654199 IVI654194:IVI654199 JFE654194:JFE654199 JPA654194:JPA654199 JYW654194:JYW654199 KIS654194:KIS654199 KSO654194:KSO654199 LCK654194:LCK654199 LMG654194:LMG654199 LWC654194:LWC654199 MFY654194:MFY654199 MPU654194:MPU654199 MZQ654194:MZQ654199 NJM654194:NJM654199 NTI654194:NTI654199 ODE654194:ODE654199 ONA654194:ONA654199 OWW654194:OWW654199 PGS654194:PGS654199 PQO654194:PQO654199 QAK654194:QAK654199 QKG654194:QKG654199 QUC654194:QUC654199 RDY654194:RDY654199 RNU654194:RNU654199 RXQ654194:RXQ654199 SHM654194:SHM654199 SRI654194:SRI654199 TBE654194:TBE654199 TLA654194:TLA654199 TUW654194:TUW654199 UES654194:UES654199 UOO654194:UOO654199 UYK654194:UYK654199 VIG654194:VIG654199 VSC654194:VSC654199 WBY654194:WBY654199 WLU654194:WLU654199 WVQ654194:WVQ654199 I719751:I719756 JE719730:JE719735 TA719730:TA719735 ACW719730:ACW719735 AMS719730:AMS719735 AWO719730:AWO719735 BGK719730:BGK719735 BQG719730:BQG719735 CAC719730:CAC719735 CJY719730:CJY719735 CTU719730:CTU719735 DDQ719730:DDQ719735 DNM719730:DNM719735 DXI719730:DXI719735 EHE719730:EHE719735 ERA719730:ERA719735 FAW719730:FAW719735 FKS719730:FKS719735 FUO719730:FUO719735 GEK719730:GEK719735 GOG719730:GOG719735 GYC719730:GYC719735 HHY719730:HHY719735 HRU719730:HRU719735 IBQ719730:IBQ719735 ILM719730:ILM719735 IVI719730:IVI719735 JFE719730:JFE719735 JPA719730:JPA719735 JYW719730:JYW719735 KIS719730:KIS719735 KSO719730:KSO719735 LCK719730:LCK719735 LMG719730:LMG719735 LWC719730:LWC719735 MFY719730:MFY719735 MPU719730:MPU719735 MZQ719730:MZQ719735 NJM719730:NJM719735 NTI719730:NTI719735 ODE719730:ODE719735 ONA719730:ONA719735 OWW719730:OWW719735 PGS719730:PGS719735 PQO719730:PQO719735 QAK719730:QAK719735 QKG719730:QKG719735 QUC719730:QUC719735 RDY719730:RDY719735 RNU719730:RNU719735 RXQ719730:RXQ719735 SHM719730:SHM719735 SRI719730:SRI719735 TBE719730:TBE719735 TLA719730:TLA719735 TUW719730:TUW719735 UES719730:UES719735 UOO719730:UOO719735 UYK719730:UYK719735 VIG719730:VIG719735 VSC719730:VSC719735 WBY719730:WBY719735 WLU719730:WLU719735 WVQ719730:WVQ719735 I785287:I785292 JE785266:JE785271 TA785266:TA785271 ACW785266:ACW785271 AMS785266:AMS785271 AWO785266:AWO785271 BGK785266:BGK785271 BQG785266:BQG785271 CAC785266:CAC785271 CJY785266:CJY785271 CTU785266:CTU785271 DDQ785266:DDQ785271 DNM785266:DNM785271 DXI785266:DXI785271 EHE785266:EHE785271 ERA785266:ERA785271 FAW785266:FAW785271 FKS785266:FKS785271 FUO785266:FUO785271 GEK785266:GEK785271 GOG785266:GOG785271 GYC785266:GYC785271 HHY785266:HHY785271 HRU785266:HRU785271 IBQ785266:IBQ785271 ILM785266:ILM785271 IVI785266:IVI785271 JFE785266:JFE785271 JPA785266:JPA785271 JYW785266:JYW785271 KIS785266:KIS785271 KSO785266:KSO785271 LCK785266:LCK785271 LMG785266:LMG785271 LWC785266:LWC785271 MFY785266:MFY785271 MPU785266:MPU785271 MZQ785266:MZQ785271 NJM785266:NJM785271 NTI785266:NTI785271 ODE785266:ODE785271 ONA785266:ONA785271 OWW785266:OWW785271 PGS785266:PGS785271 PQO785266:PQO785271 QAK785266:QAK785271 QKG785266:QKG785271 QUC785266:QUC785271 RDY785266:RDY785271 RNU785266:RNU785271 RXQ785266:RXQ785271 SHM785266:SHM785271 SRI785266:SRI785271 TBE785266:TBE785271 TLA785266:TLA785271 TUW785266:TUW785271 UES785266:UES785271 UOO785266:UOO785271 UYK785266:UYK785271 VIG785266:VIG785271 VSC785266:VSC785271 WBY785266:WBY785271 WLU785266:WLU785271 WVQ785266:WVQ785271 I850823:I850828 JE850802:JE850807 TA850802:TA850807 ACW850802:ACW850807 AMS850802:AMS850807 AWO850802:AWO850807 BGK850802:BGK850807 BQG850802:BQG850807 CAC850802:CAC850807 CJY850802:CJY850807 CTU850802:CTU850807 DDQ850802:DDQ850807 DNM850802:DNM850807 DXI850802:DXI850807 EHE850802:EHE850807 ERA850802:ERA850807 FAW850802:FAW850807 FKS850802:FKS850807 FUO850802:FUO850807 GEK850802:GEK850807 GOG850802:GOG850807 GYC850802:GYC850807 HHY850802:HHY850807 HRU850802:HRU850807 IBQ850802:IBQ850807 ILM850802:ILM850807 IVI850802:IVI850807 JFE850802:JFE850807 JPA850802:JPA850807 JYW850802:JYW850807 KIS850802:KIS850807 KSO850802:KSO850807 LCK850802:LCK850807 LMG850802:LMG850807 LWC850802:LWC850807 MFY850802:MFY850807 MPU850802:MPU850807 MZQ850802:MZQ850807 NJM850802:NJM850807 NTI850802:NTI850807 ODE850802:ODE850807 ONA850802:ONA850807 OWW850802:OWW850807 PGS850802:PGS850807 PQO850802:PQO850807 QAK850802:QAK850807 QKG850802:QKG850807 QUC850802:QUC850807 RDY850802:RDY850807 RNU850802:RNU850807 RXQ850802:RXQ850807 SHM850802:SHM850807 SRI850802:SRI850807 TBE850802:TBE850807 TLA850802:TLA850807 TUW850802:TUW850807 UES850802:UES850807 UOO850802:UOO850807 UYK850802:UYK850807 VIG850802:VIG850807 VSC850802:VSC850807 WBY850802:WBY850807 WLU850802:WLU850807 WVQ850802:WVQ850807 I916359:I916364 JE916338:JE916343 TA916338:TA916343 ACW916338:ACW916343 AMS916338:AMS916343 AWO916338:AWO916343 BGK916338:BGK916343 BQG916338:BQG916343 CAC916338:CAC916343 CJY916338:CJY916343 CTU916338:CTU916343 DDQ916338:DDQ916343 DNM916338:DNM916343 DXI916338:DXI916343 EHE916338:EHE916343 ERA916338:ERA916343 FAW916338:FAW916343 FKS916338:FKS916343 FUO916338:FUO916343 GEK916338:GEK916343 GOG916338:GOG916343 GYC916338:GYC916343 HHY916338:HHY916343 HRU916338:HRU916343 IBQ916338:IBQ916343 ILM916338:ILM916343 IVI916338:IVI916343 JFE916338:JFE916343 JPA916338:JPA916343 JYW916338:JYW916343 KIS916338:KIS916343 KSO916338:KSO916343 LCK916338:LCK916343 LMG916338:LMG916343 LWC916338:LWC916343 MFY916338:MFY916343 MPU916338:MPU916343 MZQ916338:MZQ916343 NJM916338:NJM916343 NTI916338:NTI916343 ODE916338:ODE916343 ONA916338:ONA916343 OWW916338:OWW916343 PGS916338:PGS916343 PQO916338:PQO916343 QAK916338:QAK916343 QKG916338:QKG916343 QUC916338:QUC916343 RDY916338:RDY916343 RNU916338:RNU916343 RXQ916338:RXQ916343 SHM916338:SHM916343 SRI916338:SRI916343 TBE916338:TBE916343 TLA916338:TLA916343 TUW916338:TUW916343 UES916338:UES916343 UOO916338:UOO916343 UYK916338:UYK916343 VIG916338:VIG916343 VSC916338:VSC916343 WBY916338:WBY916343 WLU916338:WLU916343 WVQ916338:WVQ916343 I981895:I981900 JE981874:JE981879 TA981874:TA981879 ACW981874:ACW981879 AMS981874:AMS981879 AWO981874:AWO981879 BGK981874:BGK981879 BQG981874:BQG981879 CAC981874:CAC981879 CJY981874:CJY981879 CTU981874:CTU981879 DDQ981874:DDQ981879 DNM981874:DNM981879 DXI981874:DXI981879 EHE981874:EHE981879 ERA981874:ERA981879 FAW981874:FAW981879 FKS981874:FKS981879 FUO981874:FUO981879 GEK981874:GEK981879 GOG981874:GOG981879 GYC981874:GYC981879 HHY981874:HHY981879 HRU981874:HRU981879 IBQ981874:IBQ981879 ILM981874:ILM981879 IVI981874:IVI981879 JFE981874:JFE981879 JPA981874:JPA981879 JYW981874:JYW981879 KIS981874:KIS981879 KSO981874:KSO981879 LCK981874:LCK981879 LMG981874:LMG981879 LWC981874:LWC981879 MFY981874:MFY981879 MPU981874:MPU981879 MZQ981874:MZQ981879 NJM981874:NJM981879 NTI981874:NTI981879 ODE981874:ODE981879 ONA981874:ONA981879 OWW981874:OWW981879 PGS981874:PGS981879 PQO981874:PQO981879 QAK981874:QAK981879 QKG981874:QKG981879 QUC981874:QUC981879 RDY981874:RDY981879 RNU981874:RNU981879 RXQ981874:RXQ981879 SHM981874:SHM981879 SRI981874:SRI981879 TBE981874:TBE981879 TLA981874:TLA981879 TUW981874:TUW981879 UES981874:UES981879 UOO981874:UOO981879 UYK981874:UYK981879 VIG981874:VIG981879 VSC981874:VSC981879 WBY981874:WBY981879 WLU981874:WLU981879 WVQ981874:WVQ981879" xr:uid="{DDB2494C-CB59-4A82-9870-C3C8CEFE0B49}">
      <formula1>$AN$5:$AN$6</formula1>
    </dataValidation>
    <dataValidation type="list" allowBlank="1" showInputMessage="1" showErrorMessage="1" sqref="WVR981790:WVR981879 J64295:J64384 JF64286:JF64375 TB64286:TB64375 ACX64286:ACX64375 AMT64286:AMT64375 AWP64286:AWP64375 BGL64286:BGL64375 BQH64286:BQH64375 CAD64286:CAD64375 CJZ64286:CJZ64375 CTV64286:CTV64375 DDR64286:DDR64375 DNN64286:DNN64375 DXJ64286:DXJ64375 EHF64286:EHF64375 ERB64286:ERB64375 FAX64286:FAX64375 FKT64286:FKT64375 FUP64286:FUP64375 GEL64286:GEL64375 GOH64286:GOH64375 GYD64286:GYD64375 HHZ64286:HHZ64375 HRV64286:HRV64375 IBR64286:IBR64375 ILN64286:ILN64375 IVJ64286:IVJ64375 JFF64286:JFF64375 JPB64286:JPB64375 JYX64286:JYX64375 KIT64286:KIT64375 KSP64286:KSP64375 LCL64286:LCL64375 LMH64286:LMH64375 LWD64286:LWD64375 MFZ64286:MFZ64375 MPV64286:MPV64375 MZR64286:MZR64375 NJN64286:NJN64375 NTJ64286:NTJ64375 ODF64286:ODF64375 ONB64286:ONB64375 OWX64286:OWX64375 PGT64286:PGT64375 PQP64286:PQP64375 QAL64286:QAL64375 QKH64286:QKH64375 QUD64286:QUD64375 RDZ64286:RDZ64375 RNV64286:RNV64375 RXR64286:RXR64375 SHN64286:SHN64375 SRJ64286:SRJ64375 TBF64286:TBF64375 TLB64286:TLB64375 TUX64286:TUX64375 UET64286:UET64375 UOP64286:UOP64375 UYL64286:UYL64375 VIH64286:VIH64375 VSD64286:VSD64375 WBZ64286:WBZ64375 WLV64286:WLV64375 WVR64286:WVR64375 J129831:J129920 JF129822:JF129911 TB129822:TB129911 ACX129822:ACX129911 AMT129822:AMT129911 AWP129822:AWP129911 BGL129822:BGL129911 BQH129822:BQH129911 CAD129822:CAD129911 CJZ129822:CJZ129911 CTV129822:CTV129911 DDR129822:DDR129911 DNN129822:DNN129911 DXJ129822:DXJ129911 EHF129822:EHF129911 ERB129822:ERB129911 FAX129822:FAX129911 FKT129822:FKT129911 FUP129822:FUP129911 GEL129822:GEL129911 GOH129822:GOH129911 GYD129822:GYD129911 HHZ129822:HHZ129911 HRV129822:HRV129911 IBR129822:IBR129911 ILN129822:ILN129911 IVJ129822:IVJ129911 JFF129822:JFF129911 JPB129822:JPB129911 JYX129822:JYX129911 KIT129822:KIT129911 KSP129822:KSP129911 LCL129822:LCL129911 LMH129822:LMH129911 LWD129822:LWD129911 MFZ129822:MFZ129911 MPV129822:MPV129911 MZR129822:MZR129911 NJN129822:NJN129911 NTJ129822:NTJ129911 ODF129822:ODF129911 ONB129822:ONB129911 OWX129822:OWX129911 PGT129822:PGT129911 PQP129822:PQP129911 QAL129822:QAL129911 QKH129822:QKH129911 QUD129822:QUD129911 RDZ129822:RDZ129911 RNV129822:RNV129911 RXR129822:RXR129911 SHN129822:SHN129911 SRJ129822:SRJ129911 TBF129822:TBF129911 TLB129822:TLB129911 TUX129822:TUX129911 UET129822:UET129911 UOP129822:UOP129911 UYL129822:UYL129911 VIH129822:VIH129911 VSD129822:VSD129911 WBZ129822:WBZ129911 WLV129822:WLV129911 WVR129822:WVR129911 J195367:J195456 JF195358:JF195447 TB195358:TB195447 ACX195358:ACX195447 AMT195358:AMT195447 AWP195358:AWP195447 BGL195358:BGL195447 BQH195358:BQH195447 CAD195358:CAD195447 CJZ195358:CJZ195447 CTV195358:CTV195447 DDR195358:DDR195447 DNN195358:DNN195447 DXJ195358:DXJ195447 EHF195358:EHF195447 ERB195358:ERB195447 FAX195358:FAX195447 FKT195358:FKT195447 FUP195358:FUP195447 GEL195358:GEL195447 GOH195358:GOH195447 GYD195358:GYD195447 HHZ195358:HHZ195447 HRV195358:HRV195447 IBR195358:IBR195447 ILN195358:ILN195447 IVJ195358:IVJ195447 JFF195358:JFF195447 JPB195358:JPB195447 JYX195358:JYX195447 KIT195358:KIT195447 KSP195358:KSP195447 LCL195358:LCL195447 LMH195358:LMH195447 LWD195358:LWD195447 MFZ195358:MFZ195447 MPV195358:MPV195447 MZR195358:MZR195447 NJN195358:NJN195447 NTJ195358:NTJ195447 ODF195358:ODF195447 ONB195358:ONB195447 OWX195358:OWX195447 PGT195358:PGT195447 PQP195358:PQP195447 QAL195358:QAL195447 QKH195358:QKH195447 QUD195358:QUD195447 RDZ195358:RDZ195447 RNV195358:RNV195447 RXR195358:RXR195447 SHN195358:SHN195447 SRJ195358:SRJ195447 TBF195358:TBF195447 TLB195358:TLB195447 TUX195358:TUX195447 UET195358:UET195447 UOP195358:UOP195447 UYL195358:UYL195447 VIH195358:VIH195447 VSD195358:VSD195447 WBZ195358:WBZ195447 WLV195358:WLV195447 WVR195358:WVR195447 J260903:J260992 JF260894:JF260983 TB260894:TB260983 ACX260894:ACX260983 AMT260894:AMT260983 AWP260894:AWP260983 BGL260894:BGL260983 BQH260894:BQH260983 CAD260894:CAD260983 CJZ260894:CJZ260983 CTV260894:CTV260983 DDR260894:DDR260983 DNN260894:DNN260983 DXJ260894:DXJ260983 EHF260894:EHF260983 ERB260894:ERB260983 FAX260894:FAX260983 FKT260894:FKT260983 FUP260894:FUP260983 GEL260894:GEL260983 GOH260894:GOH260983 GYD260894:GYD260983 HHZ260894:HHZ260983 HRV260894:HRV260983 IBR260894:IBR260983 ILN260894:ILN260983 IVJ260894:IVJ260983 JFF260894:JFF260983 JPB260894:JPB260983 JYX260894:JYX260983 KIT260894:KIT260983 KSP260894:KSP260983 LCL260894:LCL260983 LMH260894:LMH260983 LWD260894:LWD260983 MFZ260894:MFZ260983 MPV260894:MPV260983 MZR260894:MZR260983 NJN260894:NJN260983 NTJ260894:NTJ260983 ODF260894:ODF260983 ONB260894:ONB260983 OWX260894:OWX260983 PGT260894:PGT260983 PQP260894:PQP260983 QAL260894:QAL260983 QKH260894:QKH260983 QUD260894:QUD260983 RDZ260894:RDZ260983 RNV260894:RNV260983 RXR260894:RXR260983 SHN260894:SHN260983 SRJ260894:SRJ260983 TBF260894:TBF260983 TLB260894:TLB260983 TUX260894:TUX260983 UET260894:UET260983 UOP260894:UOP260983 UYL260894:UYL260983 VIH260894:VIH260983 VSD260894:VSD260983 WBZ260894:WBZ260983 WLV260894:WLV260983 WVR260894:WVR260983 J326439:J326528 JF326430:JF326519 TB326430:TB326519 ACX326430:ACX326519 AMT326430:AMT326519 AWP326430:AWP326519 BGL326430:BGL326519 BQH326430:BQH326519 CAD326430:CAD326519 CJZ326430:CJZ326519 CTV326430:CTV326519 DDR326430:DDR326519 DNN326430:DNN326519 DXJ326430:DXJ326519 EHF326430:EHF326519 ERB326430:ERB326519 FAX326430:FAX326519 FKT326430:FKT326519 FUP326430:FUP326519 GEL326430:GEL326519 GOH326430:GOH326519 GYD326430:GYD326519 HHZ326430:HHZ326519 HRV326430:HRV326519 IBR326430:IBR326519 ILN326430:ILN326519 IVJ326430:IVJ326519 JFF326430:JFF326519 JPB326430:JPB326519 JYX326430:JYX326519 KIT326430:KIT326519 KSP326430:KSP326519 LCL326430:LCL326519 LMH326430:LMH326519 LWD326430:LWD326519 MFZ326430:MFZ326519 MPV326430:MPV326519 MZR326430:MZR326519 NJN326430:NJN326519 NTJ326430:NTJ326519 ODF326430:ODF326519 ONB326430:ONB326519 OWX326430:OWX326519 PGT326430:PGT326519 PQP326430:PQP326519 QAL326430:QAL326519 QKH326430:QKH326519 QUD326430:QUD326519 RDZ326430:RDZ326519 RNV326430:RNV326519 RXR326430:RXR326519 SHN326430:SHN326519 SRJ326430:SRJ326519 TBF326430:TBF326519 TLB326430:TLB326519 TUX326430:TUX326519 UET326430:UET326519 UOP326430:UOP326519 UYL326430:UYL326519 VIH326430:VIH326519 VSD326430:VSD326519 WBZ326430:WBZ326519 WLV326430:WLV326519 WVR326430:WVR326519 J391975:J392064 JF391966:JF392055 TB391966:TB392055 ACX391966:ACX392055 AMT391966:AMT392055 AWP391966:AWP392055 BGL391966:BGL392055 BQH391966:BQH392055 CAD391966:CAD392055 CJZ391966:CJZ392055 CTV391966:CTV392055 DDR391966:DDR392055 DNN391966:DNN392055 DXJ391966:DXJ392055 EHF391966:EHF392055 ERB391966:ERB392055 FAX391966:FAX392055 FKT391966:FKT392055 FUP391966:FUP392055 GEL391966:GEL392055 GOH391966:GOH392055 GYD391966:GYD392055 HHZ391966:HHZ392055 HRV391966:HRV392055 IBR391966:IBR392055 ILN391966:ILN392055 IVJ391966:IVJ392055 JFF391966:JFF392055 JPB391966:JPB392055 JYX391966:JYX392055 KIT391966:KIT392055 KSP391966:KSP392055 LCL391966:LCL392055 LMH391966:LMH392055 LWD391966:LWD392055 MFZ391966:MFZ392055 MPV391966:MPV392055 MZR391966:MZR392055 NJN391966:NJN392055 NTJ391966:NTJ392055 ODF391966:ODF392055 ONB391966:ONB392055 OWX391966:OWX392055 PGT391966:PGT392055 PQP391966:PQP392055 QAL391966:QAL392055 QKH391966:QKH392055 QUD391966:QUD392055 RDZ391966:RDZ392055 RNV391966:RNV392055 RXR391966:RXR392055 SHN391966:SHN392055 SRJ391966:SRJ392055 TBF391966:TBF392055 TLB391966:TLB392055 TUX391966:TUX392055 UET391966:UET392055 UOP391966:UOP392055 UYL391966:UYL392055 VIH391966:VIH392055 VSD391966:VSD392055 WBZ391966:WBZ392055 WLV391966:WLV392055 WVR391966:WVR392055 J457511:J457600 JF457502:JF457591 TB457502:TB457591 ACX457502:ACX457591 AMT457502:AMT457591 AWP457502:AWP457591 BGL457502:BGL457591 BQH457502:BQH457591 CAD457502:CAD457591 CJZ457502:CJZ457591 CTV457502:CTV457591 DDR457502:DDR457591 DNN457502:DNN457591 DXJ457502:DXJ457591 EHF457502:EHF457591 ERB457502:ERB457591 FAX457502:FAX457591 FKT457502:FKT457591 FUP457502:FUP457591 GEL457502:GEL457591 GOH457502:GOH457591 GYD457502:GYD457591 HHZ457502:HHZ457591 HRV457502:HRV457591 IBR457502:IBR457591 ILN457502:ILN457591 IVJ457502:IVJ457591 JFF457502:JFF457591 JPB457502:JPB457591 JYX457502:JYX457591 KIT457502:KIT457591 KSP457502:KSP457591 LCL457502:LCL457591 LMH457502:LMH457591 LWD457502:LWD457591 MFZ457502:MFZ457591 MPV457502:MPV457591 MZR457502:MZR457591 NJN457502:NJN457591 NTJ457502:NTJ457591 ODF457502:ODF457591 ONB457502:ONB457591 OWX457502:OWX457591 PGT457502:PGT457591 PQP457502:PQP457591 QAL457502:QAL457591 QKH457502:QKH457591 QUD457502:QUD457591 RDZ457502:RDZ457591 RNV457502:RNV457591 RXR457502:RXR457591 SHN457502:SHN457591 SRJ457502:SRJ457591 TBF457502:TBF457591 TLB457502:TLB457591 TUX457502:TUX457591 UET457502:UET457591 UOP457502:UOP457591 UYL457502:UYL457591 VIH457502:VIH457591 VSD457502:VSD457591 WBZ457502:WBZ457591 WLV457502:WLV457591 WVR457502:WVR457591 J523047:J523136 JF523038:JF523127 TB523038:TB523127 ACX523038:ACX523127 AMT523038:AMT523127 AWP523038:AWP523127 BGL523038:BGL523127 BQH523038:BQH523127 CAD523038:CAD523127 CJZ523038:CJZ523127 CTV523038:CTV523127 DDR523038:DDR523127 DNN523038:DNN523127 DXJ523038:DXJ523127 EHF523038:EHF523127 ERB523038:ERB523127 FAX523038:FAX523127 FKT523038:FKT523127 FUP523038:FUP523127 GEL523038:GEL523127 GOH523038:GOH523127 GYD523038:GYD523127 HHZ523038:HHZ523127 HRV523038:HRV523127 IBR523038:IBR523127 ILN523038:ILN523127 IVJ523038:IVJ523127 JFF523038:JFF523127 JPB523038:JPB523127 JYX523038:JYX523127 KIT523038:KIT523127 KSP523038:KSP523127 LCL523038:LCL523127 LMH523038:LMH523127 LWD523038:LWD523127 MFZ523038:MFZ523127 MPV523038:MPV523127 MZR523038:MZR523127 NJN523038:NJN523127 NTJ523038:NTJ523127 ODF523038:ODF523127 ONB523038:ONB523127 OWX523038:OWX523127 PGT523038:PGT523127 PQP523038:PQP523127 QAL523038:QAL523127 QKH523038:QKH523127 QUD523038:QUD523127 RDZ523038:RDZ523127 RNV523038:RNV523127 RXR523038:RXR523127 SHN523038:SHN523127 SRJ523038:SRJ523127 TBF523038:TBF523127 TLB523038:TLB523127 TUX523038:TUX523127 UET523038:UET523127 UOP523038:UOP523127 UYL523038:UYL523127 VIH523038:VIH523127 VSD523038:VSD523127 WBZ523038:WBZ523127 WLV523038:WLV523127 WVR523038:WVR523127 J588583:J588672 JF588574:JF588663 TB588574:TB588663 ACX588574:ACX588663 AMT588574:AMT588663 AWP588574:AWP588663 BGL588574:BGL588663 BQH588574:BQH588663 CAD588574:CAD588663 CJZ588574:CJZ588663 CTV588574:CTV588663 DDR588574:DDR588663 DNN588574:DNN588663 DXJ588574:DXJ588663 EHF588574:EHF588663 ERB588574:ERB588663 FAX588574:FAX588663 FKT588574:FKT588663 FUP588574:FUP588663 GEL588574:GEL588663 GOH588574:GOH588663 GYD588574:GYD588663 HHZ588574:HHZ588663 HRV588574:HRV588663 IBR588574:IBR588663 ILN588574:ILN588663 IVJ588574:IVJ588663 JFF588574:JFF588663 JPB588574:JPB588663 JYX588574:JYX588663 KIT588574:KIT588663 KSP588574:KSP588663 LCL588574:LCL588663 LMH588574:LMH588663 LWD588574:LWD588663 MFZ588574:MFZ588663 MPV588574:MPV588663 MZR588574:MZR588663 NJN588574:NJN588663 NTJ588574:NTJ588663 ODF588574:ODF588663 ONB588574:ONB588663 OWX588574:OWX588663 PGT588574:PGT588663 PQP588574:PQP588663 QAL588574:QAL588663 QKH588574:QKH588663 QUD588574:QUD588663 RDZ588574:RDZ588663 RNV588574:RNV588663 RXR588574:RXR588663 SHN588574:SHN588663 SRJ588574:SRJ588663 TBF588574:TBF588663 TLB588574:TLB588663 TUX588574:TUX588663 UET588574:UET588663 UOP588574:UOP588663 UYL588574:UYL588663 VIH588574:VIH588663 VSD588574:VSD588663 WBZ588574:WBZ588663 WLV588574:WLV588663 WVR588574:WVR588663 J654119:J654208 JF654110:JF654199 TB654110:TB654199 ACX654110:ACX654199 AMT654110:AMT654199 AWP654110:AWP654199 BGL654110:BGL654199 BQH654110:BQH654199 CAD654110:CAD654199 CJZ654110:CJZ654199 CTV654110:CTV654199 DDR654110:DDR654199 DNN654110:DNN654199 DXJ654110:DXJ654199 EHF654110:EHF654199 ERB654110:ERB654199 FAX654110:FAX654199 FKT654110:FKT654199 FUP654110:FUP654199 GEL654110:GEL654199 GOH654110:GOH654199 GYD654110:GYD654199 HHZ654110:HHZ654199 HRV654110:HRV654199 IBR654110:IBR654199 ILN654110:ILN654199 IVJ654110:IVJ654199 JFF654110:JFF654199 JPB654110:JPB654199 JYX654110:JYX654199 KIT654110:KIT654199 KSP654110:KSP654199 LCL654110:LCL654199 LMH654110:LMH654199 LWD654110:LWD654199 MFZ654110:MFZ654199 MPV654110:MPV654199 MZR654110:MZR654199 NJN654110:NJN654199 NTJ654110:NTJ654199 ODF654110:ODF654199 ONB654110:ONB654199 OWX654110:OWX654199 PGT654110:PGT654199 PQP654110:PQP654199 QAL654110:QAL654199 QKH654110:QKH654199 QUD654110:QUD654199 RDZ654110:RDZ654199 RNV654110:RNV654199 RXR654110:RXR654199 SHN654110:SHN654199 SRJ654110:SRJ654199 TBF654110:TBF654199 TLB654110:TLB654199 TUX654110:TUX654199 UET654110:UET654199 UOP654110:UOP654199 UYL654110:UYL654199 VIH654110:VIH654199 VSD654110:VSD654199 WBZ654110:WBZ654199 WLV654110:WLV654199 WVR654110:WVR654199 J719655:J719744 JF719646:JF719735 TB719646:TB719735 ACX719646:ACX719735 AMT719646:AMT719735 AWP719646:AWP719735 BGL719646:BGL719735 BQH719646:BQH719735 CAD719646:CAD719735 CJZ719646:CJZ719735 CTV719646:CTV719735 DDR719646:DDR719735 DNN719646:DNN719735 DXJ719646:DXJ719735 EHF719646:EHF719735 ERB719646:ERB719735 FAX719646:FAX719735 FKT719646:FKT719735 FUP719646:FUP719735 GEL719646:GEL719735 GOH719646:GOH719735 GYD719646:GYD719735 HHZ719646:HHZ719735 HRV719646:HRV719735 IBR719646:IBR719735 ILN719646:ILN719735 IVJ719646:IVJ719735 JFF719646:JFF719735 JPB719646:JPB719735 JYX719646:JYX719735 KIT719646:KIT719735 KSP719646:KSP719735 LCL719646:LCL719735 LMH719646:LMH719735 LWD719646:LWD719735 MFZ719646:MFZ719735 MPV719646:MPV719735 MZR719646:MZR719735 NJN719646:NJN719735 NTJ719646:NTJ719735 ODF719646:ODF719735 ONB719646:ONB719735 OWX719646:OWX719735 PGT719646:PGT719735 PQP719646:PQP719735 QAL719646:QAL719735 QKH719646:QKH719735 QUD719646:QUD719735 RDZ719646:RDZ719735 RNV719646:RNV719735 RXR719646:RXR719735 SHN719646:SHN719735 SRJ719646:SRJ719735 TBF719646:TBF719735 TLB719646:TLB719735 TUX719646:TUX719735 UET719646:UET719735 UOP719646:UOP719735 UYL719646:UYL719735 VIH719646:VIH719735 VSD719646:VSD719735 WBZ719646:WBZ719735 WLV719646:WLV719735 WVR719646:WVR719735 J785191:J785280 JF785182:JF785271 TB785182:TB785271 ACX785182:ACX785271 AMT785182:AMT785271 AWP785182:AWP785271 BGL785182:BGL785271 BQH785182:BQH785271 CAD785182:CAD785271 CJZ785182:CJZ785271 CTV785182:CTV785271 DDR785182:DDR785271 DNN785182:DNN785271 DXJ785182:DXJ785271 EHF785182:EHF785271 ERB785182:ERB785271 FAX785182:FAX785271 FKT785182:FKT785271 FUP785182:FUP785271 GEL785182:GEL785271 GOH785182:GOH785271 GYD785182:GYD785271 HHZ785182:HHZ785271 HRV785182:HRV785271 IBR785182:IBR785271 ILN785182:ILN785271 IVJ785182:IVJ785271 JFF785182:JFF785271 JPB785182:JPB785271 JYX785182:JYX785271 KIT785182:KIT785271 KSP785182:KSP785271 LCL785182:LCL785271 LMH785182:LMH785271 LWD785182:LWD785271 MFZ785182:MFZ785271 MPV785182:MPV785271 MZR785182:MZR785271 NJN785182:NJN785271 NTJ785182:NTJ785271 ODF785182:ODF785271 ONB785182:ONB785271 OWX785182:OWX785271 PGT785182:PGT785271 PQP785182:PQP785271 QAL785182:QAL785271 QKH785182:QKH785271 QUD785182:QUD785271 RDZ785182:RDZ785271 RNV785182:RNV785271 RXR785182:RXR785271 SHN785182:SHN785271 SRJ785182:SRJ785271 TBF785182:TBF785271 TLB785182:TLB785271 TUX785182:TUX785271 UET785182:UET785271 UOP785182:UOP785271 UYL785182:UYL785271 VIH785182:VIH785271 VSD785182:VSD785271 WBZ785182:WBZ785271 WLV785182:WLV785271 WVR785182:WVR785271 J850727:J850816 JF850718:JF850807 TB850718:TB850807 ACX850718:ACX850807 AMT850718:AMT850807 AWP850718:AWP850807 BGL850718:BGL850807 BQH850718:BQH850807 CAD850718:CAD850807 CJZ850718:CJZ850807 CTV850718:CTV850807 DDR850718:DDR850807 DNN850718:DNN850807 DXJ850718:DXJ850807 EHF850718:EHF850807 ERB850718:ERB850807 FAX850718:FAX850807 FKT850718:FKT850807 FUP850718:FUP850807 GEL850718:GEL850807 GOH850718:GOH850807 GYD850718:GYD850807 HHZ850718:HHZ850807 HRV850718:HRV850807 IBR850718:IBR850807 ILN850718:ILN850807 IVJ850718:IVJ850807 JFF850718:JFF850807 JPB850718:JPB850807 JYX850718:JYX850807 KIT850718:KIT850807 KSP850718:KSP850807 LCL850718:LCL850807 LMH850718:LMH850807 LWD850718:LWD850807 MFZ850718:MFZ850807 MPV850718:MPV850807 MZR850718:MZR850807 NJN850718:NJN850807 NTJ850718:NTJ850807 ODF850718:ODF850807 ONB850718:ONB850807 OWX850718:OWX850807 PGT850718:PGT850807 PQP850718:PQP850807 QAL850718:QAL850807 QKH850718:QKH850807 QUD850718:QUD850807 RDZ850718:RDZ850807 RNV850718:RNV850807 RXR850718:RXR850807 SHN850718:SHN850807 SRJ850718:SRJ850807 TBF850718:TBF850807 TLB850718:TLB850807 TUX850718:TUX850807 UET850718:UET850807 UOP850718:UOP850807 UYL850718:UYL850807 VIH850718:VIH850807 VSD850718:VSD850807 WBZ850718:WBZ850807 WLV850718:WLV850807 WVR850718:WVR850807 J916263:J916352 JF916254:JF916343 TB916254:TB916343 ACX916254:ACX916343 AMT916254:AMT916343 AWP916254:AWP916343 BGL916254:BGL916343 BQH916254:BQH916343 CAD916254:CAD916343 CJZ916254:CJZ916343 CTV916254:CTV916343 DDR916254:DDR916343 DNN916254:DNN916343 DXJ916254:DXJ916343 EHF916254:EHF916343 ERB916254:ERB916343 FAX916254:FAX916343 FKT916254:FKT916343 FUP916254:FUP916343 GEL916254:GEL916343 GOH916254:GOH916343 GYD916254:GYD916343 HHZ916254:HHZ916343 HRV916254:HRV916343 IBR916254:IBR916343 ILN916254:ILN916343 IVJ916254:IVJ916343 JFF916254:JFF916343 JPB916254:JPB916343 JYX916254:JYX916343 KIT916254:KIT916343 KSP916254:KSP916343 LCL916254:LCL916343 LMH916254:LMH916343 LWD916254:LWD916343 MFZ916254:MFZ916343 MPV916254:MPV916343 MZR916254:MZR916343 NJN916254:NJN916343 NTJ916254:NTJ916343 ODF916254:ODF916343 ONB916254:ONB916343 OWX916254:OWX916343 PGT916254:PGT916343 PQP916254:PQP916343 QAL916254:QAL916343 QKH916254:QKH916343 QUD916254:QUD916343 RDZ916254:RDZ916343 RNV916254:RNV916343 RXR916254:RXR916343 SHN916254:SHN916343 SRJ916254:SRJ916343 TBF916254:TBF916343 TLB916254:TLB916343 TUX916254:TUX916343 UET916254:UET916343 UOP916254:UOP916343 UYL916254:UYL916343 VIH916254:VIH916343 VSD916254:VSD916343 WBZ916254:WBZ916343 WLV916254:WLV916343 WVR916254:WVR916343 J981799:J981888 JF981790:JF981879 TB981790:TB981879 ACX981790:ACX981879 AMT981790:AMT981879 AWP981790:AWP981879 BGL981790:BGL981879 BQH981790:BQH981879 CAD981790:CAD981879 CJZ981790:CJZ981879 CTV981790:CTV981879 DDR981790:DDR981879 DNN981790:DNN981879 DXJ981790:DXJ981879 EHF981790:EHF981879 ERB981790:ERB981879 FAX981790:FAX981879 FKT981790:FKT981879 FUP981790:FUP981879 GEL981790:GEL981879 GOH981790:GOH981879 GYD981790:GYD981879 HHZ981790:HHZ981879 HRV981790:HRV981879 IBR981790:IBR981879 ILN981790:ILN981879 IVJ981790:IVJ981879 JFF981790:JFF981879 JPB981790:JPB981879 JYX981790:JYX981879 KIT981790:KIT981879 KSP981790:KSP981879 LCL981790:LCL981879 LMH981790:LMH981879 LWD981790:LWD981879 MFZ981790:MFZ981879 MPV981790:MPV981879 MZR981790:MZR981879 NJN981790:NJN981879 NTJ981790:NTJ981879 ODF981790:ODF981879 ONB981790:ONB981879 OWX981790:OWX981879 PGT981790:PGT981879 PQP981790:PQP981879 QAL981790:QAL981879 QKH981790:QKH981879 QUD981790:QUD981879 RDZ981790:RDZ981879 RNV981790:RNV981879 RXR981790:RXR981879 SHN981790:SHN981879 SRJ981790:SRJ981879 TBF981790:TBF981879 TLB981790:TLB981879 TUX981790:TUX981879 UET981790:UET981879 UOP981790:UOP981879 UYL981790:UYL981879 VIH981790:VIH981879 VSD981790:VSD981879 WBZ981790:WBZ981879 WLV981790:WLV981879 JF2:JF58 TB2:TB58 ACX2:ACX58 AMT2:AMT58 AWP2:AWP58 BGL2:BGL58 BQH2:BQH58 CAD2:CAD58 CJZ2:CJZ58 CTV2:CTV58 DDR2:DDR58 DNN2:DNN58 DXJ2:DXJ58 EHF2:EHF58 ERB2:ERB58 FAX2:FAX58 FKT2:FKT58 FUP2:FUP58 GEL2:GEL58 GOH2:GOH58 GYD2:GYD58 HHZ2:HHZ58 HRV2:HRV58 IBR2:IBR58 ILN2:ILN58 IVJ2:IVJ58 JFF2:JFF58 JPB2:JPB58 JYX2:JYX58 KIT2:KIT58 KSP2:KSP58 LCL2:LCL58 LMH2:LMH58 LWD2:LWD58 MFZ2:MFZ58 MPV2:MPV58 MZR2:MZR58 NJN2:NJN58 NTJ2:NTJ58 ODF2:ODF58 ONB2:ONB58 OWX2:OWX58 PGT2:PGT58 PQP2:PQP58 QAL2:QAL58 QKH2:QKH58 QUD2:QUD58 RDZ2:RDZ58 RNV2:RNV58 RXR2:RXR58 SHN2:SHN58 SRJ2:SRJ58 TBF2:TBF58 TLB2:TLB58 TUX2:TUX58 UET2:UET58 UOP2:UOP58 UYL2:UYL58 VIH2:VIH58 VSD2:VSD58 WBZ2:WBZ58 WLV2:WLV58 WVR2:WVR58" xr:uid="{C4A5DA4E-D5F4-4606-AAA8-941C8C3AE825}">
      <formula1>$AP$2:$AP$12</formula1>
    </dataValidation>
    <dataValidation type="list" allowBlank="1" showInputMessage="1" showErrorMessage="1" sqref="WVN981790:WVN981879 F64297:F64386 JB64286:JB64375 SX64286:SX64375 ACT64286:ACT64375 AMP64286:AMP64375 AWL64286:AWL64375 BGH64286:BGH64375 BQD64286:BQD64375 BZZ64286:BZZ64375 CJV64286:CJV64375 CTR64286:CTR64375 DDN64286:DDN64375 DNJ64286:DNJ64375 DXF64286:DXF64375 EHB64286:EHB64375 EQX64286:EQX64375 FAT64286:FAT64375 FKP64286:FKP64375 FUL64286:FUL64375 GEH64286:GEH64375 GOD64286:GOD64375 GXZ64286:GXZ64375 HHV64286:HHV64375 HRR64286:HRR64375 IBN64286:IBN64375 ILJ64286:ILJ64375 IVF64286:IVF64375 JFB64286:JFB64375 JOX64286:JOX64375 JYT64286:JYT64375 KIP64286:KIP64375 KSL64286:KSL64375 LCH64286:LCH64375 LMD64286:LMD64375 LVZ64286:LVZ64375 MFV64286:MFV64375 MPR64286:MPR64375 MZN64286:MZN64375 NJJ64286:NJJ64375 NTF64286:NTF64375 ODB64286:ODB64375 OMX64286:OMX64375 OWT64286:OWT64375 PGP64286:PGP64375 PQL64286:PQL64375 QAH64286:QAH64375 QKD64286:QKD64375 QTZ64286:QTZ64375 RDV64286:RDV64375 RNR64286:RNR64375 RXN64286:RXN64375 SHJ64286:SHJ64375 SRF64286:SRF64375 TBB64286:TBB64375 TKX64286:TKX64375 TUT64286:TUT64375 UEP64286:UEP64375 UOL64286:UOL64375 UYH64286:UYH64375 VID64286:VID64375 VRZ64286:VRZ64375 WBV64286:WBV64375 WLR64286:WLR64375 WVN64286:WVN64375 F129833:F129922 JB129822:JB129911 SX129822:SX129911 ACT129822:ACT129911 AMP129822:AMP129911 AWL129822:AWL129911 BGH129822:BGH129911 BQD129822:BQD129911 BZZ129822:BZZ129911 CJV129822:CJV129911 CTR129822:CTR129911 DDN129822:DDN129911 DNJ129822:DNJ129911 DXF129822:DXF129911 EHB129822:EHB129911 EQX129822:EQX129911 FAT129822:FAT129911 FKP129822:FKP129911 FUL129822:FUL129911 GEH129822:GEH129911 GOD129822:GOD129911 GXZ129822:GXZ129911 HHV129822:HHV129911 HRR129822:HRR129911 IBN129822:IBN129911 ILJ129822:ILJ129911 IVF129822:IVF129911 JFB129822:JFB129911 JOX129822:JOX129911 JYT129822:JYT129911 KIP129822:KIP129911 KSL129822:KSL129911 LCH129822:LCH129911 LMD129822:LMD129911 LVZ129822:LVZ129911 MFV129822:MFV129911 MPR129822:MPR129911 MZN129822:MZN129911 NJJ129822:NJJ129911 NTF129822:NTF129911 ODB129822:ODB129911 OMX129822:OMX129911 OWT129822:OWT129911 PGP129822:PGP129911 PQL129822:PQL129911 QAH129822:QAH129911 QKD129822:QKD129911 QTZ129822:QTZ129911 RDV129822:RDV129911 RNR129822:RNR129911 RXN129822:RXN129911 SHJ129822:SHJ129911 SRF129822:SRF129911 TBB129822:TBB129911 TKX129822:TKX129911 TUT129822:TUT129911 UEP129822:UEP129911 UOL129822:UOL129911 UYH129822:UYH129911 VID129822:VID129911 VRZ129822:VRZ129911 WBV129822:WBV129911 WLR129822:WLR129911 WVN129822:WVN129911 F195369:F195458 JB195358:JB195447 SX195358:SX195447 ACT195358:ACT195447 AMP195358:AMP195447 AWL195358:AWL195447 BGH195358:BGH195447 BQD195358:BQD195447 BZZ195358:BZZ195447 CJV195358:CJV195447 CTR195358:CTR195447 DDN195358:DDN195447 DNJ195358:DNJ195447 DXF195358:DXF195447 EHB195358:EHB195447 EQX195358:EQX195447 FAT195358:FAT195447 FKP195358:FKP195447 FUL195358:FUL195447 GEH195358:GEH195447 GOD195358:GOD195447 GXZ195358:GXZ195447 HHV195358:HHV195447 HRR195358:HRR195447 IBN195358:IBN195447 ILJ195358:ILJ195447 IVF195358:IVF195447 JFB195358:JFB195447 JOX195358:JOX195447 JYT195358:JYT195447 KIP195358:KIP195447 KSL195358:KSL195447 LCH195358:LCH195447 LMD195358:LMD195447 LVZ195358:LVZ195447 MFV195358:MFV195447 MPR195358:MPR195447 MZN195358:MZN195447 NJJ195358:NJJ195447 NTF195358:NTF195447 ODB195358:ODB195447 OMX195358:OMX195447 OWT195358:OWT195447 PGP195358:PGP195447 PQL195358:PQL195447 QAH195358:QAH195447 QKD195358:QKD195447 QTZ195358:QTZ195447 RDV195358:RDV195447 RNR195358:RNR195447 RXN195358:RXN195447 SHJ195358:SHJ195447 SRF195358:SRF195447 TBB195358:TBB195447 TKX195358:TKX195447 TUT195358:TUT195447 UEP195358:UEP195447 UOL195358:UOL195447 UYH195358:UYH195447 VID195358:VID195447 VRZ195358:VRZ195447 WBV195358:WBV195447 WLR195358:WLR195447 WVN195358:WVN195447 F260905:F260994 JB260894:JB260983 SX260894:SX260983 ACT260894:ACT260983 AMP260894:AMP260983 AWL260894:AWL260983 BGH260894:BGH260983 BQD260894:BQD260983 BZZ260894:BZZ260983 CJV260894:CJV260983 CTR260894:CTR260983 DDN260894:DDN260983 DNJ260894:DNJ260983 DXF260894:DXF260983 EHB260894:EHB260983 EQX260894:EQX260983 FAT260894:FAT260983 FKP260894:FKP260983 FUL260894:FUL260983 GEH260894:GEH260983 GOD260894:GOD260983 GXZ260894:GXZ260983 HHV260894:HHV260983 HRR260894:HRR260983 IBN260894:IBN260983 ILJ260894:ILJ260983 IVF260894:IVF260983 JFB260894:JFB260983 JOX260894:JOX260983 JYT260894:JYT260983 KIP260894:KIP260983 KSL260894:KSL260983 LCH260894:LCH260983 LMD260894:LMD260983 LVZ260894:LVZ260983 MFV260894:MFV260983 MPR260894:MPR260983 MZN260894:MZN260983 NJJ260894:NJJ260983 NTF260894:NTF260983 ODB260894:ODB260983 OMX260894:OMX260983 OWT260894:OWT260983 PGP260894:PGP260983 PQL260894:PQL260983 QAH260894:QAH260983 QKD260894:QKD260983 QTZ260894:QTZ260983 RDV260894:RDV260983 RNR260894:RNR260983 RXN260894:RXN260983 SHJ260894:SHJ260983 SRF260894:SRF260983 TBB260894:TBB260983 TKX260894:TKX260983 TUT260894:TUT260983 UEP260894:UEP260983 UOL260894:UOL260983 UYH260894:UYH260983 VID260894:VID260983 VRZ260894:VRZ260983 WBV260894:WBV260983 WLR260894:WLR260983 WVN260894:WVN260983 F326441:F326530 JB326430:JB326519 SX326430:SX326519 ACT326430:ACT326519 AMP326430:AMP326519 AWL326430:AWL326519 BGH326430:BGH326519 BQD326430:BQD326519 BZZ326430:BZZ326519 CJV326430:CJV326519 CTR326430:CTR326519 DDN326430:DDN326519 DNJ326430:DNJ326519 DXF326430:DXF326519 EHB326430:EHB326519 EQX326430:EQX326519 FAT326430:FAT326519 FKP326430:FKP326519 FUL326430:FUL326519 GEH326430:GEH326519 GOD326430:GOD326519 GXZ326430:GXZ326519 HHV326430:HHV326519 HRR326430:HRR326519 IBN326430:IBN326519 ILJ326430:ILJ326519 IVF326430:IVF326519 JFB326430:JFB326519 JOX326430:JOX326519 JYT326430:JYT326519 KIP326430:KIP326519 KSL326430:KSL326519 LCH326430:LCH326519 LMD326430:LMD326519 LVZ326430:LVZ326519 MFV326430:MFV326519 MPR326430:MPR326519 MZN326430:MZN326519 NJJ326430:NJJ326519 NTF326430:NTF326519 ODB326430:ODB326519 OMX326430:OMX326519 OWT326430:OWT326519 PGP326430:PGP326519 PQL326430:PQL326519 QAH326430:QAH326519 QKD326430:QKD326519 QTZ326430:QTZ326519 RDV326430:RDV326519 RNR326430:RNR326519 RXN326430:RXN326519 SHJ326430:SHJ326519 SRF326430:SRF326519 TBB326430:TBB326519 TKX326430:TKX326519 TUT326430:TUT326519 UEP326430:UEP326519 UOL326430:UOL326519 UYH326430:UYH326519 VID326430:VID326519 VRZ326430:VRZ326519 WBV326430:WBV326519 WLR326430:WLR326519 WVN326430:WVN326519 F391977:F392066 JB391966:JB392055 SX391966:SX392055 ACT391966:ACT392055 AMP391966:AMP392055 AWL391966:AWL392055 BGH391966:BGH392055 BQD391966:BQD392055 BZZ391966:BZZ392055 CJV391966:CJV392055 CTR391966:CTR392055 DDN391966:DDN392055 DNJ391966:DNJ392055 DXF391966:DXF392055 EHB391966:EHB392055 EQX391966:EQX392055 FAT391966:FAT392055 FKP391966:FKP392055 FUL391966:FUL392055 GEH391966:GEH392055 GOD391966:GOD392055 GXZ391966:GXZ392055 HHV391966:HHV392055 HRR391966:HRR392055 IBN391966:IBN392055 ILJ391966:ILJ392055 IVF391966:IVF392055 JFB391966:JFB392055 JOX391966:JOX392055 JYT391966:JYT392055 KIP391966:KIP392055 KSL391966:KSL392055 LCH391966:LCH392055 LMD391966:LMD392055 LVZ391966:LVZ392055 MFV391966:MFV392055 MPR391966:MPR392055 MZN391966:MZN392055 NJJ391966:NJJ392055 NTF391966:NTF392055 ODB391966:ODB392055 OMX391966:OMX392055 OWT391966:OWT392055 PGP391966:PGP392055 PQL391966:PQL392055 QAH391966:QAH392055 QKD391966:QKD392055 QTZ391966:QTZ392055 RDV391966:RDV392055 RNR391966:RNR392055 RXN391966:RXN392055 SHJ391966:SHJ392055 SRF391966:SRF392055 TBB391966:TBB392055 TKX391966:TKX392055 TUT391966:TUT392055 UEP391966:UEP392055 UOL391966:UOL392055 UYH391966:UYH392055 VID391966:VID392055 VRZ391966:VRZ392055 WBV391966:WBV392055 WLR391966:WLR392055 WVN391966:WVN392055 F457513:F457602 JB457502:JB457591 SX457502:SX457591 ACT457502:ACT457591 AMP457502:AMP457591 AWL457502:AWL457591 BGH457502:BGH457591 BQD457502:BQD457591 BZZ457502:BZZ457591 CJV457502:CJV457591 CTR457502:CTR457591 DDN457502:DDN457591 DNJ457502:DNJ457591 DXF457502:DXF457591 EHB457502:EHB457591 EQX457502:EQX457591 FAT457502:FAT457591 FKP457502:FKP457591 FUL457502:FUL457591 GEH457502:GEH457591 GOD457502:GOD457591 GXZ457502:GXZ457591 HHV457502:HHV457591 HRR457502:HRR457591 IBN457502:IBN457591 ILJ457502:ILJ457591 IVF457502:IVF457591 JFB457502:JFB457591 JOX457502:JOX457591 JYT457502:JYT457591 KIP457502:KIP457591 KSL457502:KSL457591 LCH457502:LCH457591 LMD457502:LMD457591 LVZ457502:LVZ457591 MFV457502:MFV457591 MPR457502:MPR457591 MZN457502:MZN457591 NJJ457502:NJJ457591 NTF457502:NTF457591 ODB457502:ODB457591 OMX457502:OMX457591 OWT457502:OWT457591 PGP457502:PGP457591 PQL457502:PQL457591 QAH457502:QAH457591 QKD457502:QKD457591 QTZ457502:QTZ457591 RDV457502:RDV457591 RNR457502:RNR457591 RXN457502:RXN457591 SHJ457502:SHJ457591 SRF457502:SRF457591 TBB457502:TBB457591 TKX457502:TKX457591 TUT457502:TUT457591 UEP457502:UEP457591 UOL457502:UOL457591 UYH457502:UYH457591 VID457502:VID457591 VRZ457502:VRZ457591 WBV457502:WBV457591 WLR457502:WLR457591 WVN457502:WVN457591 F523049:F523138 JB523038:JB523127 SX523038:SX523127 ACT523038:ACT523127 AMP523038:AMP523127 AWL523038:AWL523127 BGH523038:BGH523127 BQD523038:BQD523127 BZZ523038:BZZ523127 CJV523038:CJV523127 CTR523038:CTR523127 DDN523038:DDN523127 DNJ523038:DNJ523127 DXF523038:DXF523127 EHB523038:EHB523127 EQX523038:EQX523127 FAT523038:FAT523127 FKP523038:FKP523127 FUL523038:FUL523127 GEH523038:GEH523127 GOD523038:GOD523127 GXZ523038:GXZ523127 HHV523038:HHV523127 HRR523038:HRR523127 IBN523038:IBN523127 ILJ523038:ILJ523127 IVF523038:IVF523127 JFB523038:JFB523127 JOX523038:JOX523127 JYT523038:JYT523127 KIP523038:KIP523127 KSL523038:KSL523127 LCH523038:LCH523127 LMD523038:LMD523127 LVZ523038:LVZ523127 MFV523038:MFV523127 MPR523038:MPR523127 MZN523038:MZN523127 NJJ523038:NJJ523127 NTF523038:NTF523127 ODB523038:ODB523127 OMX523038:OMX523127 OWT523038:OWT523127 PGP523038:PGP523127 PQL523038:PQL523127 QAH523038:QAH523127 QKD523038:QKD523127 QTZ523038:QTZ523127 RDV523038:RDV523127 RNR523038:RNR523127 RXN523038:RXN523127 SHJ523038:SHJ523127 SRF523038:SRF523127 TBB523038:TBB523127 TKX523038:TKX523127 TUT523038:TUT523127 UEP523038:UEP523127 UOL523038:UOL523127 UYH523038:UYH523127 VID523038:VID523127 VRZ523038:VRZ523127 WBV523038:WBV523127 WLR523038:WLR523127 WVN523038:WVN523127 F588585:F588674 JB588574:JB588663 SX588574:SX588663 ACT588574:ACT588663 AMP588574:AMP588663 AWL588574:AWL588663 BGH588574:BGH588663 BQD588574:BQD588663 BZZ588574:BZZ588663 CJV588574:CJV588663 CTR588574:CTR588663 DDN588574:DDN588663 DNJ588574:DNJ588663 DXF588574:DXF588663 EHB588574:EHB588663 EQX588574:EQX588663 FAT588574:FAT588663 FKP588574:FKP588663 FUL588574:FUL588663 GEH588574:GEH588663 GOD588574:GOD588663 GXZ588574:GXZ588663 HHV588574:HHV588663 HRR588574:HRR588663 IBN588574:IBN588663 ILJ588574:ILJ588663 IVF588574:IVF588663 JFB588574:JFB588663 JOX588574:JOX588663 JYT588574:JYT588663 KIP588574:KIP588663 KSL588574:KSL588663 LCH588574:LCH588663 LMD588574:LMD588663 LVZ588574:LVZ588663 MFV588574:MFV588663 MPR588574:MPR588663 MZN588574:MZN588663 NJJ588574:NJJ588663 NTF588574:NTF588663 ODB588574:ODB588663 OMX588574:OMX588663 OWT588574:OWT588663 PGP588574:PGP588663 PQL588574:PQL588663 QAH588574:QAH588663 QKD588574:QKD588663 QTZ588574:QTZ588663 RDV588574:RDV588663 RNR588574:RNR588663 RXN588574:RXN588663 SHJ588574:SHJ588663 SRF588574:SRF588663 TBB588574:TBB588663 TKX588574:TKX588663 TUT588574:TUT588663 UEP588574:UEP588663 UOL588574:UOL588663 UYH588574:UYH588663 VID588574:VID588663 VRZ588574:VRZ588663 WBV588574:WBV588663 WLR588574:WLR588663 WVN588574:WVN588663 F654121:F654210 JB654110:JB654199 SX654110:SX654199 ACT654110:ACT654199 AMP654110:AMP654199 AWL654110:AWL654199 BGH654110:BGH654199 BQD654110:BQD654199 BZZ654110:BZZ654199 CJV654110:CJV654199 CTR654110:CTR654199 DDN654110:DDN654199 DNJ654110:DNJ654199 DXF654110:DXF654199 EHB654110:EHB654199 EQX654110:EQX654199 FAT654110:FAT654199 FKP654110:FKP654199 FUL654110:FUL654199 GEH654110:GEH654199 GOD654110:GOD654199 GXZ654110:GXZ654199 HHV654110:HHV654199 HRR654110:HRR654199 IBN654110:IBN654199 ILJ654110:ILJ654199 IVF654110:IVF654199 JFB654110:JFB654199 JOX654110:JOX654199 JYT654110:JYT654199 KIP654110:KIP654199 KSL654110:KSL654199 LCH654110:LCH654199 LMD654110:LMD654199 LVZ654110:LVZ654199 MFV654110:MFV654199 MPR654110:MPR654199 MZN654110:MZN654199 NJJ654110:NJJ654199 NTF654110:NTF654199 ODB654110:ODB654199 OMX654110:OMX654199 OWT654110:OWT654199 PGP654110:PGP654199 PQL654110:PQL654199 QAH654110:QAH654199 QKD654110:QKD654199 QTZ654110:QTZ654199 RDV654110:RDV654199 RNR654110:RNR654199 RXN654110:RXN654199 SHJ654110:SHJ654199 SRF654110:SRF654199 TBB654110:TBB654199 TKX654110:TKX654199 TUT654110:TUT654199 UEP654110:UEP654199 UOL654110:UOL654199 UYH654110:UYH654199 VID654110:VID654199 VRZ654110:VRZ654199 WBV654110:WBV654199 WLR654110:WLR654199 WVN654110:WVN654199 F719657:F719746 JB719646:JB719735 SX719646:SX719735 ACT719646:ACT719735 AMP719646:AMP719735 AWL719646:AWL719735 BGH719646:BGH719735 BQD719646:BQD719735 BZZ719646:BZZ719735 CJV719646:CJV719735 CTR719646:CTR719735 DDN719646:DDN719735 DNJ719646:DNJ719735 DXF719646:DXF719735 EHB719646:EHB719735 EQX719646:EQX719735 FAT719646:FAT719735 FKP719646:FKP719735 FUL719646:FUL719735 GEH719646:GEH719735 GOD719646:GOD719735 GXZ719646:GXZ719735 HHV719646:HHV719735 HRR719646:HRR719735 IBN719646:IBN719735 ILJ719646:ILJ719735 IVF719646:IVF719735 JFB719646:JFB719735 JOX719646:JOX719735 JYT719646:JYT719735 KIP719646:KIP719735 KSL719646:KSL719735 LCH719646:LCH719735 LMD719646:LMD719735 LVZ719646:LVZ719735 MFV719646:MFV719735 MPR719646:MPR719735 MZN719646:MZN719735 NJJ719646:NJJ719735 NTF719646:NTF719735 ODB719646:ODB719735 OMX719646:OMX719735 OWT719646:OWT719735 PGP719646:PGP719735 PQL719646:PQL719735 QAH719646:QAH719735 QKD719646:QKD719735 QTZ719646:QTZ719735 RDV719646:RDV719735 RNR719646:RNR719735 RXN719646:RXN719735 SHJ719646:SHJ719735 SRF719646:SRF719735 TBB719646:TBB719735 TKX719646:TKX719735 TUT719646:TUT719735 UEP719646:UEP719735 UOL719646:UOL719735 UYH719646:UYH719735 VID719646:VID719735 VRZ719646:VRZ719735 WBV719646:WBV719735 WLR719646:WLR719735 WVN719646:WVN719735 F785193:F785282 JB785182:JB785271 SX785182:SX785271 ACT785182:ACT785271 AMP785182:AMP785271 AWL785182:AWL785271 BGH785182:BGH785271 BQD785182:BQD785271 BZZ785182:BZZ785271 CJV785182:CJV785271 CTR785182:CTR785271 DDN785182:DDN785271 DNJ785182:DNJ785271 DXF785182:DXF785271 EHB785182:EHB785271 EQX785182:EQX785271 FAT785182:FAT785271 FKP785182:FKP785271 FUL785182:FUL785271 GEH785182:GEH785271 GOD785182:GOD785271 GXZ785182:GXZ785271 HHV785182:HHV785271 HRR785182:HRR785271 IBN785182:IBN785271 ILJ785182:ILJ785271 IVF785182:IVF785271 JFB785182:JFB785271 JOX785182:JOX785271 JYT785182:JYT785271 KIP785182:KIP785271 KSL785182:KSL785271 LCH785182:LCH785271 LMD785182:LMD785271 LVZ785182:LVZ785271 MFV785182:MFV785271 MPR785182:MPR785271 MZN785182:MZN785271 NJJ785182:NJJ785271 NTF785182:NTF785271 ODB785182:ODB785271 OMX785182:OMX785271 OWT785182:OWT785271 PGP785182:PGP785271 PQL785182:PQL785271 QAH785182:QAH785271 QKD785182:QKD785271 QTZ785182:QTZ785271 RDV785182:RDV785271 RNR785182:RNR785271 RXN785182:RXN785271 SHJ785182:SHJ785271 SRF785182:SRF785271 TBB785182:TBB785271 TKX785182:TKX785271 TUT785182:TUT785271 UEP785182:UEP785271 UOL785182:UOL785271 UYH785182:UYH785271 VID785182:VID785271 VRZ785182:VRZ785271 WBV785182:WBV785271 WLR785182:WLR785271 WVN785182:WVN785271 F850729:F850818 JB850718:JB850807 SX850718:SX850807 ACT850718:ACT850807 AMP850718:AMP850807 AWL850718:AWL850807 BGH850718:BGH850807 BQD850718:BQD850807 BZZ850718:BZZ850807 CJV850718:CJV850807 CTR850718:CTR850807 DDN850718:DDN850807 DNJ850718:DNJ850807 DXF850718:DXF850807 EHB850718:EHB850807 EQX850718:EQX850807 FAT850718:FAT850807 FKP850718:FKP850807 FUL850718:FUL850807 GEH850718:GEH850807 GOD850718:GOD850807 GXZ850718:GXZ850807 HHV850718:HHV850807 HRR850718:HRR850807 IBN850718:IBN850807 ILJ850718:ILJ850807 IVF850718:IVF850807 JFB850718:JFB850807 JOX850718:JOX850807 JYT850718:JYT850807 KIP850718:KIP850807 KSL850718:KSL850807 LCH850718:LCH850807 LMD850718:LMD850807 LVZ850718:LVZ850807 MFV850718:MFV850807 MPR850718:MPR850807 MZN850718:MZN850807 NJJ850718:NJJ850807 NTF850718:NTF850807 ODB850718:ODB850807 OMX850718:OMX850807 OWT850718:OWT850807 PGP850718:PGP850807 PQL850718:PQL850807 QAH850718:QAH850807 QKD850718:QKD850807 QTZ850718:QTZ850807 RDV850718:RDV850807 RNR850718:RNR850807 RXN850718:RXN850807 SHJ850718:SHJ850807 SRF850718:SRF850807 TBB850718:TBB850807 TKX850718:TKX850807 TUT850718:TUT850807 UEP850718:UEP850807 UOL850718:UOL850807 UYH850718:UYH850807 VID850718:VID850807 VRZ850718:VRZ850807 WBV850718:WBV850807 WLR850718:WLR850807 WVN850718:WVN850807 F916265:F916354 JB916254:JB916343 SX916254:SX916343 ACT916254:ACT916343 AMP916254:AMP916343 AWL916254:AWL916343 BGH916254:BGH916343 BQD916254:BQD916343 BZZ916254:BZZ916343 CJV916254:CJV916343 CTR916254:CTR916343 DDN916254:DDN916343 DNJ916254:DNJ916343 DXF916254:DXF916343 EHB916254:EHB916343 EQX916254:EQX916343 FAT916254:FAT916343 FKP916254:FKP916343 FUL916254:FUL916343 GEH916254:GEH916343 GOD916254:GOD916343 GXZ916254:GXZ916343 HHV916254:HHV916343 HRR916254:HRR916343 IBN916254:IBN916343 ILJ916254:ILJ916343 IVF916254:IVF916343 JFB916254:JFB916343 JOX916254:JOX916343 JYT916254:JYT916343 KIP916254:KIP916343 KSL916254:KSL916343 LCH916254:LCH916343 LMD916254:LMD916343 LVZ916254:LVZ916343 MFV916254:MFV916343 MPR916254:MPR916343 MZN916254:MZN916343 NJJ916254:NJJ916343 NTF916254:NTF916343 ODB916254:ODB916343 OMX916254:OMX916343 OWT916254:OWT916343 PGP916254:PGP916343 PQL916254:PQL916343 QAH916254:QAH916343 QKD916254:QKD916343 QTZ916254:QTZ916343 RDV916254:RDV916343 RNR916254:RNR916343 RXN916254:RXN916343 SHJ916254:SHJ916343 SRF916254:SRF916343 TBB916254:TBB916343 TKX916254:TKX916343 TUT916254:TUT916343 UEP916254:UEP916343 UOL916254:UOL916343 UYH916254:UYH916343 VID916254:VID916343 VRZ916254:VRZ916343 WBV916254:WBV916343 WLR916254:WLR916343 WVN916254:WVN916343 F981801:F981890 JB981790:JB981879 SX981790:SX981879 ACT981790:ACT981879 AMP981790:AMP981879 AWL981790:AWL981879 BGH981790:BGH981879 BQD981790:BQD981879 BZZ981790:BZZ981879 CJV981790:CJV981879 CTR981790:CTR981879 DDN981790:DDN981879 DNJ981790:DNJ981879 DXF981790:DXF981879 EHB981790:EHB981879 EQX981790:EQX981879 FAT981790:FAT981879 FKP981790:FKP981879 FUL981790:FUL981879 GEH981790:GEH981879 GOD981790:GOD981879 GXZ981790:GXZ981879 HHV981790:HHV981879 HRR981790:HRR981879 IBN981790:IBN981879 ILJ981790:ILJ981879 IVF981790:IVF981879 JFB981790:JFB981879 JOX981790:JOX981879 JYT981790:JYT981879 KIP981790:KIP981879 KSL981790:KSL981879 LCH981790:LCH981879 LMD981790:LMD981879 LVZ981790:LVZ981879 MFV981790:MFV981879 MPR981790:MPR981879 MZN981790:MZN981879 NJJ981790:NJJ981879 NTF981790:NTF981879 ODB981790:ODB981879 OMX981790:OMX981879 OWT981790:OWT981879 PGP981790:PGP981879 PQL981790:PQL981879 QAH981790:QAH981879 QKD981790:QKD981879 QTZ981790:QTZ981879 RDV981790:RDV981879 RNR981790:RNR981879 RXN981790:RXN981879 SHJ981790:SHJ981879 SRF981790:SRF981879 TBB981790:TBB981879 TKX981790:TKX981879 TUT981790:TUT981879 UEP981790:UEP981879 UOL981790:UOL981879 UYH981790:UYH981879 VID981790:VID981879 VRZ981790:VRZ981879 WBV981790:WBV981879 WLR981790:WLR981879 WVN2:WVN58 WLR2:WLR58 WBV2:WBV58 VRZ2:VRZ58 VID2:VID58 UYH2:UYH58 UOL2:UOL58 UEP2:UEP58 TUT2:TUT58 TKX2:TKX58 TBB2:TBB58 SRF2:SRF58 SHJ2:SHJ58 RXN2:RXN58 RNR2:RNR58 RDV2:RDV58 QTZ2:QTZ58 QKD2:QKD58 QAH2:QAH58 PQL2:PQL58 PGP2:PGP58 OWT2:OWT58 OMX2:OMX58 ODB2:ODB58 NTF2:NTF58 NJJ2:NJJ58 MZN2:MZN58 MPR2:MPR58 MFV2:MFV58 LVZ2:LVZ58 LMD2:LMD58 LCH2:LCH58 KSL2:KSL58 KIP2:KIP58 JYT2:JYT58 JOX2:JOX58 JFB2:JFB58 IVF2:IVF58 ILJ2:ILJ58 IBN2:IBN58 HRR2:HRR58 HHV2:HHV58 GXZ2:GXZ58 GOD2:GOD58 GEH2:GEH58 FUL2:FUL58 FKP2:FKP58 FAT2:FAT58 EQX2:EQX58 EHB2:EHB58 DXF2:DXF58 DNJ2:DNJ58 DDN2:DDN58 CTR2:CTR58 CJV2:CJV58 BZZ2:BZZ58 BQD2:BQD58 BGH2:BGH58 AWL2:AWL58 AMP2:AMP58 ACT2:ACT58 SX2:SX58 JB2:JB58" xr:uid="{BFDCF884-8C28-4ADD-B3CA-F0A40AF0E682}">
      <formula1>$AH$2:$AH$10</formula1>
    </dataValidation>
    <dataValidation type="list" allowBlank="1" showInputMessage="1" showErrorMessage="1" sqref="WVM981790:WVM981879 E64297:E64386 JA64286:JA64375 SW64286:SW64375 ACS64286:ACS64375 AMO64286:AMO64375 AWK64286:AWK64375 BGG64286:BGG64375 BQC64286:BQC64375 BZY64286:BZY64375 CJU64286:CJU64375 CTQ64286:CTQ64375 DDM64286:DDM64375 DNI64286:DNI64375 DXE64286:DXE64375 EHA64286:EHA64375 EQW64286:EQW64375 FAS64286:FAS64375 FKO64286:FKO64375 FUK64286:FUK64375 GEG64286:GEG64375 GOC64286:GOC64375 GXY64286:GXY64375 HHU64286:HHU64375 HRQ64286:HRQ64375 IBM64286:IBM64375 ILI64286:ILI64375 IVE64286:IVE64375 JFA64286:JFA64375 JOW64286:JOW64375 JYS64286:JYS64375 KIO64286:KIO64375 KSK64286:KSK64375 LCG64286:LCG64375 LMC64286:LMC64375 LVY64286:LVY64375 MFU64286:MFU64375 MPQ64286:MPQ64375 MZM64286:MZM64375 NJI64286:NJI64375 NTE64286:NTE64375 ODA64286:ODA64375 OMW64286:OMW64375 OWS64286:OWS64375 PGO64286:PGO64375 PQK64286:PQK64375 QAG64286:QAG64375 QKC64286:QKC64375 QTY64286:QTY64375 RDU64286:RDU64375 RNQ64286:RNQ64375 RXM64286:RXM64375 SHI64286:SHI64375 SRE64286:SRE64375 TBA64286:TBA64375 TKW64286:TKW64375 TUS64286:TUS64375 UEO64286:UEO64375 UOK64286:UOK64375 UYG64286:UYG64375 VIC64286:VIC64375 VRY64286:VRY64375 WBU64286:WBU64375 WLQ64286:WLQ64375 WVM64286:WVM64375 E129833:E129922 JA129822:JA129911 SW129822:SW129911 ACS129822:ACS129911 AMO129822:AMO129911 AWK129822:AWK129911 BGG129822:BGG129911 BQC129822:BQC129911 BZY129822:BZY129911 CJU129822:CJU129911 CTQ129822:CTQ129911 DDM129822:DDM129911 DNI129822:DNI129911 DXE129822:DXE129911 EHA129822:EHA129911 EQW129822:EQW129911 FAS129822:FAS129911 FKO129822:FKO129911 FUK129822:FUK129911 GEG129822:GEG129911 GOC129822:GOC129911 GXY129822:GXY129911 HHU129822:HHU129911 HRQ129822:HRQ129911 IBM129822:IBM129911 ILI129822:ILI129911 IVE129822:IVE129911 JFA129822:JFA129911 JOW129822:JOW129911 JYS129822:JYS129911 KIO129822:KIO129911 KSK129822:KSK129911 LCG129822:LCG129911 LMC129822:LMC129911 LVY129822:LVY129911 MFU129822:MFU129911 MPQ129822:MPQ129911 MZM129822:MZM129911 NJI129822:NJI129911 NTE129822:NTE129911 ODA129822:ODA129911 OMW129822:OMW129911 OWS129822:OWS129911 PGO129822:PGO129911 PQK129822:PQK129911 QAG129822:QAG129911 QKC129822:QKC129911 QTY129822:QTY129911 RDU129822:RDU129911 RNQ129822:RNQ129911 RXM129822:RXM129911 SHI129822:SHI129911 SRE129822:SRE129911 TBA129822:TBA129911 TKW129822:TKW129911 TUS129822:TUS129911 UEO129822:UEO129911 UOK129822:UOK129911 UYG129822:UYG129911 VIC129822:VIC129911 VRY129822:VRY129911 WBU129822:WBU129911 WLQ129822:WLQ129911 WVM129822:WVM129911 E195369:E195458 JA195358:JA195447 SW195358:SW195447 ACS195358:ACS195447 AMO195358:AMO195447 AWK195358:AWK195447 BGG195358:BGG195447 BQC195358:BQC195447 BZY195358:BZY195447 CJU195358:CJU195447 CTQ195358:CTQ195447 DDM195358:DDM195447 DNI195358:DNI195447 DXE195358:DXE195447 EHA195358:EHA195447 EQW195358:EQW195447 FAS195358:FAS195447 FKO195358:FKO195447 FUK195358:FUK195447 GEG195358:GEG195447 GOC195358:GOC195447 GXY195358:GXY195447 HHU195358:HHU195447 HRQ195358:HRQ195447 IBM195358:IBM195447 ILI195358:ILI195447 IVE195358:IVE195447 JFA195358:JFA195447 JOW195358:JOW195447 JYS195358:JYS195447 KIO195358:KIO195447 KSK195358:KSK195447 LCG195358:LCG195447 LMC195358:LMC195447 LVY195358:LVY195447 MFU195358:MFU195447 MPQ195358:MPQ195447 MZM195358:MZM195447 NJI195358:NJI195447 NTE195358:NTE195447 ODA195358:ODA195447 OMW195358:OMW195447 OWS195358:OWS195447 PGO195358:PGO195447 PQK195358:PQK195447 QAG195358:QAG195447 QKC195358:QKC195447 QTY195358:QTY195447 RDU195358:RDU195447 RNQ195358:RNQ195447 RXM195358:RXM195447 SHI195358:SHI195447 SRE195358:SRE195447 TBA195358:TBA195447 TKW195358:TKW195447 TUS195358:TUS195447 UEO195358:UEO195447 UOK195358:UOK195447 UYG195358:UYG195447 VIC195358:VIC195447 VRY195358:VRY195447 WBU195358:WBU195447 WLQ195358:WLQ195447 WVM195358:WVM195447 E260905:E260994 JA260894:JA260983 SW260894:SW260983 ACS260894:ACS260983 AMO260894:AMO260983 AWK260894:AWK260983 BGG260894:BGG260983 BQC260894:BQC260983 BZY260894:BZY260983 CJU260894:CJU260983 CTQ260894:CTQ260983 DDM260894:DDM260983 DNI260894:DNI260983 DXE260894:DXE260983 EHA260894:EHA260983 EQW260894:EQW260983 FAS260894:FAS260983 FKO260894:FKO260983 FUK260894:FUK260983 GEG260894:GEG260983 GOC260894:GOC260983 GXY260894:GXY260983 HHU260894:HHU260983 HRQ260894:HRQ260983 IBM260894:IBM260983 ILI260894:ILI260983 IVE260894:IVE260983 JFA260894:JFA260983 JOW260894:JOW260983 JYS260894:JYS260983 KIO260894:KIO260983 KSK260894:KSK260983 LCG260894:LCG260983 LMC260894:LMC260983 LVY260894:LVY260983 MFU260894:MFU260983 MPQ260894:MPQ260983 MZM260894:MZM260983 NJI260894:NJI260983 NTE260894:NTE260983 ODA260894:ODA260983 OMW260894:OMW260983 OWS260894:OWS260983 PGO260894:PGO260983 PQK260894:PQK260983 QAG260894:QAG260983 QKC260894:QKC260983 QTY260894:QTY260983 RDU260894:RDU260983 RNQ260894:RNQ260983 RXM260894:RXM260983 SHI260894:SHI260983 SRE260894:SRE260983 TBA260894:TBA260983 TKW260894:TKW260983 TUS260894:TUS260983 UEO260894:UEO260983 UOK260894:UOK260983 UYG260894:UYG260983 VIC260894:VIC260983 VRY260894:VRY260983 WBU260894:WBU260983 WLQ260894:WLQ260983 WVM260894:WVM260983 E326441:E326530 JA326430:JA326519 SW326430:SW326519 ACS326430:ACS326519 AMO326430:AMO326519 AWK326430:AWK326519 BGG326430:BGG326519 BQC326430:BQC326519 BZY326430:BZY326519 CJU326430:CJU326519 CTQ326430:CTQ326519 DDM326430:DDM326519 DNI326430:DNI326519 DXE326430:DXE326519 EHA326430:EHA326519 EQW326430:EQW326519 FAS326430:FAS326519 FKO326430:FKO326519 FUK326430:FUK326519 GEG326430:GEG326519 GOC326430:GOC326519 GXY326430:GXY326519 HHU326430:HHU326519 HRQ326430:HRQ326519 IBM326430:IBM326519 ILI326430:ILI326519 IVE326430:IVE326519 JFA326430:JFA326519 JOW326430:JOW326519 JYS326430:JYS326519 KIO326430:KIO326519 KSK326430:KSK326519 LCG326430:LCG326519 LMC326430:LMC326519 LVY326430:LVY326519 MFU326430:MFU326519 MPQ326430:MPQ326519 MZM326430:MZM326519 NJI326430:NJI326519 NTE326430:NTE326519 ODA326430:ODA326519 OMW326430:OMW326519 OWS326430:OWS326519 PGO326430:PGO326519 PQK326430:PQK326519 QAG326430:QAG326519 QKC326430:QKC326519 QTY326430:QTY326519 RDU326430:RDU326519 RNQ326430:RNQ326519 RXM326430:RXM326519 SHI326430:SHI326519 SRE326430:SRE326519 TBA326430:TBA326519 TKW326430:TKW326519 TUS326430:TUS326519 UEO326430:UEO326519 UOK326430:UOK326519 UYG326430:UYG326519 VIC326430:VIC326519 VRY326430:VRY326519 WBU326430:WBU326519 WLQ326430:WLQ326519 WVM326430:WVM326519 E391977:E392066 JA391966:JA392055 SW391966:SW392055 ACS391966:ACS392055 AMO391966:AMO392055 AWK391966:AWK392055 BGG391966:BGG392055 BQC391966:BQC392055 BZY391966:BZY392055 CJU391966:CJU392055 CTQ391966:CTQ392055 DDM391966:DDM392055 DNI391966:DNI392055 DXE391966:DXE392055 EHA391966:EHA392055 EQW391966:EQW392055 FAS391966:FAS392055 FKO391966:FKO392055 FUK391966:FUK392055 GEG391966:GEG392055 GOC391966:GOC392055 GXY391966:GXY392055 HHU391966:HHU392055 HRQ391966:HRQ392055 IBM391966:IBM392055 ILI391966:ILI392055 IVE391966:IVE392055 JFA391966:JFA392055 JOW391966:JOW392055 JYS391966:JYS392055 KIO391966:KIO392055 KSK391966:KSK392055 LCG391966:LCG392055 LMC391966:LMC392055 LVY391966:LVY392055 MFU391966:MFU392055 MPQ391966:MPQ392055 MZM391966:MZM392055 NJI391966:NJI392055 NTE391966:NTE392055 ODA391966:ODA392055 OMW391966:OMW392055 OWS391966:OWS392055 PGO391966:PGO392055 PQK391966:PQK392055 QAG391966:QAG392055 QKC391966:QKC392055 QTY391966:QTY392055 RDU391966:RDU392055 RNQ391966:RNQ392055 RXM391966:RXM392055 SHI391966:SHI392055 SRE391966:SRE392055 TBA391966:TBA392055 TKW391966:TKW392055 TUS391966:TUS392055 UEO391966:UEO392055 UOK391966:UOK392055 UYG391966:UYG392055 VIC391966:VIC392055 VRY391966:VRY392055 WBU391966:WBU392055 WLQ391966:WLQ392055 WVM391966:WVM392055 E457513:E457602 JA457502:JA457591 SW457502:SW457591 ACS457502:ACS457591 AMO457502:AMO457591 AWK457502:AWK457591 BGG457502:BGG457591 BQC457502:BQC457591 BZY457502:BZY457591 CJU457502:CJU457591 CTQ457502:CTQ457591 DDM457502:DDM457591 DNI457502:DNI457591 DXE457502:DXE457591 EHA457502:EHA457591 EQW457502:EQW457591 FAS457502:FAS457591 FKO457502:FKO457591 FUK457502:FUK457591 GEG457502:GEG457591 GOC457502:GOC457591 GXY457502:GXY457591 HHU457502:HHU457591 HRQ457502:HRQ457591 IBM457502:IBM457591 ILI457502:ILI457591 IVE457502:IVE457591 JFA457502:JFA457591 JOW457502:JOW457591 JYS457502:JYS457591 KIO457502:KIO457591 KSK457502:KSK457591 LCG457502:LCG457591 LMC457502:LMC457591 LVY457502:LVY457591 MFU457502:MFU457591 MPQ457502:MPQ457591 MZM457502:MZM457591 NJI457502:NJI457591 NTE457502:NTE457591 ODA457502:ODA457591 OMW457502:OMW457591 OWS457502:OWS457591 PGO457502:PGO457591 PQK457502:PQK457591 QAG457502:QAG457591 QKC457502:QKC457591 QTY457502:QTY457591 RDU457502:RDU457591 RNQ457502:RNQ457591 RXM457502:RXM457591 SHI457502:SHI457591 SRE457502:SRE457591 TBA457502:TBA457591 TKW457502:TKW457591 TUS457502:TUS457591 UEO457502:UEO457591 UOK457502:UOK457591 UYG457502:UYG457591 VIC457502:VIC457591 VRY457502:VRY457591 WBU457502:WBU457591 WLQ457502:WLQ457591 WVM457502:WVM457591 E523049:E523138 JA523038:JA523127 SW523038:SW523127 ACS523038:ACS523127 AMO523038:AMO523127 AWK523038:AWK523127 BGG523038:BGG523127 BQC523038:BQC523127 BZY523038:BZY523127 CJU523038:CJU523127 CTQ523038:CTQ523127 DDM523038:DDM523127 DNI523038:DNI523127 DXE523038:DXE523127 EHA523038:EHA523127 EQW523038:EQW523127 FAS523038:FAS523127 FKO523038:FKO523127 FUK523038:FUK523127 GEG523038:GEG523127 GOC523038:GOC523127 GXY523038:GXY523127 HHU523038:HHU523127 HRQ523038:HRQ523127 IBM523038:IBM523127 ILI523038:ILI523127 IVE523038:IVE523127 JFA523038:JFA523127 JOW523038:JOW523127 JYS523038:JYS523127 KIO523038:KIO523127 KSK523038:KSK523127 LCG523038:LCG523127 LMC523038:LMC523127 LVY523038:LVY523127 MFU523038:MFU523127 MPQ523038:MPQ523127 MZM523038:MZM523127 NJI523038:NJI523127 NTE523038:NTE523127 ODA523038:ODA523127 OMW523038:OMW523127 OWS523038:OWS523127 PGO523038:PGO523127 PQK523038:PQK523127 QAG523038:QAG523127 QKC523038:QKC523127 QTY523038:QTY523127 RDU523038:RDU523127 RNQ523038:RNQ523127 RXM523038:RXM523127 SHI523038:SHI523127 SRE523038:SRE523127 TBA523038:TBA523127 TKW523038:TKW523127 TUS523038:TUS523127 UEO523038:UEO523127 UOK523038:UOK523127 UYG523038:UYG523127 VIC523038:VIC523127 VRY523038:VRY523127 WBU523038:WBU523127 WLQ523038:WLQ523127 WVM523038:WVM523127 E588585:E588674 JA588574:JA588663 SW588574:SW588663 ACS588574:ACS588663 AMO588574:AMO588663 AWK588574:AWK588663 BGG588574:BGG588663 BQC588574:BQC588663 BZY588574:BZY588663 CJU588574:CJU588663 CTQ588574:CTQ588663 DDM588574:DDM588663 DNI588574:DNI588663 DXE588574:DXE588663 EHA588574:EHA588663 EQW588574:EQW588663 FAS588574:FAS588663 FKO588574:FKO588663 FUK588574:FUK588663 GEG588574:GEG588663 GOC588574:GOC588663 GXY588574:GXY588663 HHU588574:HHU588663 HRQ588574:HRQ588663 IBM588574:IBM588663 ILI588574:ILI588663 IVE588574:IVE588663 JFA588574:JFA588663 JOW588574:JOW588663 JYS588574:JYS588663 KIO588574:KIO588663 KSK588574:KSK588663 LCG588574:LCG588663 LMC588574:LMC588663 LVY588574:LVY588663 MFU588574:MFU588663 MPQ588574:MPQ588663 MZM588574:MZM588663 NJI588574:NJI588663 NTE588574:NTE588663 ODA588574:ODA588663 OMW588574:OMW588663 OWS588574:OWS588663 PGO588574:PGO588663 PQK588574:PQK588663 QAG588574:QAG588663 QKC588574:QKC588663 QTY588574:QTY588663 RDU588574:RDU588663 RNQ588574:RNQ588663 RXM588574:RXM588663 SHI588574:SHI588663 SRE588574:SRE588663 TBA588574:TBA588663 TKW588574:TKW588663 TUS588574:TUS588663 UEO588574:UEO588663 UOK588574:UOK588663 UYG588574:UYG588663 VIC588574:VIC588663 VRY588574:VRY588663 WBU588574:WBU588663 WLQ588574:WLQ588663 WVM588574:WVM588663 E654121:E654210 JA654110:JA654199 SW654110:SW654199 ACS654110:ACS654199 AMO654110:AMO654199 AWK654110:AWK654199 BGG654110:BGG654199 BQC654110:BQC654199 BZY654110:BZY654199 CJU654110:CJU654199 CTQ654110:CTQ654199 DDM654110:DDM654199 DNI654110:DNI654199 DXE654110:DXE654199 EHA654110:EHA654199 EQW654110:EQW654199 FAS654110:FAS654199 FKO654110:FKO654199 FUK654110:FUK654199 GEG654110:GEG654199 GOC654110:GOC654199 GXY654110:GXY654199 HHU654110:HHU654199 HRQ654110:HRQ654199 IBM654110:IBM654199 ILI654110:ILI654199 IVE654110:IVE654199 JFA654110:JFA654199 JOW654110:JOW654199 JYS654110:JYS654199 KIO654110:KIO654199 KSK654110:KSK654199 LCG654110:LCG654199 LMC654110:LMC654199 LVY654110:LVY654199 MFU654110:MFU654199 MPQ654110:MPQ654199 MZM654110:MZM654199 NJI654110:NJI654199 NTE654110:NTE654199 ODA654110:ODA654199 OMW654110:OMW654199 OWS654110:OWS654199 PGO654110:PGO654199 PQK654110:PQK654199 QAG654110:QAG654199 QKC654110:QKC654199 QTY654110:QTY654199 RDU654110:RDU654199 RNQ654110:RNQ654199 RXM654110:RXM654199 SHI654110:SHI654199 SRE654110:SRE654199 TBA654110:TBA654199 TKW654110:TKW654199 TUS654110:TUS654199 UEO654110:UEO654199 UOK654110:UOK654199 UYG654110:UYG654199 VIC654110:VIC654199 VRY654110:VRY654199 WBU654110:WBU654199 WLQ654110:WLQ654199 WVM654110:WVM654199 E719657:E719746 JA719646:JA719735 SW719646:SW719735 ACS719646:ACS719735 AMO719646:AMO719735 AWK719646:AWK719735 BGG719646:BGG719735 BQC719646:BQC719735 BZY719646:BZY719735 CJU719646:CJU719735 CTQ719646:CTQ719735 DDM719646:DDM719735 DNI719646:DNI719735 DXE719646:DXE719735 EHA719646:EHA719735 EQW719646:EQW719735 FAS719646:FAS719735 FKO719646:FKO719735 FUK719646:FUK719735 GEG719646:GEG719735 GOC719646:GOC719735 GXY719646:GXY719735 HHU719646:HHU719735 HRQ719646:HRQ719735 IBM719646:IBM719735 ILI719646:ILI719735 IVE719646:IVE719735 JFA719646:JFA719735 JOW719646:JOW719735 JYS719646:JYS719735 KIO719646:KIO719735 KSK719646:KSK719735 LCG719646:LCG719735 LMC719646:LMC719735 LVY719646:LVY719735 MFU719646:MFU719735 MPQ719646:MPQ719735 MZM719646:MZM719735 NJI719646:NJI719735 NTE719646:NTE719735 ODA719646:ODA719735 OMW719646:OMW719735 OWS719646:OWS719735 PGO719646:PGO719735 PQK719646:PQK719735 QAG719646:QAG719735 QKC719646:QKC719735 QTY719646:QTY719735 RDU719646:RDU719735 RNQ719646:RNQ719735 RXM719646:RXM719735 SHI719646:SHI719735 SRE719646:SRE719735 TBA719646:TBA719735 TKW719646:TKW719735 TUS719646:TUS719735 UEO719646:UEO719735 UOK719646:UOK719735 UYG719646:UYG719735 VIC719646:VIC719735 VRY719646:VRY719735 WBU719646:WBU719735 WLQ719646:WLQ719735 WVM719646:WVM719735 E785193:E785282 JA785182:JA785271 SW785182:SW785271 ACS785182:ACS785271 AMO785182:AMO785271 AWK785182:AWK785271 BGG785182:BGG785271 BQC785182:BQC785271 BZY785182:BZY785271 CJU785182:CJU785271 CTQ785182:CTQ785271 DDM785182:DDM785271 DNI785182:DNI785271 DXE785182:DXE785271 EHA785182:EHA785271 EQW785182:EQW785271 FAS785182:FAS785271 FKO785182:FKO785271 FUK785182:FUK785271 GEG785182:GEG785271 GOC785182:GOC785271 GXY785182:GXY785271 HHU785182:HHU785271 HRQ785182:HRQ785271 IBM785182:IBM785271 ILI785182:ILI785271 IVE785182:IVE785271 JFA785182:JFA785271 JOW785182:JOW785271 JYS785182:JYS785271 KIO785182:KIO785271 KSK785182:KSK785271 LCG785182:LCG785271 LMC785182:LMC785271 LVY785182:LVY785271 MFU785182:MFU785271 MPQ785182:MPQ785271 MZM785182:MZM785271 NJI785182:NJI785271 NTE785182:NTE785271 ODA785182:ODA785271 OMW785182:OMW785271 OWS785182:OWS785271 PGO785182:PGO785271 PQK785182:PQK785271 QAG785182:QAG785271 QKC785182:QKC785271 QTY785182:QTY785271 RDU785182:RDU785271 RNQ785182:RNQ785271 RXM785182:RXM785271 SHI785182:SHI785271 SRE785182:SRE785271 TBA785182:TBA785271 TKW785182:TKW785271 TUS785182:TUS785271 UEO785182:UEO785271 UOK785182:UOK785271 UYG785182:UYG785271 VIC785182:VIC785271 VRY785182:VRY785271 WBU785182:WBU785271 WLQ785182:WLQ785271 WVM785182:WVM785271 E850729:E850818 JA850718:JA850807 SW850718:SW850807 ACS850718:ACS850807 AMO850718:AMO850807 AWK850718:AWK850807 BGG850718:BGG850807 BQC850718:BQC850807 BZY850718:BZY850807 CJU850718:CJU850807 CTQ850718:CTQ850807 DDM850718:DDM850807 DNI850718:DNI850807 DXE850718:DXE850807 EHA850718:EHA850807 EQW850718:EQW850807 FAS850718:FAS850807 FKO850718:FKO850807 FUK850718:FUK850807 GEG850718:GEG850807 GOC850718:GOC850807 GXY850718:GXY850807 HHU850718:HHU850807 HRQ850718:HRQ850807 IBM850718:IBM850807 ILI850718:ILI850807 IVE850718:IVE850807 JFA850718:JFA850807 JOW850718:JOW850807 JYS850718:JYS850807 KIO850718:KIO850807 KSK850718:KSK850807 LCG850718:LCG850807 LMC850718:LMC850807 LVY850718:LVY850807 MFU850718:MFU850807 MPQ850718:MPQ850807 MZM850718:MZM850807 NJI850718:NJI850807 NTE850718:NTE850807 ODA850718:ODA850807 OMW850718:OMW850807 OWS850718:OWS850807 PGO850718:PGO850807 PQK850718:PQK850807 QAG850718:QAG850807 QKC850718:QKC850807 QTY850718:QTY850807 RDU850718:RDU850807 RNQ850718:RNQ850807 RXM850718:RXM850807 SHI850718:SHI850807 SRE850718:SRE850807 TBA850718:TBA850807 TKW850718:TKW850807 TUS850718:TUS850807 UEO850718:UEO850807 UOK850718:UOK850807 UYG850718:UYG850807 VIC850718:VIC850807 VRY850718:VRY850807 WBU850718:WBU850807 WLQ850718:WLQ850807 WVM850718:WVM850807 E916265:E916354 JA916254:JA916343 SW916254:SW916343 ACS916254:ACS916343 AMO916254:AMO916343 AWK916254:AWK916343 BGG916254:BGG916343 BQC916254:BQC916343 BZY916254:BZY916343 CJU916254:CJU916343 CTQ916254:CTQ916343 DDM916254:DDM916343 DNI916254:DNI916343 DXE916254:DXE916343 EHA916254:EHA916343 EQW916254:EQW916343 FAS916254:FAS916343 FKO916254:FKO916343 FUK916254:FUK916343 GEG916254:GEG916343 GOC916254:GOC916343 GXY916254:GXY916343 HHU916254:HHU916343 HRQ916254:HRQ916343 IBM916254:IBM916343 ILI916254:ILI916343 IVE916254:IVE916343 JFA916254:JFA916343 JOW916254:JOW916343 JYS916254:JYS916343 KIO916254:KIO916343 KSK916254:KSK916343 LCG916254:LCG916343 LMC916254:LMC916343 LVY916254:LVY916343 MFU916254:MFU916343 MPQ916254:MPQ916343 MZM916254:MZM916343 NJI916254:NJI916343 NTE916254:NTE916343 ODA916254:ODA916343 OMW916254:OMW916343 OWS916254:OWS916343 PGO916254:PGO916343 PQK916254:PQK916343 QAG916254:QAG916343 QKC916254:QKC916343 QTY916254:QTY916343 RDU916254:RDU916343 RNQ916254:RNQ916343 RXM916254:RXM916343 SHI916254:SHI916343 SRE916254:SRE916343 TBA916254:TBA916343 TKW916254:TKW916343 TUS916254:TUS916343 UEO916254:UEO916343 UOK916254:UOK916343 UYG916254:UYG916343 VIC916254:VIC916343 VRY916254:VRY916343 WBU916254:WBU916343 WLQ916254:WLQ916343 WVM916254:WVM916343 E981801:E981890 JA981790:JA981879 SW981790:SW981879 ACS981790:ACS981879 AMO981790:AMO981879 AWK981790:AWK981879 BGG981790:BGG981879 BQC981790:BQC981879 BZY981790:BZY981879 CJU981790:CJU981879 CTQ981790:CTQ981879 DDM981790:DDM981879 DNI981790:DNI981879 DXE981790:DXE981879 EHA981790:EHA981879 EQW981790:EQW981879 FAS981790:FAS981879 FKO981790:FKO981879 FUK981790:FUK981879 GEG981790:GEG981879 GOC981790:GOC981879 GXY981790:GXY981879 HHU981790:HHU981879 HRQ981790:HRQ981879 IBM981790:IBM981879 ILI981790:ILI981879 IVE981790:IVE981879 JFA981790:JFA981879 JOW981790:JOW981879 JYS981790:JYS981879 KIO981790:KIO981879 KSK981790:KSK981879 LCG981790:LCG981879 LMC981790:LMC981879 LVY981790:LVY981879 MFU981790:MFU981879 MPQ981790:MPQ981879 MZM981790:MZM981879 NJI981790:NJI981879 NTE981790:NTE981879 ODA981790:ODA981879 OMW981790:OMW981879 OWS981790:OWS981879 PGO981790:PGO981879 PQK981790:PQK981879 QAG981790:QAG981879 QKC981790:QKC981879 QTY981790:QTY981879 RDU981790:RDU981879 RNQ981790:RNQ981879 RXM981790:RXM981879 SHI981790:SHI981879 SRE981790:SRE981879 TBA981790:TBA981879 TKW981790:TKW981879 TUS981790:TUS981879 UEO981790:UEO981879 UOK981790:UOK981879 UYG981790:UYG981879 VIC981790:VIC981879 VRY981790:VRY981879 WBU981790:WBU981879 WLQ981790:WLQ981879 WVM2:WVM58 WLQ2:WLQ58 WBU2:WBU58 VRY2:VRY58 VIC2:VIC58 UYG2:UYG58 UOK2:UOK58 UEO2:UEO58 TUS2:TUS58 TKW2:TKW58 TBA2:TBA58 SRE2:SRE58 SHI2:SHI58 RXM2:RXM58 RNQ2:RNQ58 RDU2:RDU58 QTY2:QTY58 QKC2:QKC58 QAG2:QAG58 PQK2:PQK58 PGO2:PGO58 OWS2:OWS58 OMW2:OMW58 ODA2:ODA58 NTE2:NTE58 NJI2:NJI58 MZM2:MZM58 MPQ2:MPQ58 MFU2:MFU58 LVY2:LVY58 LMC2:LMC58 LCG2:LCG58 KSK2:KSK58 KIO2:KIO58 JYS2:JYS58 JOW2:JOW58 JFA2:JFA58 IVE2:IVE58 ILI2:ILI58 IBM2:IBM58 HRQ2:HRQ58 HHU2:HHU58 GXY2:GXY58 GOC2:GOC58 GEG2:GEG58 FUK2:FUK58 FKO2:FKO58 FAS2:FAS58 EQW2:EQW58 EHA2:EHA58 DXE2:DXE58 DNI2:DNI58 DDM2:DDM58 CTQ2:CTQ58 CJU2:CJU58 BZY2:BZY58 BQC2:BQC58 BGG2:BGG58 AWK2:AWK58 AMO2:AMO58 ACS2:ACS58 SW2:SW58 JA2:JA58" xr:uid="{09E1D6C2-FBFB-4CA3-97A2-4E63A078611F}">
      <formula1>$AG$2:$AG$10</formula1>
    </dataValidation>
    <dataValidation type="list" allowBlank="1" showInputMessage="1" showErrorMessage="1" sqref="WWF981790:WWF981873 WMJ981790:WMJ981873 WCN981790:WCN981873 VSR981790:VSR981873 VIV981790:VIV981873 UYZ981790:UYZ981873 UPD981790:UPD981873 UFH981790:UFH981873 TVL981790:TVL981873 TLP981790:TLP981873 TBT981790:TBT981873 SRX981790:SRX981873 SIB981790:SIB981873 RYF981790:RYF981873 ROJ981790:ROJ981873 REN981790:REN981873 QUR981790:QUR981873 QKV981790:QKV981873 QAZ981790:QAZ981873 PRD981790:PRD981873 PHH981790:PHH981873 OXL981790:OXL981873 ONP981790:ONP981873 ODT981790:ODT981873 NTX981790:NTX981873 NKB981790:NKB981873 NAF981790:NAF981873 MQJ981790:MQJ981873 MGN981790:MGN981873 LWR981790:LWR981873 LMV981790:LMV981873 LCZ981790:LCZ981873 KTD981790:KTD981873 KJH981790:KJH981873 JZL981790:JZL981873 JPP981790:JPP981873 JFT981790:JFT981873 IVX981790:IVX981873 IMB981790:IMB981873 ICF981790:ICF981873 HSJ981790:HSJ981873 HIN981790:HIN981873 GYR981790:GYR981873 GOV981790:GOV981873 GEZ981790:GEZ981873 FVD981790:FVD981873 FLH981790:FLH981873 FBL981790:FBL981873 ERP981790:ERP981873 EHT981790:EHT981873 DXX981790:DXX981873 DOB981790:DOB981873 DEF981790:DEF981873 CUJ981790:CUJ981873 CKN981790:CKN981873 CAR981790:CAR981873 BQV981790:BQV981873 BGZ981790:BGZ981873 AXD981790:AXD981873 ANH981790:ANH981873 ADL981790:ADL981873 TP981790:TP981873 JT981790:JT981873 X981790:X981873 WWF916254:WWF916337 WMJ916254:WMJ916337 WCN916254:WCN916337 VSR916254:VSR916337 VIV916254:VIV916337 UYZ916254:UYZ916337 UPD916254:UPD916337 UFH916254:UFH916337 TVL916254:TVL916337 TLP916254:TLP916337 TBT916254:TBT916337 SRX916254:SRX916337 SIB916254:SIB916337 RYF916254:RYF916337 ROJ916254:ROJ916337 REN916254:REN916337 QUR916254:QUR916337 QKV916254:QKV916337 QAZ916254:QAZ916337 PRD916254:PRD916337 PHH916254:PHH916337 OXL916254:OXL916337 ONP916254:ONP916337 ODT916254:ODT916337 NTX916254:NTX916337 NKB916254:NKB916337 NAF916254:NAF916337 MQJ916254:MQJ916337 MGN916254:MGN916337 LWR916254:LWR916337 LMV916254:LMV916337 LCZ916254:LCZ916337 KTD916254:KTD916337 KJH916254:KJH916337 JZL916254:JZL916337 JPP916254:JPP916337 JFT916254:JFT916337 IVX916254:IVX916337 IMB916254:IMB916337 ICF916254:ICF916337 HSJ916254:HSJ916337 HIN916254:HIN916337 GYR916254:GYR916337 GOV916254:GOV916337 GEZ916254:GEZ916337 FVD916254:FVD916337 FLH916254:FLH916337 FBL916254:FBL916337 ERP916254:ERP916337 EHT916254:EHT916337 DXX916254:DXX916337 DOB916254:DOB916337 DEF916254:DEF916337 CUJ916254:CUJ916337 CKN916254:CKN916337 CAR916254:CAR916337 BQV916254:BQV916337 BGZ916254:BGZ916337 AXD916254:AXD916337 ANH916254:ANH916337 ADL916254:ADL916337 TP916254:TP916337 JT916254:JT916337 X916254:X916337 WWF850718:WWF850801 WMJ850718:WMJ850801 WCN850718:WCN850801 VSR850718:VSR850801 VIV850718:VIV850801 UYZ850718:UYZ850801 UPD850718:UPD850801 UFH850718:UFH850801 TVL850718:TVL850801 TLP850718:TLP850801 TBT850718:TBT850801 SRX850718:SRX850801 SIB850718:SIB850801 RYF850718:RYF850801 ROJ850718:ROJ850801 REN850718:REN850801 QUR850718:QUR850801 QKV850718:QKV850801 QAZ850718:QAZ850801 PRD850718:PRD850801 PHH850718:PHH850801 OXL850718:OXL850801 ONP850718:ONP850801 ODT850718:ODT850801 NTX850718:NTX850801 NKB850718:NKB850801 NAF850718:NAF850801 MQJ850718:MQJ850801 MGN850718:MGN850801 LWR850718:LWR850801 LMV850718:LMV850801 LCZ850718:LCZ850801 KTD850718:KTD850801 KJH850718:KJH850801 JZL850718:JZL850801 JPP850718:JPP850801 JFT850718:JFT850801 IVX850718:IVX850801 IMB850718:IMB850801 ICF850718:ICF850801 HSJ850718:HSJ850801 HIN850718:HIN850801 GYR850718:GYR850801 GOV850718:GOV850801 GEZ850718:GEZ850801 FVD850718:FVD850801 FLH850718:FLH850801 FBL850718:FBL850801 ERP850718:ERP850801 EHT850718:EHT850801 DXX850718:DXX850801 DOB850718:DOB850801 DEF850718:DEF850801 CUJ850718:CUJ850801 CKN850718:CKN850801 CAR850718:CAR850801 BQV850718:BQV850801 BGZ850718:BGZ850801 AXD850718:AXD850801 ANH850718:ANH850801 ADL850718:ADL850801 TP850718:TP850801 JT850718:JT850801 X850718:X850801 WWF785182:WWF785265 WMJ785182:WMJ785265 WCN785182:WCN785265 VSR785182:VSR785265 VIV785182:VIV785265 UYZ785182:UYZ785265 UPD785182:UPD785265 UFH785182:UFH785265 TVL785182:TVL785265 TLP785182:TLP785265 TBT785182:TBT785265 SRX785182:SRX785265 SIB785182:SIB785265 RYF785182:RYF785265 ROJ785182:ROJ785265 REN785182:REN785265 QUR785182:QUR785265 QKV785182:QKV785265 QAZ785182:QAZ785265 PRD785182:PRD785265 PHH785182:PHH785265 OXL785182:OXL785265 ONP785182:ONP785265 ODT785182:ODT785265 NTX785182:NTX785265 NKB785182:NKB785265 NAF785182:NAF785265 MQJ785182:MQJ785265 MGN785182:MGN785265 LWR785182:LWR785265 LMV785182:LMV785265 LCZ785182:LCZ785265 KTD785182:KTD785265 KJH785182:KJH785265 JZL785182:JZL785265 JPP785182:JPP785265 JFT785182:JFT785265 IVX785182:IVX785265 IMB785182:IMB785265 ICF785182:ICF785265 HSJ785182:HSJ785265 HIN785182:HIN785265 GYR785182:GYR785265 GOV785182:GOV785265 GEZ785182:GEZ785265 FVD785182:FVD785265 FLH785182:FLH785265 FBL785182:FBL785265 ERP785182:ERP785265 EHT785182:EHT785265 DXX785182:DXX785265 DOB785182:DOB785265 DEF785182:DEF785265 CUJ785182:CUJ785265 CKN785182:CKN785265 CAR785182:CAR785265 BQV785182:BQV785265 BGZ785182:BGZ785265 AXD785182:AXD785265 ANH785182:ANH785265 ADL785182:ADL785265 TP785182:TP785265 JT785182:JT785265 X785182:X785265 WWF719646:WWF719729 WMJ719646:WMJ719729 WCN719646:WCN719729 VSR719646:VSR719729 VIV719646:VIV719729 UYZ719646:UYZ719729 UPD719646:UPD719729 UFH719646:UFH719729 TVL719646:TVL719729 TLP719646:TLP719729 TBT719646:TBT719729 SRX719646:SRX719729 SIB719646:SIB719729 RYF719646:RYF719729 ROJ719646:ROJ719729 REN719646:REN719729 QUR719646:QUR719729 QKV719646:QKV719729 QAZ719646:QAZ719729 PRD719646:PRD719729 PHH719646:PHH719729 OXL719646:OXL719729 ONP719646:ONP719729 ODT719646:ODT719729 NTX719646:NTX719729 NKB719646:NKB719729 NAF719646:NAF719729 MQJ719646:MQJ719729 MGN719646:MGN719729 LWR719646:LWR719729 LMV719646:LMV719729 LCZ719646:LCZ719729 KTD719646:KTD719729 KJH719646:KJH719729 JZL719646:JZL719729 JPP719646:JPP719729 JFT719646:JFT719729 IVX719646:IVX719729 IMB719646:IMB719729 ICF719646:ICF719729 HSJ719646:HSJ719729 HIN719646:HIN719729 GYR719646:GYR719729 GOV719646:GOV719729 GEZ719646:GEZ719729 FVD719646:FVD719729 FLH719646:FLH719729 FBL719646:FBL719729 ERP719646:ERP719729 EHT719646:EHT719729 DXX719646:DXX719729 DOB719646:DOB719729 DEF719646:DEF719729 CUJ719646:CUJ719729 CKN719646:CKN719729 CAR719646:CAR719729 BQV719646:BQV719729 BGZ719646:BGZ719729 AXD719646:AXD719729 ANH719646:ANH719729 ADL719646:ADL719729 TP719646:TP719729 JT719646:JT719729 X719646:X719729 WWF654110:WWF654193 WMJ654110:WMJ654193 WCN654110:WCN654193 VSR654110:VSR654193 VIV654110:VIV654193 UYZ654110:UYZ654193 UPD654110:UPD654193 UFH654110:UFH654193 TVL654110:TVL654193 TLP654110:TLP654193 TBT654110:TBT654193 SRX654110:SRX654193 SIB654110:SIB654193 RYF654110:RYF654193 ROJ654110:ROJ654193 REN654110:REN654193 QUR654110:QUR654193 QKV654110:QKV654193 QAZ654110:QAZ654193 PRD654110:PRD654193 PHH654110:PHH654193 OXL654110:OXL654193 ONP654110:ONP654193 ODT654110:ODT654193 NTX654110:NTX654193 NKB654110:NKB654193 NAF654110:NAF654193 MQJ654110:MQJ654193 MGN654110:MGN654193 LWR654110:LWR654193 LMV654110:LMV654193 LCZ654110:LCZ654193 KTD654110:KTD654193 KJH654110:KJH654193 JZL654110:JZL654193 JPP654110:JPP654193 JFT654110:JFT654193 IVX654110:IVX654193 IMB654110:IMB654193 ICF654110:ICF654193 HSJ654110:HSJ654193 HIN654110:HIN654193 GYR654110:GYR654193 GOV654110:GOV654193 GEZ654110:GEZ654193 FVD654110:FVD654193 FLH654110:FLH654193 FBL654110:FBL654193 ERP654110:ERP654193 EHT654110:EHT654193 DXX654110:DXX654193 DOB654110:DOB654193 DEF654110:DEF654193 CUJ654110:CUJ654193 CKN654110:CKN654193 CAR654110:CAR654193 BQV654110:BQV654193 BGZ654110:BGZ654193 AXD654110:AXD654193 ANH654110:ANH654193 ADL654110:ADL654193 TP654110:TP654193 JT654110:JT654193 X654110:X654193 WWF588574:WWF588657 WMJ588574:WMJ588657 WCN588574:WCN588657 VSR588574:VSR588657 VIV588574:VIV588657 UYZ588574:UYZ588657 UPD588574:UPD588657 UFH588574:UFH588657 TVL588574:TVL588657 TLP588574:TLP588657 TBT588574:TBT588657 SRX588574:SRX588657 SIB588574:SIB588657 RYF588574:RYF588657 ROJ588574:ROJ588657 REN588574:REN588657 QUR588574:QUR588657 QKV588574:QKV588657 QAZ588574:QAZ588657 PRD588574:PRD588657 PHH588574:PHH588657 OXL588574:OXL588657 ONP588574:ONP588657 ODT588574:ODT588657 NTX588574:NTX588657 NKB588574:NKB588657 NAF588574:NAF588657 MQJ588574:MQJ588657 MGN588574:MGN588657 LWR588574:LWR588657 LMV588574:LMV588657 LCZ588574:LCZ588657 KTD588574:KTD588657 KJH588574:KJH588657 JZL588574:JZL588657 JPP588574:JPP588657 JFT588574:JFT588657 IVX588574:IVX588657 IMB588574:IMB588657 ICF588574:ICF588657 HSJ588574:HSJ588657 HIN588574:HIN588657 GYR588574:GYR588657 GOV588574:GOV588657 GEZ588574:GEZ588657 FVD588574:FVD588657 FLH588574:FLH588657 FBL588574:FBL588657 ERP588574:ERP588657 EHT588574:EHT588657 DXX588574:DXX588657 DOB588574:DOB588657 DEF588574:DEF588657 CUJ588574:CUJ588657 CKN588574:CKN588657 CAR588574:CAR588657 BQV588574:BQV588657 BGZ588574:BGZ588657 AXD588574:AXD588657 ANH588574:ANH588657 ADL588574:ADL588657 TP588574:TP588657 JT588574:JT588657 X588574:X588657 WWF523038:WWF523121 WMJ523038:WMJ523121 WCN523038:WCN523121 VSR523038:VSR523121 VIV523038:VIV523121 UYZ523038:UYZ523121 UPD523038:UPD523121 UFH523038:UFH523121 TVL523038:TVL523121 TLP523038:TLP523121 TBT523038:TBT523121 SRX523038:SRX523121 SIB523038:SIB523121 RYF523038:RYF523121 ROJ523038:ROJ523121 REN523038:REN523121 QUR523038:QUR523121 QKV523038:QKV523121 QAZ523038:QAZ523121 PRD523038:PRD523121 PHH523038:PHH523121 OXL523038:OXL523121 ONP523038:ONP523121 ODT523038:ODT523121 NTX523038:NTX523121 NKB523038:NKB523121 NAF523038:NAF523121 MQJ523038:MQJ523121 MGN523038:MGN523121 LWR523038:LWR523121 LMV523038:LMV523121 LCZ523038:LCZ523121 KTD523038:KTD523121 KJH523038:KJH523121 JZL523038:JZL523121 JPP523038:JPP523121 JFT523038:JFT523121 IVX523038:IVX523121 IMB523038:IMB523121 ICF523038:ICF523121 HSJ523038:HSJ523121 HIN523038:HIN523121 GYR523038:GYR523121 GOV523038:GOV523121 GEZ523038:GEZ523121 FVD523038:FVD523121 FLH523038:FLH523121 FBL523038:FBL523121 ERP523038:ERP523121 EHT523038:EHT523121 DXX523038:DXX523121 DOB523038:DOB523121 DEF523038:DEF523121 CUJ523038:CUJ523121 CKN523038:CKN523121 CAR523038:CAR523121 BQV523038:BQV523121 BGZ523038:BGZ523121 AXD523038:AXD523121 ANH523038:ANH523121 ADL523038:ADL523121 TP523038:TP523121 JT523038:JT523121 X523038:X523121 WWF457502:WWF457585 WMJ457502:WMJ457585 WCN457502:WCN457585 VSR457502:VSR457585 VIV457502:VIV457585 UYZ457502:UYZ457585 UPD457502:UPD457585 UFH457502:UFH457585 TVL457502:TVL457585 TLP457502:TLP457585 TBT457502:TBT457585 SRX457502:SRX457585 SIB457502:SIB457585 RYF457502:RYF457585 ROJ457502:ROJ457585 REN457502:REN457585 QUR457502:QUR457585 QKV457502:QKV457585 QAZ457502:QAZ457585 PRD457502:PRD457585 PHH457502:PHH457585 OXL457502:OXL457585 ONP457502:ONP457585 ODT457502:ODT457585 NTX457502:NTX457585 NKB457502:NKB457585 NAF457502:NAF457585 MQJ457502:MQJ457585 MGN457502:MGN457585 LWR457502:LWR457585 LMV457502:LMV457585 LCZ457502:LCZ457585 KTD457502:KTD457585 KJH457502:KJH457585 JZL457502:JZL457585 JPP457502:JPP457585 JFT457502:JFT457585 IVX457502:IVX457585 IMB457502:IMB457585 ICF457502:ICF457585 HSJ457502:HSJ457585 HIN457502:HIN457585 GYR457502:GYR457585 GOV457502:GOV457585 GEZ457502:GEZ457585 FVD457502:FVD457585 FLH457502:FLH457585 FBL457502:FBL457585 ERP457502:ERP457585 EHT457502:EHT457585 DXX457502:DXX457585 DOB457502:DOB457585 DEF457502:DEF457585 CUJ457502:CUJ457585 CKN457502:CKN457585 CAR457502:CAR457585 BQV457502:BQV457585 BGZ457502:BGZ457585 AXD457502:AXD457585 ANH457502:ANH457585 ADL457502:ADL457585 TP457502:TP457585 JT457502:JT457585 X457502:X457585 WWF391966:WWF392049 WMJ391966:WMJ392049 WCN391966:WCN392049 VSR391966:VSR392049 VIV391966:VIV392049 UYZ391966:UYZ392049 UPD391966:UPD392049 UFH391966:UFH392049 TVL391966:TVL392049 TLP391966:TLP392049 TBT391966:TBT392049 SRX391966:SRX392049 SIB391966:SIB392049 RYF391966:RYF392049 ROJ391966:ROJ392049 REN391966:REN392049 QUR391966:QUR392049 QKV391966:QKV392049 QAZ391966:QAZ392049 PRD391966:PRD392049 PHH391966:PHH392049 OXL391966:OXL392049 ONP391966:ONP392049 ODT391966:ODT392049 NTX391966:NTX392049 NKB391966:NKB392049 NAF391966:NAF392049 MQJ391966:MQJ392049 MGN391966:MGN392049 LWR391966:LWR392049 LMV391966:LMV392049 LCZ391966:LCZ392049 KTD391966:KTD392049 KJH391966:KJH392049 JZL391966:JZL392049 JPP391966:JPP392049 JFT391966:JFT392049 IVX391966:IVX392049 IMB391966:IMB392049 ICF391966:ICF392049 HSJ391966:HSJ392049 HIN391966:HIN392049 GYR391966:GYR392049 GOV391966:GOV392049 GEZ391966:GEZ392049 FVD391966:FVD392049 FLH391966:FLH392049 FBL391966:FBL392049 ERP391966:ERP392049 EHT391966:EHT392049 DXX391966:DXX392049 DOB391966:DOB392049 DEF391966:DEF392049 CUJ391966:CUJ392049 CKN391966:CKN392049 CAR391966:CAR392049 BQV391966:BQV392049 BGZ391966:BGZ392049 AXD391966:AXD392049 ANH391966:ANH392049 ADL391966:ADL392049 TP391966:TP392049 JT391966:JT392049 X391966:X392049 WWF326430:WWF326513 WMJ326430:WMJ326513 WCN326430:WCN326513 VSR326430:VSR326513 VIV326430:VIV326513 UYZ326430:UYZ326513 UPD326430:UPD326513 UFH326430:UFH326513 TVL326430:TVL326513 TLP326430:TLP326513 TBT326430:TBT326513 SRX326430:SRX326513 SIB326430:SIB326513 RYF326430:RYF326513 ROJ326430:ROJ326513 REN326430:REN326513 QUR326430:QUR326513 QKV326430:QKV326513 QAZ326430:QAZ326513 PRD326430:PRD326513 PHH326430:PHH326513 OXL326430:OXL326513 ONP326430:ONP326513 ODT326430:ODT326513 NTX326430:NTX326513 NKB326430:NKB326513 NAF326430:NAF326513 MQJ326430:MQJ326513 MGN326430:MGN326513 LWR326430:LWR326513 LMV326430:LMV326513 LCZ326430:LCZ326513 KTD326430:KTD326513 KJH326430:KJH326513 JZL326430:JZL326513 JPP326430:JPP326513 JFT326430:JFT326513 IVX326430:IVX326513 IMB326430:IMB326513 ICF326430:ICF326513 HSJ326430:HSJ326513 HIN326430:HIN326513 GYR326430:GYR326513 GOV326430:GOV326513 GEZ326430:GEZ326513 FVD326430:FVD326513 FLH326430:FLH326513 FBL326430:FBL326513 ERP326430:ERP326513 EHT326430:EHT326513 DXX326430:DXX326513 DOB326430:DOB326513 DEF326430:DEF326513 CUJ326430:CUJ326513 CKN326430:CKN326513 CAR326430:CAR326513 BQV326430:BQV326513 BGZ326430:BGZ326513 AXD326430:AXD326513 ANH326430:ANH326513 ADL326430:ADL326513 TP326430:TP326513 JT326430:JT326513 X326430:X326513 WWF260894:WWF260977 WMJ260894:WMJ260977 WCN260894:WCN260977 VSR260894:VSR260977 VIV260894:VIV260977 UYZ260894:UYZ260977 UPD260894:UPD260977 UFH260894:UFH260977 TVL260894:TVL260977 TLP260894:TLP260977 TBT260894:TBT260977 SRX260894:SRX260977 SIB260894:SIB260977 RYF260894:RYF260977 ROJ260894:ROJ260977 REN260894:REN260977 QUR260894:QUR260977 QKV260894:QKV260977 QAZ260894:QAZ260977 PRD260894:PRD260977 PHH260894:PHH260977 OXL260894:OXL260977 ONP260894:ONP260977 ODT260894:ODT260977 NTX260894:NTX260977 NKB260894:NKB260977 NAF260894:NAF260977 MQJ260894:MQJ260977 MGN260894:MGN260977 LWR260894:LWR260977 LMV260894:LMV260977 LCZ260894:LCZ260977 KTD260894:KTD260977 KJH260894:KJH260977 JZL260894:JZL260977 JPP260894:JPP260977 JFT260894:JFT260977 IVX260894:IVX260977 IMB260894:IMB260977 ICF260894:ICF260977 HSJ260894:HSJ260977 HIN260894:HIN260977 GYR260894:GYR260977 GOV260894:GOV260977 GEZ260894:GEZ260977 FVD260894:FVD260977 FLH260894:FLH260977 FBL260894:FBL260977 ERP260894:ERP260977 EHT260894:EHT260977 DXX260894:DXX260977 DOB260894:DOB260977 DEF260894:DEF260977 CUJ260894:CUJ260977 CKN260894:CKN260977 CAR260894:CAR260977 BQV260894:BQV260977 BGZ260894:BGZ260977 AXD260894:AXD260977 ANH260894:ANH260977 ADL260894:ADL260977 TP260894:TP260977 JT260894:JT260977 X260894:X260977 WWF195358:WWF195441 WMJ195358:WMJ195441 WCN195358:WCN195441 VSR195358:VSR195441 VIV195358:VIV195441 UYZ195358:UYZ195441 UPD195358:UPD195441 UFH195358:UFH195441 TVL195358:TVL195441 TLP195358:TLP195441 TBT195358:TBT195441 SRX195358:SRX195441 SIB195358:SIB195441 RYF195358:RYF195441 ROJ195358:ROJ195441 REN195358:REN195441 QUR195358:QUR195441 QKV195358:QKV195441 QAZ195358:QAZ195441 PRD195358:PRD195441 PHH195358:PHH195441 OXL195358:OXL195441 ONP195358:ONP195441 ODT195358:ODT195441 NTX195358:NTX195441 NKB195358:NKB195441 NAF195358:NAF195441 MQJ195358:MQJ195441 MGN195358:MGN195441 LWR195358:LWR195441 LMV195358:LMV195441 LCZ195358:LCZ195441 KTD195358:KTD195441 KJH195358:KJH195441 JZL195358:JZL195441 JPP195358:JPP195441 JFT195358:JFT195441 IVX195358:IVX195441 IMB195358:IMB195441 ICF195358:ICF195441 HSJ195358:HSJ195441 HIN195358:HIN195441 GYR195358:GYR195441 GOV195358:GOV195441 GEZ195358:GEZ195441 FVD195358:FVD195441 FLH195358:FLH195441 FBL195358:FBL195441 ERP195358:ERP195441 EHT195358:EHT195441 DXX195358:DXX195441 DOB195358:DOB195441 DEF195358:DEF195441 CUJ195358:CUJ195441 CKN195358:CKN195441 CAR195358:CAR195441 BQV195358:BQV195441 BGZ195358:BGZ195441 AXD195358:AXD195441 ANH195358:ANH195441 ADL195358:ADL195441 TP195358:TP195441 JT195358:JT195441 X195358:X195441 WWF129822:WWF129905 WMJ129822:WMJ129905 WCN129822:WCN129905 VSR129822:VSR129905 VIV129822:VIV129905 UYZ129822:UYZ129905 UPD129822:UPD129905 UFH129822:UFH129905 TVL129822:TVL129905 TLP129822:TLP129905 TBT129822:TBT129905 SRX129822:SRX129905 SIB129822:SIB129905 RYF129822:RYF129905 ROJ129822:ROJ129905 REN129822:REN129905 QUR129822:QUR129905 QKV129822:QKV129905 QAZ129822:QAZ129905 PRD129822:PRD129905 PHH129822:PHH129905 OXL129822:OXL129905 ONP129822:ONP129905 ODT129822:ODT129905 NTX129822:NTX129905 NKB129822:NKB129905 NAF129822:NAF129905 MQJ129822:MQJ129905 MGN129822:MGN129905 LWR129822:LWR129905 LMV129822:LMV129905 LCZ129822:LCZ129905 KTD129822:KTD129905 KJH129822:KJH129905 JZL129822:JZL129905 JPP129822:JPP129905 JFT129822:JFT129905 IVX129822:IVX129905 IMB129822:IMB129905 ICF129822:ICF129905 HSJ129822:HSJ129905 HIN129822:HIN129905 GYR129822:GYR129905 GOV129822:GOV129905 GEZ129822:GEZ129905 FVD129822:FVD129905 FLH129822:FLH129905 FBL129822:FBL129905 ERP129822:ERP129905 EHT129822:EHT129905 DXX129822:DXX129905 DOB129822:DOB129905 DEF129822:DEF129905 CUJ129822:CUJ129905 CKN129822:CKN129905 CAR129822:CAR129905 BQV129822:BQV129905 BGZ129822:BGZ129905 AXD129822:AXD129905 ANH129822:ANH129905 ADL129822:ADL129905 TP129822:TP129905 JT129822:JT129905 X129822:X129905 WWF64286:WWF64369 WMJ64286:WMJ64369 WCN64286:WCN64369 VSR64286:VSR64369 VIV64286:VIV64369 UYZ64286:UYZ64369 UPD64286:UPD64369 UFH64286:UFH64369 TVL64286:TVL64369 TLP64286:TLP64369 TBT64286:TBT64369 SRX64286:SRX64369 SIB64286:SIB64369 RYF64286:RYF64369 ROJ64286:ROJ64369 REN64286:REN64369 QUR64286:QUR64369 QKV64286:QKV64369 QAZ64286:QAZ64369 PRD64286:PRD64369 PHH64286:PHH64369 OXL64286:OXL64369 ONP64286:ONP64369 ODT64286:ODT64369 NTX64286:NTX64369 NKB64286:NKB64369 NAF64286:NAF64369 MQJ64286:MQJ64369 MGN64286:MGN64369 LWR64286:LWR64369 LMV64286:LMV64369 LCZ64286:LCZ64369 KTD64286:KTD64369 KJH64286:KJH64369 JZL64286:JZL64369 JPP64286:JPP64369 JFT64286:JFT64369 IVX64286:IVX64369 IMB64286:IMB64369 ICF64286:ICF64369 HSJ64286:HSJ64369 HIN64286:HIN64369 GYR64286:GYR64369 GOV64286:GOV64369 GEZ64286:GEZ64369 FVD64286:FVD64369 FLH64286:FLH64369 FBL64286:FBL64369 ERP64286:ERP64369 EHT64286:EHT64369 DXX64286:DXX64369 DOB64286:DOB64369 DEF64286:DEF64369 CUJ64286:CUJ64369 CKN64286:CKN64369 CAR64286:CAR64369 BQV64286:BQV64369 BGZ64286:BGZ64369 AXD64286:AXD64369 ANH64286:ANH64369 ADL64286:ADL64369 TP64286:TP64369 JT64286:JT64369 X64286:X64369 X81:X485 JT2:JT58 TP2:TP58 ADL2:ADL58 ANH2:ANH58 AXD2:AXD58 BGZ2:BGZ58 BQV2:BQV58 CAR2:CAR58 CKN2:CKN58 CUJ2:CUJ58 DEF2:DEF58 DOB2:DOB58 DXX2:DXX58 EHT2:EHT58 ERP2:ERP58 FBL2:FBL58 FLH2:FLH58 FVD2:FVD58 GEZ2:GEZ58 GOV2:GOV58 GYR2:GYR58 HIN2:HIN58 HSJ2:HSJ58 ICF2:ICF58 IMB2:IMB58 IVX2:IVX58 JFT2:JFT58 JPP2:JPP58 JZL2:JZL58 KJH2:KJH58 KTD2:KTD58 LCZ2:LCZ58 LMV2:LMV58 LWR2:LWR58 MGN2:MGN58 MQJ2:MQJ58 NAF2:NAF58 NKB2:NKB58 NTX2:NTX58 ODT2:ODT58 ONP2:ONP58 OXL2:OXL58 PHH2:PHH58 PRD2:PRD58 QAZ2:QAZ58 QKV2:QKV58 QUR2:QUR58 REN2:REN58 ROJ2:ROJ58 RYF2:RYF58 SIB2:SIB58 SRX2:SRX58 TBT2:TBT58 TLP2:TLP58 TVL2:TVL58 UFH2:UFH58 UPD2:UPD58 UYZ2:UYZ58 VIV2:VIV58 VSR2:VSR58 WCN2:WCN58 WMJ2:WMJ58 WWF2:WWF58 X2:X79" xr:uid="{20139B9D-E43A-4DE5-A123-C8DC5532DABB}">
      <formula1>$AT$2:$AT$3</formula1>
    </dataValidation>
    <dataValidation operator="equal" allowBlank="1" showInputMessage="1" showErrorMessage="1" sqref="WVJ981790:WVJ981879 WLN981790:WLN981879 WBR981790:WBR981879 VRV981790:VRV981879 VHZ981790:VHZ981879 UYD981790:UYD981879 UOH981790:UOH981879 UEL981790:UEL981879 TUP981790:TUP981879 TKT981790:TKT981879 TAX981790:TAX981879 SRB981790:SRB981879 SHF981790:SHF981879 RXJ981790:RXJ981879 RNN981790:RNN981879 RDR981790:RDR981879 QTV981790:QTV981879 QJZ981790:QJZ981879 QAD981790:QAD981879 PQH981790:PQH981879 PGL981790:PGL981879 OWP981790:OWP981879 OMT981790:OMT981879 OCX981790:OCX981879 NTB981790:NTB981879 NJF981790:NJF981879 MZJ981790:MZJ981879 MPN981790:MPN981879 MFR981790:MFR981879 LVV981790:LVV981879 LLZ981790:LLZ981879 LCD981790:LCD981879 KSH981790:KSH981879 KIL981790:KIL981879 JYP981790:JYP981879 JOT981790:JOT981879 JEX981790:JEX981879 IVB981790:IVB981879 ILF981790:ILF981879 IBJ981790:IBJ981879 HRN981790:HRN981879 HHR981790:HHR981879 GXV981790:GXV981879 GNZ981790:GNZ981879 GED981790:GED981879 FUH981790:FUH981879 FKL981790:FKL981879 FAP981790:FAP981879 EQT981790:EQT981879 EGX981790:EGX981879 DXB981790:DXB981879 DNF981790:DNF981879 DDJ981790:DDJ981879 CTN981790:CTN981879 CJR981790:CJR981879 BZV981790:BZV981879 BPZ981790:BPZ981879 BGD981790:BGD981879 AWH981790:AWH981879 AML981790:AML981879 ACP981790:ACP981879 ST981790:ST981879 IX981790:IX981879 B981796:B981885 WVJ916254:WVJ916343 WLN916254:WLN916343 WBR916254:WBR916343 VRV916254:VRV916343 VHZ916254:VHZ916343 UYD916254:UYD916343 UOH916254:UOH916343 UEL916254:UEL916343 TUP916254:TUP916343 TKT916254:TKT916343 TAX916254:TAX916343 SRB916254:SRB916343 SHF916254:SHF916343 RXJ916254:RXJ916343 RNN916254:RNN916343 RDR916254:RDR916343 QTV916254:QTV916343 QJZ916254:QJZ916343 QAD916254:QAD916343 PQH916254:PQH916343 PGL916254:PGL916343 OWP916254:OWP916343 OMT916254:OMT916343 OCX916254:OCX916343 NTB916254:NTB916343 NJF916254:NJF916343 MZJ916254:MZJ916343 MPN916254:MPN916343 MFR916254:MFR916343 LVV916254:LVV916343 LLZ916254:LLZ916343 LCD916254:LCD916343 KSH916254:KSH916343 KIL916254:KIL916343 JYP916254:JYP916343 JOT916254:JOT916343 JEX916254:JEX916343 IVB916254:IVB916343 ILF916254:ILF916343 IBJ916254:IBJ916343 HRN916254:HRN916343 HHR916254:HHR916343 GXV916254:GXV916343 GNZ916254:GNZ916343 GED916254:GED916343 FUH916254:FUH916343 FKL916254:FKL916343 FAP916254:FAP916343 EQT916254:EQT916343 EGX916254:EGX916343 DXB916254:DXB916343 DNF916254:DNF916343 DDJ916254:DDJ916343 CTN916254:CTN916343 CJR916254:CJR916343 BZV916254:BZV916343 BPZ916254:BPZ916343 BGD916254:BGD916343 AWH916254:AWH916343 AML916254:AML916343 ACP916254:ACP916343 ST916254:ST916343 IX916254:IX916343 B916260:B916349 WVJ850718:WVJ850807 WLN850718:WLN850807 WBR850718:WBR850807 VRV850718:VRV850807 VHZ850718:VHZ850807 UYD850718:UYD850807 UOH850718:UOH850807 UEL850718:UEL850807 TUP850718:TUP850807 TKT850718:TKT850807 TAX850718:TAX850807 SRB850718:SRB850807 SHF850718:SHF850807 RXJ850718:RXJ850807 RNN850718:RNN850807 RDR850718:RDR850807 QTV850718:QTV850807 QJZ850718:QJZ850807 QAD850718:QAD850807 PQH850718:PQH850807 PGL850718:PGL850807 OWP850718:OWP850807 OMT850718:OMT850807 OCX850718:OCX850807 NTB850718:NTB850807 NJF850718:NJF850807 MZJ850718:MZJ850807 MPN850718:MPN850807 MFR850718:MFR850807 LVV850718:LVV850807 LLZ850718:LLZ850807 LCD850718:LCD850807 KSH850718:KSH850807 KIL850718:KIL850807 JYP850718:JYP850807 JOT850718:JOT850807 JEX850718:JEX850807 IVB850718:IVB850807 ILF850718:ILF850807 IBJ850718:IBJ850807 HRN850718:HRN850807 HHR850718:HHR850807 GXV850718:GXV850807 GNZ850718:GNZ850807 GED850718:GED850807 FUH850718:FUH850807 FKL850718:FKL850807 FAP850718:FAP850807 EQT850718:EQT850807 EGX850718:EGX850807 DXB850718:DXB850807 DNF850718:DNF850807 DDJ850718:DDJ850807 CTN850718:CTN850807 CJR850718:CJR850807 BZV850718:BZV850807 BPZ850718:BPZ850807 BGD850718:BGD850807 AWH850718:AWH850807 AML850718:AML850807 ACP850718:ACP850807 ST850718:ST850807 IX850718:IX850807 B850724:B850813 WVJ785182:WVJ785271 WLN785182:WLN785271 WBR785182:WBR785271 VRV785182:VRV785271 VHZ785182:VHZ785271 UYD785182:UYD785271 UOH785182:UOH785271 UEL785182:UEL785271 TUP785182:TUP785271 TKT785182:TKT785271 TAX785182:TAX785271 SRB785182:SRB785271 SHF785182:SHF785271 RXJ785182:RXJ785271 RNN785182:RNN785271 RDR785182:RDR785271 QTV785182:QTV785271 QJZ785182:QJZ785271 QAD785182:QAD785271 PQH785182:PQH785271 PGL785182:PGL785271 OWP785182:OWP785271 OMT785182:OMT785271 OCX785182:OCX785271 NTB785182:NTB785271 NJF785182:NJF785271 MZJ785182:MZJ785271 MPN785182:MPN785271 MFR785182:MFR785271 LVV785182:LVV785271 LLZ785182:LLZ785271 LCD785182:LCD785271 KSH785182:KSH785271 KIL785182:KIL785271 JYP785182:JYP785271 JOT785182:JOT785271 JEX785182:JEX785271 IVB785182:IVB785271 ILF785182:ILF785271 IBJ785182:IBJ785271 HRN785182:HRN785271 HHR785182:HHR785271 GXV785182:GXV785271 GNZ785182:GNZ785271 GED785182:GED785271 FUH785182:FUH785271 FKL785182:FKL785271 FAP785182:FAP785271 EQT785182:EQT785271 EGX785182:EGX785271 DXB785182:DXB785271 DNF785182:DNF785271 DDJ785182:DDJ785271 CTN785182:CTN785271 CJR785182:CJR785271 BZV785182:BZV785271 BPZ785182:BPZ785271 BGD785182:BGD785271 AWH785182:AWH785271 AML785182:AML785271 ACP785182:ACP785271 ST785182:ST785271 IX785182:IX785271 B785188:B785277 WVJ719646:WVJ719735 WLN719646:WLN719735 WBR719646:WBR719735 VRV719646:VRV719735 VHZ719646:VHZ719735 UYD719646:UYD719735 UOH719646:UOH719735 UEL719646:UEL719735 TUP719646:TUP719735 TKT719646:TKT719735 TAX719646:TAX719735 SRB719646:SRB719735 SHF719646:SHF719735 RXJ719646:RXJ719735 RNN719646:RNN719735 RDR719646:RDR719735 QTV719646:QTV719735 QJZ719646:QJZ719735 QAD719646:QAD719735 PQH719646:PQH719735 PGL719646:PGL719735 OWP719646:OWP719735 OMT719646:OMT719735 OCX719646:OCX719735 NTB719646:NTB719735 NJF719646:NJF719735 MZJ719646:MZJ719735 MPN719646:MPN719735 MFR719646:MFR719735 LVV719646:LVV719735 LLZ719646:LLZ719735 LCD719646:LCD719735 KSH719646:KSH719735 KIL719646:KIL719735 JYP719646:JYP719735 JOT719646:JOT719735 JEX719646:JEX719735 IVB719646:IVB719735 ILF719646:ILF719735 IBJ719646:IBJ719735 HRN719646:HRN719735 HHR719646:HHR719735 GXV719646:GXV719735 GNZ719646:GNZ719735 GED719646:GED719735 FUH719646:FUH719735 FKL719646:FKL719735 FAP719646:FAP719735 EQT719646:EQT719735 EGX719646:EGX719735 DXB719646:DXB719735 DNF719646:DNF719735 DDJ719646:DDJ719735 CTN719646:CTN719735 CJR719646:CJR719735 BZV719646:BZV719735 BPZ719646:BPZ719735 BGD719646:BGD719735 AWH719646:AWH719735 AML719646:AML719735 ACP719646:ACP719735 ST719646:ST719735 IX719646:IX719735 B719652:B719741 WVJ654110:WVJ654199 WLN654110:WLN654199 WBR654110:WBR654199 VRV654110:VRV654199 VHZ654110:VHZ654199 UYD654110:UYD654199 UOH654110:UOH654199 UEL654110:UEL654199 TUP654110:TUP654199 TKT654110:TKT654199 TAX654110:TAX654199 SRB654110:SRB654199 SHF654110:SHF654199 RXJ654110:RXJ654199 RNN654110:RNN654199 RDR654110:RDR654199 QTV654110:QTV654199 QJZ654110:QJZ654199 QAD654110:QAD654199 PQH654110:PQH654199 PGL654110:PGL654199 OWP654110:OWP654199 OMT654110:OMT654199 OCX654110:OCX654199 NTB654110:NTB654199 NJF654110:NJF654199 MZJ654110:MZJ654199 MPN654110:MPN654199 MFR654110:MFR654199 LVV654110:LVV654199 LLZ654110:LLZ654199 LCD654110:LCD654199 KSH654110:KSH654199 KIL654110:KIL654199 JYP654110:JYP654199 JOT654110:JOT654199 JEX654110:JEX654199 IVB654110:IVB654199 ILF654110:ILF654199 IBJ654110:IBJ654199 HRN654110:HRN654199 HHR654110:HHR654199 GXV654110:GXV654199 GNZ654110:GNZ654199 GED654110:GED654199 FUH654110:FUH654199 FKL654110:FKL654199 FAP654110:FAP654199 EQT654110:EQT654199 EGX654110:EGX654199 DXB654110:DXB654199 DNF654110:DNF654199 DDJ654110:DDJ654199 CTN654110:CTN654199 CJR654110:CJR654199 BZV654110:BZV654199 BPZ654110:BPZ654199 BGD654110:BGD654199 AWH654110:AWH654199 AML654110:AML654199 ACP654110:ACP654199 ST654110:ST654199 IX654110:IX654199 B654116:B654205 WVJ588574:WVJ588663 WLN588574:WLN588663 WBR588574:WBR588663 VRV588574:VRV588663 VHZ588574:VHZ588663 UYD588574:UYD588663 UOH588574:UOH588663 UEL588574:UEL588663 TUP588574:TUP588663 TKT588574:TKT588663 TAX588574:TAX588663 SRB588574:SRB588663 SHF588574:SHF588663 RXJ588574:RXJ588663 RNN588574:RNN588663 RDR588574:RDR588663 QTV588574:QTV588663 QJZ588574:QJZ588663 QAD588574:QAD588663 PQH588574:PQH588663 PGL588574:PGL588663 OWP588574:OWP588663 OMT588574:OMT588663 OCX588574:OCX588663 NTB588574:NTB588663 NJF588574:NJF588663 MZJ588574:MZJ588663 MPN588574:MPN588663 MFR588574:MFR588663 LVV588574:LVV588663 LLZ588574:LLZ588663 LCD588574:LCD588663 KSH588574:KSH588663 KIL588574:KIL588663 JYP588574:JYP588663 JOT588574:JOT588663 JEX588574:JEX588663 IVB588574:IVB588663 ILF588574:ILF588663 IBJ588574:IBJ588663 HRN588574:HRN588663 HHR588574:HHR588663 GXV588574:GXV588663 GNZ588574:GNZ588663 GED588574:GED588663 FUH588574:FUH588663 FKL588574:FKL588663 FAP588574:FAP588663 EQT588574:EQT588663 EGX588574:EGX588663 DXB588574:DXB588663 DNF588574:DNF588663 DDJ588574:DDJ588663 CTN588574:CTN588663 CJR588574:CJR588663 BZV588574:BZV588663 BPZ588574:BPZ588663 BGD588574:BGD588663 AWH588574:AWH588663 AML588574:AML588663 ACP588574:ACP588663 ST588574:ST588663 IX588574:IX588663 B588580:B588669 WVJ523038:WVJ523127 WLN523038:WLN523127 WBR523038:WBR523127 VRV523038:VRV523127 VHZ523038:VHZ523127 UYD523038:UYD523127 UOH523038:UOH523127 UEL523038:UEL523127 TUP523038:TUP523127 TKT523038:TKT523127 TAX523038:TAX523127 SRB523038:SRB523127 SHF523038:SHF523127 RXJ523038:RXJ523127 RNN523038:RNN523127 RDR523038:RDR523127 QTV523038:QTV523127 QJZ523038:QJZ523127 QAD523038:QAD523127 PQH523038:PQH523127 PGL523038:PGL523127 OWP523038:OWP523127 OMT523038:OMT523127 OCX523038:OCX523127 NTB523038:NTB523127 NJF523038:NJF523127 MZJ523038:MZJ523127 MPN523038:MPN523127 MFR523038:MFR523127 LVV523038:LVV523127 LLZ523038:LLZ523127 LCD523038:LCD523127 KSH523038:KSH523127 KIL523038:KIL523127 JYP523038:JYP523127 JOT523038:JOT523127 JEX523038:JEX523127 IVB523038:IVB523127 ILF523038:ILF523127 IBJ523038:IBJ523127 HRN523038:HRN523127 HHR523038:HHR523127 GXV523038:GXV523127 GNZ523038:GNZ523127 GED523038:GED523127 FUH523038:FUH523127 FKL523038:FKL523127 FAP523038:FAP523127 EQT523038:EQT523127 EGX523038:EGX523127 DXB523038:DXB523127 DNF523038:DNF523127 DDJ523038:DDJ523127 CTN523038:CTN523127 CJR523038:CJR523127 BZV523038:BZV523127 BPZ523038:BPZ523127 BGD523038:BGD523127 AWH523038:AWH523127 AML523038:AML523127 ACP523038:ACP523127 ST523038:ST523127 IX523038:IX523127 B523044:B523133 WVJ457502:WVJ457591 WLN457502:WLN457591 WBR457502:WBR457591 VRV457502:VRV457591 VHZ457502:VHZ457591 UYD457502:UYD457591 UOH457502:UOH457591 UEL457502:UEL457591 TUP457502:TUP457591 TKT457502:TKT457591 TAX457502:TAX457591 SRB457502:SRB457591 SHF457502:SHF457591 RXJ457502:RXJ457591 RNN457502:RNN457591 RDR457502:RDR457591 QTV457502:QTV457591 QJZ457502:QJZ457591 QAD457502:QAD457591 PQH457502:PQH457591 PGL457502:PGL457591 OWP457502:OWP457591 OMT457502:OMT457591 OCX457502:OCX457591 NTB457502:NTB457591 NJF457502:NJF457591 MZJ457502:MZJ457591 MPN457502:MPN457591 MFR457502:MFR457591 LVV457502:LVV457591 LLZ457502:LLZ457591 LCD457502:LCD457591 KSH457502:KSH457591 KIL457502:KIL457591 JYP457502:JYP457591 JOT457502:JOT457591 JEX457502:JEX457591 IVB457502:IVB457591 ILF457502:ILF457591 IBJ457502:IBJ457591 HRN457502:HRN457591 HHR457502:HHR457591 GXV457502:GXV457591 GNZ457502:GNZ457591 GED457502:GED457591 FUH457502:FUH457591 FKL457502:FKL457591 FAP457502:FAP457591 EQT457502:EQT457591 EGX457502:EGX457591 DXB457502:DXB457591 DNF457502:DNF457591 DDJ457502:DDJ457591 CTN457502:CTN457591 CJR457502:CJR457591 BZV457502:BZV457591 BPZ457502:BPZ457591 BGD457502:BGD457591 AWH457502:AWH457591 AML457502:AML457591 ACP457502:ACP457591 ST457502:ST457591 IX457502:IX457591 B457508:B457597 WVJ391966:WVJ392055 WLN391966:WLN392055 WBR391966:WBR392055 VRV391966:VRV392055 VHZ391966:VHZ392055 UYD391966:UYD392055 UOH391966:UOH392055 UEL391966:UEL392055 TUP391966:TUP392055 TKT391966:TKT392055 TAX391966:TAX392055 SRB391966:SRB392055 SHF391966:SHF392055 RXJ391966:RXJ392055 RNN391966:RNN392055 RDR391966:RDR392055 QTV391966:QTV392055 QJZ391966:QJZ392055 QAD391966:QAD392055 PQH391966:PQH392055 PGL391966:PGL392055 OWP391966:OWP392055 OMT391966:OMT392055 OCX391966:OCX392055 NTB391966:NTB392055 NJF391966:NJF392055 MZJ391966:MZJ392055 MPN391966:MPN392055 MFR391966:MFR392055 LVV391966:LVV392055 LLZ391966:LLZ392055 LCD391966:LCD392055 KSH391966:KSH392055 KIL391966:KIL392055 JYP391966:JYP392055 JOT391966:JOT392055 JEX391966:JEX392055 IVB391966:IVB392055 ILF391966:ILF392055 IBJ391966:IBJ392055 HRN391966:HRN392055 HHR391966:HHR392055 GXV391966:GXV392055 GNZ391966:GNZ392055 GED391966:GED392055 FUH391966:FUH392055 FKL391966:FKL392055 FAP391966:FAP392055 EQT391966:EQT392055 EGX391966:EGX392055 DXB391966:DXB392055 DNF391966:DNF392055 DDJ391966:DDJ392055 CTN391966:CTN392055 CJR391966:CJR392055 BZV391966:BZV392055 BPZ391966:BPZ392055 BGD391966:BGD392055 AWH391966:AWH392055 AML391966:AML392055 ACP391966:ACP392055 ST391966:ST392055 IX391966:IX392055 B391972:B392061 WVJ326430:WVJ326519 WLN326430:WLN326519 WBR326430:WBR326519 VRV326430:VRV326519 VHZ326430:VHZ326519 UYD326430:UYD326519 UOH326430:UOH326519 UEL326430:UEL326519 TUP326430:TUP326519 TKT326430:TKT326519 TAX326430:TAX326519 SRB326430:SRB326519 SHF326430:SHF326519 RXJ326430:RXJ326519 RNN326430:RNN326519 RDR326430:RDR326519 QTV326430:QTV326519 QJZ326430:QJZ326519 QAD326430:QAD326519 PQH326430:PQH326519 PGL326430:PGL326519 OWP326430:OWP326519 OMT326430:OMT326519 OCX326430:OCX326519 NTB326430:NTB326519 NJF326430:NJF326519 MZJ326430:MZJ326519 MPN326430:MPN326519 MFR326430:MFR326519 LVV326430:LVV326519 LLZ326430:LLZ326519 LCD326430:LCD326519 KSH326430:KSH326519 KIL326430:KIL326519 JYP326430:JYP326519 JOT326430:JOT326519 JEX326430:JEX326519 IVB326430:IVB326519 ILF326430:ILF326519 IBJ326430:IBJ326519 HRN326430:HRN326519 HHR326430:HHR326519 GXV326430:GXV326519 GNZ326430:GNZ326519 GED326430:GED326519 FUH326430:FUH326519 FKL326430:FKL326519 FAP326430:FAP326519 EQT326430:EQT326519 EGX326430:EGX326519 DXB326430:DXB326519 DNF326430:DNF326519 DDJ326430:DDJ326519 CTN326430:CTN326519 CJR326430:CJR326519 BZV326430:BZV326519 BPZ326430:BPZ326519 BGD326430:BGD326519 AWH326430:AWH326519 AML326430:AML326519 ACP326430:ACP326519 ST326430:ST326519 IX326430:IX326519 B326436:B326525 WVJ260894:WVJ260983 WLN260894:WLN260983 WBR260894:WBR260983 VRV260894:VRV260983 VHZ260894:VHZ260983 UYD260894:UYD260983 UOH260894:UOH260983 UEL260894:UEL260983 TUP260894:TUP260983 TKT260894:TKT260983 TAX260894:TAX260983 SRB260894:SRB260983 SHF260894:SHF260983 RXJ260894:RXJ260983 RNN260894:RNN260983 RDR260894:RDR260983 QTV260894:QTV260983 QJZ260894:QJZ260983 QAD260894:QAD260983 PQH260894:PQH260983 PGL260894:PGL260983 OWP260894:OWP260983 OMT260894:OMT260983 OCX260894:OCX260983 NTB260894:NTB260983 NJF260894:NJF260983 MZJ260894:MZJ260983 MPN260894:MPN260983 MFR260894:MFR260983 LVV260894:LVV260983 LLZ260894:LLZ260983 LCD260894:LCD260983 KSH260894:KSH260983 KIL260894:KIL260983 JYP260894:JYP260983 JOT260894:JOT260983 JEX260894:JEX260983 IVB260894:IVB260983 ILF260894:ILF260983 IBJ260894:IBJ260983 HRN260894:HRN260983 HHR260894:HHR260983 GXV260894:GXV260983 GNZ260894:GNZ260983 GED260894:GED260983 FUH260894:FUH260983 FKL260894:FKL260983 FAP260894:FAP260983 EQT260894:EQT260983 EGX260894:EGX260983 DXB260894:DXB260983 DNF260894:DNF260983 DDJ260894:DDJ260983 CTN260894:CTN260983 CJR260894:CJR260983 BZV260894:BZV260983 BPZ260894:BPZ260983 BGD260894:BGD260983 AWH260894:AWH260983 AML260894:AML260983 ACP260894:ACP260983 ST260894:ST260983 IX260894:IX260983 B260900:B260989 WVJ195358:WVJ195447 WLN195358:WLN195447 WBR195358:WBR195447 VRV195358:VRV195447 VHZ195358:VHZ195447 UYD195358:UYD195447 UOH195358:UOH195447 UEL195358:UEL195447 TUP195358:TUP195447 TKT195358:TKT195447 TAX195358:TAX195447 SRB195358:SRB195447 SHF195358:SHF195447 RXJ195358:RXJ195447 RNN195358:RNN195447 RDR195358:RDR195447 QTV195358:QTV195447 QJZ195358:QJZ195447 QAD195358:QAD195447 PQH195358:PQH195447 PGL195358:PGL195447 OWP195358:OWP195447 OMT195358:OMT195447 OCX195358:OCX195447 NTB195358:NTB195447 NJF195358:NJF195447 MZJ195358:MZJ195447 MPN195358:MPN195447 MFR195358:MFR195447 LVV195358:LVV195447 LLZ195358:LLZ195447 LCD195358:LCD195447 KSH195358:KSH195447 KIL195358:KIL195447 JYP195358:JYP195447 JOT195358:JOT195447 JEX195358:JEX195447 IVB195358:IVB195447 ILF195358:ILF195447 IBJ195358:IBJ195447 HRN195358:HRN195447 HHR195358:HHR195447 GXV195358:GXV195447 GNZ195358:GNZ195447 GED195358:GED195447 FUH195358:FUH195447 FKL195358:FKL195447 FAP195358:FAP195447 EQT195358:EQT195447 EGX195358:EGX195447 DXB195358:DXB195447 DNF195358:DNF195447 DDJ195358:DDJ195447 CTN195358:CTN195447 CJR195358:CJR195447 BZV195358:BZV195447 BPZ195358:BPZ195447 BGD195358:BGD195447 AWH195358:AWH195447 AML195358:AML195447 ACP195358:ACP195447 ST195358:ST195447 IX195358:IX195447 B195364:B195453 WVJ129822:WVJ129911 WLN129822:WLN129911 WBR129822:WBR129911 VRV129822:VRV129911 VHZ129822:VHZ129911 UYD129822:UYD129911 UOH129822:UOH129911 UEL129822:UEL129911 TUP129822:TUP129911 TKT129822:TKT129911 TAX129822:TAX129911 SRB129822:SRB129911 SHF129822:SHF129911 RXJ129822:RXJ129911 RNN129822:RNN129911 RDR129822:RDR129911 QTV129822:QTV129911 QJZ129822:QJZ129911 QAD129822:QAD129911 PQH129822:PQH129911 PGL129822:PGL129911 OWP129822:OWP129911 OMT129822:OMT129911 OCX129822:OCX129911 NTB129822:NTB129911 NJF129822:NJF129911 MZJ129822:MZJ129911 MPN129822:MPN129911 MFR129822:MFR129911 LVV129822:LVV129911 LLZ129822:LLZ129911 LCD129822:LCD129911 KSH129822:KSH129911 KIL129822:KIL129911 JYP129822:JYP129911 JOT129822:JOT129911 JEX129822:JEX129911 IVB129822:IVB129911 ILF129822:ILF129911 IBJ129822:IBJ129911 HRN129822:HRN129911 HHR129822:HHR129911 GXV129822:GXV129911 GNZ129822:GNZ129911 GED129822:GED129911 FUH129822:FUH129911 FKL129822:FKL129911 FAP129822:FAP129911 EQT129822:EQT129911 EGX129822:EGX129911 DXB129822:DXB129911 DNF129822:DNF129911 DDJ129822:DDJ129911 CTN129822:CTN129911 CJR129822:CJR129911 BZV129822:BZV129911 BPZ129822:BPZ129911 BGD129822:BGD129911 AWH129822:AWH129911 AML129822:AML129911 ACP129822:ACP129911 ST129822:ST129911 IX129822:IX129911 B129828:B129917 WVJ64286:WVJ64375 WLN64286:WLN64375 WBR64286:WBR64375 VRV64286:VRV64375 VHZ64286:VHZ64375 UYD64286:UYD64375 UOH64286:UOH64375 UEL64286:UEL64375 TUP64286:TUP64375 TKT64286:TKT64375 TAX64286:TAX64375 SRB64286:SRB64375 SHF64286:SHF64375 RXJ64286:RXJ64375 RNN64286:RNN64375 RDR64286:RDR64375 QTV64286:QTV64375 QJZ64286:QJZ64375 QAD64286:QAD64375 PQH64286:PQH64375 PGL64286:PGL64375 OWP64286:OWP64375 OMT64286:OMT64375 OCX64286:OCX64375 NTB64286:NTB64375 NJF64286:NJF64375 MZJ64286:MZJ64375 MPN64286:MPN64375 MFR64286:MFR64375 LVV64286:LVV64375 LLZ64286:LLZ64375 LCD64286:LCD64375 KSH64286:KSH64375 KIL64286:KIL64375 JYP64286:JYP64375 JOT64286:JOT64375 JEX64286:JEX64375 IVB64286:IVB64375 ILF64286:ILF64375 IBJ64286:IBJ64375 HRN64286:HRN64375 HHR64286:HHR64375 GXV64286:GXV64375 GNZ64286:GNZ64375 GED64286:GED64375 FUH64286:FUH64375 FKL64286:FKL64375 FAP64286:FAP64375 EQT64286:EQT64375 EGX64286:EGX64375 DXB64286:DXB64375 DNF64286:DNF64375 DDJ64286:DDJ64375 CTN64286:CTN64375 CJR64286:CJR64375 BZV64286:BZV64375 BPZ64286:BPZ64375 BGD64286:BGD64375 AWH64286:AWH64375 AML64286:AML64375 ACP64286:ACP64375 ST64286:ST64375 IX64286:IX64375 B64292:B64381 B81:B97 B2:B79 ST2:ST58 ACP2:ACP58 AML2:AML58 AWH2:AWH58 BGD2:BGD58 BPZ2:BPZ58 BZV2:BZV58 CJR2:CJR58 CTN2:CTN58 DDJ2:DDJ58 DNF2:DNF58 DXB2:DXB58 EGX2:EGX58 EQT2:EQT58 FAP2:FAP58 FKL2:FKL58 FUH2:FUH58 GED2:GED58 GNZ2:GNZ58 GXV2:GXV58 HHR2:HHR58 HRN2:HRN58 IBJ2:IBJ58 ILF2:ILF58 IVB2:IVB58 JEX2:JEX58 JOT2:JOT58 JYP2:JYP58 KIL2:KIL58 KSH2:KSH58 LCD2:LCD58 LLZ2:LLZ58 LVV2:LVV58 MFR2:MFR58 MPN2:MPN58 MZJ2:MZJ58 NJF2:NJF58 NTB2:NTB58 OCX2:OCX58 OMT2:OMT58 OWP2:OWP58 PGL2:PGL58 PQH2:PQH58 QAD2:QAD58 QJZ2:QJZ58 QTV2:QTV58 RDR2:RDR58 RNN2:RNN58 RXJ2:RXJ58 SHF2:SHF58 SRB2:SRB58 TAX2:TAX58 TKT2:TKT58 TUP2:TUP58 UEL2:UEL58 UOH2:UOH58 UYD2:UYD58 VHZ2:VHZ58 VRV2:VRV58 WBR2:WBR58 WLN2:WLN58 WVJ2:WVJ58 IX2:IX58" xr:uid="{91C6204D-834F-4E34-889E-E119909BDB7F}"/>
    <dataValidation type="list" allowBlank="1" showInputMessage="1" showErrorMessage="1" sqref="WVI981790:WVI981879 WLM981790:WLM981879 WBQ981790:WBQ981879 VRU981790:VRU981879 VHY981790:VHY981879 UYC981790:UYC981879 UOG981790:UOG981879 UEK981790:UEK981879 TUO981790:TUO981879 TKS981790:TKS981879 TAW981790:TAW981879 SRA981790:SRA981879 SHE981790:SHE981879 RXI981790:RXI981879 RNM981790:RNM981879 RDQ981790:RDQ981879 QTU981790:QTU981879 QJY981790:QJY981879 QAC981790:QAC981879 PQG981790:PQG981879 PGK981790:PGK981879 OWO981790:OWO981879 OMS981790:OMS981879 OCW981790:OCW981879 NTA981790:NTA981879 NJE981790:NJE981879 MZI981790:MZI981879 MPM981790:MPM981879 MFQ981790:MFQ981879 LVU981790:LVU981879 LLY981790:LLY981879 LCC981790:LCC981879 KSG981790:KSG981879 KIK981790:KIK981879 JYO981790:JYO981879 JOS981790:JOS981879 JEW981790:JEW981879 IVA981790:IVA981879 ILE981790:ILE981879 IBI981790:IBI981879 HRM981790:HRM981879 HHQ981790:HHQ981879 GXU981790:GXU981879 GNY981790:GNY981879 GEC981790:GEC981879 FUG981790:FUG981879 FKK981790:FKK981879 FAO981790:FAO981879 EQS981790:EQS981879 EGW981790:EGW981879 DXA981790:DXA981879 DNE981790:DNE981879 DDI981790:DDI981879 CTM981790:CTM981879 CJQ981790:CJQ981879 BZU981790:BZU981879 BPY981790:BPY981879 BGC981790:BGC981879 AWG981790:AWG981879 AMK981790:AMK981879 ACO981790:ACO981879 SS981790:SS981879 IW981790:IW981879 A981796:A981885 WVI916254:WVI916343 WLM916254:WLM916343 WBQ916254:WBQ916343 VRU916254:VRU916343 VHY916254:VHY916343 UYC916254:UYC916343 UOG916254:UOG916343 UEK916254:UEK916343 TUO916254:TUO916343 TKS916254:TKS916343 TAW916254:TAW916343 SRA916254:SRA916343 SHE916254:SHE916343 RXI916254:RXI916343 RNM916254:RNM916343 RDQ916254:RDQ916343 QTU916254:QTU916343 QJY916254:QJY916343 QAC916254:QAC916343 PQG916254:PQG916343 PGK916254:PGK916343 OWO916254:OWO916343 OMS916254:OMS916343 OCW916254:OCW916343 NTA916254:NTA916343 NJE916254:NJE916343 MZI916254:MZI916343 MPM916254:MPM916343 MFQ916254:MFQ916343 LVU916254:LVU916343 LLY916254:LLY916343 LCC916254:LCC916343 KSG916254:KSG916343 KIK916254:KIK916343 JYO916254:JYO916343 JOS916254:JOS916343 JEW916254:JEW916343 IVA916254:IVA916343 ILE916254:ILE916343 IBI916254:IBI916343 HRM916254:HRM916343 HHQ916254:HHQ916343 GXU916254:GXU916343 GNY916254:GNY916343 GEC916254:GEC916343 FUG916254:FUG916343 FKK916254:FKK916343 FAO916254:FAO916343 EQS916254:EQS916343 EGW916254:EGW916343 DXA916254:DXA916343 DNE916254:DNE916343 DDI916254:DDI916343 CTM916254:CTM916343 CJQ916254:CJQ916343 BZU916254:BZU916343 BPY916254:BPY916343 BGC916254:BGC916343 AWG916254:AWG916343 AMK916254:AMK916343 ACO916254:ACO916343 SS916254:SS916343 IW916254:IW916343 A916260:A916349 WVI850718:WVI850807 WLM850718:WLM850807 WBQ850718:WBQ850807 VRU850718:VRU850807 VHY850718:VHY850807 UYC850718:UYC850807 UOG850718:UOG850807 UEK850718:UEK850807 TUO850718:TUO850807 TKS850718:TKS850807 TAW850718:TAW850807 SRA850718:SRA850807 SHE850718:SHE850807 RXI850718:RXI850807 RNM850718:RNM850807 RDQ850718:RDQ850807 QTU850718:QTU850807 QJY850718:QJY850807 QAC850718:QAC850807 PQG850718:PQG850807 PGK850718:PGK850807 OWO850718:OWO850807 OMS850718:OMS850807 OCW850718:OCW850807 NTA850718:NTA850807 NJE850718:NJE850807 MZI850718:MZI850807 MPM850718:MPM850807 MFQ850718:MFQ850807 LVU850718:LVU850807 LLY850718:LLY850807 LCC850718:LCC850807 KSG850718:KSG850807 KIK850718:KIK850807 JYO850718:JYO850807 JOS850718:JOS850807 JEW850718:JEW850807 IVA850718:IVA850807 ILE850718:ILE850807 IBI850718:IBI850807 HRM850718:HRM850807 HHQ850718:HHQ850807 GXU850718:GXU850807 GNY850718:GNY850807 GEC850718:GEC850807 FUG850718:FUG850807 FKK850718:FKK850807 FAO850718:FAO850807 EQS850718:EQS850807 EGW850718:EGW850807 DXA850718:DXA850807 DNE850718:DNE850807 DDI850718:DDI850807 CTM850718:CTM850807 CJQ850718:CJQ850807 BZU850718:BZU850807 BPY850718:BPY850807 BGC850718:BGC850807 AWG850718:AWG850807 AMK850718:AMK850807 ACO850718:ACO850807 SS850718:SS850807 IW850718:IW850807 A850724:A850813 WVI785182:WVI785271 WLM785182:WLM785271 WBQ785182:WBQ785271 VRU785182:VRU785271 VHY785182:VHY785271 UYC785182:UYC785271 UOG785182:UOG785271 UEK785182:UEK785271 TUO785182:TUO785271 TKS785182:TKS785271 TAW785182:TAW785271 SRA785182:SRA785271 SHE785182:SHE785271 RXI785182:RXI785271 RNM785182:RNM785271 RDQ785182:RDQ785271 QTU785182:QTU785271 QJY785182:QJY785271 QAC785182:QAC785271 PQG785182:PQG785271 PGK785182:PGK785271 OWO785182:OWO785271 OMS785182:OMS785271 OCW785182:OCW785271 NTA785182:NTA785271 NJE785182:NJE785271 MZI785182:MZI785271 MPM785182:MPM785271 MFQ785182:MFQ785271 LVU785182:LVU785271 LLY785182:LLY785271 LCC785182:LCC785271 KSG785182:KSG785271 KIK785182:KIK785271 JYO785182:JYO785271 JOS785182:JOS785271 JEW785182:JEW785271 IVA785182:IVA785271 ILE785182:ILE785271 IBI785182:IBI785271 HRM785182:HRM785271 HHQ785182:HHQ785271 GXU785182:GXU785271 GNY785182:GNY785271 GEC785182:GEC785271 FUG785182:FUG785271 FKK785182:FKK785271 FAO785182:FAO785271 EQS785182:EQS785271 EGW785182:EGW785271 DXA785182:DXA785271 DNE785182:DNE785271 DDI785182:DDI785271 CTM785182:CTM785271 CJQ785182:CJQ785271 BZU785182:BZU785271 BPY785182:BPY785271 BGC785182:BGC785271 AWG785182:AWG785271 AMK785182:AMK785271 ACO785182:ACO785271 SS785182:SS785271 IW785182:IW785271 A785188:A785277 WVI719646:WVI719735 WLM719646:WLM719735 WBQ719646:WBQ719735 VRU719646:VRU719735 VHY719646:VHY719735 UYC719646:UYC719735 UOG719646:UOG719735 UEK719646:UEK719735 TUO719646:TUO719735 TKS719646:TKS719735 TAW719646:TAW719735 SRA719646:SRA719735 SHE719646:SHE719735 RXI719646:RXI719735 RNM719646:RNM719735 RDQ719646:RDQ719735 QTU719646:QTU719735 QJY719646:QJY719735 QAC719646:QAC719735 PQG719646:PQG719735 PGK719646:PGK719735 OWO719646:OWO719735 OMS719646:OMS719735 OCW719646:OCW719735 NTA719646:NTA719735 NJE719646:NJE719735 MZI719646:MZI719735 MPM719646:MPM719735 MFQ719646:MFQ719735 LVU719646:LVU719735 LLY719646:LLY719735 LCC719646:LCC719735 KSG719646:KSG719735 KIK719646:KIK719735 JYO719646:JYO719735 JOS719646:JOS719735 JEW719646:JEW719735 IVA719646:IVA719735 ILE719646:ILE719735 IBI719646:IBI719735 HRM719646:HRM719735 HHQ719646:HHQ719735 GXU719646:GXU719735 GNY719646:GNY719735 GEC719646:GEC719735 FUG719646:FUG719735 FKK719646:FKK719735 FAO719646:FAO719735 EQS719646:EQS719735 EGW719646:EGW719735 DXA719646:DXA719735 DNE719646:DNE719735 DDI719646:DDI719735 CTM719646:CTM719735 CJQ719646:CJQ719735 BZU719646:BZU719735 BPY719646:BPY719735 BGC719646:BGC719735 AWG719646:AWG719735 AMK719646:AMK719735 ACO719646:ACO719735 SS719646:SS719735 IW719646:IW719735 A719652:A719741 WVI654110:WVI654199 WLM654110:WLM654199 WBQ654110:WBQ654199 VRU654110:VRU654199 VHY654110:VHY654199 UYC654110:UYC654199 UOG654110:UOG654199 UEK654110:UEK654199 TUO654110:TUO654199 TKS654110:TKS654199 TAW654110:TAW654199 SRA654110:SRA654199 SHE654110:SHE654199 RXI654110:RXI654199 RNM654110:RNM654199 RDQ654110:RDQ654199 QTU654110:QTU654199 QJY654110:QJY654199 QAC654110:QAC654199 PQG654110:PQG654199 PGK654110:PGK654199 OWO654110:OWO654199 OMS654110:OMS654199 OCW654110:OCW654199 NTA654110:NTA654199 NJE654110:NJE654199 MZI654110:MZI654199 MPM654110:MPM654199 MFQ654110:MFQ654199 LVU654110:LVU654199 LLY654110:LLY654199 LCC654110:LCC654199 KSG654110:KSG654199 KIK654110:KIK654199 JYO654110:JYO654199 JOS654110:JOS654199 JEW654110:JEW654199 IVA654110:IVA654199 ILE654110:ILE654199 IBI654110:IBI654199 HRM654110:HRM654199 HHQ654110:HHQ654199 GXU654110:GXU654199 GNY654110:GNY654199 GEC654110:GEC654199 FUG654110:FUG654199 FKK654110:FKK654199 FAO654110:FAO654199 EQS654110:EQS654199 EGW654110:EGW654199 DXA654110:DXA654199 DNE654110:DNE654199 DDI654110:DDI654199 CTM654110:CTM654199 CJQ654110:CJQ654199 BZU654110:BZU654199 BPY654110:BPY654199 BGC654110:BGC654199 AWG654110:AWG654199 AMK654110:AMK654199 ACO654110:ACO654199 SS654110:SS654199 IW654110:IW654199 A654116:A654205 WVI588574:WVI588663 WLM588574:WLM588663 WBQ588574:WBQ588663 VRU588574:VRU588663 VHY588574:VHY588663 UYC588574:UYC588663 UOG588574:UOG588663 UEK588574:UEK588663 TUO588574:TUO588663 TKS588574:TKS588663 TAW588574:TAW588663 SRA588574:SRA588663 SHE588574:SHE588663 RXI588574:RXI588663 RNM588574:RNM588663 RDQ588574:RDQ588663 QTU588574:QTU588663 QJY588574:QJY588663 QAC588574:QAC588663 PQG588574:PQG588663 PGK588574:PGK588663 OWO588574:OWO588663 OMS588574:OMS588663 OCW588574:OCW588663 NTA588574:NTA588663 NJE588574:NJE588663 MZI588574:MZI588663 MPM588574:MPM588663 MFQ588574:MFQ588663 LVU588574:LVU588663 LLY588574:LLY588663 LCC588574:LCC588663 KSG588574:KSG588663 KIK588574:KIK588663 JYO588574:JYO588663 JOS588574:JOS588663 JEW588574:JEW588663 IVA588574:IVA588663 ILE588574:ILE588663 IBI588574:IBI588663 HRM588574:HRM588663 HHQ588574:HHQ588663 GXU588574:GXU588663 GNY588574:GNY588663 GEC588574:GEC588663 FUG588574:FUG588663 FKK588574:FKK588663 FAO588574:FAO588663 EQS588574:EQS588663 EGW588574:EGW588663 DXA588574:DXA588663 DNE588574:DNE588663 DDI588574:DDI588663 CTM588574:CTM588663 CJQ588574:CJQ588663 BZU588574:BZU588663 BPY588574:BPY588663 BGC588574:BGC588663 AWG588574:AWG588663 AMK588574:AMK588663 ACO588574:ACO588663 SS588574:SS588663 IW588574:IW588663 A588580:A588669 WVI523038:WVI523127 WLM523038:WLM523127 WBQ523038:WBQ523127 VRU523038:VRU523127 VHY523038:VHY523127 UYC523038:UYC523127 UOG523038:UOG523127 UEK523038:UEK523127 TUO523038:TUO523127 TKS523038:TKS523127 TAW523038:TAW523127 SRA523038:SRA523127 SHE523038:SHE523127 RXI523038:RXI523127 RNM523038:RNM523127 RDQ523038:RDQ523127 QTU523038:QTU523127 QJY523038:QJY523127 QAC523038:QAC523127 PQG523038:PQG523127 PGK523038:PGK523127 OWO523038:OWO523127 OMS523038:OMS523127 OCW523038:OCW523127 NTA523038:NTA523127 NJE523038:NJE523127 MZI523038:MZI523127 MPM523038:MPM523127 MFQ523038:MFQ523127 LVU523038:LVU523127 LLY523038:LLY523127 LCC523038:LCC523127 KSG523038:KSG523127 KIK523038:KIK523127 JYO523038:JYO523127 JOS523038:JOS523127 JEW523038:JEW523127 IVA523038:IVA523127 ILE523038:ILE523127 IBI523038:IBI523127 HRM523038:HRM523127 HHQ523038:HHQ523127 GXU523038:GXU523127 GNY523038:GNY523127 GEC523038:GEC523127 FUG523038:FUG523127 FKK523038:FKK523127 FAO523038:FAO523127 EQS523038:EQS523127 EGW523038:EGW523127 DXA523038:DXA523127 DNE523038:DNE523127 DDI523038:DDI523127 CTM523038:CTM523127 CJQ523038:CJQ523127 BZU523038:BZU523127 BPY523038:BPY523127 BGC523038:BGC523127 AWG523038:AWG523127 AMK523038:AMK523127 ACO523038:ACO523127 SS523038:SS523127 IW523038:IW523127 A523044:A523133 WVI457502:WVI457591 WLM457502:WLM457591 WBQ457502:WBQ457591 VRU457502:VRU457591 VHY457502:VHY457591 UYC457502:UYC457591 UOG457502:UOG457591 UEK457502:UEK457591 TUO457502:TUO457591 TKS457502:TKS457591 TAW457502:TAW457591 SRA457502:SRA457591 SHE457502:SHE457591 RXI457502:RXI457591 RNM457502:RNM457591 RDQ457502:RDQ457591 QTU457502:QTU457591 QJY457502:QJY457591 QAC457502:QAC457591 PQG457502:PQG457591 PGK457502:PGK457591 OWO457502:OWO457591 OMS457502:OMS457591 OCW457502:OCW457591 NTA457502:NTA457591 NJE457502:NJE457591 MZI457502:MZI457591 MPM457502:MPM457591 MFQ457502:MFQ457591 LVU457502:LVU457591 LLY457502:LLY457591 LCC457502:LCC457591 KSG457502:KSG457591 KIK457502:KIK457591 JYO457502:JYO457591 JOS457502:JOS457591 JEW457502:JEW457591 IVA457502:IVA457591 ILE457502:ILE457591 IBI457502:IBI457591 HRM457502:HRM457591 HHQ457502:HHQ457591 GXU457502:GXU457591 GNY457502:GNY457591 GEC457502:GEC457591 FUG457502:FUG457591 FKK457502:FKK457591 FAO457502:FAO457591 EQS457502:EQS457591 EGW457502:EGW457591 DXA457502:DXA457591 DNE457502:DNE457591 DDI457502:DDI457591 CTM457502:CTM457591 CJQ457502:CJQ457591 BZU457502:BZU457591 BPY457502:BPY457591 BGC457502:BGC457591 AWG457502:AWG457591 AMK457502:AMK457591 ACO457502:ACO457591 SS457502:SS457591 IW457502:IW457591 A457508:A457597 WVI391966:WVI392055 WLM391966:WLM392055 WBQ391966:WBQ392055 VRU391966:VRU392055 VHY391966:VHY392055 UYC391966:UYC392055 UOG391966:UOG392055 UEK391966:UEK392055 TUO391966:TUO392055 TKS391966:TKS392055 TAW391966:TAW392055 SRA391966:SRA392055 SHE391966:SHE392055 RXI391966:RXI392055 RNM391966:RNM392055 RDQ391966:RDQ392055 QTU391966:QTU392055 QJY391966:QJY392055 QAC391966:QAC392055 PQG391966:PQG392055 PGK391966:PGK392055 OWO391966:OWO392055 OMS391966:OMS392055 OCW391966:OCW392055 NTA391966:NTA392055 NJE391966:NJE392055 MZI391966:MZI392055 MPM391966:MPM392055 MFQ391966:MFQ392055 LVU391966:LVU392055 LLY391966:LLY392055 LCC391966:LCC392055 KSG391966:KSG392055 KIK391966:KIK392055 JYO391966:JYO392055 JOS391966:JOS392055 JEW391966:JEW392055 IVA391966:IVA392055 ILE391966:ILE392055 IBI391966:IBI392055 HRM391966:HRM392055 HHQ391966:HHQ392055 GXU391966:GXU392055 GNY391966:GNY392055 GEC391966:GEC392055 FUG391966:FUG392055 FKK391966:FKK392055 FAO391966:FAO392055 EQS391966:EQS392055 EGW391966:EGW392055 DXA391966:DXA392055 DNE391966:DNE392055 DDI391966:DDI392055 CTM391966:CTM392055 CJQ391966:CJQ392055 BZU391966:BZU392055 BPY391966:BPY392055 BGC391966:BGC392055 AWG391966:AWG392055 AMK391966:AMK392055 ACO391966:ACO392055 SS391966:SS392055 IW391966:IW392055 A391972:A392061 WVI326430:WVI326519 WLM326430:WLM326519 WBQ326430:WBQ326519 VRU326430:VRU326519 VHY326430:VHY326519 UYC326430:UYC326519 UOG326430:UOG326519 UEK326430:UEK326519 TUO326430:TUO326519 TKS326430:TKS326519 TAW326430:TAW326519 SRA326430:SRA326519 SHE326430:SHE326519 RXI326430:RXI326519 RNM326430:RNM326519 RDQ326430:RDQ326519 QTU326430:QTU326519 QJY326430:QJY326519 QAC326430:QAC326519 PQG326430:PQG326519 PGK326430:PGK326519 OWO326430:OWO326519 OMS326430:OMS326519 OCW326430:OCW326519 NTA326430:NTA326519 NJE326430:NJE326519 MZI326430:MZI326519 MPM326430:MPM326519 MFQ326430:MFQ326519 LVU326430:LVU326519 LLY326430:LLY326519 LCC326430:LCC326519 KSG326430:KSG326519 KIK326430:KIK326519 JYO326430:JYO326519 JOS326430:JOS326519 JEW326430:JEW326519 IVA326430:IVA326519 ILE326430:ILE326519 IBI326430:IBI326519 HRM326430:HRM326519 HHQ326430:HHQ326519 GXU326430:GXU326519 GNY326430:GNY326519 GEC326430:GEC326519 FUG326430:FUG326519 FKK326430:FKK326519 FAO326430:FAO326519 EQS326430:EQS326519 EGW326430:EGW326519 DXA326430:DXA326519 DNE326430:DNE326519 DDI326430:DDI326519 CTM326430:CTM326519 CJQ326430:CJQ326519 BZU326430:BZU326519 BPY326430:BPY326519 BGC326430:BGC326519 AWG326430:AWG326519 AMK326430:AMK326519 ACO326430:ACO326519 SS326430:SS326519 IW326430:IW326519 A326436:A326525 WVI260894:WVI260983 WLM260894:WLM260983 WBQ260894:WBQ260983 VRU260894:VRU260983 VHY260894:VHY260983 UYC260894:UYC260983 UOG260894:UOG260983 UEK260894:UEK260983 TUO260894:TUO260983 TKS260894:TKS260983 TAW260894:TAW260983 SRA260894:SRA260983 SHE260894:SHE260983 RXI260894:RXI260983 RNM260894:RNM260983 RDQ260894:RDQ260983 QTU260894:QTU260983 QJY260894:QJY260983 QAC260894:QAC260983 PQG260894:PQG260983 PGK260894:PGK260983 OWO260894:OWO260983 OMS260894:OMS260983 OCW260894:OCW260983 NTA260894:NTA260983 NJE260894:NJE260983 MZI260894:MZI260983 MPM260894:MPM260983 MFQ260894:MFQ260983 LVU260894:LVU260983 LLY260894:LLY260983 LCC260894:LCC260983 KSG260894:KSG260983 KIK260894:KIK260983 JYO260894:JYO260983 JOS260894:JOS260983 JEW260894:JEW260983 IVA260894:IVA260983 ILE260894:ILE260983 IBI260894:IBI260983 HRM260894:HRM260983 HHQ260894:HHQ260983 GXU260894:GXU260983 GNY260894:GNY260983 GEC260894:GEC260983 FUG260894:FUG260983 FKK260894:FKK260983 FAO260894:FAO260983 EQS260894:EQS260983 EGW260894:EGW260983 DXA260894:DXA260983 DNE260894:DNE260983 DDI260894:DDI260983 CTM260894:CTM260983 CJQ260894:CJQ260983 BZU260894:BZU260983 BPY260894:BPY260983 BGC260894:BGC260983 AWG260894:AWG260983 AMK260894:AMK260983 ACO260894:ACO260983 SS260894:SS260983 IW260894:IW260983 A260900:A260989 WVI195358:WVI195447 WLM195358:WLM195447 WBQ195358:WBQ195447 VRU195358:VRU195447 VHY195358:VHY195447 UYC195358:UYC195447 UOG195358:UOG195447 UEK195358:UEK195447 TUO195358:TUO195447 TKS195358:TKS195447 TAW195358:TAW195447 SRA195358:SRA195447 SHE195358:SHE195447 RXI195358:RXI195447 RNM195358:RNM195447 RDQ195358:RDQ195447 QTU195358:QTU195447 QJY195358:QJY195447 QAC195358:QAC195447 PQG195358:PQG195447 PGK195358:PGK195447 OWO195358:OWO195447 OMS195358:OMS195447 OCW195358:OCW195447 NTA195358:NTA195447 NJE195358:NJE195447 MZI195358:MZI195447 MPM195358:MPM195447 MFQ195358:MFQ195447 LVU195358:LVU195447 LLY195358:LLY195447 LCC195358:LCC195447 KSG195358:KSG195447 KIK195358:KIK195447 JYO195358:JYO195447 JOS195358:JOS195447 JEW195358:JEW195447 IVA195358:IVA195447 ILE195358:ILE195447 IBI195358:IBI195447 HRM195358:HRM195447 HHQ195358:HHQ195447 GXU195358:GXU195447 GNY195358:GNY195447 GEC195358:GEC195447 FUG195358:FUG195447 FKK195358:FKK195447 FAO195358:FAO195447 EQS195358:EQS195447 EGW195358:EGW195447 DXA195358:DXA195447 DNE195358:DNE195447 DDI195358:DDI195447 CTM195358:CTM195447 CJQ195358:CJQ195447 BZU195358:BZU195447 BPY195358:BPY195447 BGC195358:BGC195447 AWG195358:AWG195447 AMK195358:AMK195447 ACO195358:ACO195447 SS195358:SS195447 IW195358:IW195447 A195364:A195453 WVI129822:WVI129911 WLM129822:WLM129911 WBQ129822:WBQ129911 VRU129822:VRU129911 VHY129822:VHY129911 UYC129822:UYC129911 UOG129822:UOG129911 UEK129822:UEK129911 TUO129822:TUO129911 TKS129822:TKS129911 TAW129822:TAW129911 SRA129822:SRA129911 SHE129822:SHE129911 RXI129822:RXI129911 RNM129822:RNM129911 RDQ129822:RDQ129911 QTU129822:QTU129911 QJY129822:QJY129911 QAC129822:QAC129911 PQG129822:PQG129911 PGK129822:PGK129911 OWO129822:OWO129911 OMS129822:OMS129911 OCW129822:OCW129911 NTA129822:NTA129911 NJE129822:NJE129911 MZI129822:MZI129911 MPM129822:MPM129911 MFQ129822:MFQ129911 LVU129822:LVU129911 LLY129822:LLY129911 LCC129822:LCC129911 KSG129822:KSG129911 KIK129822:KIK129911 JYO129822:JYO129911 JOS129822:JOS129911 JEW129822:JEW129911 IVA129822:IVA129911 ILE129822:ILE129911 IBI129822:IBI129911 HRM129822:HRM129911 HHQ129822:HHQ129911 GXU129822:GXU129911 GNY129822:GNY129911 GEC129822:GEC129911 FUG129822:FUG129911 FKK129822:FKK129911 FAO129822:FAO129911 EQS129822:EQS129911 EGW129822:EGW129911 DXA129822:DXA129911 DNE129822:DNE129911 DDI129822:DDI129911 CTM129822:CTM129911 CJQ129822:CJQ129911 BZU129822:BZU129911 BPY129822:BPY129911 BGC129822:BGC129911 AWG129822:AWG129911 AMK129822:AMK129911 ACO129822:ACO129911 SS129822:SS129911 IW129822:IW129911 A129828:A129917 WVI64286:WVI64375 WLM64286:WLM64375 WBQ64286:WBQ64375 VRU64286:VRU64375 VHY64286:VHY64375 UYC64286:UYC64375 UOG64286:UOG64375 UEK64286:UEK64375 TUO64286:TUO64375 TKS64286:TKS64375 TAW64286:TAW64375 SRA64286:SRA64375 SHE64286:SHE64375 RXI64286:RXI64375 RNM64286:RNM64375 RDQ64286:RDQ64375 QTU64286:QTU64375 QJY64286:QJY64375 QAC64286:QAC64375 PQG64286:PQG64375 PGK64286:PGK64375 OWO64286:OWO64375 OMS64286:OMS64375 OCW64286:OCW64375 NTA64286:NTA64375 NJE64286:NJE64375 MZI64286:MZI64375 MPM64286:MPM64375 MFQ64286:MFQ64375 LVU64286:LVU64375 LLY64286:LLY64375 LCC64286:LCC64375 KSG64286:KSG64375 KIK64286:KIK64375 JYO64286:JYO64375 JOS64286:JOS64375 JEW64286:JEW64375 IVA64286:IVA64375 ILE64286:ILE64375 IBI64286:IBI64375 HRM64286:HRM64375 HHQ64286:HHQ64375 GXU64286:GXU64375 GNY64286:GNY64375 GEC64286:GEC64375 FUG64286:FUG64375 FKK64286:FKK64375 FAO64286:FAO64375 EQS64286:EQS64375 EGW64286:EGW64375 DXA64286:DXA64375 DNE64286:DNE64375 DDI64286:DDI64375 CTM64286:CTM64375 CJQ64286:CJQ64375 BZU64286:BZU64375 BPY64286:BPY64375 BGC64286:BGC64375 AWG64286:AWG64375 AMK64286:AMK64375 ACO64286:ACO64375 SS64286:SS64375 IW64286:IW64375 A64292:A64381 IW2:IW58 SS2:SS58 ACO2:ACO58 AMK2:AMK58 AWG2:AWG58 BGC2:BGC58 BPY2:BPY58 BZU2:BZU58 CJQ2:CJQ58 CTM2:CTM58 DDI2:DDI58 DNE2:DNE58 DXA2:DXA58 EGW2:EGW58 EQS2:EQS58 FAO2:FAO58 FKK2:FKK58 FUG2:FUG58 GEC2:GEC58 GNY2:GNY58 GXU2:GXU58 HHQ2:HHQ58 HRM2:HRM58 IBI2:IBI58 ILE2:ILE58 IVA2:IVA58 JEW2:JEW58 JOS2:JOS58 JYO2:JYO58 KIK2:KIK58 KSG2:KSG58 LCC2:LCC58 LLY2:LLY58 LVU2:LVU58 MFQ2:MFQ58 MPM2:MPM58 MZI2:MZI58 NJE2:NJE58 NTA2:NTA58 OCW2:OCW58 OMS2:OMS58 OWO2:OWO58 PGK2:PGK58 PQG2:PQG58 QAC2:QAC58 QJY2:QJY58 QTU2:QTU58 RDQ2:RDQ58 RNM2:RNM58 RXI2:RXI58 SHE2:SHE58 SRA2:SRA58 TAW2:TAW58 TKS2:TKS58 TUO2:TUO58 UEK2:UEK58 UOG2:UOG58 UYC2:UYC58 VHY2:VHY58 VRU2:VRU58 WBQ2:WBQ58 WLM2:WLM58 WVI2:WVI58" xr:uid="{53CF187F-5907-484A-B35B-C501EAAA12C7}">
      <formula1>$AE$2:$AE$16</formula1>
    </dataValidation>
    <dataValidation type="list" allowBlank="1" showInputMessage="1" showErrorMessage="1" sqref="WVO981790:WVO981879 WLS981790:WLS981879 WBW981790:WBW981879 VSA981790:VSA981879 VIE981790:VIE981879 UYI981790:UYI981879 UOM981790:UOM981879 UEQ981790:UEQ981879 TUU981790:TUU981879 TKY981790:TKY981879 TBC981790:TBC981879 SRG981790:SRG981879 SHK981790:SHK981879 RXO981790:RXO981879 RNS981790:RNS981879 RDW981790:RDW981879 QUA981790:QUA981879 QKE981790:QKE981879 QAI981790:QAI981879 PQM981790:PQM981879 PGQ981790:PGQ981879 OWU981790:OWU981879 OMY981790:OMY981879 ODC981790:ODC981879 NTG981790:NTG981879 NJK981790:NJK981879 MZO981790:MZO981879 MPS981790:MPS981879 MFW981790:MFW981879 LWA981790:LWA981879 LME981790:LME981879 LCI981790:LCI981879 KSM981790:KSM981879 KIQ981790:KIQ981879 JYU981790:JYU981879 JOY981790:JOY981879 JFC981790:JFC981879 IVG981790:IVG981879 ILK981790:ILK981879 IBO981790:IBO981879 HRS981790:HRS981879 HHW981790:HHW981879 GYA981790:GYA981879 GOE981790:GOE981879 GEI981790:GEI981879 FUM981790:FUM981879 FKQ981790:FKQ981879 FAU981790:FAU981879 EQY981790:EQY981879 EHC981790:EHC981879 DXG981790:DXG981879 DNK981790:DNK981879 DDO981790:DDO981879 CTS981790:CTS981879 CJW981790:CJW981879 CAA981790:CAA981879 BQE981790:BQE981879 BGI981790:BGI981879 AWM981790:AWM981879 AMQ981790:AMQ981879 ACU981790:ACU981879 SY981790:SY981879 JC981790:JC981879 G981799:G981888 WVO916254:WVO916343 WLS916254:WLS916343 WBW916254:WBW916343 VSA916254:VSA916343 VIE916254:VIE916343 UYI916254:UYI916343 UOM916254:UOM916343 UEQ916254:UEQ916343 TUU916254:TUU916343 TKY916254:TKY916343 TBC916254:TBC916343 SRG916254:SRG916343 SHK916254:SHK916343 RXO916254:RXO916343 RNS916254:RNS916343 RDW916254:RDW916343 QUA916254:QUA916343 QKE916254:QKE916343 QAI916254:QAI916343 PQM916254:PQM916343 PGQ916254:PGQ916343 OWU916254:OWU916343 OMY916254:OMY916343 ODC916254:ODC916343 NTG916254:NTG916343 NJK916254:NJK916343 MZO916254:MZO916343 MPS916254:MPS916343 MFW916254:MFW916343 LWA916254:LWA916343 LME916254:LME916343 LCI916254:LCI916343 KSM916254:KSM916343 KIQ916254:KIQ916343 JYU916254:JYU916343 JOY916254:JOY916343 JFC916254:JFC916343 IVG916254:IVG916343 ILK916254:ILK916343 IBO916254:IBO916343 HRS916254:HRS916343 HHW916254:HHW916343 GYA916254:GYA916343 GOE916254:GOE916343 GEI916254:GEI916343 FUM916254:FUM916343 FKQ916254:FKQ916343 FAU916254:FAU916343 EQY916254:EQY916343 EHC916254:EHC916343 DXG916254:DXG916343 DNK916254:DNK916343 DDO916254:DDO916343 CTS916254:CTS916343 CJW916254:CJW916343 CAA916254:CAA916343 BQE916254:BQE916343 BGI916254:BGI916343 AWM916254:AWM916343 AMQ916254:AMQ916343 ACU916254:ACU916343 SY916254:SY916343 JC916254:JC916343 G916263:G916352 WVO850718:WVO850807 WLS850718:WLS850807 WBW850718:WBW850807 VSA850718:VSA850807 VIE850718:VIE850807 UYI850718:UYI850807 UOM850718:UOM850807 UEQ850718:UEQ850807 TUU850718:TUU850807 TKY850718:TKY850807 TBC850718:TBC850807 SRG850718:SRG850807 SHK850718:SHK850807 RXO850718:RXO850807 RNS850718:RNS850807 RDW850718:RDW850807 QUA850718:QUA850807 QKE850718:QKE850807 QAI850718:QAI850807 PQM850718:PQM850807 PGQ850718:PGQ850807 OWU850718:OWU850807 OMY850718:OMY850807 ODC850718:ODC850807 NTG850718:NTG850807 NJK850718:NJK850807 MZO850718:MZO850807 MPS850718:MPS850807 MFW850718:MFW850807 LWA850718:LWA850807 LME850718:LME850807 LCI850718:LCI850807 KSM850718:KSM850807 KIQ850718:KIQ850807 JYU850718:JYU850807 JOY850718:JOY850807 JFC850718:JFC850807 IVG850718:IVG850807 ILK850718:ILK850807 IBO850718:IBO850807 HRS850718:HRS850807 HHW850718:HHW850807 GYA850718:GYA850807 GOE850718:GOE850807 GEI850718:GEI850807 FUM850718:FUM850807 FKQ850718:FKQ850807 FAU850718:FAU850807 EQY850718:EQY850807 EHC850718:EHC850807 DXG850718:DXG850807 DNK850718:DNK850807 DDO850718:DDO850807 CTS850718:CTS850807 CJW850718:CJW850807 CAA850718:CAA850807 BQE850718:BQE850807 BGI850718:BGI850807 AWM850718:AWM850807 AMQ850718:AMQ850807 ACU850718:ACU850807 SY850718:SY850807 JC850718:JC850807 G850727:G850816 WVO785182:WVO785271 WLS785182:WLS785271 WBW785182:WBW785271 VSA785182:VSA785271 VIE785182:VIE785271 UYI785182:UYI785271 UOM785182:UOM785271 UEQ785182:UEQ785271 TUU785182:TUU785271 TKY785182:TKY785271 TBC785182:TBC785271 SRG785182:SRG785271 SHK785182:SHK785271 RXO785182:RXO785271 RNS785182:RNS785271 RDW785182:RDW785271 QUA785182:QUA785271 QKE785182:QKE785271 QAI785182:QAI785271 PQM785182:PQM785271 PGQ785182:PGQ785271 OWU785182:OWU785271 OMY785182:OMY785271 ODC785182:ODC785271 NTG785182:NTG785271 NJK785182:NJK785271 MZO785182:MZO785271 MPS785182:MPS785271 MFW785182:MFW785271 LWA785182:LWA785271 LME785182:LME785271 LCI785182:LCI785271 KSM785182:KSM785271 KIQ785182:KIQ785271 JYU785182:JYU785271 JOY785182:JOY785271 JFC785182:JFC785271 IVG785182:IVG785271 ILK785182:ILK785271 IBO785182:IBO785271 HRS785182:HRS785271 HHW785182:HHW785271 GYA785182:GYA785271 GOE785182:GOE785271 GEI785182:GEI785271 FUM785182:FUM785271 FKQ785182:FKQ785271 FAU785182:FAU785271 EQY785182:EQY785271 EHC785182:EHC785271 DXG785182:DXG785271 DNK785182:DNK785271 DDO785182:DDO785271 CTS785182:CTS785271 CJW785182:CJW785271 CAA785182:CAA785271 BQE785182:BQE785271 BGI785182:BGI785271 AWM785182:AWM785271 AMQ785182:AMQ785271 ACU785182:ACU785271 SY785182:SY785271 JC785182:JC785271 G785191:G785280 WVO719646:WVO719735 WLS719646:WLS719735 WBW719646:WBW719735 VSA719646:VSA719735 VIE719646:VIE719735 UYI719646:UYI719735 UOM719646:UOM719735 UEQ719646:UEQ719735 TUU719646:TUU719735 TKY719646:TKY719735 TBC719646:TBC719735 SRG719646:SRG719735 SHK719646:SHK719735 RXO719646:RXO719735 RNS719646:RNS719735 RDW719646:RDW719735 QUA719646:QUA719735 QKE719646:QKE719735 QAI719646:QAI719735 PQM719646:PQM719735 PGQ719646:PGQ719735 OWU719646:OWU719735 OMY719646:OMY719735 ODC719646:ODC719735 NTG719646:NTG719735 NJK719646:NJK719735 MZO719646:MZO719735 MPS719646:MPS719735 MFW719646:MFW719735 LWA719646:LWA719735 LME719646:LME719735 LCI719646:LCI719735 KSM719646:KSM719735 KIQ719646:KIQ719735 JYU719646:JYU719735 JOY719646:JOY719735 JFC719646:JFC719735 IVG719646:IVG719735 ILK719646:ILK719735 IBO719646:IBO719735 HRS719646:HRS719735 HHW719646:HHW719735 GYA719646:GYA719735 GOE719646:GOE719735 GEI719646:GEI719735 FUM719646:FUM719735 FKQ719646:FKQ719735 FAU719646:FAU719735 EQY719646:EQY719735 EHC719646:EHC719735 DXG719646:DXG719735 DNK719646:DNK719735 DDO719646:DDO719735 CTS719646:CTS719735 CJW719646:CJW719735 CAA719646:CAA719735 BQE719646:BQE719735 BGI719646:BGI719735 AWM719646:AWM719735 AMQ719646:AMQ719735 ACU719646:ACU719735 SY719646:SY719735 JC719646:JC719735 G719655:G719744 WVO654110:WVO654199 WLS654110:WLS654199 WBW654110:WBW654199 VSA654110:VSA654199 VIE654110:VIE654199 UYI654110:UYI654199 UOM654110:UOM654199 UEQ654110:UEQ654199 TUU654110:TUU654199 TKY654110:TKY654199 TBC654110:TBC654199 SRG654110:SRG654199 SHK654110:SHK654199 RXO654110:RXO654199 RNS654110:RNS654199 RDW654110:RDW654199 QUA654110:QUA654199 QKE654110:QKE654199 QAI654110:QAI654199 PQM654110:PQM654199 PGQ654110:PGQ654199 OWU654110:OWU654199 OMY654110:OMY654199 ODC654110:ODC654199 NTG654110:NTG654199 NJK654110:NJK654199 MZO654110:MZO654199 MPS654110:MPS654199 MFW654110:MFW654199 LWA654110:LWA654199 LME654110:LME654199 LCI654110:LCI654199 KSM654110:KSM654199 KIQ654110:KIQ654199 JYU654110:JYU654199 JOY654110:JOY654199 JFC654110:JFC654199 IVG654110:IVG654199 ILK654110:ILK654199 IBO654110:IBO654199 HRS654110:HRS654199 HHW654110:HHW654199 GYA654110:GYA654199 GOE654110:GOE654199 GEI654110:GEI654199 FUM654110:FUM654199 FKQ654110:FKQ654199 FAU654110:FAU654199 EQY654110:EQY654199 EHC654110:EHC654199 DXG654110:DXG654199 DNK654110:DNK654199 DDO654110:DDO654199 CTS654110:CTS654199 CJW654110:CJW654199 CAA654110:CAA654199 BQE654110:BQE654199 BGI654110:BGI654199 AWM654110:AWM654199 AMQ654110:AMQ654199 ACU654110:ACU654199 SY654110:SY654199 JC654110:JC654199 G654119:G654208 WVO588574:WVO588663 WLS588574:WLS588663 WBW588574:WBW588663 VSA588574:VSA588663 VIE588574:VIE588663 UYI588574:UYI588663 UOM588574:UOM588663 UEQ588574:UEQ588663 TUU588574:TUU588663 TKY588574:TKY588663 TBC588574:TBC588663 SRG588574:SRG588663 SHK588574:SHK588663 RXO588574:RXO588663 RNS588574:RNS588663 RDW588574:RDW588663 QUA588574:QUA588663 QKE588574:QKE588663 QAI588574:QAI588663 PQM588574:PQM588663 PGQ588574:PGQ588663 OWU588574:OWU588663 OMY588574:OMY588663 ODC588574:ODC588663 NTG588574:NTG588663 NJK588574:NJK588663 MZO588574:MZO588663 MPS588574:MPS588663 MFW588574:MFW588663 LWA588574:LWA588663 LME588574:LME588663 LCI588574:LCI588663 KSM588574:KSM588663 KIQ588574:KIQ588663 JYU588574:JYU588663 JOY588574:JOY588663 JFC588574:JFC588663 IVG588574:IVG588663 ILK588574:ILK588663 IBO588574:IBO588663 HRS588574:HRS588663 HHW588574:HHW588663 GYA588574:GYA588663 GOE588574:GOE588663 GEI588574:GEI588663 FUM588574:FUM588663 FKQ588574:FKQ588663 FAU588574:FAU588663 EQY588574:EQY588663 EHC588574:EHC588663 DXG588574:DXG588663 DNK588574:DNK588663 DDO588574:DDO588663 CTS588574:CTS588663 CJW588574:CJW588663 CAA588574:CAA588663 BQE588574:BQE588663 BGI588574:BGI588663 AWM588574:AWM588663 AMQ588574:AMQ588663 ACU588574:ACU588663 SY588574:SY588663 JC588574:JC588663 G588583:G588672 WVO523038:WVO523127 WLS523038:WLS523127 WBW523038:WBW523127 VSA523038:VSA523127 VIE523038:VIE523127 UYI523038:UYI523127 UOM523038:UOM523127 UEQ523038:UEQ523127 TUU523038:TUU523127 TKY523038:TKY523127 TBC523038:TBC523127 SRG523038:SRG523127 SHK523038:SHK523127 RXO523038:RXO523127 RNS523038:RNS523127 RDW523038:RDW523127 QUA523038:QUA523127 QKE523038:QKE523127 QAI523038:QAI523127 PQM523038:PQM523127 PGQ523038:PGQ523127 OWU523038:OWU523127 OMY523038:OMY523127 ODC523038:ODC523127 NTG523038:NTG523127 NJK523038:NJK523127 MZO523038:MZO523127 MPS523038:MPS523127 MFW523038:MFW523127 LWA523038:LWA523127 LME523038:LME523127 LCI523038:LCI523127 KSM523038:KSM523127 KIQ523038:KIQ523127 JYU523038:JYU523127 JOY523038:JOY523127 JFC523038:JFC523127 IVG523038:IVG523127 ILK523038:ILK523127 IBO523038:IBO523127 HRS523038:HRS523127 HHW523038:HHW523127 GYA523038:GYA523127 GOE523038:GOE523127 GEI523038:GEI523127 FUM523038:FUM523127 FKQ523038:FKQ523127 FAU523038:FAU523127 EQY523038:EQY523127 EHC523038:EHC523127 DXG523038:DXG523127 DNK523038:DNK523127 DDO523038:DDO523127 CTS523038:CTS523127 CJW523038:CJW523127 CAA523038:CAA523127 BQE523038:BQE523127 BGI523038:BGI523127 AWM523038:AWM523127 AMQ523038:AMQ523127 ACU523038:ACU523127 SY523038:SY523127 JC523038:JC523127 G523047:G523136 WVO457502:WVO457591 WLS457502:WLS457591 WBW457502:WBW457591 VSA457502:VSA457591 VIE457502:VIE457591 UYI457502:UYI457591 UOM457502:UOM457591 UEQ457502:UEQ457591 TUU457502:TUU457591 TKY457502:TKY457591 TBC457502:TBC457591 SRG457502:SRG457591 SHK457502:SHK457591 RXO457502:RXO457591 RNS457502:RNS457591 RDW457502:RDW457591 QUA457502:QUA457591 QKE457502:QKE457591 QAI457502:QAI457591 PQM457502:PQM457591 PGQ457502:PGQ457591 OWU457502:OWU457591 OMY457502:OMY457591 ODC457502:ODC457591 NTG457502:NTG457591 NJK457502:NJK457591 MZO457502:MZO457591 MPS457502:MPS457591 MFW457502:MFW457591 LWA457502:LWA457591 LME457502:LME457591 LCI457502:LCI457591 KSM457502:KSM457591 KIQ457502:KIQ457591 JYU457502:JYU457591 JOY457502:JOY457591 JFC457502:JFC457591 IVG457502:IVG457591 ILK457502:ILK457591 IBO457502:IBO457591 HRS457502:HRS457591 HHW457502:HHW457591 GYA457502:GYA457591 GOE457502:GOE457591 GEI457502:GEI457591 FUM457502:FUM457591 FKQ457502:FKQ457591 FAU457502:FAU457591 EQY457502:EQY457591 EHC457502:EHC457591 DXG457502:DXG457591 DNK457502:DNK457591 DDO457502:DDO457591 CTS457502:CTS457591 CJW457502:CJW457591 CAA457502:CAA457591 BQE457502:BQE457591 BGI457502:BGI457591 AWM457502:AWM457591 AMQ457502:AMQ457591 ACU457502:ACU457591 SY457502:SY457591 JC457502:JC457591 G457511:G457600 WVO391966:WVO392055 WLS391966:WLS392055 WBW391966:WBW392055 VSA391966:VSA392055 VIE391966:VIE392055 UYI391966:UYI392055 UOM391966:UOM392055 UEQ391966:UEQ392055 TUU391966:TUU392055 TKY391966:TKY392055 TBC391966:TBC392055 SRG391966:SRG392055 SHK391966:SHK392055 RXO391966:RXO392055 RNS391966:RNS392055 RDW391966:RDW392055 QUA391966:QUA392055 QKE391966:QKE392055 QAI391966:QAI392055 PQM391966:PQM392055 PGQ391966:PGQ392055 OWU391966:OWU392055 OMY391966:OMY392055 ODC391966:ODC392055 NTG391966:NTG392055 NJK391966:NJK392055 MZO391966:MZO392055 MPS391966:MPS392055 MFW391966:MFW392055 LWA391966:LWA392055 LME391966:LME392055 LCI391966:LCI392055 KSM391966:KSM392055 KIQ391966:KIQ392055 JYU391966:JYU392055 JOY391966:JOY392055 JFC391966:JFC392055 IVG391966:IVG392055 ILK391966:ILK392055 IBO391966:IBO392055 HRS391966:HRS392055 HHW391966:HHW392055 GYA391966:GYA392055 GOE391966:GOE392055 GEI391966:GEI392055 FUM391966:FUM392055 FKQ391966:FKQ392055 FAU391966:FAU392055 EQY391966:EQY392055 EHC391966:EHC392055 DXG391966:DXG392055 DNK391966:DNK392055 DDO391966:DDO392055 CTS391966:CTS392055 CJW391966:CJW392055 CAA391966:CAA392055 BQE391966:BQE392055 BGI391966:BGI392055 AWM391966:AWM392055 AMQ391966:AMQ392055 ACU391966:ACU392055 SY391966:SY392055 JC391966:JC392055 G391975:G392064 WVO326430:WVO326519 WLS326430:WLS326519 WBW326430:WBW326519 VSA326430:VSA326519 VIE326430:VIE326519 UYI326430:UYI326519 UOM326430:UOM326519 UEQ326430:UEQ326519 TUU326430:TUU326519 TKY326430:TKY326519 TBC326430:TBC326519 SRG326430:SRG326519 SHK326430:SHK326519 RXO326430:RXO326519 RNS326430:RNS326519 RDW326430:RDW326519 QUA326430:QUA326519 QKE326430:QKE326519 QAI326430:QAI326519 PQM326430:PQM326519 PGQ326430:PGQ326519 OWU326430:OWU326519 OMY326430:OMY326519 ODC326430:ODC326519 NTG326430:NTG326519 NJK326430:NJK326519 MZO326430:MZO326519 MPS326430:MPS326519 MFW326430:MFW326519 LWA326430:LWA326519 LME326430:LME326519 LCI326430:LCI326519 KSM326430:KSM326519 KIQ326430:KIQ326519 JYU326430:JYU326519 JOY326430:JOY326519 JFC326430:JFC326519 IVG326430:IVG326519 ILK326430:ILK326519 IBO326430:IBO326519 HRS326430:HRS326519 HHW326430:HHW326519 GYA326430:GYA326519 GOE326430:GOE326519 GEI326430:GEI326519 FUM326430:FUM326519 FKQ326430:FKQ326519 FAU326430:FAU326519 EQY326430:EQY326519 EHC326430:EHC326519 DXG326430:DXG326519 DNK326430:DNK326519 DDO326430:DDO326519 CTS326430:CTS326519 CJW326430:CJW326519 CAA326430:CAA326519 BQE326430:BQE326519 BGI326430:BGI326519 AWM326430:AWM326519 AMQ326430:AMQ326519 ACU326430:ACU326519 SY326430:SY326519 JC326430:JC326519 G326439:G326528 WVO260894:WVO260983 WLS260894:WLS260983 WBW260894:WBW260983 VSA260894:VSA260983 VIE260894:VIE260983 UYI260894:UYI260983 UOM260894:UOM260983 UEQ260894:UEQ260983 TUU260894:TUU260983 TKY260894:TKY260983 TBC260894:TBC260983 SRG260894:SRG260983 SHK260894:SHK260983 RXO260894:RXO260983 RNS260894:RNS260983 RDW260894:RDW260983 QUA260894:QUA260983 QKE260894:QKE260983 QAI260894:QAI260983 PQM260894:PQM260983 PGQ260894:PGQ260983 OWU260894:OWU260983 OMY260894:OMY260983 ODC260894:ODC260983 NTG260894:NTG260983 NJK260894:NJK260983 MZO260894:MZO260983 MPS260894:MPS260983 MFW260894:MFW260983 LWA260894:LWA260983 LME260894:LME260983 LCI260894:LCI260983 KSM260894:KSM260983 KIQ260894:KIQ260983 JYU260894:JYU260983 JOY260894:JOY260983 JFC260894:JFC260983 IVG260894:IVG260983 ILK260894:ILK260983 IBO260894:IBO260983 HRS260894:HRS260983 HHW260894:HHW260983 GYA260894:GYA260983 GOE260894:GOE260983 GEI260894:GEI260983 FUM260894:FUM260983 FKQ260894:FKQ260983 FAU260894:FAU260983 EQY260894:EQY260983 EHC260894:EHC260983 DXG260894:DXG260983 DNK260894:DNK260983 DDO260894:DDO260983 CTS260894:CTS260983 CJW260894:CJW260983 CAA260894:CAA260983 BQE260894:BQE260983 BGI260894:BGI260983 AWM260894:AWM260983 AMQ260894:AMQ260983 ACU260894:ACU260983 SY260894:SY260983 JC260894:JC260983 G260903:G260992 WVO195358:WVO195447 WLS195358:WLS195447 WBW195358:WBW195447 VSA195358:VSA195447 VIE195358:VIE195447 UYI195358:UYI195447 UOM195358:UOM195447 UEQ195358:UEQ195447 TUU195358:TUU195447 TKY195358:TKY195447 TBC195358:TBC195447 SRG195358:SRG195447 SHK195358:SHK195447 RXO195358:RXO195447 RNS195358:RNS195447 RDW195358:RDW195447 QUA195358:QUA195447 QKE195358:QKE195447 QAI195358:QAI195447 PQM195358:PQM195447 PGQ195358:PGQ195447 OWU195358:OWU195447 OMY195358:OMY195447 ODC195358:ODC195447 NTG195358:NTG195447 NJK195358:NJK195447 MZO195358:MZO195447 MPS195358:MPS195447 MFW195358:MFW195447 LWA195358:LWA195447 LME195358:LME195447 LCI195358:LCI195447 KSM195358:KSM195447 KIQ195358:KIQ195447 JYU195358:JYU195447 JOY195358:JOY195447 JFC195358:JFC195447 IVG195358:IVG195447 ILK195358:ILK195447 IBO195358:IBO195447 HRS195358:HRS195447 HHW195358:HHW195447 GYA195358:GYA195447 GOE195358:GOE195447 GEI195358:GEI195447 FUM195358:FUM195447 FKQ195358:FKQ195447 FAU195358:FAU195447 EQY195358:EQY195447 EHC195358:EHC195447 DXG195358:DXG195447 DNK195358:DNK195447 DDO195358:DDO195447 CTS195358:CTS195447 CJW195358:CJW195447 CAA195358:CAA195447 BQE195358:BQE195447 BGI195358:BGI195447 AWM195358:AWM195447 AMQ195358:AMQ195447 ACU195358:ACU195447 SY195358:SY195447 JC195358:JC195447 G195367:G195456 WVO129822:WVO129911 WLS129822:WLS129911 WBW129822:WBW129911 VSA129822:VSA129911 VIE129822:VIE129911 UYI129822:UYI129911 UOM129822:UOM129911 UEQ129822:UEQ129911 TUU129822:TUU129911 TKY129822:TKY129911 TBC129822:TBC129911 SRG129822:SRG129911 SHK129822:SHK129911 RXO129822:RXO129911 RNS129822:RNS129911 RDW129822:RDW129911 QUA129822:QUA129911 QKE129822:QKE129911 QAI129822:QAI129911 PQM129822:PQM129911 PGQ129822:PGQ129911 OWU129822:OWU129911 OMY129822:OMY129911 ODC129822:ODC129911 NTG129822:NTG129911 NJK129822:NJK129911 MZO129822:MZO129911 MPS129822:MPS129911 MFW129822:MFW129911 LWA129822:LWA129911 LME129822:LME129911 LCI129822:LCI129911 KSM129822:KSM129911 KIQ129822:KIQ129911 JYU129822:JYU129911 JOY129822:JOY129911 JFC129822:JFC129911 IVG129822:IVG129911 ILK129822:ILK129911 IBO129822:IBO129911 HRS129822:HRS129911 HHW129822:HHW129911 GYA129822:GYA129911 GOE129822:GOE129911 GEI129822:GEI129911 FUM129822:FUM129911 FKQ129822:FKQ129911 FAU129822:FAU129911 EQY129822:EQY129911 EHC129822:EHC129911 DXG129822:DXG129911 DNK129822:DNK129911 DDO129822:DDO129911 CTS129822:CTS129911 CJW129822:CJW129911 CAA129822:CAA129911 BQE129822:BQE129911 BGI129822:BGI129911 AWM129822:AWM129911 AMQ129822:AMQ129911 ACU129822:ACU129911 SY129822:SY129911 JC129822:JC129911 G129831:G129920 WVO64286:WVO64375 WLS64286:WLS64375 WBW64286:WBW64375 VSA64286:VSA64375 VIE64286:VIE64375 UYI64286:UYI64375 UOM64286:UOM64375 UEQ64286:UEQ64375 TUU64286:TUU64375 TKY64286:TKY64375 TBC64286:TBC64375 SRG64286:SRG64375 SHK64286:SHK64375 RXO64286:RXO64375 RNS64286:RNS64375 RDW64286:RDW64375 QUA64286:QUA64375 QKE64286:QKE64375 QAI64286:QAI64375 PQM64286:PQM64375 PGQ64286:PGQ64375 OWU64286:OWU64375 OMY64286:OMY64375 ODC64286:ODC64375 NTG64286:NTG64375 NJK64286:NJK64375 MZO64286:MZO64375 MPS64286:MPS64375 MFW64286:MFW64375 LWA64286:LWA64375 LME64286:LME64375 LCI64286:LCI64375 KSM64286:KSM64375 KIQ64286:KIQ64375 JYU64286:JYU64375 JOY64286:JOY64375 JFC64286:JFC64375 IVG64286:IVG64375 ILK64286:ILK64375 IBO64286:IBO64375 HRS64286:HRS64375 HHW64286:HHW64375 GYA64286:GYA64375 GOE64286:GOE64375 GEI64286:GEI64375 FUM64286:FUM64375 FKQ64286:FKQ64375 FAU64286:FAU64375 EQY64286:EQY64375 EHC64286:EHC64375 DXG64286:DXG64375 DNK64286:DNK64375 DDO64286:DDO64375 CTS64286:CTS64375 CJW64286:CJW64375 CAA64286:CAA64375 BQE64286:BQE64375 BGI64286:BGI64375 AWM64286:AWM64375 AMQ64286:AMQ64375 ACU64286:ACU64375 SY64286:SY64375 JC64286:JC64375 G64295:G64384 G81:G485 G2:G79 SY2:SY58 ACU2:ACU58 AMQ2:AMQ58 AWM2:AWM58 BGI2:BGI58 BQE2:BQE58 CAA2:CAA58 CJW2:CJW58 CTS2:CTS58 DDO2:DDO58 DNK2:DNK58 DXG2:DXG58 EHC2:EHC58 EQY2:EQY58 FAU2:FAU58 FKQ2:FKQ58 FUM2:FUM58 GEI2:GEI58 GOE2:GOE58 GYA2:GYA58 HHW2:HHW58 HRS2:HRS58 IBO2:IBO58 ILK2:ILK58 IVG2:IVG58 JFC2:JFC58 JOY2:JOY58 JYU2:JYU58 KIQ2:KIQ58 KSM2:KSM58 LCI2:LCI58 LME2:LME58 LWA2:LWA58 MFW2:MFW58 MPS2:MPS58 MZO2:MZO58 NJK2:NJK58 NTG2:NTG58 ODC2:ODC58 OMY2:OMY58 OWU2:OWU58 PGQ2:PGQ58 PQM2:PQM58 QAI2:QAI58 QKE2:QKE58 QUA2:QUA58 RDW2:RDW58 RNS2:RNS58 RXO2:RXO58 SHK2:SHK58 SRG2:SRG58 TBC2:TBC58 TKY2:TKY58 TUU2:TUU58 UEQ2:UEQ58 UOM2:UOM58 UYI2:UYI58 VIE2:VIE58 VSA2:VSA58 WBW2:WBW58 WLS2:WLS58 WVO2:WVO58 JC2:JC58" xr:uid="{79C06F29-6EF1-475C-A4C0-7564D8755F37}">
      <formula1>$AJ$2:$AJ$4</formula1>
    </dataValidation>
    <dataValidation type="list" allowBlank="1" showInputMessage="1" showErrorMessage="1" sqref="WVP981790:WVP981879 H64307:H64396 JD64286:JD64375 SZ64286:SZ64375 ACV64286:ACV64375 AMR64286:AMR64375 AWN64286:AWN64375 BGJ64286:BGJ64375 BQF64286:BQF64375 CAB64286:CAB64375 CJX64286:CJX64375 CTT64286:CTT64375 DDP64286:DDP64375 DNL64286:DNL64375 DXH64286:DXH64375 EHD64286:EHD64375 EQZ64286:EQZ64375 FAV64286:FAV64375 FKR64286:FKR64375 FUN64286:FUN64375 GEJ64286:GEJ64375 GOF64286:GOF64375 GYB64286:GYB64375 HHX64286:HHX64375 HRT64286:HRT64375 IBP64286:IBP64375 ILL64286:ILL64375 IVH64286:IVH64375 JFD64286:JFD64375 JOZ64286:JOZ64375 JYV64286:JYV64375 KIR64286:KIR64375 KSN64286:KSN64375 LCJ64286:LCJ64375 LMF64286:LMF64375 LWB64286:LWB64375 MFX64286:MFX64375 MPT64286:MPT64375 MZP64286:MZP64375 NJL64286:NJL64375 NTH64286:NTH64375 ODD64286:ODD64375 OMZ64286:OMZ64375 OWV64286:OWV64375 PGR64286:PGR64375 PQN64286:PQN64375 QAJ64286:QAJ64375 QKF64286:QKF64375 QUB64286:QUB64375 RDX64286:RDX64375 RNT64286:RNT64375 RXP64286:RXP64375 SHL64286:SHL64375 SRH64286:SRH64375 TBD64286:TBD64375 TKZ64286:TKZ64375 TUV64286:TUV64375 UER64286:UER64375 UON64286:UON64375 UYJ64286:UYJ64375 VIF64286:VIF64375 VSB64286:VSB64375 WBX64286:WBX64375 WLT64286:WLT64375 WVP64286:WVP64375 H129843:H129932 JD129822:JD129911 SZ129822:SZ129911 ACV129822:ACV129911 AMR129822:AMR129911 AWN129822:AWN129911 BGJ129822:BGJ129911 BQF129822:BQF129911 CAB129822:CAB129911 CJX129822:CJX129911 CTT129822:CTT129911 DDP129822:DDP129911 DNL129822:DNL129911 DXH129822:DXH129911 EHD129822:EHD129911 EQZ129822:EQZ129911 FAV129822:FAV129911 FKR129822:FKR129911 FUN129822:FUN129911 GEJ129822:GEJ129911 GOF129822:GOF129911 GYB129822:GYB129911 HHX129822:HHX129911 HRT129822:HRT129911 IBP129822:IBP129911 ILL129822:ILL129911 IVH129822:IVH129911 JFD129822:JFD129911 JOZ129822:JOZ129911 JYV129822:JYV129911 KIR129822:KIR129911 KSN129822:KSN129911 LCJ129822:LCJ129911 LMF129822:LMF129911 LWB129822:LWB129911 MFX129822:MFX129911 MPT129822:MPT129911 MZP129822:MZP129911 NJL129822:NJL129911 NTH129822:NTH129911 ODD129822:ODD129911 OMZ129822:OMZ129911 OWV129822:OWV129911 PGR129822:PGR129911 PQN129822:PQN129911 QAJ129822:QAJ129911 QKF129822:QKF129911 QUB129822:QUB129911 RDX129822:RDX129911 RNT129822:RNT129911 RXP129822:RXP129911 SHL129822:SHL129911 SRH129822:SRH129911 TBD129822:TBD129911 TKZ129822:TKZ129911 TUV129822:TUV129911 UER129822:UER129911 UON129822:UON129911 UYJ129822:UYJ129911 VIF129822:VIF129911 VSB129822:VSB129911 WBX129822:WBX129911 WLT129822:WLT129911 WVP129822:WVP129911 H195379:H195468 JD195358:JD195447 SZ195358:SZ195447 ACV195358:ACV195447 AMR195358:AMR195447 AWN195358:AWN195447 BGJ195358:BGJ195447 BQF195358:BQF195447 CAB195358:CAB195447 CJX195358:CJX195447 CTT195358:CTT195447 DDP195358:DDP195447 DNL195358:DNL195447 DXH195358:DXH195447 EHD195358:EHD195447 EQZ195358:EQZ195447 FAV195358:FAV195447 FKR195358:FKR195447 FUN195358:FUN195447 GEJ195358:GEJ195447 GOF195358:GOF195447 GYB195358:GYB195447 HHX195358:HHX195447 HRT195358:HRT195447 IBP195358:IBP195447 ILL195358:ILL195447 IVH195358:IVH195447 JFD195358:JFD195447 JOZ195358:JOZ195447 JYV195358:JYV195447 KIR195358:KIR195447 KSN195358:KSN195447 LCJ195358:LCJ195447 LMF195358:LMF195447 LWB195358:LWB195447 MFX195358:MFX195447 MPT195358:MPT195447 MZP195358:MZP195447 NJL195358:NJL195447 NTH195358:NTH195447 ODD195358:ODD195447 OMZ195358:OMZ195447 OWV195358:OWV195447 PGR195358:PGR195447 PQN195358:PQN195447 QAJ195358:QAJ195447 QKF195358:QKF195447 QUB195358:QUB195447 RDX195358:RDX195447 RNT195358:RNT195447 RXP195358:RXP195447 SHL195358:SHL195447 SRH195358:SRH195447 TBD195358:TBD195447 TKZ195358:TKZ195447 TUV195358:TUV195447 UER195358:UER195447 UON195358:UON195447 UYJ195358:UYJ195447 VIF195358:VIF195447 VSB195358:VSB195447 WBX195358:WBX195447 WLT195358:WLT195447 WVP195358:WVP195447 H260915:H261004 JD260894:JD260983 SZ260894:SZ260983 ACV260894:ACV260983 AMR260894:AMR260983 AWN260894:AWN260983 BGJ260894:BGJ260983 BQF260894:BQF260983 CAB260894:CAB260983 CJX260894:CJX260983 CTT260894:CTT260983 DDP260894:DDP260983 DNL260894:DNL260983 DXH260894:DXH260983 EHD260894:EHD260983 EQZ260894:EQZ260983 FAV260894:FAV260983 FKR260894:FKR260983 FUN260894:FUN260983 GEJ260894:GEJ260983 GOF260894:GOF260983 GYB260894:GYB260983 HHX260894:HHX260983 HRT260894:HRT260983 IBP260894:IBP260983 ILL260894:ILL260983 IVH260894:IVH260983 JFD260894:JFD260983 JOZ260894:JOZ260983 JYV260894:JYV260983 KIR260894:KIR260983 KSN260894:KSN260983 LCJ260894:LCJ260983 LMF260894:LMF260983 LWB260894:LWB260983 MFX260894:MFX260983 MPT260894:MPT260983 MZP260894:MZP260983 NJL260894:NJL260983 NTH260894:NTH260983 ODD260894:ODD260983 OMZ260894:OMZ260983 OWV260894:OWV260983 PGR260894:PGR260983 PQN260894:PQN260983 QAJ260894:QAJ260983 QKF260894:QKF260983 QUB260894:QUB260983 RDX260894:RDX260983 RNT260894:RNT260983 RXP260894:RXP260983 SHL260894:SHL260983 SRH260894:SRH260983 TBD260894:TBD260983 TKZ260894:TKZ260983 TUV260894:TUV260983 UER260894:UER260983 UON260894:UON260983 UYJ260894:UYJ260983 VIF260894:VIF260983 VSB260894:VSB260983 WBX260894:WBX260983 WLT260894:WLT260983 WVP260894:WVP260983 H326451:H326540 JD326430:JD326519 SZ326430:SZ326519 ACV326430:ACV326519 AMR326430:AMR326519 AWN326430:AWN326519 BGJ326430:BGJ326519 BQF326430:BQF326519 CAB326430:CAB326519 CJX326430:CJX326519 CTT326430:CTT326519 DDP326430:DDP326519 DNL326430:DNL326519 DXH326430:DXH326519 EHD326430:EHD326519 EQZ326430:EQZ326519 FAV326430:FAV326519 FKR326430:FKR326519 FUN326430:FUN326519 GEJ326430:GEJ326519 GOF326430:GOF326519 GYB326430:GYB326519 HHX326430:HHX326519 HRT326430:HRT326519 IBP326430:IBP326519 ILL326430:ILL326519 IVH326430:IVH326519 JFD326430:JFD326519 JOZ326430:JOZ326519 JYV326430:JYV326519 KIR326430:KIR326519 KSN326430:KSN326519 LCJ326430:LCJ326519 LMF326430:LMF326519 LWB326430:LWB326519 MFX326430:MFX326519 MPT326430:MPT326519 MZP326430:MZP326519 NJL326430:NJL326519 NTH326430:NTH326519 ODD326430:ODD326519 OMZ326430:OMZ326519 OWV326430:OWV326519 PGR326430:PGR326519 PQN326430:PQN326519 QAJ326430:QAJ326519 QKF326430:QKF326519 QUB326430:QUB326519 RDX326430:RDX326519 RNT326430:RNT326519 RXP326430:RXP326519 SHL326430:SHL326519 SRH326430:SRH326519 TBD326430:TBD326519 TKZ326430:TKZ326519 TUV326430:TUV326519 UER326430:UER326519 UON326430:UON326519 UYJ326430:UYJ326519 VIF326430:VIF326519 VSB326430:VSB326519 WBX326430:WBX326519 WLT326430:WLT326519 WVP326430:WVP326519 H391987:H392076 JD391966:JD392055 SZ391966:SZ392055 ACV391966:ACV392055 AMR391966:AMR392055 AWN391966:AWN392055 BGJ391966:BGJ392055 BQF391966:BQF392055 CAB391966:CAB392055 CJX391966:CJX392055 CTT391966:CTT392055 DDP391966:DDP392055 DNL391966:DNL392055 DXH391966:DXH392055 EHD391966:EHD392055 EQZ391966:EQZ392055 FAV391966:FAV392055 FKR391966:FKR392055 FUN391966:FUN392055 GEJ391966:GEJ392055 GOF391966:GOF392055 GYB391966:GYB392055 HHX391966:HHX392055 HRT391966:HRT392055 IBP391966:IBP392055 ILL391966:ILL392055 IVH391966:IVH392055 JFD391966:JFD392055 JOZ391966:JOZ392055 JYV391966:JYV392055 KIR391966:KIR392055 KSN391966:KSN392055 LCJ391966:LCJ392055 LMF391966:LMF392055 LWB391966:LWB392055 MFX391966:MFX392055 MPT391966:MPT392055 MZP391966:MZP392055 NJL391966:NJL392055 NTH391966:NTH392055 ODD391966:ODD392055 OMZ391966:OMZ392055 OWV391966:OWV392055 PGR391966:PGR392055 PQN391966:PQN392055 QAJ391966:QAJ392055 QKF391966:QKF392055 QUB391966:QUB392055 RDX391966:RDX392055 RNT391966:RNT392055 RXP391966:RXP392055 SHL391966:SHL392055 SRH391966:SRH392055 TBD391966:TBD392055 TKZ391966:TKZ392055 TUV391966:TUV392055 UER391966:UER392055 UON391966:UON392055 UYJ391966:UYJ392055 VIF391966:VIF392055 VSB391966:VSB392055 WBX391966:WBX392055 WLT391966:WLT392055 WVP391966:WVP392055 H457523:H457612 JD457502:JD457591 SZ457502:SZ457591 ACV457502:ACV457591 AMR457502:AMR457591 AWN457502:AWN457591 BGJ457502:BGJ457591 BQF457502:BQF457591 CAB457502:CAB457591 CJX457502:CJX457591 CTT457502:CTT457591 DDP457502:DDP457591 DNL457502:DNL457591 DXH457502:DXH457591 EHD457502:EHD457591 EQZ457502:EQZ457591 FAV457502:FAV457591 FKR457502:FKR457591 FUN457502:FUN457591 GEJ457502:GEJ457591 GOF457502:GOF457591 GYB457502:GYB457591 HHX457502:HHX457591 HRT457502:HRT457591 IBP457502:IBP457591 ILL457502:ILL457591 IVH457502:IVH457591 JFD457502:JFD457591 JOZ457502:JOZ457591 JYV457502:JYV457591 KIR457502:KIR457591 KSN457502:KSN457591 LCJ457502:LCJ457591 LMF457502:LMF457591 LWB457502:LWB457591 MFX457502:MFX457591 MPT457502:MPT457591 MZP457502:MZP457591 NJL457502:NJL457591 NTH457502:NTH457591 ODD457502:ODD457591 OMZ457502:OMZ457591 OWV457502:OWV457591 PGR457502:PGR457591 PQN457502:PQN457591 QAJ457502:QAJ457591 QKF457502:QKF457591 QUB457502:QUB457591 RDX457502:RDX457591 RNT457502:RNT457591 RXP457502:RXP457591 SHL457502:SHL457591 SRH457502:SRH457591 TBD457502:TBD457591 TKZ457502:TKZ457591 TUV457502:TUV457591 UER457502:UER457591 UON457502:UON457591 UYJ457502:UYJ457591 VIF457502:VIF457591 VSB457502:VSB457591 WBX457502:WBX457591 WLT457502:WLT457591 WVP457502:WVP457591 H523059:H523148 JD523038:JD523127 SZ523038:SZ523127 ACV523038:ACV523127 AMR523038:AMR523127 AWN523038:AWN523127 BGJ523038:BGJ523127 BQF523038:BQF523127 CAB523038:CAB523127 CJX523038:CJX523127 CTT523038:CTT523127 DDP523038:DDP523127 DNL523038:DNL523127 DXH523038:DXH523127 EHD523038:EHD523127 EQZ523038:EQZ523127 FAV523038:FAV523127 FKR523038:FKR523127 FUN523038:FUN523127 GEJ523038:GEJ523127 GOF523038:GOF523127 GYB523038:GYB523127 HHX523038:HHX523127 HRT523038:HRT523127 IBP523038:IBP523127 ILL523038:ILL523127 IVH523038:IVH523127 JFD523038:JFD523127 JOZ523038:JOZ523127 JYV523038:JYV523127 KIR523038:KIR523127 KSN523038:KSN523127 LCJ523038:LCJ523127 LMF523038:LMF523127 LWB523038:LWB523127 MFX523038:MFX523127 MPT523038:MPT523127 MZP523038:MZP523127 NJL523038:NJL523127 NTH523038:NTH523127 ODD523038:ODD523127 OMZ523038:OMZ523127 OWV523038:OWV523127 PGR523038:PGR523127 PQN523038:PQN523127 QAJ523038:QAJ523127 QKF523038:QKF523127 QUB523038:QUB523127 RDX523038:RDX523127 RNT523038:RNT523127 RXP523038:RXP523127 SHL523038:SHL523127 SRH523038:SRH523127 TBD523038:TBD523127 TKZ523038:TKZ523127 TUV523038:TUV523127 UER523038:UER523127 UON523038:UON523127 UYJ523038:UYJ523127 VIF523038:VIF523127 VSB523038:VSB523127 WBX523038:WBX523127 WLT523038:WLT523127 WVP523038:WVP523127 H588595:H588684 JD588574:JD588663 SZ588574:SZ588663 ACV588574:ACV588663 AMR588574:AMR588663 AWN588574:AWN588663 BGJ588574:BGJ588663 BQF588574:BQF588663 CAB588574:CAB588663 CJX588574:CJX588663 CTT588574:CTT588663 DDP588574:DDP588663 DNL588574:DNL588663 DXH588574:DXH588663 EHD588574:EHD588663 EQZ588574:EQZ588663 FAV588574:FAV588663 FKR588574:FKR588663 FUN588574:FUN588663 GEJ588574:GEJ588663 GOF588574:GOF588663 GYB588574:GYB588663 HHX588574:HHX588663 HRT588574:HRT588663 IBP588574:IBP588663 ILL588574:ILL588663 IVH588574:IVH588663 JFD588574:JFD588663 JOZ588574:JOZ588663 JYV588574:JYV588663 KIR588574:KIR588663 KSN588574:KSN588663 LCJ588574:LCJ588663 LMF588574:LMF588663 LWB588574:LWB588663 MFX588574:MFX588663 MPT588574:MPT588663 MZP588574:MZP588663 NJL588574:NJL588663 NTH588574:NTH588663 ODD588574:ODD588663 OMZ588574:OMZ588663 OWV588574:OWV588663 PGR588574:PGR588663 PQN588574:PQN588663 QAJ588574:QAJ588663 QKF588574:QKF588663 QUB588574:QUB588663 RDX588574:RDX588663 RNT588574:RNT588663 RXP588574:RXP588663 SHL588574:SHL588663 SRH588574:SRH588663 TBD588574:TBD588663 TKZ588574:TKZ588663 TUV588574:TUV588663 UER588574:UER588663 UON588574:UON588663 UYJ588574:UYJ588663 VIF588574:VIF588663 VSB588574:VSB588663 WBX588574:WBX588663 WLT588574:WLT588663 WVP588574:WVP588663 H654131:H654220 JD654110:JD654199 SZ654110:SZ654199 ACV654110:ACV654199 AMR654110:AMR654199 AWN654110:AWN654199 BGJ654110:BGJ654199 BQF654110:BQF654199 CAB654110:CAB654199 CJX654110:CJX654199 CTT654110:CTT654199 DDP654110:DDP654199 DNL654110:DNL654199 DXH654110:DXH654199 EHD654110:EHD654199 EQZ654110:EQZ654199 FAV654110:FAV654199 FKR654110:FKR654199 FUN654110:FUN654199 GEJ654110:GEJ654199 GOF654110:GOF654199 GYB654110:GYB654199 HHX654110:HHX654199 HRT654110:HRT654199 IBP654110:IBP654199 ILL654110:ILL654199 IVH654110:IVH654199 JFD654110:JFD654199 JOZ654110:JOZ654199 JYV654110:JYV654199 KIR654110:KIR654199 KSN654110:KSN654199 LCJ654110:LCJ654199 LMF654110:LMF654199 LWB654110:LWB654199 MFX654110:MFX654199 MPT654110:MPT654199 MZP654110:MZP654199 NJL654110:NJL654199 NTH654110:NTH654199 ODD654110:ODD654199 OMZ654110:OMZ654199 OWV654110:OWV654199 PGR654110:PGR654199 PQN654110:PQN654199 QAJ654110:QAJ654199 QKF654110:QKF654199 QUB654110:QUB654199 RDX654110:RDX654199 RNT654110:RNT654199 RXP654110:RXP654199 SHL654110:SHL654199 SRH654110:SRH654199 TBD654110:TBD654199 TKZ654110:TKZ654199 TUV654110:TUV654199 UER654110:UER654199 UON654110:UON654199 UYJ654110:UYJ654199 VIF654110:VIF654199 VSB654110:VSB654199 WBX654110:WBX654199 WLT654110:WLT654199 WVP654110:WVP654199 H719667:H719756 JD719646:JD719735 SZ719646:SZ719735 ACV719646:ACV719735 AMR719646:AMR719735 AWN719646:AWN719735 BGJ719646:BGJ719735 BQF719646:BQF719735 CAB719646:CAB719735 CJX719646:CJX719735 CTT719646:CTT719735 DDP719646:DDP719735 DNL719646:DNL719735 DXH719646:DXH719735 EHD719646:EHD719735 EQZ719646:EQZ719735 FAV719646:FAV719735 FKR719646:FKR719735 FUN719646:FUN719735 GEJ719646:GEJ719735 GOF719646:GOF719735 GYB719646:GYB719735 HHX719646:HHX719735 HRT719646:HRT719735 IBP719646:IBP719735 ILL719646:ILL719735 IVH719646:IVH719735 JFD719646:JFD719735 JOZ719646:JOZ719735 JYV719646:JYV719735 KIR719646:KIR719735 KSN719646:KSN719735 LCJ719646:LCJ719735 LMF719646:LMF719735 LWB719646:LWB719735 MFX719646:MFX719735 MPT719646:MPT719735 MZP719646:MZP719735 NJL719646:NJL719735 NTH719646:NTH719735 ODD719646:ODD719735 OMZ719646:OMZ719735 OWV719646:OWV719735 PGR719646:PGR719735 PQN719646:PQN719735 QAJ719646:QAJ719735 QKF719646:QKF719735 QUB719646:QUB719735 RDX719646:RDX719735 RNT719646:RNT719735 RXP719646:RXP719735 SHL719646:SHL719735 SRH719646:SRH719735 TBD719646:TBD719735 TKZ719646:TKZ719735 TUV719646:TUV719735 UER719646:UER719735 UON719646:UON719735 UYJ719646:UYJ719735 VIF719646:VIF719735 VSB719646:VSB719735 WBX719646:WBX719735 WLT719646:WLT719735 WVP719646:WVP719735 H785203:H785292 JD785182:JD785271 SZ785182:SZ785271 ACV785182:ACV785271 AMR785182:AMR785271 AWN785182:AWN785271 BGJ785182:BGJ785271 BQF785182:BQF785271 CAB785182:CAB785271 CJX785182:CJX785271 CTT785182:CTT785271 DDP785182:DDP785271 DNL785182:DNL785271 DXH785182:DXH785271 EHD785182:EHD785271 EQZ785182:EQZ785271 FAV785182:FAV785271 FKR785182:FKR785271 FUN785182:FUN785271 GEJ785182:GEJ785271 GOF785182:GOF785271 GYB785182:GYB785271 HHX785182:HHX785271 HRT785182:HRT785271 IBP785182:IBP785271 ILL785182:ILL785271 IVH785182:IVH785271 JFD785182:JFD785271 JOZ785182:JOZ785271 JYV785182:JYV785271 KIR785182:KIR785271 KSN785182:KSN785271 LCJ785182:LCJ785271 LMF785182:LMF785271 LWB785182:LWB785271 MFX785182:MFX785271 MPT785182:MPT785271 MZP785182:MZP785271 NJL785182:NJL785271 NTH785182:NTH785271 ODD785182:ODD785271 OMZ785182:OMZ785271 OWV785182:OWV785271 PGR785182:PGR785271 PQN785182:PQN785271 QAJ785182:QAJ785271 QKF785182:QKF785271 QUB785182:QUB785271 RDX785182:RDX785271 RNT785182:RNT785271 RXP785182:RXP785271 SHL785182:SHL785271 SRH785182:SRH785271 TBD785182:TBD785271 TKZ785182:TKZ785271 TUV785182:TUV785271 UER785182:UER785271 UON785182:UON785271 UYJ785182:UYJ785271 VIF785182:VIF785271 VSB785182:VSB785271 WBX785182:WBX785271 WLT785182:WLT785271 WVP785182:WVP785271 H850739:H850828 JD850718:JD850807 SZ850718:SZ850807 ACV850718:ACV850807 AMR850718:AMR850807 AWN850718:AWN850807 BGJ850718:BGJ850807 BQF850718:BQF850807 CAB850718:CAB850807 CJX850718:CJX850807 CTT850718:CTT850807 DDP850718:DDP850807 DNL850718:DNL850807 DXH850718:DXH850807 EHD850718:EHD850807 EQZ850718:EQZ850807 FAV850718:FAV850807 FKR850718:FKR850807 FUN850718:FUN850807 GEJ850718:GEJ850807 GOF850718:GOF850807 GYB850718:GYB850807 HHX850718:HHX850807 HRT850718:HRT850807 IBP850718:IBP850807 ILL850718:ILL850807 IVH850718:IVH850807 JFD850718:JFD850807 JOZ850718:JOZ850807 JYV850718:JYV850807 KIR850718:KIR850807 KSN850718:KSN850807 LCJ850718:LCJ850807 LMF850718:LMF850807 LWB850718:LWB850807 MFX850718:MFX850807 MPT850718:MPT850807 MZP850718:MZP850807 NJL850718:NJL850807 NTH850718:NTH850807 ODD850718:ODD850807 OMZ850718:OMZ850807 OWV850718:OWV850807 PGR850718:PGR850807 PQN850718:PQN850807 QAJ850718:QAJ850807 QKF850718:QKF850807 QUB850718:QUB850807 RDX850718:RDX850807 RNT850718:RNT850807 RXP850718:RXP850807 SHL850718:SHL850807 SRH850718:SRH850807 TBD850718:TBD850807 TKZ850718:TKZ850807 TUV850718:TUV850807 UER850718:UER850807 UON850718:UON850807 UYJ850718:UYJ850807 VIF850718:VIF850807 VSB850718:VSB850807 WBX850718:WBX850807 WLT850718:WLT850807 WVP850718:WVP850807 H916275:H916364 JD916254:JD916343 SZ916254:SZ916343 ACV916254:ACV916343 AMR916254:AMR916343 AWN916254:AWN916343 BGJ916254:BGJ916343 BQF916254:BQF916343 CAB916254:CAB916343 CJX916254:CJX916343 CTT916254:CTT916343 DDP916254:DDP916343 DNL916254:DNL916343 DXH916254:DXH916343 EHD916254:EHD916343 EQZ916254:EQZ916343 FAV916254:FAV916343 FKR916254:FKR916343 FUN916254:FUN916343 GEJ916254:GEJ916343 GOF916254:GOF916343 GYB916254:GYB916343 HHX916254:HHX916343 HRT916254:HRT916343 IBP916254:IBP916343 ILL916254:ILL916343 IVH916254:IVH916343 JFD916254:JFD916343 JOZ916254:JOZ916343 JYV916254:JYV916343 KIR916254:KIR916343 KSN916254:KSN916343 LCJ916254:LCJ916343 LMF916254:LMF916343 LWB916254:LWB916343 MFX916254:MFX916343 MPT916254:MPT916343 MZP916254:MZP916343 NJL916254:NJL916343 NTH916254:NTH916343 ODD916254:ODD916343 OMZ916254:OMZ916343 OWV916254:OWV916343 PGR916254:PGR916343 PQN916254:PQN916343 QAJ916254:QAJ916343 QKF916254:QKF916343 QUB916254:QUB916343 RDX916254:RDX916343 RNT916254:RNT916343 RXP916254:RXP916343 SHL916254:SHL916343 SRH916254:SRH916343 TBD916254:TBD916343 TKZ916254:TKZ916343 TUV916254:TUV916343 UER916254:UER916343 UON916254:UON916343 UYJ916254:UYJ916343 VIF916254:VIF916343 VSB916254:VSB916343 WBX916254:WBX916343 WLT916254:WLT916343 WVP916254:WVP916343 H981811:H981900 JD981790:JD981879 SZ981790:SZ981879 ACV981790:ACV981879 AMR981790:AMR981879 AWN981790:AWN981879 BGJ981790:BGJ981879 BQF981790:BQF981879 CAB981790:CAB981879 CJX981790:CJX981879 CTT981790:CTT981879 DDP981790:DDP981879 DNL981790:DNL981879 DXH981790:DXH981879 EHD981790:EHD981879 EQZ981790:EQZ981879 FAV981790:FAV981879 FKR981790:FKR981879 FUN981790:FUN981879 GEJ981790:GEJ981879 GOF981790:GOF981879 GYB981790:GYB981879 HHX981790:HHX981879 HRT981790:HRT981879 IBP981790:IBP981879 ILL981790:ILL981879 IVH981790:IVH981879 JFD981790:JFD981879 JOZ981790:JOZ981879 JYV981790:JYV981879 KIR981790:KIR981879 KSN981790:KSN981879 LCJ981790:LCJ981879 LMF981790:LMF981879 LWB981790:LWB981879 MFX981790:MFX981879 MPT981790:MPT981879 MZP981790:MZP981879 NJL981790:NJL981879 NTH981790:NTH981879 ODD981790:ODD981879 OMZ981790:OMZ981879 OWV981790:OWV981879 PGR981790:PGR981879 PQN981790:PQN981879 QAJ981790:QAJ981879 QKF981790:QKF981879 QUB981790:QUB981879 RDX981790:RDX981879 RNT981790:RNT981879 RXP981790:RXP981879 SHL981790:SHL981879 SRH981790:SRH981879 TBD981790:TBD981879 TKZ981790:TKZ981879 TUV981790:TUV981879 UER981790:UER981879 UON981790:UON981879 UYJ981790:UYJ981879 VIF981790:VIF981879 VSB981790:VSB981879 WBX981790:WBX981879 WLT981790:WLT981879 WVP2:WVP58 WLT2:WLT58 WBX2:WBX58 VSB2:VSB58 VIF2:VIF58 UYJ2:UYJ58 UON2:UON58 UER2:UER58 TUV2:TUV58 TKZ2:TKZ58 TBD2:TBD58 SRH2:SRH58 SHL2:SHL58 RXP2:RXP58 RNT2:RNT58 RDX2:RDX58 QUB2:QUB58 QKF2:QKF58 QAJ2:QAJ58 PQN2:PQN58 PGR2:PGR58 OWV2:OWV58 OMZ2:OMZ58 ODD2:ODD58 NTH2:NTH58 NJL2:NJL58 MZP2:MZP58 MPT2:MPT58 MFX2:MFX58 LWB2:LWB58 LMF2:LMF58 LCJ2:LCJ58 KSN2:KSN58 KIR2:KIR58 JYV2:JYV58 JOZ2:JOZ58 JFD2:JFD58 IVH2:IVH58 ILL2:ILL58 IBP2:IBP58 HRT2:HRT58 HHX2:HHX58 GYB2:GYB58 GOF2:GOF58 GEJ2:GEJ58 FUN2:FUN58 FKR2:FKR58 FAV2:FAV58 EQZ2:EQZ58 EHD2:EHD58 DXH2:DXH58 DNL2:DNL58 DDP2:DDP58 CTT2:CTT58 CJX2:CJX58 CAB2:CAB58 BQF2:BQF58 BGJ2:BGJ58 AWN2:AWN58 AMR2:AMR58 ACV2:ACV58 SZ2:SZ58 JD2:JD58" xr:uid="{A1145C2F-FB4B-468C-813D-E54217C75428}">
      <formula1>$AL$5:$AL$10</formula1>
    </dataValidation>
    <dataValidation type="list" allowBlank="1" showInputMessage="1" showErrorMessage="1" sqref="WVQ981790:WVQ981873 WLU981790:WLU981873 I81:I485 I64307:I64390 JE64286:JE64369 TA64286:TA64369 ACW64286:ACW64369 AMS64286:AMS64369 AWO64286:AWO64369 BGK64286:BGK64369 BQG64286:BQG64369 CAC64286:CAC64369 CJY64286:CJY64369 CTU64286:CTU64369 DDQ64286:DDQ64369 DNM64286:DNM64369 DXI64286:DXI64369 EHE64286:EHE64369 ERA64286:ERA64369 FAW64286:FAW64369 FKS64286:FKS64369 FUO64286:FUO64369 GEK64286:GEK64369 GOG64286:GOG64369 GYC64286:GYC64369 HHY64286:HHY64369 HRU64286:HRU64369 IBQ64286:IBQ64369 ILM64286:ILM64369 IVI64286:IVI64369 JFE64286:JFE64369 JPA64286:JPA64369 JYW64286:JYW64369 KIS64286:KIS64369 KSO64286:KSO64369 LCK64286:LCK64369 LMG64286:LMG64369 LWC64286:LWC64369 MFY64286:MFY64369 MPU64286:MPU64369 MZQ64286:MZQ64369 NJM64286:NJM64369 NTI64286:NTI64369 ODE64286:ODE64369 ONA64286:ONA64369 OWW64286:OWW64369 PGS64286:PGS64369 PQO64286:PQO64369 QAK64286:QAK64369 QKG64286:QKG64369 QUC64286:QUC64369 RDY64286:RDY64369 RNU64286:RNU64369 RXQ64286:RXQ64369 SHM64286:SHM64369 SRI64286:SRI64369 TBE64286:TBE64369 TLA64286:TLA64369 TUW64286:TUW64369 UES64286:UES64369 UOO64286:UOO64369 UYK64286:UYK64369 VIG64286:VIG64369 VSC64286:VSC64369 WBY64286:WBY64369 WLU64286:WLU64369 WVQ64286:WVQ64369 I129843:I129926 JE129822:JE129905 TA129822:TA129905 ACW129822:ACW129905 AMS129822:AMS129905 AWO129822:AWO129905 BGK129822:BGK129905 BQG129822:BQG129905 CAC129822:CAC129905 CJY129822:CJY129905 CTU129822:CTU129905 DDQ129822:DDQ129905 DNM129822:DNM129905 DXI129822:DXI129905 EHE129822:EHE129905 ERA129822:ERA129905 FAW129822:FAW129905 FKS129822:FKS129905 FUO129822:FUO129905 GEK129822:GEK129905 GOG129822:GOG129905 GYC129822:GYC129905 HHY129822:HHY129905 HRU129822:HRU129905 IBQ129822:IBQ129905 ILM129822:ILM129905 IVI129822:IVI129905 JFE129822:JFE129905 JPA129822:JPA129905 JYW129822:JYW129905 KIS129822:KIS129905 KSO129822:KSO129905 LCK129822:LCK129905 LMG129822:LMG129905 LWC129822:LWC129905 MFY129822:MFY129905 MPU129822:MPU129905 MZQ129822:MZQ129905 NJM129822:NJM129905 NTI129822:NTI129905 ODE129822:ODE129905 ONA129822:ONA129905 OWW129822:OWW129905 PGS129822:PGS129905 PQO129822:PQO129905 QAK129822:QAK129905 QKG129822:QKG129905 QUC129822:QUC129905 RDY129822:RDY129905 RNU129822:RNU129905 RXQ129822:RXQ129905 SHM129822:SHM129905 SRI129822:SRI129905 TBE129822:TBE129905 TLA129822:TLA129905 TUW129822:TUW129905 UES129822:UES129905 UOO129822:UOO129905 UYK129822:UYK129905 VIG129822:VIG129905 VSC129822:VSC129905 WBY129822:WBY129905 WLU129822:WLU129905 WVQ129822:WVQ129905 I195379:I195462 JE195358:JE195441 TA195358:TA195441 ACW195358:ACW195441 AMS195358:AMS195441 AWO195358:AWO195441 BGK195358:BGK195441 BQG195358:BQG195441 CAC195358:CAC195441 CJY195358:CJY195441 CTU195358:CTU195441 DDQ195358:DDQ195441 DNM195358:DNM195441 DXI195358:DXI195441 EHE195358:EHE195441 ERA195358:ERA195441 FAW195358:FAW195441 FKS195358:FKS195441 FUO195358:FUO195441 GEK195358:GEK195441 GOG195358:GOG195441 GYC195358:GYC195441 HHY195358:HHY195441 HRU195358:HRU195441 IBQ195358:IBQ195441 ILM195358:ILM195441 IVI195358:IVI195441 JFE195358:JFE195441 JPA195358:JPA195441 JYW195358:JYW195441 KIS195358:KIS195441 KSO195358:KSO195441 LCK195358:LCK195441 LMG195358:LMG195441 LWC195358:LWC195441 MFY195358:MFY195441 MPU195358:MPU195441 MZQ195358:MZQ195441 NJM195358:NJM195441 NTI195358:NTI195441 ODE195358:ODE195441 ONA195358:ONA195441 OWW195358:OWW195441 PGS195358:PGS195441 PQO195358:PQO195441 QAK195358:QAK195441 QKG195358:QKG195441 QUC195358:QUC195441 RDY195358:RDY195441 RNU195358:RNU195441 RXQ195358:RXQ195441 SHM195358:SHM195441 SRI195358:SRI195441 TBE195358:TBE195441 TLA195358:TLA195441 TUW195358:TUW195441 UES195358:UES195441 UOO195358:UOO195441 UYK195358:UYK195441 VIG195358:VIG195441 VSC195358:VSC195441 WBY195358:WBY195441 WLU195358:WLU195441 WVQ195358:WVQ195441 I260915:I260998 JE260894:JE260977 TA260894:TA260977 ACW260894:ACW260977 AMS260894:AMS260977 AWO260894:AWO260977 BGK260894:BGK260977 BQG260894:BQG260977 CAC260894:CAC260977 CJY260894:CJY260977 CTU260894:CTU260977 DDQ260894:DDQ260977 DNM260894:DNM260977 DXI260894:DXI260977 EHE260894:EHE260977 ERA260894:ERA260977 FAW260894:FAW260977 FKS260894:FKS260977 FUO260894:FUO260977 GEK260894:GEK260977 GOG260894:GOG260977 GYC260894:GYC260977 HHY260894:HHY260977 HRU260894:HRU260977 IBQ260894:IBQ260977 ILM260894:ILM260977 IVI260894:IVI260977 JFE260894:JFE260977 JPA260894:JPA260977 JYW260894:JYW260977 KIS260894:KIS260977 KSO260894:KSO260977 LCK260894:LCK260977 LMG260894:LMG260977 LWC260894:LWC260977 MFY260894:MFY260977 MPU260894:MPU260977 MZQ260894:MZQ260977 NJM260894:NJM260977 NTI260894:NTI260977 ODE260894:ODE260977 ONA260894:ONA260977 OWW260894:OWW260977 PGS260894:PGS260977 PQO260894:PQO260977 QAK260894:QAK260977 QKG260894:QKG260977 QUC260894:QUC260977 RDY260894:RDY260977 RNU260894:RNU260977 RXQ260894:RXQ260977 SHM260894:SHM260977 SRI260894:SRI260977 TBE260894:TBE260977 TLA260894:TLA260977 TUW260894:TUW260977 UES260894:UES260977 UOO260894:UOO260977 UYK260894:UYK260977 VIG260894:VIG260977 VSC260894:VSC260977 WBY260894:WBY260977 WLU260894:WLU260977 WVQ260894:WVQ260977 I326451:I326534 JE326430:JE326513 TA326430:TA326513 ACW326430:ACW326513 AMS326430:AMS326513 AWO326430:AWO326513 BGK326430:BGK326513 BQG326430:BQG326513 CAC326430:CAC326513 CJY326430:CJY326513 CTU326430:CTU326513 DDQ326430:DDQ326513 DNM326430:DNM326513 DXI326430:DXI326513 EHE326430:EHE326513 ERA326430:ERA326513 FAW326430:FAW326513 FKS326430:FKS326513 FUO326430:FUO326513 GEK326430:GEK326513 GOG326430:GOG326513 GYC326430:GYC326513 HHY326430:HHY326513 HRU326430:HRU326513 IBQ326430:IBQ326513 ILM326430:ILM326513 IVI326430:IVI326513 JFE326430:JFE326513 JPA326430:JPA326513 JYW326430:JYW326513 KIS326430:KIS326513 KSO326430:KSO326513 LCK326430:LCK326513 LMG326430:LMG326513 LWC326430:LWC326513 MFY326430:MFY326513 MPU326430:MPU326513 MZQ326430:MZQ326513 NJM326430:NJM326513 NTI326430:NTI326513 ODE326430:ODE326513 ONA326430:ONA326513 OWW326430:OWW326513 PGS326430:PGS326513 PQO326430:PQO326513 QAK326430:QAK326513 QKG326430:QKG326513 QUC326430:QUC326513 RDY326430:RDY326513 RNU326430:RNU326513 RXQ326430:RXQ326513 SHM326430:SHM326513 SRI326430:SRI326513 TBE326430:TBE326513 TLA326430:TLA326513 TUW326430:TUW326513 UES326430:UES326513 UOO326430:UOO326513 UYK326430:UYK326513 VIG326430:VIG326513 VSC326430:VSC326513 WBY326430:WBY326513 WLU326430:WLU326513 WVQ326430:WVQ326513 I391987:I392070 JE391966:JE392049 TA391966:TA392049 ACW391966:ACW392049 AMS391966:AMS392049 AWO391966:AWO392049 BGK391966:BGK392049 BQG391966:BQG392049 CAC391966:CAC392049 CJY391966:CJY392049 CTU391966:CTU392049 DDQ391966:DDQ392049 DNM391966:DNM392049 DXI391966:DXI392049 EHE391966:EHE392049 ERA391966:ERA392049 FAW391966:FAW392049 FKS391966:FKS392049 FUO391966:FUO392049 GEK391966:GEK392049 GOG391966:GOG392049 GYC391966:GYC392049 HHY391966:HHY392049 HRU391966:HRU392049 IBQ391966:IBQ392049 ILM391966:ILM392049 IVI391966:IVI392049 JFE391966:JFE392049 JPA391966:JPA392049 JYW391966:JYW392049 KIS391966:KIS392049 KSO391966:KSO392049 LCK391966:LCK392049 LMG391966:LMG392049 LWC391966:LWC392049 MFY391966:MFY392049 MPU391966:MPU392049 MZQ391966:MZQ392049 NJM391966:NJM392049 NTI391966:NTI392049 ODE391966:ODE392049 ONA391966:ONA392049 OWW391966:OWW392049 PGS391966:PGS392049 PQO391966:PQO392049 QAK391966:QAK392049 QKG391966:QKG392049 QUC391966:QUC392049 RDY391966:RDY392049 RNU391966:RNU392049 RXQ391966:RXQ392049 SHM391966:SHM392049 SRI391966:SRI392049 TBE391966:TBE392049 TLA391966:TLA392049 TUW391966:TUW392049 UES391966:UES392049 UOO391966:UOO392049 UYK391966:UYK392049 VIG391966:VIG392049 VSC391966:VSC392049 WBY391966:WBY392049 WLU391966:WLU392049 WVQ391966:WVQ392049 I457523:I457606 JE457502:JE457585 TA457502:TA457585 ACW457502:ACW457585 AMS457502:AMS457585 AWO457502:AWO457585 BGK457502:BGK457585 BQG457502:BQG457585 CAC457502:CAC457585 CJY457502:CJY457585 CTU457502:CTU457585 DDQ457502:DDQ457585 DNM457502:DNM457585 DXI457502:DXI457585 EHE457502:EHE457585 ERA457502:ERA457585 FAW457502:FAW457585 FKS457502:FKS457585 FUO457502:FUO457585 GEK457502:GEK457585 GOG457502:GOG457585 GYC457502:GYC457585 HHY457502:HHY457585 HRU457502:HRU457585 IBQ457502:IBQ457585 ILM457502:ILM457585 IVI457502:IVI457585 JFE457502:JFE457585 JPA457502:JPA457585 JYW457502:JYW457585 KIS457502:KIS457585 KSO457502:KSO457585 LCK457502:LCK457585 LMG457502:LMG457585 LWC457502:LWC457585 MFY457502:MFY457585 MPU457502:MPU457585 MZQ457502:MZQ457585 NJM457502:NJM457585 NTI457502:NTI457585 ODE457502:ODE457585 ONA457502:ONA457585 OWW457502:OWW457585 PGS457502:PGS457585 PQO457502:PQO457585 QAK457502:QAK457585 QKG457502:QKG457585 QUC457502:QUC457585 RDY457502:RDY457585 RNU457502:RNU457585 RXQ457502:RXQ457585 SHM457502:SHM457585 SRI457502:SRI457585 TBE457502:TBE457585 TLA457502:TLA457585 TUW457502:TUW457585 UES457502:UES457585 UOO457502:UOO457585 UYK457502:UYK457585 VIG457502:VIG457585 VSC457502:VSC457585 WBY457502:WBY457585 WLU457502:WLU457585 WVQ457502:WVQ457585 I523059:I523142 JE523038:JE523121 TA523038:TA523121 ACW523038:ACW523121 AMS523038:AMS523121 AWO523038:AWO523121 BGK523038:BGK523121 BQG523038:BQG523121 CAC523038:CAC523121 CJY523038:CJY523121 CTU523038:CTU523121 DDQ523038:DDQ523121 DNM523038:DNM523121 DXI523038:DXI523121 EHE523038:EHE523121 ERA523038:ERA523121 FAW523038:FAW523121 FKS523038:FKS523121 FUO523038:FUO523121 GEK523038:GEK523121 GOG523038:GOG523121 GYC523038:GYC523121 HHY523038:HHY523121 HRU523038:HRU523121 IBQ523038:IBQ523121 ILM523038:ILM523121 IVI523038:IVI523121 JFE523038:JFE523121 JPA523038:JPA523121 JYW523038:JYW523121 KIS523038:KIS523121 KSO523038:KSO523121 LCK523038:LCK523121 LMG523038:LMG523121 LWC523038:LWC523121 MFY523038:MFY523121 MPU523038:MPU523121 MZQ523038:MZQ523121 NJM523038:NJM523121 NTI523038:NTI523121 ODE523038:ODE523121 ONA523038:ONA523121 OWW523038:OWW523121 PGS523038:PGS523121 PQO523038:PQO523121 QAK523038:QAK523121 QKG523038:QKG523121 QUC523038:QUC523121 RDY523038:RDY523121 RNU523038:RNU523121 RXQ523038:RXQ523121 SHM523038:SHM523121 SRI523038:SRI523121 TBE523038:TBE523121 TLA523038:TLA523121 TUW523038:TUW523121 UES523038:UES523121 UOO523038:UOO523121 UYK523038:UYK523121 VIG523038:VIG523121 VSC523038:VSC523121 WBY523038:WBY523121 WLU523038:WLU523121 WVQ523038:WVQ523121 I588595:I588678 JE588574:JE588657 TA588574:TA588657 ACW588574:ACW588657 AMS588574:AMS588657 AWO588574:AWO588657 BGK588574:BGK588657 BQG588574:BQG588657 CAC588574:CAC588657 CJY588574:CJY588657 CTU588574:CTU588657 DDQ588574:DDQ588657 DNM588574:DNM588657 DXI588574:DXI588657 EHE588574:EHE588657 ERA588574:ERA588657 FAW588574:FAW588657 FKS588574:FKS588657 FUO588574:FUO588657 GEK588574:GEK588657 GOG588574:GOG588657 GYC588574:GYC588657 HHY588574:HHY588657 HRU588574:HRU588657 IBQ588574:IBQ588657 ILM588574:ILM588657 IVI588574:IVI588657 JFE588574:JFE588657 JPA588574:JPA588657 JYW588574:JYW588657 KIS588574:KIS588657 KSO588574:KSO588657 LCK588574:LCK588657 LMG588574:LMG588657 LWC588574:LWC588657 MFY588574:MFY588657 MPU588574:MPU588657 MZQ588574:MZQ588657 NJM588574:NJM588657 NTI588574:NTI588657 ODE588574:ODE588657 ONA588574:ONA588657 OWW588574:OWW588657 PGS588574:PGS588657 PQO588574:PQO588657 QAK588574:QAK588657 QKG588574:QKG588657 QUC588574:QUC588657 RDY588574:RDY588657 RNU588574:RNU588657 RXQ588574:RXQ588657 SHM588574:SHM588657 SRI588574:SRI588657 TBE588574:TBE588657 TLA588574:TLA588657 TUW588574:TUW588657 UES588574:UES588657 UOO588574:UOO588657 UYK588574:UYK588657 VIG588574:VIG588657 VSC588574:VSC588657 WBY588574:WBY588657 WLU588574:WLU588657 WVQ588574:WVQ588657 I654131:I654214 JE654110:JE654193 TA654110:TA654193 ACW654110:ACW654193 AMS654110:AMS654193 AWO654110:AWO654193 BGK654110:BGK654193 BQG654110:BQG654193 CAC654110:CAC654193 CJY654110:CJY654193 CTU654110:CTU654193 DDQ654110:DDQ654193 DNM654110:DNM654193 DXI654110:DXI654193 EHE654110:EHE654193 ERA654110:ERA654193 FAW654110:FAW654193 FKS654110:FKS654193 FUO654110:FUO654193 GEK654110:GEK654193 GOG654110:GOG654193 GYC654110:GYC654193 HHY654110:HHY654193 HRU654110:HRU654193 IBQ654110:IBQ654193 ILM654110:ILM654193 IVI654110:IVI654193 JFE654110:JFE654193 JPA654110:JPA654193 JYW654110:JYW654193 KIS654110:KIS654193 KSO654110:KSO654193 LCK654110:LCK654193 LMG654110:LMG654193 LWC654110:LWC654193 MFY654110:MFY654193 MPU654110:MPU654193 MZQ654110:MZQ654193 NJM654110:NJM654193 NTI654110:NTI654193 ODE654110:ODE654193 ONA654110:ONA654193 OWW654110:OWW654193 PGS654110:PGS654193 PQO654110:PQO654193 QAK654110:QAK654193 QKG654110:QKG654193 QUC654110:QUC654193 RDY654110:RDY654193 RNU654110:RNU654193 RXQ654110:RXQ654193 SHM654110:SHM654193 SRI654110:SRI654193 TBE654110:TBE654193 TLA654110:TLA654193 TUW654110:TUW654193 UES654110:UES654193 UOO654110:UOO654193 UYK654110:UYK654193 VIG654110:VIG654193 VSC654110:VSC654193 WBY654110:WBY654193 WLU654110:WLU654193 WVQ654110:WVQ654193 I719667:I719750 JE719646:JE719729 TA719646:TA719729 ACW719646:ACW719729 AMS719646:AMS719729 AWO719646:AWO719729 BGK719646:BGK719729 BQG719646:BQG719729 CAC719646:CAC719729 CJY719646:CJY719729 CTU719646:CTU719729 DDQ719646:DDQ719729 DNM719646:DNM719729 DXI719646:DXI719729 EHE719646:EHE719729 ERA719646:ERA719729 FAW719646:FAW719729 FKS719646:FKS719729 FUO719646:FUO719729 GEK719646:GEK719729 GOG719646:GOG719729 GYC719646:GYC719729 HHY719646:HHY719729 HRU719646:HRU719729 IBQ719646:IBQ719729 ILM719646:ILM719729 IVI719646:IVI719729 JFE719646:JFE719729 JPA719646:JPA719729 JYW719646:JYW719729 KIS719646:KIS719729 KSO719646:KSO719729 LCK719646:LCK719729 LMG719646:LMG719729 LWC719646:LWC719729 MFY719646:MFY719729 MPU719646:MPU719729 MZQ719646:MZQ719729 NJM719646:NJM719729 NTI719646:NTI719729 ODE719646:ODE719729 ONA719646:ONA719729 OWW719646:OWW719729 PGS719646:PGS719729 PQO719646:PQO719729 QAK719646:QAK719729 QKG719646:QKG719729 QUC719646:QUC719729 RDY719646:RDY719729 RNU719646:RNU719729 RXQ719646:RXQ719729 SHM719646:SHM719729 SRI719646:SRI719729 TBE719646:TBE719729 TLA719646:TLA719729 TUW719646:TUW719729 UES719646:UES719729 UOO719646:UOO719729 UYK719646:UYK719729 VIG719646:VIG719729 VSC719646:VSC719729 WBY719646:WBY719729 WLU719646:WLU719729 WVQ719646:WVQ719729 I785203:I785286 JE785182:JE785265 TA785182:TA785265 ACW785182:ACW785265 AMS785182:AMS785265 AWO785182:AWO785265 BGK785182:BGK785265 BQG785182:BQG785265 CAC785182:CAC785265 CJY785182:CJY785265 CTU785182:CTU785265 DDQ785182:DDQ785265 DNM785182:DNM785265 DXI785182:DXI785265 EHE785182:EHE785265 ERA785182:ERA785265 FAW785182:FAW785265 FKS785182:FKS785265 FUO785182:FUO785265 GEK785182:GEK785265 GOG785182:GOG785265 GYC785182:GYC785265 HHY785182:HHY785265 HRU785182:HRU785265 IBQ785182:IBQ785265 ILM785182:ILM785265 IVI785182:IVI785265 JFE785182:JFE785265 JPA785182:JPA785265 JYW785182:JYW785265 KIS785182:KIS785265 KSO785182:KSO785265 LCK785182:LCK785265 LMG785182:LMG785265 LWC785182:LWC785265 MFY785182:MFY785265 MPU785182:MPU785265 MZQ785182:MZQ785265 NJM785182:NJM785265 NTI785182:NTI785265 ODE785182:ODE785265 ONA785182:ONA785265 OWW785182:OWW785265 PGS785182:PGS785265 PQO785182:PQO785265 QAK785182:QAK785265 QKG785182:QKG785265 QUC785182:QUC785265 RDY785182:RDY785265 RNU785182:RNU785265 RXQ785182:RXQ785265 SHM785182:SHM785265 SRI785182:SRI785265 TBE785182:TBE785265 TLA785182:TLA785265 TUW785182:TUW785265 UES785182:UES785265 UOO785182:UOO785265 UYK785182:UYK785265 VIG785182:VIG785265 VSC785182:VSC785265 WBY785182:WBY785265 WLU785182:WLU785265 WVQ785182:WVQ785265 I850739:I850822 JE850718:JE850801 TA850718:TA850801 ACW850718:ACW850801 AMS850718:AMS850801 AWO850718:AWO850801 BGK850718:BGK850801 BQG850718:BQG850801 CAC850718:CAC850801 CJY850718:CJY850801 CTU850718:CTU850801 DDQ850718:DDQ850801 DNM850718:DNM850801 DXI850718:DXI850801 EHE850718:EHE850801 ERA850718:ERA850801 FAW850718:FAW850801 FKS850718:FKS850801 FUO850718:FUO850801 GEK850718:GEK850801 GOG850718:GOG850801 GYC850718:GYC850801 HHY850718:HHY850801 HRU850718:HRU850801 IBQ850718:IBQ850801 ILM850718:ILM850801 IVI850718:IVI850801 JFE850718:JFE850801 JPA850718:JPA850801 JYW850718:JYW850801 KIS850718:KIS850801 KSO850718:KSO850801 LCK850718:LCK850801 LMG850718:LMG850801 LWC850718:LWC850801 MFY850718:MFY850801 MPU850718:MPU850801 MZQ850718:MZQ850801 NJM850718:NJM850801 NTI850718:NTI850801 ODE850718:ODE850801 ONA850718:ONA850801 OWW850718:OWW850801 PGS850718:PGS850801 PQO850718:PQO850801 QAK850718:QAK850801 QKG850718:QKG850801 QUC850718:QUC850801 RDY850718:RDY850801 RNU850718:RNU850801 RXQ850718:RXQ850801 SHM850718:SHM850801 SRI850718:SRI850801 TBE850718:TBE850801 TLA850718:TLA850801 TUW850718:TUW850801 UES850718:UES850801 UOO850718:UOO850801 UYK850718:UYK850801 VIG850718:VIG850801 VSC850718:VSC850801 WBY850718:WBY850801 WLU850718:WLU850801 WVQ850718:WVQ850801 I916275:I916358 JE916254:JE916337 TA916254:TA916337 ACW916254:ACW916337 AMS916254:AMS916337 AWO916254:AWO916337 BGK916254:BGK916337 BQG916254:BQG916337 CAC916254:CAC916337 CJY916254:CJY916337 CTU916254:CTU916337 DDQ916254:DDQ916337 DNM916254:DNM916337 DXI916254:DXI916337 EHE916254:EHE916337 ERA916254:ERA916337 FAW916254:FAW916337 FKS916254:FKS916337 FUO916254:FUO916337 GEK916254:GEK916337 GOG916254:GOG916337 GYC916254:GYC916337 HHY916254:HHY916337 HRU916254:HRU916337 IBQ916254:IBQ916337 ILM916254:ILM916337 IVI916254:IVI916337 JFE916254:JFE916337 JPA916254:JPA916337 JYW916254:JYW916337 KIS916254:KIS916337 KSO916254:KSO916337 LCK916254:LCK916337 LMG916254:LMG916337 LWC916254:LWC916337 MFY916254:MFY916337 MPU916254:MPU916337 MZQ916254:MZQ916337 NJM916254:NJM916337 NTI916254:NTI916337 ODE916254:ODE916337 ONA916254:ONA916337 OWW916254:OWW916337 PGS916254:PGS916337 PQO916254:PQO916337 QAK916254:QAK916337 QKG916254:QKG916337 QUC916254:QUC916337 RDY916254:RDY916337 RNU916254:RNU916337 RXQ916254:RXQ916337 SHM916254:SHM916337 SRI916254:SRI916337 TBE916254:TBE916337 TLA916254:TLA916337 TUW916254:TUW916337 UES916254:UES916337 UOO916254:UOO916337 UYK916254:UYK916337 VIG916254:VIG916337 VSC916254:VSC916337 WBY916254:WBY916337 WLU916254:WLU916337 WVQ916254:WVQ916337 I981811:I981894 JE981790:JE981873 TA981790:TA981873 ACW981790:ACW981873 AMS981790:AMS981873 AWO981790:AWO981873 BGK981790:BGK981873 BQG981790:BQG981873 CAC981790:CAC981873 CJY981790:CJY981873 CTU981790:CTU981873 DDQ981790:DDQ981873 DNM981790:DNM981873 DXI981790:DXI981873 EHE981790:EHE981873 ERA981790:ERA981873 FAW981790:FAW981873 FKS981790:FKS981873 FUO981790:FUO981873 GEK981790:GEK981873 GOG981790:GOG981873 GYC981790:GYC981873 HHY981790:HHY981873 HRU981790:HRU981873 IBQ981790:IBQ981873 ILM981790:ILM981873 IVI981790:IVI981873 JFE981790:JFE981873 JPA981790:JPA981873 JYW981790:JYW981873 KIS981790:KIS981873 KSO981790:KSO981873 LCK981790:LCK981873 LMG981790:LMG981873 LWC981790:LWC981873 MFY981790:MFY981873 MPU981790:MPU981873 MZQ981790:MZQ981873 NJM981790:NJM981873 NTI981790:NTI981873 ODE981790:ODE981873 ONA981790:ONA981873 OWW981790:OWW981873 PGS981790:PGS981873 PQO981790:PQO981873 QAK981790:QAK981873 QKG981790:QKG981873 QUC981790:QUC981873 RDY981790:RDY981873 RNU981790:RNU981873 RXQ981790:RXQ981873 SHM981790:SHM981873 SRI981790:SRI981873 TBE981790:TBE981873 TLA981790:TLA981873 TUW981790:TUW981873 UES981790:UES981873 UOO981790:UOO981873 UYK981790:UYK981873 VIG981790:VIG981873 VSC981790:VSC981873 WBY981790:WBY981873 JE2:JE58 TA2:TA58 ACW2:ACW58 AMS2:AMS58 AWO2:AWO58 BGK2:BGK58 BQG2:BQG58 CAC2:CAC58 CJY2:CJY58 CTU2:CTU58 DDQ2:DDQ58 DNM2:DNM58 DXI2:DXI58 EHE2:EHE58 ERA2:ERA58 FAW2:FAW58 FKS2:FKS58 FUO2:FUO58 GEK2:GEK58 GOG2:GOG58 GYC2:GYC58 HHY2:HHY58 HRU2:HRU58 IBQ2:IBQ58 ILM2:ILM58 IVI2:IVI58 JFE2:JFE58 JPA2:JPA58 JYW2:JYW58 KIS2:KIS58 KSO2:KSO58 LCK2:LCK58 LMG2:LMG58 LWC2:LWC58 MFY2:MFY58 MPU2:MPU58 MZQ2:MZQ58 NJM2:NJM58 NTI2:NTI58 ODE2:ODE58 ONA2:ONA58 OWW2:OWW58 PGS2:PGS58 PQO2:PQO58 QAK2:QAK58 QKG2:QKG58 QUC2:QUC58 RDY2:RDY58 RNU2:RNU58 RXQ2:RXQ58 SHM2:SHM58 SRI2:SRI58 TBE2:TBE58 TLA2:TLA58 TUW2:TUW58 UES2:UES58 UOO2:UOO58 UYK2:UYK58 VIG2:VIG58 VSC2:VSC58 WBY2:WBY58 WLU2:WLU58 WVQ2:WVQ58 I2:I79" xr:uid="{04C16C59-F415-45C8-AC42-E603385571B9}">
      <formula1>#REF!</formula1>
    </dataValidation>
    <dataValidation type="list" allowBlank="1" showInputMessage="1" showErrorMessage="1" sqref="WWG981790:WWI981873 WCO981790:WCQ981873 WMK981790:WMM981873 Y64286:AA64369 JU64286:JW64369 TQ64286:TS64369 ADM64286:ADO64369 ANI64286:ANK64369 AXE64286:AXG64369 BHA64286:BHC64369 BQW64286:BQY64369 CAS64286:CAU64369 CKO64286:CKQ64369 CUK64286:CUM64369 DEG64286:DEI64369 DOC64286:DOE64369 DXY64286:DYA64369 EHU64286:EHW64369 ERQ64286:ERS64369 FBM64286:FBO64369 FLI64286:FLK64369 FVE64286:FVG64369 GFA64286:GFC64369 GOW64286:GOY64369 GYS64286:GYU64369 HIO64286:HIQ64369 HSK64286:HSM64369 ICG64286:ICI64369 IMC64286:IME64369 IVY64286:IWA64369 JFU64286:JFW64369 JPQ64286:JPS64369 JZM64286:JZO64369 KJI64286:KJK64369 KTE64286:KTG64369 LDA64286:LDC64369 LMW64286:LMY64369 LWS64286:LWU64369 MGO64286:MGQ64369 MQK64286:MQM64369 NAG64286:NAI64369 NKC64286:NKE64369 NTY64286:NUA64369 ODU64286:ODW64369 ONQ64286:ONS64369 OXM64286:OXO64369 PHI64286:PHK64369 PRE64286:PRG64369 QBA64286:QBC64369 QKW64286:QKY64369 QUS64286:QUU64369 REO64286:REQ64369 ROK64286:ROM64369 RYG64286:RYI64369 SIC64286:SIE64369 SRY64286:SSA64369 TBU64286:TBW64369 TLQ64286:TLS64369 TVM64286:TVO64369 UFI64286:UFK64369 UPE64286:UPG64369 UZA64286:UZC64369 VIW64286:VIY64369 VSS64286:VSU64369 WCO64286:WCQ64369 WMK64286:WMM64369 WWG64286:WWI64369 Y129822:AA129905 JU129822:JW129905 TQ129822:TS129905 ADM129822:ADO129905 ANI129822:ANK129905 AXE129822:AXG129905 BHA129822:BHC129905 BQW129822:BQY129905 CAS129822:CAU129905 CKO129822:CKQ129905 CUK129822:CUM129905 DEG129822:DEI129905 DOC129822:DOE129905 DXY129822:DYA129905 EHU129822:EHW129905 ERQ129822:ERS129905 FBM129822:FBO129905 FLI129822:FLK129905 FVE129822:FVG129905 GFA129822:GFC129905 GOW129822:GOY129905 GYS129822:GYU129905 HIO129822:HIQ129905 HSK129822:HSM129905 ICG129822:ICI129905 IMC129822:IME129905 IVY129822:IWA129905 JFU129822:JFW129905 JPQ129822:JPS129905 JZM129822:JZO129905 KJI129822:KJK129905 KTE129822:KTG129905 LDA129822:LDC129905 LMW129822:LMY129905 LWS129822:LWU129905 MGO129822:MGQ129905 MQK129822:MQM129905 NAG129822:NAI129905 NKC129822:NKE129905 NTY129822:NUA129905 ODU129822:ODW129905 ONQ129822:ONS129905 OXM129822:OXO129905 PHI129822:PHK129905 PRE129822:PRG129905 QBA129822:QBC129905 QKW129822:QKY129905 QUS129822:QUU129905 REO129822:REQ129905 ROK129822:ROM129905 RYG129822:RYI129905 SIC129822:SIE129905 SRY129822:SSA129905 TBU129822:TBW129905 TLQ129822:TLS129905 TVM129822:TVO129905 UFI129822:UFK129905 UPE129822:UPG129905 UZA129822:UZC129905 VIW129822:VIY129905 VSS129822:VSU129905 WCO129822:WCQ129905 WMK129822:WMM129905 WWG129822:WWI129905 Y195358:AA195441 JU195358:JW195441 TQ195358:TS195441 ADM195358:ADO195441 ANI195358:ANK195441 AXE195358:AXG195441 BHA195358:BHC195441 BQW195358:BQY195441 CAS195358:CAU195441 CKO195358:CKQ195441 CUK195358:CUM195441 DEG195358:DEI195441 DOC195358:DOE195441 DXY195358:DYA195441 EHU195358:EHW195441 ERQ195358:ERS195441 FBM195358:FBO195441 FLI195358:FLK195441 FVE195358:FVG195441 GFA195358:GFC195441 GOW195358:GOY195441 GYS195358:GYU195441 HIO195358:HIQ195441 HSK195358:HSM195441 ICG195358:ICI195441 IMC195358:IME195441 IVY195358:IWA195441 JFU195358:JFW195441 JPQ195358:JPS195441 JZM195358:JZO195441 KJI195358:KJK195441 KTE195358:KTG195441 LDA195358:LDC195441 LMW195358:LMY195441 LWS195358:LWU195441 MGO195358:MGQ195441 MQK195358:MQM195441 NAG195358:NAI195441 NKC195358:NKE195441 NTY195358:NUA195441 ODU195358:ODW195441 ONQ195358:ONS195441 OXM195358:OXO195441 PHI195358:PHK195441 PRE195358:PRG195441 QBA195358:QBC195441 QKW195358:QKY195441 QUS195358:QUU195441 REO195358:REQ195441 ROK195358:ROM195441 RYG195358:RYI195441 SIC195358:SIE195441 SRY195358:SSA195441 TBU195358:TBW195441 TLQ195358:TLS195441 TVM195358:TVO195441 UFI195358:UFK195441 UPE195358:UPG195441 UZA195358:UZC195441 VIW195358:VIY195441 VSS195358:VSU195441 WCO195358:WCQ195441 WMK195358:WMM195441 WWG195358:WWI195441 Y260894:AA260977 JU260894:JW260977 TQ260894:TS260977 ADM260894:ADO260977 ANI260894:ANK260977 AXE260894:AXG260977 BHA260894:BHC260977 BQW260894:BQY260977 CAS260894:CAU260977 CKO260894:CKQ260977 CUK260894:CUM260977 DEG260894:DEI260977 DOC260894:DOE260977 DXY260894:DYA260977 EHU260894:EHW260977 ERQ260894:ERS260977 FBM260894:FBO260977 FLI260894:FLK260977 FVE260894:FVG260977 GFA260894:GFC260977 GOW260894:GOY260977 GYS260894:GYU260977 HIO260894:HIQ260977 HSK260894:HSM260977 ICG260894:ICI260977 IMC260894:IME260977 IVY260894:IWA260977 JFU260894:JFW260977 JPQ260894:JPS260977 JZM260894:JZO260977 KJI260894:KJK260977 KTE260894:KTG260977 LDA260894:LDC260977 LMW260894:LMY260977 LWS260894:LWU260977 MGO260894:MGQ260977 MQK260894:MQM260977 NAG260894:NAI260977 NKC260894:NKE260977 NTY260894:NUA260977 ODU260894:ODW260977 ONQ260894:ONS260977 OXM260894:OXO260977 PHI260894:PHK260977 PRE260894:PRG260977 QBA260894:QBC260977 QKW260894:QKY260977 QUS260894:QUU260977 REO260894:REQ260977 ROK260894:ROM260977 RYG260894:RYI260977 SIC260894:SIE260977 SRY260894:SSA260977 TBU260894:TBW260977 TLQ260894:TLS260977 TVM260894:TVO260977 UFI260894:UFK260977 UPE260894:UPG260977 UZA260894:UZC260977 VIW260894:VIY260977 VSS260894:VSU260977 WCO260894:WCQ260977 WMK260894:WMM260977 WWG260894:WWI260977 Y326430:AA326513 JU326430:JW326513 TQ326430:TS326513 ADM326430:ADO326513 ANI326430:ANK326513 AXE326430:AXG326513 BHA326430:BHC326513 BQW326430:BQY326513 CAS326430:CAU326513 CKO326430:CKQ326513 CUK326430:CUM326513 DEG326430:DEI326513 DOC326430:DOE326513 DXY326430:DYA326513 EHU326430:EHW326513 ERQ326430:ERS326513 FBM326430:FBO326513 FLI326430:FLK326513 FVE326430:FVG326513 GFA326430:GFC326513 GOW326430:GOY326513 GYS326430:GYU326513 HIO326430:HIQ326513 HSK326430:HSM326513 ICG326430:ICI326513 IMC326430:IME326513 IVY326430:IWA326513 JFU326430:JFW326513 JPQ326430:JPS326513 JZM326430:JZO326513 KJI326430:KJK326513 KTE326430:KTG326513 LDA326430:LDC326513 LMW326430:LMY326513 LWS326430:LWU326513 MGO326430:MGQ326513 MQK326430:MQM326513 NAG326430:NAI326513 NKC326430:NKE326513 NTY326430:NUA326513 ODU326430:ODW326513 ONQ326430:ONS326513 OXM326430:OXO326513 PHI326430:PHK326513 PRE326430:PRG326513 QBA326430:QBC326513 QKW326430:QKY326513 QUS326430:QUU326513 REO326430:REQ326513 ROK326430:ROM326513 RYG326430:RYI326513 SIC326430:SIE326513 SRY326430:SSA326513 TBU326430:TBW326513 TLQ326430:TLS326513 TVM326430:TVO326513 UFI326430:UFK326513 UPE326430:UPG326513 UZA326430:UZC326513 VIW326430:VIY326513 VSS326430:VSU326513 WCO326430:WCQ326513 WMK326430:WMM326513 WWG326430:WWI326513 Y391966:AA392049 JU391966:JW392049 TQ391966:TS392049 ADM391966:ADO392049 ANI391966:ANK392049 AXE391966:AXG392049 BHA391966:BHC392049 BQW391966:BQY392049 CAS391966:CAU392049 CKO391966:CKQ392049 CUK391966:CUM392049 DEG391966:DEI392049 DOC391966:DOE392049 DXY391966:DYA392049 EHU391966:EHW392049 ERQ391966:ERS392049 FBM391966:FBO392049 FLI391966:FLK392049 FVE391966:FVG392049 GFA391966:GFC392049 GOW391966:GOY392049 GYS391966:GYU392049 HIO391966:HIQ392049 HSK391966:HSM392049 ICG391966:ICI392049 IMC391966:IME392049 IVY391966:IWA392049 JFU391966:JFW392049 JPQ391966:JPS392049 JZM391966:JZO392049 KJI391966:KJK392049 KTE391966:KTG392049 LDA391966:LDC392049 LMW391966:LMY392049 LWS391966:LWU392049 MGO391966:MGQ392049 MQK391966:MQM392049 NAG391966:NAI392049 NKC391966:NKE392049 NTY391966:NUA392049 ODU391966:ODW392049 ONQ391966:ONS392049 OXM391966:OXO392049 PHI391966:PHK392049 PRE391966:PRG392049 QBA391966:QBC392049 QKW391966:QKY392049 QUS391966:QUU392049 REO391966:REQ392049 ROK391966:ROM392049 RYG391966:RYI392049 SIC391966:SIE392049 SRY391966:SSA392049 TBU391966:TBW392049 TLQ391966:TLS392049 TVM391966:TVO392049 UFI391966:UFK392049 UPE391966:UPG392049 UZA391966:UZC392049 VIW391966:VIY392049 VSS391966:VSU392049 WCO391966:WCQ392049 WMK391966:WMM392049 WWG391966:WWI392049 Y457502:AA457585 JU457502:JW457585 TQ457502:TS457585 ADM457502:ADO457585 ANI457502:ANK457585 AXE457502:AXG457585 BHA457502:BHC457585 BQW457502:BQY457585 CAS457502:CAU457585 CKO457502:CKQ457585 CUK457502:CUM457585 DEG457502:DEI457585 DOC457502:DOE457585 DXY457502:DYA457585 EHU457502:EHW457585 ERQ457502:ERS457585 FBM457502:FBO457585 FLI457502:FLK457585 FVE457502:FVG457585 GFA457502:GFC457585 GOW457502:GOY457585 GYS457502:GYU457585 HIO457502:HIQ457585 HSK457502:HSM457585 ICG457502:ICI457585 IMC457502:IME457585 IVY457502:IWA457585 JFU457502:JFW457585 JPQ457502:JPS457585 JZM457502:JZO457585 KJI457502:KJK457585 KTE457502:KTG457585 LDA457502:LDC457585 LMW457502:LMY457585 LWS457502:LWU457585 MGO457502:MGQ457585 MQK457502:MQM457585 NAG457502:NAI457585 NKC457502:NKE457585 NTY457502:NUA457585 ODU457502:ODW457585 ONQ457502:ONS457585 OXM457502:OXO457585 PHI457502:PHK457585 PRE457502:PRG457585 QBA457502:QBC457585 QKW457502:QKY457585 QUS457502:QUU457585 REO457502:REQ457585 ROK457502:ROM457585 RYG457502:RYI457585 SIC457502:SIE457585 SRY457502:SSA457585 TBU457502:TBW457585 TLQ457502:TLS457585 TVM457502:TVO457585 UFI457502:UFK457585 UPE457502:UPG457585 UZA457502:UZC457585 VIW457502:VIY457585 VSS457502:VSU457585 WCO457502:WCQ457585 WMK457502:WMM457585 WWG457502:WWI457585 Y523038:AA523121 JU523038:JW523121 TQ523038:TS523121 ADM523038:ADO523121 ANI523038:ANK523121 AXE523038:AXG523121 BHA523038:BHC523121 BQW523038:BQY523121 CAS523038:CAU523121 CKO523038:CKQ523121 CUK523038:CUM523121 DEG523038:DEI523121 DOC523038:DOE523121 DXY523038:DYA523121 EHU523038:EHW523121 ERQ523038:ERS523121 FBM523038:FBO523121 FLI523038:FLK523121 FVE523038:FVG523121 GFA523038:GFC523121 GOW523038:GOY523121 GYS523038:GYU523121 HIO523038:HIQ523121 HSK523038:HSM523121 ICG523038:ICI523121 IMC523038:IME523121 IVY523038:IWA523121 JFU523038:JFW523121 JPQ523038:JPS523121 JZM523038:JZO523121 KJI523038:KJK523121 KTE523038:KTG523121 LDA523038:LDC523121 LMW523038:LMY523121 LWS523038:LWU523121 MGO523038:MGQ523121 MQK523038:MQM523121 NAG523038:NAI523121 NKC523038:NKE523121 NTY523038:NUA523121 ODU523038:ODW523121 ONQ523038:ONS523121 OXM523038:OXO523121 PHI523038:PHK523121 PRE523038:PRG523121 QBA523038:QBC523121 QKW523038:QKY523121 QUS523038:QUU523121 REO523038:REQ523121 ROK523038:ROM523121 RYG523038:RYI523121 SIC523038:SIE523121 SRY523038:SSA523121 TBU523038:TBW523121 TLQ523038:TLS523121 TVM523038:TVO523121 UFI523038:UFK523121 UPE523038:UPG523121 UZA523038:UZC523121 VIW523038:VIY523121 VSS523038:VSU523121 WCO523038:WCQ523121 WMK523038:WMM523121 WWG523038:WWI523121 Y588574:AA588657 JU588574:JW588657 TQ588574:TS588657 ADM588574:ADO588657 ANI588574:ANK588657 AXE588574:AXG588657 BHA588574:BHC588657 BQW588574:BQY588657 CAS588574:CAU588657 CKO588574:CKQ588657 CUK588574:CUM588657 DEG588574:DEI588657 DOC588574:DOE588657 DXY588574:DYA588657 EHU588574:EHW588657 ERQ588574:ERS588657 FBM588574:FBO588657 FLI588574:FLK588657 FVE588574:FVG588657 GFA588574:GFC588657 GOW588574:GOY588657 GYS588574:GYU588657 HIO588574:HIQ588657 HSK588574:HSM588657 ICG588574:ICI588657 IMC588574:IME588657 IVY588574:IWA588657 JFU588574:JFW588657 JPQ588574:JPS588657 JZM588574:JZO588657 KJI588574:KJK588657 KTE588574:KTG588657 LDA588574:LDC588657 LMW588574:LMY588657 LWS588574:LWU588657 MGO588574:MGQ588657 MQK588574:MQM588657 NAG588574:NAI588657 NKC588574:NKE588657 NTY588574:NUA588657 ODU588574:ODW588657 ONQ588574:ONS588657 OXM588574:OXO588657 PHI588574:PHK588657 PRE588574:PRG588657 QBA588574:QBC588657 QKW588574:QKY588657 QUS588574:QUU588657 REO588574:REQ588657 ROK588574:ROM588657 RYG588574:RYI588657 SIC588574:SIE588657 SRY588574:SSA588657 TBU588574:TBW588657 TLQ588574:TLS588657 TVM588574:TVO588657 UFI588574:UFK588657 UPE588574:UPG588657 UZA588574:UZC588657 VIW588574:VIY588657 VSS588574:VSU588657 WCO588574:WCQ588657 WMK588574:WMM588657 WWG588574:WWI588657 Y654110:AA654193 JU654110:JW654193 TQ654110:TS654193 ADM654110:ADO654193 ANI654110:ANK654193 AXE654110:AXG654193 BHA654110:BHC654193 BQW654110:BQY654193 CAS654110:CAU654193 CKO654110:CKQ654193 CUK654110:CUM654193 DEG654110:DEI654193 DOC654110:DOE654193 DXY654110:DYA654193 EHU654110:EHW654193 ERQ654110:ERS654193 FBM654110:FBO654193 FLI654110:FLK654193 FVE654110:FVG654193 GFA654110:GFC654193 GOW654110:GOY654193 GYS654110:GYU654193 HIO654110:HIQ654193 HSK654110:HSM654193 ICG654110:ICI654193 IMC654110:IME654193 IVY654110:IWA654193 JFU654110:JFW654193 JPQ654110:JPS654193 JZM654110:JZO654193 KJI654110:KJK654193 KTE654110:KTG654193 LDA654110:LDC654193 LMW654110:LMY654193 LWS654110:LWU654193 MGO654110:MGQ654193 MQK654110:MQM654193 NAG654110:NAI654193 NKC654110:NKE654193 NTY654110:NUA654193 ODU654110:ODW654193 ONQ654110:ONS654193 OXM654110:OXO654193 PHI654110:PHK654193 PRE654110:PRG654193 QBA654110:QBC654193 QKW654110:QKY654193 QUS654110:QUU654193 REO654110:REQ654193 ROK654110:ROM654193 RYG654110:RYI654193 SIC654110:SIE654193 SRY654110:SSA654193 TBU654110:TBW654193 TLQ654110:TLS654193 TVM654110:TVO654193 UFI654110:UFK654193 UPE654110:UPG654193 UZA654110:UZC654193 VIW654110:VIY654193 VSS654110:VSU654193 WCO654110:WCQ654193 WMK654110:WMM654193 WWG654110:WWI654193 Y719646:AA719729 JU719646:JW719729 TQ719646:TS719729 ADM719646:ADO719729 ANI719646:ANK719729 AXE719646:AXG719729 BHA719646:BHC719729 BQW719646:BQY719729 CAS719646:CAU719729 CKO719646:CKQ719729 CUK719646:CUM719729 DEG719646:DEI719729 DOC719646:DOE719729 DXY719646:DYA719729 EHU719646:EHW719729 ERQ719646:ERS719729 FBM719646:FBO719729 FLI719646:FLK719729 FVE719646:FVG719729 GFA719646:GFC719729 GOW719646:GOY719729 GYS719646:GYU719729 HIO719646:HIQ719729 HSK719646:HSM719729 ICG719646:ICI719729 IMC719646:IME719729 IVY719646:IWA719729 JFU719646:JFW719729 JPQ719646:JPS719729 JZM719646:JZO719729 KJI719646:KJK719729 KTE719646:KTG719729 LDA719646:LDC719729 LMW719646:LMY719729 LWS719646:LWU719729 MGO719646:MGQ719729 MQK719646:MQM719729 NAG719646:NAI719729 NKC719646:NKE719729 NTY719646:NUA719729 ODU719646:ODW719729 ONQ719646:ONS719729 OXM719646:OXO719729 PHI719646:PHK719729 PRE719646:PRG719729 QBA719646:QBC719729 QKW719646:QKY719729 QUS719646:QUU719729 REO719646:REQ719729 ROK719646:ROM719729 RYG719646:RYI719729 SIC719646:SIE719729 SRY719646:SSA719729 TBU719646:TBW719729 TLQ719646:TLS719729 TVM719646:TVO719729 UFI719646:UFK719729 UPE719646:UPG719729 UZA719646:UZC719729 VIW719646:VIY719729 VSS719646:VSU719729 WCO719646:WCQ719729 WMK719646:WMM719729 WWG719646:WWI719729 Y785182:AA785265 JU785182:JW785265 TQ785182:TS785265 ADM785182:ADO785265 ANI785182:ANK785265 AXE785182:AXG785265 BHA785182:BHC785265 BQW785182:BQY785265 CAS785182:CAU785265 CKO785182:CKQ785265 CUK785182:CUM785265 DEG785182:DEI785265 DOC785182:DOE785265 DXY785182:DYA785265 EHU785182:EHW785265 ERQ785182:ERS785265 FBM785182:FBO785265 FLI785182:FLK785265 FVE785182:FVG785265 GFA785182:GFC785265 GOW785182:GOY785265 GYS785182:GYU785265 HIO785182:HIQ785265 HSK785182:HSM785265 ICG785182:ICI785265 IMC785182:IME785265 IVY785182:IWA785265 JFU785182:JFW785265 JPQ785182:JPS785265 JZM785182:JZO785265 KJI785182:KJK785265 KTE785182:KTG785265 LDA785182:LDC785265 LMW785182:LMY785265 LWS785182:LWU785265 MGO785182:MGQ785265 MQK785182:MQM785265 NAG785182:NAI785265 NKC785182:NKE785265 NTY785182:NUA785265 ODU785182:ODW785265 ONQ785182:ONS785265 OXM785182:OXO785265 PHI785182:PHK785265 PRE785182:PRG785265 QBA785182:QBC785265 QKW785182:QKY785265 QUS785182:QUU785265 REO785182:REQ785265 ROK785182:ROM785265 RYG785182:RYI785265 SIC785182:SIE785265 SRY785182:SSA785265 TBU785182:TBW785265 TLQ785182:TLS785265 TVM785182:TVO785265 UFI785182:UFK785265 UPE785182:UPG785265 UZA785182:UZC785265 VIW785182:VIY785265 VSS785182:VSU785265 WCO785182:WCQ785265 WMK785182:WMM785265 WWG785182:WWI785265 Y850718:AA850801 JU850718:JW850801 TQ850718:TS850801 ADM850718:ADO850801 ANI850718:ANK850801 AXE850718:AXG850801 BHA850718:BHC850801 BQW850718:BQY850801 CAS850718:CAU850801 CKO850718:CKQ850801 CUK850718:CUM850801 DEG850718:DEI850801 DOC850718:DOE850801 DXY850718:DYA850801 EHU850718:EHW850801 ERQ850718:ERS850801 FBM850718:FBO850801 FLI850718:FLK850801 FVE850718:FVG850801 GFA850718:GFC850801 GOW850718:GOY850801 GYS850718:GYU850801 HIO850718:HIQ850801 HSK850718:HSM850801 ICG850718:ICI850801 IMC850718:IME850801 IVY850718:IWA850801 JFU850718:JFW850801 JPQ850718:JPS850801 JZM850718:JZO850801 KJI850718:KJK850801 KTE850718:KTG850801 LDA850718:LDC850801 LMW850718:LMY850801 LWS850718:LWU850801 MGO850718:MGQ850801 MQK850718:MQM850801 NAG850718:NAI850801 NKC850718:NKE850801 NTY850718:NUA850801 ODU850718:ODW850801 ONQ850718:ONS850801 OXM850718:OXO850801 PHI850718:PHK850801 PRE850718:PRG850801 QBA850718:QBC850801 QKW850718:QKY850801 QUS850718:QUU850801 REO850718:REQ850801 ROK850718:ROM850801 RYG850718:RYI850801 SIC850718:SIE850801 SRY850718:SSA850801 TBU850718:TBW850801 TLQ850718:TLS850801 TVM850718:TVO850801 UFI850718:UFK850801 UPE850718:UPG850801 UZA850718:UZC850801 VIW850718:VIY850801 VSS850718:VSU850801 WCO850718:WCQ850801 WMK850718:WMM850801 WWG850718:WWI850801 Y916254:AA916337 JU916254:JW916337 TQ916254:TS916337 ADM916254:ADO916337 ANI916254:ANK916337 AXE916254:AXG916337 BHA916254:BHC916337 BQW916254:BQY916337 CAS916254:CAU916337 CKO916254:CKQ916337 CUK916254:CUM916337 DEG916254:DEI916337 DOC916254:DOE916337 DXY916254:DYA916337 EHU916254:EHW916337 ERQ916254:ERS916337 FBM916254:FBO916337 FLI916254:FLK916337 FVE916254:FVG916337 GFA916254:GFC916337 GOW916254:GOY916337 GYS916254:GYU916337 HIO916254:HIQ916337 HSK916254:HSM916337 ICG916254:ICI916337 IMC916254:IME916337 IVY916254:IWA916337 JFU916254:JFW916337 JPQ916254:JPS916337 JZM916254:JZO916337 KJI916254:KJK916337 KTE916254:KTG916337 LDA916254:LDC916337 LMW916254:LMY916337 LWS916254:LWU916337 MGO916254:MGQ916337 MQK916254:MQM916337 NAG916254:NAI916337 NKC916254:NKE916337 NTY916254:NUA916337 ODU916254:ODW916337 ONQ916254:ONS916337 OXM916254:OXO916337 PHI916254:PHK916337 PRE916254:PRG916337 QBA916254:QBC916337 QKW916254:QKY916337 QUS916254:QUU916337 REO916254:REQ916337 ROK916254:ROM916337 RYG916254:RYI916337 SIC916254:SIE916337 SRY916254:SSA916337 TBU916254:TBW916337 TLQ916254:TLS916337 TVM916254:TVO916337 UFI916254:UFK916337 UPE916254:UPG916337 UZA916254:UZC916337 VIW916254:VIY916337 VSS916254:VSU916337 WCO916254:WCQ916337 WMK916254:WMM916337 WWG916254:WWI916337 Y981790:AA981873 JU981790:JW981873 TQ981790:TS981873 ADM981790:ADO981873 ANI981790:ANK981873 AXE981790:AXG981873 BHA981790:BHC981873 BQW981790:BQY981873 CAS981790:CAU981873 CKO981790:CKQ981873 CUK981790:CUM981873 DEG981790:DEI981873 DOC981790:DOE981873 DXY981790:DYA981873 EHU981790:EHW981873 ERQ981790:ERS981873 FBM981790:FBO981873 FLI981790:FLK981873 FVE981790:FVG981873 GFA981790:GFC981873 GOW981790:GOY981873 GYS981790:GYU981873 HIO981790:HIQ981873 HSK981790:HSM981873 ICG981790:ICI981873 IMC981790:IME981873 IVY981790:IWA981873 JFU981790:JFW981873 JPQ981790:JPS981873 JZM981790:JZO981873 KJI981790:KJK981873 KTE981790:KTG981873 LDA981790:LDC981873 LMW981790:LMY981873 LWS981790:LWU981873 MGO981790:MGQ981873 MQK981790:MQM981873 NAG981790:NAI981873 NKC981790:NKE981873 NTY981790:NUA981873 ODU981790:ODW981873 ONQ981790:ONS981873 OXM981790:OXO981873 PHI981790:PHK981873 PRE981790:PRG981873 QBA981790:QBC981873 QKW981790:QKY981873 QUS981790:QUU981873 REO981790:REQ981873 ROK981790:ROM981873 RYG981790:RYI981873 SIC981790:SIE981873 SRY981790:SSA981873 TBU981790:TBW981873 TLQ981790:TLS981873 TVM981790:TVO981873 UFI981790:UFK981873 UPE981790:UPG981873 UZA981790:UZC981873 VIW981790:VIY981873 VSS981790:VSU981873 WWG2:WWI58 WMK2:WMM58 WCO2:WCQ58 VSS2:VSU58 VIW2:VIY58 UZA2:UZC58 UPE2:UPG58 UFI2:UFK58 TVM2:TVO58 TLQ2:TLS58 TBU2:TBW58 SRY2:SSA58 SIC2:SIE58 RYG2:RYI58 ROK2:ROM58 REO2:REQ58 QUS2:QUU58 QKW2:QKY58 QBA2:QBC58 PRE2:PRG58 PHI2:PHK58 OXM2:OXO58 ONQ2:ONS58 ODU2:ODW58 NTY2:NUA58 NKC2:NKE58 NAG2:NAI58 MQK2:MQM58 MGO2:MGQ58 LWS2:LWU58 LMW2:LMY58 LDA2:LDC58 KTE2:KTG58 KJI2:KJK58 JZM2:JZO58 JPQ2:JPS58 JFU2:JFW58 IVY2:IWA58 IMC2:IME58 ICG2:ICI58 HSK2:HSM58 HIO2:HIQ58 GYS2:GYU58 GOW2:GOY58 GFA2:GFC58 FVE2:FVG58 FLI2:FLK58 FBM2:FBO58 ERQ2:ERS58 EHU2:EHW58 DXY2:DYA58 DOC2:DOE58 DEG2:DEI58 CUK2:CUM58 CKO2:CKQ58 CAS2:CAU58 BQW2:BQY58 BHA2:BHC58 AXE2:AXG58 ANI2:ANK58 ADM2:ADO58 TQ2:TS58 JU2:JW58" xr:uid="{D1C9ED96-2B50-4B1F-A627-34C43887F78F}">
      <formula1>$AV$2:$AV$16</formula1>
    </dataValidation>
    <dataValidation type="list" allowBlank="1" showInputMessage="1" showErrorMessage="1" sqref="F83:F487 F2:F81" xr:uid="{7820EF87-351F-49AB-B127-6779C79C47F1}">
      <formula1>$AH$2:$AH$7</formula1>
    </dataValidation>
    <dataValidation type="list" allowBlank="1" showInputMessage="1" showErrorMessage="1" sqref="E83:E487 E2:E81" xr:uid="{74189F06-531E-41F7-A3D0-04A7D2B0613D}">
      <formula1>$AG$2:$AG$8</formula1>
    </dataValidation>
    <dataValidation type="list" allowBlank="1" showInputMessage="1" showErrorMessage="1" sqref="A81:A485 A2:A79" xr:uid="{17E4C708-15B1-48DB-BD11-9E419A652A5A}">
      <formula1>$AE$2:$AE$13</formula1>
    </dataValidation>
    <dataValidation type="list" allowBlank="1" showInputMessage="1" showErrorMessage="1" sqref="H81:H485 H2:H79" xr:uid="{C0ABE5CA-3BA0-4C57-84A9-B550E2C20309}">
      <formula1>$AL$2:$AL$5</formula1>
    </dataValidation>
    <dataValidation type="list" allowBlank="1" showInputMessage="1" showErrorMessage="1" sqref="Y81:AA485 Y2:AA79" xr:uid="{F95BCD57-1ADA-4CD0-A084-4E3B64489E93}">
      <formula1>$AV$2:$AV$15</formula1>
    </dataValidation>
    <dataValidation type="decimal" allowBlank="1" showInputMessage="1" showErrorMessage="1" error="硬度を正しく入力して下さい。" sqref="O81:P485 P12 P10 O23:P25 O56:P79 O29:P34" xr:uid="{CD041F08-69A7-4CEF-AE36-265D1A578476}">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E7B7-67C0-4225-A695-A673DAFECFCA}">
  <dimension ref="A1:BA127"/>
  <sheetViews>
    <sheetView zoomScale="70" zoomScaleNormal="70"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311</v>
      </c>
      <c r="O1" s="56" t="s">
        <v>14</v>
      </c>
      <c r="P1" s="56" t="s">
        <v>15</v>
      </c>
      <c r="Q1" s="3" t="s">
        <v>16</v>
      </c>
      <c r="R1" s="56" t="s">
        <v>17</v>
      </c>
      <c r="S1" s="56" t="s">
        <v>18</v>
      </c>
      <c r="T1" s="3" t="s">
        <v>19</v>
      </c>
      <c r="U1" s="58" t="s">
        <v>312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236</v>
      </c>
      <c r="C2" s="62">
        <v>2019</v>
      </c>
      <c r="D2" s="137" t="s">
        <v>313</v>
      </c>
      <c r="E2" s="53" t="s">
        <v>314</v>
      </c>
      <c r="F2" s="53" t="s">
        <v>315</v>
      </c>
      <c r="G2" s="53" t="s">
        <v>36</v>
      </c>
      <c r="H2" s="53" t="s">
        <v>164</v>
      </c>
      <c r="I2" s="53" t="s">
        <v>159</v>
      </c>
      <c r="J2" s="53" t="s">
        <v>38</v>
      </c>
      <c r="K2" s="53" t="s">
        <v>161</v>
      </c>
      <c r="L2" s="53">
        <v>1</v>
      </c>
      <c r="N2" s="53">
        <v>5</v>
      </c>
      <c r="O2" s="53">
        <v>0.83</v>
      </c>
      <c r="P2" s="53">
        <v>0.74</v>
      </c>
      <c r="Q2" s="74">
        <f>IF(OR(O2="",P2=""),"",AVERAGE(O2,P2))</f>
        <v>0.78499999999999992</v>
      </c>
      <c r="R2" s="53">
        <v>14.3</v>
      </c>
      <c r="S2" s="53">
        <v>105</v>
      </c>
      <c r="T2" s="16">
        <f t="shared" ref="T2:T49" si="0">IF(H2="","",IF(OR(H2="GREEN",H2="GK"),IF(S2&gt;=$AX$2,VLOOKUP(S2,$AX$2:$AY$12,2,1),""),IF(S2&gt;=$AZ$2,VLOOKUP(S2,$AZ$2:$BA$12,2,1),"")))</f>
        <v>33</v>
      </c>
      <c r="U2" s="53">
        <v>348</v>
      </c>
      <c r="V2" s="16">
        <f t="shared" ref="V2:V49" si="1">IF(J2="","",IF(OR(J2="GREEN",J2="GK"),IF(U2&gt;=$AX$2,VLOOKUP(U2,$AX$2:$AY$12,2,1),""),IF(U2&gt;=$AZ$2,VLOOKUP(U2,$AZ$2:$BA$12,2,1),"")))</f>
        <v>16</v>
      </c>
      <c r="W2" s="53">
        <v>2</v>
      </c>
      <c r="X2" s="53" t="s">
        <v>46</v>
      </c>
      <c r="Y2" s="53" t="s">
        <v>90</v>
      </c>
      <c r="Z2" s="53" t="s">
        <v>84</v>
      </c>
      <c r="AA2" s="53" t="s">
        <v>316</v>
      </c>
      <c r="AB2" s="53" t="s">
        <v>317</v>
      </c>
      <c r="AE2" s="64" t="s">
        <v>35</v>
      </c>
      <c r="AG2" s="138" t="s">
        <v>318</v>
      </c>
      <c r="AH2" s="139"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236</v>
      </c>
      <c r="C3" s="62">
        <v>2019</v>
      </c>
      <c r="D3" s="137" t="s">
        <v>313</v>
      </c>
      <c r="E3" s="53" t="s">
        <v>314</v>
      </c>
      <c r="F3" s="53" t="s">
        <v>315</v>
      </c>
      <c r="G3" s="53" t="s">
        <v>36</v>
      </c>
      <c r="H3" s="53" t="s">
        <v>164</v>
      </c>
      <c r="I3" s="53" t="s">
        <v>159</v>
      </c>
      <c r="J3" s="53" t="s">
        <v>38</v>
      </c>
      <c r="K3" s="53" t="s">
        <v>161</v>
      </c>
      <c r="L3" s="53">
        <v>2</v>
      </c>
      <c r="N3" s="53">
        <v>5</v>
      </c>
      <c r="O3" s="53">
        <v>0.57999999999999996</v>
      </c>
      <c r="P3" s="53">
        <v>0.65</v>
      </c>
      <c r="Q3" s="74">
        <f t="shared" ref="Q3:Q49" si="2">IF(OR(O3="",P3=""),"",AVERAGE(O3,P3))</f>
        <v>0.61499999999999999</v>
      </c>
      <c r="R3" s="53">
        <v>14.5</v>
      </c>
      <c r="S3" s="53">
        <v>96</v>
      </c>
      <c r="T3" s="16">
        <f t="shared" si="0"/>
        <v>36</v>
      </c>
      <c r="U3" s="53">
        <v>348</v>
      </c>
      <c r="V3" s="16">
        <f t="shared" si="1"/>
        <v>16</v>
      </c>
      <c r="W3" s="53">
        <v>2</v>
      </c>
      <c r="X3" s="53" t="s">
        <v>46</v>
      </c>
      <c r="Y3" s="53" t="s">
        <v>90</v>
      </c>
      <c r="Z3" s="53" t="s">
        <v>84</v>
      </c>
      <c r="AA3" s="53" t="s">
        <v>316</v>
      </c>
      <c r="AB3" s="53" t="s">
        <v>317</v>
      </c>
      <c r="AE3" s="22" t="s">
        <v>41</v>
      </c>
      <c r="AG3" s="138" t="s">
        <v>321</v>
      </c>
      <c r="AH3" s="139" t="s">
        <v>315</v>
      </c>
      <c r="AJ3" s="23" t="s">
        <v>42</v>
      </c>
      <c r="AL3" s="23" t="s">
        <v>128</v>
      </c>
      <c r="AN3" s="23" t="s">
        <v>43</v>
      </c>
      <c r="AP3" s="23" t="s">
        <v>44</v>
      </c>
      <c r="AR3" s="23" t="s">
        <v>45</v>
      </c>
      <c r="AT3" s="23" t="s">
        <v>46</v>
      </c>
      <c r="AV3" s="23" t="s">
        <v>322</v>
      </c>
      <c r="AX3" s="24">
        <v>72</v>
      </c>
      <c r="AY3" s="25">
        <v>46</v>
      </c>
      <c r="AZ3" s="25">
        <v>71</v>
      </c>
      <c r="BA3" s="26">
        <v>42</v>
      </c>
    </row>
    <row r="4" spans="1:53" x14ac:dyDescent="0.15">
      <c r="A4" s="53" t="s">
        <v>59</v>
      </c>
      <c r="B4" s="53" t="s">
        <v>236</v>
      </c>
      <c r="C4" s="62">
        <v>2019</v>
      </c>
      <c r="D4" s="137" t="s">
        <v>313</v>
      </c>
      <c r="E4" s="53" t="s">
        <v>314</v>
      </c>
      <c r="F4" s="53" t="s">
        <v>315</v>
      </c>
      <c r="G4" s="53" t="s">
        <v>36</v>
      </c>
      <c r="H4" s="53" t="s">
        <v>164</v>
      </c>
      <c r="I4" s="53" t="s">
        <v>323</v>
      </c>
      <c r="J4" s="53" t="s">
        <v>38</v>
      </c>
      <c r="K4" s="53" t="s">
        <v>161</v>
      </c>
      <c r="L4" s="53">
        <v>3</v>
      </c>
      <c r="N4" s="53">
        <v>5</v>
      </c>
      <c r="O4" s="53">
        <v>0.56999999999999995</v>
      </c>
      <c r="P4" s="53">
        <v>0.62</v>
      </c>
      <c r="Q4" s="74">
        <f t="shared" si="2"/>
        <v>0.59499999999999997</v>
      </c>
      <c r="R4" s="53">
        <v>14.8</v>
      </c>
      <c r="S4" s="53">
        <v>100</v>
      </c>
      <c r="T4" s="16">
        <f t="shared" si="0"/>
        <v>33</v>
      </c>
      <c r="U4" s="53">
        <v>348</v>
      </c>
      <c r="V4" s="16">
        <f t="shared" si="1"/>
        <v>16</v>
      </c>
      <c r="W4" s="53">
        <v>2</v>
      </c>
      <c r="X4" s="53" t="s">
        <v>46</v>
      </c>
      <c r="Y4" s="53" t="s">
        <v>90</v>
      </c>
      <c r="Z4" s="53" t="s">
        <v>84</v>
      </c>
      <c r="AA4" s="53" t="s">
        <v>316</v>
      </c>
      <c r="AB4" s="53" t="s">
        <v>317</v>
      </c>
      <c r="AE4" s="22" t="s">
        <v>34</v>
      </c>
      <c r="AG4" s="138" t="s">
        <v>324</v>
      </c>
      <c r="AH4" s="139" t="s">
        <v>325</v>
      </c>
      <c r="AJ4" s="27" t="s">
        <v>48</v>
      </c>
      <c r="AL4" s="27" t="s">
        <v>129</v>
      </c>
      <c r="AN4" s="28" t="s">
        <v>49</v>
      </c>
      <c r="AP4" s="23" t="s">
        <v>93</v>
      </c>
      <c r="AR4" s="23" t="s">
        <v>326</v>
      </c>
      <c r="AT4" s="28"/>
      <c r="AV4" s="23" t="s">
        <v>327</v>
      </c>
      <c r="AX4" s="24">
        <v>75</v>
      </c>
      <c r="AY4" s="25">
        <v>42</v>
      </c>
      <c r="AZ4" s="25">
        <v>76</v>
      </c>
      <c r="BA4" s="26">
        <v>39</v>
      </c>
    </row>
    <row r="5" spans="1:53" x14ac:dyDescent="0.15">
      <c r="A5" s="53" t="s">
        <v>59</v>
      </c>
      <c r="B5" s="53" t="s">
        <v>236</v>
      </c>
      <c r="C5" s="62">
        <v>2019</v>
      </c>
      <c r="D5" s="137" t="s">
        <v>313</v>
      </c>
      <c r="E5" s="53" t="s">
        <v>318</v>
      </c>
      <c r="F5" s="53" t="s">
        <v>319</v>
      </c>
      <c r="G5" s="53" t="s">
        <v>36</v>
      </c>
      <c r="H5" s="53" t="s">
        <v>164</v>
      </c>
      <c r="I5" s="53" t="s">
        <v>159</v>
      </c>
      <c r="J5" s="53" t="s">
        <v>38</v>
      </c>
      <c r="K5" s="53" t="s">
        <v>161</v>
      </c>
      <c r="L5" s="53">
        <v>1</v>
      </c>
      <c r="N5" s="53">
        <v>4</v>
      </c>
      <c r="O5" s="53">
        <v>0.39</v>
      </c>
      <c r="P5" s="53">
        <v>0.43</v>
      </c>
      <c r="Q5" s="74">
        <f t="shared" si="2"/>
        <v>0.41000000000000003</v>
      </c>
      <c r="R5" s="53">
        <v>14.1</v>
      </c>
      <c r="S5" s="53">
        <v>92</v>
      </c>
      <c r="T5" s="16">
        <f t="shared" si="0"/>
        <v>36</v>
      </c>
      <c r="U5" s="53">
        <v>297</v>
      </c>
      <c r="V5" s="16">
        <f t="shared" si="1"/>
        <v>16</v>
      </c>
      <c r="W5" s="53">
        <v>6</v>
      </c>
      <c r="X5" s="53" t="s">
        <v>46</v>
      </c>
      <c r="Y5" s="53" t="s">
        <v>84</v>
      </c>
      <c r="Z5" s="53" t="s">
        <v>90</v>
      </c>
      <c r="AA5" s="53" t="s">
        <v>316</v>
      </c>
      <c r="AB5" s="53" t="s">
        <v>317</v>
      </c>
      <c r="AE5" s="22" t="s">
        <v>51</v>
      </c>
      <c r="AG5" s="138" t="s">
        <v>328</v>
      </c>
      <c r="AH5" s="139" t="s">
        <v>329</v>
      </c>
      <c r="AJ5" s="28"/>
      <c r="AL5" s="73" t="s">
        <v>66</v>
      </c>
      <c r="AN5" s="73" t="s">
        <v>52</v>
      </c>
      <c r="AP5" s="23" t="s">
        <v>250</v>
      </c>
      <c r="AR5" s="23" t="s">
        <v>54</v>
      </c>
      <c r="AV5" s="23" t="s">
        <v>330</v>
      </c>
      <c r="AX5" s="24">
        <v>84</v>
      </c>
      <c r="AY5" s="25">
        <v>39</v>
      </c>
      <c r="AZ5" s="25">
        <v>84</v>
      </c>
      <c r="BA5" s="26">
        <v>36</v>
      </c>
    </row>
    <row r="6" spans="1:53" x14ac:dyDescent="0.15">
      <c r="A6" s="53" t="s">
        <v>59</v>
      </c>
      <c r="B6" s="53" t="s">
        <v>236</v>
      </c>
      <c r="C6" s="62">
        <v>2019</v>
      </c>
      <c r="D6" s="137" t="s">
        <v>313</v>
      </c>
      <c r="E6" s="53" t="s">
        <v>318</v>
      </c>
      <c r="F6" s="53" t="s">
        <v>319</v>
      </c>
      <c r="G6" s="53" t="s">
        <v>36</v>
      </c>
      <c r="H6" s="53" t="s">
        <v>164</v>
      </c>
      <c r="I6" s="53" t="s">
        <v>159</v>
      </c>
      <c r="J6" s="53" t="s">
        <v>38</v>
      </c>
      <c r="K6" s="53" t="s">
        <v>161</v>
      </c>
      <c r="L6" s="53">
        <v>2</v>
      </c>
      <c r="N6" s="53">
        <v>4</v>
      </c>
      <c r="O6" s="53">
        <v>0.41</v>
      </c>
      <c r="P6" s="53">
        <v>0.39</v>
      </c>
      <c r="Q6" s="74">
        <f t="shared" si="2"/>
        <v>0.4</v>
      </c>
      <c r="R6" s="53">
        <v>14.2</v>
      </c>
      <c r="S6" s="53">
        <v>101</v>
      </c>
      <c r="T6" s="16">
        <f t="shared" si="0"/>
        <v>33</v>
      </c>
      <c r="U6" s="53">
        <v>297</v>
      </c>
      <c r="V6" s="16">
        <f t="shared" si="1"/>
        <v>16</v>
      </c>
      <c r="W6" s="53">
        <v>6</v>
      </c>
      <c r="X6" s="53" t="s">
        <v>46</v>
      </c>
      <c r="Y6" s="53" t="s">
        <v>84</v>
      </c>
      <c r="Z6" s="53" t="s">
        <v>90</v>
      </c>
      <c r="AA6" s="53" t="s">
        <v>316</v>
      </c>
      <c r="AB6" s="53" t="s">
        <v>317</v>
      </c>
      <c r="AE6" s="22" t="s">
        <v>56</v>
      </c>
      <c r="AG6" s="138" t="s">
        <v>331</v>
      </c>
      <c r="AH6" s="139" t="s">
        <v>332</v>
      </c>
      <c r="AL6" s="73" t="s">
        <v>99</v>
      </c>
      <c r="AN6" s="73" t="s">
        <v>57</v>
      </c>
      <c r="AP6" s="23" t="s">
        <v>53</v>
      </c>
      <c r="AR6" s="23" t="s">
        <v>333</v>
      </c>
      <c r="AV6" s="23" t="s">
        <v>60</v>
      </c>
      <c r="AX6" s="24">
        <v>97</v>
      </c>
      <c r="AY6" s="25">
        <v>36</v>
      </c>
      <c r="AZ6" s="25">
        <v>99</v>
      </c>
      <c r="BA6" s="26">
        <v>33</v>
      </c>
    </row>
    <row r="7" spans="1:53" x14ac:dyDescent="0.15">
      <c r="A7" s="53" t="s">
        <v>59</v>
      </c>
      <c r="B7" s="53" t="s">
        <v>236</v>
      </c>
      <c r="C7" s="62">
        <v>2019</v>
      </c>
      <c r="D7" s="137" t="s">
        <v>313</v>
      </c>
      <c r="E7" s="53" t="s">
        <v>318</v>
      </c>
      <c r="F7" s="53" t="s">
        <v>319</v>
      </c>
      <c r="G7" s="53" t="s">
        <v>36</v>
      </c>
      <c r="H7" s="53" t="s">
        <v>164</v>
      </c>
      <c r="I7" s="53" t="s">
        <v>159</v>
      </c>
      <c r="J7" s="53" t="s">
        <v>38</v>
      </c>
      <c r="K7" s="53" t="s">
        <v>161</v>
      </c>
      <c r="L7" s="53">
        <v>3</v>
      </c>
      <c r="N7" s="53">
        <v>4</v>
      </c>
      <c r="O7" s="53">
        <v>0.43</v>
      </c>
      <c r="P7" s="53">
        <v>0.41</v>
      </c>
      <c r="Q7" s="74">
        <f t="shared" si="2"/>
        <v>0.42</v>
      </c>
      <c r="R7" s="53">
        <v>14.2</v>
      </c>
      <c r="S7" s="53">
        <v>95</v>
      </c>
      <c r="T7" s="16">
        <f t="shared" si="0"/>
        <v>36</v>
      </c>
      <c r="U7" s="53">
        <v>297</v>
      </c>
      <c r="V7" s="16">
        <f t="shared" si="1"/>
        <v>16</v>
      </c>
      <c r="W7" s="53">
        <v>6</v>
      </c>
      <c r="X7" s="53" t="s">
        <v>46</v>
      </c>
      <c r="Y7" s="53" t="s">
        <v>84</v>
      </c>
      <c r="Z7" s="53" t="s">
        <v>90</v>
      </c>
      <c r="AA7" s="53" t="s">
        <v>316</v>
      </c>
      <c r="AB7" s="53" t="s">
        <v>317</v>
      </c>
      <c r="AE7" s="22" t="s">
        <v>61</v>
      </c>
      <c r="AG7" s="138" t="s">
        <v>334</v>
      </c>
      <c r="AH7" s="139" t="s">
        <v>335</v>
      </c>
      <c r="AL7" s="34" t="s">
        <v>109</v>
      </c>
      <c r="AP7" s="23" t="s">
        <v>58</v>
      </c>
      <c r="AR7" s="23" t="s">
        <v>336</v>
      </c>
      <c r="AV7" s="23" t="s">
        <v>64</v>
      </c>
      <c r="AX7" s="24">
        <v>109</v>
      </c>
      <c r="AY7" s="25">
        <v>33</v>
      </c>
      <c r="AZ7" s="25">
        <v>113</v>
      </c>
      <c r="BA7" s="26">
        <v>30</v>
      </c>
    </row>
    <row r="8" spans="1:53" x14ac:dyDescent="0.15">
      <c r="A8" s="53" t="s">
        <v>59</v>
      </c>
      <c r="B8" s="53" t="s">
        <v>236</v>
      </c>
      <c r="C8" s="62">
        <v>2019</v>
      </c>
      <c r="D8" s="137" t="s">
        <v>313</v>
      </c>
      <c r="E8" s="53" t="s">
        <v>318</v>
      </c>
      <c r="F8" s="53" t="s">
        <v>319</v>
      </c>
      <c r="G8" s="53" t="s">
        <v>36</v>
      </c>
      <c r="H8" s="53" t="s">
        <v>128</v>
      </c>
      <c r="I8" s="53" t="s">
        <v>159</v>
      </c>
      <c r="J8" s="53" t="s">
        <v>67</v>
      </c>
      <c r="K8" s="53" t="s">
        <v>333</v>
      </c>
      <c r="L8" s="53">
        <v>1</v>
      </c>
      <c r="N8" s="53">
        <v>6</v>
      </c>
      <c r="O8" s="53">
        <v>0.21</v>
      </c>
      <c r="P8" s="53">
        <v>0.24</v>
      </c>
      <c r="Q8" s="74">
        <f t="shared" si="2"/>
        <v>0.22499999999999998</v>
      </c>
      <c r="R8" s="53">
        <v>13.4</v>
      </c>
      <c r="S8" s="53">
        <v>60</v>
      </c>
      <c r="T8" s="16">
        <f t="shared" si="0"/>
        <v>50</v>
      </c>
      <c r="U8" s="53">
        <v>257</v>
      </c>
      <c r="V8" s="16">
        <f t="shared" si="1"/>
        <v>16</v>
      </c>
      <c r="W8" s="53">
        <v>2</v>
      </c>
      <c r="X8" s="53" t="s">
        <v>46</v>
      </c>
      <c r="Y8" s="53" t="s">
        <v>84</v>
      </c>
      <c r="Z8" s="53" t="s">
        <v>90</v>
      </c>
      <c r="AA8" s="53" t="s">
        <v>316</v>
      </c>
      <c r="AB8" s="53" t="s">
        <v>317</v>
      </c>
      <c r="AE8" s="22" t="s">
        <v>59</v>
      </c>
      <c r="AG8" s="140" t="s">
        <v>162</v>
      </c>
      <c r="AH8" s="139" t="s">
        <v>337</v>
      </c>
      <c r="AL8" s="34" t="s">
        <v>134</v>
      </c>
      <c r="AP8" s="23" t="s">
        <v>62</v>
      </c>
      <c r="AR8" s="23" t="s">
        <v>81</v>
      </c>
      <c r="AV8" s="23" t="s">
        <v>97</v>
      </c>
      <c r="AX8" s="24">
        <v>119</v>
      </c>
      <c r="AY8" s="25">
        <v>30</v>
      </c>
      <c r="AZ8" s="25">
        <v>121</v>
      </c>
      <c r="BA8" s="26">
        <v>27</v>
      </c>
    </row>
    <row r="9" spans="1:53" x14ac:dyDescent="0.15">
      <c r="A9" s="53" t="s">
        <v>59</v>
      </c>
      <c r="B9" s="53" t="s">
        <v>236</v>
      </c>
      <c r="C9" s="62">
        <v>2019</v>
      </c>
      <c r="D9" s="137" t="s">
        <v>313</v>
      </c>
      <c r="E9" s="53" t="s">
        <v>318</v>
      </c>
      <c r="F9" s="53" t="s">
        <v>319</v>
      </c>
      <c r="G9" s="53" t="s">
        <v>36</v>
      </c>
      <c r="H9" s="53" t="s">
        <v>128</v>
      </c>
      <c r="I9" s="53" t="s">
        <v>159</v>
      </c>
      <c r="J9" s="53" t="s">
        <v>67</v>
      </c>
      <c r="K9" s="53" t="s">
        <v>333</v>
      </c>
      <c r="L9" s="53">
        <v>2</v>
      </c>
      <c r="N9" s="53">
        <v>6</v>
      </c>
      <c r="O9" s="53">
        <v>0.27</v>
      </c>
      <c r="P9" s="53">
        <v>0.25</v>
      </c>
      <c r="Q9" s="74">
        <f t="shared" si="2"/>
        <v>0.26</v>
      </c>
      <c r="R9" s="53">
        <v>12.9</v>
      </c>
      <c r="S9" s="53">
        <v>64</v>
      </c>
      <c r="T9" s="16">
        <f t="shared" si="0"/>
        <v>50</v>
      </c>
      <c r="U9" s="53">
        <v>257</v>
      </c>
      <c r="V9" s="16">
        <f t="shared" si="1"/>
        <v>16</v>
      </c>
      <c r="W9" s="53">
        <v>2</v>
      </c>
      <c r="X9" s="53" t="s">
        <v>46</v>
      </c>
      <c r="Y9" s="53" t="s">
        <v>84</v>
      </c>
      <c r="Z9" s="53" t="s">
        <v>90</v>
      </c>
      <c r="AA9" s="53" t="s">
        <v>316</v>
      </c>
      <c r="AB9" s="53" t="s">
        <v>317</v>
      </c>
      <c r="AE9" s="22" t="s">
        <v>98</v>
      </c>
      <c r="AG9" s="140" t="s">
        <v>338</v>
      </c>
      <c r="AH9" s="139" t="s">
        <v>337</v>
      </c>
      <c r="AL9" s="73"/>
      <c r="AP9" s="23" t="s">
        <v>339</v>
      </c>
      <c r="AR9" s="23" t="s">
        <v>89</v>
      </c>
      <c r="AV9" s="23" t="s">
        <v>102</v>
      </c>
      <c r="AX9" s="24">
        <v>128</v>
      </c>
      <c r="AY9" s="25">
        <v>27</v>
      </c>
      <c r="AZ9" s="25">
        <v>129</v>
      </c>
      <c r="BA9" s="26">
        <v>25</v>
      </c>
    </row>
    <row r="10" spans="1:53" x14ac:dyDescent="0.15">
      <c r="A10" s="53" t="s">
        <v>59</v>
      </c>
      <c r="B10" s="53" t="s">
        <v>236</v>
      </c>
      <c r="C10" s="62">
        <v>2019</v>
      </c>
      <c r="D10" s="137" t="s">
        <v>313</v>
      </c>
      <c r="E10" s="53" t="s">
        <v>318</v>
      </c>
      <c r="F10" s="53" t="s">
        <v>319</v>
      </c>
      <c r="G10" s="53" t="s">
        <v>36</v>
      </c>
      <c r="H10" s="53" t="s">
        <v>128</v>
      </c>
      <c r="I10" s="53" t="s">
        <v>159</v>
      </c>
      <c r="J10" s="53" t="s">
        <v>67</v>
      </c>
      <c r="K10" s="53" t="s">
        <v>333</v>
      </c>
      <c r="L10" s="53">
        <v>3</v>
      </c>
      <c r="N10" s="53">
        <v>6</v>
      </c>
      <c r="O10" s="53">
        <v>0.31</v>
      </c>
      <c r="P10" s="53">
        <v>0.28999999999999998</v>
      </c>
      <c r="Q10" s="74">
        <f t="shared" si="2"/>
        <v>0.3</v>
      </c>
      <c r="R10" s="53">
        <v>13.9</v>
      </c>
      <c r="S10" s="53">
        <v>70</v>
      </c>
      <c r="T10" s="16">
        <f t="shared" si="0"/>
        <v>50</v>
      </c>
      <c r="U10" s="53">
        <v>257</v>
      </c>
      <c r="V10" s="16">
        <f t="shared" si="1"/>
        <v>16</v>
      </c>
      <c r="W10" s="53">
        <v>2</v>
      </c>
      <c r="X10" s="53" t="s">
        <v>46</v>
      </c>
      <c r="Y10" s="53" t="s">
        <v>84</v>
      </c>
      <c r="Z10" s="53" t="s">
        <v>90</v>
      </c>
      <c r="AA10" s="53" t="s">
        <v>316</v>
      </c>
      <c r="AB10" s="53" t="s">
        <v>317</v>
      </c>
      <c r="AE10" s="22" t="s">
        <v>103</v>
      </c>
      <c r="AG10" s="138" t="s">
        <v>340</v>
      </c>
      <c r="AH10" s="139" t="s">
        <v>329</v>
      </c>
      <c r="AL10" s="83"/>
      <c r="AP10" s="23" t="s">
        <v>100</v>
      </c>
      <c r="AR10" s="23" t="s">
        <v>123</v>
      </c>
      <c r="AV10" s="23" t="s">
        <v>106</v>
      </c>
      <c r="AX10" s="24">
        <v>138</v>
      </c>
      <c r="AY10" s="25">
        <v>25</v>
      </c>
      <c r="AZ10" s="25">
        <v>138</v>
      </c>
      <c r="BA10" s="26">
        <v>22</v>
      </c>
    </row>
    <row r="11" spans="1:53" x14ac:dyDescent="0.15">
      <c r="A11" s="53" t="s">
        <v>59</v>
      </c>
      <c r="B11" s="53" t="s">
        <v>236</v>
      </c>
      <c r="C11" s="62">
        <v>2019</v>
      </c>
      <c r="D11" s="137" t="s">
        <v>313</v>
      </c>
      <c r="E11" s="53" t="s">
        <v>328</v>
      </c>
      <c r="F11" s="53" t="s">
        <v>329</v>
      </c>
      <c r="G11" s="53" t="s">
        <v>36</v>
      </c>
      <c r="H11" s="53" t="s">
        <v>164</v>
      </c>
      <c r="I11" s="53" t="s">
        <v>159</v>
      </c>
      <c r="J11" s="53" t="s">
        <v>38</v>
      </c>
      <c r="K11" s="53" t="s">
        <v>161</v>
      </c>
      <c r="L11" s="53">
        <v>1</v>
      </c>
      <c r="N11" s="53">
        <v>4</v>
      </c>
      <c r="O11" s="53">
        <v>0.73</v>
      </c>
      <c r="P11" s="53">
        <v>0.72</v>
      </c>
      <c r="Q11" s="74">
        <f t="shared" si="2"/>
        <v>0.72499999999999998</v>
      </c>
      <c r="R11" s="53">
        <v>14</v>
      </c>
      <c r="S11" s="53">
        <v>96</v>
      </c>
      <c r="T11" s="16">
        <f t="shared" si="0"/>
        <v>36</v>
      </c>
      <c r="U11" s="53">
        <v>399</v>
      </c>
      <c r="V11" s="16">
        <f t="shared" si="1"/>
        <v>16</v>
      </c>
      <c r="W11" s="53">
        <v>4</v>
      </c>
      <c r="X11" s="53" t="s">
        <v>39</v>
      </c>
      <c r="Y11" s="53" t="s">
        <v>84</v>
      </c>
      <c r="Z11" s="53" t="s">
        <v>90</v>
      </c>
      <c r="AA11" s="53" t="s">
        <v>316</v>
      </c>
      <c r="AB11" s="53" t="s">
        <v>317</v>
      </c>
      <c r="AE11" s="22" t="s">
        <v>65</v>
      </c>
      <c r="AG11" s="140" t="s">
        <v>341</v>
      </c>
      <c r="AH11" s="139" t="s">
        <v>342</v>
      </c>
      <c r="AL11" s="83"/>
      <c r="AP11" s="23" t="s">
        <v>343</v>
      </c>
      <c r="AR11" s="23" t="s">
        <v>344</v>
      </c>
      <c r="AV11" s="23" t="s">
        <v>345</v>
      </c>
      <c r="AX11" s="24">
        <v>151</v>
      </c>
      <c r="AY11" s="25">
        <v>22</v>
      </c>
      <c r="AZ11" s="25">
        <v>152</v>
      </c>
      <c r="BA11" s="26">
        <v>18</v>
      </c>
    </row>
    <row r="12" spans="1:53" x14ac:dyDescent="0.15">
      <c r="A12" s="53" t="s">
        <v>59</v>
      </c>
      <c r="B12" s="53" t="s">
        <v>236</v>
      </c>
      <c r="C12" s="62">
        <v>2019</v>
      </c>
      <c r="D12" s="137" t="s">
        <v>313</v>
      </c>
      <c r="E12" s="53" t="s">
        <v>328</v>
      </c>
      <c r="F12" s="53" t="s">
        <v>329</v>
      </c>
      <c r="G12" s="53" t="s">
        <v>36</v>
      </c>
      <c r="H12" s="53" t="s">
        <v>164</v>
      </c>
      <c r="I12" s="53" t="s">
        <v>159</v>
      </c>
      <c r="J12" s="53" t="s">
        <v>38</v>
      </c>
      <c r="K12" s="53" t="s">
        <v>161</v>
      </c>
      <c r="L12" s="53">
        <v>2</v>
      </c>
      <c r="N12" s="53">
        <v>4</v>
      </c>
      <c r="O12" s="53">
        <v>0.34</v>
      </c>
      <c r="P12" s="53">
        <v>0.42</v>
      </c>
      <c r="Q12" s="74">
        <f t="shared" si="2"/>
        <v>0.38</v>
      </c>
      <c r="R12" s="53">
        <v>15.2</v>
      </c>
      <c r="S12" s="53">
        <v>99</v>
      </c>
      <c r="T12" s="16">
        <f t="shared" si="0"/>
        <v>33</v>
      </c>
      <c r="U12" s="53">
        <v>399</v>
      </c>
      <c r="V12" s="16">
        <f t="shared" si="1"/>
        <v>16</v>
      </c>
      <c r="W12" s="53">
        <v>4</v>
      </c>
      <c r="X12" s="53" t="s">
        <v>39</v>
      </c>
      <c r="Y12" s="53" t="s">
        <v>84</v>
      </c>
      <c r="Z12" s="53" t="s">
        <v>90</v>
      </c>
      <c r="AA12" s="53" t="s">
        <v>316</v>
      </c>
      <c r="AB12" s="53" t="s">
        <v>317</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236</v>
      </c>
      <c r="C13" s="62">
        <v>2019</v>
      </c>
      <c r="D13" s="137" t="s">
        <v>313</v>
      </c>
      <c r="E13" s="53" t="s">
        <v>328</v>
      </c>
      <c r="F13" s="53" t="s">
        <v>329</v>
      </c>
      <c r="G13" s="53" t="s">
        <v>36</v>
      </c>
      <c r="H13" s="53" t="s">
        <v>164</v>
      </c>
      <c r="I13" s="53" t="s">
        <v>159</v>
      </c>
      <c r="J13" s="53" t="s">
        <v>38</v>
      </c>
      <c r="K13" s="53" t="s">
        <v>161</v>
      </c>
      <c r="L13" s="53">
        <v>3</v>
      </c>
      <c r="N13" s="53">
        <v>4</v>
      </c>
      <c r="O13" s="53">
        <v>0.38</v>
      </c>
      <c r="P13" s="53">
        <v>0.45</v>
      </c>
      <c r="Q13" s="74">
        <f t="shared" si="2"/>
        <v>0.41500000000000004</v>
      </c>
      <c r="R13" s="53">
        <v>15.6</v>
      </c>
      <c r="S13" s="53">
        <v>102</v>
      </c>
      <c r="T13" s="16">
        <f t="shared" si="0"/>
        <v>33</v>
      </c>
      <c r="U13" s="53">
        <v>399</v>
      </c>
      <c r="V13" s="16">
        <f t="shared" si="1"/>
        <v>16</v>
      </c>
      <c r="W13" s="53">
        <v>4</v>
      </c>
      <c r="X13" s="53" t="s">
        <v>39</v>
      </c>
      <c r="Y13" s="53" t="s">
        <v>84</v>
      </c>
      <c r="Z13" s="53" t="s">
        <v>90</v>
      </c>
      <c r="AA13" s="53" t="s">
        <v>316</v>
      </c>
      <c r="AB13" s="53" t="s">
        <v>317</v>
      </c>
      <c r="AE13" s="22" t="s">
        <v>73</v>
      </c>
      <c r="AG13" s="23"/>
      <c r="AH13" s="23"/>
      <c r="AP13" s="23" t="s">
        <v>71</v>
      </c>
      <c r="AR13" s="23" t="s">
        <v>103</v>
      </c>
      <c r="AV13" s="23" t="s">
        <v>75</v>
      </c>
    </row>
    <row r="14" spans="1:53" x14ac:dyDescent="0.15">
      <c r="A14" s="53" t="s">
        <v>59</v>
      </c>
      <c r="B14" s="53" t="s">
        <v>236</v>
      </c>
      <c r="C14" s="62">
        <v>2019</v>
      </c>
      <c r="D14" s="137" t="s">
        <v>313</v>
      </c>
      <c r="E14" s="53" t="s">
        <v>328</v>
      </c>
      <c r="F14" s="53" t="s">
        <v>329</v>
      </c>
      <c r="G14" s="53" t="s">
        <v>36</v>
      </c>
      <c r="H14" s="53" t="s">
        <v>128</v>
      </c>
      <c r="I14" s="53" t="s">
        <v>159</v>
      </c>
      <c r="J14" s="53" t="s">
        <v>80</v>
      </c>
      <c r="K14" s="53" t="s">
        <v>326</v>
      </c>
      <c r="L14" s="53">
        <v>1</v>
      </c>
      <c r="N14" s="53">
        <v>3</v>
      </c>
      <c r="O14" s="53">
        <v>0.47</v>
      </c>
      <c r="P14" s="53">
        <v>0.38</v>
      </c>
      <c r="Q14" s="74">
        <f t="shared" si="2"/>
        <v>0.42499999999999999</v>
      </c>
      <c r="R14" s="53">
        <v>14.2</v>
      </c>
      <c r="S14" s="53">
        <v>135</v>
      </c>
      <c r="T14" s="16">
        <f t="shared" si="0"/>
        <v>25</v>
      </c>
      <c r="U14" s="53">
        <v>399</v>
      </c>
      <c r="V14" s="16">
        <f t="shared" si="1"/>
        <v>16</v>
      </c>
      <c r="W14" s="53">
        <v>1</v>
      </c>
      <c r="X14" s="53" t="s">
        <v>39</v>
      </c>
      <c r="Y14" s="53" t="s">
        <v>84</v>
      </c>
      <c r="Z14" s="53" t="s">
        <v>90</v>
      </c>
      <c r="AA14" s="53" t="s">
        <v>316</v>
      </c>
      <c r="AB14" s="53" t="s">
        <v>317</v>
      </c>
      <c r="AE14" s="22" t="s">
        <v>76</v>
      </c>
      <c r="AG14" s="23"/>
      <c r="AH14" s="23"/>
      <c r="AP14" s="23" t="s">
        <v>346</v>
      </c>
      <c r="AR14" s="23" t="s">
        <v>125</v>
      </c>
      <c r="AV14" s="23" t="s">
        <v>78</v>
      </c>
    </row>
    <row r="15" spans="1:53" x14ac:dyDescent="0.15">
      <c r="A15" s="53" t="s">
        <v>59</v>
      </c>
      <c r="B15" s="53" t="s">
        <v>236</v>
      </c>
      <c r="C15" s="62">
        <v>2019</v>
      </c>
      <c r="D15" s="137" t="s">
        <v>313</v>
      </c>
      <c r="E15" s="53" t="s">
        <v>328</v>
      </c>
      <c r="F15" s="53" t="s">
        <v>329</v>
      </c>
      <c r="G15" s="53" t="s">
        <v>36</v>
      </c>
      <c r="H15" s="53" t="s">
        <v>128</v>
      </c>
      <c r="I15" s="53" t="s">
        <v>159</v>
      </c>
      <c r="J15" s="53" t="s">
        <v>80</v>
      </c>
      <c r="K15" s="53" t="s">
        <v>326</v>
      </c>
      <c r="L15" s="53">
        <v>2</v>
      </c>
      <c r="N15" s="53">
        <v>3</v>
      </c>
      <c r="O15" s="53">
        <v>0.43</v>
      </c>
      <c r="P15" s="53">
        <v>0.45</v>
      </c>
      <c r="Q15" s="74">
        <f t="shared" si="2"/>
        <v>0.44</v>
      </c>
      <c r="R15" s="53">
        <v>15.4</v>
      </c>
      <c r="S15" s="53">
        <v>133</v>
      </c>
      <c r="T15" s="16">
        <f t="shared" si="0"/>
        <v>25</v>
      </c>
      <c r="U15" s="53">
        <v>399</v>
      </c>
      <c r="V15" s="16">
        <f t="shared" si="1"/>
        <v>16</v>
      </c>
      <c r="W15" s="53">
        <v>1</v>
      </c>
      <c r="X15" s="53" t="s">
        <v>39</v>
      </c>
      <c r="Y15" s="53" t="s">
        <v>84</v>
      </c>
      <c r="Z15" s="53" t="s">
        <v>90</v>
      </c>
      <c r="AA15" s="53" t="s">
        <v>316</v>
      </c>
      <c r="AB15" s="53" t="s">
        <v>317</v>
      </c>
      <c r="AE15" s="22" t="s">
        <v>79</v>
      </c>
      <c r="AG15" s="23"/>
      <c r="AH15" s="23"/>
      <c r="AP15" s="23" t="s">
        <v>347</v>
      </c>
      <c r="AR15" s="23" t="s">
        <v>94</v>
      </c>
      <c r="AV15" s="23" t="s">
        <v>107</v>
      </c>
    </row>
    <row r="16" spans="1:53" x14ac:dyDescent="0.15">
      <c r="A16" s="53" t="s">
        <v>59</v>
      </c>
      <c r="B16" s="53" t="s">
        <v>236</v>
      </c>
      <c r="C16" s="62">
        <v>2019</v>
      </c>
      <c r="D16" s="137" t="s">
        <v>313</v>
      </c>
      <c r="E16" s="53" t="s">
        <v>328</v>
      </c>
      <c r="F16" s="53" t="s">
        <v>329</v>
      </c>
      <c r="G16" s="53" t="s">
        <v>36</v>
      </c>
      <c r="H16" s="53" t="s">
        <v>128</v>
      </c>
      <c r="I16" s="53" t="s">
        <v>159</v>
      </c>
      <c r="J16" s="53" t="s">
        <v>80</v>
      </c>
      <c r="K16" s="53" t="s">
        <v>326</v>
      </c>
      <c r="L16" s="53">
        <v>3</v>
      </c>
      <c r="N16" s="53">
        <v>3</v>
      </c>
      <c r="O16" s="53">
        <v>0.51</v>
      </c>
      <c r="P16" s="53">
        <v>0.46</v>
      </c>
      <c r="Q16" s="74">
        <f t="shared" si="2"/>
        <v>0.48499999999999999</v>
      </c>
      <c r="R16" s="53">
        <v>14.1</v>
      </c>
      <c r="S16" s="53">
        <v>115</v>
      </c>
      <c r="T16" s="16">
        <f t="shared" si="0"/>
        <v>30</v>
      </c>
      <c r="U16" s="53">
        <v>399</v>
      </c>
      <c r="V16" s="16">
        <f t="shared" si="1"/>
        <v>16</v>
      </c>
      <c r="W16" s="53">
        <v>1</v>
      </c>
      <c r="X16" s="53" t="s">
        <v>39</v>
      </c>
      <c r="Y16" s="53" t="s">
        <v>84</v>
      </c>
      <c r="Z16" s="53" t="s">
        <v>90</v>
      </c>
      <c r="AA16" s="53" t="s">
        <v>316</v>
      </c>
      <c r="AB16" s="53" t="s">
        <v>317</v>
      </c>
      <c r="AE16" s="22" t="s">
        <v>82</v>
      </c>
      <c r="AG16" s="28"/>
      <c r="AH16" s="28"/>
      <c r="AP16" s="23" t="s">
        <v>80</v>
      </c>
      <c r="AR16" s="23" t="s">
        <v>63</v>
      </c>
      <c r="AV16" s="23" t="s">
        <v>84</v>
      </c>
    </row>
    <row r="17" spans="1:48" x14ac:dyDescent="0.15">
      <c r="A17" s="53" t="s">
        <v>59</v>
      </c>
      <c r="B17" s="53" t="s">
        <v>236</v>
      </c>
      <c r="C17" s="62">
        <v>2019</v>
      </c>
      <c r="D17" s="137" t="s">
        <v>313</v>
      </c>
      <c r="E17" s="53" t="s">
        <v>340</v>
      </c>
      <c r="F17" s="53" t="s">
        <v>329</v>
      </c>
      <c r="G17" s="53" t="s">
        <v>36</v>
      </c>
      <c r="H17" s="53" t="s">
        <v>164</v>
      </c>
      <c r="I17" s="53" t="s">
        <v>159</v>
      </c>
      <c r="J17" s="53" t="s">
        <v>38</v>
      </c>
      <c r="K17" s="53" t="s">
        <v>161</v>
      </c>
      <c r="L17" s="53">
        <v>1</v>
      </c>
      <c r="N17" s="53">
        <v>4</v>
      </c>
      <c r="O17" s="53">
        <v>0.36</v>
      </c>
      <c r="P17" s="53">
        <v>0.41</v>
      </c>
      <c r="Q17" s="74">
        <f t="shared" si="2"/>
        <v>0.38500000000000001</v>
      </c>
      <c r="R17" s="53">
        <v>15.9</v>
      </c>
      <c r="S17" s="53">
        <v>95</v>
      </c>
      <c r="T17" s="16">
        <f t="shared" si="0"/>
        <v>36</v>
      </c>
      <c r="U17" s="53">
        <v>429</v>
      </c>
      <c r="V17" s="16">
        <f t="shared" si="1"/>
        <v>16</v>
      </c>
      <c r="W17" s="53">
        <v>2</v>
      </c>
      <c r="X17" s="53" t="s">
        <v>46</v>
      </c>
      <c r="Y17" s="53" t="s">
        <v>84</v>
      </c>
      <c r="Z17" s="53" t="s">
        <v>90</v>
      </c>
      <c r="AA17" s="53" t="s">
        <v>78</v>
      </c>
      <c r="AB17" s="53" t="s">
        <v>317</v>
      </c>
      <c r="AE17" s="22" t="s">
        <v>85</v>
      </c>
      <c r="AP17" s="27" t="s">
        <v>110</v>
      </c>
      <c r="AR17" s="23" t="s">
        <v>96</v>
      </c>
      <c r="AV17" s="23" t="s">
        <v>86</v>
      </c>
    </row>
    <row r="18" spans="1:48" x14ac:dyDescent="0.15">
      <c r="A18" s="53" t="s">
        <v>59</v>
      </c>
      <c r="B18" s="53" t="s">
        <v>236</v>
      </c>
      <c r="C18" s="62">
        <v>2019</v>
      </c>
      <c r="D18" s="137" t="s">
        <v>313</v>
      </c>
      <c r="E18" s="53" t="s">
        <v>340</v>
      </c>
      <c r="F18" s="53" t="s">
        <v>329</v>
      </c>
      <c r="G18" s="53" t="s">
        <v>36</v>
      </c>
      <c r="H18" s="53" t="s">
        <v>164</v>
      </c>
      <c r="I18" s="53" t="s">
        <v>159</v>
      </c>
      <c r="J18" s="53" t="s">
        <v>38</v>
      </c>
      <c r="K18" s="53" t="s">
        <v>161</v>
      </c>
      <c r="L18" s="53">
        <v>2</v>
      </c>
      <c r="N18" s="53">
        <v>4</v>
      </c>
      <c r="O18" s="53">
        <v>0.52</v>
      </c>
      <c r="P18" s="53">
        <v>0.45</v>
      </c>
      <c r="Q18" s="74">
        <f t="shared" si="2"/>
        <v>0.48499999999999999</v>
      </c>
      <c r="R18" s="53">
        <v>15.6</v>
      </c>
      <c r="S18" s="53">
        <v>100</v>
      </c>
      <c r="T18" s="16">
        <f t="shared" si="0"/>
        <v>33</v>
      </c>
      <c r="U18" s="53">
        <v>429</v>
      </c>
      <c r="V18" s="16">
        <f t="shared" si="1"/>
        <v>16</v>
      </c>
      <c r="W18" s="53">
        <v>2</v>
      </c>
      <c r="X18" s="53" t="s">
        <v>46</v>
      </c>
      <c r="Y18" s="53" t="s">
        <v>84</v>
      </c>
      <c r="Z18" s="53" t="s">
        <v>90</v>
      </c>
      <c r="AA18" s="53" t="s">
        <v>78</v>
      </c>
      <c r="AB18" s="53" t="s">
        <v>317</v>
      </c>
      <c r="AE18" s="22" t="s">
        <v>87</v>
      </c>
      <c r="AP18" s="27" t="s">
        <v>348</v>
      </c>
      <c r="AR18" s="23" t="s">
        <v>101</v>
      </c>
      <c r="AV18" s="23" t="s">
        <v>88</v>
      </c>
    </row>
    <row r="19" spans="1:48" x14ac:dyDescent="0.15">
      <c r="A19" s="53" t="s">
        <v>59</v>
      </c>
      <c r="B19" s="53" t="s">
        <v>236</v>
      </c>
      <c r="C19" s="62">
        <v>2019</v>
      </c>
      <c r="D19" s="137" t="s">
        <v>313</v>
      </c>
      <c r="E19" s="53" t="s">
        <v>340</v>
      </c>
      <c r="F19" s="53" t="s">
        <v>329</v>
      </c>
      <c r="G19" s="53" t="s">
        <v>36</v>
      </c>
      <c r="H19" s="53" t="s">
        <v>164</v>
      </c>
      <c r="I19" s="53" t="s">
        <v>159</v>
      </c>
      <c r="J19" s="53" t="s">
        <v>38</v>
      </c>
      <c r="K19" s="53" t="s">
        <v>161</v>
      </c>
      <c r="L19" s="53">
        <v>3</v>
      </c>
      <c r="N19" s="53">
        <v>4</v>
      </c>
      <c r="O19" s="53">
        <v>0.43</v>
      </c>
      <c r="P19" s="53">
        <v>0.49</v>
      </c>
      <c r="Q19" s="74">
        <f t="shared" si="2"/>
        <v>0.45999999999999996</v>
      </c>
      <c r="R19" s="53">
        <v>15.4</v>
      </c>
      <c r="S19" s="53">
        <v>99</v>
      </c>
      <c r="T19" s="16">
        <f t="shared" si="0"/>
        <v>33</v>
      </c>
      <c r="U19" s="53">
        <v>429</v>
      </c>
      <c r="V19" s="16">
        <f t="shared" si="1"/>
        <v>16</v>
      </c>
      <c r="W19" s="53">
        <v>2</v>
      </c>
      <c r="X19" s="53" t="s">
        <v>46</v>
      </c>
      <c r="Y19" s="53" t="s">
        <v>84</v>
      </c>
      <c r="Z19" s="53" t="s">
        <v>90</v>
      </c>
      <c r="AA19" s="53" t="s">
        <v>78</v>
      </c>
      <c r="AB19" s="53" t="s">
        <v>317</v>
      </c>
      <c r="AE19" s="35" t="s">
        <v>89</v>
      </c>
      <c r="AP19" s="27" t="s">
        <v>112</v>
      </c>
      <c r="AR19" s="23" t="s">
        <v>126</v>
      </c>
      <c r="AV19" s="23" t="s">
        <v>316</v>
      </c>
    </row>
    <row r="20" spans="1:48" x14ac:dyDescent="0.15">
      <c r="A20" s="53" t="s">
        <v>59</v>
      </c>
      <c r="B20" s="53" t="s">
        <v>236</v>
      </c>
      <c r="C20" s="62">
        <v>2019</v>
      </c>
      <c r="D20" s="137" t="s">
        <v>313</v>
      </c>
      <c r="E20" s="53" t="s">
        <v>338</v>
      </c>
      <c r="F20" s="53" t="s">
        <v>337</v>
      </c>
      <c r="G20" s="53" t="s">
        <v>36</v>
      </c>
      <c r="H20" s="53" t="s">
        <v>164</v>
      </c>
      <c r="I20" s="53" t="s">
        <v>159</v>
      </c>
      <c r="J20" s="53" t="s">
        <v>38</v>
      </c>
      <c r="K20" s="53" t="s">
        <v>161</v>
      </c>
      <c r="L20" s="53">
        <v>1</v>
      </c>
      <c r="N20" s="53">
        <v>4</v>
      </c>
      <c r="O20" s="53">
        <v>0.66</v>
      </c>
      <c r="P20" s="53">
        <v>0.75</v>
      </c>
      <c r="Q20" s="74">
        <f t="shared" si="2"/>
        <v>0.70500000000000007</v>
      </c>
      <c r="R20" s="53">
        <v>14.8</v>
      </c>
      <c r="S20" s="53">
        <v>100</v>
      </c>
      <c r="T20" s="16">
        <f t="shared" si="0"/>
        <v>33</v>
      </c>
      <c r="U20" s="53">
        <v>398</v>
      </c>
      <c r="V20" s="16">
        <f t="shared" si="1"/>
        <v>16</v>
      </c>
      <c r="W20" s="53">
        <v>2</v>
      </c>
      <c r="X20" s="53" t="s">
        <v>39</v>
      </c>
      <c r="Y20" s="53" t="s">
        <v>316</v>
      </c>
      <c r="Z20" s="53" t="s">
        <v>84</v>
      </c>
      <c r="AA20" s="53" t="s">
        <v>90</v>
      </c>
      <c r="AB20" s="53" t="s">
        <v>317</v>
      </c>
      <c r="AE20" s="35"/>
      <c r="AP20" s="27" t="s">
        <v>113</v>
      </c>
      <c r="AR20" s="23" t="s">
        <v>105</v>
      </c>
      <c r="AV20" s="27" t="s">
        <v>135</v>
      </c>
    </row>
    <row r="21" spans="1:48" x14ac:dyDescent="0.15">
      <c r="A21" s="53" t="s">
        <v>59</v>
      </c>
      <c r="B21" s="53" t="s">
        <v>236</v>
      </c>
      <c r="C21" s="62">
        <v>2019</v>
      </c>
      <c r="D21" s="137" t="s">
        <v>313</v>
      </c>
      <c r="E21" s="53" t="s">
        <v>338</v>
      </c>
      <c r="F21" s="53" t="s">
        <v>337</v>
      </c>
      <c r="G21" s="53" t="s">
        <v>36</v>
      </c>
      <c r="H21" s="53" t="s">
        <v>164</v>
      </c>
      <c r="I21" s="53" t="s">
        <v>159</v>
      </c>
      <c r="J21" s="53" t="s">
        <v>38</v>
      </c>
      <c r="K21" s="53" t="s">
        <v>161</v>
      </c>
      <c r="L21" s="53">
        <v>2</v>
      </c>
      <c r="N21" s="53">
        <v>4</v>
      </c>
      <c r="O21" s="53">
        <v>0.62</v>
      </c>
      <c r="P21" s="53">
        <v>0.7</v>
      </c>
      <c r="Q21" s="74">
        <f t="shared" si="2"/>
        <v>0.65999999999999992</v>
      </c>
      <c r="R21" s="53">
        <v>14.8</v>
      </c>
      <c r="S21" s="53">
        <v>104</v>
      </c>
      <c r="T21" s="16">
        <f t="shared" si="0"/>
        <v>33</v>
      </c>
      <c r="U21" s="53">
        <v>398</v>
      </c>
      <c r="V21" s="16">
        <f t="shared" si="1"/>
        <v>16</v>
      </c>
      <c r="W21" s="53">
        <v>2</v>
      </c>
      <c r="X21" s="53" t="s">
        <v>39</v>
      </c>
      <c r="Y21" s="53" t="s">
        <v>316</v>
      </c>
      <c r="Z21" s="53" t="s">
        <v>84</v>
      </c>
      <c r="AA21" s="53" t="s">
        <v>90</v>
      </c>
      <c r="AB21" s="53" t="s">
        <v>317</v>
      </c>
      <c r="AE21" s="28"/>
      <c r="AP21" s="27" t="s">
        <v>349</v>
      </c>
      <c r="AR21" s="23" t="s">
        <v>68</v>
      </c>
      <c r="AV21" s="27" t="s">
        <v>136</v>
      </c>
    </row>
    <row r="22" spans="1:48" x14ac:dyDescent="0.15">
      <c r="A22" s="53" t="s">
        <v>59</v>
      </c>
      <c r="B22" s="53" t="s">
        <v>236</v>
      </c>
      <c r="C22" s="62">
        <v>2019</v>
      </c>
      <c r="D22" s="137" t="s">
        <v>313</v>
      </c>
      <c r="E22" s="53" t="s">
        <v>338</v>
      </c>
      <c r="F22" s="53" t="s">
        <v>337</v>
      </c>
      <c r="G22" s="53" t="s">
        <v>36</v>
      </c>
      <c r="H22" s="53" t="s">
        <v>164</v>
      </c>
      <c r="I22" s="53" t="s">
        <v>159</v>
      </c>
      <c r="J22" s="53" t="s">
        <v>38</v>
      </c>
      <c r="K22" s="53" t="s">
        <v>161</v>
      </c>
      <c r="L22" s="53">
        <v>3</v>
      </c>
      <c r="N22" s="53">
        <v>4</v>
      </c>
      <c r="O22" s="53">
        <v>0.6</v>
      </c>
      <c r="P22" s="53">
        <v>0.52</v>
      </c>
      <c r="Q22" s="74">
        <f t="shared" si="2"/>
        <v>0.56000000000000005</v>
      </c>
      <c r="R22" s="53">
        <v>15.3</v>
      </c>
      <c r="S22" s="53">
        <v>105</v>
      </c>
      <c r="T22" s="16">
        <f t="shared" si="0"/>
        <v>33</v>
      </c>
      <c r="U22" s="53">
        <v>398</v>
      </c>
      <c r="V22" s="16">
        <f t="shared" si="1"/>
        <v>16</v>
      </c>
      <c r="W22" s="53">
        <v>2</v>
      </c>
      <c r="X22" s="53" t="s">
        <v>39</v>
      </c>
      <c r="Y22" s="53" t="s">
        <v>316</v>
      </c>
      <c r="Z22" s="53" t="s">
        <v>84</v>
      </c>
      <c r="AA22" s="53" t="s">
        <v>90</v>
      </c>
      <c r="AB22" s="53" t="s">
        <v>317</v>
      </c>
      <c r="AP22" s="27" t="s">
        <v>350</v>
      </c>
      <c r="AR22" s="23" t="s">
        <v>83</v>
      </c>
      <c r="AV22" s="27" t="s">
        <v>351</v>
      </c>
    </row>
    <row r="23" spans="1:48" x14ac:dyDescent="0.15">
      <c r="A23" s="53" t="s">
        <v>59</v>
      </c>
      <c r="B23" s="53" t="s">
        <v>236</v>
      </c>
      <c r="C23" s="62">
        <v>2019</v>
      </c>
      <c r="D23" s="137" t="s">
        <v>313</v>
      </c>
      <c r="E23" s="53" t="s">
        <v>162</v>
      </c>
      <c r="F23" s="53" t="s">
        <v>337</v>
      </c>
      <c r="G23" s="53" t="s">
        <v>36</v>
      </c>
      <c r="H23" s="53" t="s">
        <v>164</v>
      </c>
      <c r="I23" s="53" t="s">
        <v>159</v>
      </c>
      <c r="J23" s="53" t="s">
        <v>38</v>
      </c>
      <c r="K23" s="53" t="s">
        <v>161</v>
      </c>
      <c r="L23" s="53">
        <v>1</v>
      </c>
      <c r="N23" s="53">
        <v>4</v>
      </c>
      <c r="O23" s="53">
        <v>0.7</v>
      </c>
      <c r="P23" s="53">
        <v>0.64</v>
      </c>
      <c r="Q23" s="74">
        <f t="shared" si="2"/>
        <v>0.66999999999999993</v>
      </c>
      <c r="R23" s="53">
        <v>13.8</v>
      </c>
      <c r="S23" s="53">
        <v>94</v>
      </c>
      <c r="T23" s="16">
        <f t="shared" si="0"/>
        <v>36</v>
      </c>
      <c r="U23" s="53">
        <v>398</v>
      </c>
      <c r="V23" s="16">
        <f t="shared" si="1"/>
        <v>16</v>
      </c>
      <c r="W23" s="53">
        <v>3</v>
      </c>
      <c r="X23" s="53" t="s">
        <v>46</v>
      </c>
      <c r="Y23" s="53" t="s">
        <v>84</v>
      </c>
      <c r="Z23" s="53" t="s">
        <v>90</v>
      </c>
      <c r="AA23" s="53" t="s">
        <v>316</v>
      </c>
      <c r="AB23" s="53" t="s">
        <v>317</v>
      </c>
      <c r="AP23" s="27" t="s">
        <v>137</v>
      </c>
      <c r="AR23" s="23" t="s">
        <v>61</v>
      </c>
      <c r="AV23" s="27" t="s">
        <v>352</v>
      </c>
    </row>
    <row r="24" spans="1:48" x14ac:dyDescent="0.15">
      <c r="A24" s="53" t="s">
        <v>59</v>
      </c>
      <c r="B24" s="53" t="s">
        <v>236</v>
      </c>
      <c r="C24" s="62">
        <v>2019</v>
      </c>
      <c r="D24" s="137" t="s">
        <v>313</v>
      </c>
      <c r="E24" s="53" t="s">
        <v>162</v>
      </c>
      <c r="F24" s="53" t="s">
        <v>337</v>
      </c>
      <c r="G24" s="53" t="s">
        <v>36</v>
      </c>
      <c r="H24" s="53" t="s">
        <v>164</v>
      </c>
      <c r="I24" s="53" t="s">
        <v>159</v>
      </c>
      <c r="J24" s="53" t="s">
        <v>38</v>
      </c>
      <c r="K24" s="53" t="s">
        <v>161</v>
      </c>
      <c r="L24" s="53">
        <v>2</v>
      </c>
      <c r="N24" s="53">
        <v>4</v>
      </c>
      <c r="O24" s="53">
        <v>0.46</v>
      </c>
      <c r="P24" s="53">
        <v>0.44</v>
      </c>
      <c r="Q24" s="74">
        <f t="shared" si="2"/>
        <v>0.45</v>
      </c>
      <c r="R24" s="53">
        <v>14.5</v>
      </c>
      <c r="S24" s="53">
        <v>96</v>
      </c>
      <c r="T24" s="16">
        <f t="shared" si="0"/>
        <v>36</v>
      </c>
      <c r="U24" s="53">
        <v>398</v>
      </c>
      <c r="V24" s="16">
        <f t="shared" si="1"/>
        <v>16</v>
      </c>
      <c r="W24" s="53">
        <v>3</v>
      </c>
      <c r="X24" s="53" t="s">
        <v>46</v>
      </c>
      <c r="Y24" s="53" t="s">
        <v>84</v>
      </c>
      <c r="Z24" s="53" t="s">
        <v>90</v>
      </c>
      <c r="AA24" s="53" t="s">
        <v>316</v>
      </c>
      <c r="AB24" s="53" t="s">
        <v>317</v>
      </c>
      <c r="AP24" s="27" t="s">
        <v>138</v>
      </c>
      <c r="AR24" s="23" t="s">
        <v>91</v>
      </c>
      <c r="AV24" s="27" t="s">
        <v>353</v>
      </c>
    </row>
    <row r="25" spans="1:48" x14ac:dyDescent="0.15">
      <c r="A25" s="53" t="s">
        <v>59</v>
      </c>
      <c r="B25" s="53" t="s">
        <v>236</v>
      </c>
      <c r="C25" s="62">
        <v>2019</v>
      </c>
      <c r="D25" s="137" t="s">
        <v>313</v>
      </c>
      <c r="E25" s="53" t="s">
        <v>162</v>
      </c>
      <c r="F25" s="53" t="s">
        <v>337</v>
      </c>
      <c r="G25" s="53" t="s">
        <v>36</v>
      </c>
      <c r="H25" s="53" t="s">
        <v>164</v>
      </c>
      <c r="I25" s="53" t="s">
        <v>159</v>
      </c>
      <c r="J25" s="53" t="s">
        <v>38</v>
      </c>
      <c r="K25" s="53" t="s">
        <v>161</v>
      </c>
      <c r="L25" s="53">
        <v>3</v>
      </c>
      <c r="N25" s="53">
        <v>4</v>
      </c>
      <c r="O25" s="53">
        <v>0.5</v>
      </c>
      <c r="P25" s="53">
        <v>0.53</v>
      </c>
      <c r="Q25" s="74">
        <f t="shared" si="2"/>
        <v>0.51500000000000001</v>
      </c>
      <c r="R25" s="53">
        <v>14.4</v>
      </c>
      <c r="S25" s="53">
        <v>105</v>
      </c>
      <c r="T25" s="16">
        <f t="shared" si="0"/>
        <v>33</v>
      </c>
      <c r="U25" s="53">
        <v>398</v>
      </c>
      <c r="V25" s="16">
        <f t="shared" si="1"/>
        <v>16</v>
      </c>
      <c r="W25" s="53">
        <v>3</v>
      </c>
      <c r="X25" s="53" t="s">
        <v>46</v>
      </c>
      <c r="Y25" s="53" t="s">
        <v>84</v>
      </c>
      <c r="Z25" s="53" t="s">
        <v>90</v>
      </c>
      <c r="AA25" s="53" t="s">
        <v>316</v>
      </c>
      <c r="AB25" s="53" t="s">
        <v>317</v>
      </c>
      <c r="AP25" s="27" t="s">
        <v>116</v>
      </c>
      <c r="AR25" s="27" t="s">
        <v>92</v>
      </c>
      <c r="AV25" s="27" t="s">
        <v>354</v>
      </c>
    </row>
    <row r="26" spans="1:48" x14ac:dyDescent="0.15">
      <c r="A26" s="53" t="s">
        <v>59</v>
      </c>
      <c r="B26" s="53" t="s">
        <v>236</v>
      </c>
      <c r="C26" s="62">
        <v>2019</v>
      </c>
      <c r="D26" s="137" t="s">
        <v>313</v>
      </c>
      <c r="E26" s="53" t="s">
        <v>162</v>
      </c>
      <c r="F26" s="53" t="s">
        <v>337</v>
      </c>
      <c r="G26" s="53" t="s">
        <v>36</v>
      </c>
      <c r="H26" s="53" t="s">
        <v>164</v>
      </c>
      <c r="I26" s="53" t="s">
        <v>198</v>
      </c>
      <c r="J26" s="53" t="s">
        <v>38</v>
      </c>
      <c r="K26" s="53" t="s">
        <v>161</v>
      </c>
      <c r="L26" s="53">
        <v>1</v>
      </c>
      <c r="N26" s="53">
        <v>5</v>
      </c>
      <c r="O26" s="53">
        <v>0.38</v>
      </c>
      <c r="P26" s="53">
        <v>0.36</v>
      </c>
      <c r="Q26" s="74">
        <f t="shared" si="2"/>
        <v>0.37</v>
      </c>
      <c r="R26" s="53">
        <v>13.9</v>
      </c>
      <c r="S26" s="53">
        <v>80</v>
      </c>
      <c r="T26" s="16">
        <f t="shared" si="0"/>
        <v>39</v>
      </c>
      <c r="U26" s="53">
        <v>398</v>
      </c>
      <c r="V26" s="16">
        <f t="shared" si="1"/>
        <v>16</v>
      </c>
      <c r="W26" s="53">
        <v>1</v>
      </c>
      <c r="X26" s="53" t="s">
        <v>46</v>
      </c>
      <c r="Y26" s="53" t="s">
        <v>84</v>
      </c>
      <c r="Z26" s="53" t="s">
        <v>90</v>
      </c>
      <c r="AA26" s="53" t="s">
        <v>316</v>
      </c>
      <c r="AB26" s="53" t="s">
        <v>317</v>
      </c>
      <c r="AP26" s="27" t="s">
        <v>117</v>
      </c>
      <c r="AR26" s="27" t="s">
        <v>355</v>
      </c>
      <c r="AV26" s="27"/>
    </row>
    <row r="27" spans="1:48" x14ac:dyDescent="0.15">
      <c r="A27" s="53" t="s">
        <v>59</v>
      </c>
      <c r="B27" s="53" t="s">
        <v>236</v>
      </c>
      <c r="C27" s="62">
        <v>2019</v>
      </c>
      <c r="D27" s="137" t="s">
        <v>313</v>
      </c>
      <c r="E27" s="53" t="s">
        <v>162</v>
      </c>
      <c r="F27" s="53" t="s">
        <v>337</v>
      </c>
      <c r="G27" s="53" t="s">
        <v>36</v>
      </c>
      <c r="H27" s="53" t="s">
        <v>164</v>
      </c>
      <c r="I27" s="53" t="s">
        <v>198</v>
      </c>
      <c r="J27" s="53" t="s">
        <v>38</v>
      </c>
      <c r="K27" s="53" t="s">
        <v>161</v>
      </c>
      <c r="L27" s="53">
        <v>2</v>
      </c>
      <c r="N27" s="53">
        <v>5</v>
      </c>
      <c r="O27" s="53">
        <v>0.22</v>
      </c>
      <c r="P27" s="53">
        <v>0.23</v>
      </c>
      <c r="Q27" s="74">
        <f t="shared" si="2"/>
        <v>0.22500000000000001</v>
      </c>
      <c r="R27" s="53">
        <v>13.9</v>
      </c>
      <c r="S27" s="53">
        <v>85</v>
      </c>
      <c r="T27" s="16">
        <f t="shared" si="0"/>
        <v>36</v>
      </c>
      <c r="U27" s="53">
        <v>398</v>
      </c>
      <c r="V27" s="16">
        <f t="shared" si="1"/>
        <v>16</v>
      </c>
      <c r="W27" s="53">
        <v>1</v>
      </c>
      <c r="X27" s="53" t="s">
        <v>46</v>
      </c>
      <c r="Y27" s="53" t="s">
        <v>84</v>
      </c>
      <c r="Z27" s="53" t="s">
        <v>90</v>
      </c>
      <c r="AA27" s="53" t="s">
        <v>316</v>
      </c>
      <c r="AB27" s="53" t="s">
        <v>317</v>
      </c>
      <c r="AP27" s="27" t="s">
        <v>118</v>
      </c>
      <c r="AR27" s="28" t="s">
        <v>153</v>
      </c>
      <c r="AV27" s="27"/>
    </row>
    <row r="28" spans="1:48" x14ac:dyDescent="0.15">
      <c r="A28" s="53" t="s">
        <v>59</v>
      </c>
      <c r="B28" s="53" t="s">
        <v>236</v>
      </c>
      <c r="C28" s="62">
        <v>2019</v>
      </c>
      <c r="D28" s="137" t="s">
        <v>313</v>
      </c>
      <c r="E28" s="53" t="s">
        <v>162</v>
      </c>
      <c r="F28" s="53" t="s">
        <v>337</v>
      </c>
      <c r="G28" s="53" t="s">
        <v>36</v>
      </c>
      <c r="H28" s="53" t="s">
        <v>164</v>
      </c>
      <c r="I28" s="53" t="s">
        <v>198</v>
      </c>
      <c r="J28" s="53" t="s">
        <v>38</v>
      </c>
      <c r="K28" s="53" t="s">
        <v>161</v>
      </c>
      <c r="L28" s="53">
        <v>3</v>
      </c>
      <c r="N28" s="53">
        <v>5</v>
      </c>
      <c r="O28" s="53">
        <v>0.36</v>
      </c>
      <c r="P28" s="53">
        <v>0.35</v>
      </c>
      <c r="Q28" s="74">
        <f t="shared" si="2"/>
        <v>0.35499999999999998</v>
      </c>
      <c r="R28" s="53">
        <v>13.7</v>
      </c>
      <c r="S28" s="53">
        <v>89</v>
      </c>
      <c r="T28" s="16">
        <f t="shared" si="0"/>
        <v>36</v>
      </c>
      <c r="U28" s="53">
        <v>398</v>
      </c>
      <c r="V28" s="16">
        <f t="shared" si="1"/>
        <v>16</v>
      </c>
      <c r="W28" s="53">
        <v>1</v>
      </c>
      <c r="X28" s="53" t="s">
        <v>46</v>
      </c>
      <c r="Y28" s="53" t="s">
        <v>84</v>
      </c>
      <c r="Z28" s="53" t="s">
        <v>90</v>
      </c>
      <c r="AA28" s="53" t="s">
        <v>316</v>
      </c>
      <c r="AB28" s="53" t="s">
        <v>317</v>
      </c>
      <c r="AV28" s="27"/>
    </row>
    <row r="29" spans="1:48" x14ac:dyDescent="0.15">
      <c r="A29" s="53" t="s">
        <v>59</v>
      </c>
      <c r="B29" s="53" t="s">
        <v>236</v>
      </c>
      <c r="C29" s="62">
        <v>2019</v>
      </c>
      <c r="D29" s="137" t="s">
        <v>313</v>
      </c>
      <c r="E29" s="53" t="s">
        <v>334</v>
      </c>
      <c r="F29" s="53" t="s">
        <v>335</v>
      </c>
      <c r="G29" s="53" t="s">
        <v>36</v>
      </c>
      <c r="H29" s="53" t="s">
        <v>164</v>
      </c>
      <c r="I29" s="53" t="s">
        <v>159</v>
      </c>
      <c r="J29" s="53" t="s">
        <v>38</v>
      </c>
      <c r="K29" s="53" t="s">
        <v>161</v>
      </c>
      <c r="L29" s="53">
        <v>1</v>
      </c>
      <c r="N29" s="53">
        <v>3</v>
      </c>
      <c r="O29" s="53">
        <v>0.31</v>
      </c>
      <c r="P29" s="53">
        <v>0.27</v>
      </c>
      <c r="Q29" s="74">
        <f t="shared" si="2"/>
        <v>0.29000000000000004</v>
      </c>
      <c r="R29" s="53">
        <v>15</v>
      </c>
      <c r="S29" s="53">
        <v>132</v>
      </c>
      <c r="T29" s="16">
        <f t="shared" si="0"/>
        <v>25</v>
      </c>
      <c r="U29" s="53">
        <v>350</v>
      </c>
      <c r="V29" s="16">
        <f t="shared" si="1"/>
        <v>16</v>
      </c>
      <c r="W29" s="53">
        <v>6</v>
      </c>
      <c r="X29" s="53" t="s">
        <v>39</v>
      </c>
      <c r="Y29" s="53" t="s">
        <v>84</v>
      </c>
      <c r="Z29" s="53" t="s">
        <v>90</v>
      </c>
      <c r="AA29" s="53" t="s">
        <v>78</v>
      </c>
      <c r="AB29" s="53" t="s">
        <v>317</v>
      </c>
      <c r="AP29" s="27" t="s">
        <v>117</v>
      </c>
      <c r="AR29" s="27" t="s">
        <v>355</v>
      </c>
      <c r="AV29" s="27"/>
    </row>
    <row r="30" spans="1:48" x14ac:dyDescent="0.15">
      <c r="A30" s="53" t="s">
        <v>59</v>
      </c>
      <c r="B30" s="53" t="s">
        <v>236</v>
      </c>
      <c r="C30" s="62">
        <v>2019</v>
      </c>
      <c r="D30" s="137" t="s">
        <v>313</v>
      </c>
      <c r="E30" s="53" t="s">
        <v>334</v>
      </c>
      <c r="F30" s="53" t="s">
        <v>335</v>
      </c>
      <c r="G30" s="53" t="s">
        <v>36</v>
      </c>
      <c r="H30" s="53" t="s">
        <v>164</v>
      </c>
      <c r="I30" s="53" t="s">
        <v>159</v>
      </c>
      <c r="J30" s="53" t="s">
        <v>38</v>
      </c>
      <c r="K30" s="53" t="s">
        <v>161</v>
      </c>
      <c r="L30" s="53">
        <v>2</v>
      </c>
      <c r="N30" s="53">
        <v>3</v>
      </c>
      <c r="O30" s="53">
        <v>0.24</v>
      </c>
      <c r="P30" s="53">
        <v>0.27</v>
      </c>
      <c r="Q30" s="74">
        <f t="shared" si="2"/>
        <v>0.255</v>
      </c>
      <c r="R30" s="53">
        <v>14.5</v>
      </c>
      <c r="S30" s="53">
        <v>134</v>
      </c>
      <c r="T30" s="16">
        <f t="shared" si="0"/>
        <v>25</v>
      </c>
      <c r="U30" s="53">
        <v>350</v>
      </c>
      <c r="V30" s="16">
        <f t="shared" si="1"/>
        <v>16</v>
      </c>
      <c r="W30" s="53">
        <v>6</v>
      </c>
      <c r="X30" s="53" t="s">
        <v>39</v>
      </c>
      <c r="Y30" s="53" t="s">
        <v>84</v>
      </c>
      <c r="Z30" s="53" t="s">
        <v>90</v>
      </c>
      <c r="AA30" s="53" t="s">
        <v>78</v>
      </c>
      <c r="AB30" s="53" t="s">
        <v>317</v>
      </c>
      <c r="AP30" s="27" t="s">
        <v>118</v>
      </c>
      <c r="AR30" s="28" t="s">
        <v>153</v>
      </c>
      <c r="AV30" s="27"/>
    </row>
    <row r="31" spans="1:48" x14ac:dyDescent="0.15">
      <c r="A31" s="53" t="s">
        <v>59</v>
      </c>
      <c r="B31" s="53" t="s">
        <v>236</v>
      </c>
      <c r="C31" s="62">
        <v>2019</v>
      </c>
      <c r="D31" s="137" t="s">
        <v>313</v>
      </c>
      <c r="E31" s="53" t="s">
        <v>334</v>
      </c>
      <c r="F31" s="53" t="s">
        <v>335</v>
      </c>
      <c r="G31" s="53" t="s">
        <v>36</v>
      </c>
      <c r="H31" s="53" t="s">
        <v>164</v>
      </c>
      <c r="I31" s="53" t="s">
        <v>159</v>
      </c>
      <c r="J31" s="53" t="s">
        <v>38</v>
      </c>
      <c r="K31" s="53" t="s">
        <v>161</v>
      </c>
      <c r="L31" s="53">
        <v>3</v>
      </c>
      <c r="N31" s="53">
        <v>3</v>
      </c>
      <c r="O31" s="53">
        <v>0.31</v>
      </c>
      <c r="P31" s="53">
        <v>0.28000000000000003</v>
      </c>
      <c r="Q31" s="74">
        <f t="shared" si="2"/>
        <v>0.29500000000000004</v>
      </c>
      <c r="R31" s="53">
        <v>15.1</v>
      </c>
      <c r="S31" s="53">
        <v>135</v>
      </c>
      <c r="T31" s="16">
        <f t="shared" si="0"/>
        <v>25</v>
      </c>
      <c r="U31" s="53">
        <v>350</v>
      </c>
      <c r="V31" s="16">
        <f t="shared" si="1"/>
        <v>16</v>
      </c>
      <c r="W31" s="53">
        <v>6</v>
      </c>
      <c r="X31" s="53" t="s">
        <v>39</v>
      </c>
      <c r="Y31" s="53" t="s">
        <v>84</v>
      </c>
      <c r="Z31" s="53" t="s">
        <v>90</v>
      </c>
      <c r="AA31" s="53" t="s">
        <v>78</v>
      </c>
      <c r="AB31" s="53" t="s">
        <v>317</v>
      </c>
      <c r="AV31" s="27"/>
    </row>
    <row r="32" spans="1:48" x14ac:dyDescent="0.15">
      <c r="A32" s="53" t="s">
        <v>59</v>
      </c>
      <c r="B32" s="53" t="s">
        <v>236</v>
      </c>
      <c r="C32" s="62">
        <v>2019</v>
      </c>
      <c r="D32" s="137" t="s">
        <v>313</v>
      </c>
      <c r="E32" s="53" t="s">
        <v>334</v>
      </c>
      <c r="F32" s="53" t="s">
        <v>335</v>
      </c>
      <c r="G32" s="53" t="s">
        <v>36</v>
      </c>
      <c r="H32" s="53" t="s">
        <v>128</v>
      </c>
      <c r="I32" s="53" t="s">
        <v>159</v>
      </c>
      <c r="J32" s="53" t="s">
        <v>343</v>
      </c>
      <c r="K32" s="53" t="s">
        <v>326</v>
      </c>
      <c r="L32" s="53">
        <v>1</v>
      </c>
      <c r="N32" s="53">
        <v>4</v>
      </c>
      <c r="O32" s="53">
        <v>0.26</v>
      </c>
      <c r="P32" s="53">
        <v>0.26</v>
      </c>
      <c r="Q32" s="74">
        <f t="shared" si="2"/>
        <v>0.26</v>
      </c>
      <c r="R32" s="53">
        <v>12.3</v>
      </c>
      <c r="S32" s="53">
        <v>132</v>
      </c>
      <c r="T32" s="16">
        <f t="shared" si="0"/>
        <v>25</v>
      </c>
      <c r="U32" s="53">
        <v>480</v>
      </c>
      <c r="V32" s="16">
        <f t="shared" si="1"/>
        <v>16</v>
      </c>
      <c r="W32" s="53">
        <v>2</v>
      </c>
      <c r="X32" s="53" t="s">
        <v>39</v>
      </c>
      <c r="Y32" s="53" t="s">
        <v>84</v>
      </c>
      <c r="Z32" s="53" t="s">
        <v>90</v>
      </c>
      <c r="AA32" s="53" t="s">
        <v>78</v>
      </c>
      <c r="AB32" s="53" t="s">
        <v>317</v>
      </c>
      <c r="AV32" s="27"/>
    </row>
    <row r="33" spans="1:48" x14ac:dyDescent="0.15">
      <c r="A33" s="53" t="s">
        <v>59</v>
      </c>
      <c r="B33" s="53" t="s">
        <v>236</v>
      </c>
      <c r="C33" s="62">
        <v>2019</v>
      </c>
      <c r="D33" s="137" t="s">
        <v>313</v>
      </c>
      <c r="E33" s="53" t="s">
        <v>334</v>
      </c>
      <c r="F33" s="53" t="s">
        <v>335</v>
      </c>
      <c r="G33" s="53" t="s">
        <v>36</v>
      </c>
      <c r="H33" s="53" t="s">
        <v>128</v>
      </c>
      <c r="I33" s="53" t="s">
        <v>159</v>
      </c>
      <c r="J33" s="53" t="s">
        <v>343</v>
      </c>
      <c r="K33" s="53" t="s">
        <v>326</v>
      </c>
      <c r="L33" s="53">
        <v>2</v>
      </c>
      <c r="N33" s="53">
        <v>4</v>
      </c>
      <c r="O33" s="53">
        <v>0.28000000000000003</v>
      </c>
      <c r="P33" s="53">
        <v>0.28999999999999998</v>
      </c>
      <c r="Q33" s="74">
        <f t="shared" si="2"/>
        <v>0.28500000000000003</v>
      </c>
      <c r="R33" s="53">
        <v>12</v>
      </c>
      <c r="S33" s="53">
        <v>120</v>
      </c>
      <c r="T33" s="16">
        <f t="shared" si="0"/>
        <v>30</v>
      </c>
      <c r="U33" s="53">
        <v>480</v>
      </c>
      <c r="V33" s="16">
        <f t="shared" si="1"/>
        <v>16</v>
      </c>
      <c r="W33" s="53">
        <v>2</v>
      </c>
      <c r="X33" s="53" t="s">
        <v>39</v>
      </c>
      <c r="Y33" s="53" t="s">
        <v>84</v>
      </c>
      <c r="Z33" s="53" t="s">
        <v>90</v>
      </c>
      <c r="AA33" s="53" t="s">
        <v>78</v>
      </c>
      <c r="AB33" s="53" t="s">
        <v>317</v>
      </c>
      <c r="AV33" s="27"/>
    </row>
    <row r="34" spans="1:48" x14ac:dyDescent="0.15">
      <c r="A34" s="53" t="s">
        <v>59</v>
      </c>
      <c r="B34" s="53" t="s">
        <v>236</v>
      </c>
      <c r="C34" s="62">
        <v>2019</v>
      </c>
      <c r="D34" s="137" t="s">
        <v>313</v>
      </c>
      <c r="E34" s="53" t="s">
        <v>334</v>
      </c>
      <c r="F34" s="53" t="s">
        <v>335</v>
      </c>
      <c r="G34" s="53" t="s">
        <v>36</v>
      </c>
      <c r="H34" s="53" t="s">
        <v>128</v>
      </c>
      <c r="I34" s="53" t="s">
        <v>159</v>
      </c>
      <c r="J34" s="53" t="s">
        <v>343</v>
      </c>
      <c r="K34" s="53" t="s">
        <v>326</v>
      </c>
      <c r="L34" s="53">
        <v>3</v>
      </c>
      <c r="N34" s="53">
        <v>4</v>
      </c>
      <c r="O34" s="53">
        <v>0.27</v>
      </c>
      <c r="P34" s="53">
        <v>0.27</v>
      </c>
      <c r="Q34" s="74">
        <f t="shared" si="2"/>
        <v>0.27</v>
      </c>
      <c r="R34" s="53">
        <v>12.5</v>
      </c>
      <c r="S34" s="53">
        <v>111</v>
      </c>
      <c r="T34" s="16">
        <f t="shared" si="0"/>
        <v>33</v>
      </c>
      <c r="U34" s="53">
        <v>480</v>
      </c>
      <c r="V34" s="16">
        <f t="shared" si="1"/>
        <v>16</v>
      </c>
      <c r="W34" s="53">
        <v>2</v>
      </c>
      <c r="X34" s="53" t="s">
        <v>39</v>
      </c>
      <c r="Y34" s="53" t="s">
        <v>84</v>
      </c>
      <c r="Z34" s="53" t="s">
        <v>90</v>
      </c>
      <c r="AA34" s="53" t="s">
        <v>78</v>
      </c>
      <c r="AB34" s="53" t="s">
        <v>317</v>
      </c>
      <c r="AV34" s="27"/>
    </row>
    <row r="35" spans="1:48" x14ac:dyDescent="0.15">
      <c r="A35" s="53" t="s">
        <v>59</v>
      </c>
      <c r="B35" s="53" t="s">
        <v>236</v>
      </c>
      <c r="C35" s="62">
        <v>2019</v>
      </c>
      <c r="D35" s="137" t="s">
        <v>313</v>
      </c>
      <c r="E35" s="53" t="s">
        <v>324</v>
      </c>
      <c r="F35" s="53" t="s">
        <v>325</v>
      </c>
      <c r="G35" s="53" t="s">
        <v>36</v>
      </c>
      <c r="H35" s="53" t="s">
        <v>160</v>
      </c>
      <c r="I35" s="53" t="s">
        <v>159</v>
      </c>
      <c r="J35" s="53" t="s">
        <v>38</v>
      </c>
      <c r="K35" s="53" t="s">
        <v>161</v>
      </c>
      <c r="L35" s="53">
        <v>1</v>
      </c>
      <c r="N35" s="53">
        <v>4</v>
      </c>
      <c r="O35" s="53">
        <v>0.33</v>
      </c>
      <c r="P35" s="53">
        <v>0.33</v>
      </c>
      <c r="Q35" s="74">
        <f t="shared" si="2"/>
        <v>0.33</v>
      </c>
      <c r="R35" s="53">
        <v>15.8</v>
      </c>
      <c r="S35" s="53">
        <v>95</v>
      </c>
      <c r="T35" s="16">
        <f t="shared" si="0"/>
        <v>36</v>
      </c>
      <c r="U35" s="53">
        <v>450</v>
      </c>
      <c r="V35" s="16">
        <f t="shared" si="1"/>
        <v>16</v>
      </c>
      <c r="W35" s="53">
        <v>1</v>
      </c>
      <c r="X35" s="53" t="s">
        <v>39</v>
      </c>
      <c r="Y35" s="53" t="s">
        <v>84</v>
      </c>
      <c r="Z35" s="53" t="s">
        <v>69</v>
      </c>
      <c r="AA35" s="53" t="s">
        <v>90</v>
      </c>
      <c r="AB35" s="53" t="s">
        <v>317</v>
      </c>
      <c r="AV35" s="27"/>
    </row>
    <row r="36" spans="1:48" x14ac:dyDescent="0.15">
      <c r="A36" s="53" t="s">
        <v>59</v>
      </c>
      <c r="B36" s="53" t="s">
        <v>236</v>
      </c>
      <c r="C36" s="62">
        <v>2019</v>
      </c>
      <c r="D36" s="137" t="s">
        <v>313</v>
      </c>
      <c r="E36" s="53" t="s">
        <v>324</v>
      </c>
      <c r="F36" s="53" t="s">
        <v>325</v>
      </c>
      <c r="G36" s="53" t="s">
        <v>36</v>
      </c>
      <c r="H36" s="53" t="s">
        <v>160</v>
      </c>
      <c r="I36" s="53" t="s">
        <v>159</v>
      </c>
      <c r="J36" s="53" t="s">
        <v>38</v>
      </c>
      <c r="K36" s="53" t="s">
        <v>161</v>
      </c>
      <c r="L36" s="53">
        <v>2</v>
      </c>
      <c r="N36" s="53">
        <v>4</v>
      </c>
      <c r="O36" s="53">
        <v>0.34</v>
      </c>
      <c r="P36" s="53">
        <v>0.3</v>
      </c>
      <c r="Q36" s="74">
        <f t="shared" si="2"/>
        <v>0.32</v>
      </c>
      <c r="R36" s="53">
        <v>13.4</v>
      </c>
      <c r="S36" s="53">
        <v>105</v>
      </c>
      <c r="T36" s="16">
        <f t="shared" si="0"/>
        <v>33</v>
      </c>
      <c r="U36" s="53">
        <v>450</v>
      </c>
      <c r="V36" s="16">
        <f t="shared" si="1"/>
        <v>16</v>
      </c>
      <c r="W36" s="53">
        <v>1</v>
      </c>
      <c r="X36" s="53" t="s">
        <v>39</v>
      </c>
      <c r="Y36" s="53" t="s">
        <v>84</v>
      </c>
      <c r="Z36" s="53" t="s">
        <v>69</v>
      </c>
      <c r="AA36" s="53" t="s">
        <v>90</v>
      </c>
      <c r="AB36" s="53" t="s">
        <v>317</v>
      </c>
      <c r="AV36" s="27"/>
    </row>
    <row r="37" spans="1:48" x14ac:dyDescent="0.15">
      <c r="A37" s="53" t="s">
        <v>59</v>
      </c>
      <c r="B37" s="53" t="s">
        <v>236</v>
      </c>
      <c r="C37" s="62">
        <v>2019</v>
      </c>
      <c r="D37" s="137" t="s">
        <v>313</v>
      </c>
      <c r="E37" s="53" t="s">
        <v>324</v>
      </c>
      <c r="F37" s="53" t="s">
        <v>325</v>
      </c>
      <c r="G37" s="53" t="s">
        <v>36</v>
      </c>
      <c r="H37" s="53" t="s">
        <v>160</v>
      </c>
      <c r="I37" s="53" t="s">
        <v>159</v>
      </c>
      <c r="J37" s="53" t="s">
        <v>38</v>
      </c>
      <c r="K37" s="53" t="s">
        <v>161</v>
      </c>
      <c r="L37" s="53">
        <v>3</v>
      </c>
      <c r="N37" s="53">
        <v>4</v>
      </c>
      <c r="O37" s="53">
        <v>0.33</v>
      </c>
      <c r="P37" s="53">
        <v>0.35</v>
      </c>
      <c r="Q37" s="74">
        <f t="shared" si="2"/>
        <v>0.33999999999999997</v>
      </c>
      <c r="R37" s="53">
        <v>15.5</v>
      </c>
      <c r="S37" s="53">
        <v>94</v>
      </c>
      <c r="T37" s="16">
        <f t="shared" si="0"/>
        <v>36</v>
      </c>
      <c r="U37" s="53">
        <v>450</v>
      </c>
      <c r="V37" s="16">
        <f t="shared" si="1"/>
        <v>16</v>
      </c>
      <c r="W37" s="53">
        <v>1</v>
      </c>
      <c r="X37" s="53" t="s">
        <v>39</v>
      </c>
      <c r="Y37" s="53" t="s">
        <v>84</v>
      </c>
      <c r="Z37" s="53" t="s">
        <v>69</v>
      </c>
      <c r="AA37" s="53" t="s">
        <v>90</v>
      </c>
      <c r="AB37" s="53" t="s">
        <v>317</v>
      </c>
      <c r="AV37" s="27"/>
    </row>
    <row r="38" spans="1:48" x14ac:dyDescent="0.15">
      <c r="A38" s="53" t="s">
        <v>59</v>
      </c>
      <c r="B38" s="53" t="s">
        <v>236</v>
      </c>
      <c r="C38" s="62">
        <v>2019</v>
      </c>
      <c r="D38" s="137" t="s">
        <v>313</v>
      </c>
      <c r="E38" s="53" t="s">
        <v>324</v>
      </c>
      <c r="F38" s="53" t="s">
        <v>325</v>
      </c>
      <c r="G38" s="53" t="s">
        <v>36</v>
      </c>
      <c r="H38" s="53" t="s">
        <v>164</v>
      </c>
      <c r="I38" s="53" t="s">
        <v>159</v>
      </c>
      <c r="J38" s="53" t="s">
        <v>38</v>
      </c>
      <c r="K38" s="53" t="s">
        <v>161</v>
      </c>
      <c r="L38" s="53">
        <v>1</v>
      </c>
      <c r="N38" s="53">
        <v>4</v>
      </c>
      <c r="O38" s="53">
        <v>0.22</v>
      </c>
      <c r="P38" s="53">
        <v>0.24</v>
      </c>
      <c r="Q38" s="74">
        <f t="shared" si="2"/>
        <v>0.22999999999999998</v>
      </c>
      <c r="R38" s="53">
        <v>14.6</v>
      </c>
      <c r="S38" s="53">
        <v>92</v>
      </c>
      <c r="T38" s="16">
        <f t="shared" si="0"/>
        <v>36</v>
      </c>
      <c r="U38" s="53">
        <v>350</v>
      </c>
      <c r="V38" s="16">
        <f t="shared" si="1"/>
        <v>16</v>
      </c>
      <c r="W38" s="53">
        <v>1</v>
      </c>
      <c r="X38" s="53" t="s">
        <v>39</v>
      </c>
      <c r="Y38" s="53" t="s">
        <v>84</v>
      </c>
      <c r="Z38" s="53" t="s">
        <v>69</v>
      </c>
      <c r="AA38" s="53" t="s">
        <v>90</v>
      </c>
      <c r="AB38" s="53" t="s">
        <v>317</v>
      </c>
      <c r="AV38" s="27"/>
    </row>
    <row r="39" spans="1:48" x14ac:dyDescent="0.15">
      <c r="A39" s="53" t="s">
        <v>59</v>
      </c>
      <c r="B39" s="53" t="s">
        <v>236</v>
      </c>
      <c r="C39" s="62">
        <v>2019</v>
      </c>
      <c r="D39" s="137" t="s">
        <v>313</v>
      </c>
      <c r="E39" s="53" t="s">
        <v>324</v>
      </c>
      <c r="F39" s="53" t="s">
        <v>325</v>
      </c>
      <c r="G39" s="53" t="s">
        <v>36</v>
      </c>
      <c r="H39" s="53" t="s">
        <v>164</v>
      </c>
      <c r="I39" s="53" t="s">
        <v>159</v>
      </c>
      <c r="J39" s="53" t="s">
        <v>38</v>
      </c>
      <c r="K39" s="53" t="s">
        <v>161</v>
      </c>
      <c r="L39" s="53">
        <v>2</v>
      </c>
      <c r="N39" s="53">
        <v>4</v>
      </c>
      <c r="O39" s="53">
        <v>0.28000000000000003</v>
      </c>
      <c r="P39" s="53">
        <v>0.33</v>
      </c>
      <c r="Q39" s="74">
        <f t="shared" si="2"/>
        <v>0.30500000000000005</v>
      </c>
      <c r="R39" s="53">
        <v>14.2</v>
      </c>
      <c r="S39" s="53">
        <v>91</v>
      </c>
      <c r="T39" s="16">
        <f t="shared" si="0"/>
        <v>36</v>
      </c>
      <c r="U39" s="53">
        <v>350</v>
      </c>
      <c r="V39" s="16">
        <f t="shared" si="1"/>
        <v>16</v>
      </c>
      <c r="W39" s="53">
        <v>1</v>
      </c>
      <c r="X39" s="53" t="s">
        <v>39</v>
      </c>
      <c r="Y39" s="53" t="s">
        <v>84</v>
      </c>
      <c r="Z39" s="53" t="s">
        <v>69</v>
      </c>
      <c r="AA39" s="53" t="s">
        <v>90</v>
      </c>
      <c r="AB39" s="53" t="s">
        <v>317</v>
      </c>
      <c r="AV39" s="27"/>
    </row>
    <row r="40" spans="1:48" x14ac:dyDescent="0.15">
      <c r="A40" s="53" t="s">
        <v>59</v>
      </c>
      <c r="B40" s="53" t="s">
        <v>236</v>
      </c>
      <c r="C40" s="62">
        <v>2019</v>
      </c>
      <c r="D40" s="137" t="s">
        <v>313</v>
      </c>
      <c r="E40" s="53" t="s">
        <v>324</v>
      </c>
      <c r="F40" s="53" t="s">
        <v>325</v>
      </c>
      <c r="G40" s="53" t="s">
        <v>36</v>
      </c>
      <c r="H40" s="53" t="s">
        <v>164</v>
      </c>
      <c r="I40" s="53" t="s">
        <v>159</v>
      </c>
      <c r="J40" s="53" t="s">
        <v>38</v>
      </c>
      <c r="K40" s="53" t="s">
        <v>161</v>
      </c>
      <c r="L40" s="53">
        <v>3</v>
      </c>
      <c r="N40" s="53">
        <v>4</v>
      </c>
      <c r="O40" s="53">
        <v>0.27</v>
      </c>
      <c r="P40" s="53">
        <v>0.31</v>
      </c>
      <c r="Q40" s="74">
        <f t="shared" si="2"/>
        <v>0.29000000000000004</v>
      </c>
      <c r="R40" s="53">
        <v>14.3</v>
      </c>
      <c r="S40" s="53">
        <v>94</v>
      </c>
      <c r="T40" s="16">
        <f t="shared" si="0"/>
        <v>36</v>
      </c>
      <c r="U40" s="53">
        <v>350</v>
      </c>
      <c r="V40" s="16">
        <f t="shared" si="1"/>
        <v>16</v>
      </c>
      <c r="W40" s="53">
        <v>1</v>
      </c>
      <c r="X40" s="53" t="s">
        <v>39</v>
      </c>
      <c r="Y40" s="53" t="s">
        <v>84</v>
      </c>
      <c r="Z40" s="53" t="s">
        <v>69</v>
      </c>
      <c r="AA40" s="53" t="s">
        <v>90</v>
      </c>
      <c r="AB40" s="53" t="s">
        <v>317</v>
      </c>
      <c r="AV40" s="27"/>
    </row>
    <row r="41" spans="1:48" x14ac:dyDescent="0.15">
      <c r="A41" s="53" t="s">
        <v>59</v>
      </c>
      <c r="B41" s="53" t="s">
        <v>236</v>
      </c>
      <c r="C41" s="62">
        <v>2019</v>
      </c>
      <c r="D41" s="137" t="s">
        <v>313</v>
      </c>
      <c r="E41" s="53" t="s">
        <v>341</v>
      </c>
      <c r="F41" s="53" t="s">
        <v>342</v>
      </c>
      <c r="G41" s="53" t="s">
        <v>36</v>
      </c>
      <c r="H41" s="53" t="s">
        <v>160</v>
      </c>
      <c r="I41" s="53" t="s">
        <v>159</v>
      </c>
      <c r="J41" s="53" t="s">
        <v>38</v>
      </c>
      <c r="K41" s="53" t="s">
        <v>161</v>
      </c>
      <c r="L41" s="53">
        <v>1</v>
      </c>
      <c r="N41" s="53">
        <v>5</v>
      </c>
      <c r="O41" s="53">
        <v>0.35</v>
      </c>
      <c r="P41" s="53">
        <v>0.32</v>
      </c>
      <c r="Q41" s="74">
        <f t="shared" si="2"/>
        <v>0.33499999999999996</v>
      </c>
      <c r="R41" s="53">
        <v>16.2</v>
      </c>
      <c r="S41" s="53">
        <v>101</v>
      </c>
      <c r="T41" s="16">
        <f t="shared" si="0"/>
        <v>33</v>
      </c>
      <c r="U41" s="53">
        <v>398</v>
      </c>
      <c r="V41" s="16">
        <f t="shared" si="1"/>
        <v>16</v>
      </c>
      <c r="W41" s="53">
        <v>1</v>
      </c>
      <c r="X41" s="53" t="s">
        <v>39</v>
      </c>
      <c r="Y41" s="53" t="s">
        <v>84</v>
      </c>
      <c r="Z41" s="53" t="s">
        <v>40</v>
      </c>
      <c r="AA41" s="53" t="s">
        <v>90</v>
      </c>
      <c r="AB41" s="53" t="s">
        <v>317</v>
      </c>
      <c r="AV41" s="27"/>
    </row>
    <row r="42" spans="1:48" x14ac:dyDescent="0.15">
      <c r="A42" s="53" t="s">
        <v>59</v>
      </c>
      <c r="B42" s="53" t="s">
        <v>236</v>
      </c>
      <c r="C42" s="62">
        <v>2019</v>
      </c>
      <c r="D42" s="137" t="s">
        <v>313</v>
      </c>
      <c r="E42" s="53" t="s">
        <v>341</v>
      </c>
      <c r="F42" s="53" t="s">
        <v>342</v>
      </c>
      <c r="G42" s="53" t="s">
        <v>36</v>
      </c>
      <c r="H42" s="53" t="s">
        <v>160</v>
      </c>
      <c r="I42" s="53" t="s">
        <v>159</v>
      </c>
      <c r="J42" s="53" t="s">
        <v>38</v>
      </c>
      <c r="K42" s="53" t="s">
        <v>161</v>
      </c>
      <c r="L42" s="53">
        <v>2</v>
      </c>
      <c r="N42" s="53">
        <v>5</v>
      </c>
      <c r="O42" s="53">
        <v>0.41</v>
      </c>
      <c r="P42" s="53">
        <v>0.4</v>
      </c>
      <c r="Q42" s="74">
        <f t="shared" si="2"/>
        <v>0.40500000000000003</v>
      </c>
      <c r="R42" s="53">
        <v>15.7</v>
      </c>
      <c r="S42" s="53">
        <v>101</v>
      </c>
      <c r="T42" s="16">
        <f t="shared" si="0"/>
        <v>33</v>
      </c>
      <c r="U42" s="53">
        <v>398</v>
      </c>
      <c r="V42" s="16">
        <f t="shared" si="1"/>
        <v>16</v>
      </c>
      <c r="W42" s="53">
        <v>1</v>
      </c>
      <c r="X42" s="53" t="s">
        <v>39</v>
      </c>
      <c r="Y42" s="53" t="s">
        <v>84</v>
      </c>
      <c r="Z42" s="53" t="s">
        <v>40</v>
      </c>
      <c r="AA42" s="53" t="s">
        <v>90</v>
      </c>
      <c r="AB42" s="53" t="s">
        <v>317</v>
      </c>
      <c r="AV42" s="27"/>
    </row>
    <row r="43" spans="1:48" x14ac:dyDescent="0.15">
      <c r="A43" s="53" t="s">
        <v>59</v>
      </c>
      <c r="B43" s="53" t="s">
        <v>236</v>
      </c>
      <c r="C43" s="62">
        <v>2019</v>
      </c>
      <c r="D43" s="137" t="s">
        <v>313</v>
      </c>
      <c r="E43" s="53" t="s">
        <v>341</v>
      </c>
      <c r="F43" s="53" t="s">
        <v>342</v>
      </c>
      <c r="G43" s="53" t="s">
        <v>36</v>
      </c>
      <c r="H43" s="53" t="s">
        <v>160</v>
      </c>
      <c r="I43" s="53" t="s">
        <v>159</v>
      </c>
      <c r="J43" s="53" t="s">
        <v>38</v>
      </c>
      <c r="K43" s="53" t="s">
        <v>161</v>
      </c>
      <c r="L43" s="53">
        <v>3</v>
      </c>
      <c r="N43" s="53">
        <v>5</v>
      </c>
      <c r="O43" s="53">
        <v>0.43</v>
      </c>
      <c r="P43" s="53">
        <v>0.47</v>
      </c>
      <c r="Q43" s="74">
        <f t="shared" si="2"/>
        <v>0.44999999999999996</v>
      </c>
      <c r="R43" s="53">
        <v>16</v>
      </c>
      <c r="S43" s="53">
        <v>98</v>
      </c>
      <c r="T43" s="16">
        <f t="shared" si="0"/>
        <v>36</v>
      </c>
      <c r="U43" s="53">
        <v>398</v>
      </c>
      <c r="V43" s="16">
        <f t="shared" si="1"/>
        <v>16</v>
      </c>
      <c r="W43" s="53">
        <v>1</v>
      </c>
      <c r="X43" s="53" t="s">
        <v>39</v>
      </c>
      <c r="Y43" s="53" t="s">
        <v>84</v>
      </c>
      <c r="Z43" s="53" t="s">
        <v>40</v>
      </c>
      <c r="AA43" s="53" t="s">
        <v>90</v>
      </c>
      <c r="AB43" s="53" t="s">
        <v>317</v>
      </c>
      <c r="AV43" s="27"/>
    </row>
    <row r="44" spans="1:48" x14ac:dyDescent="0.15">
      <c r="A44" s="53" t="s">
        <v>59</v>
      </c>
      <c r="B44" s="53" t="s">
        <v>236</v>
      </c>
      <c r="C44" s="62">
        <v>2019</v>
      </c>
      <c r="D44" s="137" t="s">
        <v>313</v>
      </c>
      <c r="E44" s="53" t="s">
        <v>341</v>
      </c>
      <c r="F44" s="53" t="s">
        <v>342</v>
      </c>
      <c r="G44" s="53" t="s">
        <v>36</v>
      </c>
      <c r="H44" s="53" t="s">
        <v>164</v>
      </c>
      <c r="I44" s="53" t="s">
        <v>159</v>
      </c>
      <c r="J44" s="53" t="s">
        <v>38</v>
      </c>
      <c r="K44" s="53" t="s">
        <v>161</v>
      </c>
      <c r="L44" s="53">
        <v>1</v>
      </c>
      <c r="N44" s="53">
        <v>4</v>
      </c>
      <c r="O44" s="53">
        <v>0.65</v>
      </c>
      <c r="P44" s="53">
        <v>0.62</v>
      </c>
      <c r="Q44" s="74">
        <f t="shared" si="2"/>
        <v>0.63500000000000001</v>
      </c>
      <c r="R44" s="53">
        <v>14.5</v>
      </c>
      <c r="S44" s="53">
        <v>145</v>
      </c>
      <c r="T44" s="16">
        <f t="shared" si="0"/>
        <v>22</v>
      </c>
      <c r="U44" s="53">
        <v>298</v>
      </c>
      <c r="V44" s="16">
        <f t="shared" si="1"/>
        <v>16</v>
      </c>
      <c r="W44" s="53">
        <v>2</v>
      </c>
      <c r="X44" s="53" t="s">
        <v>39</v>
      </c>
      <c r="Y44" s="53" t="s">
        <v>84</v>
      </c>
      <c r="Z44" s="53" t="s">
        <v>40</v>
      </c>
      <c r="AA44" s="53" t="s">
        <v>90</v>
      </c>
      <c r="AB44" s="53" t="s">
        <v>317</v>
      </c>
      <c r="AV44" s="27"/>
    </row>
    <row r="45" spans="1:48" x14ac:dyDescent="0.15">
      <c r="A45" s="53" t="s">
        <v>59</v>
      </c>
      <c r="B45" s="53" t="s">
        <v>236</v>
      </c>
      <c r="C45" s="62">
        <v>2019</v>
      </c>
      <c r="D45" s="137" t="s">
        <v>313</v>
      </c>
      <c r="E45" s="53" t="s">
        <v>341</v>
      </c>
      <c r="F45" s="53" t="s">
        <v>342</v>
      </c>
      <c r="G45" s="53" t="s">
        <v>36</v>
      </c>
      <c r="H45" s="53" t="s">
        <v>164</v>
      </c>
      <c r="I45" s="53" t="s">
        <v>159</v>
      </c>
      <c r="J45" s="53" t="s">
        <v>38</v>
      </c>
      <c r="K45" s="53" t="s">
        <v>161</v>
      </c>
      <c r="L45" s="53">
        <v>2</v>
      </c>
      <c r="N45" s="53">
        <v>4</v>
      </c>
      <c r="O45" s="53">
        <v>0.49</v>
      </c>
      <c r="P45" s="53">
        <v>0.5</v>
      </c>
      <c r="Q45" s="74">
        <f t="shared" si="2"/>
        <v>0.495</v>
      </c>
      <c r="R45" s="53">
        <v>14.9</v>
      </c>
      <c r="S45" s="53">
        <v>133</v>
      </c>
      <c r="T45" s="16">
        <f t="shared" si="0"/>
        <v>25</v>
      </c>
      <c r="U45" s="53">
        <v>298</v>
      </c>
      <c r="V45" s="16">
        <f t="shared" si="1"/>
        <v>16</v>
      </c>
      <c r="W45" s="53">
        <v>2</v>
      </c>
      <c r="X45" s="53" t="s">
        <v>39</v>
      </c>
      <c r="Y45" s="53" t="s">
        <v>84</v>
      </c>
      <c r="Z45" s="53" t="s">
        <v>40</v>
      </c>
      <c r="AA45" s="53" t="s">
        <v>90</v>
      </c>
      <c r="AB45" s="53" t="s">
        <v>317</v>
      </c>
      <c r="AV45" s="27"/>
    </row>
    <row r="46" spans="1:48" x14ac:dyDescent="0.15">
      <c r="A46" s="53" t="s">
        <v>59</v>
      </c>
      <c r="B46" s="53" t="s">
        <v>236</v>
      </c>
      <c r="C46" s="62">
        <v>2019</v>
      </c>
      <c r="D46" s="137" t="s">
        <v>313</v>
      </c>
      <c r="E46" s="53" t="s">
        <v>341</v>
      </c>
      <c r="F46" s="53" t="s">
        <v>342</v>
      </c>
      <c r="G46" s="53" t="s">
        <v>36</v>
      </c>
      <c r="H46" s="53" t="s">
        <v>164</v>
      </c>
      <c r="I46" s="53" t="s">
        <v>159</v>
      </c>
      <c r="J46" s="53" t="s">
        <v>38</v>
      </c>
      <c r="K46" s="53" t="s">
        <v>161</v>
      </c>
      <c r="L46" s="53">
        <v>3</v>
      </c>
      <c r="N46" s="53">
        <v>4</v>
      </c>
      <c r="O46" s="53">
        <v>0.48</v>
      </c>
      <c r="P46" s="53">
        <v>0.44</v>
      </c>
      <c r="Q46" s="74">
        <f t="shared" si="2"/>
        <v>0.45999999999999996</v>
      </c>
      <c r="R46" s="53">
        <v>14.8</v>
      </c>
      <c r="S46" s="53">
        <v>140</v>
      </c>
      <c r="T46" s="16">
        <f t="shared" si="0"/>
        <v>22</v>
      </c>
      <c r="U46" s="53">
        <v>298</v>
      </c>
      <c r="V46" s="16">
        <f t="shared" si="1"/>
        <v>16</v>
      </c>
      <c r="W46" s="53">
        <v>2</v>
      </c>
      <c r="X46" s="53" t="s">
        <v>39</v>
      </c>
      <c r="Y46" s="53" t="s">
        <v>84</v>
      </c>
      <c r="Z46" s="53" t="s">
        <v>40</v>
      </c>
      <c r="AA46" s="53" t="s">
        <v>90</v>
      </c>
      <c r="AB46" s="53" t="s">
        <v>317</v>
      </c>
      <c r="AV46" s="27"/>
    </row>
    <row r="47" spans="1:48" x14ac:dyDescent="0.15">
      <c r="A47" s="53" t="s">
        <v>59</v>
      </c>
      <c r="B47" s="53" t="s">
        <v>236</v>
      </c>
      <c r="C47" s="62">
        <v>2019</v>
      </c>
      <c r="D47" s="137" t="s">
        <v>313</v>
      </c>
      <c r="E47" s="53" t="s">
        <v>331</v>
      </c>
      <c r="F47" s="53" t="s">
        <v>332</v>
      </c>
      <c r="G47" s="53" t="s">
        <v>36</v>
      </c>
      <c r="H47" s="53" t="s">
        <v>164</v>
      </c>
      <c r="I47" s="53" t="s">
        <v>159</v>
      </c>
      <c r="J47" s="53" t="s">
        <v>38</v>
      </c>
      <c r="K47" s="53" t="s">
        <v>161</v>
      </c>
      <c r="L47" s="53">
        <v>1</v>
      </c>
      <c r="N47" s="53">
        <v>5</v>
      </c>
      <c r="O47" s="53">
        <v>0.55000000000000004</v>
      </c>
      <c r="P47" s="53">
        <v>0.44</v>
      </c>
      <c r="Q47" s="74">
        <f t="shared" si="2"/>
        <v>0.495</v>
      </c>
      <c r="R47" s="53">
        <v>15.5</v>
      </c>
      <c r="S47" s="53">
        <v>82</v>
      </c>
      <c r="T47" s="16">
        <f t="shared" si="0"/>
        <v>39</v>
      </c>
      <c r="U47" s="53">
        <v>321</v>
      </c>
      <c r="V47" s="16">
        <f t="shared" si="1"/>
        <v>16</v>
      </c>
      <c r="W47" s="53">
        <v>2</v>
      </c>
      <c r="X47" s="53" t="s">
        <v>46</v>
      </c>
      <c r="Y47" s="53" t="s">
        <v>84</v>
      </c>
      <c r="Z47" s="53" t="s">
        <v>90</v>
      </c>
      <c r="AA47" s="53" t="s">
        <v>316</v>
      </c>
      <c r="AB47" s="53" t="s">
        <v>317</v>
      </c>
      <c r="AV47" s="27"/>
    </row>
    <row r="48" spans="1:48" x14ac:dyDescent="0.15">
      <c r="A48" s="53" t="s">
        <v>59</v>
      </c>
      <c r="B48" s="53" t="s">
        <v>236</v>
      </c>
      <c r="C48" s="62">
        <v>2019</v>
      </c>
      <c r="D48" s="137" t="s">
        <v>313</v>
      </c>
      <c r="E48" s="53" t="s">
        <v>331</v>
      </c>
      <c r="F48" s="53" t="s">
        <v>332</v>
      </c>
      <c r="G48" s="53" t="s">
        <v>36</v>
      </c>
      <c r="H48" s="53" t="s">
        <v>164</v>
      </c>
      <c r="I48" s="53" t="s">
        <v>159</v>
      </c>
      <c r="J48" s="53" t="s">
        <v>38</v>
      </c>
      <c r="K48" s="53" t="s">
        <v>161</v>
      </c>
      <c r="L48" s="53">
        <v>2</v>
      </c>
      <c r="N48" s="53">
        <v>5</v>
      </c>
      <c r="O48" s="53">
        <v>0.73</v>
      </c>
      <c r="P48" s="53">
        <v>0.68</v>
      </c>
      <c r="Q48" s="74">
        <f t="shared" si="2"/>
        <v>0.70500000000000007</v>
      </c>
      <c r="R48" s="53">
        <v>15.2</v>
      </c>
      <c r="S48" s="53">
        <v>93</v>
      </c>
      <c r="T48" s="16">
        <f t="shared" si="0"/>
        <v>36</v>
      </c>
      <c r="U48" s="53">
        <v>321</v>
      </c>
      <c r="V48" s="16">
        <f t="shared" si="1"/>
        <v>16</v>
      </c>
      <c r="W48" s="53">
        <v>2</v>
      </c>
      <c r="X48" s="53" t="s">
        <v>46</v>
      </c>
      <c r="Y48" s="53" t="s">
        <v>84</v>
      </c>
      <c r="Z48" s="53" t="s">
        <v>90</v>
      </c>
      <c r="AA48" s="53" t="s">
        <v>316</v>
      </c>
      <c r="AB48" s="53" t="s">
        <v>317</v>
      </c>
      <c r="AV48" s="27"/>
    </row>
    <row r="49" spans="1:48" x14ac:dyDescent="0.15">
      <c r="A49" s="53" t="s">
        <v>59</v>
      </c>
      <c r="B49" s="53" t="s">
        <v>236</v>
      </c>
      <c r="C49" s="62">
        <v>2019</v>
      </c>
      <c r="D49" s="137" t="s">
        <v>313</v>
      </c>
      <c r="E49" s="53" t="s">
        <v>331</v>
      </c>
      <c r="F49" s="53" t="s">
        <v>332</v>
      </c>
      <c r="G49" s="53" t="s">
        <v>36</v>
      </c>
      <c r="H49" s="53" t="s">
        <v>164</v>
      </c>
      <c r="I49" s="53" t="s">
        <v>159</v>
      </c>
      <c r="J49" s="53" t="s">
        <v>38</v>
      </c>
      <c r="K49" s="53" t="s">
        <v>161</v>
      </c>
      <c r="L49" s="53">
        <v>3</v>
      </c>
      <c r="N49" s="53">
        <v>5</v>
      </c>
      <c r="O49" s="53">
        <v>0.52</v>
      </c>
      <c r="P49" s="53">
        <v>0.57999999999999996</v>
      </c>
      <c r="Q49" s="74">
        <f t="shared" si="2"/>
        <v>0.55000000000000004</v>
      </c>
      <c r="R49" s="53">
        <v>15.1</v>
      </c>
      <c r="S49" s="53">
        <v>91</v>
      </c>
      <c r="T49" s="16">
        <f t="shared" si="0"/>
        <v>36</v>
      </c>
      <c r="U49" s="53">
        <v>321</v>
      </c>
      <c r="V49" s="16">
        <f t="shared" si="1"/>
        <v>16</v>
      </c>
      <c r="W49" s="53">
        <v>2</v>
      </c>
      <c r="X49" s="53" t="s">
        <v>46</v>
      </c>
      <c r="Y49" s="53" t="s">
        <v>84</v>
      </c>
      <c r="Z49" s="53" t="s">
        <v>90</v>
      </c>
      <c r="AA49" s="53" t="s">
        <v>316</v>
      </c>
      <c r="AB49" s="53" t="s">
        <v>317</v>
      </c>
      <c r="AV49" s="27"/>
    </row>
    <row r="50" spans="1:48" x14ac:dyDescent="0.15">
      <c r="C50" s="62"/>
      <c r="D50" s="137"/>
      <c r="Q50" s="74"/>
      <c r="AV50" s="27"/>
    </row>
    <row r="51" spans="1:48" x14ac:dyDescent="0.15">
      <c r="C51" s="62"/>
      <c r="D51" s="137"/>
      <c r="Q51" s="74"/>
      <c r="AV51" s="27"/>
    </row>
    <row r="52" spans="1:48" x14ac:dyDescent="0.15">
      <c r="C52" s="62"/>
      <c r="D52" s="137"/>
      <c r="Q52" s="74"/>
      <c r="AV52" s="27"/>
    </row>
    <row r="53" spans="1:48" x14ac:dyDescent="0.15">
      <c r="C53" s="62"/>
      <c r="D53" s="137"/>
      <c r="Q53" s="74"/>
      <c r="AV53" s="27"/>
    </row>
    <row r="54" spans="1:48" x14ac:dyDescent="0.15">
      <c r="C54" s="62"/>
      <c r="D54" s="137"/>
      <c r="Q54" s="74"/>
      <c r="AV54" s="27"/>
    </row>
    <row r="55" spans="1:48" x14ac:dyDescent="0.15">
      <c r="C55" s="62"/>
      <c r="D55" s="137"/>
      <c r="Q55" s="74"/>
    </row>
    <row r="56" spans="1:48" x14ac:dyDescent="0.15">
      <c r="C56" s="62"/>
      <c r="D56" s="137"/>
      <c r="Q56" s="74"/>
    </row>
    <row r="57" spans="1:48" x14ac:dyDescent="0.15">
      <c r="C57" s="62"/>
      <c r="D57" s="137"/>
      <c r="Q57" s="74"/>
    </row>
    <row r="58" spans="1:48" x14ac:dyDescent="0.15">
      <c r="C58" s="62"/>
      <c r="Q58" s="74"/>
    </row>
    <row r="59" spans="1:48" x14ac:dyDescent="0.15">
      <c r="C59" s="62"/>
      <c r="Q59" s="74"/>
    </row>
    <row r="60" spans="1:48" x14ac:dyDescent="0.15">
      <c r="C60" s="62"/>
      <c r="Q60" s="74"/>
    </row>
    <row r="61" spans="1:48" x14ac:dyDescent="0.15">
      <c r="C61" s="62"/>
      <c r="Q61" s="74"/>
    </row>
    <row r="62" spans="1:48" x14ac:dyDescent="0.15">
      <c r="C62" s="62"/>
      <c r="Q62" s="74"/>
    </row>
    <row r="63" spans="1:48" x14ac:dyDescent="0.15">
      <c r="C63" s="62"/>
      <c r="Q63" s="74"/>
    </row>
    <row r="64" spans="1:48" x14ac:dyDescent="0.15">
      <c r="C64" s="62"/>
      <c r="Q64" s="74"/>
    </row>
    <row r="65" spans="3:22" x14ac:dyDescent="0.15">
      <c r="C65" s="62"/>
      <c r="Q65" s="74"/>
    </row>
    <row r="66" spans="3:22" x14ac:dyDescent="0.15">
      <c r="C66" s="62"/>
      <c r="Q66" s="74"/>
    </row>
    <row r="67" spans="3:22" x14ac:dyDescent="0.15">
      <c r="C67" s="62"/>
      <c r="Q67" s="74"/>
    </row>
    <row r="68" spans="3:22" x14ac:dyDescent="0.15">
      <c r="C68" s="62"/>
      <c r="Q68" s="74"/>
    </row>
    <row r="69" spans="3:22" x14ac:dyDescent="0.15">
      <c r="C69" s="62"/>
      <c r="Q69" s="74"/>
    </row>
    <row r="70" spans="3:22" x14ac:dyDescent="0.15">
      <c r="C70" s="62"/>
      <c r="Q70" s="74"/>
    </row>
    <row r="71" spans="3:22" x14ac:dyDescent="0.15">
      <c r="C71" s="62"/>
      <c r="Q71" s="74"/>
    </row>
    <row r="72" spans="3:22" x14ac:dyDescent="0.15">
      <c r="C72" s="62"/>
      <c r="Q72" s="74"/>
    </row>
    <row r="73" spans="3:22" x14ac:dyDescent="0.15">
      <c r="C73" s="62"/>
      <c r="Q73" s="74"/>
    </row>
    <row r="74" spans="3:22" x14ac:dyDescent="0.15">
      <c r="C74" s="62"/>
    </row>
    <row r="75" spans="3:22" x14ac:dyDescent="0.15">
      <c r="C75" s="62"/>
    </row>
    <row r="76" spans="3:22" x14ac:dyDescent="0.15">
      <c r="Q76" s="16" t="str">
        <f t="shared" ref="Q76:Q127" si="3">IF(OR(O76="",P76=""),"",AVERAGE(O76,P76))</f>
        <v/>
      </c>
      <c r="T76" s="16" t="str">
        <f t="shared" ref="T76:T127" si="4">IF(H76="","",IF(OR(H76="GREEN",H76="GK"),IF(S76&gt;=$AX$2,VLOOKUP(S76,$AX$2:$AY$12,2,1),""),IF(S76&gt;=$AZ$2,VLOOKUP(S76,$AZ$2:$BA$12,2,1),"")))</f>
        <v/>
      </c>
      <c r="V76" s="16" t="str">
        <f t="shared" ref="V76:V127" si="5">IF(J76="","",IF(OR(J76="GREEN",J76="GK"),IF(U76&gt;=$AX$2,VLOOKUP(U76,$AX$2:$AY$12,2,1),""),IF(U76&gt;=$AZ$2,VLOOKUP(U76,$AZ$2:$BA$12,2,1),"")))</f>
        <v/>
      </c>
    </row>
    <row r="77" spans="3:22" x14ac:dyDescent="0.15">
      <c r="Q77" s="16" t="str">
        <f t="shared" si="3"/>
        <v/>
      </c>
      <c r="T77" s="16" t="str">
        <f t="shared" si="4"/>
        <v/>
      </c>
      <c r="V77" s="16" t="str">
        <f t="shared" si="5"/>
        <v/>
      </c>
    </row>
    <row r="78" spans="3:22" x14ac:dyDescent="0.15">
      <c r="Q78" s="16" t="str">
        <f t="shared" si="3"/>
        <v/>
      </c>
      <c r="T78" s="16" t="str">
        <f t="shared" si="4"/>
        <v/>
      </c>
      <c r="V78" s="16" t="str">
        <f t="shared" si="5"/>
        <v/>
      </c>
    </row>
    <row r="79" spans="3:22" x14ac:dyDescent="0.15">
      <c r="Q79" s="16" t="str">
        <f t="shared" si="3"/>
        <v/>
      </c>
      <c r="T79" s="16" t="str">
        <f t="shared" si="4"/>
        <v/>
      </c>
      <c r="V79" s="16" t="str">
        <f t="shared" si="5"/>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sheetData>
  <autoFilter ref="A1:BA127" xr:uid="{00000000-0009-0000-0000-000000000000}"/>
  <phoneticPr fontId="3"/>
  <dataValidations count="19">
    <dataValidation type="list" allowBlank="1" showInputMessage="1" showErrorMessage="1" sqref="K2:K409" xr:uid="{AC3770E6-97D2-4156-929C-AD348A47BB47}">
      <formula1>$AR$2:$AR$27</formula1>
    </dataValidation>
    <dataValidation type="list" allowBlank="1" showInputMessage="1" showErrorMessage="1" sqref="E2:E467" xr:uid="{0154D765-38AD-4ED9-BF80-7FFE56E4F774}">
      <formula1>$AG$2:$AG$11</formula1>
    </dataValidation>
    <dataValidation type="list" allowBlank="1" showInputMessage="1" showErrorMessage="1" sqref="H2:H467" xr:uid="{4A96DBCC-2BBF-44FB-BF9B-BE9B7CE35FDD}">
      <formula1>$AL$2:$AL$8</formula1>
    </dataValidation>
    <dataValidation type="decimal" allowBlank="1" showInputMessage="1" showErrorMessage="1" error="硬度を正しく入力して下さい。" sqref="O2:P467" xr:uid="{77F93BB8-5988-4DD3-9B48-59BCB50E97F8}">
      <formula1>0</formula1>
      <formula2>7</formula2>
    </dataValidation>
    <dataValidation type="list" allowBlank="1" showInputMessage="1" showErrorMessage="1" sqref="F2:F1421" xr:uid="{5C977ABE-EC4E-4EBC-9F2D-ED07C2051D5C}">
      <formula1>$AH$2:$AH$11</formula1>
    </dataValidation>
    <dataValidation type="list" allowBlank="1" showInputMessage="1" showErrorMessage="1" sqref="Y2:AA558" xr:uid="{661CD425-A748-4AB5-8CF7-893CA45D3F3C}">
      <formula1>$AV$2:$AV$38</formula1>
    </dataValidation>
    <dataValidation type="list" allowBlank="1" showInputMessage="1" showErrorMessage="1" sqref="J2:J54" xr:uid="{CFE6A846-B99C-433F-999A-297AD663065B}">
      <formula1>$AP$2:$AP$38</formula1>
    </dataValidation>
    <dataValidation type="list" allowBlank="1" showInputMessage="1" showErrorMessage="1" sqref="WVS983009:WVS983074 K65505:K65570 JG65505:JG65570 TC65505:TC65570 ACY65505:ACY65570 AMU65505:AMU65570 AWQ65505:AWQ65570 BGM65505:BGM65570 BQI65505:BQI65570 CAE65505:CAE65570 CKA65505:CKA65570 CTW65505:CTW65570 DDS65505:DDS65570 DNO65505:DNO65570 DXK65505:DXK65570 EHG65505:EHG65570 ERC65505:ERC65570 FAY65505:FAY65570 FKU65505:FKU65570 FUQ65505:FUQ65570 GEM65505:GEM65570 GOI65505:GOI65570 GYE65505:GYE65570 HIA65505:HIA65570 HRW65505:HRW65570 IBS65505:IBS65570 ILO65505:ILO65570 IVK65505:IVK65570 JFG65505:JFG65570 JPC65505:JPC65570 JYY65505:JYY65570 KIU65505:KIU65570 KSQ65505:KSQ65570 LCM65505:LCM65570 LMI65505:LMI65570 LWE65505:LWE65570 MGA65505:MGA65570 MPW65505:MPW65570 MZS65505:MZS65570 NJO65505:NJO65570 NTK65505:NTK65570 ODG65505:ODG65570 ONC65505:ONC65570 OWY65505:OWY65570 PGU65505:PGU65570 PQQ65505:PQQ65570 QAM65505:QAM65570 QKI65505:QKI65570 QUE65505:QUE65570 REA65505:REA65570 RNW65505:RNW65570 RXS65505:RXS65570 SHO65505:SHO65570 SRK65505:SRK65570 TBG65505:TBG65570 TLC65505:TLC65570 TUY65505:TUY65570 UEU65505:UEU65570 UOQ65505:UOQ65570 UYM65505:UYM65570 VII65505:VII65570 VSE65505:VSE65570 WCA65505:WCA65570 WLW65505:WLW65570 WVS65505:WVS65570 K131041:K131106 JG131041:JG131106 TC131041:TC131106 ACY131041:ACY131106 AMU131041:AMU131106 AWQ131041:AWQ131106 BGM131041:BGM131106 BQI131041:BQI131106 CAE131041:CAE131106 CKA131041:CKA131106 CTW131041:CTW131106 DDS131041:DDS131106 DNO131041:DNO131106 DXK131041:DXK131106 EHG131041:EHG131106 ERC131041:ERC131106 FAY131041:FAY131106 FKU131041:FKU131106 FUQ131041:FUQ131106 GEM131041:GEM131106 GOI131041:GOI131106 GYE131041:GYE131106 HIA131041:HIA131106 HRW131041:HRW131106 IBS131041:IBS131106 ILO131041:ILO131106 IVK131041:IVK131106 JFG131041:JFG131106 JPC131041:JPC131106 JYY131041:JYY131106 KIU131041:KIU131106 KSQ131041:KSQ131106 LCM131041:LCM131106 LMI131041:LMI131106 LWE131041:LWE131106 MGA131041:MGA131106 MPW131041:MPW131106 MZS131041:MZS131106 NJO131041:NJO131106 NTK131041:NTK131106 ODG131041:ODG131106 ONC131041:ONC131106 OWY131041:OWY131106 PGU131041:PGU131106 PQQ131041:PQQ131106 QAM131041:QAM131106 QKI131041:QKI131106 QUE131041:QUE131106 REA131041:REA131106 RNW131041:RNW131106 RXS131041:RXS131106 SHO131041:SHO131106 SRK131041:SRK131106 TBG131041:TBG131106 TLC131041:TLC131106 TUY131041:TUY131106 UEU131041:UEU131106 UOQ131041:UOQ131106 UYM131041:UYM131106 VII131041:VII131106 VSE131041:VSE131106 WCA131041:WCA131106 WLW131041:WLW131106 WVS131041:WVS131106 K196577:K196642 JG196577:JG196642 TC196577:TC196642 ACY196577:ACY196642 AMU196577:AMU196642 AWQ196577:AWQ196642 BGM196577:BGM196642 BQI196577:BQI196642 CAE196577:CAE196642 CKA196577:CKA196642 CTW196577:CTW196642 DDS196577:DDS196642 DNO196577:DNO196642 DXK196577:DXK196642 EHG196577:EHG196642 ERC196577:ERC196642 FAY196577:FAY196642 FKU196577:FKU196642 FUQ196577:FUQ196642 GEM196577:GEM196642 GOI196577:GOI196642 GYE196577:GYE196642 HIA196577:HIA196642 HRW196577:HRW196642 IBS196577:IBS196642 ILO196577:ILO196642 IVK196577:IVK196642 JFG196577:JFG196642 JPC196577:JPC196642 JYY196577:JYY196642 KIU196577:KIU196642 KSQ196577:KSQ196642 LCM196577:LCM196642 LMI196577:LMI196642 LWE196577:LWE196642 MGA196577:MGA196642 MPW196577:MPW196642 MZS196577:MZS196642 NJO196577:NJO196642 NTK196577:NTK196642 ODG196577:ODG196642 ONC196577:ONC196642 OWY196577:OWY196642 PGU196577:PGU196642 PQQ196577:PQQ196642 QAM196577:QAM196642 QKI196577:QKI196642 QUE196577:QUE196642 REA196577:REA196642 RNW196577:RNW196642 RXS196577:RXS196642 SHO196577:SHO196642 SRK196577:SRK196642 TBG196577:TBG196642 TLC196577:TLC196642 TUY196577:TUY196642 UEU196577:UEU196642 UOQ196577:UOQ196642 UYM196577:UYM196642 VII196577:VII196642 VSE196577:VSE196642 WCA196577:WCA196642 WLW196577:WLW196642 WVS196577:WVS196642 K262113:K262178 JG262113:JG262178 TC262113:TC262178 ACY262113:ACY262178 AMU262113:AMU262178 AWQ262113:AWQ262178 BGM262113:BGM262178 BQI262113:BQI262178 CAE262113:CAE262178 CKA262113:CKA262178 CTW262113:CTW262178 DDS262113:DDS262178 DNO262113:DNO262178 DXK262113:DXK262178 EHG262113:EHG262178 ERC262113:ERC262178 FAY262113:FAY262178 FKU262113:FKU262178 FUQ262113:FUQ262178 GEM262113:GEM262178 GOI262113:GOI262178 GYE262113:GYE262178 HIA262113:HIA262178 HRW262113:HRW262178 IBS262113:IBS262178 ILO262113:ILO262178 IVK262113:IVK262178 JFG262113:JFG262178 JPC262113:JPC262178 JYY262113:JYY262178 KIU262113:KIU262178 KSQ262113:KSQ262178 LCM262113:LCM262178 LMI262113:LMI262178 LWE262113:LWE262178 MGA262113:MGA262178 MPW262113:MPW262178 MZS262113:MZS262178 NJO262113:NJO262178 NTK262113:NTK262178 ODG262113:ODG262178 ONC262113:ONC262178 OWY262113:OWY262178 PGU262113:PGU262178 PQQ262113:PQQ262178 QAM262113:QAM262178 QKI262113:QKI262178 QUE262113:QUE262178 REA262113:REA262178 RNW262113:RNW262178 RXS262113:RXS262178 SHO262113:SHO262178 SRK262113:SRK262178 TBG262113:TBG262178 TLC262113:TLC262178 TUY262113:TUY262178 UEU262113:UEU262178 UOQ262113:UOQ262178 UYM262113:UYM262178 VII262113:VII262178 VSE262113:VSE262178 WCA262113:WCA262178 WLW262113:WLW262178 WVS262113:WVS262178 K327649:K327714 JG327649:JG327714 TC327649:TC327714 ACY327649:ACY327714 AMU327649:AMU327714 AWQ327649:AWQ327714 BGM327649:BGM327714 BQI327649:BQI327714 CAE327649:CAE327714 CKA327649:CKA327714 CTW327649:CTW327714 DDS327649:DDS327714 DNO327649:DNO327714 DXK327649:DXK327714 EHG327649:EHG327714 ERC327649:ERC327714 FAY327649:FAY327714 FKU327649:FKU327714 FUQ327649:FUQ327714 GEM327649:GEM327714 GOI327649:GOI327714 GYE327649:GYE327714 HIA327649:HIA327714 HRW327649:HRW327714 IBS327649:IBS327714 ILO327649:ILO327714 IVK327649:IVK327714 JFG327649:JFG327714 JPC327649:JPC327714 JYY327649:JYY327714 KIU327649:KIU327714 KSQ327649:KSQ327714 LCM327649:LCM327714 LMI327649:LMI327714 LWE327649:LWE327714 MGA327649:MGA327714 MPW327649:MPW327714 MZS327649:MZS327714 NJO327649:NJO327714 NTK327649:NTK327714 ODG327649:ODG327714 ONC327649:ONC327714 OWY327649:OWY327714 PGU327649:PGU327714 PQQ327649:PQQ327714 QAM327649:QAM327714 QKI327649:QKI327714 QUE327649:QUE327714 REA327649:REA327714 RNW327649:RNW327714 RXS327649:RXS327714 SHO327649:SHO327714 SRK327649:SRK327714 TBG327649:TBG327714 TLC327649:TLC327714 TUY327649:TUY327714 UEU327649:UEU327714 UOQ327649:UOQ327714 UYM327649:UYM327714 VII327649:VII327714 VSE327649:VSE327714 WCA327649:WCA327714 WLW327649:WLW327714 WVS327649:WVS327714 K393185:K393250 JG393185:JG393250 TC393185:TC393250 ACY393185:ACY393250 AMU393185:AMU393250 AWQ393185:AWQ393250 BGM393185:BGM393250 BQI393185:BQI393250 CAE393185:CAE393250 CKA393185:CKA393250 CTW393185:CTW393250 DDS393185:DDS393250 DNO393185:DNO393250 DXK393185:DXK393250 EHG393185:EHG393250 ERC393185:ERC393250 FAY393185:FAY393250 FKU393185:FKU393250 FUQ393185:FUQ393250 GEM393185:GEM393250 GOI393185:GOI393250 GYE393185:GYE393250 HIA393185:HIA393250 HRW393185:HRW393250 IBS393185:IBS393250 ILO393185:ILO393250 IVK393185:IVK393250 JFG393185:JFG393250 JPC393185:JPC393250 JYY393185:JYY393250 KIU393185:KIU393250 KSQ393185:KSQ393250 LCM393185:LCM393250 LMI393185:LMI393250 LWE393185:LWE393250 MGA393185:MGA393250 MPW393185:MPW393250 MZS393185:MZS393250 NJO393185:NJO393250 NTK393185:NTK393250 ODG393185:ODG393250 ONC393185:ONC393250 OWY393185:OWY393250 PGU393185:PGU393250 PQQ393185:PQQ393250 QAM393185:QAM393250 QKI393185:QKI393250 QUE393185:QUE393250 REA393185:REA393250 RNW393185:RNW393250 RXS393185:RXS393250 SHO393185:SHO393250 SRK393185:SRK393250 TBG393185:TBG393250 TLC393185:TLC393250 TUY393185:TUY393250 UEU393185:UEU393250 UOQ393185:UOQ393250 UYM393185:UYM393250 VII393185:VII393250 VSE393185:VSE393250 WCA393185:WCA393250 WLW393185:WLW393250 WVS393185:WVS393250 K458721:K458786 JG458721:JG458786 TC458721:TC458786 ACY458721:ACY458786 AMU458721:AMU458786 AWQ458721:AWQ458786 BGM458721:BGM458786 BQI458721:BQI458786 CAE458721:CAE458786 CKA458721:CKA458786 CTW458721:CTW458786 DDS458721:DDS458786 DNO458721:DNO458786 DXK458721:DXK458786 EHG458721:EHG458786 ERC458721:ERC458786 FAY458721:FAY458786 FKU458721:FKU458786 FUQ458721:FUQ458786 GEM458721:GEM458786 GOI458721:GOI458786 GYE458721:GYE458786 HIA458721:HIA458786 HRW458721:HRW458786 IBS458721:IBS458786 ILO458721:ILO458786 IVK458721:IVK458786 JFG458721:JFG458786 JPC458721:JPC458786 JYY458721:JYY458786 KIU458721:KIU458786 KSQ458721:KSQ458786 LCM458721:LCM458786 LMI458721:LMI458786 LWE458721:LWE458786 MGA458721:MGA458786 MPW458721:MPW458786 MZS458721:MZS458786 NJO458721:NJO458786 NTK458721:NTK458786 ODG458721:ODG458786 ONC458721:ONC458786 OWY458721:OWY458786 PGU458721:PGU458786 PQQ458721:PQQ458786 QAM458721:QAM458786 QKI458721:QKI458786 QUE458721:QUE458786 REA458721:REA458786 RNW458721:RNW458786 RXS458721:RXS458786 SHO458721:SHO458786 SRK458721:SRK458786 TBG458721:TBG458786 TLC458721:TLC458786 TUY458721:TUY458786 UEU458721:UEU458786 UOQ458721:UOQ458786 UYM458721:UYM458786 VII458721:VII458786 VSE458721:VSE458786 WCA458721:WCA458786 WLW458721:WLW458786 WVS458721:WVS458786 K524257:K524322 JG524257:JG524322 TC524257:TC524322 ACY524257:ACY524322 AMU524257:AMU524322 AWQ524257:AWQ524322 BGM524257:BGM524322 BQI524257:BQI524322 CAE524257:CAE524322 CKA524257:CKA524322 CTW524257:CTW524322 DDS524257:DDS524322 DNO524257:DNO524322 DXK524257:DXK524322 EHG524257:EHG524322 ERC524257:ERC524322 FAY524257:FAY524322 FKU524257:FKU524322 FUQ524257:FUQ524322 GEM524257:GEM524322 GOI524257:GOI524322 GYE524257:GYE524322 HIA524257:HIA524322 HRW524257:HRW524322 IBS524257:IBS524322 ILO524257:ILO524322 IVK524257:IVK524322 JFG524257:JFG524322 JPC524257:JPC524322 JYY524257:JYY524322 KIU524257:KIU524322 KSQ524257:KSQ524322 LCM524257:LCM524322 LMI524257:LMI524322 LWE524257:LWE524322 MGA524257:MGA524322 MPW524257:MPW524322 MZS524257:MZS524322 NJO524257:NJO524322 NTK524257:NTK524322 ODG524257:ODG524322 ONC524257:ONC524322 OWY524257:OWY524322 PGU524257:PGU524322 PQQ524257:PQQ524322 QAM524257:QAM524322 QKI524257:QKI524322 QUE524257:QUE524322 REA524257:REA524322 RNW524257:RNW524322 RXS524257:RXS524322 SHO524257:SHO524322 SRK524257:SRK524322 TBG524257:TBG524322 TLC524257:TLC524322 TUY524257:TUY524322 UEU524257:UEU524322 UOQ524257:UOQ524322 UYM524257:UYM524322 VII524257:VII524322 VSE524257:VSE524322 WCA524257:WCA524322 WLW524257:WLW524322 WVS524257:WVS524322 K589793:K589858 JG589793:JG589858 TC589793:TC589858 ACY589793:ACY589858 AMU589793:AMU589858 AWQ589793:AWQ589858 BGM589793:BGM589858 BQI589793:BQI589858 CAE589793:CAE589858 CKA589793:CKA589858 CTW589793:CTW589858 DDS589793:DDS589858 DNO589793:DNO589858 DXK589793:DXK589858 EHG589793:EHG589858 ERC589793:ERC589858 FAY589793:FAY589858 FKU589793:FKU589858 FUQ589793:FUQ589858 GEM589793:GEM589858 GOI589793:GOI589858 GYE589793:GYE589858 HIA589793:HIA589858 HRW589793:HRW589858 IBS589793:IBS589858 ILO589793:ILO589858 IVK589793:IVK589858 JFG589793:JFG589858 JPC589793:JPC589858 JYY589793:JYY589858 KIU589793:KIU589858 KSQ589793:KSQ589858 LCM589793:LCM589858 LMI589793:LMI589858 LWE589793:LWE589858 MGA589793:MGA589858 MPW589793:MPW589858 MZS589793:MZS589858 NJO589793:NJO589858 NTK589793:NTK589858 ODG589793:ODG589858 ONC589793:ONC589858 OWY589793:OWY589858 PGU589793:PGU589858 PQQ589793:PQQ589858 QAM589793:QAM589858 QKI589793:QKI589858 QUE589793:QUE589858 REA589793:REA589858 RNW589793:RNW589858 RXS589793:RXS589858 SHO589793:SHO589858 SRK589793:SRK589858 TBG589793:TBG589858 TLC589793:TLC589858 TUY589793:TUY589858 UEU589793:UEU589858 UOQ589793:UOQ589858 UYM589793:UYM589858 VII589793:VII589858 VSE589793:VSE589858 WCA589793:WCA589858 WLW589793:WLW589858 WVS589793:WVS589858 K655329:K655394 JG655329:JG655394 TC655329:TC655394 ACY655329:ACY655394 AMU655329:AMU655394 AWQ655329:AWQ655394 BGM655329:BGM655394 BQI655329:BQI655394 CAE655329:CAE655394 CKA655329:CKA655394 CTW655329:CTW655394 DDS655329:DDS655394 DNO655329:DNO655394 DXK655329:DXK655394 EHG655329:EHG655394 ERC655329:ERC655394 FAY655329:FAY655394 FKU655329:FKU655394 FUQ655329:FUQ655394 GEM655329:GEM655394 GOI655329:GOI655394 GYE655329:GYE655394 HIA655329:HIA655394 HRW655329:HRW655394 IBS655329:IBS655394 ILO655329:ILO655394 IVK655329:IVK655394 JFG655329:JFG655394 JPC655329:JPC655394 JYY655329:JYY655394 KIU655329:KIU655394 KSQ655329:KSQ655394 LCM655329:LCM655394 LMI655329:LMI655394 LWE655329:LWE655394 MGA655329:MGA655394 MPW655329:MPW655394 MZS655329:MZS655394 NJO655329:NJO655394 NTK655329:NTK655394 ODG655329:ODG655394 ONC655329:ONC655394 OWY655329:OWY655394 PGU655329:PGU655394 PQQ655329:PQQ655394 QAM655329:QAM655394 QKI655329:QKI655394 QUE655329:QUE655394 REA655329:REA655394 RNW655329:RNW655394 RXS655329:RXS655394 SHO655329:SHO655394 SRK655329:SRK655394 TBG655329:TBG655394 TLC655329:TLC655394 TUY655329:TUY655394 UEU655329:UEU655394 UOQ655329:UOQ655394 UYM655329:UYM655394 VII655329:VII655394 VSE655329:VSE655394 WCA655329:WCA655394 WLW655329:WLW655394 WVS655329:WVS655394 K720865:K720930 JG720865:JG720930 TC720865:TC720930 ACY720865:ACY720930 AMU720865:AMU720930 AWQ720865:AWQ720930 BGM720865:BGM720930 BQI720865:BQI720930 CAE720865:CAE720930 CKA720865:CKA720930 CTW720865:CTW720930 DDS720865:DDS720930 DNO720865:DNO720930 DXK720865:DXK720930 EHG720865:EHG720930 ERC720865:ERC720930 FAY720865:FAY720930 FKU720865:FKU720930 FUQ720865:FUQ720930 GEM720865:GEM720930 GOI720865:GOI720930 GYE720865:GYE720930 HIA720865:HIA720930 HRW720865:HRW720930 IBS720865:IBS720930 ILO720865:ILO720930 IVK720865:IVK720930 JFG720865:JFG720930 JPC720865:JPC720930 JYY720865:JYY720930 KIU720865:KIU720930 KSQ720865:KSQ720930 LCM720865:LCM720930 LMI720865:LMI720930 LWE720865:LWE720930 MGA720865:MGA720930 MPW720865:MPW720930 MZS720865:MZS720930 NJO720865:NJO720930 NTK720865:NTK720930 ODG720865:ODG720930 ONC720865:ONC720930 OWY720865:OWY720930 PGU720865:PGU720930 PQQ720865:PQQ720930 QAM720865:QAM720930 QKI720865:QKI720930 QUE720865:QUE720930 REA720865:REA720930 RNW720865:RNW720930 RXS720865:RXS720930 SHO720865:SHO720930 SRK720865:SRK720930 TBG720865:TBG720930 TLC720865:TLC720930 TUY720865:TUY720930 UEU720865:UEU720930 UOQ720865:UOQ720930 UYM720865:UYM720930 VII720865:VII720930 VSE720865:VSE720930 WCA720865:WCA720930 WLW720865:WLW720930 WVS720865:WVS720930 K786401:K786466 JG786401:JG786466 TC786401:TC786466 ACY786401:ACY786466 AMU786401:AMU786466 AWQ786401:AWQ786466 BGM786401:BGM786466 BQI786401:BQI786466 CAE786401:CAE786466 CKA786401:CKA786466 CTW786401:CTW786466 DDS786401:DDS786466 DNO786401:DNO786466 DXK786401:DXK786466 EHG786401:EHG786466 ERC786401:ERC786466 FAY786401:FAY786466 FKU786401:FKU786466 FUQ786401:FUQ786466 GEM786401:GEM786466 GOI786401:GOI786466 GYE786401:GYE786466 HIA786401:HIA786466 HRW786401:HRW786466 IBS786401:IBS786466 ILO786401:ILO786466 IVK786401:IVK786466 JFG786401:JFG786466 JPC786401:JPC786466 JYY786401:JYY786466 KIU786401:KIU786466 KSQ786401:KSQ786466 LCM786401:LCM786466 LMI786401:LMI786466 LWE786401:LWE786466 MGA786401:MGA786466 MPW786401:MPW786466 MZS786401:MZS786466 NJO786401:NJO786466 NTK786401:NTK786466 ODG786401:ODG786466 ONC786401:ONC786466 OWY786401:OWY786466 PGU786401:PGU786466 PQQ786401:PQQ786466 QAM786401:QAM786466 QKI786401:QKI786466 QUE786401:QUE786466 REA786401:REA786466 RNW786401:RNW786466 RXS786401:RXS786466 SHO786401:SHO786466 SRK786401:SRK786466 TBG786401:TBG786466 TLC786401:TLC786466 TUY786401:TUY786466 UEU786401:UEU786466 UOQ786401:UOQ786466 UYM786401:UYM786466 VII786401:VII786466 VSE786401:VSE786466 WCA786401:WCA786466 WLW786401:WLW786466 WVS786401:WVS786466 K851937:K852002 JG851937:JG852002 TC851937:TC852002 ACY851937:ACY852002 AMU851937:AMU852002 AWQ851937:AWQ852002 BGM851937:BGM852002 BQI851937:BQI852002 CAE851937:CAE852002 CKA851937:CKA852002 CTW851937:CTW852002 DDS851937:DDS852002 DNO851937:DNO852002 DXK851937:DXK852002 EHG851937:EHG852002 ERC851937:ERC852002 FAY851937:FAY852002 FKU851937:FKU852002 FUQ851937:FUQ852002 GEM851937:GEM852002 GOI851937:GOI852002 GYE851937:GYE852002 HIA851937:HIA852002 HRW851937:HRW852002 IBS851937:IBS852002 ILO851937:ILO852002 IVK851937:IVK852002 JFG851937:JFG852002 JPC851937:JPC852002 JYY851937:JYY852002 KIU851937:KIU852002 KSQ851937:KSQ852002 LCM851937:LCM852002 LMI851937:LMI852002 LWE851937:LWE852002 MGA851937:MGA852002 MPW851937:MPW852002 MZS851937:MZS852002 NJO851937:NJO852002 NTK851937:NTK852002 ODG851937:ODG852002 ONC851937:ONC852002 OWY851937:OWY852002 PGU851937:PGU852002 PQQ851937:PQQ852002 QAM851937:QAM852002 QKI851937:QKI852002 QUE851937:QUE852002 REA851937:REA852002 RNW851937:RNW852002 RXS851937:RXS852002 SHO851937:SHO852002 SRK851937:SRK852002 TBG851937:TBG852002 TLC851937:TLC852002 TUY851937:TUY852002 UEU851937:UEU852002 UOQ851937:UOQ852002 UYM851937:UYM852002 VII851937:VII852002 VSE851937:VSE852002 WCA851937:WCA852002 WLW851937:WLW852002 WVS851937:WVS852002 K917473:K917538 JG917473:JG917538 TC917473:TC917538 ACY917473:ACY917538 AMU917473:AMU917538 AWQ917473:AWQ917538 BGM917473:BGM917538 BQI917473:BQI917538 CAE917473:CAE917538 CKA917473:CKA917538 CTW917473:CTW917538 DDS917473:DDS917538 DNO917473:DNO917538 DXK917473:DXK917538 EHG917473:EHG917538 ERC917473:ERC917538 FAY917473:FAY917538 FKU917473:FKU917538 FUQ917473:FUQ917538 GEM917473:GEM917538 GOI917473:GOI917538 GYE917473:GYE917538 HIA917473:HIA917538 HRW917473:HRW917538 IBS917473:IBS917538 ILO917473:ILO917538 IVK917473:IVK917538 JFG917473:JFG917538 JPC917473:JPC917538 JYY917473:JYY917538 KIU917473:KIU917538 KSQ917473:KSQ917538 LCM917473:LCM917538 LMI917473:LMI917538 LWE917473:LWE917538 MGA917473:MGA917538 MPW917473:MPW917538 MZS917473:MZS917538 NJO917473:NJO917538 NTK917473:NTK917538 ODG917473:ODG917538 ONC917473:ONC917538 OWY917473:OWY917538 PGU917473:PGU917538 PQQ917473:PQQ917538 QAM917473:QAM917538 QKI917473:QKI917538 QUE917473:QUE917538 REA917473:REA917538 RNW917473:RNW917538 RXS917473:RXS917538 SHO917473:SHO917538 SRK917473:SRK917538 TBG917473:TBG917538 TLC917473:TLC917538 TUY917473:TUY917538 UEU917473:UEU917538 UOQ917473:UOQ917538 UYM917473:UYM917538 VII917473:VII917538 VSE917473:VSE917538 WCA917473:WCA917538 WLW917473:WLW917538 WVS917473:WVS917538 K983009:K983074 JG983009:JG983074 TC983009:TC983074 ACY983009:ACY983074 AMU983009:AMU983074 AWQ983009:AWQ983074 BGM983009:BGM983074 BQI983009:BQI983074 CAE983009:CAE983074 CKA983009:CKA983074 CTW983009:CTW983074 DDS983009:DDS983074 DNO983009:DNO983074 DXK983009:DXK983074 EHG983009:EHG983074 ERC983009:ERC983074 FAY983009:FAY983074 FKU983009:FKU983074 FUQ983009:FUQ983074 GEM983009:GEM983074 GOI983009:GOI983074 GYE983009:GYE983074 HIA983009:HIA983074 HRW983009:HRW983074 IBS983009:IBS983074 ILO983009:ILO983074 IVK983009:IVK983074 JFG983009:JFG983074 JPC983009:JPC983074 JYY983009:JYY983074 KIU983009:KIU983074 KSQ983009:KSQ983074 LCM983009:LCM983074 LMI983009:LMI983074 LWE983009:LWE983074 MGA983009:MGA983074 MPW983009:MPW983074 MZS983009:MZS983074 NJO983009:NJO983074 NTK983009:NTK983074 ODG983009:ODG983074 ONC983009:ONC983074 OWY983009:OWY983074 PGU983009:PGU983074 PQQ983009:PQQ983074 QAM983009:QAM983074 QKI983009:QKI983074 QUE983009:QUE983074 REA983009:REA983074 RNW983009:RNW983074 RXS983009:RXS983074 SHO983009:SHO983074 SRK983009:SRK983074 TBG983009:TBG983074 TLC983009:TLC983074 TUY983009:TUY983074 UEU983009:UEU983074 UOQ983009:UOQ983074 UYM983009:UYM983074 VII983009:VII983074 VSE983009:VSE983074 WCA983009:WCA983074 WLW983009:WLW983074 K410:K467 WVS2:WVS54 WLW2:WLW54 WCA2:WCA54 VSE2:VSE54 VII2:VII54 UYM2:UYM54 UOQ2:UOQ54 UEU2:UEU54 TUY2:TUY54 TLC2:TLC54 TBG2:TBG54 SRK2:SRK54 SHO2:SHO54 RXS2:RXS54 RNW2:RNW54 REA2:REA54 QUE2:QUE54 QKI2:QKI54 QAM2:QAM54 PQQ2:PQQ54 PGU2:PGU54 OWY2:OWY54 ONC2:ONC54 ODG2:ODG54 NTK2:NTK54 NJO2:NJO54 MZS2:MZS54 MPW2:MPW54 MGA2:MGA54 LWE2:LWE54 LMI2:LMI54 LCM2:LCM54 KSQ2:KSQ54 KIU2:KIU54 JYY2:JYY54 JPC2:JPC54 JFG2:JFG54 IVK2:IVK54 ILO2:ILO54 IBS2:IBS54 HRW2:HRW54 HIA2:HIA54 GYE2:GYE54 GOI2:GOI54 GEM2:GEM54 FUQ2:FUQ54 FKU2:FKU54 FAY2:FAY54 ERC2:ERC54 EHG2:EHG54 DXK2:DXK54 DNO2:DNO54 DDS2:DDS54 CTW2:CTW54 CKA2:CKA54 CAE2:CAE54 BQI2:BQI54 BGM2:BGM54 AWQ2:AWQ54 AMU2:AMU54 ACY2:ACY54 TC2:TC54 JG2:JG54" xr:uid="{05113436-6661-4ED3-A8DB-0BFE030DB284}">
      <formula1>$AR$2:$AR$25</formula1>
    </dataValidation>
    <dataValidation type="list" allowBlank="1" showInputMessage="1" showErrorMessage="1" sqref="WVR983009:WVR983074 J65505:J65570 JF65505:JF65570 TB65505:TB65570 ACX65505:ACX65570 AMT65505:AMT65570 AWP65505:AWP65570 BGL65505:BGL65570 BQH65505:BQH65570 CAD65505:CAD65570 CJZ65505:CJZ65570 CTV65505:CTV65570 DDR65505:DDR65570 DNN65505:DNN65570 DXJ65505:DXJ65570 EHF65505:EHF65570 ERB65505:ERB65570 FAX65505:FAX65570 FKT65505:FKT65570 FUP65505:FUP65570 GEL65505:GEL65570 GOH65505:GOH65570 GYD65505:GYD65570 HHZ65505:HHZ65570 HRV65505:HRV65570 IBR65505:IBR65570 ILN65505:ILN65570 IVJ65505:IVJ65570 JFF65505:JFF65570 JPB65505:JPB65570 JYX65505:JYX65570 KIT65505:KIT65570 KSP65505:KSP65570 LCL65505:LCL65570 LMH65505:LMH65570 LWD65505:LWD65570 MFZ65505:MFZ65570 MPV65505:MPV65570 MZR65505:MZR65570 NJN65505:NJN65570 NTJ65505:NTJ65570 ODF65505:ODF65570 ONB65505:ONB65570 OWX65505:OWX65570 PGT65505:PGT65570 PQP65505:PQP65570 QAL65505:QAL65570 QKH65505:QKH65570 QUD65505:QUD65570 RDZ65505:RDZ65570 RNV65505:RNV65570 RXR65505:RXR65570 SHN65505:SHN65570 SRJ65505:SRJ65570 TBF65505:TBF65570 TLB65505:TLB65570 TUX65505:TUX65570 UET65505:UET65570 UOP65505:UOP65570 UYL65505:UYL65570 VIH65505:VIH65570 VSD65505:VSD65570 WBZ65505:WBZ65570 WLV65505:WLV65570 WVR65505:WVR65570 J131041:J131106 JF131041:JF131106 TB131041:TB131106 ACX131041:ACX131106 AMT131041:AMT131106 AWP131041:AWP131106 BGL131041:BGL131106 BQH131041:BQH131106 CAD131041:CAD131106 CJZ131041:CJZ131106 CTV131041:CTV131106 DDR131041:DDR131106 DNN131041:DNN131106 DXJ131041:DXJ131106 EHF131041:EHF131106 ERB131041:ERB131106 FAX131041:FAX131106 FKT131041:FKT131106 FUP131041:FUP131106 GEL131041:GEL131106 GOH131041:GOH131106 GYD131041:GYD131106 HHZ131041:HHZ131106 HRV131041:HRV131106 IBR131041:IBR131106 ILN131041:ILN131106 IVJ131041:IVJ131106 JFF131041:JFF131106 JPB131041:JPB131106 JYX131041:JYX131106 KIT131041:KIT131106 KSP131041:KSP131106 LCL131041:LCL131106 LMH131041:LMH131106 LWD131041:LWD131106 MFZ131041:MFZ131106 MPV131041:MPV131106 MZR131041:MZR131106 NJN131041:NJN131106 NTJ131041:NTJ131106 ODF131041:ODF131106 ONB131041:ONB131106 OWX131041:OWX131106 PGT131041:PGT131106 PQP131041:PQP131106 QAL131041:QAL131106 QKH131041:QKH131106 QUD131041:QUD131106 RDZ131041:RDZ131106 RNV131041:RNV131106 RXR131041:RXR131106 SHN131041:SHN131106 SRJ131041:SRJ131106 TBF131041:TBF131106 TLB131041:TLB131106 TUX131041:TUX131106 UET131041:UET131106 UOP131041:UOP131106 UYL131041:UYL131106 VIH131041:VIH131106 VSD131041:VSD131106 WBZ131041:WBZ131106 WLV131041:WLV131106 WVR131041:WVR131106 J196577:J196642 JF196577:JF196642 TB196577:TB196642 ACX196577:ACX196642 AMT196577:AMT196642 AWP196577:AWP196642 BGL196577:BGL196642 BQH196577:BQH196642 CAD196577:CAD196642 CJZ196577:CJZ196642 CTV196577:CTV196642 DDR196577:DDR196642 DNN196577:DNN196642 DXJ196577:DXJ196642 EHF196577:EHF196642 ERB196577:ERB196642 FAX196577:FAX196642 FKT196577:FKT196642 FUP196577:FUP196642 GEL196577:GEL196642 GOH196577:GOH196642 GYD196577:GYD196642 HHZ196577:HHZ196642 HRV196577:HRV196642 IBR196577:IBR196642 ILN196577:ILN196642 IVJ196577:IVJ196642 JFF196577:JFF196642 JPB196577:JPB196642 JYX196577:JYX196642 KIT196577:KIT196642 KSP196577:KSP196642 LCL196577:LCL196642 LMH196577:LMH196642 LWD196577:LWD196642 MFZ196577:MFZ196642 MPV196577:MPV196642 MZR196577:MZR196642 NJN196577:NJN196642 NTJ196577:NTJ196642 ODF196577:ODF196642 ONB196577:ONB196642 OWX196577:OWX196642 PGT196577:PGT196642 PQP196577:PQP196642 QAL196577:QAL196642 QKH196577:QKH196642 QUD196577:QUD196642 RDZ196577:RDZ196642 RNV196577:RNV196642 RXR196577:RXR196642 SHN196577:SHN196642 SRJ196577:SRJ196642 TBF196577:TBF196642 TLB196577:TLB196642 TUX196577:TUX196642 UET196577:UET196642 UOP196577:UOP196642 UYL196577:UYL196642 VIH196577:VIH196642 VSD196577:VSD196642 WBZ196577:WBZ196642 WLV196577:WLV196642 WVR196577:WVR196642 J262113:J262178 JF262113:JF262178 TB262113:TB262178 ACX262113:ACX262178 AMT262113:AMT262178 AWP262113:AWP262178 BGL262113:BGL262178 BQH262113:BQH262178 CAD262113:CAD262178 CJZ262113:CJZ262178 CTV262113:CTV262178 DDR262113:DDR262178 DNN262113:DNN262178 DXJ262113:DXJ262178 EHF262113:EHF262178 ERB262113:ERB262178 FAX262113:FAX262178 FKT262113:FKT262178 FUP262113:FUP262178 GEL262113:GEL262178 GOH262113:GOH262178 GYD262113:GYD262178 HHZ262113:HHZ262178 HRV262113:HRV262178 IBR262113:IBR262178 ILN262113:ILN262178 IVJ262113:IVJ262178 JFF262113:JFF262178 JPB262113:JPB262178 JYX262113:JYX262178 KIT262113:KIT262178 KSP262113:KSP262178 LCL262113:LCL262178 LMH262113:LMH262178 LWD262113:LWD262178 MFZ262113:MFZ262178 MPV262113:MPV262178 MZR262113:MZR262178 NJN262113:NJN262178 NTJ262113:NTJ262178 ODF262113:ODF262178 ONB262113:ONB262178 OWX262113:OWX262178 PGT262113:PGT262178 PQP262113:PQP262178 QAL262113:QAL262178 QKH262113:QKH262178 QUD262113:QUD262178 RDZ262113:RDZ262178 RNV262113:RNV262178 RXR262113:RXR262178 SHN262113:SHN262178 SRJ262113:SRJ262178 TBF262113:TBF262178 TLB262113:TLB262178 TUX262113:TUX262178 UET262113:UET262178 UOP262113:UOP262178 UYL262113:UYL262178 VIH262113:VIH262178 VSD262113:VSD262178 WBZ262113:WBZ262178 WLV262113:WLV262178 WVR262113:WVR262178 J327649:J327714 JF327649:JF327714 TB327649:TB327714 ACX327649:ACX327714 AMT327649:AMT327714 AWP327649:AWP327714 BGL327649:BGL327714 BQH327649:BQH327714 CAD327649:CAD327714 CJZ327649:CJZ327714 CTV327649:CTV327714 DDR327649:DDR327714 DNN327649:DNN327714 DXJ327649:DXJ327714 EHF327649:EHF327714 ERB327649:ERB327714 FAX327649:FAX327714 FKT327649:FKT327714 FUP327649:FUP327714 GEL327649:GEL327714 GOH327649:GOH327714 GYD327649:GYD327714 HHZ327649:HHZ327714 HRV327649:HRV327714 IBR327649:IBR327714 ILN327649:ILN327714 IVJ327649:IVJ327714 JFF327649:JFF327714 JPB327649:JPB327714 JYX327649:JYX327714 KIT327649:KIT327714 KSP327649:KSP327714 LCL327649:LCL327714 LMH327649:LMH327714 LWD327649:LWD327714 MFZ327649:MFZ327714 MPV327649:MPV327714 MZR327649:MZR327714 NJN327649:NJN327714 NTJ327649:NTJ327714 ODF327649:ODF327714 ONB327649:ONB327714 OWX327649:OWX327714 PGT327649:PGT327714 PQP327649:PQP327714 QAL327649:QAL327714 QKH327649:QKH327714 QUD327649:QUD327714 RDZ327649:RDZ327714 RNV327649:RNV327714 RXR327649:RXR327714 SHN327649:SHN327714 SRJ327649:SRJ327714 TBF327649:TBF327714 TLB327649:TLB327714 TUX327649:TUX327714 UET327649:UET327714 UOP327649:UOP327714 UYL327649:UYL327714 VIH327649:VIH327714 VSD327649:VSD327714 WBZ327649:WBZ327714 WLV327649:WLV327714 WVR327649:WVR327714 J393185:J393250 JF393185:JF393250 TB393185:TB393250 ACX393185:ACX393250 AMT393185:AMT393250 AWP393185:AWP393250 BGL393185:BGL393250 BQH393185:BQH393250 CAD393185:CAD393250 CJZ393185:CJZ393250 CTV393185:CTV393250 DDR393185:DDR393250 DNN393185:DNN393250 DXJ393185:DXJ393250 EHF393185:EHF393250 ERB393185:ERB393250 FAX393185:FAX393250 FKT393185:FKT393250 FUP393185:FUP393250 GEL393185:GEL393250 GOH393185:GOH393250 GYD393185:GYD393250 HHZ393185:HHZ393250 HRV393185:HRV393250 IBR393185:IBR393250 ILN393185:ILN393250 IVJ393185:IVJ393250 JFF393185:JFF393250 JPB393185:JPB393250 JYX393185:JYX393250 KIT393185:KIT393250 KSP393185:KSP393250 LCL393185:LCL393250 LMH393185:LMH393250 LWD393185:LWD393250 MFZ393185:MFZ393250 MPV393185:MPV393250 MZR393185:MZR393250 NJN393185:NJN393250 NTJ393185:NTJ393250 ODF393185:ODF393250 ONB393185:ONB393250 OWX393185:OWX393250 PGT393185:PGT393250 PQP393185:PQP393250 QAL393185:QAL393250 QKH393185:QKH393250 QUD393185:QUD393250 RDZ393185:RDZ393250 RNV393185:RNV393250 RXR393185:RXR393250 SHN393185:SHN393250 SRJ393185:SRJ393250 TBF393185:TBF393250 TLB393185:TLB393250 TUX393185:TUX393250 UET393185:UET393250 UOP393185:UOP393250 UYL393185:UYL393250 VIH393185:VIH393250 VSD393185:VSD393250 WBZ393185:WBZ393250 WLV393185:WLV393250 WVR393185:WVR393250 J458721:J458786 JF458721:JF458786 TB458721:TB458786 ACX458721:ACX458786 AMT458721:AMT458786 AWP458721:AWP458786 BGL458721:BGL458786 BQH458721:BQH458786 CAD458721:CAD458786 CJZ458721:CJZ458786 CTV458721:CTV458786 DDR458721:DDR458786 DNN458721:DNN458786 DXJ458721:DXJ458786 EHF458721:EHF458786 ERB458721:ERB458786 FAX458721:FAX458786 FKT458721:FKT458786 FUP458721:FUP458786 GEL458721:GEL458786 GOH458721:GOH458786 GYD458721:GYD458786 HHZ458721:HHZ458786 HRV458721:HRV458786 IBR458721:IBR458786 ILN458721:ILN458786 IVJ458721:IVJ458786 JFF458721:JFF458786 JPB458721:JPB458786 JYX458721:JYX458786 KIT458721:KIT458786 KSP458721:KSP458786 LCL458721:LCL458786 LMH458721:LMH458786 LWD458721:LWD458786 MFZ458721:MFZ458786 MPV458721:MPV458786 MZR458721:MZR458786 NJN458721:NJN458786 NTJ458721:NTJ458786 ODF458721:ODF458786 ONB458721:ONB458786 OWX458721:OWX458786 PGT458721:PGT458786 PQP458721:PQP458786 QAL458721:QAL458786 QKH458721:QKH458786 QUD458721:QUD458786 RDZ458721:RDZ458786 RNV458721:RNV458786 RXR458721:RXR458786 SHN458721:SHN458786 SRJ458721:SRJ458786 TBF458721:TBF458786 TLB458721:TLB458786 TUX458721:TUX458786 UET458721:UET458786 UOP458721:UOP458786 UYL458721:UYL458786 VIH458721:VIH458786 VSD458721:VSD458786 WBZ458721:WBZ458786 WLV458721:WLV458786 WVR458721:WVR458786 J524257:J524322 JF524257:JF524322 TB524257:TB524322 ACX524257:ACX524322 AMT524257:AMT524322 AWP524257:AWP524322 BGL524257:BGL524322 BQH524257:BQH524322 CAD524257:CAD524322 CJZ524257:CJZ524322 CTV524257:CTV524322 DDR524257:DDR524322 DNN524257:DNN524322 DXJ524257:DXJ524322 EHF524257:EHF524322 ERB524257:ERB524322 FAX524257:FAX524322 FKT524257:FKT524322 FUP524257:FUP524322 GEL524257:GEL524322 GOH524257:GOH524322 GYD524257:GYD524322 HHZ524257:HHZ524322 HRV524257:HRV524322 IBR524257:IBR524322 ILN524257:ILN524322 IVJ524257:IVJ524322 JFF524257:JFF524322 JPB524257:JPB524322 JYX524257:JYX524322 KIT524257:KIT524322 KSP524257:KSP524322 LCL524257:LCL524322 LMH524257:LMH524322 LWD524257:LWD524322 MFZ524257:MFZ524322 MPV524257:MPV524322 MZR524257:MZR524322 NJN524257:NJN524322 NTJ524257:NTJ524322 ODF524257:ODF524322 ONB524257:ONB524322 OWX524257:OWX524322 PGT524257:PGT524322 PQP524257:PQP524322 QAL524257:QAL524322 QKH524257:QKH524322 QUD524257:QUD524322 RDZ524257:RDZ524322 RNV524257:RNV524322 RXR524257:RXR524322 SHN524257:SHN524322 SRJ524257:SRJ524322 TBF524257:TBF524322 TLB524257:TLB524322 TUX524257:TUX524322 UET524257:UET524322 UOP524257:UOP524322 UYL524257:UYL524322 VIH524257:VIH524322 VSD524257:VSD524322 WBZ524257:WBZ524322 WLV524257:WLV524322 WVR524257:WVR524322 J589793:J589858 JF589793:JF589858 TB589793:TB589858 ACX589793:ACX589858 AMT589793:AMT589858 AWP589793:AWP589858 BGL589793:BGL589858 BQH589793:BQH589858 CAD589793:CAD589858 CJZ589793:CJZ589858 CTV589793:CTV589858 DDR589793:DDR589858 DNN589793:DNN589858 DXJ589793:DXJ589858 EHF589793:EHF589858 ERB589793:ERB589858 FAX589793:FAX589858 FKT589793:FKT589858 FUP589793:FUP589858 GEL589793:GEL589858 GOH589793:GOH589858 GYD589793:GYD589858 HHZ589793:HHZ589858 HRV589793:HRV589858 IBR589793:IBR589858 ILN589793:ILN589858 IVJ589793:IVJ589858 JFF589793:JFF589858 JPB589793:JPB589858 JYX589793:JYX589858 KIT589793:KIT589858 KSP589793:KSP589858 LCL589793:LCL589858 LMH589793:LMH589858 LWD589793:LWD589858 MFZ589793:MFZ589858 MPV589793:MPV589858 MZR589793:MZR589858 NJN589793:NJN589858 NTJ589793:NTJ589858 ODF589793:ODF589858 ONB589793:ONB589858 OWX589793:OWX589858 PGT589793:PGT589858 PQP589793:PQP589858 QAL589793:QAL589858 QKH589793:QKH589858 QUD589793:QUD589858 RDZ589793:RDZ589858 RNV589793:RNV589858 RXR589793:RXR589858 SHN589793:SHN589858 SRJ589793:SRJ589858 TBF589793:TBF589858 TLB589793:TLB589858 TUX589793:TUX589858 UET589793:UET589858 UOP589793:UOP589858 UYL589793:UYL589858 VIH589793:VIH589858 VSD589793:VSD589858 WBZ589793:WBZ589858 WLV589793:WLV589858 WVR589793:WVR589858 J655329:J655394 JF655329:JF655394 TB655329:TB655394 ACX655329:ACX655394 AMT655329:AMT655394 AWP655329:AWP655394 BGL655329:BGL655394 BQH655329:BQH655394 CAD655329:CAD655394 CJZ655329:CJZ655394 CTV655329:CTV655394 DDR655329:DDR655394 DNN655329:DNN655394 DXJ655329:DXJ655394 EHF655329:EHF655394 ERB655329:ERB655394 FAX655329:FAX655394 FKT655329:FKT655394 FUP655329:FUP655394 GEL655329:GEL655394 GOH655329:GOH655394 GYD655329:GYD655394 HHZ655329:HHZ655394 HRV655329:HRV655394 IBR655329:IBR655394 ILN655329:ILN655394 IVJ655329:IVJ655394 JFF655329:JFF655394 JPB655329:JPB655394 JYX655329:JYX655394 KIT655329:KIT655394 KSP655329:KSP655394 LCL655329:LCL655394 LMH655329:LMH655394 LWD655329:LWD655394 MFZ655329:MFZ655394 MPV655329:MPV655394 MZR655329:MZR655394 NJN655329:NJN655394 NTJ655329:NTJ655394 ODF655329:ODF655394 ONB655329:ONB655394 OWX655329:OWX655394 PGT655329:PGT655394 PQP655329:PQP655394 QAL655329:QAL655394 QKH655329:QKH655394 QUD655329:QUD655394 RDZ655329:RDZ655394 RNV655329:RNV655394 RXR655329:RXR655394 SHN655329:SHN655394 SRJ655329:SRJ655394 TBF655329:TBF655394 TLB655329:TLB655394 TUX655329:TUX655394 UET655329:UET655394 UOP655329:UOP655394 UYL655329:UYL655394 VIH655329:VIH655394 VSD655329:VSD655394 WBZ655329:WBZ655394 WLV655329:WLV655394 WVR655329:WVR655394 J720865:J720930 JF720865:JF720930 TB720865:TB720930 ACX720865:ACX720930 AMT720865:AMT720930 AWP720865:AWP720930 BGL720865:BGL720930 BQH720865:BQH720930 CAD720865:CAD720930 CJZ720865:CJZ720930 CTV720865:CTV720930 DDR720865:DDR720930 DNN720865:DNN720930 DXJ720865:DXJ720930 EHF720865:EHF720930 ERB720865:ERB720930 FAX720865:FAX720930 FKT720865:FKT720930 FUP720865:FUP720930 GEL720865:GEL720930 GOH720865:GOH720930 GYD720865:GYD720930 HHZ720865:HHZ720930 HRV720865:HRV720930 IBR720865:IBR720930 ILN720865:ILN720930 IVJ720865:IVJ720930 JFF720865:JFF720930 JPB720865:JPB720930 JYX720865:JYX720930 KIT720865:KIT720930 KSP720865:KSP720930 LCL720865:LCL720930 LMH720865:LMH720930 LWD720865:LWD720930 MFZ720865:MFZ720930 MPV720865:MPV720930 MZR720865:MZR720930 NJN720865:NJN720930 NTJ720865:NTJ720930 ODF720865:ODF720930 ONB720865:ONB720930 OWX720865:OWX720930 PGT720865:PGT720930 PQP720865:PQP720930 QAL720865:QAL720930 QKH720865:QKH720930 QUD720865:QUD720930 RDZ720865:RDZ720930 RNV720865:RNV720930 RXR720865:RXR720930 SHN720865:SHN720930 SRJ720865:SRJ720930 TBF720865:TBF720930 TLB720865:TLB720930 TUX720865:TUX720930 UET720865:UET720930 UOP720865:UOP720930 UYL720865:UYL720930 VIH720865:VIH720930 VSD720865:VSD720930 WBZ720865:WBZ720930 WLV720865:WLV720930 WVR720865:WVR720930 J786401:J786466 JF786401:JF786466 TB786401:TB786466 ACX786401:ACX786466 AMT786401:AMT786466 AWP786401:AWP786466 BGL786401:BGL786466 BQH786401:BQH786466 CAD786401:CAD786466 CJZ786401:CJZ786466 CTV786401:CTV786466 DDR786401:DDR786466 DNN786401:DNN786466 DXJ786401:DXJ786466 EHF786401:EHF786466 ERB786401:ERB786466 FAX786401:FAX786466 FKT786401:FKT786466 FUP786401:FUP786466 GEL786401:GEL786466 GOH786401:GOH786466 GYD786401:GYD786466 HHZ786401:HHZ786466 HRV786401:HRV786466 IBR786401:IBR786466 ILN786401:ILN786466 IVJ786401:IVJ786466 JFF786401:JFF786466 JPB786401:JPB786466 JYX786401:JYX786466 KIT786401:KIT786466 KSP786401:KSP786466 LCL786401:LCL786466 LMH786401:LMH786466 LWD786401:LWD786466 MFZ786401:MFZ786466 MPV786401:MPV786466 MZR786401:MZR786466 NJN786401:NJN786466 NTJ786401:NTJ786466 ODF786401:ODF786466 ONB786401:ONB786466 OWX786401:OWX786466 PGT786401:PGT786466 PQP786401:PQP786466 QAL786401:QAL786466 QKH786401:QKH786466 QUD786401:QUD786466 RDZ786401:RDZ786466 RNV786401:RNV786466 RXR786401:RXR786466 SHN786401:SHN786466 SRJ786401:SRJ786466 TBF786401:TBF786466 TLB786401:TLB786466 TUX786401:TUX786466 UET786401:UET786466 UOP786401:UOP786466 UYL786401:UYL786466 VIH786401:VIH786466 VSD786401:VSD786466 WBZ786401:WBZ786466 WLV786401:WLV786466 WVR786401:WVR786466 J851937:J852002 JF851937:JF852002 TB851937:TB852002 ACX851937:ACX852002 AMT851937:AMT852002 AWP851937:AWP852002 BGL851937:BGL852002 BQH851937:BQH852002 CAD851937:CAD852002 CJZ851937:CJZ852002 CTV851937:CTV852002 DDR851937:DDR852002 DNN851937:DNN852002 DXJ851937:DXJ852002 EHF851937:EHF852002 ERB851937:ERB852002 FAX851937:FAX852002 FKT851937:FKT852002 FUP851937:FUP852002 GEL851937:GEL852002 GOH851937:GOH852002 GYD851937:GYD852002 HHZ851937:HHZ852002 HRV851937:HRV852002 IBR851937:IBR852002 ILN851937:ILN852002 IVJ851937:IVJ852002 JFF851937:JFF852002 JPB851937:JPB852002 JYX851937:JYX852002 KIT851937:KIT852002 KSP851937:KSP852002 LCL851937:LCL852002 LMH851937:LMH852002 LWD851937:LWD852002 MFZ851937:MFZ852002 MPV851937:MPV852002 MZR851937:MZR852002 NJN851937:NJN852002 NTJ851937:NTJ852002 ODF851937:ODF852002 ONB851937:ONB852002 OWX851937:OWX852002 PGT851937:PGT852002 PQP851937:PQP852002 QAL851937:QAL852002 QKH851937:QKH852002 QUD851937:QUD852002 RDZ851937:RDZ852002 RNV851937:RNV852002 RXR851937:RXR852002 SHN851937:SHN852002 SRJ851937:SRJ852002 TBF851937:TBF852002 TLB851937:TLB852002 TUX851937:TUX852002 UET851937:UET852002 UOP851937:UOP852002 UYL851937:UYL852002 VIH851937:VIH852002 VSD851937:VSD852002 WBZ851937:WBZ852002 WLV851937:WLV852002 WVR851937:WVR852002 J917473:J917538 JF917473:JF917538 TB917473:TB917538 ACX917473:ACX917538 AMT917473:AMT917538 AWP917473:AWP917538 BGL917473:BGL917538 BQH917473:BQH917538 CAD917473:CAD917538 CJZ917473:CJZ917538 CTV917473:CTV917538 DDR917473:DDR917538 DNN917473:DNN917538 DXJ917473:DXJ917538 EHF917473:EHF917538 ERB917473:ERB917538 FAX917473:FAX917538 FKT917473:FKT917538 FUP917473:FUP917538 GEL917473:GEL917538 GOH917473:GOH917538 GYD917473:GYD917538 HHZ917473:HHZ917538 HRV917473:HRV917538 IBR917473:IBR917538 ILN917473:ILN917538 IVJ917473:IVJ917538 JFF917473:JFF917538 JPB917473:JPB917538 JYX917473:JYX917538 KIT917473:KIT917538 KSP917473:KSP917538 LCL917473:LCL917538 LMH917473:LMH917538 LWD917473:LWD917538 MFZ917473:MFZ917538 MPV917473:MPV917538 MZR917473:MZR917538 NJN917473:NJN917538 NTJ917473:NTJ917538 ODF917473:ODF917538 ONB917473:ONB917538 OWX917473:OWX917538 PGT917473:PGT917538 PQP917473:PQP917538 QAL917473:QAL917538 QKH917473:QKH917538 QUD917473:QUD917538 RDZ917473:RDZ917538 RNV917473:RNV917538 RXR917473:RXR917538 SHN917473:SHN917538 SRJ917473:SRJ917538 TBF917473:TBF917538 TLB917473:TLB917538 TUX917473:TUX917538 UET917473:UET917538 UOP917473:UOP917538 UYL917473:UYL917538 VIH917473:VIH917538 VSD917473:VSD917538 WBZ917473:WBZ917538 WLV917473:WLV917538 WVR917473:WVR917538 J983009:J983074 JF983009:JF983074 TB983009:TB983074 ACX983009:ACX983074 AMT983009:AMT983074 AWP983009:AWP983074 BGL983009:BGL983074 BQH983009:BQH983074 CAD983009:CAD983074 CJZ983009:CJZ983074 CTV983009:CTV983074 DDR983009:DDR983074 DNN983009:DNN983074 DXJ983009:DXJ983074 EHF983009:EHF983074 ERB983009:ERB983074 FAX983009:FAX983074 FKT983009:FKT983074 FUP983009:FUP983074 GEL983009:GEL983074 GOH983009:GOH983074 GYD983009:GYD983074 HHZ983009:HHZ983074 HRV983009:HRV983074 IBR983009:IBR983074 ILN983009:ILN983074 IVJ983009:IVJ983074 JFF983009:JFF983074 JPB983009:JPB983074 JYX983009:JYX983074 KIT983009:KIT983074 KSP983009:KSP983074 LCL983009:LCL983074 LMH983009:LMH983074 LWD983009:LWD983074 MFZ983009:MFZ983074 MPV983009:MPV983074 MZR983009:MZR983074 NJN983009:NJN983074 NTJ983009:NTJ983074 ODF983009:ODF983074 ONB983009:ONB983074 OWX983009:OWX983074 PGT983009:PGT983074 PQP983009:PQP983074 QAL983009:QAL983074 QKH983009:QKH983074 QUD983009:QUD983074 RDZ983009:RDZ983074 RNV983009:RNV983074 RXR983009:RXR983074 SHN983009:SHN983074 SRJ983009:SRJ983074 TBF983009:TBF983074 TLB983009:TLB983074 TUX983009:TUX983074 UET983009:UET983074 UOP983009:UOP983074 UYL983009:UYL983074 VIH983009:VIH983074 VSD983009:VSD983074 WBZ983009:WBZ983074 WLV983009:WLV983074 J55:J467 WLV2:WLV54 WBZ2:WBZ54 VSD2:VSD54 VIH2:VIH54 UYL2:UYL54 UOP2:UOP54 UET2:UET54 TUX2:TUX54 TLB2:TLB54 TBF2:TBF54 SRJ2:SRJ54 SHN2:SHN54 RXR2:RXR54 RNV2:RNV54 RDZ2:RDZ54 QUD2:QUD54 QKH2:QKH54 QAL2:QAL54 PQP2:PQP54 PGT2:PGT54 OWX2:OWX54 ONB2:ONB54 ODF2:ODF54 NTJ2:NTJ54 NJN2:NJN54 MZR2:MZR54 MPV2:MPV54 MFZ2:MFZ54 LWD2:LWD54 LMH2:LMH54 LCL2:LCL54 KSP2:KSP54 KIT2:KIT54 JYX2:JYX54 JPB2:JPB54 JFF2:JFF54 IVJ2:IVJ54 ILN2:ILN54 IBR2:IBR54 HRV2:HRV54 HHZ2:HHZ54 GYD2:GYD54 GOH2:GOH54 GEL2:GEL54 FUP2:FUP54 FKT2:FKT54 FAX2:FAX54 ERB2:ERB54 EHF2:EHF54 DXJ2:DXJ54 DNN2:DNN54 DDR2:DDR54 CTV2:CTV54 CJZ2:CJZ54 CAD2:CAD54 BQH2:BQH54 BGL2:BGL54 AWP2:AWP54 AMT2:AMT54 ACX2:ACX54 TB2:TB54 JF2:JF54 WVR2:WVR54" xr:uid="{EF9410E0-FB3C-45CA-962C-DB18CB36F286}">
      <formula1>$AP$2:$AP$27</formula1>
    </dataValidation>
    <dataValidation type="list" allowBlank="1" showInputMessage="1" showErrorMessage="1" sqref="WVP983009:WVP983074 H65505:H65570 JD65505:JD65570 SZ65505:SZ65570 ACV65505:ACV65570 AMR65505:AMR65570 AWN65505:AWN65570 BGJ65505:BGJ65570 BQF65505:BQF65570 CAB65505:CAB65570 CJX65505:CJX65570 CTT65505:CTT65570 DDP65505:DDP65570 DNL65505:DNL65570 DXH65505:DXH65570 EHD65505:EHD65570 EQZ65505:EQZ65570 FAV65505:FAV65570 FKR65505:FKR65570 FUN65505:FUN65570 GEJ65505:GEJ65570 GOF65505:GOF65570 GYB65505:GYB65570 HHX65505:HHX65570 HRT65505:HRT65570 IBP65505:IBP65570 ILL65505:ILL65570 IVH65505:IVH65570 JFD65505:JFD65570 JOZ65505:JOZ65570 JYV65505:JYV65570 KIR65505:KIR65570 KSN65505:KSN65570 LCJ65505:LCJ65570 LMF65505:LMF65570 LWB65505:LWB65570 MFX65505:MFX65570 MPT65505:MPT65570 MZP65505:MZP65570 NJL65505:NJL65570 NTH65505:NTH65570 ODD65505:ODD65570 OMZ65505:OMZ65570 OWV65505:OWV65570 PGR65505:PGR65570 PQN65505:PQN65570 QAJ65505:QAJ65570 QKF65505:QKF65570 QUB65505:QUB65570 RDX65505:RDX65570 RNT65505:RNT65570 RXP65505:RXP65570 SHL65505:SHL65570 SRH65505:SRH65570 TBD65505:TBD65570 TKZ65505:TKZ65570 TUV65505:TUV65570 UER65505:UER65570 UON65505:UON65570 UYJ65505:UYJ65570 VIF65505:VIF65570 VSB65505:VSB65570 WBX65505:WBX65570 WLT65505:WLT65570 WVP65505:WVP65570 H131041:H131106 JD131041:JD131106 SZ131041:SZ131106 ACV131041:ACV131106 AMR131041:AMR131106 AWN131041:AWN131106 BGJ131041:BGJ131106 BQF131041:BQF131106 CAB131041:CAB131106 CJX131041:CJX131106 CTT131041:CTT131106 DDP131041:DDP131106 DNL131041:DNL131106 DXH131041:DXH131106 EHD131041:EHD131106 EQZ131041:EQZ131106 FAV131041:FAV131106 FKR131041:FKR131106 FUN131041:FUN131106 GEJ131041:GEJ131106 GOF131041:GOF131106 GYB131041:GYB131106 HHX131041:HHX131106 HRT131041:HRT131106 IBP131041:IBP131106 ILL131041:ILL131106 IVH131041:IVH131106 JFD131041:JFD131106 JOZ131041:JOZ131106 JYV131041:JYV131106 KIR131041:KIR131106 KSN131041:KSN131106 LCJ131041:LCJ131106 LMF131041:LMF131106 LWB131041:LWB131106 MFX131041:MFX131106 MPT131041:MPT131106 MZP131041:MZP131106 NJL131041:NJL131106 NTH131041:NTH131106 ODD131041:ODD131106 OMZ131041:OMZ131106 OWV131041:OWV131106 PGR131041:PGR131106 PQN131041:PQN131106 QAJ131041:QAJ131106 QKF131041:QKF131106 QUB131041:QUB131106 RDX131041:RDX131106 RNT131041:RNT131106 RXP131041:RXP131106 SHL131041:SHL131106 SRH131041:SRH131106 TBD131041:TBD131106 TKZ131041:TKZ131106 TUV131041:TUV131106 UER131041:UER131106 UON131041:UON131106 UYJ131041:UYJ131106 VIF131041:VIF131106 VSB131041:VSB131106 WBX131041:WBX131106 WLT131041:WLT131106 WVP131041:WVP131106 H196577:H196642 JD196577:JD196642 SZ196577:SZ196642 ACV196577:ACV196642 AMR196577:AMR196642 AWN196577:AWN196642 BGJ196577:BGJ196642 BQF196577:BQF196642 CAB196577:CAB196642 CJX196577:CJX196642 CTT196577:CTT196642 DDP196577:DDP196642 DNL196577:DNL196642 DXH196577:DXH196642 EHD196577:EHD196642 EQZ196577:EQZ196642 FAV196577:FAV196642 FKR196577:FKR196642 FUN196577:FUN196642 GEJ196577:GEJ196642 GOF196577:GOF196642 GYB196577:GYB196642 HHX196577:HHX196642 HRT196577:HRT196642 IBP196577:IBP196642 ILL196577:ILL196642 IVH196577:IVH196642 JFD196577:JFD196642 JOZ196577:JOZ196642 JYV196577:JYV196642 KIR196577:KIR196642 KSN196577:KSN196642 LCJ196577:LCJ196642 LMF196577:LMF196642 LWB196577:LWB196642 MFX196577:MFX196642 MPT196577:MPT196642 MZP196577:MZP196642 NJL196577:NJL196642 NTH196577:NTH196642 ODD196577:ODD196642 OMZ196577:OMZ196642 OWV196577:OWV196642 PGR196577:PGR196642 PQN196577:PQN196642 QAJ196577:QAJ196642 QKF196577:QKF196642 QUB196577:QUB196642 RDX196577:RDX196642 RNT196577:RNT196642 RXP196577:RXP196642 SHL196577:SHL196642 SRH196577:SRH196642 TBD196577:TBD196642 TKZ196577:TKZ196642 TUV196577:TUV196642 UER196577:UER196642 UON196577:UON196642 UYJ196577:UYJ196642 VIF196577:VIF196642 VSB196577:VSB196642 WBX196577:WBX196642 WLT196577:WLT196642 WVP196577:WVP196642 H262113:H262178 JD262113:JD262178 SZ262113:SZ262178 ACV262113:ACV262178 AMR262113:AMR262178 AWN262113:AWN262178 BGJ262113:BGJ262178 BQF262113:BQF262178 CAB262113:CAB262178 CJX262113:CJX262178 CTT262113:CTT262178 DDP262113:DDP262178 DNL262113:DNL262178 DXH262113:DXH262178 EHD262113:EHD262178 EQZ262113:EQZ262178 FAV262113:FAV262178 FKR262113:FKR262178 FUN262113:FUN262178 GEJ262113:GEJ262178 GOF262113:GOF262178 GYB262113:GYB262178 HHX262113:HHX262178 HRT262113:HRT262178 IBP262113:IBP262178 ILL262113:ILL262178 IVH262113:IVH262178 JFD262113:JFD262178 JOZ262113:JOZ262178 JYV262113:JYV262178 KIR262113:KIR262178 KSN262113:KSN262178 LCJ262113:LCJ262178 LMF262113:LMF262178 LWB262113:LWB262178 MFX262113:MFX262178 MPT262113:MPT262178 MZP262113:MZP262178 NJL262113:NJL262178 NTH262113:NTH262178 ODD262113:ODD262178 OMZ262113:OMZ262178 OWV262113:OWV262178 PGR262113:PGR262178 PQN262113:PQN262178 QAJ262113:QAJ262178 QKF262113:QKF262178 QUB262113:QUB262178 RDX262113:RDX262178 RNT262113:RNT262178 RXP262113:RXP262178 SHL262113:SHL262178 SRH262113:SRH262178 TBD262113:TBD262178 TKZ262113:TKZ262178 TUV262113:TUV262178 UER262113:UER262178 UON262113:UON262178 UYJ262113:UYJ262178 VIF262113:VIF262178 VSB262113:VSB262178 WBX262113:WBX262178 WLT262113:WLT262178 WVP262113:WVP262178 H327649:H327714 JD327649:JD327714 SZ327649:SZ327714 ACV327649:ACV327714 AMR327649:AMR327714 AWN327649:AWN327714 BGJ327649:BGJ327714 BQF327649:BQF327714 CAB327649:CAB327714 CJX327649:CJX327714 CTT327649:CTT327714 DDP327649:DDP327714 DNL327649:DNL327714 DXH327649:DXH327714 EHD327649:EHD327714 EQZ327649:EQZ327714 FAV327649:FAV327714 FKR327649:FKR327714 FUN327649:FUN327714 GEJ327649:GEJ327714 GOF327649:GOF327714 GYB327649:GYB327714 HHX327649:HHX327714 HRT327649:HRT327714 IBP327649:IBP327714 ILL327649:ILL327714 IVH327649:IVH327714 JFD327649:JFD327714 JOZ327649:JOZ327714 JYV327649:JYV327714 KIR327649:KIR327714 KSN327649:KSN327714 LCJ327649:LCJ327714 LMF327649:LMF327714 LWB327649:LWB327714 MFX327649:MFX327714 MPT327649:MPT327714 MZP327649:MZP327714 NJL327649:NJL327714 NTH327649:NTH327714 ODD327649:ODD327714 OMZ327649:OMZ327714 OWV327649:OWV327714 PGR327649:PGR327714 PQN327649:PQN327714 QAJ327649:QAJ327714 QKF327649:QKF327714 QUB327649:QUB327714 RDX327649:RDX327714 RNT327649:RNT327714 RXP327649:RXP327714 SHL327649:SHL327714 SRH327649:SRH327714 TBD327649:TBD327714 TKZ327649:TKZ327714 TUV327649:TUV327714 UER327649:UER327714 UON327649:UON327714 UYJ327649:UYJ327714 VIF327649:VIF327714 VSB327649:VSB327714 WBX327649:WBX327714 WLT327649:WLT327714 WVP327649:WVP327714 H393185:H393250 JD393185:JD393250 SZ393185:SZ393250 ACV393185:ACV393250 AMR393185:AMR393250 AWN393185:AWN393250 BGJ393185:BGJ393250 BQF393185:BQF393250 CAB393185:CAB393250 CJX393185:CJX393250 CTT393185:CTT393250 DDP393185:DDP393250 DNL393185:DNL393250 DXH393185:DXH393250 EHD393185:EHD393250 EQZ393185:EQZ393250 FAV393185:FAV393250 FKR393185:FKR393250 FUN393185:FUN393250 GEJ393185:GEJ393250 GOF393185:GOF393250 GYB393185:GYB393250 HHX393185:HHX393250 HRT393185:HRT393250 IBP393185:IBP393250 ILL393185:ILL393250 IVH393185:IVH393250 JFD393185:JFD393250 JOZ393185:JOZ393250 JYV393185:JYV393250 KIR393185:KIR393250 KSN393185:KSN393250 LCJ393185:LCJ393250 LMF393185:LMF393250 LWB393185:LWB393250 MFX393185:MFX393250 MPT393185:MPT393250 MZP393185:MZP393250 NJL393185:NJL393250 NTH393185:NTH393250 ODD393185:ODD393250 OMZ393185:OMZ393250 OWV393185:OWV393250 PGR393185:PGR393250 PQN393185:PQN393250 QAJ393185:QAJ393250 QKF393185:QKF393250 QUB393185:QUB393250 RDX393185:RDX393250 RNT393185:RNT393250 RXP393185:RXP393250 SHL393185:SHL393250 SRH393185:SRH393250 TBD393185:TBD393250 TKZ393185:TKZ393250 TUV393185:TUV393250 UER393185:UER393250 UON393185:UON393250 UYJ393185:UYJ393250 VIF393185:VIF393250 VSB393185:VSB393250 WBX393185:WBX393250 WLT393185:WLT393250 WVP393185:WVP393250 H458721:H458786 JD458721:JD458786 SZ458721:SZ458786 ACV458721:ACV458786 AMR458721:AMR458786 AWN458721:AWN458786 BGJ458721:BGJ458786 BQF458721:BQF458786 CAB458721:CAB458786 CJX458721:CJX458786 CTT458721:CTT458786 DDP458721:DDP458786 DNL458721:DNL458786 DXH458721:DXH458786 EHD458721:EHD458786 EQZ458721:EQZ458786 FAV458721:FAV458786 FKR458721:FKR458786 FUN458721:FUN458786 GEJ458721:GEJ458786 GOF458721:GOF458786 GYB458721:GYB458786 HHX458721:HHX458786 HRT458721:HRT458786 IBP458721:IBP458786 ILL458721:ILL458786 IVH458721:IVH458786 JFD458721:JFD458786 JOZ458721:JOZ458786 JYV458721:JYV458786 KIR458721:KIR458786 KSN458721:KSN458786 LCJ458721:LCJ458786 LMF458721:LMF458786 LWB458721:LWB458786 MFX458721:MFX458786 MPT458721:MPT458786 MZP458721:MZP458786 NJL458721:NJL458786 NTH458721:NTH458786 ODD458721:ODD458786 OMZ458721:OMZ458786 OWV458721:OWV458786 PGR458721:PGR458786 PQN458721:PQN458786 QAJ458721:QAJ458786 QKF458721:QKF458786 QUB458721:QUB458786 RDX458721:RDX458786 RNT458721:RNT458786 RXP458721:RXP458786 SHL458721:SHL458786 SRH458721:SRH458786 TBD458721:TBD458786 TKZ458721:TKZ458786 TUV458721:TUV458786 UER458721:UER458786 UON458721:UON458786 UYJ458721:UYJ458786 VIF458721:VIF458786 VSB458721:VSB458786 WBX458721:WBX458786 WLT458721:WLT458786 WVP458721:WVP458786 H524257:H524322 JD524257:JD524322 SZ524257:SZ524322 ACV524257:ACV524322 AMR524257:AMR524322 AWN524257:AWN524322 BGJ524257:BGJ524322 BQF524257:BQF524322 CAB524257:CAB524322 CJX524257:CJX524322 CTT524257:CTT524322 DDP524257:DDP524322 DNL524257:DNL524322 DXH524257:DXH524322 EHD524257:EHD524322 EQZ524257:EQZ524322 FAV524257:FAV524322 FKR524257:FKR524322 FUN524257:FUN524322 GEJ524257:GEJ524322 GOF524257:GOF524322 GYB524257:GYB524322 HHX524257:HHX524322 HRT524257:HRT524322 IBP524257:IBP524322 ILL524257:ILL524322 IVH524257:IVH524322 JFD524257:JFD524322 JOZ524257:JOZ524322 JYV524257:JYV524322 KIR524257:KIR524322 KSN524257:KSN524322 LCJ524257:LCJ524322 LMF524257:LMF524322 LWB524257:LWB524322 MFX524257:MFX524322 MPT524257:MPT524322 MZP524257:MZP524322 NJL524257:NJL524322 NTH524257:NTH524322 ODD524257:ODD524322 OMZ524257:OMZ524322 OWV524257:OWV524322 PGR524257:PGR524322 PQN524257:PQN524322 QAJ524257:QAJ524322 QKF524257:QKF524322 QUB524257:QUB524322 RDX524257:RDX524322 RNT524257:RNT524322 RXP524257:RXP524322 SHL524257:SHL524322 SRH524257:SRH524322 TBD524257:TBD524322 TKZ524257:TKZ524322 TUV524257:TUV524322 UER524257:UER524322 UON524257:UON524322 UYJ524257:UYJ524322 VIF524257:VIF524322 VSB524257:VSB524322 WBX524257:WBX524322 WLT524257:WLT524322 WVP524257:WVP524322 H589793:H589858 JD589793:JD589858 SZ589793:SZ589858 ACV589793:ACV589858 AMR589793:AMR589858 AWN589793:AWN589858 BGJ589793:BGJ589858 BQF589793:BQF589858 CAB589793:CAB589858 CJX589793:CJX589858 CTT589793:CTT589858 DDP589793:DDP589858 DNL589793:DNL589858 DXH589793:DXH589858 EHD589793:EHD589858 EQZ589793:EQZ589858 FAV589793:FAV589858 FKR589793:FKR589858 FUN589793:FUN589858 GEJ589793:GEJ589858 GOF589793:GOF589858 GYB589793:GYB589858 HHX589793:HHX589858 HRT589793:HRT589858 IBP589793:IBP589858 ILL589793:ILL589858 IVH589793:IVH589858 JFD589793:JFD589858 JOZ589793:JOZ589858 JYV589793:JYV589858 KIR589793:KIR589858 KSN589793:KSN589858 LCJ589793:LCJ589858 LMF589793:LMF589858 LWB589793:LWB589858 MFX589793:MFX589858 MPT589793:MPT589858 MZP589793:MZP589858 NJL589793:NJL589858 NTH589793:NTH589858 ODD589793:ODD589858 OMZ589793:OMZ589858 OWV589793:OWV589858 PGR589793:PGR589858 PQN589793:PQN589858 QAJ589793:QAJ589858 QKF589793:QKF589858 QUB589793:QUB589858 RDX589793:RDX589858 RNT589793:RNT589858 RXP589793:RXP589858 SHL589793:SHL589858 SRH589793:SRH589858 TBD589793:TBD589858 TKZ589793:TKZ589858 TUV589793:TUV589858 UER589793:UER589858 UON589793:UON589858 UYJ589793:UYJ589858 VIF589793:VIF589858 VSB589793:VSB589858 WBX589793:WBX589858 WLT589793:WLT589858 WVP589793:WVP589858 H655329:H655394 JD655329:JD655394 SZ655329:SZ655394 ACV655329:ACV655394 AMR655329:AMR655394 AWN655329:AWN655394 BGJ655329:BGJ655394 BQF655329:BQF655394 CAB655329:CAB655394 CJX655329:CJX655394 CTT655329:CTT655394 DDP655329:DDP655394 DNL655329:DNL655394 DXH655329:DXH655394 EHD655329:EHD655394 EQZ655329:EQZ655394 FAV655329:FAV655394 FKR655329:FKR655394 FUN655329:FUN655394 GEJ655329:GEJ655394 GOF655329:GOF655394 GYB655329:GYB655394 HHX655329:HHX655394 HRT655329:HRT655394 IBP655329:IBP655394 ILL655329:ILL655394 IVH655329:IVH655394 JFD655329:JFD655394 JOZ655329:JOZ655394 JYV655329:JYV655394 KIR655329:KIR655394 KSN655329:KSN655394 LCJ655329:LCJ655394 LMF655329:LMF655394 LWB655329:LWB655394 MFX655329:MFX655394 MPT655329:MPT655394 MZP655329:MZP655394 NJL655329:NJL655394 NTH655329:NTH655394 ODD655329:ODD655394 OMZ655329:OMZ655394 OWV655329:OWV655394 PGR655329:PGR655394 PQN655329:PQN655394 QAJ655329:QAJ655394 QKF655329:QKF655394 QUB655329:QUB655394 RDX655329:RDX655394 RNT655329:RNT655394 RXP655329:RXP655394 SHL655329:SHL655394 SRH655329:SRH655394 TBD655329:TBD655394 TKZ655329:TKZ655394 TUV655329:TUV655394 UER655329:UER655394 UON655329:UON655394 UYJ655329:UYJ655394 VIF655329:VIF655394 VSB655329:VSB655394 WBX655329:WBX655394 WLT655329:WLT655394 WVP655329:WVP655394 H720865:H720930 JD720865:JD720930 SZ720865:SZ720930 ACV720865:ACV720930 AMR720865:AMR720930 AWN720865:AWN720930 BGJ720865:BGJ720930 BQF720865:BQF720930 CAB720865:CAB720930 CJX720865:CJX720930 CTT720865:CTT720930 DDP720865:DDP720930 DNL720865:DNL720930 DXH720865:DXH720930 EHD720865:EHD720930 EQZ720865:EQZ720930 FAV720865:FAV720930 FKR720865:FKR720930 FUN720865:FUN720930 GEJ720865:GEJ720930 GOF720865:GOF720930 GYB720865:GYB720930 HHX720865:HHX720930 HRT720865:HRT720930 IBP720865:IBP720930 ILL720865:ILL720930 IVH720865:IVH720930 JFD720865:JFD720930 JOZ720865:JOZ720930 JYV720865:JYV720930 KIR720865:KIR720930 KSN720865:KSN720930 LCJ720865:LCJ720930 LMF720865:LMF720930 LWB720865:LWB720930 MFX720865:MFX720930 MPT720865:MPT720930 MZP720865:MZP720930 NJL720865:NJL720930 NTH720865:NTH720930 ODD720865:ODD720930 OMZ720865:OMZ720930 OWV720865:OWV720930 PGR720865:PGR720930 PQN720865:PQN720930 QAJ720865:QAJ720930 QKF720865:QKF720930 QUB720865:QUB720930 RDX720865:RDX720930 RNT720865:RNT720930 RXP720865:RXP720930 SHL720865:SHL720930 SRH720865:SRH720930 TBD720865:TBD720930 TKZ720865:TKZ720930 TUV720865:TUV720930 UER720865:UER720930 UON720865:UON720930 UYJ720865:UYJ720930 VIF720865:VIF720930 VSB720865:VSB720930 WBX720865:WBX720930 WLT720865:WLT720930 WVP720865:WVP720930 H786401:H786466 JD786401:JD786466 SZ786401:SZ786466 ACV786401:ACV786466 AMR786401:AMR786466 AWN786401:AWN786466 BGJ786401:BGJ786466 BQF786401:BQF786466 CAB786401:CAB786466 CJX786401:CJX786466 CTT786401:CTT786466 DDP786401:DDP786466 DNL786401:DNL786466 DXH786401:DXH786466 EHD786401:EHD786466 EQZ786401:EQZ786466 FAV786401:FAV786466 FKR786401:FKR786466 FUN786401:FUN786466 GEJ786401:GEJ786466 GOF786401:GOF786466 GYB786401:GYB786466 HHX786401:HHX786466 HRT786401:HRT786466 IBP786401:IBP786466 ILL786401:ILL786466 IVH786401:IVH786466 JFD786401:JFD786466 JOZ786401:JOZ786466 JYV786401:JYV786466 KIR786401:KIR786466 KSN786401:KSN786466 LCJ786401:LCJ786466 LMF786401:LMF786466 LWB786401:LWB786466 MFX786401:MFX786466 MPT786401:MPT786466 MZP786401:MZP786466 NJL786401:NJL786466 NTH786401:NTH786466 ODD786401:ODD786466 OMZ786401:OMZ786466 OWV786401:OWV786466 PGR786401:PGR786466 PQN786401:PQN786466 QAJ786401:QAJ786466 QKF786401:QKF786466 QUB786401:QUB786466 RDX786401:RDX786466 RNT786401:RNT786466 RXP786401:RXP786466 SHL786401:SHL786466 SRH786401:SRH786466 TBD786401:TBD786466 TKZ786401:TKZ786466 TUV786401:TUV786466 UER786401:UER786466 UON786401:UON786466 UYJ786401:UYJ786466 VIF786401:VIF786466 VSB786401:VSB786466 WBX786401:WBX786466 WLT786401:WLT786466 WVP786401:WVP786466 H851937:H852002 JD851937:JD852002 SZ851937:SZ852002 ACV851937:ACV852002 AMR851937:AMR852002 AWN851937:AWN852002 BGJ851937:BGJ852002 BQF851937:BQF852002 CAB851937:CAB852002 CJX851937:CJX852002 CTT851937:CTT852002 DDP851937:DDP852002 DNL851937:DNL852002 DXH851937:DXH852002 EHD851937:EHD852002 EQZ851937:EQZ852002 FAV851937:FAV852002 FKR851937:FKR852002 FUN851937:FUN852002 GEJ851937:GEJ852002 GOF851937:GOF852002 GYB851937:GYB852002 HHX851937:HHX852002 HRT851937:HRT852002 IBP851937:IBP852002 ILL851937:ILL852002 IVH851937:IVH852002 JFD851937:JFD852002 JOZ851937:JOZ852002 JYV851937:JYV852002 KIR851937:KIR852002 KSN851937:KSN852002 LCJ851937:LCJ852002 LMF851937:LMF852002 LWB851937:LWB852002 MFX851937:MFX852002 MPT851937:MPT852002 MZP851937:MZP852002 NJL851937:NJL852002 NTH851937:NTH852002 ODD851937:ODD852002 OMZ851937:OMZ852002 OWV851937:OWV852002 PGR851937:PGR852002 PQN851937:PQN852002 QAJ851937:QAJ852002 QKF851937:QKF852002 QUB851937:QUB852002 RDX851937:RDX852002 RNT851937:RNT852002 RXP851937:RXP852002 SHL851937:SHL852002 SRH851937:SRH852002 TBD851937:TBD852002 TKZ851937:TKZ852002 TUV851937:TUV852002 UER851937:UER852002 UON851937:UON852002 UYJ851937:UYJ852002 VIF851937:VIF852002 VSB851937:VSB852002 WBX851937:WBX852002 WLT851937:WLT852002 WVP851937:WVP852002 H917473:H917538 JD917473:JD917538 SZ917473:SZ917538 ACV917473:ACV917538 AMR917473:AMR917538 AWN917473:AWN917538 BGJ917473:BGJ917538 BQF917473:BQF917538 CAB917473:CAB917538 CJX917473:CJX917538 CTT917473:CTT917538 DDP917473:DDP917538 DNL917473:DNL917538 DXH917473:DXH917538 EHD917473:EHD917538 EQZ917473:EQZ917538 FAV917473:FAV917538 FKR917473:FKR917538 FUN917473:FUN917538 GEJ917473:GEJ917538 GOF917473:GOF917538 GYB917473:GYB917538 HHX917473:HHX917538 HRT917473:HRT917538 IBP917473:IBP917538 ILL917473:ILL917538 IVH917473:IVH917538 JFD917473:JFD917538 JOZ917473:JOZ917538 JYV917473:JYV917538 KIR917473:KIR917538 KSN917473:KSN917538 LCJ917473:LCJ917538 LMF917473:LMF917538 LWB917473:LWB917538 MFX917473:MFX917538 MPT917473:MPT917538 MZP917473:MZP917538 NJL917473:NJL917538 NTH917473:NTH917538 ODD917473:ODD917538 OMZ917473:OMZ917538 OWV917473:OWV917538 PGR917473:PGR917538 PQN917473:PQN917538 QAJ917473:QAJ917538 QKF917473:QKF917538 QUB917473:QUB917538 RDX917473:RDX917538 RNT917473:RNT917538 RXP917473:RXP917538 SHL917473:SHL917538 SRH917473:SRH917538 TBD917473:TBD917538 TKZ917473:TKZ917538 TUV917473:TUV917538 UER917473:UER917538 UON917473:UON917538 UYJ917473:UYJ917538 VIF917473:VIF917538 VSB917473:VSB917538 WBX917473:WBX917538 WLT917473:WLT917538 WVP917473:WVP917538 H983009:H983074 JD983009:JD983074 SZ983009:SZ983074 ACV983009:ACV983074 AMR983009:AMR983074 AWN983009:AWN983074 BGJ983009:BGJ983074 BQF983009:BQF983074 CAB983009:CAB983074 CJX983009:CJX983074 CTT983009:CTT983074 DDP983009:DDP983074 DNL983009:DNL983074 DXH983009:DXH983074 EHD983009:EHD983074 EQZ983009:EQZ983074 FAV983009:FAV983074 FKR983009:FKR983074 FUN983009:FUN983074 GEJ983009:GEJ983074 GOF983009:GOF983074 GYB983009:GYB983074 HHX983009:HHX983074 HRT983009:HRT983074 IBP983009:IBP983074 ILL983009:ILL983074 IVH983009:IVH983074 JFD983009:JFD983074 JOZ983009:JOZ983074 JYV983009:JYV983074 KIR983009:KIR983074 KSN983009:KSN983074 LCJ983009:LCJ983074 LMF983009:LMF983074 LWB983009:LWB983074 MFX983009:MFX983074 MPT983009:MPT983074 MZP983009:MZP983074 NJL983009:NJL983074 NTH983009:NTH983074 ODD983009:ODD983074 OMZ983009:OMZ983074 OWV983009:OWV983074 PGR983009:PGR983074 PQN983009:PQN983074 QAJ983009:QAJ983074 QKF983009:QKF983074 QUB983009:QUB983074 RDX983009:RDX983074 RNT983009:RNT983074 RXP983009:RXP983074 SHL983009:SHL983074 SRH983009:SRH983074 TBD983009:TBD983074 TKZ983009:TKZ983074 TUV983009:TUV983074 UER983009:UER983074 UON983009:UON983074 UYJ983009:UYJ983074 VIF983009:VIF983074 VSB983009:VSB983074 WBX983009:WBX983074 WLT983009:WLT983074 WLT2:WLT54 WBX2:WBX54 VSB2:VSB54 VIF2:VIF54 UYJ2:UYJ54 UON2:UON54 UER2:UER54 TUV2:TUV54 TKZ2:TKZ54 TBD2:TBD54 SRH2:SRH54 SHL2:SHL54 RXP2:RXP54 RNT2:RNT54 RDX2:RDX54 QUB2:QUB54 QKF2:QKF54 QAJ2:QAJ54 PQN2:PQN54 PGR2:PGR54 OWV2:OWV54 OMZ2:OMZ54 ODD2:ODD54 NTH2:NTH54 NJL2:NJL54 MZP2:MZP54 MPT2:MPT54 MFX2:MFX54 LWB2:LWB54 LMF2:LMF54 LCJ2:LCJ54 KSN2:KSN54 KIR2:KIR54 JYV2:JYV54 JOZ2:JOZ54 JFD2:JFD54 IVH2:IVH54 ILL2:ILL54 IBP2:IBP54 HRT2:HRT54 HHX2:HHX54 GYB2:GYB54 GOF2:GOF54 GEJ2:GEJ54 FUN2:FUN54 FKR2:FKR54 FAV2:FAV54 EQZ2:EQZ54 EHD2:EHD54 DXH2:DXH54 DNL2:DNL54 DDP2:DDP54 CTT2:CTT54 CJX2:CJX54 CAB2:CAB54 BQF2:BQF54 BGJ2:BGJ54 AWN2:AWN54 AMR2:AMR54 ACV2:ACV54 SZ2:SZ54 JD2:JD54 WVP2:WVP54" xr:uid="{5FD4ACF4-7A95-4588-8E0A-7D37F29EC4E2}">
      <formula1>$AL$4:$AL$12</formula1>
    </dataValidation>
    <dataValidation type="list" allowBlank="1" showInputMessage="1" showErrorMessage="1" sqref="A64330:A64395 IW64330:IW64395 SS64330:SS64395 ACO64330:ACO64395 AMK64330:AMK64395 AWG64330:AWG64395 BGC64330:BGC64395 BPY64330:BPY64395 BZU64330:BZU64395 CJQ64330:CJQ64395 CTM64330:CTM64395 DDI64330:DDI64395 DNE64330:DNE64395 DXA64330:DXA64395 EGW64330:EGW64395 EQS64330:EQS64395 FAO64330:FAO64395 FKK64330:FKK64395 FUG64330:FUG64395 GEC64330:GEC64395 GNY64330:GNY64395 GXU64330:GXU64395 HHQ64330:HHQ64395 HRM64330:HRM64395 IBI64330:IBI64395 ILE64330:ILE64395 IVA64330:IVA64395 JEW64330:JEW64395 JOS64330:JOS64395 JYO64330:JYO64395 KIK64330:KIK64395 KSG64330:KSG64395 LCC64330:LCC64395 LLY64330:LLY64395 LVU64330:LVU64395 MFQ64330:MFQ64395 MPM64330:MPM64395 MZI64330:MZI64395 NJE64330:NJE64395 NTA64330:NTA64395 OCW64330:OCW64395 OMS64330:OMS64395 OWO64330:OWO64395 PGK64330:PGK64395 PQG64330:PQG64395 QAC64330:QAC64395 QJY64330:QJY64395 QTU64330:QTU64395 RDQ64330:RDQ64395 RNM64330:RNM64395 RXI64330:RXI64395 SHE64330:SHE64395 SRA64330:SRA64395 TAW64330:TAW64395 TKS64330:TKS64395 TUO64330:TUO64395 UEK64330:UEK64395 UOG64330:UOG64395 UYC64330:UYC64395 VHY64330:VHY64395 VRU64330:VRU64395 WBQ64330:WBQ64395 WLM64330:WLM64395 WVI64330:WVI64395 A129866:A129931 IW129866:IW129931 SS129866:SS129931 ACO129866:ACO129931 AMK129866:AMK129931 AWG129866:AWG129931 BGC129866:BGC129931 BPY129866:BPY129931 BZU129866:BZU129931 CJQ129866:CJQ129931 CTM129866:CTM129931 DDI129866:DDI129931 DNE129866:DNE129931 DXA129866:DXA129931 EGW129866:EGW129931 EQS129866:EQS129931 FAO129866:FAO129931 FKK129866:FKK129931 FUG129866:FUG129931 GEC129866:GEC129931 GNY129866:GNY129931 GXU129866:GXU129931 HHQ129866:HHQ129931 HRM129866:HRM129931 IBI129866:IBI129931 ILE129866:ILE129931 IVA129866:IVA129931 JEW129866:JEW129931 JOS129866:JOS129931 JYO129866:JYO129931 KIK129866:KIK129931 KSG129866:KSG129931 LCC129866:LCC129931 LLY129866:LLY129931 LVU129866:LVU129931 MFQ129866:MFQ129931 MPM129866:MPM129931 MZI129866:MZI129931 NJE129866:NJE129931 NTA129866:NTA129931 OCW129866:OCW129931 OMS129866:OMS129931 OWO129866:OWO129931 PGK129866:PGK129931 PQG129866:PQG129931 QAC129866:QAC129931 QJY129866:QJY129931 QTU129866:QTU129931 RDQ129866:RDQ129931 RNM129866:RNM129931 RXI129866:RXI129931 SHE129866:SHE129931 SRA129866:SRA129931 TAW129866:TAW129931 TKS129866:TKS129931 TUO129866:TUO129931 UEK129866:UEK129931 UOG129866:UOG129931 UYC129866:UYC129931 VHY129866:VHY129931 VRU129866:VRU129931 WBQ129866:WBQ129931 WLM129866:WLM129931 WVI129866:WVI129931 A195402:A195467 IW195402:IW195467 SS195402:SS195467 ACO195402:ACO195467 AMK195402:AMK195467 AWG195402:AWG195467 BGC195402:BGC195467 BPY195402:BPY195467 BZU195402:BZU195467 CJQ195402:CJQ195467 CTM195402:CTM195467 DDI195402:DDI195467 DNE195402:DNE195467 DXA195402:DXA195467 EGW195402:EGW195467 EQS195402:EQS195467 FAO195402:FAO195467 FKK195402:FKK195467 FUG195402:FUG195467 GEC195402:GEC195467 GNY195402:GNY195467 GXU195402:GXU195467 HHQ195402:HHQ195467 HRM195402:HRM195467 IBI195402:IBI195467 ILE195402:ILE195467 IVA195402:IVA195467 JEW195402:JEW195467 JOS195402:JOS195467 JYO195402:JYO195467 KIK195402:KIK195467 KSG195402:KSG195467 LCC195402:LCC195467 LLY195402:LLY195467 LVU195402:LVU195467 MFQ195402:MFQ195467 MPM195402:MPM195467 MZI195402:MZI195467 NJE195402:NJE195467 NTA195402:NTA195467 OCW195402:OCW195467 OMS195402:OMS195467 OWO195402:OWO195467 PGK195402:PGK195467 PQG195402:PQG195467 QAC195402:QAC195467 QJY195402:QJY195467 QTU195402:QTU195467 RDQ195402:RDQ195467 RNM195402:RNM195467 RXI195402:RXI195467 SHE195402:SHE195467 SRA195402:SRA195467 TAW195402:TAW195467 TKS195402:TKS195467 TUO195402:TUO195467 UEK195402:UEK195467 UOG195402:UOG195467 UYC195402:UYC195467 VHY195402:VHY195467 VRU195402:VRU195467 WBQ195402:WBQ195467 WLM195402:WLM195467 WVI195402:WVI195467 A260938:A261003 IW260938:IW261003 SS260938:SS261003 ACO260938:ACO261003 AMK260938:AMK261003 AWG260938:AWG261003 BGC260938:BGC261003 BPY260938:BPY261003 BZU260938:BZU261003 CJQ260938:CJQ261003 CTM260938:CTM261003 DDI260938:DDI261003 DNE260938:DNE261003 DXA260938:DXA261003 EGW260938:EGW261003 EQS260938:EQS261003 FAO260938:FAO261003 FKK260938:FKK261003 FUG260938:FUG261003 GEC260938:GEC261003 GNY260938:GNY261003 GXU260938:GXU261003 HHQ260938:HHQ261003 HRM260938:HRM261003 IBI260938:IBI261003 ILE260938:ILE261003 IVA260938:IVA261003 JEW260938:JEW261003 JOS260938:JOS261003 JYO260938:JYO261003 KIK260938:KIK261003 KSG260938:KSG261003 LCC260938:LCC261003 LLY260938:LLY261003 LVU260938:LVU261003 MFQ260938:MFQ261003 MPM260938:MPM261003 MZI260938:MZI261003 NJE260938:NJE261003 NTA260938:NTA261003 OCW260938:OCW261003 OMS260938:OMS261003 OWO260938:OWO261003 PGK260938:PGK261003 PQG260938:PQG261003 QAC260938:QAC261003 QJY260938:QJY261003 QTU260938:QTU261003 RDQ260938:RDQ261003 RNM260938:RNM261003 RXI260938:RXI261003 SHE260938:SHE261003 SRA260938:SRA261003 TAW260938:TAW261003 TKS260938:TKS261003 TUO260938:TUO261003 UEK260938:UEK261003 UOG260938:UOG261003 UYC260938:UYC261003 VHY260938:VHY261003 VRU260938:VRU261003 WBQ260938:WBQ261003 WLM260938:WLM261003 WVI260938:WVI261003 A326474:A326539 IW326474:IW326539 SS326474:SS326539 ACO326474:ACO326539 AMK326474:AMK326539 AWG326474:AWG326539 BGC326474:BGC326539 BPY326474:BPY326539 BZU326474:BZU326539 CJQ326474:CJQ326539 CTM326474:CTM326539 DDI326474:DDI326539 DNE326474:DNE326539 DXA326474:DXA326539 EGW326474:EGW326539 EQS326474:EQS326539 FAO326474:FAO326539 FKK326474:FKK326539 FUG326474:FUG326539 GEC326474:GEC326539 GNY326474:GNY326539 GXU326474:GXU326539 HHQ326474:HHQ326539 HRM326474:HRM326539 IBI326474:IBI326539 ILE326474:ILE326539 IVA326474:IVA326539 JEW326474:JEW326539 JOS326474:JOS326539 JYO326474:JYO326539 KIK326474:KIK326539 KSG326474:KSG326539 LCC326474:LCC326539 LLY326474:LLY326539 LVU326474:LVU326539 MFQ326474:MFQ326539 MPM326474:MPM326539 MZI326474:MZI326539 NJE326474:NJE326539 NTA326474:NTA326539 OCW326474:OCW326539 OMS326474:OMS326539 OWO326474:OWO326539 PGK326474:PGK326539 PQG326474:PQG326539 QAC326474:QAC326539 QJY326474:QJY326539 QTU326474:QTU326539 RDQ326474:RDQ326539 RNM326474:RNM326539 RXI326474:RXI326539 SHE326474:SHE326539 SRA326474:SRA326539 TAW326474:TAW326539 TKS326474:TKS326539 TUO326474:TUO326539 UEK326474:UEK326539 UOG326474:UOG326539 UYC326474:UYC326539 VHY326474:VHY326539 VRU326474:VRU326539 WBQ326474:WBQ326539 WLM326474:WLM326539 WVI326474:WVI326539 A392010:A392075 IW392010:IW392075 SS392010:SS392075 ACO392010:ACO392075 AMK392010:AMK392075 AWG392010:AWG392075 BGC392010:BGC392075 BPY392010:BPY392075 BZU392010:BZU392075 CJQ392010:CJQ392075 CTM392010:CTM392075 DDI392010:DDI392075 DNE392010:DNE392075 DXA392010:DXA392075 EGW392010:EGW392075 EQS392010:EQS392075 FAO392010:FAO392075 FKK392010:FKK392075 FUG392010:FUG392075 GEC392010:GEC392075 GNY392010:GNY392075 GXU392010:GXU392075 HHQ392010:HHQ392075 HRM392010:HRM392075 IBI392010:IBI392075 ILE392010:ILE392075 IVA392010:IVA392075 JEW392010:JEW392075 JOS392010:JOS392075 JYO392010:JYO392075 KIK392010:KIK392075 KSG392010:KSG392075 LCC392010:LCC392075 LLY392010:LLY392075 LVU392010:LVU392075 MFQ392010:MFQ392075 MPM392010:MPM392075 MZI392010:MZI392075 NJE392010:NJE392075 NTA392010:NTA392075 OCW392010:OCW392075 OMS392010:OMS392075 OWO392010:OWO392075 PGK392010:PGK392075 PQG392010:PQG392075 QAC392010:QAC392075 QJY392010:QJY392075 QTU392010:QTU392075 RDQ392010:RDQ392075 RNM392010:RNM392075 RXI392010:RXI392075 SHE392010:SHE392075 SRA392010:SRA392075 TAW392010:TAW392075 TKS392010:TKS392075 TUO392010:TUO392075 UEK392010:UEK392075 UOG392010:UOG392075 UYC392010:UYC392075 VHY392010:VHY392075 VRU392010:VRU392075 WBQ392010:WBQ392075 WLM392010:WLM392075 WVI392010:WVI392075 A457546:A457611 IW457546:IW457611 SS457546:SS457611 ACO457546:ACO457611 AMK457546:AMK457611 AWG457546:AWG457611 BGC457546:BGC457611 BPY457546:BPY457611 BZU457546:BZU457611 CJQ457546:CJQ457611 CTM457546:CTM457611 DDI457546:DDI457611 DNE457546:DNE457611 DXA457546:DXA457611 EGW457546:EGW457611 EQS457546:EQS457611 FAO457546:FAO457611 FKK457546:FKK457611 FUG457546:FUG457611 GEC457546:GEC457611 GNY457546:GNY457611 GXU457546:GXU457611 HHQ457546:HHQ457611 HRM457546:HRM457611 IBI457546:IBI457611 ILE457546:ILE457611 IVA457546:IVA457611 JEW457546:JEW457611 JOS457546:JOS457611 JYO457546:JYO457611 KIK457546:KIK457611 KSG457546:KSG457611 LCC457546:LCC457611 LLY457546:LLY457611 LVU457546:LVU457611 MFQ457546:MFQ457611 MPM457546:MPM457611 MZI457546:MZI457611 NJE457546:NJE457611 NTA457546:NTA457611 OCW457546:OCW457611 OMS457546:OMS457611 OWO457546:OWO457611 PGK457546:PGK457611 PQG457546:PQG457611 QAC457546:QAC457611 QJY457546:QJY457611 QTU457546:QTU457611 RDQ457546:RDQ457611 RNM457546:RNM457611 RXI457546:RXI457611 SHE457546:SHE457611 SRA457546:SRA457611 TAW457546:TAW457611 TKS457546:TKS457611 TUO457546:TUO457611 UEK457546:UEK457611 UOG457546:UOG457611 UYC457546:UYC457611 VHY457546:VHY457611 VRU457546:VRU457611 WBQ457546:WBQ457611 WLM457546:WLM457611 WVI457546:WVI457611 A523082:A523147 IW523082:IW523147 SS523082:SS523147 ACO523082:ACO523147 AMK523082:AMK523147 AWG523082:AWG523147 BGC523082:BGC523147 BPY523082:BPY523147 BZU523082:BZU523147 CJQ523082:CJQ523147 CTM523082:CTM523147 DDI523082:DDI523147 DNE523082:DNE523147 DXA523082:DXA523147 EGW523082:EGW523147 EQS523082:EQS523147 FAO523082:FAO523147 FKK523082:FKK523147 FUG523082:FUG523147 GEC523082:GEC523147 GNY523082:GNY523147 GXU523082:GXU523147 HHQ523082:HHQ523147 HRM523082:HRM523147 IBI523082:IBI523147 ILE523082:ILE523147 IVA523082:IVA523147 JEW523082:JEW523147 JOS523082:JOS523147 JYO523082:JYO523147 KIK523082:KIK523147 KSG523082:KSG523147 LCC523082:LCC523147 LLY523082:LLY523147 LVU523082:LVU523147 MFQ523082:MFQ523147 MPM523082:MPM523147 MZI523082:MZI523147 NJE523082:NJE523147 NTA523082:NTA523147 OCW523082:OCW523147 OMS523082:OMS523147 OWO523082:OWO523147 PGK523082:PGK523147 PQG523082:PQG523147 QAC523082:QAC523147 QJY523082:QJY523147 QTU523082:QTU523147 RDQ523082:RDQ523147 RNM523082:RNM523147 RXI523082:RXI523147 SHE523082:SHE523147 SRA523082:SRA523147 TAW523082:TAW523147 TKS523082:TKS523147 TUO523082:TUO523147 UEK523082:UEK523147 UOG523082:UOG523147 UYC523082:UYC523147 VHY523082:VHY523147 VRU523082:VRU523147 WBQ523082:WBQ523147 WLM523082:WLM523147 WVI523082:WVI523147 A588618:A588683 IW588618:IW588683 SS588618:SS588683 ACO588618:ACO588683 AMK588618:AMK588683 AWG588618:AWG588683 BGC588618:BGC588683 BPY588618:BPY588683 BZU588618:BZU588683 CJQ588618:CJQ588683 CTM588618:CTM588683 DDI588618:DDI588683 DNE588618:DNE588683 DXA588618:DXA588683 EGW588618:EGW588683 EQS588618:EQS588683 FAO588618:FAO588683 FKK588618:FKK588683 FUG588618:FUG588683 GEC588618:GEC588683 GNY588618:GNY588683 GXU588618:GXU588683 HHQ588618:HHQ588683 HRM588618:HRM588683 IBI588618:IBI588683 ILE588618:ILE588683 IVA588618:IVA588683 JEW588618:JEW588683 JOS588618:JOS588683 JYO588618:JYO588683 KIK588618:KIK588683 KSG588618:KSG588683 LCC588618:LCC588683 LLY588618:LLY588683 LVU588618:LVU588683 MFQ588618:MFQ588683 MPM588618:MPM588683 MZI588618:MZI588683 NJE588618:NJE588683 NTA588618:NTA588683 OCW588618:OCW588683 OMS588618:OMS588683 OWO588618:OWO588683 PGK588618:PGK588683 PQG588618:PQG588683 QAC588618:QAC588683 QJY588618:QJY588683 QTU588618:QTU588683 RDQ588618:RDQ588683 RNM588618:RNM588683 RXI588618:RXI588683 SHE588618:SHE588683 SRA588618:SRA588683 TAW588618:TAW588683 TKS588618:TKS588683 TUO588618:TUO588683 UEK588618:UEK588683 UOG588618:UOG588683 UYC588618:UYC588683 VHY588618:VHY588683 VRU588618:VRU588683 WBQ588618:WBQ588683 WLM588618:WLM588683 WVI588618:WVI588683 A654154:A654219 IW654154:IW654219 SS654154:SS654219 ACO654154:ACO654219 AMK654154:AMK654219 AWG654154:AWG654219 BGC654154:BGC654219 BPY654154:BPY654219 BZU654154:BZU654219 CJQ654154:CJQ654219 CTM654154:CTM654219 DDI654154:DDI654219 DNE654154:DNE654219 DXA654154:DXA654219 EGW654154:EGW654219 EQS654154:EQS654219 FAO654154:FAO654219 FKK654154:FKK654219 FUG654154:FUG654219 GEC654154:GEC654219 GNY654154:GNY654219 GXU654154:GXU654219 HHQ654154:HHQ654219 HRM654154:HRM654219 IBI654154:IBI654219 ILE654154:ILE654219 IVA654154:IVA654219 JEW654154:JEW654219 JOS654154:JOS654219 JYO654154:JYO654219 KIK654154:KIK654219 KSG654154:KSG654219 LCC654154:LCC654219 LLY654154:LLY654219 LVU654154:LVU654219 MFQ654154:MFQ654219 MPM654154:MPM654219 MZI654154:MZI654219 NJE654154:NJE654219 NTA654154:NTA654219 OCW654154:OCW654219 OMS654154:OMS654219 OWO654154:OWO654219 PGK654154:PGK654219 PQG654154:PQG654219 QAC654154:QAC654219 QJY654154:QJY654219 QTU654154:QTU654219 RDQ654154:RDQ654219 RNM654154:RNM654219 RXI654154:RXI654219 SHE654154:SHE654219 SRA654154:SRA654219 TAW654154:TAW654219 TKS654154:TKS654219 TUO654154:TUO654219 UEK654154:UEK654219 UOG654154:UOG654219 UYC654154:UYC654219 VHY654154:VHY654219 VRU654154:VRU654219 WBQ654154:WBQ654219 WLM654154:WLM654219 WVI654154:WVI654219 A719690:A719755 IW719690:IW719755 SS719690:SS719755 ACO719690:ACO719755 AMK719690:AMK719755 AWG719690:AWG719755 BGC719690:BGC719755 BPY719690:BPY719755 BZU719690:BZU719755 CJQ719690:CJQ719755 CTM719690:CTM719755 DDI719690:DDI719755 DNE719690:DNE719755 DXA719690:DXA719755 EGW719690:EGW719755 EQS719690:EQS719755 FAO719690:FAO719755 FKK719690:FKK719755 FUG719690:FUG719755 GEC719690:GEC719755 GNY719690:GNY719755 GXU719690:GXU719755 HHQ719690:HHQ719755 HRM719690:HRM719755 IBI719690:IBI719755 ILE719690:ILE719755 IVA719690:IVA719755 JEW719690:JEW719755 JOS719690:JOS719755 JYO719690:JYO719755 KIK719690:KIK719755 KSG719690:KSG719755 LCC719690:LCC719755 LLY719690:LLY719755 LVU719690:LVU719755 MFQ719690:MFQ719755 MPM719690:MPM719755 MZI719690:MZI719755 NJE719690:NJE719755 NTA719690:NTA719755 OCW719690:OCW719755 OMS719690:OMS719755 OWO719690:OWO719755 PGK719690:PGK719755 PQG719690:PQG719755 QAC719690:QAC719755 QJY719690:QJY719755 QTU719690:QTU719755 RDQ719690:RDQ719755 RNM719690:RNM719755 RXI719690:RXI719755 SHE719690:SHE719755 SRA719690:SRA719755 TAW719690:TAW719755 TKS719690:TKS719755 TUO719690:TUO719755 UEK719690:UEK719755 UOG719690:UOG719755 UYC719690:UYC719755 VHY719690:VHY719755 VRU719690:VRU719755 WBQ719690:WBQ719755 WLM719690:WLM719755 WVI719690:WVI719755 A785226:A785291 IW785226:IW785291 SS785226:SS785291 ACO785226:ACO785291 AMK785226:AMK785291 AWG785226:AWG785291 BGC785226:BGC785291 BPY785226:BPY785291 BZU785226:BZU785291 CJQ785226:CJQ785291 CTM785226:CTM785291 DDI785226:DDI785291 DNE785226:DNE785291 DXA785226:DXA785291 EGW785226:EGW785291 EQS785226:EQS785291 FAO785226:FAO785291 FKK785226:FKK785291 FUG785226:FUG785291 GEC785226:GEC785291 GNY785226:GNY785291 GXU785226:GXU785291 HHQ785226:HHQ785291 HRM785226:HRM785291 IBI785226:IBI785291 ILE785226:ILE785291 IVA785226:IVA785291 JEW785226:JEW785291 JOS785226:JOS785291 JYO785226:JYO785291 KIK785226:KIK785291 KSG785226:KSG785291 LCC785226:LCC785291 LLY785226:LLY785291 LVU785226:LVU785291 MFQ785226:MFQ785291 MPM785226:MPM785291 MZI785226:MZI785291 NJE785226:NJE785291 NTA785226:NTA785291 OCW785226:OCW785291 OMS785226:OMS785291 OWO785226:OWO785291 PGK785226:PGK785291 PQG785226:PQG785291 QAC785226:QAC785291 QJY785226:QJY785291 QTU785226:QTU785291 RDQ785226:RDQ785291 RNM785226:RNM785291 RXI785226:RXI785291 SHE785226:SHE785291 SRA785226:SRA785291 TAW785226:TAW785291 TKS785226:TKS785291 TUO785226:TUO785291 UEK785226:UEK785291 UOG785226:UOG785291 UYC785226:UYC785291 VHY785226:VHY785291 VRU785226:VRU785291 WBQ785226:WBQ785291 WLM785226:WLM785291 WVI785226:WVI785291 A850762:A850827 IW850762:IW850827 SS850762:SS850827 ACO850762:ACO850827 AMK850762:AMK850827 AWG850762:AWG850827 BGC850762:BGC850827 BPY850762:BPY850827 BZU850762:BZU850827 CJQ850762:CJQ850827 CTM850762:CTM850827 DDI850762:DDI850827 DNE850762:DNE850827 DXA850762:DXA850827 EGW850762:EGW850827 EQS850762:EQS850827 FAO850762:FAO850827 FKK850762:FKK850827 FUG850762:FUG850827 GEC850762:GEC850827 GNY850762:GNY850827 GXU850762:GXU850827 HHQ850762:HHQ850827 HRM850762:HRM850827 IBI850762:IBI850827 ILE850762:ILE850827 IVA850762:IVA850827 JEW850762:JEW850827 JOS850762:JOS850827 JYO850762:JYO850827 KIK850762:KIK850827 KSG850762:KSG850827 LCC850762:LCC850827 LLY850762:LLY850827 LVU850762:LVU850827 MFQ850762:MFQ850827 MPM850762:MPM850827 MZI850762:MZI850827 NJE850762:NJE850827 NTA850762:NTA850827 OCW850762:OCW850827 OMS850762:OMS850827 OWO850762:OWO850827 PGK850762:PGK850827 PQG850762:PQG850827 QAC850762:QAC850827 QJY850762:QJY850827 QTU850762:QTU850827 RDQ850762:RDQ850827 RNM850762:RNM850827 RXI850762:RXI850827 SHE850762:SHE850827 SRA850762:SRA850827 TAW850762:TAW850827 TKS850762:TKS850827 TUO850762:TUO850827 UEK850762:UEK850827 UOG850762:UOG850827 UYC850762:UYC850827 VHY850762:VHY850827 VRU850762:VRU850827 WBQ850762:WBQ850827 WLM850762:WLM850827 WVI850762:WVI850827 A916298:A916363 IW916298:IW916363 SS916298:SS916363 ACO916298:ACO916363 AMK916298:AMK916363 AWG916298:AWG916363 BGC916298:BGC916363 BPY916298:BPY916363 BZU916298:BZU916363 CJQ916298:CJQ916363 CTM916298:CTM916363 DDI916298:DDI916363 DNE916298:DNE916363 DXA916298:DXA916363 EGW916298:EGW916363 EQS916298:EQS916363 FAO916298:FAO916363 FKK916298:FKK916363 FUG916298:FUG916363 GEC916298:GEC916363 GNY916298:GNY916363 GXU916298:GXU916363 HHQ916298:HHQ916363 HRM916298:HRM916363 IBI916298:IBI916363 ILE916298:ILE916363 IVA916298:IVA916363 JEW916298:JEW916363 JOS916298:JOS916363 JYO916298:JYO916363 KIK916298:KIK916363 KSG916298:KSG916363 LCC916298:LCC916363 LLY916298:LLY916363 LVU916298:LVU916363 MFQ916298:MFQ916363 MPM916298:MPM916363 MZI916298:MZI916363 NJE916298:NJE916363 NTA916298:NTA916363 OCW916298:OCW916363 OMS916298:OMS916363 OWO916298:OWO916363 PGK916298:PGK916363 PQG916298:PQG916363 QAC916298:QAC916363 QJY916298:QJY916363 QTU916298:QTU916363 RDQ916298:RDQ916363 RNM916298:RNM916363 RXI916298:RXI916363 SHE916298:SHE916363 SRA916298:SRA916363 TAW916298:TAW916363 TKS916298:TKS916363 TUO916298:TUO916363 UEK916298:UEK916363 UOG916298:UOG916363 UYC916298:UYC916363 VHY916298:VHY916363 VRU916298:VRU916363 WBQ916298:WBQ916363 WLM916298:WLM916363 WVI916298:WVI916363 A981834:A981899 IW981834:IW981899 SS981834:SS981899 ACO981834:ACO981899 AMK981834:AMK981899 AWG981834:AWG981899 BGC981834:BGC981899 BPY981834:BPY981899 BZU981834:BZU981899 CJQ981834:CJQ981899 CTM981834:CTM981899 DDI981834:DDI981899 DNE981834:DNE981899 DXA981834:DXA981899 EGW981834:EGW981899 EQS981834:EQS981899 FAO981834:FAO981899 FKK981834:FKK981899 FUG981834:FUG981899 GEC981834:GEC981899 GNY981834:GNY981899 GXU981834:GXU981899 HHQ981834:HHQ981899 HRM981834:HRM981899 IBI981834:IBI981899 ILE981834:ILE981899 IVA981834:IVA981899 JEW981834:JEW981899 JOS981834:JOS981899 JYO981834:JYO981899 KIK981834:KIK981899 KSG981834:KSG981899 LCC981834:LCC981899 LLY981834:LLY981899 LVU981834:LVU981899 MFQ981834:MFQ981899 MPM981834:MPM981899 MZI981834:MZI981899 NJE981834:NJE981899 NTA981834:NTA981899 OCW981834:OCW981899 OMS981834:OMS981899 OWO981834:OWO981899 PGK981834:PGK981899 PQG981834:PQG981899 QAC981834:QAC981899 QJY981834:QJY981899 QTU981834:QTU981899 RDQ981834:RDQ981899 RNM981834:RNM981899 RXI981834:RXI981899 SHE981834:SHE981899 SRA981834:SRA981899 TAW981834:TAW981899 TKS981834:TKS981899 TUO981834:TUO981899 UEK981834:UEK981899 UOG981834:UOG981899 UYC981834:UYC981899 VHY981834:VHY981899 VRU981834:VRU981899 WBQ981834:WBQ981899 WLM981834:WLM981899 WVI981834:WVI981899 A1047370:A1047435 IW1047370:IW1047435 SS1047370:SS1047435 ACO1047370:ACO1047435 AMK1047370:AMK1047435 AWG1047370:AWG1047435 BGC1047370:BGC1047435 BPY1047370:BPY1047435 BZU1047370:BZU1047435 CJQ1047370:CJQ1047435 CTM1047370:CTM1047435 DDI1047370:DDI1047435 DNE1047370:DNE1047435 DXA1047370:DXA1047435 EGW1047370:EGW1047435 EQS1047370:EQS1047435 FAO1047370:FAO1047435 FKK1047370:FKK1047435 FUG1047370:FUG1047435 GEC1047370:GEC1047435 GNY1047370:GNY1047435 GXU1047370:GXU1047435 HHQ1047370:HHQ1047435 HRM1047370:HRM1047435 IBI1047370:IBI1047435 ILE1047370:ILE1047435 IVA1047370:IVA1047435 JEW1047370:JEW1047435 JOS1047370:JOS1047435 JYO1047370:JYO1047435 KIK1047370:KIK1047435 KSG1047370:KSG1047435 LCC1047370:LCC1047435 LLY1047370:LLY1047435 LVU1047370:LVU1047435 MFQ1047370:MFQ1047435 MPM1047370:MPM1047435 MZI1047370:MZI1047435 NJE1047370:NJE1047435 NTA1047370:NTA1047435 OCW1047370:OCW1047435 OMS1047370:OMS1047435 OWO1047370:OWO1047435 PGK1047370:PGK1047435 PQG1047370:PQG1047435 QAC1047370:QAC1047435 QJY1047370:QJY1047435 QTU1047370:QTU1047435 RDQ1047370:RDQ1047435 RNM1047370:RNM1047435 RXI1047370:RXI1047435 SHE1047370:SHE1047435 SRA1047370:SRA1047435 TAW1047370:TAW1047435 TKS1047370:TKS1047435 TUO1047370:TUO1047435 UEK1047370:UEK1047435 UOG1047370:UOG1047435 UYC1047370:UYC1047435 VHY1047370:VHY1047435 VRU1047370:VRU1047435 WBQ1047370:WBQ1047435 WLM1047370:WLM1047435 WVI1047370:WVI1047435 WVI983009:WVI983080 A65505:A65576 IW65505:IW65576 SS65505:SS65576 ACO65505:ACO65576 AMK65505:AMK65576 AWG65505:AWG65576 BGC65505:BGC65576 BPY65505:BPY65576 BZU65505:BZU65576 CJQ65505:CJQ65576 CTM65505:CTM65576 DDI65505:DDI65576 DNE65505:DNE65576 DXA65505:DXA65576 EGW65505:EGW65576 EQS65505:EQS65576 FAO65505:FAO65576 FKK65505:FKK65576 FUG65505:FUG65576 GEC65505:GEC65576 GNY65505:GNY65576 GXU65505:GXU65576 HHQ65505:HHQ65576 HRM65505:HRM65576 IBI65505:IBI65576 ILE65505:ILE65576 IVA65505:IVA65576 JEW65505:JEW65576 JOS65505:JOS65576 JYO65505:JYO65576 KIK65505:KIK65576 KSG65505:KSG65576 LCC65505:LCC65576 LLY65505:LLY65576 LVU65505:LVU65576 MFQ65505:MFQ65576 MPM65505:MPM65576 MZI65505:MZI65576 NJE65505:NJE65576 NTA65505:NTA65576 OCW65505:OCW65576 OMS65505:OMS65576 OWO65505:OWO65576 PGK65505:PGK65576 PQG65505:PQG65576 QAC65505:QAC65576 QJY65505:QJY65576 QTU65505:QTU65576 RDQ65505:RDQ65576 RNM65505:RNM65576 RXI65505:RXI65576 SHE65505:SHE65576 SRA65505:SRA65576 TAW65505:TAW65576 TKS65505:TKS65576 TUO65505:TUO65576 UEK65505:UEK65576 UOG65505:UOG65576 UYC65505:UYC65576 VHY65505:VHY65576 VRU65505:VRU65576 WBQ65505:WBQ65576 WLM65505:WLM65576 WVI65505:WVI65576 A131041:A131112 IW131041:IW131112 SS131041:SS131112 ACO131041:ACO131112 AMK131041:AMK131112 AWG131041:AWG131112 BGC131041:BGC131112 BPY131041:BPY131112 BZU131041:BZU131112 CJQ131041:CJQ131112 CTM131041:CTM131112 DDI131041:DDI131112 DNE131041:DNE131112 DXA131041:DXA131112 EGW131041:EGW131112 EQS131041:EQS131112 FAO131041:FAO131112 FKK131041:FKK131112 FUG131041:FUG131112 GEC131041:GEC131112 GNY131041:GNY131112 GXU131041:GXU131112 HHQ131041:HHQ131112 HRM131041:HRM131112 IBI131041:IBI131112 ILE131041:ILE131112 IVA131041:IVA131112 JEW131041:JEW131112 JOS131041:JOS131112 JYO131041:JYO131112 KIK131041:KIK131112 KSG131041:KSG131112 LCC131041:LCC131112 LLY131041:LLY131112 LVU131041:LVU131112 MFQ131041:MFQ131112 MPM131041:MPM131112 MZI131041:MZI131112 NJE131041:NJE131112 NTA131041:NTA131112 OCW131041:OCW131112 OMS131041:OMS131112 OWO131041:OWO131112 PGK131041:PGK131112 PQG131041:PQG131112 QAC131041:QAC131112 QJY131041:QJY131112 QTU131041:QTU131112 RDQ131041:RDQ131112 RNM131041:RNM131112 RXI131041:RXI131112 SHE131041:SHE131112 SRA131041:SRA131112 TAW131041:TAW131112 TKS131041:TKS131112 TUO131041:TUO131112 UEK131041:UEK131112 UOG131041:UOG131112 UYC131041:UYC131112 VHY131041:VHY131112 VRU131041:VRU131112 WBQ131041:WBQ131112 WLM131041:WLM131112 WVI131041:WVI131112 A196577:A196648 IW196577:IW196648 SS196577:SS196648 ACO196577:ACO196648 AMK196577:AMK196648 AWG196577:AWG196648 BGC196577:BGC196648 BPY196577:BPY196648 BZU196577:BZU196648 CJQ196577:CJQ196648 CTM196577:CTM196648 DDI196577:DDI196648 DNE196577:DNE196648 DXA196577:DXA196648 EGW196577:EGW196648 EQS196577:EQS196648 FAO196577:FAO196648 FKK196577:FKK196648 FUG196577:FUG196648 GEC196577:GEC196648 GNY196577:GNY196648 GXU196577:GXU196648 HHQ196577:HHQ196648 HRM196577:HRM196648 IBI196577:IBI196648 ILE196577:ILE196648 IVA196577:IVA196648 JEW196577:JEW196648 JOS196577:JOS196648 JYO196577:JYO196648 KIK196577:KIK196648 KSG196577:KSG196648 LCC196577:LCC196648 LLY196577:LLY196648 LVU196577:LVU196648 MFQ196577:MFQ196648 MPM196577:MPM196648 MZI196577:MZI196648 NJE196577:NJE196648 NTA196577:NTA196648 OCW196577:OCW196648 OMS196577:OMS196648 OWO196577:OWO196648 PGK196577:PGK196648 PQG196577:PQG196648 QAC196577:QAC196648 QJY196577:QJY196648 QTU196577:QTU196648 RDQ196577:RDQ196648 RNM196577:RNM196648 RXI196577:RXI196648 SHE196577:SHE196648 SRA196577:SRA196648 TAW196577:TAW196648 TKS196577:TKS196648 TUO196577:TUO196648 UEK196577:UEK196648 UOG196577:UOG196648 UYC196577:UYC196648 VHY196577:VHY196648 VRU196577:VRU196648 WBQ196577:WBQ196648 WLM196577:WLM196648 WVI196577:WVI196648 A262113:A262184 IW262113:IW262184 SS262113:SS262184 ACO262113:ACO262184 AMK262113:AMK262184 AWG262113:AWG262184 BGC262113:BGC262184 BPY262113:BPY262184 BZU262113:BZU262184 CJQ262113:CJQ262184 CTM262113:CTM262184 DDI262113:DDI262184 DNE262113:DNE262184 DXA262113:DXA262184 EGW262113:EGW262184 EQS262113:EQS262184 FAO262113:FAO262184 FKK262113:FKK262184 FUG262113:FUG262184 GEC262113:GEC262184 GNY262113:GNY262184 GXU262113:GXU262184 HHQ262113:HHQ262184 HRM262113:HRM262184 IBI262113:IBI262184 ILE262113:ILE262184 IVA262113:IVA262184 JEW262113:JEW262184 JOS262113:JOS262184 JYO262113:JYO262184 KIK262113:KIK262184 KSG262113:KSG262184 LCC262113:LCC262184 LLY262113:LLY262184 LVU262113:LVU262184 MFQ262113:MFQ262184 MPM262113:MPM262184 MZI262113:MZI262184 NJE262113:NJE262184 NTA262113:NTA262184 OCW262113:OCW262184 OMS262113:OMS262184 OWO262113:OWO262184 PGK262113:PGK262184 PQG262113:PQG262184 QAC262113:QAC262184 QJY262113:QJY262184 QTU262113:QTU262184 RDQ262113:RDQ262184 RNM262113:RNM262184 RXI262113:RXI262184 SHE262113:SHE262184 SRA262113:SRA262184 TAW262113:TAW262184 TKS262113:TKS262184 TUO262113:TUO262184 UEK262113:UEK262184 UOG262113:UOG262184 UYC262113:UYC262184 VHY262113:VHY262184 VRU262113:VRU262184 WBQ262113:WBQ262184 WLM262113:WLM262184 WVI262113:WVI262184 A327649:A327720 IW327649:IW327720 SS327649:SS327720 ACO327649:ACO327720 AMK327649:AMK327720 AWG327649:AWG327720 BGC327649:BGC327720 BPY327649:BPY327720 BZU327649:BZU327720 CJQ327649:CJQ327720 CTM327649:CTM327720 DDI327649:DDI327720 DNE327649:DNE327720 DXA327649:DXA327720 EGW327649:EGW327720 EQS327649:EQS327720 FAO327649:FAO327720 FKK327649:FKK327720 FUG327649:FUG327720 GEC327649:GEC327720 GNY327649:GNY327720 GXU327649:GXU327720 HHQ327649:HHQ327720 HRM327649:HRM327720 IBI327649:IBI327720 ILE327649:ILE327720 IVA327649:IVA327720 JEW327649:JEW327720 JOS327649:JOS327720 JYO327649:JYO327720 KIK327649:KIK327720 KSG327649:KSG327720 LCC327649:LCC327720 LLY327649:LLY327720 LVU327649:LVU327720 MFQ327649:MFQ327720 MPM327649:MPM327720 MZI327649:MZI327720 NJE327649:NJE327720 NTA327649:NTA327720 OCW327649:OCW327720 OMS327649:OMS327720 OWO327649:OWO327720 PGK327649:PGK327720 PQG327649:PQG327720 QAC327649:QAC327720 QJY327649:QJY327720 QTU327649:QTU327720 RDQ327649:RDQ327720 RNM327649:RNM327720 RXI327649:RXI327720 SHE327649:SHE327720 SRA327649:SRA327720 TAW327649:TAW327720 TKS327649:TKS327720 TUO327649:TUO327720 UEK327649:UEK327720 UOG327649:UOG327720 UYC327649:UYC327720 VHY327649:VHY327720 VRU327649:VRU327720 WBQ327649:WBQ327720 WLM327649:WLM327720 WVI327649:WVI327720 A393185:A393256 IW393185:IW393256 SS393185:SS393256 ACO393185:ACO393256 AMK393185:AMK393256 AWG393185:AWG393256 BGC393185:BGC393256 BPY393185:BPY393256 BZU393185:BZU393256 CJQ393185:CJQ393256 CTM393185:CTM393256 DDI393185:DDI393256 DNE393185:DNE393256 DXA393185:DXA393256 EGW393185:EGW393256 EQS393185:EQS393256 FAO393185:FAO393256 FKK393185:FKK393256 FUG393185:FUG393256 GEC393185:GEC393256 GNY393185:GNY393256 GXU393185:GXU393256 HHQ393185:HHQ393256 HRM393185:HRM393256 IBI393185:IBI393256 ILE393185:ILE393256 IVA393185:IVA393256 JEW393185:JEW393256 JOS393185:JOS393256 JYO393185:JYO393256 KIK393185:KIK393256 KSG393185:KSG393256 LCC393185:LCC393256 LLY393185:LLY393256 LVU393185:LVU393256 MFQ393185:MFQ393256 MPM393185:MPM393256 MZI393185:MZI393256 NJE393185:NJE393256 NTA393185:NTA393256 OCW393185:OCW393256 OMS393185:OMS393256 OWO393185:OWO393256 PGK393185:PGK393256 PQG393185:PQG393256 QAC393185:QAC393256 QJY393185:QJY393256 QTU393185:QTU393256 RDQ393185:RDQ393256 RNM393185:RNM393256 RXI393185:RXI393256 SHE393185:SHE393256 SRA393185:SRA393256 TAW393185:TAW393256 TKS393185:TKS393256 TUO393185:TUO393256 UEK393185:UEK393256 UOG393185:UOG393256 UYC393185:UYC393256 VHY393185:VHY393256 VRU393185:VRU393256 WBQ393185:WBQ393256 WLM393185:WLM393256 WVI393185:WVI393256 A458721:A458792 IW458721:IW458792 SS458721:SS458792 ACO458721:ACO458792 AMK458721:AMK458792 AWG458721:AWG458792 BGC458721:BGC458792 BPY458721:BPY458792 BZU458721:BZU458792 CJQ458721:CJQ458792 CTM458721:CTM458792 DDI458721:DDI458792 DNE458721:DNE458792 DXA458721:DXA458792 EGW458721:EGW458792 EQS458721:EQS458792 FAO458721:FAO458792 FKK458721:FKK458792 FUG458721:FUG458792 GEC458721:GEC458792 GNY458721:GNY458792 GXU458721:GXU458792 HHQ458721:HHQ458792 HRM458721:HRM458792 IBI458721:IBI458792 ILE458721:ILE458792 IVA458721:IVA458792 JEW458721:JEW458792 JOS458721:JOS458792 JYO458721:JYO458792 KIK458721:KIK458792 KSG458721:KSG458792 LCC458721:LCC458792 LLY458721:LLY458792 LVU458721:LVU458792 MFQ458721:MFQ458792 MPM458721:MPM458792 MZI458721:MZI458792 NJE458721:NJE458792 NTA458721:NTA458792 OCW458721:OCW458792 OMS458721:OMS458792 OWO458721:OWO458792 PGK458721:PGK458792 PQG458721:PQG458792 QAC458721:QAC458792 QJY458721:QJY458792 QTU458721:QTU458792 RDQ458721:RDQ458792 RNM458721:RNM458792 RXI458721:RXI458792 SHE458721:SHE458792 SRA458721:SRA458792 TAW458721:TAW458792 TKS458721:TKS458792 TUO458721:TUO458792 UEK458721:UEK458792 UOG458721:UOG458792 UYC458721:UYC458792 VHY458721:VHY458792 VRU458721:VRU458792 WBQ458721:WBQ458792 WLM458721:WLM458792 WVI458721:WVI458792 A524257:A524328 IW524257:IW524328 SS524257:SS524328 ACO524257:ACO524328 AMK524257:AMK524328 AWG524257:AWG524328 BGC524257:BGC524328 BPY524257:BPY524328 BZU524257:BZU524328 CJQ524257:CJQ524328 CTM524257:CTM524328 DDI524257:DDI524328 DNE524257:DNE524328 DXA524257:DXA524328 EGW524257:EGW524328 EQS524257:EQS524328 FAO524257:FAO524328 FKK524257:FKK524328 FUG524257:FUG524328 GEC524257:GEC524328 GNY524257:GNY524328 GXU524257:GXU524328 HHQ524257:HHQ524328 HRM524257:HRM524328 IBI524257:IBI524328 ILE524257:ILE524328 IVA524257:IVA524328 JEW524257:JEW524328 JOS524257:JOS524328 JYO524257:JYO524328 KIK524257:KIK524328 KSG524257:KSG524328 LCC524257:LCC524328 LLY524257:LLY524328 LVU524257:LVU524328 MFQ524257:MFQ524328 MPM524257:MPM524328 MZI524257:MZI524328 NJE524257:NJE524328 NTA524257:NTA524328 OCW524257:OCW524328 OMS524257:OMS524328 OWO524257:OWO524328 PGK524257:PGK524328 PQG524257:PQG524328 QAC524257:QAC524328 QJY524257:QJY524328 QTU524257:QTU524328 RDQ524257:RDQ524328 RNM524257:RNM524328 RXI524257:RXI524328 SHE524257:SHE524328 SRA524257:SRA524328 TAW524257:TAW524328 TKS524257:TKS524328 TUO524257:TUO524328 UEK524257:UEK524328 UOG524257:UOG524328 UYC524257:UYC524328 VHY524257:VHY524328 VRU524257:VRU524328 WBQ524257:WBQ524328 WLM524257:WLM524328 WVI524257:WVI524328 A589793:A589864 IW589793:IW589864 SS589793:SS589864 ACO589793:ACO589864 AMK589793:AMK589864 AWG589793:AWG589864 BGC589793:BGC589864 BPY589793:BPY589864 BZU589793:BZU589864 CJQ589793:CJQ589864 CTM589793:CTM589864 DDI589793:DDI589864 DNE589793:DNE589864 DXA589793:DXA589864 EGW589793:EGW589864 EQS589793:EQS589864 FAO589793:FAO589864 FKK589793:FKK589864 FUG589793:FUG589864 GEC589793:GEC589864 GNY589793:GNY589864 GXU589793:GXU589864 HHQ589793:HHQ589864 HRM589793:HRM589864 IBI589793:IBI589864 ILE589793:ILE589864 IVA589793:IVA589864 JEW589793:JEW589864 JOS589793:JOS589864 JYO589793:JYO589864 KIK589793:KIK589864 KSG589793:KSG589864 LCC589793:LCC589864 LLY589793:LLY589864 LVU589793:LVU589864 MFQ589793:MFQ589864 MPM589793:MPM589864 MZI589793:MZI589864 NJE589793:NJE589864 NTA589793:NTA589864 OCW589793:OCW589864 OMS589793:OMS589864 OWO589793:OWO589864 PGK589793:PGK589864 PQG589793:PQG589864 QAC589793:QAC589864 QJY589793:QJY589864 QTU589793:QTU589864 RDQ589793:RDQ589864 RNM589793:RNM589864 RXI589793:RXI589864 SHE589793:SHE589864 SRA589793:SRA589864 TAW589793:TAW589864 TKS589793:TKS589864 TUO589793:TUO589864 UEK589793:UEK589864 UOG589793:UOG589864 UYC589793:UYC589864 VHY589793:VHY589864 VRU589793:VRU589864 WBQ589793:WBQ589864 WLM589793:WLM589864 WVI589793:WVI589864 A655329:A655400 IW655329:IW655400 SS655329:SS655400 ACO655329:ACO655400 AMK655329:AMK655400 AWG655329:AWG655400 BGC655329:BGC655400 BPY655329:BPY655400 BZU655329:BZU655400 CJQ655329:CJQ655400 CTM655329:CTM655400 DDI655329:DDI655400 DNE655329:DNE655400 DXA655329:DXA655400 EGW655329:EGW655400 EQS655329:EQS655400 FAO655329:FAO655400 FKK655329:FKK655400 FUG655329:FUG655400 GEC655329:GEC655400 GNY655329:GNY655400 GXU655329:GXU655400 HHQ655329:HHQ655400 HRM655329:HRM655400 IBI655329:IBI655400 ILE655329:ILE655400 IVA655329:IVA655400 JEW655329:JEW655400 JOS655329:JOS655400 JYO655329:JYO655400 KIK655329:KIK655400 KSG655329:KSG655400 LCC655329:LCC655400 LLY655329:LLY655400 LVU655329:LVU655400 MFQ655329:MFQ655400 MPM655329:MPM655400 MZI655329:MZI655400 NJE655329:NJE655400 NTA655329:NTA655400 OCW655329:OCW655400 OMS655329:OMS655400 OWO655329:OWO655400 PGK655329:PGK655400 PQG655329:PQG655400 QAC655329:QAC655400 QJY655329:QJY655400 QTU655329:QTU655400 RDQ655329:RDQ655400 RNM655329:RNM655400 RXI655329:RXI655400 SHE655329:SHE655400 SRA655329:SRA655400 TAW655329:TAW655400 TKS655329:TKS655400 TUO655329:TUO655400 UEK655329:UEK655400 UOG655329:UOG655400 UYC655329:UYC655400 VHY655329:VHY655400 VRU655329:VRU655400 WBQ655329:WBQ655400 WLM655329:WLM655400 WVI655329:WVI655400 A720865:A720936 IW720865:IW720936 SS720865:SS720936 ACO720865:ACO720936 AMK720865:AMK720936 AWG720865:AWG720936 BGC720865:BGC720936 BPY720865:BPY720936 BZU720865:BZU720936 CJQ720865:CJQ720936 CTM720865:CTM720936 DDI720865:DDI720936 DNE720865:DNE720936 DXA720865:DXA720936 EGW720865:EGW720936 EQS720865:EQS720936 FAO720865:FAO720936 FKK720865:FKK720936 FUG720865:FUG720936 GEC720865:GEC720936 GNY720865:GNY720936 GXU720865:GXU720936 HHQ720865:HHQ720936 HRM720865:HRM720936 IBI720865:IBI720936 ILE720865:ILE720936 IVA720865:IVA720936 JEW720865:JEW720936 JOS720865:JOS720936 JYO720865:JYO720936 KIK720865:KIK720936 KSG720865:KSG720936 LCC720865:LCC720936 LLY720865:LLY720936 LVU720865:LVU720936 MFQ720865:MFQ720936 MPM720865:MPM720936 MZI720865:MZI720936 NJE720865:NJE720936 NTA720865:NTA720936 OCW720865:OCW720936 OMS720865:OMS720936 OWO720865:OWO720936 PGK720865:PGK720936 PQG720865:PQG720936 QAC720865:QAC720936 QJY720865:QJY720936 QTU720865:QTU720936 RDQ720865:RDQ720936 RNM720865:RNM720936 RXI720865:RXI720936 SHE720865:SHE720936 SRA720865:SRA720936 TAW720865:TAW720936 TKS720865:TKS720936 TUO720865:TUO720936 UEK720865:UEK720936 UOG720865:UOG720936 UYC720865:UYC720936 VHY720865:VHY720936 VRU720865:VRU720936 WBQ720865:WBQ720936 WLM720865:WLM720936 WVI720865:WVI720936 A786401:A786472 IW786401:IW786472 SS786401:SS786472 ACO786401:ACO786472 AMK786401:AMK786472 AWG786401:AWG786472 BGC786401:BGC786472 BPY786401:BPY786472 BZU786401:BZU786472 CJQ786401:CJQ786472 CTM786401:CTM786472 DDI786401:DDI786472 DNE786401:DNE786472 DXA786401:DXA786472 EGW786401:EGW786472 EQS786401:EQS786472 FAO786401:FAO786472 FKK786401:FKK786472 FUG786401:FUG786472 GEC786401:GEC786472 GNY786401:GNY786472 GXU786401:GXU786472 HHQ786401:HHQ786472 HRM786401:HRM786472 IBI786401:IBI786472 ILE786401:ILE786472 IVA786401:IVA786472 JEW786401:JEW786472 JOS786401:JOS786472 JYO786401:JYO786472 KIK786401:KIK786472 KSG786401:KSG786472 LCC786401:LCC786472 LLY786401:LLY786472 LVU786401:LVU786472 MFQ786401:MFQ786472 MPM786401:MPM786472 MZI786401:MZI786472 NJE786401:NJE786472 NTA786401:NTA786472 OCW786401:OCW786472 OMS786401:OMS786472 OWO786401:OWO786472 PGK786401:PGK786472 PQG786401:PQG786472 QAC786401:QAC786472 QJY786401:QJY786472 QTU786401:QTU786472 RDQ786401:RDQ786472 RNM786401:RNM786472 RXI786401:RXI786472 SHE786401:SHE786472 SRA786401:SRA786472 TAW786401:TAW786472 TKS786401:TKS786472 TUO786401:TUO786472 UEK786401:UEK786472 UOG786401:UOG786472 UYC786401:UYC786472 VHY786401:VHY786472 VRU786401:VRU786472 WBQ786401:WBQ786472 WLM786401:WLM786472 WVI786401:WVI786472 A851937:A852008 IW851937:IW852008 SS851937:SS852008 ACO851937:ACO852008 AMK851937:AMK852008 AWG851937:AWG852008 BGC851937:BGC852008 BPY851937:BPY852008 BZU851937:BZU852008 CJQ851937:CJQ852008 CTM851937:CTM852008 DDI851937:DDI852008 DNE851937:DNE852008 DXA851937:DXA852008 EGW851937:EGW852008 EQS851937:EQS852008 FAO851937:FAO852008 FKK851937:FKK852008 FUG851937:FUG852008 GEC851937:GEC852008 GNY851937:GNY852008 GXU851937:GXU852008 HHQ851937:HHQ852008 HRM851937:HRM852008 IBI851937:IBI852008 ILE851937:ILE852008 IVA851937:IVA852008 JEW851937:JEW852008 JOS851937:JOS852008 JYO851937:JYO852008 KIK851937:KIK852008 KSG851937:KSG852008 LCC851937:LCC852008 LLY851937:LLY852008 LVU851937:LVU852008 MFQ851937:MFQ852008 MPM851937:MPM852008 MZI851937:MZI852008 NJE851937:NJE852008 NTA851937:NTA852008 OCW851937:OCW852008 OMS851937:OMS852008 OWO851937:OWO852008 PGK851937:PGK852008 PQG851937:PQG852008 QAC851937:QAC852008 QJY851937:QJY852008 QTU851937:QTU852008 RDQ851937:RDQ852008 RNM851937:RNM852008 RXI851937:RXI852008 SHE851937:SHE852008 SRA851937:SRA852008 TAW851937:TAW852008 TKS851937:TKS852008 TUO851937:TUO852008 UEK851937:UEK852008 UOG851937:UOG852008 UYC851937:UYC852008 VHY851937:VHY852008 VRU851937:VRU852008 WBQ851937:WBQ852008 WLM851937:WLM852008 WVI851937:WVI852008 A917473:A917544 IW917473:IW917544 SS917473:SS917544 ACO917473:ACO917544 AMK917473:AMK917544 AWG917473:AWG917544 BGC917473:BGC917544 BPY917473:BPY917544 BZU917473:BZU917544 CJQ917473:CJQ917544 CTM917473:CTM917544 DDI917473:DDI917544 DNE917473:DNE917544 DXA917473:DXA917544 EGW917473:EGW917544 EQS917473:EQS917544 FAO917473:FAO917544 FKK917473:FKK917544 FUG917473:FUG917544 GEC917473:GEC917544 GNY917473:GNY917544 GXU917473:GXU917544 HHQ917473:HHQ917544 HRM917473:HRM917544 IBI917473:IBI917544 ILE917473:ILE917544 IVA917473:IVA917544 JEW917473:JEW917544 JOS917473:JOS917544 JYO917473:JYO917544 KIK917473:KIK917544 KSG917473:KSG917544 LCC917473:LCC917544 LLY917473:LLY917544 LVU917473:LVU917544 MFQ917473:MFQ917544 MPM917473:MPM917544 MZI917473:MZI917544 NJE917473:NJE917544 NTA917473:NTA917544 OCW917473:OCW917544 OMS917473:OMS917544 OWO917473:OWO917544 PGK917473:PGK917544 PQG917473:PQG917544 QAC917473:QAC917544 QJY917473:QJY917544 QTU917473:QTU917544 RDQ917473:RDQ917544 RNM917473:RNM917544 RXI917473:RXI917544 SHE917473:SHE917544 SRA917473:SRA917544 TAW917473:TAW917544 TKS917473:TKS917544 TUO917473:TUO917544 UEK917473:UEK917544 UOG917473:UOG917544 UYC917473:UYC917544 VHY917473:VHY917544 VRU917473:VRU917544 WBQ917473:WBQ917544 WLM917473:WLM917544 WVI917473:WVI917544 A983009:A983080 IW983009:IW983080 SS983009:SS983080 ACO983009:ACO983080 AMK983009:AMK983080 AWG983009:AWG983080 BGC983009:BGC983080 BPY983009:BPY983080 BZU983009:BZU983080 CJQ983009:CJQ983080 CTM983009:CTM983080 DDI983009:DDI983080 DNE983009:DNE983080 DXA983009:DXA983080 EGW983009:EGW983080 EQS983009:EQS983080 FAO983009:FAO983080 FKK983009:FKK983080 FUG983009:FUG983080 GEC983009:GEC983080 GNY983009:GNY983080 GXU983009:GXU983080 HHQ983009:HHQ983080 HRM983009:HRM983080 IBI983009:IBI983080 ILE983009:ILE983080 IVA983009:IVA983080 JEW983009:JEW983080 JOS983009:JOS983080 JYO983009:JYO983080 KIK983009:KIK983080 KSG983009:KSG983080 LCC983009:LCC983080 LLY983009:LLY983080 LVU983009:LVU983080 MFQ983009:MFQ983080 MPM983009:MPM983080 MZI983009:MZI983080 NJE983009:NJE983080 NTA983009:NTA983080 OCW983009:OCW983080 OMS983009:OMS983080 OWO983009:OWO983080 PGK983009:PGK983080 PQG983009:PQG983080 QAC983009:QAC983080 QJY983009:QJY983080 QTU983009:QTU983080 RDQ983009:RDQ983080 RNM983009:RNM983080 RXI983009:RXI983080 SHE983009:SHE983080 SRA983009:SRA983080 TAW983009:TAW983080 TKS983009:TKS983080 TUO983009:TUO983080 UEK983009:UEK983080 UOG983009:UOG983080 UYC983009:UYC983080 VHY983009:VHY983080 VRU983009:VRU983080 WBQ983009:WBQ983080 WLM983009:WLM983080 SS2:SS54 ACO2:ACO54 AMK2:AMK54 AWG2:AWG54 BGC2:BGC54 BPY2:BPY54 BZU2:BZU54 CJQ2:CJQ54 CTM2:CTM54 DDI2:DDI54 DNE2:DNE54 DXA2:DXA54 EGW2:EGW54 EQS2:EQS54 FAO2:FAO54 FKK2:FKK54 FUG2:FUG54 GEC2:GEC54 GNY2:GNY54 GXU2:GXU54 HHQ2:HHQ54 HRM2:HRM54 IBI2:IBI54 ILE2:ILE54 IVA2:IVA54 JEW2:JEW54 JOS2:JOS54 JYO2:JYO54 KIK2:KIK54 KSG2:KSG54 LCC2:LCC54 LLY2:LLY54 LVU2:LVU54 MFQ2:MFQ54 MPM2:MPM54 MZI2:MZI54 NJE2:NJE54 NTA2:NTA54 OCW2:OCW54 OMS2:OMS54 OWO2:OWO54 PGK2:PGK54 PQG2:PQG54 QAC2:QAC54 QJY2:QJY54 QTU2:QTU54 RDQ2:RDQ54 RNM2:RNM54 RXI2:RXI54 SHE2:SHE54 SRA2:SRA54 TAW2:TAW54 TKS2:TKS54 TUO2:TUO54 UEK2:UEK54 UOG2:UOG54 UYC2:UYC54 VHY2:VHY54 VRU2:VRU54 WBQ2:WBQ54 WLM2:WLM54 WVI2:WVI54 IW2:IW54 A2:A467" xr:uid="{584888BF-0D35-4AD5-B8F4-41DF05F78C92}">
      <formula1>$AE$2:$AE$19</formula1>
    </dataValidation>
    <dataValidation type="list" allowBlank="1" showInputMessage="1" showErrorMessage="1" sqref="X64330:X64395 JT64330:JT64395 TP64330:TP64395 ADL64330:ADL64395 ANH64330:ANH64395 AXD64330:AXD64395 BGZ64330:BGZ64395 BQV64330:BQV64395 CAR64330:CAR64395 CKN64330:CKN64395 CUJ64330:CUJ64395 DEF64330:DEF64395 DOB64330:DOB64395 DXX64330:DXX64395 EHT64330:EHT64395 ERP64330:ERP64395 FBL64330:FBL64395 FLH64330:FLH64395 FVD64330:FVD64395 GEZ64330:GEZ64395 GOV64330:GOV64395 GYR64330:GYR64395 HIN64330:HIN64395 HSJ64330:HSJ64395 ICF64330:ICF64395 IMB64330:IMB64395 IVX64330:IVX64395 JFT64330:JFT64395 JPP64330:JPP64395 JZL64330:JZL64395 KJH64330:KJH64395 KTD64330:KTD64395 LCZ64330:LCZ64395 LMV64330:LMV64395 LWR64330:LWR64395 MGN64330:MGN64395 MQJ64330:MQJ64395 NAF64330:NAF64395 NKB64330:NKB64395 NTX64330:NTX64395 ODT64330:ODT64395 ONP64330:ONP64395 OXL64330:OXL64395 PHH64330:PHH64395 PRD64330:PRD64395 QAZ64330:QAZ64395 QKV64330:QKV64395 QUR64330:QUR64395 REN64330:REN64395 ROJ64330:ROJ64395 RYF64330:RYF64395 SIB64330:SIB64395 SRX64330:SRX64395 TBT64330:TBT64395 TLP64330:TLP64395 TVL64330:TVL64395 UFH64330:UFH64395 UPD64330:UPD64395 UYZ64330:UYZ64395 VIV64330:VIV64395 VSR64330:VSR64395 WCN64330:WCN64395 WMJ64330:WMJ64395 WWF64330:WWF64395 X129866:X129931 JT129866:JT129931 TP129866:TP129931 ADL129866:ADL129931 ANH129866:ANH129931 AXD129866:AXD129931 BGZ129866:BGZ129931 BQV129866:BQV129931 CAR129866:CAR129931 CKN129866:CKN129931 CUJ129866:CUJ129931 DEF129866:DEF129931 DOB129866:DOB129931 DXX129866:DXX129931 EHT129866:EHT129931 ERP129866:ERP129931 FBL129866:FBL129931 FLH129866:FLH129931 FVD129866:FVD129931 GEZ129866:GEZ129931 GOV129866:GOV129931 GYR129866:GYR129931 HIN129866:HIN129931 HSJ129866:HSJ129931 ICF129866:ICF129931 IMB129866:IMB129931 IVX129866:IVX129931 JFT129866:JFT129931 JPP129866:JPP129931 JZL129866:JZL129931 KJH129866:KJH129931 KTD129866:KTD129931 LCZ129866:LCZ129931 LMV129866:LMV129931 LWR129866:LWR129931 MGN129866:MGN129931 MQJ129866:MQJ129931 NAF129866:NAF129931 NKB129866:NKB129931 NTX129866:NTX129931 ODT129866:ODT129931 ONP129866:ONP129931 OXL129866:OXL129931 PHH129866:PHH129931 PRD129866:PRD129931 QAZ129866:QAZ129931 QKV129866:QKV129931 QUR129866:QUR129931 REN129866:REN129931 ROJ129866:ROJ129931 RYF129866:RYF129931 SIB129866:SIB129931 SRX129866:SRX129931 TBT129866:TBT129931 TLP129866:TLP129931 TVL129866:TVL129931 UFH129866:UFH129931 UPD129866:UPD129931 UYZ129866:UYZ129931 VIV129866:VIV129931 VSR129866:VSR129931 WCN129866:WCN129931 WMJ129866:WMJ129931 WWF129866:WWF129931 X195402:X195467 JT195402:JT195467 TP195402:TP195467 ADL195402:ADL195467 ANH195402:ANH195467 AXD195402:AXD195467 BGZ195402:BGZ195467 BQV195402:BQV195467 CAR195402:CAR195467 CKN195402:CKN195467 CUJ195402:CUJ195467 DEF195402:DEF195467 DOB195402:DOB195467 DXX195402:DXX195467 EHT195402:EHT195467 ERP195402:ERP195467 FBL195402:FBL195467 FLH195402:FLH195467 FVD195402:FVD195467 GEZ195402:GEZ195467 GOV195402:GOV195467 GYR195402:GYR195467 HIN195402:HIN195467 HSJ195402:HSJ195467 ICF195402:ICF195467 IMB195402:IMB195467 IVX195402:IVX195467 JFT195402:JFT195467 JPP195402:JPP195467 JZL195402:JZL195467 KJH195402:KJH195467 KTD195402:KTD195467 LCZ195402:LCZ195467 LMV195402:LMV195467 LWR195402:LWR195467 MGN195402:MGN195467 MQJ195402:MQJ195467 NAF195402:NAF195467 NKB195402:NKB195467 NTX195402:NTX195467 ODT195402:ODT195467 ONP195402:ONP195467 OXL195402:OXL195467 PHH195402:PHH195467 PRD195402:PRD195467 QAZ195402:QAZ195467 QKV195402:QKV195467 QUR195402:QUR195467 REN195402:REN195467 ROJ195402:ROJ195467 RYF195402:RYF195467 SIB195402:SIB195467 SRX195402:SRX195467 TBT195402:TBT195467 TLP195402:TLP195467 TVL195402:TVL195467 UFH195402:UFH195467 UPD195402:UPD195467 UYZ195402:UYZ195467 VIV195402:VIV195467 VSR195402:VSR195467 WCN195402:WCN195467 WMJ195402:WMJ195467 WWF195402:WWF195467 X260938:X261003 JT260938:JT261003 TP260938:TP261003 ADL260938:ADL261003 ANH260938:ANH261003 AXD260938:AXD261003 BGZ260938:BGZ261003 BQV260938:BQV261003 CAR260938:CAR261003 CKN260938:CKN261003 CUJ260938:CUJ261003 DEF260938:DEF261003 DOB260938:DOB261003 DXX260938:DXX261003 EHT260938:EHT261003 ERP260938:ERP261003 FBL260938:FBL261003 FLH260938:FLH261003 FVD260938:FVD261003 GEZ260938:GEZ261003 GOV260938:GOV261003 GYR260938:GYR261003 HIN260938:HIN261003 HSJ260938:HSJ261003 ICF260938:ICF261003 IMB260938:IMB261003 IVX260938:IVX261003 JFT260938:JFT261003 JPP260938:JPP261003 JZL260938:JZL261003 KJH260938:KJH261003 KTD260938:KTD261003 LCZ260938:LCZ261003 LMV260938:LMV261003 LWR260938:LWR261003 MGN260938:MGN261003 MQJ260938:MQJ261003 NAF260938:NAF261003 NKB260938:NKB261003 NTX260938:NTX261003 ODT260938:ODT261003 ONP260938:ONP261003 OXL260938:OXL261003 PHH260938:PHH261003 PRD260938:PRD261003 QAZ260938:QAZ261003 QKV260938:QKV261003 QUR260938:QUR261003 REN260938:REN261003 ROJ260938:ROJ261003 RYF260938:RYF261003 SIB260938:SIB261003 SRX260938:SRX261003 TBT260938:TBT261003 TLP260938:TLP261003 TVL260938:TVL261003 UFH260938:UFH261003 UPD260938:UPD261003 UYZ260938:UYZ261003 VIV260938:VIV261003 VSR260938:VSR261003 WCN260938:WCN261003 WMJ260938:WMJ261003 WWF260938:WWF261003 X326474:X326539 JT326474:JT326539 TP326474:TP326539 ADL326474:ADL326539 ANH326474:ANH326539 AXD326474:AXD326539 BGZ326474:BGZ326539 BQV326474:BQV326539 CAR326474:CAR326539 CKN326474:CKN326539 CUJ326474:CUJ326539 DEF326474:DEF326539 DOB326474:DOB326539 DXX326474:DXX326539 EHT326474:EHT326539 ERP326474:ERP326539 FBL326474:FBL326539 FLH326474:FLH326539 FVD326474:FVD326539 GEZ326474:GEZ326539 GOV326474:GOV326539 GYR326474:GYR326539 HIN326474:HIN326539 HSJ326474:HSJ326539 ICF326474:ICF326539 IMB326474:IMB326539 IVX326474:IVX326539 JFT326474:JFT326539 JPP326474:JPP326539 JZL326474:JZL326539 KJH326474:KJH326539 KTD326474:KTD326539 LCZ326474:LCZ326539 LMV326474:LMV326539 LWR326474:LWR326539 MGN326474:MGN326539 MQJ326474:MQJ326539 NAF326474:NAF326539 NKB326474:NKB326539 NTX326474:NTX326539 ODT326474:ODT326539 ONP326474:ONP326539 OXL326474:OXL326539 PHH326474:PHH326539 PRD326474:PRD326539 QAZ326474:QAZ326539 QKV326474:QKV326539 QUR326474:QUR326539 REN326474:REN326539 ROJ326474:ROJ326539 RYF326474:RYF326539 SIB326474:SIB326539 SRX326474:SRX326539 TBT326474:TBT326539 TLP326474:TLP326539 TVL326474:TVL326539 UFH326474:UFH326539 UPD326474:UPD326539 UYZ326474:UYZ326539 VIV326474:VIV326539 VSR326474:VSR326539 WCN326474:WCN326539 WMJ326474:WMJ326539 WWF326474:WWF326539 X392010:X392075 JT392010:JT392075 TP392010:TP392075 ADL392010:ADL392075 ANH392010:ANH392075 AXD392010:AXD392075 BGZ392010:BGZ392075 BQV392010:BQV392075 CAR392010:CAR392075 CKN392010:CKN392075 CUJ392010:CUJ392075 DEF392010:DEF392075 DOB392010:DOB392075 DXX392010:DXX392075 EHT392010:EHT392075 ERP392010:ERP392075 FBL392010:FBL392075 FLH392010:FLH392075 FVD392010:FVD392075 GEZ392010:GEZ392075 GOV392010:GOV392075 GYR392010:GYR392075 HIN392010:HIN392075 HSJ392010:HSJ392075 ICF392010:ICF392075 IMB392010:IMB392075 IVX392010:IVX392075 JFT392010:JFT392075 JPP392010:JPP392075 JZL392010:JZL392075 KJH392010:KJH392075 KTD392010:KTD392075 LCZ392010:LCZ392075 LMV392010:LMV392075 LWR392010:LWR392075 MGN392010:MGN392075 MQJ392010:MQJ392075 NAF392010:NAF392075 NKB392010:NKB392075 NTX392010:NTX392075 ODT392010:ODT392075 ONP392010:ONP392075 OXL392010:OXL392075 PHH392010:PHH392075 PRD392010:PRD392075 QAZ392010:QAZ392075 QKV392010:QKV392075 QUR392010:QUR392075 REN392010:REN392075 ROJ392010:ROJ392075 RYF392010:RYF392075 SIB392010:SIB392075 SRX392010:SRX392075 TBT392010:TBT392075 TLP392010:TLP392075 TVL392010:TVL392075 UFH392010:UFH392075 UPD392010:UPD392075 UYZ392010:UYZ392075 VIV392010:VIV392075 VSR392010:VSR392075 WCN392010:WCN392075 WMJ392010:WMJ392075 WWF392010:WWF392075 X457546:X457611 JT457546:JT457611 TP457546:TP457611 ADL457546:ADL457611 ANH457546:ANH457611 AXD457546:AXD457611 BGZ457546:BGZ457611 BQV457546:BQV457611 CAR457546:CAR457611 CKN457546:CKN457611 CUJ457546:CUJ457611 DEF457546:DEF457611 DOB457546:DOB457611 DXX457546:DXX457611 EHT457546:EHT457611 ERP457546:ERP457611 FBL457546:FBL457611 FLH457546:FLH457611 FVD457546:FVD457611 GEZ457546:GEZ457611 GOV457546:GOV457611 GYR457546:GYR457611 HIN457546:HIN457611 HSJ457546:HSJ457611 ICF457546:ICF457611 IMB457546:IMB457611 IVX457546:IVX457611 JFT457546:JFT457611 JPP457546:JPP457611 JZL457546:JZL457611 KJH457546:KJH457611 KTD457546:KTD457611 LCZ457546:LCZ457611 LMV457546:LMV457611 LWR457546:LWR457611 MGN457546:MGN457611 MQJ457546:MQJ457611 NAF457546:NAF457611 NKB457546:NKB457611 NTX457546:NTX457611 ODT457546:ODT457611 ONP457546:ONP457611 OXL457546:OXL457611 PHH457546:PHH457611 PRD457546:PRD457611 QAZ457546:QAZ457611 QKV457546:QKV457611 QUR457546:QUR457611 REN457546:REN457611 ROJ457546:ROJ457611 RYF457546:RYF457611 SIB457546:SIB457611 SRX457546:SRX457611 TBT457546:TBT457611 TLP457546:TLP457611 TVL457546:TVL457611 UFH457546:UFH457611 UPD457546:UPD457611 UYZ457546:UYZ457611 VIV457546:VIV457611 VSR457546:VSR457611 WCN457546:WCN457611 WMJ457546:WMJ457611 WWF457546:WWF457611 X523082:X523147 JT523082:JT523147 TP523082:TP523147 ADL523082:ADL523147 ANH523082:ANH523147 AXD523082:AXD523147 BGZ523082:BGZ523147 BQV523082:BQV523147 CAR523082:CAR523147 CKN523082:CKN523147 CUJ523082:CUJ523147 DEF523082:DEF523147 DOB523082:DOB523147 DXX523082:DXX523147 EHT523082:EHT523147 ERP523082:ERP523147 FBL523082:FBL523147 FLH523082:FLH523147 FVD523082:FVD523147 GEZ523082:GEZ523147 GOV523082:GOV523147 GYR523082:GYR523147 HIN523082:HIN523147 HSJ523082:HSJ523147 ICF523082:ICF523147 IMB523082:IMB523147 IVX523082:IVX523147 JFT523082:JFT523147 JPP523082:JPP523147 JZL523082:JZL523147 KJH523082:KJH523147 KTD523082:KTD523147 LCZ523082:LCZ523147 LMV523082:LMV523147 LWR523082:LWR523147 MGN523082:MGN523147 MQJ523082:MQJ523147 NAF523082:NAF523147 NKB523082:NKB523147 NTX523082:NTX523147 ODT523082:ODT523147 ONP523082:ONP523147 OXL523082:OXL523147 PHH523082:PHH523147 PRD523082:PRD523147 QAZ523082:QAZ523147 QKV523082:QKV523147 QUR523082:QUR523147 REN523082:REN523147 ROJ523082:ROJ523147 RYF523082:RYF523147 SIB523082:SIB523147 SRX523082:SRX523147 TBT523082:TBT523147 TLP523082:TLP523147 TVL523082:TVL523147 UFH523082:UFH523147 UPD523082:UPD523147 UYZ523082:UYZ523147 VIV523082:VIV523147 VSR523082:VSR523147 WCN523082:WCN523147 WMJ523082:WMJ523147 WWF523082:WWF523147 X588618:X588683 JT588618:JT588683 TP588618:TP588683 ADL588618:ADL588683 ANH588618:ANH588683 AXD588618:AXD588683 BGZ588618:BGZ588683 BQV588618:BQV588683 CAR588618:CAR588683 CKN588618:CKN588683 CUJ588618:CUJ588683 DEF588618:DEF588683 DOB588618:DOB588683 DXX588618:DXX588683 EHT588618:EHT588683 ERP588618:ERP588683 FBL588618:FBL588683 FLH588618:FLH588683 FVD588618:FVD588683 GEZ588618:GEZ588683 GOV588618:GOV588683 GYR588618:GYR588683 HIN588618:HIN588683 HSJ588618:HSJ588683 ICF588618:ICF588683 IMB588618:IMB588683 IVX588618:IVX588683 JFT588618:JFT588683 JPP588618:JPP588683 JZL588618:JZL588683 KJH588618:KJH588683 KTD588618:KTD588683 LCZ588618:LCZ588683 LMV588618:LMV588683 LWR588618:LWR588683 MGN588618:MGN588683 MQJ588618:MQJ588683 NAF588618:NAF588683 NKB588618:NKB588683 NTX588618:NTX588683 ODT588618:ODT588683 ONP588618:ONP588683 OXL588618:OXL588683 PHH588618:PHH588683 PRD588618:PRD588683 QAZ588618:QAZ588683 QKV588618:QKV588683 QUR588618:QUR588683 REN588618:REN588683 ROJ588618:ROJ588683 RYF588618:RYF588683 SIB588618:SIB588683 SRX588618:SRX588683 TBT588618:TBT588683 TLP588618:TLP588683 TVL588618:TVL588683 UFH588618:UFH588683 UPD588618:UPD588683 UYZ588618:UYZ588683 VIV588618:VIV588683 VSR588618:VSR588683 WCN588618:WCN588683 WMJ588618:WMJ588683 WWF588618:WWF588683 X654154:X654219 JT654154:JT654219 TP654154:TP654219 ADL654154:ADL654219 ANH654154:ANH654219 AXD654154:AXD654219 BGZ654154:BGZ654219 BQV654154:BQV654219 CAR654154:CAR654219 CKN654154:CKN654219 CUJ654154:CUJ654219 DEF654154:DEF654219 DOB654154:DOB654219 DXX654154:DXX654219 EHT654154:EHT654219 ERP654154:ERP654219 FBL654154:FBL654219 FLH654154:FLH654219 FVD654154:FVD654219 GEZ654154:GEZ654219 GOV654154:GOV654219 GYR654154:GYR654219 HIN654154:HIN654219 HSJ654154:HSJ654219 ICF654154:ICF654219 IMB654154:IMB654219 IVX654154:IVX654219 JFT654154:JFT654219 JPP654154:JPP654219 JZL654154:JZL654219 KJH654154:KJH654219 KTD654154:KTD654219 LCZ654154:LCZ654219 LMV654154:LMV654219 LWR654154:LWR654219 MGN654154:MGN654219 MQJ654154:MQJ654219 NAF654154:NAF654219 NKB654154:NKB654219 NTX654154:NTX654219 ODT654154:ODT654219 ONP654154:ONP654219 OXL654154:OXL654219 PHH654154:PHH654219 PRD654154:PRD654219 QAZ654154:QAZ654219 QKV654154:QKV654219 QUR654154:QUR654219 REN654154:REN654219 ROJ654154:ROJ654219 RYF654154:RYF654219 SIB654154:SIB654219 SRX654154:SRX654219 TBT654154:TBT654219 TLP654154:TLP654219 TVL654154:TVL654219 UFH654154:UFH654219 UPD654154:UPD654219 UYZ654154:UYZ654219 VIV654154:VIV654219 VSR654154:VSR654219 WCN654154:WCN654219 WMJ654154:WMJ654219 WWF654154:WWF654219 X719690:X719755 JT719690:JT719755 TP719690:TP719755 ADL719690:ADL719755 ANH719690:ANH719755 AXD719690:AXD719755 BGZ719690:BGZ719755 BQV719690:BQV719755 CAR719690:CAR719755 CKN719690:CKN719755 CUJ719690:CUJ719755 DEF719690:DEF719755 DOB719690:DOB719755 DXX719690:DXX719755 EHT719690:EHT719755 ERP719690:ERP719755 FBL719690:FBL719755 FLH719690:FLH719755 FVD719690:FVD719755 GEZ719690:GEZ719755 GOV719690:GOV719755 GYR719690:GYR719755 HIN719690:HIN719755 HSJ719690:HSJ719755 ICF719690:ICF719755 IMB719690:IMB719755 IVX719690:IVX719755 JFT719690:JFT719755 JPP719690:JPP719755 JZL719690:JZL719755 KJH719690:KJH719755 KTD719690:KTD719755 LCZ719690:LCZ719755 LMV719690:LMV719755 LWR719690:LWR719755 MGN719690:MGN719755 MQJ719690:MQJ719755 NAF719690:NAF719755 NKB719690:NKB719755 NTX719690:NTX719755 ODT719690:ODT719755 ONP719690:ONP719755 OXL719690:OXL719755 PHH719690:PHH719755 PRD719690:PRD719755 QAZ719690:QAZ719755 QKV719690:QKV719755 QUR719690:QUR719755 REN719690:REN719755 ROJ719690:ROJ719755 RYF719690:RYF719755 SIB719690:SIB719755 SRX719690:SRX719755 TBT719690:TBT719755 TLP719690:TLP719755 TVL719690:TVL719755 UFH719690:UFH719755 UPD719690:UPD719755 UYZ719690:UYZ719755 VIV719690:VIV719755 VSR719690:VSR719755 WCN719690:WCN719755 WMJ719690:WMJ719755 WWF719690:WWF719755 X785226:X785291 JT785226:JT785291 TP785226:TP785291 ADL785226:ADL785291 ANH785226:ANH785291 AXD785226:AXD785291 BGZ785226:BGZ785291 BQV785226:BQV785291 CAR785226:CAR785291 CKN785226:CKN785291 CUJ785226:CUJ785291 DEF785226:DEF785291 DOB785226:DOB785291 DXX785226:DXX785291 EHT785226:EHT785291 ERP785226:ERP785291 FBL785226:FBL785291 FLH785226:FLH785291 FVD785226:FVD785291 GEZ785226:GEZ785291 GOV785226:GOV785291 GYR785226:GYR785291 HIN785226:HIN785291 HSJ785226:HSJ785291 ICF785226:ICF785291 IMB785226:IMB785291 IVX785226:IVX785291 JFT785226:JFT785291 JPP785226:JPP785291 JZL785226:JZL785291 KJH785226:KJH785291 KTD785226:KTD785291 LCZ785226:LCZ785291 LMV785226:LMV785291 LWR785226:LWR785291 MGN785226:MGN785291 MQJ785226:MQJ785291 NAF785226:NAF785291 NKB785226:NKB785291 NTX785226:NTX785291 ODT785226:ODT785291 ONP785226:ONP785291 OXL785226:OXL785291 PHH785226:PHH785291 PRD785226:PRD785291 QAZ785226:QAZ785291 QKV785226:QKV785291 QUR785226:QUR785291 REN785226:REN785291 ROJ785226:ROJ785291 RYF785226:RYF785291 SIB785226:SIB785291 SRX785226:SRX785291 TBT785226:TBT785291 TLP785226:TLP785291 TVL785226:TVL785291 UFH785226:UFH785291 UPD785226:UPD785291 UYZ785226:UYZ785291 VIV785226:VIV785291 VSR785226:VSR785291 WCN785226:WCN785291 WMJ785226:WMJ785291 WWF785226:WWF785291 X850762:X850827 JT850762:JT850827 TP850762:TP850827 ADL850762:ADL850827 ANH850762:ANH850827 AXD850762:AXD850827 BGZ850762:BGZ850827 BQV850762:BQV850827 CAR850762:CAR850827 CKN850762:CKN850827 CUJ850762:CUJ850827 DEF850762:DEF850827 DOB850762:DOB850827 DXX850762:DXX850827 EHT850762:EHT850827 ERP850762:ERP850827 FBL850762:FBL850827 FLH850762:FLH850827 FVD850762:FVD850827 GEZ850762:GEZ850827 GOV850762:GOV850827 GYR850762:GYR850827 HIN850762:HIN850827 HSJ850762:HSJ850827 ICF850762:ICF850827 IMB850762:IMB850827 IVX850762:IVX850827 JFT850762:JFT850827 JPP850762:JPP850827 JZL850762:JZL850827 KJH850762:KJH850827 KTD850762:KTD850827 LCZ850762:LCZ850827 LMV850762:LMV850827 LWR850762:LWR850827 MGN850762:MGN850827 MQJ850762:MQJ850827 NAF850762:NAF850827 NKB850762:NKB850827 NTX850762:NTX850827 ODT850762:ODT850827 ONP850762:ONP850827 OXL850762:OXL850827 PHH850762:PHH850827 PRD850762:PRD850827 QAZ850762:QAZ850827 QKV850762:QKV850827 QUR850762:QUR850827 REN850762:REN850827 ROJ850762:ROJ850827 RYF850762:RYF850827 SIB850762:SIB850827 SRX850762:SRX850827 TBT850762:TBT850827 TLP850762:TLP850827 TVL850762:TVL850827 UFH850762:UFH850827 UPD850762:UPD850827 UYZ850762:UYZ850827 VIV850762:VIV850827 VSR850762:VSR850827 WCN850762:WCN850827 WMJ850762:WMJ850827 WWF850762:WWF850827 X916298:X916363 JT916298:JT916363 TP916298:TP916363 ADL916298:ADL916363 ANH916298:ANH916363 AXD916298:AXD916363 BGZ916298:BGZ916363 BQV916298:BQV916363 CAR916298:CAR916363 CKN916298:CKN916363 CUJ916298:CUJ916363 DEF916298:DEF916363 DOB916298:DOB916363 DXX916298:DXX916363 EHT916298:EHT916363 ERP916298:ERP916363 FBL916298:FBL916363 FLH916298:FLH916363 FVD916298:FVD916363 GEZ916298:GEZ916363 GOV916298:GOV916363 GYR916298:GYR916363 HIN916298:HIN916363 HSJ916298:HSJ916363 ICF916298:ICF916363 IMB916298:IMB916363 IVX916298:IVX916363 JFT916298:JFT916363 JPP916298:JPP916363 JZL916298:JZL916363 KJH916298:KJH916363 KTD916298:KTD916363 LCZ916298:LCZ916363 LMV916298:LMV916363 LWR916298:LWR916363 MGN916298:MGN916363 MQJ916298:MQJ916363 NAF916298:NAF916363 NKB916298:NKB916363 NTX916298:NTX916363 ODT916298:ODT916363 ONP916298:ONP916363 OXL916298:OXL916363 PHH916298:PHH916363 PRD916298:PRD916363 QAZ916298:QAZ916363 QKV916298:QKV916363 QUR916298:QUR916363 REN916298:REN916363 ROJ916298:ROJ916363 RYF916298:RYF916363 SIB916298:SIB916363 SRX916298:SRX916363 TBT916298:TBT916363 TLP916298:TLP916363 TVL916298:TVL916363 UFH916298:UFH916363 UPD916298:UPD916363 UYZ916298:UYZ916363 VIV916298:VIV916363 VSR916298:VSR916363 WCN916298:WCN916363 WMJ916298:WMJ916363 WWF916298:WWF916363 X981834:X981899 JT981834:JT981899 TP981834:TP981899 ADL981834:ADL981899 ANH981834:ANH981899 AXD981834:AXD981899 BGZ981834:BGZ981899 BQV981834:BQV981899 CAR981834:CAR981899 CKN981834:CKN981899 CUJ981834:CUJ981899 DEF981834:DEF981899 DOB981834:DOB981899 DXX981834:DXX981899 EHT981834:EHT981899 ERP981834:ERP981899 FBL981834:FBL981899 FLH981834:FLH981899 FVD981834:FVD981899 GEZ981834:GEZ981899 GOV981834:GOV981899 GYR981834:GYR981899 HIN981834:HIN981899 HSJ981834:HSJ981899 ICF981834:ICF981899 IMB981834:IMB981899 IVX981834:IVX981899 JFT981834:JFT981899 JPP981834:JPP981899 JZL981834:JZL981899 KJH981834:KJH981899 KTD981834:KTD981899 LCZ981834:LCZ981899 LMV981834:LMV981899 LWR981834:LWR981899 MGN981834:MGN981899 MQJ981834:MQJ981899 NAF981834:NAF981899 NKB981834:NKB981899 NTX981834:NTX981899 ODT981834:ODT981899 ONP981834:ONP981899 OXL981834:OXL981899 PHH981834:PHH981899 PRD981834:PRD981899 QAZ981834:QAZ981899 QKV981834:QKV981899 QUR981834:QUR981899 REN981834:REN981899 ROJ981834:ROJ981899 RYF981834:RYF981899 SIB981834:SIB981899 SRX981834:SRX981899 TBT981834:TBT981899 TLP981834:TLP981899 TVL981834:TVL981899 UFH981834:UFH981899 UPD981834:UPD981899 UYZ981834:UYZ981899 VIV981834:VIV981899 VSR981834:VSR981899 WCN981834:WCN981899 WMJ981834:WMJ981899 WWF981834:WWF981899 X1047370:X1047435 JT1047370:JT1047435 TP1047370:TP1047435 ADL1047370:ADL1047435 ANH1047370:ANH1047435 AXD1047370:AXD1047435 BGZ1047370:BGZ1047435 BQV1047370:BQV1047435 CAR1047370:CAR1047435 CKN1047370:CKN1047435 CUJ1047370:CUJ1047435 DEF1047370:DEF1047435 DOB1047370:DOB1047435 DXX1047370:DXX1047435 EHT1047370:EHT1047435 ERP1047370:ERP1047435 FBL1047370:FBL1047435 FLH1047370:FLH1047435 FVD1047370:FVD1047435 GEZ1047370:GEZ1047435 GOV1047370:GOV1047435 GYR1047370:GYR1047435 HIN1047370:HIN1047435 HSJ1047370:HSJ1047435 ICF1047370:ICF1047435 IMB1047370:IMB1047435 IVX1047370:IVX1047435 JFT1047370:JFT1047435 JPP1047370:JPP1047435 JZL1047370:JZL1047435 KJH1047370:KJH1047435 KTD1047370:KTD1047435 LCZ1047370:LCZ1047435 LMV1047370:LMV1047435 LWR1047370:LWR1047435 MGN1047370:MGN1047435 MQJ1047370:MQJ1047435 NAF1047370:NAF1047435 NKB1047370:NKB1047435 NTX1047370:NTX1047435 ODT1047370:ODT1047435 ONP1047370:ONP1047435 OXL1047370:OXL1047435 PHH1047370:PHH1047435 PRD1047370:PRD1047435 QAZ1047370:QAZ1047435 QKV1047370:QKV1047435 QUR1047370:QUR1047435 REN1047370:REN1047435 ROJ1047370:ROJ1047435 RYF1047370:RYF1047435 SIB1047370:SIB1047435 SRX1047370:SRX1047435 TBT1047370:TBT1047435 TLP1047370:TLP1047435 TVL1047370:TVL1047435 UFH1047370:UFH1047435 UPD1047370:UPD1047435 UYZ1047370:UYZ1047435 VIV1047370:VIV1047435 VSR1047370:VSR1047435 WCN1047370:WCN1047435 WMJ1047370:WMJ1047435 WWF1047370:WWF1047435 WWF983009:WWF983074 X65505:X65570 JT65505:JT65570 TP65505:TP65570 ADL65505:ADL65570 ANH65505:ANH65570 AXD65505:AXD65570 BGZ65505:BGZ65570 BQV65505:BQV65570 CAR65505:CAR65570 CKN65505:CKN65570 CUJ65505:CUJ65570 DEF65505:DEF65570 DOB65505:DOB65570 DXX65505:DXX65570 EHT65505:EHT65570 ERP65505:ERP65570 FBL65505:FBL65570 FLH65505:FLH65570 FVD65505:FVD65570 GEZ65505:GEZ65570 GOV65505:GOV65570 GYR65505:GYR65570 HIN65505:HIN65570 HSJ65505:HSJ65570 ICF65505:ICF65570 IMB65505:IMB65570 IVX65505:IVX65570 JFT65505:JFT65570 JPP65505:JPP65570 JZL65505:JZL65570 KJH65505:KJH65570 KTD65505:KTD65570 LCZ65505:LCZ65570 LMV65505:LMV65570 LWR65505:LWR65570 MGN65505:MGN65570 MQJ65505:MQJ65570 NAF65505:NAF65570 NKB65505:NKB65570 NTX65505:NTX65570 ODT65505:ODT65570 ONP65505:ONP65570 OXL65505:OXL65570 PHH65505:PHH65570 PRD65505:PRD65570 QAZ65505:QAZ65570 QKV65505:QKV65570 QUR65505:QUR65570 REN65505:REN65570 ROJ65505:ROJ65570 RYF65505:RYF65570 SIB65505:SIB65570 SRX65505:SRX65570 TBT65505:TBT65570 TLP65505:TLP65570 TVL65505:TVL65570 UFH65505:UFH65570 UPD65505:UPD65570 UYZ65505:UYZ65570 VIV65505:VIV65570 VSR65505:VSR65570 WCN65505:WCN65570 WMJ65505:WMJ65570 WWF65505:WWF65570 X131041:X131106 JT131041:JT131106 TP131041:TP131106 ADL131041:ADL131106 ANH131041:ANH131106 AXD131041:AXD131106 BGZ131041:BGZ131106 BQV131041:BQV131106 CAR131041:CAR131106 CKN131041:CKN131106 CUJ131041:CUJ131106 DEF131041:DEF131106 DOB131041:DOB131106 DXX131041:DXX131106 EHT131041:EHT131106 ERP131041:ERP131106 FBL131041:FBL131106 FLH131041:FLH131106 FVD131041:FVD131106 GEZ131041:GEZ131106 GOV131041:GOV131106 GYR131041:GYR131106 HIN131041:HIN131106 HSJ131041:HSJ131106 ICF131041:ICF131106 IMB131041:IMB131106 IVX131041:IVX131106 JFT131041:JFT131106 JPP131041:JPP131106 JZL131041:JZL131106 KJH131041:KJH131106 KTD131041:KTD131106 LCZ131041:LCZ131106 LMV131041:LMV131106 LWR131041:LWR131106 MGN131041:MGN131106 MQJ131041:MQJ131106 NAF131041:NAF131106 NKB131041:NKB131106 NTX131041:NTX131106 ODT131041:ODT131106 ONP131041:ONP131106 OXL131041:OXL131106 PHH131041:PHH131106 PRD131041:PRD131106 QAZ131041:QAZ131106 QKV131041:QKV131106 QUR131041:QUR131106 REN131041:REN131106 ROJ131041:ROJ131106 RYF131041:RYF131106 SIB131041:SIB131106 SRX131041:SRX131106 TBT131041:TBT131106 TLP131041:TLP131106 TVL131041:TVL131106 UFH131041:UFH131106 UPD131041:UPD131106 UYZ131041:UYZ131106 VIV131041:VIV131106 VSR131041:VSR131106 WCN131041:WCN131106 WMJ131041:WMJ131106 WWF131041:WWF131106 X196577:X196642 JT196577:JT196642 TP196577:TP196642 ADL196577:ADL196642 ANH196577:ANH196642 AXD196577:AXD196642 BGZ196577:BGZ196642 BQV196577:BQV196642 CAR196577:CAR196642 CKN196577:CKN196642 CUJ196577:CUJ196642 DEF196577:DEF196642 DOB196577:DOB196642 DXX196577:DXX196642 EHT196577:EHT196642 ERP196577:ERP196642 FBL196577:FBL196642 FLH196577:FLH196642 FVD196577:FVD196642 GEZ196577:GEZ196642 GOV196577:GOV196642 GYR196577:GYR196642 HIN196577:HIN196642 HSJ196577:HSJ196642 ICF196577:ICF196642 IMB196577:IMB196642 IVX196577:IVX196642 JFT196577:JFT196642 JPP196577:JPP196642 JZL196577:JZL196642 KJH196577:KJH196642 KTD196577:KTD196642 LCZ196577:LCZ196642 LMV196577:LMV196642 LWR196577:LWR196642 MGN196577:MGN196642 MQJ196577:MQJ196642 NAF196577:NAF196642 NKB196577:NKB196642 NTX196577:NTX196642 ODT196577:ODT196642 ONP196577:ONP196642 OXL196577:OXL196642 PHH196577:PHH196642 PRD196577:PRD196642 QAZ196577:QAZ196642 QKV196577:QKV196642 QUR196577:QUR196642 REN196577:REN196642 ROJ196577:ROJ196642 RYF196577:RYF196642 SIB196577:SIB196642 SRX196577:SRX196642 TBT196577:TBT196642 TLP196577:TLP196642 TVL196577:TVL196642 UFH196577:UFH196642 UPD196577:UPD196642 UYZ196577:UYZ196642 VIV196577:VIV196642 VSR196577:VSR196642 WCN196577:WCN196642 WMJ196577:WMJ196642 WWF196577:WWF196642 X262113:X262178 JT262113:JT262178 TP262113:TP262178 ADL262113:ADL262178 ANH262113:ANH262178 AXD262113:AXD262178 BGZ262113:BGZ262178 BQV262113:BQV262178 CAR262113:CAR262178 CKN262113:CKN262178 CUJ262113:CUJ262178 DEF262113:DEF262178 DOB262113:DOB262178 DXX262113:DXX262178 EHT262113:EHT262178 ERP262113:ERP262178 FBL262113:FBL262178 FLH262113:FLH262178 FVD262113:FVD262178 GEZ262113:GEZ262178 GOV262113:GOV262178 GYR262113:GYR262178 HIN262113:HIN262178 HSJ262113:HSJ262178 ICF262113:ICF262178 IMB262113:IMB262178 IVX262113:IVX262178 JFT262113:JFT262178 JPP262113:JPP262178 JZL262113:JZL262178 KJH262113:KJH262178 KTD262113:KTD262178 LCZ262113:LCZ262178 LMV262113:LMV262178 LWR262113:LWR262178 MGN262113:MGN262178 MQJ262113:MQJ262178 NAF262113:NAF262178 NKB262113:NKB262178 NTX262113:NTX262178 ODT262113:ODT262178 ONP262113:ONP262178 OXL262113:OXL262178 PHH262113:PHH262178 PRD262113:PRD262178 QAZ262113:QAZ262178 QKV262113:QKV262178 QUR262113:QUR262178 REN262113:REN262178 ROJ262113:ROJ262178 RYF262113:RYF262178 SIB262113:SIB262178 SRX262113:SRX262178 TBT262113:TBT262178 TLP262113:TLP262178 TVL262113:TVL262178 UFH262113:UFH262178 UPD262113:UPD262178 UYZ262113:UYZ262178 VIV262113:VIV262178 VSR262113:VSR262178 WCN262113:WCN262178 WMJ262113:WMJ262178 WWF262113:WWF262178 X327649:X327714 JT327649:JT327714 TP327649:TP327714 ADL327649:ADL327714 ANH327649:ANH327714 AXD327649:AXD327714 BGZ327649:BGZ327714 BQV327649:BQV327714 CAR327649:CAR327714 CKN327649:CKN327714 CUJ327649:CUJ327714 DEF327649:DEF327714 DOB327649:DOB327714 DXX327649:DXX327714 EHT327649:EHT327714 ERP327649:ERP327714 FBL327649:FBL327714 FLH327649:FLH327714 FVD327649:FVD327714 GEZ327649:GEZ327714 GOV327649:GOV327714 GYR327649:GYR327714 HIN327649:HIN327714 HSJ327649:HSJ327714 ICF327649:ICF327714 IMB327649:IMB327714 IVX327649:IVX327714 JFT327649:JFT327714 JPP327649:JPP327714 JZL327649:JZL327714 KJH327649:KJH327714 KTD327649:KTD327714 LCZ327649:LCZ327714 LMV327649:LMV327714 LWR327649:LWR327714 MGN327649:MGN327714 MQJ327649:MQJ327714 NAF327649:NAF327714 NKB327649:NKB327714 NTX327649:NTX327714 ODT327649:ODT327714 ONP327649:ONP327714 OXL327649:OXL327714 PHH327649:PHH327714 PRD327649:PRD327714 QAZ327649:QAZ327714 QKV327649:QKV327714 QUR327649:QUR327714 REN327649:REN327714 ROJ327649:ROJ327714 RYF327649:RYF327714 SIB327649:SIB327714 SRX327649:SRX327714 TBT327649:TBT327714 TLP327649:TLP327714 TVL327649:TVL327714 UFH327649:UFH327714 UPD327649:UPD327714 UYZ327649:UYZ327714 VIV327649:VIV327714 VSR327649:VSR327714 WCN327649:WCN327714 WMJ327649:WMJ327714 WWF327649:WWF327714 X393185:X393250 JT393185:JT393250 TP393185:TP393250 ADL393185:ADL393250 ANH393185:ANH393250 AXD393185:AXD393250 BGZ393185:BGZ393250 BQV393185:BQV393250 CAR393185:CAR393250 CKN393185:CKN393250 CUJ393185:CUJ393250 DEF393185:DEF393250 DOB393185:DOB393250 DXX393185:DXX393250 EHT393185:EHT393250 ERP393185:ERP393250 FBL393185:FBL393250 FLH393185:FLH393250 FVD393185:FVD393250 GEZ393185:GEZ393250 GOV393185:GOV393250 GYR393185:GYR393250 HIN393185:HIN393250 HSJ393185:HSJ393250 ICF393185:ICF393250 IMB393185:IMB393250 IVX393185:IVX393250 JFT393185:JFT393250 JPP393185:JPP393250 JZL393185:JZL393250 KJH393185:KJH393250 KTD393185:KTD393250 LCZ393185:LCZ393250 LMV393185:LMV393250 LWR393185:LWR393250 MGN393185:MGN393250 MQJ393185:MQJ393250 NAF393185:NAF393250 NKB393185:NKB393250 NTX393185:NTX393250 ODT393185:ODT393250 ONP393185:ONP393250 OXL393185:OXL393250 PHH393185:PHH393250 PRD393185:PRD393250 QAZ393185:QAZ393250 QKV393185:QKV393250 QUR393185:QUR393250 REN393185:REN393250 ROJ393185:ROJ393250 RYF393185:RYF393250 SIB393185:SIB393250 SRX393185:SRX393250 TBT393185:TBT393250 TLP393185:TLP393250 TVL393185:TVL393250 UFH393185:UFH393250 UPD393185:UPD393250 UYZ393185:UYZ393250 VIV393185:VIV393250 VSR393185:VSR393250 WCN393185:WCN393250 WMJ393185:WMJ393250 WWF393185:WWF393250 X458721:X458786 JT458721:JT458786 TP458721:TP458786 ADL458721:ADL458786 ANH458721:ANH458786 AXD458721:AXD458786 BGZ458721:BGZ458786 BQV458721:BQV458786 CAR458721:CAR458786 CKN458721:CKN458786 CUJ458721:CUJ458786 DEF458721:DEF458786 DOB458721:DOB458786 DXX458721:DXX458786 EHT458721:EHT458786 ERP458721:ERP458786 FBL458721:FBL458786 FLH458721:FLH458786 FVD458721:FVD458786 GEZ458721:GEZ458786 GOV458721:GOV458786 GYR458721:GYR458786 HIN458721:HIN458786 HSJ458721:HSJ458786 ICF458721:ICF458786 IMB458721:IMB458786 IVX458721:IVX458786 JFT458721:JFT458786 JPP458721:JPP458786 JZL458721:JZL458786 KJH458721:KJH458786 KTD458721:KTD458786 LCZ458721:LCZ458786 LMV458721:LMV458786 LWR458721:LWR458786 MGN458721:MGN458786 MQJ458721:MQJ458786 NAF458721:NAF458786 NKB458721:NKB458786 NTX458721:NTX458786 ODT458721:ODT458786 ONP458721:ONP458786 OXL458721:OXL458786 PHH458721:PHH458786 PRD458721:PRD458786 QAZ458721:QAZ458786 QKV458721:QKV458786 QUR458721:QUR458786 REN458721:REN458786 ROJ458721:ROJ458786 RYF458721:RYF458786 SIB458721:SIB458786 SRX458721:SRX458786 TBT458721:TBT458786 TLP458721:TLP458786 TVL458721:TVL458786 UFH458721:UFH458786 UPD458721:UPD458786 UYZ458721:UYZ458786 VIV458721:VIV458786 VSR458721:VSR458786 WCN458721:WCN458786 WMJ458721:WMJ458786 WWF458721:WWF458786 X524257:X524322 JT524257:JT524322 TP524257:TP524322 ADL524257:ADL524322 ANH524257:ANH524322 AXD524257:AXD524322 BGZ524257:BGZ524322 BQV524257:BQV524322 CAR524257:CAR524322 CKN524257:CKN524322 CUJ524257:CUJ524322 DEF524257:DEF524322 DOB524257:DOB524322 DXX524257:DXX524322 EHT524257:EHT524322 ERP524257:ERP524322 FBL524257:FBL524322 FLH524257:FLH524322 FVD524257:FVD524322 GEZ524257:GEZ524322 GOV524257:GOV524322 GYR524257:GYR524322 HIN524257:HIN524322 HSJ524257:HSJ524322 ICF524257:ICF524322 IMB524257:IMB524322 IVX524257:IVX524322 JFT524257:JFT524322 JPP524257:JPP524322 JZL524257:JZL524322 KJH524257:KJH524322 KTD524257:KTD524322 LCZ524257:LCZ524322 LMV524257:LMV524322 LWR524257:LWR524322 MGN524257:MGN524322 MQJ524257:MQJ524322 NAF524257:NAF524322 NKB524257:NKB524322 NTX524257:NTX524322 ODT524257:ODT524322 ONP524257:ONP524322 OXL524257:OXL524322 PHH524257:PHH524322 PRD524257:PRD524322 QAZ524257:QAZ524322 QKV524257:QKV524322 QUR524257:QUR524322 REN524257:REN524322 ROJ524257:ROJ524322 RYF524257:RYF524322 SIB524257:SIB524322 SRX524257:SRX524322 TBT524257:TBT524322 TLP524257:TLP524322 TVL524257:TVL524322 UFH524257:UFH524322 UPD524257:UPD524322 UYZ524257:UYZ524322 VIV524257:VIV524322 VSR524257:VSR524322 WCN524257:WCN524322 WMJ524257:WMJ524322 WWF524257:WWF524322 X589793:X589858 JT589793:JT589858 TP589793:TP589858 ADL589793:ADL589858 ANH589793:ANH589858 AXD589793:AXD589858 BGZ589793:BGZ589858 BQV589793:BQV589858 CAR589793:CAR589858 CKN589793:CKN589858 CUJ589793:CUJ589858 DEF589793:DEF589858 DOB589793:DOB589858 DXX589793:DXX589858 EHT589793:EHT589858 ERP589793:ERP589858 FBL589793:FBL589858 FLH589793:FLH589858 FVD589793:FVD589858 GEZ589793:GEZ589858 GOV589793:GOV589858 GYR589793:GYR589858 HIN589793:HIN589858 HSJ589793:HSJ589858 ICF589793:ICF589858 IMB589793:IMB589858 IVX589793:IVX589858 JFT589793:JFT589858 JPP589793:JPP589858 JZL589793:JZL589858 KJH589793:KJH589858 KTD589793:KTD589858 LCZ589793:LCZ589858 LMV589793:LMV589858 LWR589793:LWR589858 MGN589793:MGN589858 MQJ589793:MQJ589858 NAF589793:NAF589858 NKB589793:NKB589858 NTX589793:NTX589858 ODT589793:ODT589858 ONP589793:ONP589858 OXL589793:OXL589858 PHH589793:PHH589858 PRD589793:PRD589858 QAZ589793:QAZ589858 QKV589793:QKV589858 QUR589793:QUR589858 REN589793:REN589858 ROJ589793:ROJ589858 RYF589793:RYF589858 SIB589793:SIB589858 SRX589793:SRX589858 TBT589793:TBT589858 TLP589793:TLP589858 TVL589793:TVL589858 UFH589793:UFH589858 UPD589793:UPD589858 UYZ589793:UYZ589858 VIV589793:VIV589858 VSR589793:VSR589858 WCN589793:WCN589858 WMJ589793:WMJ589858 WWF589793:WWF589858 X655329:X655394 JT655329:JT655394 TP655329:TP655394 ADL655329:ADL655394 ANH655329:ANH655394 AXD655329:AXD655394 BGZ655329:BGZ655394 BQV655329:BQV655394 CAR655329:CAR655394 CKN655329:CKN655394 CUJ655329:CUJ655394 DEF655329:DEF655394 DOB655329:DOB655394 DXX655329:DXX655394 EHT655329:EHT655394 ERP655329:ERP655394 FBL655329:FBL655394 FLH655329:FLH655394 FVD655329:FVD655394 GEZ655329:GEZ655394 GOV655329:GOV655394 GYR655329:GYR655394 HIN655329:HIN655394 HSJ655329:HSJ655394 ICF655329:ICF655394 IMB655329:IMB655394 IVX655329:IVX655394 JFT655329:JFT655394 JPP655329:JPP655394 JZL655329:JZL655394 KJH655329:KJH655394 KTD655329:KTD655394 LCZ655329:LCZ655394 LMV655329:LMV655394 LWR655329:LWR655394 MGN655329:MGN655394 MQJ655329:MQJ655394 NAF655329:NAF655394 NKB655329:NKB655394 NTX655329:NTX655394 ODT655329:ODT655394 ONP655329:ONP655394 OXL655329:OXL655394 PHH655329:PHH655394 PRD655329:PRD655394 QAZ655329:QAZ655394 QKV655329:QKV655394 QUR655329:QUR655394 REN655329:REN655394 ROJ655329:ROJ655394 RYF655329:RYF655394 SIB655329:SIB655394 SRX655329:SRX655394 TBT655329:TBT655394 TLP655329:TLP655394 TVL655329:TVL655394 UFH655329:UFH655394 UPD655329:UPD655394 UYZ655329:UYZ655394 VIV655329:VIV655394 VSR655329:VSR655394 WCN655329:WCN655394 WMJ655329:WMJ655394 WWF655329:WWF655394 X720865:X720930 JT720865:JT720930 TP720865:TP720930 ADL720865:ADL720930 ANH720865:ANH720930 AXD720865:AXD720930 BGZ720865:BGZ720930 BQV720865:BQV720930 CAR720865:CAR720930 CKN720865:CKN720930 CUJ720865:CUJ720930 DEF720865:DEF720930 DOB720865:DOB720930 DXX720865:DXX720930 EHT720865:EHT720930 ERP720865:ERP720930 FBL720865:FBL720930 FLH720865:FLH720930 FVD720865:FVD720930 GEZ720865:GEZ720930 GOV720865:GOV720930 GYR720865:GYR720930 HIN720865:HIN720930 HSJ720865:HSJ720930 ICF720865:ICF720930 IMB720865:IMB720930 IVX720865:IVX720930 JFT720865:JFT720930 JPP720865:JPP720930 JZL720865:JZL720930 KJH720865:KJH720930 KTD720865:KTD720930 LCZ720865:LCZ720930 LMV720865:LMV720930 LWR720865:LWR720930 MGN720865:MGN720930 MQJ720865:MQJ720930 NAF720865:NAF720930 NKB720865:NKB720930 NTX720865:NTX720930 ODT720865:ODT720930 ONP720865:ONP720930 OXL720865:OXL720930 PHH720865:PHH720930 PRD720865:PRD720930 QAZ720865:QAZ720930 QKV720865:QKV720930 QUR720865:QUR720930 REN720865:REN720930 ROJ720865:ROJ720930 RYF720865:RYF720930 SIB720865:SIB720930 SRX720865:SRX720930 TBT720865:TBT720930 TLP720865:TLP720930 TVL720865:TVL720930 UFH720865:UFH720930 UPD720865:UPD720930 UYZ720865:UYZ720930 VIV720865:VIV720930 VSR720865:VSR720930 WCN720865:WCN720930 WMJ720865:WMJ720930 WWF720865:WWF720930 X786401:X786466 JT786401:JT786466 TP786401:TP786466 ADL786401:ADL786466 ANH786401:ANH786466 AXD786401:AXD786466 BGZ786401:BGZ786466 BQV786401:BQV786466 CAR786401:CAR786466 CKN786401:CKN786466 CUJ786401:CUJ786466 DEF786401:DEF786466 DOB786401:DOB786466 DXX786401:DXX786466 EHT786401:EHT786466 ERP786401:ERP786466 FBL786401:FBL786466 FLH786401:FLH786466 FVD786401:FVD786466 GEZ786401:GEZ786466 GOV786401:GOV786466 GYR786401:GYR786466 HIN786401:HIN786466 HSJ786401:HSJ786466 ICF786401:ICF786466 IMB786401:IMB786466 IVX786401:IVX786466 JFT786401:JFT786466 JPP786401:JPP786466 JZL786401:JZL786466 KJH786401:KJH786466 KTD786401:KTD786466 LCZ786401:LCZ786466 LMV786401:LMV786466 LWR786401:LWR786466 MGN786401:MGN786466 MQJ786401:MQJ786466 NAF786401:NAF786466 NKB786401:NKB786466 NTX786401:NTX786466 ODT786401:ODT786466 ONP786401:ONP786466 OXL786401:OXL786466 PHH786401:PHH786466 PRD786401:PRD786466 QAZ786401:QAZ786466 QKV786401:QKV786466 QUR786401:QUR786466 REN786401:REN786466 ROJ786401:ROJ786466 RYF786401:RYF786466 SIB786401:SIB786466 SRX786401:SRX786466 TBT786401:TBT786466 TLP786401:TLP786466 TVL786401:TVL786466 UFH786401:UFH786466 UPD786401:UPD786466 UYZ786401:UYZ786466 VIV786401:VIV786466 VSR786401:VSR786466 WCN786401:WCN786466 WMJ786401:WMJ786466 WWF786401:WWF786466 X851937:X852002 JT851937:JT852002 TP851937:TP852002 ADL851937:ADL852002 ANH851937:ANH852002 AXD851937:AXD852002 BGZ851937:BGZ852002 BQV851937:BQV852002 CAR851937:CAR852002 CKN851937:CKN852002 CUJ851937:CUJ852002 DEF851937:DEF852002 DOB851937:DOB852002 DXX851937:DXX852002 EHT851937:EHT852002 ERP851937:ERP852002 FBL851937:FBL852002 FLH851937:FLH852002 FVD851937:FVD852002 GEZ851937:GEZ852002 GOV851937:GOV852002 GYR851937:GYR852002 HIN851937:HIN852002 HSJ851937:HSJ852002 ICF851937:ICF852002 IMB851937:IMB852002 IVX851937:IVX852002 JFT851937:JFT852002 JPP851937:JPP852002 JZL851937:JZL852002 KJH851937:KJH852002 KTD851937:KTD852002 LCZ851937:LCZ852002 LMV851937:LMV852002 LWR851937:LWR852002 MGN851937:MGN852002 MQJ851937:MQJ852002 NAF851937:NAF852002 NKB851937:NKB852002 NTX851937:NTX852002 ODT851937:ODT852002 ONP851937:ONP852002 OXL851937:OXL852002 PHH851937:PHH852002 PRD851937:PRD852002 QAZ851937:QAZ852002 QKV851937:QKV852002 QUR851937:QUR852002 REN851937:REN852002 ROJ851937:ROJ852002 RYF851937:RYF852002 SIB851937:SIB852002 SRX851937:SRX852002 TBT851937:TBT852002 TLP851937:TLP852002 TVL851937:TVL852002 UFH851937:UFH852002 UPD851937:UPD852002 UYZ851937:UYZ852002 VIV851937:VIV852002 VSR851937:VSR852002 WCN851937:WCN852002 WMJ851937:WMJ852002 WWF851937:WWF852002 X917473:X917538 JT917473:JT917538 TP917473:TP917538 ADL917473:ADL917538 ANH917473:ANH917538 AXD917473:AXD917538 BGZ917473:BGZ917538 BQV917473:BQV917538 CAR917473:CAR917538 CKN917473:CKN917538 CUJ917473:CUJ917538 DEF917473:DEF917538 DOB917473:DOB917538 DXX917473:DXX917538 EHT917473:EHT917538 ERP917473:ERP917538 FBL917473:FBL917538 FLH917473:FLH917538 FVD917473:FVD917538 GEZ917473:GEZ917538 GOV917473:GOV917538 GYR917473:GYR917538 HIN917473:HIN917538 HSJ917473:HSJ917538 ICF917473:ICF917538 IMB917473:IMB917538 IVX917473:IVX917538 JFT917473:JFT917538 JPP917473:JPP917538 JZL917473:JZL917538 KJH917473:KJH917538 KTD917473:KTD917538 LCZ917473:LCZ917538 LMV917473:LMV917538 LWR917473:LWR917538 MGN917473:MGN917538 MQJ917473:MQJ917538 NAF917473:NAF917538 NKB917473:NKB917538 NTX917473:NTX917538 ODT917473:ODT917538 ONP917473:ONP917538 OXL917473:OXL917538 PHH917473:PHH917538 PRD917473:PRD917538 QAZ917473:QAZ917538 QKV917473:QKV917538 QUR917473:QUR917538 REN917473:REN917538 ROJ917473:ROJ917538 RYF917473:RYF917538 SIB917473:SIB917538 SRX917473:SRX917538 TBT917473:TBT917538 TLP917473:TLP917538 TVL917473:TVL917538 UFH917473:UFH917538 UPD917473:UPD917538 UYZ917473:UYZ917538 VIV917473:VIV917538 VSR917473:VSR917538 WCN917473:WCN917538 WMJ917473:WMJ917538 WWF917473:WWF917538 X983009:X983074 JT983009:JT983074 TP983009:TP983074 ADL983009:ADL983074 ANH983009:ANH983074 AXD983009:AXD983074 BGZ983009:BGZ983074 BQV983009:BQV983074 CAR983009:CAR983074 CKN983009:CKN983074 CUJ983009:CUJ983074 DEF983009:DEF983074 DOB983009:DOB983074 DXX983009:DXX983074 EHT983009:EHT983074 ERP983009:ERP983074 FBL983009:FBL983074 FLH983009:FLH983074 FVD983009:FVD983074 GEZ983009:GEZ983074 GOV983009:GOV983074 GYR983009:GYR983074 HIN983009:HIN983074 HSJ983009:HSJ983074 ICF983009:ICF983074 IMB983009:IMB983074 IVX983009:IVX983074 JFT983009:JFT983074 JPP983009:JPP983074 JZL983009:JZL983074 KJH983009:KJH983074 KTD983009:KTD983074 LCZ983009:LCZ983074 LMV983009:LMV983074 LWR983009:LWR983074 MGN983009:MGN983074 MQJ983009:MQJ983074 NAF983009:NAF983074 NKB983009:NKB983074 NTX983009:NTX983074 ODT983009:ODT983074 ONP983009:ONP983074 OXL983009:OXL983074 PHH983009:PHH983074 PRD983009:PRD983074 QAZ983009:QAZ983074 QKV983009:QKV983074 QUR983009:QUR983074 REN983009:REN983074 ROJ983009:ROJ983074 RYF983009:RYF983074 SIB983009:SIB983074 SRX983009:SRX983074 TBT983009:TBT983074 TLP983009:TLP983074 TVL983009:TVL983074 UFH983009:UFH983074 UPD983009:UPD983074 UYZ983009:UYZ983074 VIV983009:VIV983074 VSR983009:VSR983074 WCN983009:WCN983074 WMJ983009:WMJ983074 WWF2:WWF54 WMJ2:WMJ54 WCN2:WCN54 VSR2:VSR54 VIV2:VIV54 UYZ2:UYZ54 UPD2:UPD54 UFH2:UFH54 TVL2:TVL54 TLP2:TLP54 TBT2:TBT54 SRX2:SRX54 SIB2:SIB54 RYF2:RYF54 ROJ2:ROJ54 REN2:REN54 QUR2:QUR54 QKV2:QKV54 QAZ2:QAZ54 PRD2:PRD54 PHH2:PHH54 OXL2:OXL54 ONP2:ONP54 ODT2:ODT54 NTX2:NTX54 NKB2:NKB54 NAF2:NAF54 MQJ2:MQJ54 MGN2:MGN54 LWR2:LWR54 LMV2:LMV54 LCZ2:LCZ54 KTD2:KTD54 KJH2:KJH54 JZL2:JZL54 JPP2:JPP54 JFT2:JFT54 IVX2:IVX54 IMB2:IMB54 ICF2:ICF54 HSJ2:HSJ54 HIN2:HIN54 GYR2:GYR54 GOV2:GOV54 GEZ2:GEZ54 FVD2:FVD54 FLH2:FLH54 FBL2:FBL54 ERP2:ERP54 EHT2:EHT54 DXX2:DXX54 DOB2:DOB54 DEF2:DEF54 CUJ2:CUJ54 CKN2:CKN54 CAR2:CAR54 BQV2:BQV54 BGZ2:BGZ54 AXD2:AXD54 ANH2:ANH54 ADL2:ADL54 TP2:TP54 JT2:JT54 X2:X467" xr:uid="{F1D32C73-152C-4AF2-9492-27BB0E185CEB}">
      <formula1>$AT$2:$AT$3</formula1>
    </dataValidation>
    <dataValidation type="list" allowBlank="1" showInputMessage="1" showErrorMessage="1" sqref="G64330:G64397 JC64330:JC64397 SY64330:SY64397 ACU64330:ACU64397 AMQ64330:AMQ64397 AWM64330:AWM64397 BGI64330:BGI64397 BQE64330:BQE64397 CAA64330:CAA64397 CJW64330:CJW64397 CTS64330:CTS64397 DDO64330:DDO64397 DNK64330:DNK64397 DXG64330:DXG64397 EHC64330:EHC64397 EQY64330:EQY64397 FAU64330:FAU64397 FKQ64330:FKQ64397 FUM64330:FUM64397 GEI64330:GEI64397 GOE64330:GOE64397 GYA64330:GYA64397 HHW64330:HHW64397 HRS64330:HRS64397 IBO64330:IBO64397 ILK64330:ILK64397 IVG64330:IVG64397 JFC64330:JFC64397 JOY64330:JOY64397 JYU64330:JYU64397 KIQ64330:KIQ64397 KSM64330:KSM64397 LCI64330:LCI64397 LME64330:LME64397 LWA64330:LWA64397 MFW64330:MFW64397 MPS64330:MPS64397 MZO64330:MZO64397 NJK64330:NJK64397 NTG64330:NTG64397 ODC64330:ODC64397 OMY64330:OMY64397 OWU64330:OWU64397 PGQ64330:PGQ64397 PQM64330:PQM64397 QAI64330:QAI64397 QKE64330:QKE64397 QUA64330:QUA64397 RDW64330:RDW64397 RNS64330:RNS64397 RXO64330:RXO64397 SHK64330:SHK64397 SRG64330:SRG64397 TBC64330:TBC64397 TKY64330:TKY64397 TUU64330:TUU64397 UEQ64330:UEQ64397 UOM64330:UOM64397 UYI64330:UYI64397 VIE64330:VIE64397 VSA64330:VSA64397 WBW64330:WBW64397 WLS64330:WLS64397 WVO64330:WVO64397 G129866:G129933 JC129866:JC129933 SY129866:SY129933 ACU129866:ACU129933 AMQ129866:AMQ129933 AWM129866:AWM129933 BGI129866:BGI129933 BQE129866:BQE129933 CAA129866:CAA129933 CJW129866:CJW129933 CTS129866:CTS129933 DDO129866:DDO129933 DNK129866:DNK129933 DXG129866:DXG129933 EHC129866:EHC129933 EQY129866:EQY129933 FAU129866:FAU129933 FKQ129866:FKQ129933 FUM129866:FUM129933 GEI129866:GEI129933 GOE129866:GOE129933 GYA129866:GYA129933 HHW129866:HHW129933 HRS129866:HRS129933 IBO129866:IBO129933 ILK129866:ILK129933 IVG129866:IVG129933 JFC129866:JFC129933 JOY129866:JOY129933 JYU129866:JYU129933 KIQ129866:KIQ129933 KSM129866:KSM129933 LCI129866:LCI129933 LME129866:LME129933 LWA129866:LWA129933 MFW129866:MFW129933 MPS129866:MPS129933 MZO129866:MZO129933 NJK129866:NJK129933 NTG129866:NTG129933 ODC129866:ODC129933 OMY129866:OMY129933 OWU129866:OWU129933 PGQ129866:PGQ129933 PQM129866:PQM129933 QAI129866:QAI129933 QKE129866:QKE129933 QUA129866:QUA129933 RDW129866:RDW129933 RNS129866:RNS129933 RXO129866:RXO129933 SHK129866:SHK129933 SRG129866:SRG129933 TBC129866:TBC129933 TKY129866:TKY129933 TUU129866:TUU129933 UEQ129866:UEQ129933 UOM129866:UOM129933 UYI129866:UYI129933 VIE129866:VIE129933 VSA129866:VSA129933 WBW129866:WBW129933 WLS129866:WLS129933 WVO129866:WVO129933 G195402:G195469 JC195402:JC195469 SY195402:SY195469 ACU195402:ACU195469 AMQ195402:AMQ195469 AWM195402:AWM195469 BGI195402:BGI195469 BQE195402:BQE195469 CAA195402:CAA195469 CJW195402:CJW195469 CTS195402:CTS195469 DDO195402:DDO195469 DNK195402:DNK195469 DXG195402:DXG195469 EHC195402:EHC195469 EQY195402:EQY195469 FAU195402:FAU195469 FKQ195402:FKQ195469 FUM195402:FUM195469 GEI195402:GEI195469 GOE195402:GOE195469 GYA195402:GYA195469 HHW195402:HHW195469 HRS195402:HRS195469 IBO195402:IBO195469 ILK195402:ILK195469 IVG195402:IVG195469 JFC195402:JFC195469 JOY195402:JOY195469 JYU195402:JYU195469 KIQ195402:KIQ195469 KSM195402:KSM195469 LCI195402:LCI195469 LME195402:LME195469 LWA195402:LWA195469 MFW195402:MFW195469 MPS195402:MPS195469 MZO195402:MZO195469 NJK195402:NJK195469 NTG195402:NTG195469 ODC195402:ODC195469 OMY195402:OMY195469 OWU195402:OWU195469 PGQ195402:PGQ195469 PQM195402:PQM195469 QAI195402:QAI195469 QKE195402:QKE195469 QUA195402:QUA195469 RDW195402:RDW195469 RNS195402:RNS195469 RXO195402:RXO195469 SHK195402:SHK195469 SRG195402:SRG195469 TBC195402:TBC195469 TKY195402:TKY195469 TUU195402:TUU195469 UEQ195402:UEQ195469 UOM195402:UOM195469 UYI195402:UYI195469 VIE195402:VIE195469 VSA195402:VSA195469 WBW195402:WBW195469 WLS195402:WLS195469 WVO195402:WVO195469 G260938:G261005 JC260938:JC261005 SY260938:SY261005 ACU260938:ACU261005 AMQ260938:AMQ261005 AWM260938:AWM261005 BGI260938:BGI261005 BQE260938:BQE261005 CAA260938:CAA261005 CJW260938:CJW261005 CTS260938:CTS261005 DDO260938:DDO261005 DNK260938:DNK261005 DXG260938:DXG261005 EHC260938:EHC261005 EQY260938:EQY261005 FAU260938:FAU261005 FKQ260938:FKQ261005 FUM260938:FUM261005 GEI260938:GEI261005 GOE260938:GOE261005 GYA260938:GYA261005 HHW260938:HHW261005 HRS260938:HRS261005 IBO260938:IBO261005 ILK260938:ILK261005 IVG260938:IVG261005 JFC260938:JFC261005 JOY260938:JOY261005 JYU260938:JYU261005 KIQ260938:KIQ261005 KSM260938:KSM261005 LCI260938:LCI261005 LME260938:LME261005 LWA260938:LWA261005 MFW260938:MFW261005 MPS260938:MPS261005 MZO260938:MZO261005 NJK260938:NJK261005 NTG260938:NTG261005 ODC260938:ODC261005 OMY260938:OMY261005 OWU260938:OWU261005 PGQ260938:PGQ261005 PQM260938:PQM261005 QAI260938:QAI261005 QKE260938:QKE261005 QUA260938:QUA261005 RDW260938:RDW261005 RNS260938:RNS261005 RXO260938:RXO261005 SHK260938:SHK261005 SRG260938:SRG261005 TBC260938:TBC261005 TKY260938:TKY261005 TUU260938:TUU261005 UEQ260938:UEQ261005 UOM260938:UOM261005 UYI260938:UYI261005 VIE260938:VIE261005 VSA260938:VSA261005 WBW260938:WBW261005 WLS260938:WLS261005 WVO260938:WVO261005 G326474:G326541 JC326474:JC326541 SY326474:SY326541 ACU326474:ACU326541 AMQ326474:AMQ326541 AWM326474:AWM326541 BGI326474:BGI326541 BQE326474:BQE326541 CAA326474:CAA326541 CJW326474:CJW326541 CTS326474:CTS326541 DDO326474:DDO326541 DNK326474:DNK326541 DXG326474:DXG326541 EHC326474:EHC326541 EQY326474:EQY326541 FAU326474:FAU326541 FKQ326474:FKQ326541 FUM326474:FUM326541 GEI326474:GEI326541 GOE326474:GOE326541 GYA326474:GYA326541 HHW326474:HHW326541 HRS326474:HRS326541 IBO326474:IBO326541 ILK326474:ILK326541 IVG326474:IVG326541 JFC326474:JFC326541 JOY326474:JOY326541 JYU326474:JYU326541 KIQ326474:KIQ326541 KSM326474:KSM326541 LCI326474:LCI326541 LME326474:LME326541 LWA326474:LWA326541 MFW326474:MFW326541 MPS326474:MPS326541 MZO326474:MZO326541 NJK326474:NJK326541 NTG326474:NTG326541 ODC326474:ODC326541 OMY326474:OMY326541 OWU326474:OWU326541 PGQ326474:PGQ326541 PQM326474:PQM326541 QAI326474:QAI326541 QKE326474:QKE326541 QUA326474:QUA326541 RDW326474:RDW326541 RNS326474:RNS326541 RXO326474:RXO326541 SHK326474:SHK326541 SRG326474:SRG326541 TBC326474:TBC326541 TKY326474:TKY326541 TUU326474:TUU326541 UEQ326474:UEQ326541 UOM326474:UOM326541 UYI326474:UYI326541 VIE326474:VIE326541 VSA326474:VSA326541 WBW326474:WBW326541 WLS326474:WLS326541 WVO326474:WVO326541 G392010:G392077 JC392010:JC392077 SY392010:SY392077 ACU392010:ACU392077 AMQ392010:AMQ392077 AWM392010:AWM392077 BGI392010:BGI392077 BQE392010:BQE392077 CAA392010:CAA392077 CJW392010:CJW392077 CTS392010:CTS392077 DDO392010:DDO392077 DNK392010:DNK392077 DXG392010:DXG392077 EHC392010:EHC392077 EQY392010:EQY392077 FAU392010:FAU392077 FKQ392010:FKQ392077 FUM392010:FUM392077 GEI392010:GEI392077 GOE392010:GOE392077 GYA392010:GYA392077 HHW392010:HHW392077 HRS392010:HRS392077 IBO392010:IBO392077 ILK392010:ILK392077 IVG392010:IVG392077 JFC392010:JFC392077 JOY392010:JOY392077 JYU392010:JYU392077 KIQ392010:KIQ392077 KSM392010:KSM392077 LCI392010:LCI392077 LME392010:LME392077 LWA392010:LWA392077 MFW392010:MFW392077 MPS392010:MPS392077 MZO392010:MZO392077 NJK392010:NJK392077 NTG392010:NTG392077 ODC392010:ODC392077 OMY392010:OMY392077 OWU392010:OWU392077 PGQ392010:PGQ392077 PQM392010:PQM392077 QAI392010:QAI392077 QKE392010:QKE392077 QUA392010:QUA392077 RDW392010:RDW392077 RNS392010:RNS392077 RXO392010:RXO392077 SHK392010:SHK392077 SRG392010:SRG392077 TBC392010:TBC392077 TKY392010:TKY392077 TUU392010:TUU392077 UEQ392010:UEQ392077 UOM392010:UOM392077 UYI392010:UYI392077 VIE392010:VIE392077 VSA392010:VSA392077 WBW392010:WBW392077 WLS392010:WLS392077 WVO392010:WVO392077 G457546:G457613 JC457546:JC457613 SY457546:SY457613 ACU457546:ACU457613 AMQ457546:AMQ457613 AWM457546:AWM457613 BGI457546:BGI457613 BQE457546:BQE457613 CAA457546:CAA457613 CJW457546:CJW457613 CTS457546:CTS457613 DDO457546:DDO457613 DNK457546:DNK457613 DXG457546:DXG457613 EHC457546:EHC457613 EQY457546:EQY457613 FAU457546:FAU457613 FKQ457546:FKQ457613 FUM457546:FUM457613 GEI457546:GEI457613 GOE457546:GOE457613 GYA457546:GYA457613 HHW457546:HHW457613 HRS457546:HRS457613 IBO457546:IBO457613 ILK457546:ILK457613 IVG457546:IVG457613 JFC457546:JFC457613 JOY457546:JOY457613 JYU457546:JYU457613 KIQ457546:KIQ457613 KSM457546:KSM457613 LCI457546:LCI457613 LME457546:LME457613 LWA457546:LWA457613 MFW457546:MFW457613 MPS457546:MPS457613 MZO457546:MZO457613 NJK457546:NJK457613 NTG457546:NTG457613 ODC457546:ODC457613 OMY457546:OMY457613 OWU457546:OWU457613 PGQ457546:PGQ457613 PQM457546:PQM457613 QAI457546:QAI457613 QKE457546:QKE457613 QUA457546:QUA457613 RDW457546:RDW457613 RNS457546:RNS457613 RXO457546:RXO457613 SHK457546:SHK457613 SRG457546:SRG457613 TBC457546:TBC457613 TKY457546:TKY457613 TUU457546:TUU457613 UEQ457546:UEQ457613 UOM457546:UOM457613 UYI457546:UYI457613 VIE457546:VIE457613 VSA457546:VSA457613 WBW457546:WBW457613 WLS457546:WLS457613 WVO457546:WVO457613 G523082:G523149 JC523082:JC523149 SY523082:SY523149 ACU523082:ACU523149 AMQ523082:AMQ523149 AWM523082:AWM523149 BGI523082:BGI523149 BQE523082:BQE523149 CAA523082:CAA523149 CJW523082:CJW523149 CTS523082:CTS523149 DDO523082:DDO523149 DNK523082:DNK523149 DXG523082:DXG523149 EHC523082:EHC523149 EQY523082:EQY523149 FAU523082:FAU523149 FKQ523082:FKQ523149 FUM523082:FUM523149 GEI523082:GEI523149 GOE523082:GOE523149 GYA523082:GYA523149 HHW523082:HHW523149 HRS523082:HRS523149 IBO523082:IBO523149 ILK523082:ILK523149 IVG523082:IVG523149 JFC523082:JFC523149 JOY523082:JOY523149 JYU523082:JYU523149 KIQ523082:KIQ523149 KSM523082:KSM523149 LCI523082:LCI523149 LME523082:LME523149 LWA523082:LWA523149 MFW523082:MFW523149 MPS523082:MPS523149 MZO523082:MZO523149 NJK523082:NJK523149 NTG523082:NTG523149 ODC523082:ODC523149 OMY523082:OMY523149 OWU523082:OWU523149 PGQ523082:PGQ523149 PQM523082:PQM523149 QAI523082:QAI523149 QKE523082:QKE523149 QUA523082:QUA523149 RDW523082:RDW523149 RNS523082:RNS523149 RXO523082:RXO523149 SHK523082:SHK523149 SRG523082:SRG523149 TBC523082:TBC523149 TKY523082:TKY523149 TUU523082:TUU523149 UEQ523082:UEQ523149 UOM523082:UOM523149 UYI523082:UYI523149 VIE523082:VIE523149 VSA523082:VSA523149 WBW523082:WBW523149 WLS523082:WLS523149 WVO523082:WVO523149 G588618:G588685 JC588618:JC588685 SY588618:SY588685 ACU588618:ACU588685 AMQ588618:AMQ588685 AWM588618:AWM588685 BGI588618:BGI588685 BQE588618:BQE588685 CAA588618:CAA588685 CJW588618:CJW588685 CTS588618:CTS588685 DDO588618:DDO588685 DNK588618:DNK588685 DXG588618:DXG588685 EHC588618:EHC588685 EQY588618:EQY588685 FAU588618:FAU588685 FKQ588618:FKQ588685 FUM588618:FUM588685 GEI588618:GEI588685 GOE588618:GOE588685 GYA588618:GYA588685 HHW588618:HHW588685 HRS588618:HRS588685 IBO588618:IBO588685 ILK588618:ILK588685 IVG588618:IVG588685 JFC588618:JFC588685 JOY588618:JOY588685 JYU588618:JYU588685 KIQ588618:KIQ588685 KSM588618:KSM588685 LCI588618:LCI588685 LME588618:LME588685 LWA588618:LWA588685 MFW588618:MFW588685 MPS588618:MPS588685 MZO588618:MZO588685 NJK588618:NJK588685 NTG588618:NTG588685 ODC588618:ODC588685 OMY588618:OMY588685 OWU588618:OWU588685 PGQ588618:PGQ588685 PQM588618:PQM588685 QAI588618:QAI588685 QKE588618:QKE588685 QUA588618:QUA588685 RDW588618:RDW588685 RNS588618:RNS588685 RXO588618:RXO588685 SHK588618:SHK588685 SRG588618:SRG588685 TBC588618:TBC588685 TKY588618:TKY588685 TUU588618:TUU588685 UEQ588618:UEQ588685 UOM588618:UOM588685 UYI588618:UYI588685 VIE588618:VIE588685 VSA588618:VSA588685 WBW588618:WBW588685 WLS588618:WLS588685 WVO588618:WVO588685 G654154:G654221 JC654154:JC654221 SY654154:SY654221 ACU654154:ACU654221 AMQ654154:AMQ654221 AWM654154:AWM654221 BGI654154:BGI654221 BQE654154:BQE654221 CAA654154:CAA654221 CJW654154:CJW654221 CTS654154:CTS654221 DDO654154:DDO654221 DNK654154:DNK654221 DXG654154:DXG654221 EHC654154:EHC654221 EQY654154:EQY654221 FAU654154:FAU654221 FKQ654154:FKQ654221 FUM654154:FUM654221 GEI654154:GEI654221 GOE654154:GOE654221 GYA654154:GYA654221 HHW654154:HHW654221 HRS654154:HRS654221 IBO654154:IBO654221 ILK654154:ILK654221 IVG654154:IVG654221 JFC654154:JFC654221 JOY654154:JOY654221 JYU654154:JYU654221 KIQ654154:KIQ654221 KSM654154:KSM654221 LCI654154:LCI654221 LME654154:LME654221 LWA654154:LWA654221 MFW654154:MFW654221 MPS654154:MPS654221 MZO654154:MZO654221 NJK654154:NJK654221 NTG654154:NTG654221 ODC654154:ODC654221 OMY654154:OMY654221 OWU654154:OWU654221 PGQ654154:PGQ654221 PQM654154:PQM654221 QAI654154:QAI654221 QKE654154:QKE654221 QUA654154:QUA654221 RDW654154:RDW654221 RNS654154:RNS654221 RXO654154:RXO654221 SHK654154:SHK654221 SRG654154:SRG654221 TBC654154:TBC654221 TKY654154:TKY654221 TUU654154:TUU654221 UEQ654154:UEQ654221 UOM654154:UOM654221 UYI654154:UYI654221 VIE654154:VIE654221 VSA654154:VSA654221 WBW654154:WBW654221 WLS654154:WLS654221 WVO654154:WVO654221 G719690:G719757 JC719690:JC719757 SY719690:SY719757 ACU719690:ACU719757 AMQ719690:AMQ719757 AWM719690:AWM719757 BGI719690:BGI719757 BQE719690:BQE719757 CAA719690:CAA719757 CJW719690:CJW719757 CTS719690:CTS719757 DDO719690:DDO719757 DNK719690:DNK719757 DXG719690:DXG719757 EHC719690:EHC719757 EQY719690:EQY719757 FAU719690:FAU719757 FKQ719690:FKQ719757 FUM719690:FUM719757 GEI719690:GEI719757 GOE719690:GOE719757 GYA719690:GYA719757 HHW719690:HHW719757 HRS719690:HRS719757 IBO719690:IBO719757 ILK719690:ILK719757 IVG719690:IVG719757 JFC719690:JFC719757 JOY719690:JOY719757 JYU719690:JYU719757 KIQ719690:KIQ719757 KSM719690:KSM719757 LCI719690:LCI719757 LME719690:LME719757 LWA719690:LWA719757 MFW719690:MFW719757 MPS719690:MPS719757 MZO719690:MZO719757 NJK719690:NJK719757 NTG719690:NTG719757 ODC719690:ODC719757 OMY719690:OMY719757 OWU719690:OWU719757 PGQ719690:PGQ719757 PQM719690:PQM719757 QAI719690:QAI719757 QKE719690:QKE719757 QUA719690:QUA719757 RDW719690:RDW719757 RNS719690:RNS719757 RXO719690:RXO719757 SHK719690:SHK719757 SRG719690:SRG719757 TBC719690:TBC719757 TKY719690:TKY719757 TUU719690:TUU719757 UEQ719690:UEQ719757 UOM719690:UOM719757 UYI719690:UYI719757 VIE719690:VIE719757 VSA719690:VSA719757 WBW719690:WBW719757 WLS719690:WLS719757 WVO719690:WVO719757 G785226:G785293 JC785226:JC785293 SY785226:SY785293 ACU785226:ACU785293 AMQ785226:AMQ785293 AWM785226:AWM785293 BGI785226:BGI785293 BQE785226:BQE785293 CAA785226:CAA785293 CJW785226:CJW785293 CTS785226:CTS785293 DDO785226:DDO785293 DNK785226:DNK785293 DXG785226:DXG785293 EHC785226:EHC785293 EQY785226:EQY785293 FAU785226:FAU785293 FKQ785226:FKQ785293 FUM785226:FUM785293 GEI785226:GEI785293 GOE785226:GOE785293 GYA785226:GYA785293 HHW785226:HHW785293 HRS785226:HRS785293 IBO785226:IBO785293 ILK785226:ILK785293 IVG785226:IVG785293 JFC785226:JFC785293 JOY785226:JOY785293 JYU785226:JYU785293 KIQ785226:KIQ785293 KSM785226:KSM785293 LCI785226:LCI785293 LME785226:LME785293 LWA785226:LWA785293 MFW785226:MFW785293 MPS785226:MPS785293 MZO785226:MZO785293 NJK785226:NJK785293 NTG785226:NTG785293 ODC785226:ODC785293 OMY785226:OMY785293 OWU785226:OWU785293 PGQ785226:PGQ785293 PQM785226:PQM785293 QAI785226:QAI785293 QKE785226:QKE785293 QUA785226:QUA785293 RDW785226:RDW785293 RNS785226:RNS785293 RXO785226:RXO785293 SHK785226:SHK785293 SRG785226:SRG785293 TBC785226:TBC785293 TKY785226:TKY785293 TUU785226:TUU785293 UEQ785226:UEQ785293 UOM785226:UOM785293 UYI785226:UYI785293 VIE785226:VIE785293 VSA785226:VSA785293 WBW785226:WBW785293 WLS785226:WLS785293 WVO785226:WVO785293 G850762:G850829 JC850762:JC850829 SY850762:SY850829 ACU850762:ACU850829 AMQ850762:AMQ850829 AWM850762:AWM850829 BGI850762:BGI850829 BQE850762:BQE850829 CAA850762:CAA850829 CJW850762:CJW850829 CTS850762:CTS850829 DDO850762:DDO850829 DNK850762:DNK850829 DXG850762:DXG850829 EHC850762:EHC850829 EQY850762:EQY850829 FAU850762:FAU850829 FKQ850762:FKQ850829 FUM850762:FUM850829 GEI850762:GEI850829 GOE850762:GOE850829 GYA850762:GYA850829 HHW850762:HHW850829 HRS850762:HRS850829 IBO850762:IBO850829 ILK850762:ILK850829 IVG850762:IVG850829 JFC850762:JFC850829 JOY850762:JOY850829 JYU850762:JYU850829 KIQ850762:KIQ850829 KSM850762:KSM850829 LCI850762:LCI850829 LME850762:LME850829 LWA850762:LWA850829 MFW850762:MFW850829 MPS850762:MPS850829 MZO850762:MZO850829 NJK850762:NJK850829 NTG850762:NTG850829 ODC850762:ODC850829 OMY850762:OMY850829 OWU850762:OWU850829 PGQ850762:PGQ850829 PQM850762:PQM850829 QAI850762:QAI850829 QKE850762:QKE850829 QUA850762:QUA850829 RDW850762:RDW850829 RNS850762:RNS850829 RXO850762:RXO850829 SHK850762:SHK850829 SRG850762:SRG850829 TBC850762:TBC850829 TKY850762:TKY850829 TUU850762:TUU850829 UEQ850762:UEQ850829 UOM850762:UOM850829 UYI850762:UYI850829 VIE850762:VIE850829 VSA850762:VSA850829 WBW850762:WBW850829 WLS850762:WLS850829 WVO850762:WVO850829 G916298:G916365 JC916298:JC916365 SY916298:SY916365 ACU916298:ACU916365 AMQ916298:AMQ916365 AWM916298:AWM916365 BGI916298:BGI916365 BQE916298:BQE916365 CAA916298:CAA916365 CJW916298:CJW916365 CTS916298:CTS916365 DDO916298:DDO916365 DNK916298:DNK916365 DXG916298:DXG916365 EHC916298:EHC916365 EQY916298:EQY916365 FAU916298:FAU916365 FKQ916298:FKQ916365 FUM916298:FUM916365 GEI916298:GEI916365 GOE916298:GOE916365 GYA916298:GYA916365 HHW916298:HHW916365 HRS916298:HRS916365 IBO916298:IBO916365 ILK916298:ILK916365 IVG916298:IVG916365 JFC916298:JFC916365 JOY916298:JOY916365 JYU916298:JYU916365 KIQ916298:KIQ916365 KSM916298:KSM916365 LCI916298:LCI916365 LME916298:LME916365 LWA916298:LWA916365 MFW916298:MFW916365 MPS916298:MPS916365 MZO916298:MZO916365 NJK916298:NJK916365 NTG916298:NTG916365 ODC916298:ODC916365 OMY916298:OMY916365 OWU916298:OWU916365 PGQ916298:PGQ916365 PQM916298:PQM916365 QAI916298:QAI916365 QKE916298:QKE916365 QUA916298:QUA916365 RDW916298:RDW916365 RNS916298:RNS916365 RXO916298:RXO916365 SHK916298:SHK916365 SRG916298:SRG916365 TBC916298:TBC916365 TKY916298:TKY916365 TUU916298:TUU916365 UEQ916298:UEQ916365 UOM916298:UOM916365 UYI916298:UYI916365 VIE916298:VIE916365 VSA916298:VSA916365 WBW916298:WBW916365 WLS916298:WLS916365 WVO916298:WVO916365 G981834:G981901 JC981834:JC981901 SY981834:SY981901 ACU981834:ACU981901 AMQ981834:AMQ981901 AWM981834:AWM981901 BGI981834:BGI981901 BQE981834:BQE981901 CAA981834:CAA981901 CJW981834:CJW981901 CTS981834:CTS981901 DDO981834:DDO981901 DNK981834:DNK981901 DXG981834:DXG981901 EHC981834:EHC981901 EQY981834:EQY981901 FAU981834:FAU981901 FKQ981834:FKQ981901 FUM981834:FUM981901 GEI981834:GEI981901 GOE981834:GOE981901 GYA981834:GYA981901 HHW981834:HHW981901 HRS981834:HRS981901 IBO981834:IBO981901 ILK981834:ILK981901 IVG981834:IVG981901 JFC981834:JFC981901 JOY981834:JOY981901 JYU981834:JYU981901 KIQ981834:KIQ981901 KSM981834:KSM981901 LCI981834:LCI981901 LME981834:LME981901 LWA981834:LWA981901 MFW981834:MFW981901 MPS981834:MPS981901 MZO981834:MZO981901 NJK981834:NJK981901 NTG981834:NTG981901 ODC981834:ODC981901 OMY981834:OMY981901 OWU981834:OWU981901 PGQ981834:PGQ981901 PQM981834:PQM981901 QAI981834:QAI981901 QKE981834:QKE981901 QUA981834:QUA981901 RDW981834:RDW981901 RNS981834:RNS981901 RXO981834:RXO981901 SHK981834:SHK981901 SRG981834:SRG981901 TBC981834:TBC981901 TKY981834:TKY981901 TUU981834:TUU981901 UEQ981834:UEQ981901 UOM981834:UOM981901 UYI981834:UYI981901 VIE981834:VIE981901 VSA981834:VSA981901 WBW981834:WBW981901 WLS981834:WLS981901 WVO981834:WVO981901 G1047370:G1047437 JC1047370:JC1047437 SY1047370:SY1047437 ACU1047370:ACU1047437 AMQ1047370:AMQ1047437 AWM1047370:AWM1047437 BGI1047370:BGI1047437 BQE1047370:BQE1047437 CAA1047370:CAA1047437 CJW1047370:CJW1047437 CTS1047370:CTS1047437 DDO1047370:DDO1047437 DNK1047370:DNK1047437 DXG1047370:DXG1047437 EHC1047370:EHC1047437 EQY1047370:EQY1047437 FAU1047370:FAU1047437 FKQ1047370:FKQ1047437 FUM1047370:FUM1047437 GEI1047370:GEI1047437 GOE1047370:GOE1047437 GYA1047370:GYA1047437 HHW1047370:HHW1047437 HRS1047370:HRS1047437 IBO1047370:IBO1047437 ILK1047370:ILK1047437 IVG1047370:IVG1047437 JFC1047370:JFC1047437 JOY1047370:JOY1047437 JYU1047370:JYU1047437 KIQ1047370:KIQ1047437 KSM1047370:KSM1047437 LCI1047370:LCI1047437 LME1047370:LME1047437 LWA1047370:LWA1047437 MFW1047370:MFW1047437 MPS1047370:MPS1047437 MZO1047370:MZO1047437 NJK1047370:NJK1047437 NTG1047370:NTG1047437 ODC1047370:ODC1047437 OMY1047370:OMY1047437 OWU1047370:OWU1047437 PGQ1047370:PGQ1047437 PQM1047370:PQM1047437 QAI1047370:QAI1047437 QKE1047370:QKE1047437 QUA1047370:QUA1047437 RDW1047370:RDW1047437 RNS1047370:RNS1047437 RXO1047370:RXO1047437 SHK1047370:SHK1047437 SRG1047370:SRG1047437 TBC1047370:TBC1047437 TKY1047370:TKY1047437 TUU1047370:TUU1047437 UEQ1047370:UEQ1047437 UOM1047370:UOM1047437 UYI1047370:UYI1047437 VIE1047370:VIE1047437 VSA1047370:VSA1047437 WBW1047370:WBW1047437 WLS1047370:WLS1047437 WVO1047370:WVO1047437 WVO983009:WVO983080 G65505:G65576 JC65505:JC65576 SY65505:SY65576 ACU65505:ACU65576 AMQ65505:AMQ65576 AWM65505:AWM65576 BGI65505:BGI65576 BQE65505:BQE65576 CAA65505:CAA65576 CJW65505:CJW65576 CTS65505:CTS65576 DDO65505:DDO65576 DNK65505:DNK65576 DXG65505:DXG65576 EHC65505:EHC65576 EQY65505:EQY65576 FAU65505:FAU65576 FKQ65505:FKQ65576 FUM65505:FUM65576 GEI65505:GEI65576 GOE65505:GOE65576 GYA65505:GYA65576 HHW65505:HHW65576 HRS65505:HRS65576 IBO65505:IBO65576 ILK65505:ILK65576 IVG65505:IVG65576 JFC65505:JFC65576 JOY65505:JOY65576 JYU65505:JYU65576 KIQ65505:KIQ65576 KSM65505:KSM65576 LCI65505:LCI65576 LME65505:LME65576 LWA65505:LWA65576 MFW65505:MFW65576 MPS65505:MPS65576 MZO65505:MZO65576 NJK65505:NJK65576 NTG65505:NTG65576 ODC65505:ODC65576 OMY65505:OMY65576 OWU65505:OWU65576 PGQ65505:PGQ65576 PQM65505:PQM65576 QAI65505:QAI65576 QKE65505:QKE65576 QUA65505:QUA65576 RDW65505:RDW65576 RNS65505:RNS65576 RXO65505:RXO65576 SHK65505:SHK65576 SRG65505:SRG65576 TBC65505:TBC65576 TKY65505:TKY65576 TUU65505:TUU65576 UEQ65505:UEQ65576 UOM65505:UOM65576 UYI65505:UYI65576 VIE65505:VIE65576 VSA65505:VSA65576 WBW65505:WBW65576 WLS65505:WLS65576 WVO65505:WVO65576 G131041:G131112 JC131041:JC131112 SY131041:SY131112 ACU131041:ACU131112 AMQ131041:AMQ131112 AWM131041:AWM131112 BGI131041:BGI131112 BQE131041:BQE131112 CAA131041:CAA131112 CJW131041:CJW131112 CTS131041:CTS131112 DDO131041:DDO131112 DNK131041:DNK131112 DXG131041:DXG131112 EHC131041:EHC131112 EQY131041:EQY131112 FAU131041:FAU131112 FKQ131041:FKQ131112 FUM131041:FUM131112 GEI131041:GEI131112 GOE131041:GOE131112 GYA131041:GYA131112 HHW131041:HHW131112 HRS131041:HRS131112 IBO131041:IBO131112 ILK131041:ILK131112 IVG131041:IVG131112 JFC131041:JFC131112 JOY131041:JOY131112 JYU131041:JYU131112 KIQ131041:KIQ131112 KSM131041:KSM131112 LCI131041:LCI131112 LME131041:LME131112 LWA131041:LWA131112 MFW131041:MFW131112 MPS131041:MPS131112 MZO131041:MZO131112 NJK131041:NJK131112 NTG131041:NTG131112 ODC131041:ODC131112 OMY131041:OMY131112 OWU131041:OWU131112 PGQ131041:PGQ131112 PQM131041:PQM131112 QAI131041:QAI131112 QKE131041:QKE131112 QUA131041:QUA131112 RDW131041:RDW131112 RNS131041:RNS131112 RXO131041:RXO131112 SHK131041:SHK131112 SRG131041:SRG131112 TBC131041:TBC131112 TKY131041:TKY131112 TUU131041:TUU131112 UEQ131041:UEQ131112 UOM131041:UOM131112 UYI131041:UYI131112 VIE131041:VIE131112 VSA131041:VSA131112 WBW131041:WBW131112 WLS131041:WLS131112 WVO131041:WVO131112 G196577:G196648 JC196577:JC196648 SY196577:SY196648 ACU196577:ACU196648 AMQ196577:AMQ196648 AWM196577:AWM196648 BGI196577:BGI196648 BQE196577:BQE196648 CAA196577:CAA196648 CJW196577:CJW196648 CTS196577:CTS196648 DDO196577:DDO196648 DNK196577:DNK196648 DXG196577:DXG196648 EHC196577:EHC196648 EQY196577:EQY196648 FAU196577:FAU196648 FKQ196577:FKQ196648 FUM196577:FUM196648 GEI196577:GEI196648 GOE196577:GOE196648 GYA196577:GYA196648 HHW196577:HHW196648 HRS196577:HRS196648 IBO196577:IBO196648 ILK196577:ILK196648 IVG196577:IVG196648 JFC196577:JFC196648 JOY196577:JOY196648 JYU196577:JYU196648 KIQ196577:KIQ196648 KSM196577:KSM196648 LCI196577:LCI196648 LME196577:LME196648 LWA196577:LWA196648 MFW196577:MFW196648 MPS196577:MPS196648 MZO196577:MZO196648 NJK196577:NJK196648 NTG196577:NTG196648 ODC196577:ODC196648 OMY196577:OMY196648 OWU196577:OWU196648 PGQ196577:PGQ196648 PQM196577:PQM196648 QAI196577:QAI196648 QKE196577:QKE196648 QUA196577:QUA196648 RDW196577:RDW196648 RNS196577:RNS196648 RXO196577:RXO196648 SHK196577:SHK196648 SRG196577:SRG196648 TBC196577:TBC196648 TKY196577:TKY196648 TUU196577:TUU196648 UEQ196577:UEQ196648 UOM196577:UOM196648 UYI196577:UYI196648 VIE196577:VIE196648 VSA196577:VSA196648 WBW196577:WBW196648 WLS196577:WLS196648 WVO196577:WVO196648 G262113:G262184 JC262113:JC262184 SY262113:SY262184 ACU262113:ACU262184 AMQ262113:AMQ262184 AWM262113:AWM262184 BGI262113:BGI262184 BQE262113:BQE262184 CAA262113:CAA262184 CJW262113:CJW262184 CTS262113:CTS262184 DDO262113:DDO262184 DNK262113:DNK262184 DXG262113:DXG262184 EHC262113:EHC262184 EQY262113:EQY262184 FAU262113:FAU262184 FKQ262113:FKQ262184 FUM262113:FUM262184 GEI262113:GEI262184 GOE262113:GOE262184 GYA262113:GYA262184 HHW262113:HHW262184 HRS262113:HRS262184 IBO262113:IBO262184 ILK262113:ILK262184 IVG262113:IVG262184 JFC262113:JFC262184 JOY262113:JOY262184 JYU262113:JYU262184 KIQ262113:KIQ262184 KSM262113:KSM262184 LCI262113:LCI262184 LME262113:LME262184 LWA262113:LWA262184 MFW262113:MFW262184 MPS262113:MPS262184 MZO262113:MZO262184 NJK262113:NJK262184 NTG262113:NTG262184 ODC262113:ODC262184 OMY262113:OMY262184 OWU262113:OWU262184 PGQ262113:PGQ262184 PQM262113:PQM262184 QAI262113:QAI262184 QKE262113:QKE262184 QUA262113:QUA262184 RDW262113:RDW262184 RNS262113:RNS262184 RXO262113:RXO262184 SHK262113:SHK262184 SRG262113:SRG262184 TBC262113:TBC262184 TKY262113:TKY262184 TUU262113:TUU262184 UEQ262113:UEQ262184 UOM262113:UOM262184 UYI262113:UYI262184 VIE262113:VIE262184 VSA262113:VSA262184 WBW262113:WBW262184 WLS262113:WLS262184 WVO262113:WVO262184 G327649:G327720 JC327649:JC327720 SY327649:SY327720 ACU327649:ACU327720 AMQ327649:AMQ327720 AWM327649:AWM327720 BGI327649:BGI327720 BQE327649:BQE327720 CAA327649:CAA327720 CJW327649:CJW327720 CTS327649:CTS327720 DDO327649:DDO327720 DNK327649:DNK327720 DXG327649:DXG327720 EHC327649:EHC327720 EQY327649:EQY327720 FAU327649:FAU327720 FKQ327649:FKQ327720 FUM327649:FUM327720 GEI327649:GEI327720 GOE327649:GOE327720 GYA327649:GYA327720 HHW327649:HHW327720 HRS327649:HRS327720 IBO327649:IBO327720 ILK327649:ILK327720 IVG327649:IVG327720 JFC327649:JFC327720 JOY327649:JOY327720 JYU327649:JYU327720 KIQ327649:KIQ327720 KSM327649:KSM327720 LCI327649:LCI327720 LME327649:LME327720 LWA327649:LWA327720 MFW327649:MFW327720 MPS327649:MPS327720 MZO327649:MZO327720 NJK327649:NJK327720 NTG327649:NTG327720 ODC327649:ODC327720 OMY327649:OMY327720 OWU327649:OWU327720 PGQ327649:PGQ327720 PQM327649:PQM327720 QAI327649:QAI327720 QKE327649:QKE327720 QUA327649:QUA327720 RDW327649:RDW327720 RNS327649:RNS327720 RXO327649:RXO327720 SHK327649:SHK327720 SRG327649:SRG327720 TBC327649:TBC327720 TKY327649:TKY327720 TUU327649:TUU327720 UEQ327649:UEQ327720 UOM327649:UOM327720 UYI327649:UYI327720 VIE327649:VIE327720 VSA327649:VSA327720 WBW327649:WBW327720 WLS327649:WLS327720 WVO327649:WVO327720 G393185:G393256 JC393185:JC393256 SY393185:SY393256 ACU393185:ACU393256 AMQ393185:AMQ393256 AWM393185:AWM393256 BGI393185:BGI393256 BQE393185:BQE393256 CAA393185:CAA393256 CJW393185:CJW393256 CTS393185:CTS393256 DDO393185:DDO393256 DNK393185:DNK393256 DXG393185:DXG393256 EHC393185:EHC393256 EQY393185:EQY393256 FAU393185:FAU393256 FKQ393185:FKQ393256 FUM393185:FUM393256 GEI393185:GEI393256 GOE393185:GOE393256 GYA393185:GYA393256 HHW393185:HHW393256 HRS393185:HRS393256 IBO393185:IBO393256 ILK393185:ILK393256 IVG393185:IVG393256 JFC393185:JFC393256 JOY393185:JOY393256 JYU393185:JYU393256 KIQ393185:KIQ393256 KSM393185:KSM393256 LCI393185:LCI393256 LME393185:LME393256 LWA393185:LWA393256 MFW393185:MFW393256 MPS393185:MPS393256 MZO393185:MZO393256 NJK393185:NJK393256 NTG393185:NTG393256 ODC393185:ODC393256 OMY393185:OMY393256 OWU393185:OWU393256 PGQ393185:PGQ393256 PQM393185:PQM393256 QAI393185:QAI393256 QKE393185:QKE393256 QUA393185:QUA393256 RDW393185:RDW393256 RNS393185:RNS393256 RXO393185:RXO393256 SHK393185:SHK393256 SRG393185:SRG393256 TBC393185:TBC393256 TKY393185:TKY393256 TUU393185:TUU393256 UEQ393185:UEQ393256 UOM393185:UOM393256 UYI393185:UYI393256 VIE393185:VIE393256 VSA393185:VSA393256 WBW393185:WBW393256 WLS393185:WLS393256 WVO393185:WVO393256 G458721:G458792 JC458721:JC458792 SY458721:SY458792 ACU458721:ACU458792 AMQ458721:AMQ458792 AWM458721:AWM458792 BGI458721:BGI458792 BQE458721:BQE458792 CAA458721:CAA458792 CJW458721:CJW458792 CTS458721:CTS458792 DDO458721:DDO458792 DNK458721:DNK458792 DXG458721:DXG458792 EHC458721:EHC458792 EQY458721:EQY458792 FAU458721:FAU458792 FKQ458721:FKQ458792 FUM458721:FUM458792 GEI458721:GEI458792 GOE458721:GOE458792 GYA458721:GYA458792 HHW458721:HHW458792 HRS458721:HRS458792 IBO458721:IBO458792 ILK458721:ILK458792 IVG458721:IVG458792 JFC458721:JFC458792 JOY458721:JOY458792 JYU458721:JYU458792 KIQ458721:KIQ458792 KSM458721:KSM458792 LCI458721:LCI458792 LME458721:LME458792 LWA458721:LWA458792 MFW458721:MFW458792 MPS458721:MPS458792 MZO458721:MZO458792 NJK458721:NJK458792 NTG458721:NTG458792 ODC458721:ODC458792 OMY458721:OMY458792 OWU458721:OWU458792 PGQ458721:PGQ458792 PQM458721:PQM458792 QAI458721:QAI458792 QKE458721:QKE458792 QUA458721:QUA458792 RDW458721:RDW458792 RNS458721:RNS458792 RXO458721:RXO458792 SHK458721:SHK458792 SRG458721:SRG458792 TBC458721:TBC458792 TKY458721:TKY458792 TUU458721:TUU458792 UEQ458721:UEQ458792 UOM458721:UOM458792 UYI458721:UYI458792 VIE458721:VIE458792 VSA458721:VSA458792 WBW458721:WBW458792 WLS458721:WLS458792 WVO458721:WVO458792 G524257:G524328 JC524257:JC524328 SY524257:SY524328 ACU524257:ACU524328 AMQ524257:AMQ524328 AWM524257:AWM524328 BGI524257:BGI524328 BQE524257:BQE524328 CAA524257:CAA524328 CJW524257:CJW524328 CTS524257:CTS524328 DDO524257:DDO524328 DNK524257:DNK524328 DXG524257:DXG524328 EHC524257:EHC524328 EQY524257:EQY524328 FAU524257:FAU524328 FKQ524257:FKQ524328 FUM524257:FUM524328 GEI524257:GEI524328 GOE524257:GOE524328 GYA524257:GYA524328 HHW524257:HHW524328 HRS524257:HRS524328 IBO524257:IBO524328 ILK524257:ILK524328 IVG524257:IVG524328 JFC524257:JFC524328 JOY524257:JOY524328 JYU524257:JYU524328 KIQ524257:KIQ524328 KSM524257:KSM524328 LCI524257:LCI524328 LME524257:LME524328 LWA524257:LWA524328 MFW524257:MFW524328 MPS524257:MPS524328 MZO524257:MZO524328 NJK524257:NJK524328 NTG524257:NTG524328 ODC524257:ODC524328 OMY524257:OMY524328 OWU524257:OWU524328 PGQ524257:PGQ524328 PQM524257:PQM524328 QAI524257:QAI524328 QKE524257:QKE524328 QUA524257:QUA524328 RDW524257:RDW524328 RNS524257:RNS524328 RXO524257:RXO524328 SHK524257:SHK524328 SRG524257:SRG524328 TBC524257:TBC524328 TKY524257:TKY524328 TUU524257:TUU524328 UEQ524257:UEQ524328 UOM524257:UOM524328 UYI524257:UYI524328 VIE524257:VIE524328 VSA524257:VSA524328 WBW524257:WBW524328 WLS524257:WLS524328 WVO524257:WVO524328 G589793:G589864 JC589793:JC589864 SY589793:SY589864 ACU589793:ACU589864 AMQ589793:AMQ589864 AWM589793:AWM589864 BGI589793:BGI589864 BQE589793:BQE589864 CAA589793:CAA589864 CJW589793:CJW589864 CTS589793:CTS589864 DDO589793:DDO589864 DNK589793:DNK589864 DXG589793:DXG589864 EHC589793:EHC589864 EQY589793:EQY589864 FAU589793:FAU589864 FKQ589793:FKQ589864 FUM589793:FUM589864 GEI589793:GEI589864 GOE589793:GOE589864 GYA589793:GYA589864 HHW589793:HHW589864 HRS589793:HRS589864 IBO589793:IBO589864 ILK589793:ILK589864 IVG589793:IVG589864 JFC589793:JFC589864 JOY589793:JOY589864 JYU589793:JYU589864 KIQ589793:KIQ589864 KSM589793:KSM589864 LCI589793:LCI589864 LME589793:LME589864 LWA589793:LWA589864 MFW589793:MFW589864 MPS589793:MPS589864 MZO589793:MZO589864 NJK589793:NJK589864 NTG589793:NTG589864 ODC589793:ODC589864 OMY589793:OMY589864 OWU589793:OWU589864 PGQ589793:PGQ589864 PQM589793:PQM589864 QAI589793:QAI589864 QKE589793:QKE589864 QUA589793:QUA589864 RDW589793:RDW589864 RNS589793:RNS589864 RXO589793:RXO589864 SHK589793:SHK589864 SRG589793:SRG589864 TBC589793:TBC589864 TKY589793:TKY589864 TUU589793:TUU589864 UEQ589793:UEQ589864 UOM589793:UOM589864 UYI589793:UYI589864 VIE589793:VIE589864 VSA589793:VSA589864 WBW589793:WBW589864 WLS589793:WLS589864 WVO589793:WVO589864 G655329:G655400 JC655329:JC655400 SY655329:SY655400 ACU655329:ACU655400 AMQ655329:AMQ655400 AWM655329:AWM655400 BGI655329:BGI655400 BQE655329:BQE655400 CAA655329:CAA655400 CJW655329:CJW655400 CTS655329:CTS655400 DDO655329:DDO655400 DNK655329:DNK655400 DXG655329:DXG655400 EHC655329:EHC655400 EQY655329:EQY655400 FAU655329:FAU655400 FKQ655329:FKQ655400 FUM655329:FUM655400 GEI655329:GEI655400 GOE655329:GOE655400 GYA655329:GYA655400 HHW655329:HHW655400 HRS655329:HRS655400 IBO655329:IBO655400 ILK655329:ILK655400 IVG655329:IVG655400 JFC655329:JFC655400 JOY655329:JOY655400 JYU655329:JYU655400 KIQ655329:KIQ655400 KSM655329:KSM655400 LCI655329:LCI655400 LME655329:LME655400 LWA655329:LWA655400 MFW655329:MFW655400 MPS655329:MPS655400 MZO655329:MZO655400 NJK655329:NJK655400 NTG655329:NTG655400 ODC655329:ODC655400 OMY655329:OMY655400 OWU655329:OWU655400 PGQ655329:PGQ655400 PQM655329:PQM655400 QAI655329:QAI655400 QKE655329:QKE655400 QUA655329:QUA655400 RDW655329:RDW655400 RNS655329:RNS655400 RXO655329:RXO655400 SHK655329:SHK655400 SRG655329:SRG655400 TBC655329:TBC655400 TKY655329:TKY655400 TUU655329:TUU655400 UEQ655329:UEQ655400 UOM655329:UOM655400 UYI655329:UYI655400 VIE655329:VIE655400 VSA655329:VSA655400 WBW655329:WBW655400 WLS655329:WLS655400 WVO655329:WVO655400 G720865:G720936 JC720865:JC720936 SY720865:SY720936 ACU720865:ACU720936 AMQ720865:AMQ720936 AWM720865:AWM720936 BGI720865:BGI720936 BQE720865:BQE720936 CAA720865:CAA720936 CJW720865:CJW720936 CTS720865:CTS720936 DDO720865:DDO720936 DNK720865:DNK720936 DXG720865:DXG720936 EHC720865:EHC720936 EQY720865:EQY720936 FAU720865:FAU720936 FKQ720865:FKQ720936 FUM720865:FUM720936 GEI720865:GEI720936 GOE720865:GOE720936 GYA720865:GYA720936 HHW720865:HHW720936 HRS720865:HRS720936 IBO720865:IBO720936 ILK720865:ILK720936 IVG720865:IVG720936 JFC720865:JFC720936 JOY720865:JOY720936 JYU720865:JYU720936 KIQ720865:KIQ720936 KSM720865:KSM720936 LCI720865:LCI720936 LME720865:LME720936 LWA720865:LWA720936 MFW720865:MFW720936 MPS720865:MPS720936 MZO720865:MZO720936 NJK720865:NJK720936 NTG720865:NTG720936 ODC720865:ODC720936 OMY720865:OMY720936 OWU720865:OWU720936 PGQ720865:PGQ720936 PQM720865:PQM720936 QAI720865:QAI720936 QKE720865:QKE720936 QUA720865:QUA720936 RDW720865:RDW720936 RNS720865:RNS720936 RXO720865:RXO720936 SHK720865:SHK720936 SRG720865:SRG720936 TBC720865:TBC720936 TKY720865:TKY720936 TUU720865:TUU720936 UEQ720865:UEQ720936 UOM720865:UOM720936 UYI720865:UYI720936 VIE720865:VIE720936 VSA720865:VSA720936 WBW720865:WBW720936 WLS720865:WLS720936 WVO720865:WVO720936 G786401:G786472 JC786401:JC786472 SY786401:SY786472 ACU786401:ACU786472 AMQ786401:AMQ786472 AWM786401:AWM786472 BGI786401:BGI786472 BQE786401:BQE786472 CAA786401:CAA786472 CJW786401:CJW786472 CTS786401:CTS786472 DDO786401:DDO786472 DNK786401:DNK786472 DXG786401:DXG786472 EHC786401:EHC786472 EQY786401:EQY786472 FAU786401:FAU786472 FKQ786401:FKQ786472 FUM786401:FUM786472 GEI786401:GEI786472 GOE786401:GOE786472 GYA786401:GYA786472 HHW786401:HHW786472 HRS786401:HRS786472 IBO786401:IBO786472 ILK786401:ILK786472 IVG786401:IVG786472 JFC786401:JFC786472 JOY786401:JOY786472 JYU786401:JYU786472 KIQ786401:KIQ786472 KSM786401:KSM786472 LCI786401:LCI786472 LME786401:LME786472 LWA786401:LWA786472 MFW786401:MFW786472 MPS786401:MPS786472 MZO786401:MZO786472 NJK786401:NJK786472 NTG786401:NTG786472 ODC786401:ODC786472 OMY786401:OMY786472 OWU786401:OWU786472 PGQ786401:PGQ786472 PQM786401:PQM786472 QAI786401:QAI786472 QKE786401:QKE786472 QUA786401:QUA786472 RDW786401:RDW786472 RNS786401:RNS786472 RXO786401:RXO786472 SHK786401:SHK786472 SRG786401:SRG786472 TBC786401:TBC786472 TKY786401:TKY786472 TUU786401:TUU786472 UEQ786401:UEQ786472 UOM786401:UOM786472 UYI786401:UYI786472 VIE786401:VIE786472 VSA786401:VSA786472 WBW786401:WBW786472 WLS786401:WLS786472 WVO786401:WVO786472 G851937:G852008 JC851937:JC852008 SY851937:SY852008 ACU851937:ACU852008 AMQ851937:AMQ852008 AWM851937:AWM852008 BGI851937:BGI852008 BQE851937:BQE852008 CAA851937:CAA852008 CJW851937:CJW852008 CTS851937:CTS852008 DDO851937:DDO852008 DNK851937:DNK852008 DXG851937:DXG852008 EHC851937:EHC852008 EQY851937:EQY852008 FAU851937:FAU852008 FKQ851937:FKQ852008 FUM851937:FUM852008 GEI851937:GEI852008 GOE851937:GOE852008 GYA851937:GYA852008 HHW851937:HHW852008 HRS851937:HRS852008 IBO851937:IBO852008 ILK851937:ILK852008 IVG851937:IVG852008 JFC851937:JFC852008 JOY851937:JOY852008 JYU851937:JYU852008 KIQ851937:KIQ852008 KSM851937:KSM852008 LCI851937:LCI852008 LME851937:LME852008 LWA851937:LWA852008 MFW851937:MFW852008 MPS851937:MPS852008 MZO851937:MZO852008 NJK851937:NJK852008 NTG851937:NTG852008 ODC851937:ODC852008 OMY851937:OMY852008 OWU851937:OWU852008 PGQ851937:PGQ852008 PQM851937:PQM852008 QAI851937:QAI852008 QKE851937:QKE852008 QUA851937:QUA852008 RDW851937:RDW852008 RNS851937:RNS852008 RXO851937:RXO852008 SHK851937:SHK852008 SRG851937:SRG852008 TBC851937:TBC852008 TKY851937:TKY852008 TUU851937:TUU852008 UEQ851937:UEQ852008 UOM851937:UOM852008 UYI851937:UYI852008 VIE851937:VIE852008 VSA851937:VSA852008 WBW851937:WBW852008 WLS851937:WLS852008 WVO851937:WVO852008 G917473:G917544 JC917473:JC917544 SY917473:SY917544 ACU917473:ACU917544 AMQ917473:AMQ917544 AWM917473:AWM917544 BGI917473:BGI917544 BQE917473:BQE917544 CAA917473:CAA917544 CJW917473:CJW917544 CTS917473:CTS917544 DDO917473:DDO917544 DNK917473:DNK917544 DXG917473:DXG917544 EHC917473:EHC917544 EQY917473:EQY917544 FAU917473:FAU917544 FKQ917473:FKQ917544 FUM917473:FUM917544 GEI917473:GEI917544 GOE917473:GOE917544 GYA917473:GYA917544 HHW917473:HHW917544 HRS917473:HRS917544 IBO917473:IBO917544 ILK917473:ILK917544 IVG917473:IVG917544 JFC917473:JFC917544 JOY917473:JOY917544 JYU917473:JYU917544 KIQ917473:KIQ917544 KSM917473:KSM917544 LCI917473:LCI917544 LME917473:LME917544 LWA917473:LWA917544 MFW917473:MFW917544 MPS917473:MPS917544 MZO917473:MZO917544 NJK917473:NJK917544 NTG917473:NTG917544 ODC917473:ODC917544 OMY917473:OMY917544 OWU917473:OWU917544 PGQ917473:PGQ917544 PQM917473:PQM917544 QAI917473:QAI917544 QKE917473:QKE917544 QUA917473:QUA917544 RDW917473:RDW917544 RNS917473:RNS917544 RXO917473:RXO917544 SHK917473:SHK917544 SRG917473:SRG917544 TBC917473:TBC917544 TKY917473:TKY917544 TUU917473:TUU917544 UEQ917473:UEQ917544 UOM917473:UOM917544 UYI917473:UYI917544 VIE917473:VIE917544 VSA917473:VSA917544 WBW917473:WBW917544 WLS917473:WLS917544 WVO917473:WVO917544 G983009:G983080 JC983009:JC983080 SY983009:SY983080 ACU983009:ACU983080 AMQ983009:AMQ983080 AWM983009:AWM983080 BGI983009:BGI983080 BQE983009:BQE983080 CAA983009:CAA983080 CJW983009:CJW983080 CTS983009:CTS983080 DDO983009:DDO983080 DNK983009:DNK983080 DXG983009:DXG983080 EHC983009:EHC983080 EQY983009:EQY983080 FAU983009:FAU983080 FKQ983009:FKQ983080 FUM983009:FUM983080 GEI983009:GEI983080 GOE983009:GOE983080 GYA983009:GYA983080 HHW983009:HHW983080 HRS983009:HRS983080 IBO983009:IBO983080 ILK983009:ILK983080 IVG983009:IVG983080 JFC983009:JFC983080 JOY983009:JOY983080 JYU983009:JYU983080 KIQ983009:KIQ983080 KSM983009:KSM983080 LCI983009:LCI983080 LME983009:LME983080 LWA983009:LWA983080 MFW983009:MFW983080 MPS983009:MPS983080 MZO983009:MZO983080 NJK983009:NJK983080 NTG983009:NTG983080 ODC983009:ODC983080 OMY983009:OMY983080 OWU983009:OWU983080 PGQ983009:PGQ983080 PQM983009:PQM983080 QAI983009:QAI983080 QKE983009:QKE983080 QUA983009:QUA983080 RDW983009:RDW983080 RNS983009:RNS983080 RXO983009:RXO983080 SHK983009:SHK983080 SRG983009:SRG983080 TBC983009:TBC983080 TKY983009:TKY983080 TUU983009:TUU983080 UEQ983009:UEQ983080 UOM983009:UOM983080 UYI983009:UYI983080 VIE983009:VIE983080 VSA983009:VSA983080 WBW983009:WBW983080 WLS983009:WLS983080 SY2:SY54 ACU2:ACU54 AMQ2:AMQ54 AWM2:AWM54 BGI2:BGI54 BQE2:BQE54 CAA2:CAA54 CJW2:CJW54 CTS2:CTS54 DDO2:DDO54 DNK2:DNK54 DXG2:DXG54 EHC2:EHC54 EQY2:EQY54 FAU2:FAU54 FKQ2:FKQ54 FUM2:FUM54 GEI2:GEI54 GOE2:GOE54 GYA2:GYA54 HHW2:HHW54 HRS2:HRS54 IBO2:IBO54 ILK2:ILK54 IVG2:IVG54 JFC2:JFC54 JOY2:JOY54 JYU2:JYU54 KIQ2:KIQ54 KSM2:KSM54 LCI2:LCI54 LME2:LME54 LWA2:LWA54 MFW2:MFW54 MPS2:MPS54 MZO2:MZO54 NJK2:NJK54 NTG2:NTG54 ODC2:ODC54 OMY2:OMY54 OWU2:OWU54 PGQ2:PGQ54 PQM2:PQM54 QAI2:QAI54 QKE2:QKE54 QUA2:QUA54 RDW2:RDW54 RNS2:RNS54 RXO2:RXO54 SHK2:SHK54 SRG2:SRG54 TBC2:TBC54 TKY2:TKY54 TUU2:TUU54 UEQ2:UEQ54 UOM2:UOM54 UYI2:UYI54 VIE2:VIE54 VSA2:VSA54 WBW2:WBW54 WLS2:WLS54 WVO2:WVO54 JC2:JC54 G2:G467" xr:uid="{AB2CD1D1-8635-4D70-8BCB-1BB9E55665DE}">
      <formula1>$AJ$2:$AJ$4</formula1>
    </dataValidation>
    <dataValidation type="list" allowBlank="1" showInputMessage="1" showErrorMessage="1" sqref="I64330:I64395 JE64330:JE64395 TA64330:TA64395 ACW64330:ACW64395 AMS64330:AMS64395 AWO64330:AWO64395 BGK64330:BGK64395 BQG64330:BQG64395 CAC64330:CAC64395 CJY64330:CJY64395 CTU64330:CTU64395 DDQ64330:DDQ64395 DNM64330:DNM64395 DXI64330:DXI64395 EHE64330:EHE64395 ERA64330:ERA64395 FAW64330:FAW64395 FKS64330:FKS64395 FUO64330:FUO64395 GEK64330:GEK64395 GOG64330:GOG64395 GYC64330:GYC64395 HHY64330:HHY64395 HRU64330:HRU64395 IBQ64330:IBQ64395 ILM64330:ILM64395 IVI64330:IVI64395 JFE64330:JFE64395 JPA64330:JPA64395 JYW64330:JYW64395 KIS64330:KIS64395 KSO64330:KSO64395 LCK64330:LCK64395 LMG64330:LMG64395 LWC64330:LWC64395 MFY64330:MFY64395 MPU64330:MPU64395 MZQ64330:MZQ64395 NJM64330:NJM64395 NTI64330:NTI64395 ODE64330:ODE64395 ONA64330:ONA64395 OWW64330:OWW64395 PGS64330:PGS64395 PQO64330:PQO64395 QAK64330:QAK64395 QKG64330:QKG64395 QUC64330:QUC64395 RDY64330:RDY64395 RNU64330:RNU64395 RXQ64330:RXQ64395 SHM64330:SHM64395 SRI64330:SRI64395 TBE64330:TBE64395 TLA64330:TLA64395 TUW64330:TUW64395 UES64330:UES64395 UOO64330:UOO64395 UYK64330:UYK64395 VIG64330:VIG64395 VSC64330:VSC64395 WBY64330:WBY64395 WLU64330:WLU64395 WVQ64330:WVQ64395 I129866:I129931 JE129866:JE129931 TA129866:TA129931 ACW129866:ACW129931 AMS129866:AMS129931 AWO129866:AWO129931 BGK129866:BGK129931 BQG129866:BQG129931 CAC129866:CAC129931 CJY129866:CJY129931 CTU129866:CTU129931 DDQ129866:DDQ129931 DNM129866:DNM129931 DXI129866:DXI129931 EHE129866:EHE129931 ERA129866:ERA129931 FAW129866:FAW129931 FKS129866:FKS129931 FUO129866:FUO129931 GEK129866:GEK129931 GOG129866:GOG129931 GYC129866:GYC129931 HHY129866:HHY129931 HRU129866:HRU129931 IBQ129866:IBQ129931 ILM129866:ILM129931 IVI129866:IVI129931 JFE129866:JFE129931 JPA129866:JPA129931 JYW129866:JYW129931 KIS129866:KIS129931 KSO129866:KSO129931 LCK129866:LCK129931 LMG129866:LMG129931 LWC129866:LWC129931 MFY129866:MFY129931 MPU129866:MPU129931 MZQ129866:MZQ129931 NJM129866:NJM129931 NTI129866:NTI129931 ODE129866:ODE129931 ONA129866:ONA129931 OWW129866:OWW129931 PGS129866:PGS129931 PQO129866:PQO129931 QAK129866:QAK129931 QKG129866:QKG129931 QUC129866:QUC129931 RDY129866:RDY129931 RNU129866:RNU129931 RXQ129866:RXQ129931 SHM129866:SHM129931 SRI129866:SRI129931 TBE129866:TBE129931 TLA129866:TLA129931 TUW129866:TUW129931 UES129866:UES129931 UOO129866:UOO129931 UYK129866:UYK129931 VIG129866:VIG129931 VSC129866:VSC129931 WBY129866:WBY129931 WLU129866:WLU129931 WVQ129866:WVQ129931 I195402:I195467 JE195402:JE195467 TA195402:TA195467 ACW195402:ACW195467 AMS195402:AMS195467 AWO195402:AWO195467 BGK195402:BGK195467 BQG195402:BQG195467 CAC195402:CAC195467 CJY195402:CJY195467 CTU195402:CTU195467 DDQ195402:DDQ195467 DNM195402:DNM195467 DXI195402:DXI195467 EHE195402:EHE195467 ERA195402:ERA195467 FAW195402:FAW195467 FKS195402:FKS195467 FUO195402:FUO195467 GEK195402:GEK195467 GOG195402:GOG195467 GYC195402:GYC195467 HHY195402:HHY195467 HRU195402:HRU195467 IBQ195402:IBQ195467 ILM195402:ILM195467 IVI195402:IVI195467 JFE195402:JFE195467 JPA195402:JPA195467 JYW195402:JYW195467 KIS195402:KIS195467 KSO195402:KSO195467 LCK195402:LCK195467 LMG195402:LMG195467 LWC195402:LWC195467 MFY195402:MFY195467 MPU195402:MPU195467 MZQ195402:MZQ195467 NJM195402:NJM195467 NTI195402:NTI195467 ODE195402:ODE195467 ONA195402:ONA195467 OWW195402:OWW195467 PGS195402:PGS195467 PQO195402:PQO195467 QAK195402:QAK195467 QKG195402:QKG195467 QUC195402:QUC195467 RDY195402:RDY195467 RNU195402:RNU195467 RXQ195402:RXQ195467 SHM195402:SHM195467 SRI195402:SRI195467 TBE195402:TBE195467 TLA195402:TLA195467 TUW195402:TUW195467 UES195402:UES195467 UOO195402:UOO195467 UYK195402:UYK195467 VIG195402:VIG195467 VSC195402:VSC195467 WBY195402:WBY195467 WLU195402:WLU195467 WVQ195402:WVQ195467 I260938:I261003 JE260938:JE261003 TA260938:TA261003 ACW260938:ACW261003 AMS260938:AMS261003 AWO260938:AWO261003 BGK260938:BGK261003 BQG260938:BQG261003 CAC260938:CAC261003 CJY260938:CJY261003 CTU260938:CTU261003 DDQ260938:DDQ261003 DNM260938:DNM261003 DXI260938:DXI261003 EHE260938:EHE261003 ERA260938:ERA261003 FAW260938:FAW261003 FKS260938:FKS261003 FUO260938:FUO261003 GEK260938:GEK261003 GOG260938:GOG261003 GYC260938:GYC261003 HHY260938:HHY261003 HRU260938:HRU261003 IBQ260938:IBQ261003 ILM260938:ILM261003 IVI260938:IVI261003 JFE260938:JFE261003 JPA260938:JPA261003 JYW260938:JYW261003 KIS260938:KIS261003 KSO260938:KSO261003 LCK260938:LCK261003 LMG260938:LMG261003 LWC260938:LWC261003 MFY260938:MFY261003 MPU260938:MPU261003 MZQ260938:MZQ261003 NJM260938:NJM261003 NTI260938:NTI261003 ODE260938:ODE261003 ONA260938:ONA261003 OWW260938:OWW261003 PGS260938:PGS261003 PQO260938:PQO261003 QAK260938:QAK261003 QKG260938:QKG261003 QUC260938:QUC261003 RDY260938:RDY261003 RNU260938:RNU261003 RXQ260938:RXQ261003 SHM260938:SHM261003 SRI260938:SRI261003 TBE260938:TBE261003 TLA260938:TLA261003 TUW260938:TUW261003 UES260938:UES261003 UOO260938:UOO261003 UYK260938:UYK261003 VIG260938:VIG261003 VSC260938:VSC261003 WBY260938:WBY261003 WLU260938:WLU261003 WVQ260938:WVQ261003 I326474:I326539 JE326474:JE326539 TA326474:TA326539 ACW326474:ACW326539 AMS326474:AMS326539 AWO326474:AWO326539 BGK326474:BGK326539 BQG326474:BQG326539 CAC326474:CAC326539 CJY326474:CJY326539 CTU326474:CTU326539 DDQ326474:DDQ326539 DNM326474:DNM326539 DXI326474:DXI326539 EHE326474:EHE326539 ERA326474:ERA326539 FAW326474:FAW326539 FKS326474:FKS326539 FUO326474:FUO326539 GEK326474:GEK326539 GOG326474:GOG326539 GYC326474:GYC326539 HHY326474:HHY326539 HRU326474:HRU326539 IBQ326474:IBQ326539 ILM326474:ILM326539 IVI326474:IVI326539 JFE326474:JFE326539 JPA326474:JPA326539 JYW326474:JYW326539 KIS326474:KIS326539 KSO326474:KSO326539 LCK326474:LCK326539 LMG326474:LMG326539 LWC326474:LWC326539 MFY326474:MFY326539 MPU326474:MPU326539 MZQ326474:MZQ326539 NJM326474:NJM326539 NTI326474:NTI326539 ODE326474:ODE326539 ONA326474:ONA326539 OWW326474:OWW326539 PGS326474:PGS326539 PQO326474:PQO326539 QAK326474:QAK326539 QKG326474:QKG326539 QUC326474:QUC326539 RDY326474:RDY326539 RNU326474:RNU326539 RXQ326474:RXQ326539 SHM326474:SHM326539 SRI326474:SRI326539 TBE326474:TBE326539 TLA326474:TLA326539 TUW326474:TUW326539 UES326474:UES326539 UOO326474:UOO326539 UYK326474:UYK326539 VIG326474:VIG326539 VSC326474:VSC326539 WBY326474:WBY326539 WLU326474:WLU326539 WVQ326474:WVQ326539 I392010:I392075 JE392010:JE392075 TA392010:TA392075 ACW392010:ACW392075 AMS392010:AMS392075 AWO392010:AWO392075 BGK392010:BGK392075 BQG392010:BQG392075 CAC392010:CAC392075 CJY392010:CJY392075 CTU392010:CTU392075 DDQ392010:DDQ392075 DNM392010:DNM392075 DXI392010:DXI392075 EHE392010:EHE392075 ERA392010:ERA392075 FAW392010:FAW392075 FKS392010:FKS392075 FUO392010:FUO392075 GEK392010:GEK392075 GOG392010:GOG392075 GYC392010:GYC392075 HHY392010:HHY392075 HRU392010:HRU392075 IBQ392010:IBQ392075 ILM392010:ILM392075 IVI392010:IVI392075 JFE392010:JFE392075 JPA392010:JPA392075 JYW392010:JYW392075 KIS392010:KIS392075 KSO392010:KSO392075 LCK392010:LCK392075 LMG392010:LMG392075 LWC392010:LWC392075 MFY392010:MFY392075 MPU392010:MPU392075 MZQ392010:MZQ392075 NJM392010:NJM392075 NTI392010:NTI392075 ODE392010:ODE392075 ONA392010:ONA392075 OWW392010:OWW392075 PGS392010:PGS392075 PQO392010:PQO392075 QAK392010:QAK392075 QKG392010:QKG392075 QUC392010:QUC392075 RDY392010:RDY392075 RNU392010:RNU392075 RXQ392010:RXQ392075 SHM392010:SHM392075 SRI392010:SRI392075 TBE392010:TBE392075 TLA392010:TLA392075 TUW392010:TUW392075 UES392010:UES392075 UOO392010:UOO392075 UYK392010:UYK392075 VIG392010:VIG392075 VSC392010:VSC392075 WBY392010:WBY392075 WLU392010:WLU392075 WVQ392010:WVQ392075 I457546:I457611 JE457546:JE457611 TA457546:TA457611 ACW457546:ACW457611 AMS457546:AMS457611 AWO457546:AWO457611 BGK457546:BGK457611 BQG457546:BQG457611 CAC457546:CAC457611 CJY457546:CJY457611 CTU457546:CTU457611 DDQ457546:DDQ457611 DNM457546:DNM457611 DXI457546:DXI457611 EHE457546:EHE457611 ERA457546:ERA457611 FAW457546:FAW457611 FKS457546:FKS457611 FUO457546:FUO457611 GEK457546:GEK457611 GOG457546:GOG457611 GYC457546:GYC457611 HHY457546:HHY457611 HRU457546:HRU457611 IBQ457546:IBQ457611 ILM457546:ILM457611 IVI457546:IVI457611 JFE457546:JFE457611 JPA457546:JPA457611 JYW457546:JYW457611 KIS457546:KIS457611 KSO457546:KSO457611 LCK457546:LCK457611 LMG457546:LMG457611 LWC457546:LWC457611 MFY457546:MFY457611 MPU457546:MPU457611 MZQ457546:MZQ457611 NJM457546:NJM457611 NTI457546:NTI457611 ODE457546:ODE457611 ONA457546:ONA457611 OWW457546:OWW457611 PGS457546:PGS457611 PQO457546:PQO457611 QAK457546:QAK457611 QKG457546:QKG457611 QUC457546:QUC457611 RDY457546:RDY457611 RNU457546:RNU457611 RXQ457546:RXQ457611 SHM457546:SHM457611 SRI457546:SRI457611 TBE457546:TBE457611 TLA457546:TLA457611 TUW457546:TUW457611 UES457546:UES457611 UOO457546:UOO457611 UYK457546:UYK457611 VIG457546:VIG457611 VSC457546:VSC457611 WBY457546:WBY457611 WLU457546:WLU457611 WVQ457546:WVQ457611 I523082:I523147 JE523082:JE523147 TA523082:TA523147 ACW523082:ACW523147 AMS523082:AMS523147 AWO523082:AWO523147 BGK523082:BGK523147 BQG523082:BQG523147 CAC523082:CAC523147 CJY523082:CJY523147 CTU523082:CTU523147 DDQ523082:DDQ523147 DNM523082:DNM523147 DXI523082:DXI523147 EHE523082:EHE523147 ERA523082:ERA523147 FAW523082:FAW523147 FKS523082:FKS523147 FUO523082:FUO523147 GEK523082:GEK523147 GOG523082:GOG523147 GYC523082:GYC523147 HHY523082:HHY523147 HRU523082:HRU523147 IBQ523082:IBQ523147 ILM523082:ILM523147 IVI523082:IVI523147 JFE523082:JFE523147 JPA523082:JPA523147 JYW523082:JYW523147 KIS523082:KIS523147 KSO523082:KSO523147 LCK523082:LCK523147 LMG523082:LMG523147 LWC523082:LWC523147 MFY523082:MFY523147 MPU523082:MPU523147 MZQ523082:MZQ523147 NJM523082:NJM523147 NTI523082:NTI523147 ODE523082:ODE523147 ONA523082:ONA523147 OWW523082:OWW523147 PGS523082:PGS523147 PQO523082:PQO523147 QAK523082:QAK523147 QKG523082:QKG523147 QUC523082:QUC523147 RDY523082:RDY523147 RNU523082:RNU523147 RXQ523082:RXQ523147 SHM523082:SHM523147 SRI523082:SRI523147 TBE523082:TBE523147 TLA523082:TLA523147 TUW523082:TUW523147 UES523082:UES523147 UOO523082:UOO523147 UYK523082:UYK523147 VIG523082:VIG523147 VSC523082:VSC523147 WBY523082:WBY523147 WLU523082:WLU523147 WVQ523082:WVQ523147 I588618:I588683 JE588618:JE588683 TA588618:TA588683 ACW588618:ACW588683 AMS588618:AMS588683 AWO588618:AWO588683 BGK588618:BGK588683 BQG588618:BQG588683 CAC588618:CAC588683 CJY588618:CJY588683 CTU588618:CTU588683 DDQ588618:DDQ588683 DNM588618:DNM588683 DXI588618:DXI588683 EHE588618:EHE588683 ERA588618:ERA588683 FAW588618:FAW588683 FKS588618:FKS588683 FUO588618:FUO588683 GEK588618:GEK588683 GOG588618:GOG588683 GYC588618:GYC588683 HHY588618:HHY588683 HRU588618:HRU588683 IBQ588618:IBQ588683 ILM588618:ILM588683 IVI588618:IVI588683 JFE588618:JFE588683 JPA588618:JPA588683 JYW588618:JYW588683 KIS588618:KIS588683 KSO588618:KSO588683 LCK588618:LCK588683 LMG588618:LMG588683 LWC588618:LWC588683 MFY588618:MFY588683 MPU588618:MPU588683 MZQ588618:MZQ588683 NJM588618:NJM588683 NTI588618:NTI588683 ODE588618:ODE588683 ONA588618:ONA588683 OWW588618:OWW588683 PGS588618:PGS588683 PQO588618:PQO588683 QAK588618:QAK588683 QKG588618:QKG588683 QUC588618:QUC588683 RDY588618:RDY588683 RNU588618:RNU588683 RXQ588618:RXQ588683 SHM588618:SHM588683 SRI588618:SRI588683 TBE588618:TBE588683 TLA588618:TLA588683 TUW588618:TUW588683 UES588618:UES588683 UOO588618:UOO588683 UYK588618:UYK588683 VIG588618:VIG588683 VSC588618:VSC588683 WBY588618:WBY588683 WLU588618:WLU588683 WVQ588618:WVQ588683 I654154:I654219 JE654154:JE654219 TA654154:TA654219 ACW654154:ACW654219 AMS654154:AMS654219 AWO654154:AWO654219 BGK654154:BGK654219 BQG654154:BQG654219 CAC654154:CAC654219 CJY654154:CJY654219 CTU654154:CTU654219 DDQ654154:DDQ654219 DNM654154:DNM654219 DXI654154:DXI654219 EHE654154:EHE654219 ERA654154:ERA654219 FAW654154:FAW654219 FKS654154:FKS654219 FUO654154:FUO654219 GEK654154:GEK654219 GOG654154:GOG654219 GYC654154:GYC654219 HHY654154:HHY654219 HRU654154:HRU654219 IBQ654154:IBQ654219 ILM654154:ILM654219 IVI654154:IVI654219 JFE654154:JFE654219 JPA654154:JPA654219 JYW654154:JYW654219 KIS654154:KIS654219 KSO654154:KSO654219 LCK654154:LCK654219 LMG654154:LMG654219 LWC654154:LWC654219 MFY654154:MFY654219 MPU654154:MPU654219 MZQ654154:MZQ654219 NJM654154:NJM654219 NTI654154:NTI654219 ODE654154:ODE654219 ONA654154:ONA654219 OWW654154:OWW654219 PGS654154:PGS654219 PQO654154:PQO654219 QAK654154:QAK654219 QKG654154:QKG654219 QUC654154:QUC654219 RDY654154:RDY654219 RNU654154:RNU654219 RXQ654154:RXQ654219 SHM654154:SHM654219 SRI654154:SRI654219 TBE654154:TBE654219 TLA654154:TLA654219 TUW654154:TUW654219 UES654154:UES654219 UOO654154:UOO654219 UYK654154:UYK654219 VIG654154:VIG654219 VSC654154:VSC654219 WBY654154:WBY654219 WLU654154:WLU654219 WVQ654154:WVQ654219 I719690:I719755 JE719690:JE719755 TA719690:TA719755 ACW719690:ACW719755 AMS719690:AMS719755 AWO719690:AWO719755 BGK719690:BGK719755 BQG719690:BQG719755 CAC719690:CAC719755 CJY719690:CJY719755 CTU719690:CTU719755 DDQ719690:DDQ719755 DNM719690:DNM719755 DXI719690:DXI719755 EHE719690:EHE719755 ERA719690:ERA719755 FAW719690:FAW719755 FKS719690:FKS719755 FUO719690:FUO719755 GEK719690:GEK719755 GOG719690:GOG719755 GYC719690:GYC719755 HHY719690:HHY719755 HRU719690:HRU719755 IBQ719690:IBQ719755 ILM719690:ILM719755 IVI719690:IVI719755 JFE719690:JFE719755 JPA719690:JPA719755 JYW719690:JYW719755 KIS719690:KIS719755 KSO719690:KSO719755 LCK719690:LCK719755 LMG719690:LMG719755 LWC719690:LWC719755 MFY719690:MFY719755 MPU719690:MPU719755 MZQ719690:MZQ719755 NJM719690:NJM719755 NTI719690:NTI719755 ODE719690:ODE719755 ONA719690:ONA719755 OWW719690:OWW719755 PGS719690:PGS719755 PQO719690:PQO719755 QAK719690:QAK719755 QKG719690:QKG719755 QUC719690:QUC719755 RDY719690:RDY719755 RNU719690:RNU719755 RXQ719690:RXQ719755 SHM719690:SHM719755 SRI719690:SRI719755 TBE719690:TBE719755 TLA719690:TLA719755 TUW719690:TUW719755 UES719690:UES719755 UOO719690:UOO719755 UYK719690:UYK719755 VIG719690:VIG719755 VSC719690:VSC719755 WBY719690:WBY719755 WLU719690:WLU719755 WVQ719690:WVQ719755 I785226:I785291 JE785226:JE785291 TA785226:TA785291 ACW785226:ACW785291 AMS785226:AMS785291 AWO785226:AWO785291 BGK785226:BGK785291 BQG785226:BQG785291 CAC785226:CAC785291 CJY785226:CJY785291 CTU785226:CTU785291 DDQ785226:DDQ785291 DNM785226:DNM785291 DXI785226:DXI785291 EHE785226:EHE785291 ERA785226:ERA785291 FAW785226:FAW785291 FKS785226:FKS785291 FUO785226:FUO785291 GEK785226:GEK785291 GOG785226:GOG785291 GYC785226:GYC785291 HHY785226:HHY785291 HRU785226:HRU785291 IBQ785226:IBQ785291 ILM785226:ILM785291 IVI785226:IVI785291 JFE785226:JFE785291 JPA785226:JPA785291 JYW785226:JYW785291 KIS785226:KIS785291 KSO785226:KSO785291 LCK785226:LCK785291 LMG785226:LMG785291 LWC785226:LWC785291 MFY785226:MFY785291 MPU785226:MPU785291 MZQ785226:MZQ785291 NJM785226:NJM785291 NTI785226:NTI785291 ODE785226:ODE785291 ONA785226:ONA785291 OWW785226:OWW785291 PGS785226:PGS785291 PQO785226:PQO785291 QAK785226:QAK785291 QKG785226:QKG785291 QUC785226:QUC785291 RDY785226:RDY785291 RNU785226:RNU785291 RXQ785226:RXQ785291 SHM785226:SHM785291 SRI785226:SRI785291 TBE785226:TBE785291 TLA785226:TLA785291 TUW785226:TUW785291 UES785226:UES785291 UOO785226:UOO785291 UYK785226:UYK785291 VIG785226:VIG785291 VSC785226:VSC785291 WBY785226:WBY785291 WLU785226:WLU785291 WVQ785226:WVQ785291 I850762:I850827 JE850762:JE850827 TA850762:TA850827 ACW850762:ACW850827 AMS850762:AMS850827 AWO850762:AWO850827 BGK850762:BGK850827 BQG850762:BQG850827 CAC850762:CAC850827 CJY850762:CJY850827 CTU850762:CTU850827 DDQ850762:DDQ850827 DNM850762:DNM850827 DXI850762:DXI850827 EHE850762:EHE850827 ERA850762:ERA850827 FAW850762:FAW850827 FKS850762:FKS850827 FUO850762:FUO850827 GEK850762:GEK850827 GOG850762:GOG850827 GYC850762:GYC850827 HHY850762:HHY850827 HRU850762:HRU850827 IBQ850762:IBQ850827 ILM850762:ILM850827 IVI850762:IVI850827 JFE850762:JFE850827 JPA850762:JPA850827 JYW850762:JYW850827 KIS850762:KIS850827 KSO850762:KSO850827 LCK850762:LCK850827 LMG850762:LMG850827 LWC850762:LWC850827 MFY850762:MFY850827 MPU850762:MPU850827 MZQ850762:MZQ850827 NJM850762:NJM850827 NTI850762:NTI850827 ODE850762:ODE850827 ONA850762:ONA850827 OWW850762:OWW850827 PGS850762:PGS850827 PQO850762:PQO850827 QAK850762:QAK850827 QKG850762:QKG850827 QUC850762:QUC850827 RDY850762:RDY850827 RNU850762:RNU850827 RXQ850762:RXQ850827 SHM850762:SHM850827 SRI850762:SRI850827 TBE850762:TBE850827 TLA850762:TLA850827 TUW850762:TUW850827 UES850762:UES850827 UOO850762:UOO850827 UYK850762:UYK850827 VIG850762:VIG850827 VSC850762:VSC850827 WBY850762:WBY850827 WLU850762:WLU850827 WVQ850762:WVQ850827 I916298:I916363 JE916298:JE916363 TA916298:TA916363 ACW916298:ACW916363 AMS916298:AMS916363 AWO916298:AWO916363 BGK916298:BGK916363 BQG916298:BQG916363 CAC916298:CAC916363 CJY916298:CJY916363 CTU916298:CTU916363 DDQ916298:DDQ916363 DNM916298:DNM916363 DXI916298:DXI916363 EHE916298:EHE916363 ERA916298:ERA916363 FAW916298:FAW916363 FKS916298:FKS916363 FUO916298:FUO916363 GEK916298:GEK916363 GOG916298:GOG916363 GYC916298:GYC916363 HHY916298:HHY916363 HRU916298:HRU916363 IBQ916298:IBQ916363 ILM916298:ILM916363 IVI916298:IVI916363 JFE916298:JFE916363 JPA916298:JPA916363 JYW916298:JYW916363 KIS916298:KIS916363 KSO916298:KSO916363 LCK916298:LCK916363 LMG916298:LMG916363 LWC916298:LWC916363 MFY916298:MFY916363 MPU916298:MPU916363 MZQ916298:MZQ916363 NJM916298:NJM916363 NTI916298:NTI916363 ODE916298:ODE916363 ONA916298:ONA916363 OWW916298:OWW916363 PGS916298:PGS916363 PQO916298:PQO916363 QAK916298:QAK916363 QKG916298:QKG916363 QUC916298:QUC916363 RDY916298:RDY916363 RNU916298:RNU916363 RXQ916298:RXQ916363 SHM916298:SHM916363 SRI916298:SRI916363 TBE916298:TBE916363 TLA916298:TLA916363 TUW916298:TUW916363 UES916298:UES916363 UOO916298:UOO916363 UYK916298:UYK916363 VIG916298:VIG916363 VSC916298:VSC916363 WBY916298:WBY916363 WLU916298:WLU916363 WVQ916298:WVQ916363 I981834:I981899 JE981834:JE981899 TA981834:TA981899 ACW981834:ACW981899 AMS981834:AMS981899 AWO981834:AWO981899 BGK981834:BGK981899 BQG981834:BQG981899 CAC981834:CAC981899 CJY981834:CJY981899 CTU981834:CTU981899 DDQ981834:DDQ981899 DNM981834:DNM981899 DXI981834:DXI981899 EHE981834:EHE981899 ERA981834:ERA981899 FAW981834:FAW981899 FKS981834:FKS981899 FUO981834:FUO981899 GEK981834:GEK981899 GOG981834:GOG981899 GYC981834:GYC981899 HHY981834:HHY981899 HRU981834:HRU981899 IBQ981834:IBQ981899 ILM981834:ILM981899 IVI981834:IVI981899 JFE981834:JFE981899 JPA981834:JPA981899 JYW981834:JYW981899 KIS981834:KIS981899 KSO981834:KSO981899 LCK981834:LCK981899 LMG981834:LMG981899 LWC981834:LWC981899 MFY981834:MFY981899 MPU981834:MPU981899 MZQ981834:MZQ981899 NJM981834:NJM981899 NTI981834:NTI981899 ODE981834:ODE981899 ONA981834:ONA981899 OWW981834:OWW981899 PGS981834:PGS981899 PQO981834:PQO981899 QAK981834:QAK981899 QKG981834:QKG981899 QUC981834:QUC981899 RDY981834:RDY981899 RNU981834:RNU981899 RXQ981834:RXQ981899 SHM981834:SHM981899 SRI981834:SRI981899 TBE981834:TBE981899 TLA981834:TLA981899 TUW981834:TUW981899 UES981834:UES981899 UOO981834:UOO981899 UYK981834:UYK981899 VIG981834:VIG981899 VSC981834:VSC981899 WBY981834:WBY981899 WLU981834:WLU981899 WVQ981834:WVQ981899 I1047370:I1047435 JE1047370:JE1047435 TA1047370:TA1047435 ACW1047370:ACW1047435 AMS1047370:AMS1047435 AWO1047370:AWO1047435 BGK1047370:BGK1047435 BQG1047370:BQG1047435 CAC1047370:CAC1047435 CJY1047370:CJY1047435 CTU1047370:CTU1047435 DDQ1047370:DDQ1047435 DNM1047370:DNM1047435 DXI1047370:DXI1047435 EHE1047370:EHE1047435 ERA1047370:ERA1047435 FAW1047370:FAW1047435 FKS1047370:FKS1047435 FUO1047370:FUO1047435 GEK1047370:GEK1047435 GOG1047370:GOG1047435 GYC1047370:GYC1047435 HHY1047370:HHY1047435 HRU1047370:HRU1047435 IBQ1047370:IBQ1047435 ILM1047370:ILM1047435 IVI1047370:IVI1047435 JFE1047370:JFE1047435 JPA1047370:JPA1047435 JYW1047370:JYW1047435 KIS1047370:KIS1047435 KSO1047370:KSO1047435 LCK1047370:LCK1047435 LMG1047370:LMG1047435 LWC1047370:LWC1047435 MFY1047370:MFY1047435 MPU1047370:MPU1047435 MZQ1047370:MZQ1047435 NJM1047370:NJM1047435 NTI1047370:NTI1047435 ODE1047370:ODE1047435 ONA1047370:ONA1047435 OWW1047370:OWW1047435 PGS1047370:PGS1047435 PQO1047370:PQO1047435 QAK1047370:QAK1047435 QKG1047370:QKG1047435 QUC1047370:QUC1047435 RDY1047370:RDY1047435 RNU1047370:RNU1047435 RXQ1047370:RXQ1047435 SHM1047370:SHM1047435 SRI1047370:SRI1047435 TBE1047370:TBE1047435 TLA1047370:TLA1047435 TUW1047370:TUW1047435 UES1047370:UES1047435 UOO1047370:UOO1047435 UYK1047370:UYK1047435 VIG1047370:VIG1047435 VSC1047370:VSC1047435 WBY1047370:WBY1047435 WLU1047370:WLU1047435 WVQ1047370:WVQ1047435 WVQ983009:WVQ983074 I65505:I65570 JE65505:JE65570 TA65505:TA65570 ACW65505:ACW65570 AMS65505:AMS65570 AWO65505:AWO65570 BGK65505:BGK65570 BQG65505:BQG65570 CAC65505:CAC65570 CJY65505:CJY65570 CTU65505:CTU65570 DDQ65505:DDQ65570 DNM65505:DNM65570 DXI65505:DXI65570 EHE65505:EHE65570 ERA65505:ERA65570 FAW65505:FAW65570 FKS65505:FKS65570 FUO65505:FUO65570 GEK65505:GEK65570 GOG65505:GOG65570 GYC65505:GYC65570 HHY65505:HHY65570 HRU65505:HRU65570 IBQ65505:IBQ65570 ILM65505:ILM65570 IVI65505:IVI65570 JFE65505:JFE65570 JPA65505:JPA65570 JYW65505:JYW65570 KIS65505:KIS65570 KSO65505:KSO65570 LCK65505:LCK65570 LMG65505:LMG65570 LWC65505:LWC65570 MFY65505:MFY65570 MPU65505:MPU65570 MZQ65505:MZQ65570 NJM65505:NJM65570 NTI65505:NTI65570 ODE65505:ODE65570 ONA65505:ONA65570 OWW65505:OWW65570 PGS65505:PGS65570 PQO65505:PQO65570 QAK65505:QAK65570 QKG65505:QKG65570 QUC65505:QUC65570 RDY65505:RDY65570 RNU65505:RNU65570 RXQ65505:RXQ65570 SHM65505:SHM65570 SRI65505:SRI65570 TBE65505:TBE65570 TLA65505:TLA65570 TUW65505:TUW65570 UES65505:UES65570 UOO65505:UOO65570 UYK65505:UYK65570 VIG65505:VIG65570 VSC65505:VSC65570 WBY65505:WBY65570 WLU65505:WLU65570 WVQ65505:WVQ65570 I131041:I131106 JE131041:JE131106 TA131041:TA131106 ACW131041:ACW131106 AMS131041:AMS131106 AWO131041:AWO131106 BGK131041:BGK131106 BQG131041:BQG131106 CAC131041:CAC131106 CJY131041:CJY131106 CTU131041:CTU131106 DDQ131041:DDQ131106 DNM131041:DNM131106 DXI131041:DXI131106 EHE131041:EHE131106 ERA131041:ERA131106 FAW131041:FAW131106 FKS131041:FKS131106 FUO131041:FUO131106 GEK131041:GEK131106 GOG131041:GOG131106 GYC131041:GYC131106 HHY131041:HHY131106 HRU131041:HRU131106 IBQ131041:IBQ131106 ILM131041:ILM131106 IVI131041:IVI131106 JFE131041:JFE131106 JPA131041:JPA131106 JYW131041:JYW131106 KIS131041:KIS131106 KSO131041:KSO131106 LCK131041:LCK131106 LMG131041:LMG131106 LWC131041:LWC131106 MFY131041:MFY131106 MPU131041:MPU131106 MZQ131041:MZQ131106 NJM131041:NJM131106 NTI131041:NTI131106 ODE131041:ODE131106 ONA131041:ONA131106 OWW131041:OWW131106 PGS131041:PGS131106 PQO131041:PQO131106 QAK131041:QAK131106 QKG131041:QKG131106 QUC131041:QUC131106 RDY131041:RDY131106 RNU131041:RNU131106 RXQ131041:RXQ131106 SHM131041:SHM131106 SRI131041:SRI131106 TBE131041:TBE131106 TLA131041:TLA131106 TUW131041:TUW131106 UES131041:UES131106 UOO131041:UOO131106 UYK131041:UYK131106 VIG131041:VIG131106 VSC131041:VSC131106 WBY131041:WBY131106 WLU131041:WLU131106 WVQ131041:WVQ131106 I196577:I196642 JE196577:JE196642 TA196577:TA196642 ACW196577:ACW196642 AMS196577:AMS196642 AWO196577:AWO196642 BGK196577:BGK196642 BQG196577:BQG196642 CAC196577:CAC196642 CJY196577:CJY196642 CTU196577:CTU196642 DDQ196577:DDQ196642 DNM196577:DNM196642 DXI196577:DXI196642 EHE196577:EHE196642 ERA196577:ERA196642 FAW196577:FAW196642 FKS196577:FKS196642 FUO196577:FUO196642 GEK196577:GEK196642 GOG196577:GOG196642 GYC196577:GYC196642 HHY196577:HHY196642 HRU196577:HRU196642 IBQ196577:IBQ196642 ILM196577:ILM196642 IVI196577:IVI196642 JFE196577:JFE196642 JPA196577:JPA196642 JYW196577:JYW196642 KIS196577:KIS196642 KSO196577:KSO196642 LCK196577:LCK196642 LMG196577:LMG196642 LWC196577:LWC196642 MFY196577:MFY196642 MPU196577:MPU196642 MZQ196577:MZQ196642 NJM196577:NJM196642 NTI196577:NTI196642 ODE196577:ODE196642 ONA196577:ONA196642 OWW196577:OWW196642 PGS196577:PGS196642 PQO196577:PQO196642 QAK196577:QAK196642 QKG196577:QKG196642 QUC196577:QUC196642 RDY196577:RDY196642 RNU196577:RNU196642 RXQ196577:RXQ196642 SHM196577:SHM196642 SRI196577:SRI196642 TBE196577:TBE196642 TLA196577:TLA196642 TUW196577:TUW196642 UES196577:UES196642 UOO196577:UOO196642 UYK196577:UYK196642 VIG196577:VIG196642 VSC196577:VSC196642 WBY196577:WBY196642 WLU196577:WLU196642 WVQ196577:WVQ196642 I262113:I262178 JE262113:JE262178 TA262113:TA262178 ACW262113:ACW262178 AMS262113:AMS262178 AWO262113:AWO262178 BGK262113:BGK262178 BQG262113:BQG262178 CAC262113:CAC262178 CJY262113:CJY262178 CTU262113:CTU262178 DDQ262113:DDQ262178 DNM262113:DNM262178 DXI262113:DXI262178 EHE262113:EHE262178 ERA262113:ERA262178 FAW262113:FAW262178 FKS262113:FKS262178 FUO262113:FUO262178 GEK262113:GEK262178 GOG262113:GOG262178 GYC262113:GYC262178 HHY262113:HHY262178 HRU262113:HRU262178 IBQ262113:IBQ262178 ILM262113:ILM262178 IVI262113:IVI262178 JFE262113:JFE262178 JPA262113:JPA262178 JYW262113:JYW262178 KIS262113:KIS262178 KSO262113:KSO262178 LCK262113:LCK262178 LMG262113:LMG262178 LWC262113:LWC262178 MFY262113:MFY262178 MPU262113:MPU262178 MZQ262113:MZQ262178 NJM262113:NJM262178 NTI262113:NTI262178 ODE262113:ODE262178 ONA262113:ONA262178 OWW262113:OWW262178 PGS262113:PGS262178 PQO262113:PQO262178 QAK262113:QAK262178 QKG262113:QKG262178 QUC262113:QUC262178 RDY262113:RDY262178 RNU262113:RNU262178 RXQ262113:RXQ262178 SHM262113:SHM262178 SRI262113:SRI262178 TBE262113:TBE262178 TLA262113:TLA262178 TUW262113:TUW262178 UES262113:UES262178 UOO262113:UOO262178 UYK262113:UYK262178 VIG262113:VIG262178 VSC262113:VSC262178 WBY262113:WBY262178 WLU262113:WLU262178 WVQ262113:WVQ262178 I327649:I327714 JE327649:JE327714 TA327649:TA327714 ACW327649:ACW327714 AMS327649:AMS327714 AWO327649:AWO327714 BGK327649:BGK327714 BQG327649:BQG327714 CAC327649:CAC327714 CJY327649:CJY327714 CTU327649:CTU327714 DDQ327649:DDQ327714 DNM327649:DNM327714 DXI327649:DXI327714 EHE327649:EHE327714 ERA327649:ERA327714 FAW327649:FAW327714 FKS327649:FKS327714 FUO327649:FUO327714 GEK327649:GEK327714 GOG327649:GOG327714 GYC327649:GYC327714 HHY327649:HHY327714 HRU327649:HRU327714 IBQ327649:IBQ327714 ILM327649:ILM327714 IVI327649:IVI327714 JFE327649:JFE327714 JPA327649:JPA327714 JYW327649:JYW327714 KIS327649:KIS327714 KSO327649:KSO327714 LCK327649:LCK327714 LMG327649:LMG327714 LWC327649:LWC327714 MFY327649:MFY327714 MPU327649:MPU327714 MZQ327649:MZQ327714 NJM327649:NJM327714 NTI327649:NTI327714 ODE327649:ODE327714 ONA327649:ONA327714 OWW327649:OWW327714 PGS327649:PGS327714 PQO327649:PQO327714 QAK327649:QAK327714 QKG327649:QKG327714 QUC327649:QUC327714 RDY327649:RDY327714 RNU327649:RNU327714 RXQ327649:RXQ327714 SHM327649:SHM327714 SRI327649:SRI327714 TBE327649:TBE327714 TLA327649:TLA327714 TUW327649:TUW327714 UES327649:UES327714 UOO327649:UOO327714 UYK327649:UYK327714 VIG327649:VIG327714 VSC327649:VSC327714 WBY327649:WBY327714 WLU327649:WLU327714 WVQ327649:WVQ327714 I393185:I393250 JE393185:JE393250 TA393185:TA393250 ACW393185:ACW393250 AMS393185:AMS393250 AWO393185:AWO393250 BGK393185:BGK393250 BQG393185:BQG393250 CAC393185:CAC393250 CJY393185:CJY393250 CTU393185:CTU393250 DDQ393185:DDQ393250 DNM393185:DNM393250 DXI393185:DXI393250 EHE393185:EHE393250 ERA393185:ERA393250 FAW393185:FAW393250 FKS393185:FKS393250 FUO393185:FUO393250 GEK393185:GEK393250 GOG393185:GOG393250 GYC393185:GYC393250 HHY393185:HHY393250 HRU393185:HRU393250 IBQ393185:IBQ393250 ILM393185:ILM393250 IVI393185:IVI393250 JFE393185:JFE393250 JPA393185:JPA393250 JYW393185:JYW393250 KIS393185:KIS393250 KSO393185:KSO393250 LCK393185:LCK393250 LMG393185:LMG393250 LWC393185:LWC393250 MFY393185:MFY393250 MPU393185:MPU393250 MZQ393185:MZQ393250 NJM393185:NJM393250 NTI393185:NTI393250 ODE393185:ODE393250 ONA393185:ONA393250 OWW393185:OWW393250 PGS393185:PGS393250 PQO393185:PQO393250 QAK393185:QAK393250 QKG393185:QKG393250 QUC393185:QUC393250 RDY393185:RDY393250 RNU393185:RNU393250 RXQ393185:RXQ393250 SHM393185:SHM393250 SRI393185:SRI393250 TBE393185:TBE393250 TLA393185:TLA393250 TUW393185:TUW393250 UES393185:UES393250 UOO393185:UOO393250 UYK393185:UYK393250 VIG393185:VIG393250 VSC393185:VSC393250 WBY393185:WBY393250 WLU393185:WLU393250 WVQ393185:WVQ393250 I458721:I458786 JE458721:JE458786 TA458721:TA458786 ACW458721:ACW458786 AMS458721:AMS458786 AWO458721:AWO458786 BGK458721:BGK458786 BQG458721:BQG458786 CAC458721:CAC458786 CJY458721:CJY458786 CTU458721:CTU458786 DDQ458721:DDQ458786 DNM458721:DNM458786 DXI458721:DXI458786 EHE458721:EHE458786 ERA458721:ERA458786 FAW458721:FAW458786 FKS458721:FKS458786 FUO458721:FUO458786 GEK458721:GEK458786 GOG458721:GOG458786 GYC458721:GYC458786 HHY458721:HHY458786 HRU458721:HRU458786 IBQ458721:IBQ458786 ILM458721:ILM458786 IVI458721:IVI458786 JFE458721:JFE458786 JPA458721:JPA458786 JYW458721:JYW458786 KIS458721:KIS458786 KSO458721:KSO458786 LCK458721:LCK458786 LMG458721:LMG458786 LWC458721:LWC458786 MFY458721:MFY458786 MPU458721:MPU458786 MZQ458721:MZQ458786 NJM458721:NJM458786 NTI458721:NTI458786 ODE458721:ODE458786 ONA458721:ONA458786 OWW458721:OWW458786 PGS458721:PGS458786 PQO458721:PQO458786 QAK458721:QAK458786 QKG458721:QKG458786 QUC458721:QUC458786 RDY458721:RDY458786 RNU458721:RNU458786 RXQ458721:RXQ458786 SHM458721:SHM458786 SRI458721:SRI458786 TBE458721:TBE458786 TLA458721:TLA458786 TUW458721:TUW458786 UES458721:UES458786 UOO458721:UOO458786 UYK458721:UYK458786 VIG458721:VIG458786 VSC458721:VSC458786 WBY458721:WBY458786 WLU458721:WLU458786 WVQ458721:WVQ458786 I524257:I524322 JE524257:JE524322 TA524257:TA524322 ACW524257:ACW524322 AMS524257:AMS524322 AWO524257:AWO524322 BGK524257:BGK524322 BQG524257:BQG524322 CAC524257:CAC524322 CJY524257:CJY524322 CTU524257:CTU524322 DDQ524257:DDQ524322 DNM524257:DNM524322 DXI524257:DXI524322 EHE524257:EHE524322 ERA524257:ERA524322 FAW524257:FAW524322 FKS524257:FKS524322 FUO524257:FUO524322 GEK524257:GEK524322 GOG524257:GOG524322 GYC524257:GYC524322 HHY524257:HHY524322 HRU524257:HRU524322 IBQ524257:IBQ524322 ILM524257:ILM524322 IVI524257:IVI524322 JFE524257:JFE524322 JPA524257:JPA524322 JYW524257:JYW524322 KIS524257:KIS524322 KSO524257:KSO524322 LCK524257:LCK524322 LMG524257:LMG524322 LWC524257:LWC524322 MFY524257:MFY524322 MPU524257:MPU524322 MZQ524257:MZQ524322 NJM524257:NJM524322 NTI524257:NTI524322 ODE524257:ODE524322 ONA524257:ONA524322 OWW524257:OWW524322 PGS524257:PGS524322 PQO524257:PQO524322 QAK524257:QAK524322 QKG524257:QKG524322 QUC524257:QUC524322 RDY524257:RDY524322 RNU524257:RNU524322 RXQ524257:RXQ524322 SHM524257:SHM524322 SRI524257:SRI524322 TBE524257:TBE524322 TLA524257:TLA524322 TUW524257:TUW524322 UES524257:UES524322 UOO524257:UOO524322 UYK524257:UYK524322 VIG524257:VIG524322 VSC524257:VSC524322 WBY524257:WBY524322 WLU524257:WLU524322 WVQ524257:WVQ524322 I589793:I589858 JE589793:JE589858 TA589793:TA589858 ACW589793:ACW589858 AMS589793:AMS589858 AWO589793:AWO589858 BGK589793:BGK589858 BQG589793:BQG589858 CAC589793:CAC589858 CJY589793:CJY589858 CTU589793:CTU589858 DDQ589793:DDQ589858 DNM589793:DNM589858 DXI589793:DXI589858 EHE589793:EHE589858 ERA589793:ERA589858 FAW589793:FAW589858 FKS589793:FKS589858 FUO589793:FUO589858 GEK589793:GEK589858 GOG589793:GOG589858 GYC589793:GYC589858 HHY589793:HHY589858 HRU589793:HRU589858 IBQ589793:IBQ589858 ILM589793:ILM589858 IVI589793:IVI589858 JFE589793:JFE589858 JPA589793:JPA589858 JYW589793:JYW589858 KIS589793:KIS589858 KSO589793:KSO589858 LCK589793:LCK589858 LMG589793:LMG589858 LWC589793:LWC589858 MFY589793:MFY589858 MPU589793:MPU589858 MZQ589793:MZQ589858 NJM589793:NJM589858 NTI589793:NTI589858 ODE589793:ODE589858 ONA589793:ONA589858 OWW589793:OWW589858 PGS589793:PGS589858 PQO589793:PQO589858 QAK589793:QAK589858 QKG589793:QKG589858 QUC589793:QUC589858 RDY589793:RDY589858 RNU589793:RNU589858 RXQ589793:RXQ589858 SHM589793:SHM589858 SRI589793:SRI589858 TBE589793:TBE589858 TLA589793:TLA589858 TUW589793:TUW589858 UES589793:UES589858 UOO589793:UOO589858 UYK589793:UYK589858 VIG589793:VIG589858 VSC589793:VSC589858 WBY589793:WBY589858 WLU589793:WLU589858 WVQ589793:WVQ589858 I655329:I655394 JE655329:JE655394 TA655329:TA655394 ACW655329:ACW655394 AMS655329:AMS655394 AWO655329:AWO655394 BGK655329:BGK655394 BQG655329:BQG655394 CAC655329:CAC655394 CJY655329:CJY655394 CTU655329:CTU655394 DDQ655329:DDQ655394 DNM655329:DNM655394 DXI655329:DXI655394 EHE655329:EHE655394 ERA655329:ERA655394 FAW655329:FAW655394 FKS655329:FKS655394 FUO655329:FUO655394 GEK655329:GEK655394 GOG655329:GOG655394 GYC655329:GYC655394 HHY655329:HHY655394 HRU655329:HRU655394 IBQ655329:IBQ655394 ILM655329:ILM655394 IVI655329:IVI655394 JFE655329:JFE655394 JPA655329:JPA655394 JYW655329:JYW655394 KIS655329:KIS655394 KSO655329:KSO655394 LCK655329:LCK655394 LMG655329:LMG655394 LWC655329:LWC655394 MFY655329:MFY655394 MPU655329:MPU655394 MZQ655329:MZQ655394 NJM655329:NJM655394 NTI655329:NTI655394 ODE655329:ODE655394 ONA655329:ONA655394 OWW655329:OWW655394 PGS655329:PGS655394 PQO655329:PQO655394 QAK655329:QAK655394 QKG655329:QKG655394 QUC655329:QUC655394 RDY655329:RDY655394 RNU655329:RNU655394 RXQ655329:RXQ655394 SHM655329:SHM655394 SRI655329:SRI655394 TBE655329:TBE655394 TLA655329:TLA655394 TUW655329:TUW655394 UES655329:UES655394 UOO655329:UOO655394 UYK655329:UYK655394 VIG655329:VIG655394 VSC655329:VSC655394 WBY655329:WBY655394 WLU655329:WLU655394 WVQ655329:WVQ655394 I720865:I720930 JE720865:JE720930 TA720865:TA720930 ACW720865:ACW720930 AMS720865:AMS720930 AWO720865:AWO720930 BGK720865:BGK720930 BQG720865:BQG720930 CAC720865:CAC720930 CJY720865:CJY720930 CTU720865:CTU720930 DDQ720865:DDQ720930 DNM720865:DNM720930 DXI720865:DXI720930 EHE720865:EHE720930 ERA720865:ERA720930 FAW720865:FAW720930 FKS720865:FKS720930 FUO720865:FUO720930 GEK720865:GEK720930 GOG720865:GOG720930 GYC720865:GYC720930 HHY720865:HHY720930 HRU720865:HRU720930 IBQ720865:IBQ720930 ILM720865:ILM720930 IVI720865:IVI720930 JFE720865:JFE720930 JPA720865:JPA720930 JYW720865:JYW720930 KIS720865:KIS720930 KSO720865:KSO720930 LCK720865:LCK720930 LMG720865:LMG720930 LWC720865:LWC720930 MFY720865:MFY720930 MPU720865:MPU720930 MZQ720865:MZQ720930 NJM720865:NJM720930 NTI720865:NTI720930 ODE720865:ODE720930 ONA720865:ONA720930 OWW720865:OWW720930 PGS720865:PGS720930 PQO720865:PQO720930 QAK720865:QAK720930 QKG720865:QKG720930 QUC720865:QUC720930 RDY720865:RDY720930 RNU720865:RNU720930 RXQ720865:RXQ720930 SHM720865:SHM720930 SRI720865:SRI720930 TBE720865:TBE720930 TLA720865:TLA720930 TUW720865:TUW720930 UES720865:UES720930 UOO720865:UOO720930 UYK720865:UYK720930 VIG720865:VIG720930 VSC720865:VSC720930 WBY720865:WBY720930 WLU720865:WLU720930 WVQ720865:WVQ720930 I786401:I786466 JE786401:JE786466 TA786401:TA786466 ACW786401:ACW786466 AMS786401:AMS786466 AWO786401:AWO786466 BGK786401:BGK786466 BQG786401:BQG786466 CAC786401:CAC786466 CJY786401:CJY786466 CTU786401:CTU786466 DDQ786401:DDQ786466 DNM786401:DNM786466 DXI786401:DXI786466 EHE786401:EHE786466 ERA786401:ERA786466 FAW786401:FAW786466 FKS786401:FKS786466 FUO786401:FUO786466 GEK786401:GEK786466 GOG786401:GOG786466 GYC786401:GYC786466 HHY786401:HHY786466 HRU786401:HRU786466 IBQ786401:IBQ786466 ILM786401:ILM786466 IVI786401:IVI786466 JFE786401:JFE786466 JPA786401:JPA786466 JYW786401:JYW786466 KIS786401:KIS786466 KSO786401:KSO786466 LCK786401:LCK786466 LMG786401:LMG786466 LWC786401:LWC786466 MFY786401:MFY786466 MPU786401:MPU786466 MZQ786401:MZQ786466 NJM786401:NJM786466 NTI786401:NTI786466 ODE786401:ODE786466 ONA786401:ONA786466 OWW786401:OWW786466 PGS786401:PGS786466 PQO786401:PQO786466 QAK786401:QAK786466 QKG786401:QKG786466 QUC786401:QUC786466 RDY786401:RDY786466 RNU786401:RNU786466 RXQ786401:RXQ786466 SHM786401:SHM786466 SRI786401:SRI786466 TBE786401:TBE786466 TLA786401:TLA786466 TUW786401:TUW786466 UES786401:UES786466 UOO786401:UOO786466 UYK786401:UYK786466 VIG786401:VIG786466 VSC786401:VSC786466 WBY786401:WBY786466 WLU786401:WLU786466 WVQ786401:WVQ786466 I851937:I852002 JE851937:JE852002 TA851937:TA852002 ACW851937:ACW852002 AMS851937:AMS852002 AWO851937:AWO852002 BGK851937:BGK852002 BQG851937:BQG852002 CAC851937:CAC852002 CJY851937:CJY852002 CTU851937:CTU852002 DDQ851937:DDQ852002 DNM851937:DNM852002 DXI851937:DXI852002 EHE851937:EHE852002 ERA851937:ERA852002 FAW851937:FAW852002 FKS851937:FKS852002 FUO851937:FUO852002 GEK851937:GEK852002 GOG851937:GOG852002 GYC851937:GYC852002 HHY851937:HHY852002 HRU851937:HRU852002 IBQ851937:IBQ852002 ILM851937:ILM852002 IVI851937:IVI852002 JFE851937:JFE852002 JPA851937:JPA852002 JYW851937:JYW852002 KIS851937:KIS852002 KSO851937:KSO852002 LCK851937:LCK852002 LMG851937:LMG852002 LWC851937:LWC852002 MFY851937:MFY852002 MPU851937:MPU852002 MZQ851937:MZQ852002 NJM851937:NJM852002 NTI851937:NTI852002 ODE851937:ODE852002 ONA851937:ONA852002 OWW851937:OWW852002 PGS851937:PGS852002 PQO851937:PQO852002 QAK851937:QAK852002 QKG851937:QKG852002 QUC851937:QUC852002 RDY851937:RDY852002 RNU851937:RNU852002 RXQ851937:RXQ852002 SHM851937:SHM852002 SRI851937:SRI852002 TBE851937:TBE852002 TLA851937:TLA852002 TUW851937:TUW852002 UES851937:UES852002 UOO851937:UOO852002 UYK851937:UYK852002 VIG851937:VIG852002 VSC851937:VSC852002 WBY851937:WBY852002 WLU851937:WLU852002 WVQ851937:WVQ852002 I917473:I917538 JE917473:JE917538 TA917473:TA917538 ACW917473:ACW917538 AMS917473:AMS917538 AWO917473:AWO917538 BGK917473:BGK917538 BQG917473:BQG917538 CAC917473:CAC917538 CJY917473:CJY917538 CTU917473:CTU917538 DDQ917473:DDQ917538 DNM917473:DNM917538 DXI917473:DXI917538 EHE917473:EHE917538 ERA917473:ERA917538 FAW917473:FAW917538 FKS917473:FKS917538 FUO917473:FUO917538 GEK917473:GEK917538 GOG917473:GOG917538 GYC917473:GYC917538 HHY917473:HHY917538 HRU917473:HRU917538 IBQ917473:IBQ917538 ILM917473:ILM917538 IVI917473:IVI917538 JFE917473:JFE917538 JPA917473:JPA917538 JYW917473:JYW917538 KIS917473:KIS917538 KSO917473:KSO917538 LCK917473:LCK917538 LMG917473:LMG917538 LWC917473:LWC917538 MFY917473:MFY917538 MPU917473:MPU917538 MZQ917473:MZQ917538 NJM917473:NJM917538 NTI917473:NTI917538 ODE917473:ODE917538 ONA917473:ONA917538 OWW917473:OWW917538 PGS917473:PGS917538 PQO917473:PQO917538 QAK917473:QAK917538 QKG917473:QKG917538 QUC917473:QUC917538 RDY917473:RDY917538 RNU917473:RNU917538 RXQ917473:RXQ917538 SHM917473:SHM917538 SRI917473:SRI917538 TBE917473:TBE917538 TLA917473:TLA917538 TUW917473:TUW917538 UES917473:UES917538 UOO917473:UOO917538 UYK917473:UYK917538 VIG917473:VIG917538 VSC917473:VSC917538 WBY917473:WBY917538 WLU917473:WLU917538 WVQ917473:WVQ917538 I983009:I983074 JE983009:JE983074 TA983009:TA983074 ACW983009:ACW983074 AMS983009:AMS983074 AWO983009:AWO983074 BGK983009:BGK983074 BQG983009:BQG983074 CAC983009:CAC983074 CJY983009:CJY983074 CTU983009:CTU983074 DDQ983009:DDQ983074 DNM983009:DNM983074 DXI983009:DXI983074 EHE983009:EHE983074 ERA983009:ERA983074 FAW983009:FAW983074 FKS983009:FKS983074 FUO983009:FUO983074 GEK983009:GEK983074 GOG983009:GOG983074 GYC983009:GYC983074 HHY983009:HHY983074 HRU983009:HRU983074 IBQ983009:IBQ983074 ILM983009:ILM983074 IVI983009:IVI983074 JFE983009:JFE983074 JPA983009:JPA983074 JYW983009:JYW983074 KIS983009:KIS983074 KSO983009:KSO983074 LCK983009:LCK983074 LMG983009:LMG983074 LWC983009:LWC983074 MFY983009:MFY983074 MPU983009:MPU983074 MZQ983009:MZQ983074 NJM983009:NJM983074 NTI983009:NTI983074 ODE983009:ODE983074 ONA983009:ONA983074 OWW983009:OWW983074 PGS983009:PGS983074 PQO983009:PQO983074 QAK983009:QAK983074 QKG983009:QKG983074 QUC983009:QUC983074 RDY983009:RDY983074 RNU983009:RNU983074 RXQ983009:RXQ983074 SHM983009:SHM983074 SRI983009:SRI983074 TBE983009:TBE983074 TLA983009:TLA983074 TUW983009:TUW983074 UES983009:UES983074 UOO983009:UOO983074 UYK983009:UYK983074 VIG983009:VIG983074 VSC983009:VSC983074 WBY983009:WBY983074 WLU983009:WLU983074 I2:I467 WLU2:WLU54 WBY2:WBY54 VSC2:VSC54 VIG2:VIG54 UYK2:UYK54 UOO2:UOO54 UES2:UES54 TUW2:TUW54 TLA2:TLA54 TBE2:TBE54 SRI2:SRI54 SHM2:SHM54 RXQ2:RXQ54 RNU2:RNU54 RDY2:RDY54 QUC2:QUC54 QKG2:QKG54 QAK2:QAK54 PQO2:PQO54 PGS2:PGS54 OWW2:OWW54 ONA2:ONA54 ODE2:ODE54 NTI2:NTI54 NJM2:NJM54 MZQ2:MZQ54 MPU2:MPU54 MFY2:MFY54 LWC2:LWC54 LMG2:LMG54 LCK2:LCK54 KSO2:KSO54 KIS2:KIS54 JYW2:JYW54 JPA2:JPA54 JFE2:JFE54 IVI2:IVI54 ILM2:ILM54 IBQ2:IBQ54 HRU2:HRU54 HHY2:HHY54 GYC2:GYC54 GOG2:GOG54 GEK2:GEK54 FUO2:FUO54 FKS2:FKS54 FAW2:FAW54 ERA2:ERA54 EHE2:EHE54 DXI2:DXI54 DNM2:DNM54 DDQ2:DDQ54 CTU2:CTU54 CJY2:CJY54 CAC2:CAC54 BQG2:BQG54 BGK2:BGK54 AWO2:AWO54 AMS2:AMS54 ACW2:ACW54 TA2:TA54 JE2:JE54 WVQ2:WVQ54" xr:uid="{D6C6FF61-076D-4E0D-9C7E-5DC8F25B6ABB}">
      <formula1>$AN$5:$AN$6</formula1>
    </dataValidation>
    <dataValidation type="list" allowBlank="1" showInputMessage="1" showErrorMessage="1" sqref="J64330:J64395 JF64330:JF64395 TB64330:TB64395 ACX64330:ACX64395 AMT64330:AMT64395 AWP64330:AWP64395 BGL64330:BGL64395 BQH64330:BQH64395 CAD64330:CAD64395 CJZ64330:CJZ64395 CTV64330:CTV64395 DDR64330:DDR64395 DNN64330:DNN64395 DXJ64330:DXJ64395 EHF64330:EHF64395 ERB64330:ERB64395 FAX64330:FAX64395 FKT64330:FKT64395 FUP64330:FUP64395 GEL64330:GEL64395 GOH64330:GOH64395 GYD64330:GYD64395 HHZ64330:HHZ64395 HRV64330:HRV64395 IBR64330:IBR64395 ILN64330:ILN64395 IVJ64330:IVJ64395 JFF64330:JFF64395 JPB64330:JPB64395 JYX64330:JYX64395 KIT64330:KIT64395 KSP64330:KSP64395 LCL64330:LCL64395 LMH64330:LMH64395 LWD64330:LWD64395 MFZ64330:MFZ64395 MPV64330:MPV64395 MZR64330:MZR64395 NJN64330:NJN64395 NTJ64330:NTJ64395 ODF64330:ODF64395 ONB64330:ONB64395 OWX64330:OWX64395 PGT64330:PGT64395 PQP64330:PQP64395 QAL64330:QAL64395 QKH64330:QKH64395 QUD64330:QUD64395 RDZ64330:RDZ64395 RNV64330:RNV64395 RXR64330:RXR64395 SHN64330:SHN64395 SRJ64330:SRJ64395 TBF64330:TBF64395 TLB64330:TLB64395 TUX64330:TUX64395 UET64330:UET64395 UOP64330:UOP64395 UYL64330:UYL64395 VIH64330:VIH64395 VSD64330:VSD64395 WBZ64330:WBZ64395 WLV64330:WLV64395 WVR64330:WVR64395 J129866:J129931 JF129866:JF129931 TB129866:TB129931 ACX129866:ACX129931 AMT129866:AMT129931 AWP129866:AWP129931 BGL129866:BGL129931 BQH129866:BQH129931 CAD129866:CAD129931 CJZ129866:CJZ129931 CTV129866:CTV129931 DDR129866:DDR129931 DNN129866:DNN129931 DXJ129866:DXJ129931 EHF129866:EHF129931 ERB129866:ERB129931 FAX129866:FAX129931 FKT129866:FKT129931 FUP129866:FUP129931 GEL129866:GEL129931 GOH129866:GOH129931 GYD129866:GYD129931 HHZ129866:HHZ129931 HRV129866:HRV129931 IBR129866:IBR129931 ILN129866:ILN129931 IVJ129866:IVJ129931 JFF129866:JFF129931 JPB129866:JPB129931 JYX129866:JYX129931 KIT129866:KIT129931 KSP129866:KSP129931 LCL129866:LCL129931 LMH129866:LMH129931 LWD129866:LWD129931 MFZ129866:MFZ129931 MPV129866:MPV129931 MZR129866:MZR129931 NJN129866:NJN129931 NTJ129866:NTJ129931 ODF129866:ODF129931 ONB129866:ONB129931 OWX129866:OWX129931 PGT129866:PGT129931 PQP129866:PQP129931 QAL129866:QAL129931 QKH129866:QKH129931 QUD129866:QUD129931 RDZ129866:RDZ129931 RNV129866:RNV129931 RXR129866:RXR129931 SHN129866:SHN129931 SRJ129866:SRJ129931 TBF129866:TBF129931 TLB129866:TLB129931 TUX129866:TUX129931 UET129866:UET129931 UOP129866:UOP129931 UYL129866:UYL129931 VIH129866:VIH129931 VSD129866:VSD129931 WBZ129866:WBZ129931 WLV129866:WLV129931 WVR129866:WVR129931 J195402:J195467 JF195402:JF195467 TB195402:TB195467 ACX195402:ACX195467 AMT195402:AMT195467 AWP195402:AWP195467 BGL195402:BGL195467 BQH195402:BQH195467 CAD195402:CAD195467 CJZ195402:CJZ195467 CTV195402:CTV195467 DDR195402:DDR195467 DNN195402:DNN195467 DXJ195402:DXJ195467 EHF195402:EHF195467 ERB195402:ERB195467 FAX195402:FAX195467 FKT195402:FKT195467 FUP195402:FUP195467 GEL195402:GEL195467 GOH195402:GOH195467 GYD195402:GYD195467 HHZ195402:HHZ195467 HRV195402:HRV195467 IBR195402:IBR195467 ILN195402:ILN195467 IVJ195402:IVJ195467 JFF195402:JFF195467 JPB195402:JPB195467 JYX195402:JYX195467 KIT195402:KIT195467 KSP195402:KSP195467 LCL195402:LCL195467 LMH195402:LMH195467 LWD195402:LWD195467 MFZ195402:MFZ195467 MPV195402:MPV195467 MZR195402:MZR195467 NJN195402:NJN195467 NTJ195402:NTJ195467 ODF195402:ODF195467 ONB195402:ONB195467 OWX195402:OWX195467 PGT195402:PGT195467 PQP195402:PQP195467 QAL195402:QAL195467 QKH195402:QKH195467 QUD195402:QUD195467 RDZ195402:RDZ195467 RNV195402:RNV195467 RXR195402:RXR195467 SHN195402:SHN195467 SRJ195402:SRJ195467 TBF195402:TBF195467 TLB195402:TLB195467 TUX195402:TUX195467 UET195402:UET195467 UOP195402:UOP195467 UYL195402:UYL195467 VIH195402:VIH195467 VSD195402:VSD195467 WBZ195402:WBZ195467 WLV195402:WLV195467 WVR195402:WVR195467 J260938:J261003 JF260938:JF261003 TB260938:TB261003 ACX260938:ACX261003 AMT260938:AMT261003 AWP260938:AWP261003 BGL260938:BGL261003 BQH260938:BQH261003 CAD260938:CAD261003 CJZ260938:CJZ261003 CTV260938:CTV261003 DDR260938:DDR261003 DNN260938:DNN261003 DXJ260938:DXJ261003 EHF260938:EHF261003 ERB260938:ERB261003 FAX260938:FAX261003 FKT260938:FKT261003 FUP260938:FUP261003 GEL260938:GEL261003 GOH260938:GOH261003 GYD260938:GYD261003 HHZ260938:HHZ261003 HRV260938:HRV261003 IBR260938:IBR261003 ILN260938:ILN261003 IVJ260938:IVJ261003 JFF260938:JFF261003 JPB260938:JPB261003 JYX260938:JYX261003 KIT260938:KIT261003 KSP260938:KSP261003 LCL260938:LCL261003 LMH260938:LMH261003 LWD260938:LWD261003 MFZ260938:MFZ261003 MPV260938:MPV261003 MZR260938:MZR261003 NJN260938:NJN261003 NTJ260938:NTJ261003 ODF260938:ODF261003 ONB260938:ONB261003 OWX260938:OWX261003 PGT260938:PGT261003 PQP260938:PQP261003 QAL260938:QAL261003 QKH260938:QKH261003 QUD260938:QUD261003 RDZ260938:RDZ261003 RNV260938:RNV261003 RXR260938:RXR261003 SHN260938:SHN261003 SRJ260938:SRJ261003 TBF260938:TBF261003 TLB260938:TLB261003 TUX260938:TUX261003 UET260938:UET261003 UOP260938:UOP261003 UYL260938:UYL261003 VIH260938:VIH261003 VSD260938:VSD261003 WBZ260938:WBZ261003 WLV260938:WLV261003 WVR260938:WVR261003 J326474:J326539 JF326474:JF326539 TB326474:TB326539 ACX326474:ACX326539 AMT326474:AMT326539 AWP326474:AWP326539 BGL326474:BGL326539 BQH326474:BQH326539 CAD326474:CAD326539 CJZ326474:CJZ326539 CTV326474:CTV326539 DDR326474:DDR326539 DNN326474:DNN326539 DXJ326474:DXJ326539 EHF326474:EHF326539 ERB326474:ERB326539 FAX326474:FAX326539 FKT326474:FKT326539 FUP326474:FUP326539 GEL326474:GEL326539 GOH326474:GOH326539 GYD326474:GYD326539 HHZ326474:HHZ326539 HRV326474:HRV326539 IBR326474:IBR326539 ILN326474:ILN326539 IVJ326474:IVJ326539 JFF326474:JFF326539 JPB326474:JPB326539 JYX326474:JYX326539 KIT326474:KIT326539 KSP326474:KSP326539 LCL326474:LCL326539 LMH326474:LMH326539 LWD326474:LWD326539 MFZ326474:MFZ326539 MPV326474:MPV326539 MZR326474:MZR326539 NJN326474:NJN326539 NTJ326474:NTJ326539 ODF326474:ODF326539 ONB326474:ONB326539 OWX326474:OWX326539 PGT326474:PGT326539 PQP326474:PQP326539 QAL326474:QAL326539 QKH326474:QKH326539 QUD326474:QUD326539 RDZ326474:RDZ326539 RNV326474:RNV326539 RXR326474:RXR326539 SHN326474:SHN326539 SRJ326474:SRJ326539 TBF326474:TBF326539 TLB326474:TLB326539 TUX326474:TUX326539 UET326474:UET326539 UOP326474:UOP326539 UYL326474:UYL326539 VIH326474:VIH326539 VSD326474:VSD326539 WBZ326474:WBZ326539 WLV326474:WLV326539 WVR326474:WVR326539 J392010:J392075 JF392010:JF392075 TB392010:TB392075 ACX392010:ACX392075 AMT392010:AMT392075 AWP392010:AWP392075 BGL392010:BGL392075 BQH392010:BQH392075 CAD392010:CAD392075 CJZ392010:CJZ392075 CTV392010:CTV392075 DDR392010:DDR392075 DNN392010:DNN392075 DXJ392010:DXJ392075 EHF392010:EHF392075 ERB392010:ERB392075 FAX392010:FAX392075 FKT392010:FKT392075 FUP392010:FUP392075 GEL392010:GEL392075 GOH392010:GOH392075 GYD392010:GYD392075 HHZ392010:HHZ392075 HRV392010:HRV392075 IBR392010:IBR392075 ILN392010:ILN392075 IVJ392010:IVJ392075 JFF392010:JFF392075 JPB392010:JPB392075 JYX392010:JYX392075 KIT392010:KIT392075 KSP392010:KSP392075 LCL392010:LCL392075 LMH392010:LMH392075 LWD392010:LWD392075 MFZ392010:MFZ392075 MPV392010:MPV392075 MZR392010:MZR392075 NJN392010:NJN392075 NTJ392010:NTJ392075 ODF392010:ODF392075 ONB392010:ONB392075 OWX392010:OWX392075 PGT392010:PGT392075 PQP392010:PQP392075 QAL392010:QAL392075 QKH392010:QKH392075 QUD392010:QUD392075 RDZ392010:RDZ392075 RNV392010:RNV392075 RXR392010:RXR392075 SHN392010:SHN392075 SRJ392010:SRJ392075 TBF392010:TBF392075 TLB392010:TLB392075 TUX392010:TUX392075 UET392010:UET392075 UOP392010:UOP392075 UYL392010:UYL392075 VIH392010:VIH392075 VSD392010:VSD392075 WBZ392010:WBZ392075 WLV392010:WLV392075 WVR392010:WVR392075 J457546:J457611 JF457546:JF457611 TB457546:TB457611 ACX457546:ACX457611 AMT457546:AMT457611 AWP457546:AWP457611 BGL457546:BGL457611 BQH457546:BQH457611 CAD457546:CAD457611 CJZ457546:CJZ457611 CTV457546:CTV457611 DDR457546:DDR457611 DNN457546:DNN457611 DXJ457546:DXJ457611 EHF457546:EHF457611 ERB457546:ERB457611 FAX457546:FAX457611 FKT457546:FKT457611 FUP457546:FUP457611 GEL457546:GEL457611 GOH457546:GOH457611 GYD457546:GYD457611 HHZ457546:HHZ457611 HRV457546:HRV457611 IBR457546:IBR457611 ILN457546:ILN457611 IVJ457546:IVJ457611 JFF457546:JFF457611 JPB457546:JPB457611 JYX457546:JYX457611 KIT457546:KIT457611 KSP457546:KSP457611 LCL457546:LCL457611 LMH457546:LMH457611 LWD457546:LWD457611 MFZ457546:MFZ457611 MPV457546:MPV457611 MZR457546:MZR457611 NJN457546:NJN457611 NTJ457546:NTJ457611 ODF457546:ODF457611 ONB457546:ONB457611 OWX457546:OWX457611 PGT457546:PGT457611 PQP457546:PQP457611 QAL457546:QAL457611 QKH457546:QKH457611 QUD457546:QUD457611 RDZ457546:RDZ457611 RNV457546:RNV457611 RXR457546:RXR457611 SHN457546:SHN457611 SRJ457546:SRJ457611 TBF457546:TBF457611 TLB457546:TLB457611 TUX457546:TUX457611 UET457546:UET457611 UOP457546:UOP457611 UYL457546:UYL457611 VIH457546:VIH457611 VSD457546:VSD457611 WBZ457546:WBZ457611 WLV457546:WLV457611 WVR457546:WVR457611 J523082:J523147 JF523082:JF523147 TB523082:TB523147 ACX523082:ACX523147 AMT523082:AMT523147 AWP523082:AWP523147 BGL523082:BGL523147 BQH523082:BQH523147 CAD523082:CAD523147 CJZ523082:CJZ523147 CTV523082:CTV523147 DDR523082:DDR523147 DNN523082:DNN523147 DXJ523082:DXJ523147 EHF523082:EHF523147 ERB523082:ERB523147 FAX523082:FAX523147 FKT523082:FKT523147 FUP523082:FUP523147 GEL523082:GEL523147 GOH523082:GOH523147 GYD523082:GYD523147 HHZ523082:HHZ523147 HRV523082:HRV523147 IBR523082:IBR523147 ILN523082:ILN523147 IVJ523082:IVJ523147 JFF523082:JFF523147 JPB523082:JPB523147 JYX523082:JYX523147 KIT523082:KIT523147 KSP523082:KSP523147 LCL523082:LCL523147 LMH523082:LMH523147 LWD523082:LWD523147 MFZ523082:MFZ523147 MPV523082:MPV523147 MZR523082:MZR523147 NJN523082:NJN523147 NTJ523082:NTJ523147 ODF523082:ODF523147 ONB523082:ONB523147 OWX523082:OWX523147 PGT523082:PGT523147 PQP523082:PQP523147 QAL523082:QAL523147 QKH523082:QKH523147 QUD523082:QUD523147 RDZ523082:RDZ523147 RNV523082:RNV523147 RXR523082:RXR523147 SHN523082:SHN523147 SRJ523082:SRJ523147 TBF523082:TBF523147 TLB523082:TLB523147 TUX523082:TUX523147 UET523082:UET523147 UOP523082:UOP523147 UYL523082:UYL523147 VIH523082:VIH523147 VSD523082:VSD523147 WBZ523082:WBZ523147 WLV523082:WLV523147 WVR523082:WVR523147 J588618:J588683 JF588618:JF588683 TB588618:TB588683 ACX588618:ACX588683 AMT588618:AMT588683 AWP588618:AWP588683 BGL588618:BGL588683 BQH588618:BQH588683 CAD588618:CAD588683 CJZ588618:CJZ588683 CTV588618:CTV588683 DDR588618:DDR588683 DNN588618:DNN588683 DXJ588618:DXJ588683 EHF588618:EHF588683 ERB588618:ERB588683 FAX588618:FAX588683 FKT588618:FKT588683 FUP588618:FUP588683 GEL588618:GEL588683 GOH588618:GOH588683 GYD588618:GYD588683 HHZ588618:HHZ588683 HRV588618:HRV588683 IBR588618:IBR588683 ILN588618:ILN588683 IVJ588618:IVJ588683 JFF588618:JFF588683 JPB588618:JPB588683 JYX588618:JYX588683 KIT588618:KIT588683 KSP588618:KSP588683 LCL588618:LCL588683 LMH588618:LMH588683 LWD588618:LWD588683 MFZ588618:MFZ588683 MPV588618:MPV588683 MZR588618:MZR588683 NJN588618:NJN588683 NTJ588618:NTJ588683 ODF588618:ODF588683 ONB588618:ONB588683 OWX588618:OWX588683 PGT588618:PGT588683 PQP588618:PQP588683 QAL588618:QAL588683 QKH588618:QKH588683 QUD588618:QUD588683 RDZ588618:RDZ588683 RNV588618:RNV588683 RXR588618:RXR588683 SHN588618:SHN588683 SRJ588618:SRJ588683 TBF588618:TBF588683 TLB588618:TLB588683 TUX588618:TUX588683 UET588618:UET588683 UOP588618:UOP588683 UYL588618:UYL588683 VIH588618:VIH588683 VSD588618:VSD588683 WBZ588618:WBZ588683 WLV588618:WLV588683 WVR588618:WVR588683 J654154:J654219 JF654154:JF654219 TB654154:TB654219 ACX654154:ACX654219 AMT654154:AMT654219 AWP654154:AWP654219 BGL654154:BGL654219 BQH654154:BQH654219 CAD654154:CAD654219 CJZ654154:CJZ654219 CTV654154:CTV654219 DDR654154:DDR654219 DNN654154:DNN654219 DXJ654154:DXJ654219 EHF654154:EHF654219 ERB654154:ERB654219 FAX654154:FAX654219 FKT654154:FKT654219 FUP654154:FUP654219 GEL654154:GEL654219 GOH654154:GOH654219 GYD654154:GYD654219 HHZ654154:HHZ654219 HRV654154:HRV654219 IBR654154:IBR654219 ILN654154:ILN654219 IVJ654154:IVJ654219 JFF654154:JFF654219 JPB654154:JPB654219 JYX654154:JYX654219 KIT654154:KIT654219 KSP654154:KSP654219 LCL654154:LCL654219 LMH654154:LMH654219 LWD654154:LWD654219 MFZ654154:MFZ654219 MPV654154:MPV654219 MZR654154:MZR654219 NJN654154:NJN654219 NTJ654154:NTJ654219 ODF654154:ODF654219 ONB654154:ONB654219 OWX654154:OWX654219 PGT654154:PGT654219 PQP654154:PQP654219 QAL654154:QAL654219 QKH654154:QKH654219 QUD654154:QUD654219 RDZ654154:RDZ654219 RNV654154:RNV654219 RXR654154:RXR654219 SHN654154:SHN654219 SRJ654154:SRJ654219 TBF654154:TBF654219 TLB654154:TLB654219 TUX654154:TUX654219 UET654154:UET654219 UOP654154:UOP654219 UYL654154:UYL654219 VIH654154:VIH654219 VSD654154:VSD654219 WBZ654154:WBZ654219 WLV654154:WLV654219 WVR654154:WVR654219 J719690:J719755 JF719690:JF719755 TB719690:TB719755 ACX719690:ACX719755 AMT719690:AMT719755 AWP719690:AWP719755 BGL719690:BGL719755 BQH719690:BQH719755 CAD719690:CAD719755 CJZ719690:CJZ719755 CTV719690:CTV719755 DDR719690:DDR719755 DNN719690:DNN719755 DXJ719690:DXJ719755 EHF719690:EHF719755 ERB719690:ERB719755 FAX719690:FAX719755 FKT719690:FKT719755 FUP719690:FUP719755 GEL719690:GEL719755 GOH719690:GOH719755 GYD719690:GYD719755 HHZ719690:HHZ719755 HRV719690:HRV719755 IBR719690:IBR719755 ILN719690:ILN719755 IVJ719690:IVJ719755 JFF719690:JFF719755 JPB719690:JPB719755 JYX719690:JYX719755 KIT719690:KIT719755 KSP719690:KSP719755 LCL719690:LCL719755 LMH719690:LMH719755 LWD719690:LWD719755 MFZ719690:MFZ719755 MPV719690:MPV719755 MZR719690:MZR719755 NJN719690:NJN719755 NTJ719690:NTJ719755 ODF719690:ODF719755 ONB719690:ONB719755 OWX719690:OWX719755 PGT719690:PGT719755 PQP719690:PQP719755 QAL719690:QAL719755 QKH719690:QKH719755 QUD719690:QUD719755 RDZ719690:RDZ719755 RNV719690:RNV719755 RXR719690:RXR719755 SHN719690:SHN719755 SRJ719690:SRJ719755 TBF719690:TBF719755 TLB719690:TLB719755 TUX719690:TUX719755 UET719690:UET719755 UOP719690:UOP719755 UYL719690:UYL719755 VIH719690:VIH719755 VSD719690:VSD719755 WBZ719690:WBZ719755 WLV719690:WLV719755 WVR719690:WVR719755 J785226:J785291 JF785226:JF785291 TB785226:TB785291 ACX785226:ACX785291 AMT785226:AMT785291 AWP785226:AWP785291 BGL785226:BGL785291 BQH785226:BQH785291 CAD785226:CAD785291 CJZ785226:CJZ785291 CTV785226:CTV785291 DDR785226:DDR785291 DNN785226:DNN785291 DXJ785226:DXJ785291 EHF785226:EHF785291 ERB785226:ERB785291 FAX785226:FAX785291 FKT785226:FKT785291 FUP785226:FUP785291 GEL785226:GEL785291 GOH785226:GOH785291 GYD785226:GYD785291 HHZ785226:HHZ785291 HRV785226:HRV785291 IBR785226:IBR785291 ILN785226:ILN785291 IVJ785226:IVJ785291 JFF785226:JFF785291 JPB785226:JPB785291 JYX785226:JYX785291 KIT785226:KIT785291 KSP785226:KSP785291 LCL785226:LCL785291 LMH785226:LMH785291 LWD785226:LWD785291 MFZ785226:MFZ785291 MPV785226:MPV785291 MZR785226:MZR785291 NJN785226:NJN785291 NTJ785226:NTJ785291 ODF785226:ODF785291 ONB785226:ONB785291 OWX785226:OWX785291 PGT785226:PGT785291 PQP785226:PQP785291 QAL785226:QAL785291 QKH785226:QKH785291 QUD785226:QUD785291 RDZ785226:RDZ785291 RNV785226:RNV785291 RXR785226:RXR785291 SHN785226:SHN785291 SRJ785226:SRJ785291 TBF785226:TBF785291 TLB785226:TLB785291 TUX785226:TUX785291 UET785226:UET785291 UOP785226:UOP785291 UYL785226:UYL785291 VIH785226:VIH785291 VSD785226:VSD785291 WBZ785226:WBZ785291 WLV785226:WLV785291 WVR785226:WVR785291 J850762:J850827 JF850762:JF850827 TB850762:TB850827 ACX850762:ACX850827 AMT850762:AMT850827 AWP850762:AWP850827 BGL850762:BGL850827 BQH850762:BQH850827 CAD850762:CAD850827 CJZ850762:CJZ850827 CTV850762:CTV850827 DDR850762:DDR850827 DNN850762:DNN850827 DXJ850762:DXJ850827 EHF850762:EHF850827 ERB850762:ERB850827 FAX850762:FAX850827 FKT850762:FKT850827 FUP850762:FUP850827 GEL850762:GEL850827 GOH850762:GOH850827 GYD850762:GYD850827 HHZ850762:HHZ850827 HRV850762:HRV850827 IBR850762:IBR850827 ILN850762:ILN850827 IVJ850762:IVJ850827 JFF850762:JFF850827 JPB850762:JPB850827 JYX850762:JYX850827 KIT850762:KIT850827 KSP850762:KSP850827 LCL850762:LCL850827 LMH850762:LMH850827 LWD850762:LWD850827 MFZ850762:MFZ850827 MPV850762:MPV850827 MZR850762:MZR850827 NJN850762:NJN850827 NTJ850762:NTJ850827 ODF850762:ODF850827 ONB850762:ONB850827 OWX850762:OWX850827 PGT850762:PGT850827 PQP850762:PQP850827 QAL850762:QAL850827 QKH850762:QKH850827 QUD850762:QUD850827 RDZ850762:RDZ850827 RNV850762:RNV850827 RXR850762:RXR850827 SHN850762:SHN850827 SRJ850762:SRJ850827 TBF850762:TBF850827 TLB850762:TLB850827 TUX850762:TUX850827 UET850762:UET850827 UOP850762:UOP850827 UYL850762:UYL850827 VIH850762:VIH850827 VSD850762:VSD850827 WBZ850762:WBZ850827 WLV850762:WLV850827 WVR850762:WVR850827 J916298:J916363 JF916298:JF916363 TB916298:TB916363 ACX916298:ACX916363 AMT916298:AMT916363 AWP916298:AWP916363 BGL916298:BGL916363 BQH916298:BQH916363 CAD916298:CAD916363 CJZ916298:CJZ916363 CTV916298:CTV916363 DDR916298:DDR916363 DNN916298:DNN916363 DXJ916298:DXJ916363 EHF916298:EHF916363 ERB916298:ERB916363 FAX916298:FAX916363 FKT916298:FKT916363 FUP916298:FUP916363 GEL916298:GEL916363 GOH916298:GOH916363 GYD916298:GYD916363 HHZ916298:HHZ916363 HRV916298:HRV916363 IBR916298:IBR916363 ILN916298:ILN916363 IVJ916298:IVJ916363 JFF916298:JFF916363 JPB916298:JPB916363 JYX916298:JYX916363 KIT916298:KIT916363 KSP916298:KSP916363 LCL916298:LCL916363 LMH916298:LMH916363 LWD916298:LWD916363 MFZ916298:MFZ916363 MPV916298:MPV916363 MZR916298:MZR916363 NJN916298:NJN916363 NTJ916298:NTJ916363 ODF916298:ODF916363 ONB916298:ONB916363 OWX916298:OWX916363 PGT916298:PGT916363 PQP916298:PQP916363 QAL916298:QAL916363 QKH916298:QKH916363 QUD916298:QUD916363 RDZ916298:RDZ916363 RNV916298:RNV916363 RXR916298:RXR916363 SHN916298:SHN916363 SRJ916298:SRJ916363 TBF916298:TBF916363 TLB916298:TLB916363 TUX916298:TUX916363 UET916298:UET916363 UOP916298:UOP916363 UYL916298:UYL916363 VIH916298:VIH916363 VSD916298:VSD916363 WBZ916298:WBZ916363 WLV916298:WLV916363 WVR916298:WVR916363 J981834:J981899 JF981834:JF981899 TB981834:TB981899 ACX981834:ACX981899 AMT981834:AMT981899 AWP981834:AWP981899 BGL981834:BGL981899 BQH981834:BQH981899 CAD981834:CAD981899 CJZ981834:CJZ981899 CTV981834:CTV981899 DDR981834:DDR981899 DNN981834:DNN981899 DXJ981834:DXJ981899 EHF981834:EHF981899 ERB981834:ERB981899 FAX981834:FAX981899 FKT981834:FKT981899 FUP981834:FUP981899 GEL981834:GEL981899 GOH981834:GOH981899 GYD981834:GYD981899 HHZ981834:HHZ981899 HRV981834:HRV981899 IBR981834:IBR981899 ILN981834:ILN981899 IVJ981834:IVJ981899 JFF981834:JFF981899 JPB981834:JPB981899 JYX981834:JYX981899 KIT981834:KIT981899 KSP981834:KSP981899 LCL981834:LCL981899 LMH981834:LMH981899 LWD981834:LWD981899 MFZ981834:MFZ981899 MPV981834:MPV981899 MZR981834:MZR981899 NJN981834:NJN981899 NTJ981834:NTJ981899 ODF981834:ODF981899 ONB981834:ONB981899 OWX981834:OWX981899 PGT981834:PGT981899 PQP981834:PQP981899 QAL981834:QAL981899 QKH981834:QKH981899 QUD981834:QUD981899 RDZ981834:RDZ981899 RNV981834:RNV981899 RXR981834:RXR981899 SHN981834:SHN981899 SRJ981834:SRJ981899 TBF981834:TBF981899 TLB981834:TLB981899 TUX981834:TUX981899 UET981834:UET981899 UOP981834:UOP981899 UYL981834:UYL981899 VIH981834:VIH981899 VSD981834:VSD981899 WBZ981834:WBZ981899 WLV981834:WLV981899 WVR981834:WVR981899 J1047370:J1047435 JF1047370:JF1047435 TB1047370:TB1047435 ACX1047370:ACX1047435 AMT1047370:AMT1047435 AWP1047370:AWP1047435 BGL1047370:BGL1047435 BQH1047370:BQH1047435 CAD1047370:CAD1047435 CJZ1047370:CJZ1047435 CTV1047370:CTV1047435 DDR1047370:DDR1047435 DNN1047370:DNN1047435 DXJ1047370:DXJ1047435 EHF1047370:EHF1047435 ERB1047370:ERB1047435 FAX1047370:FAX1047435 FKT1047370:FKT1047435 FUP1047370:FUP1047435 GEL1047370:GEL1047435 GOH1047370:GOH1047435 GYD1047370:GYD1047435 HHZ1047370:HHZ1047435 HRV1047370:HRV1047435 IBR1047370:IBR1047435 ILN1047370:ILN1047435 IVJ1047370:IVJ1047435 JFF1047370:JFF1047435 JPB1047370:JPB1047435 JYX1047370:JYX1047435 KIT1047370:KIT1047435 KSP1047370:KSP1047435 LCL1047370:LCL1047435 LMH1047370:LMH1047435 LWD1047370:LWD1047435 MFZ1047370:MFZ1047435 MPV1047370:MPV1047435 MZR1047370:MZR1047435 NJN1047370:NJN1047435 NTJ1047370:NTJ1047435 ODF1047370:ODF1047435 ONB1047370:ONB1047435 OWX1047370:OWX1047435 PGT1047370:PGT1047435 PQP1047370:PQP1047435 QAL1047370:QAL1047435 QKH1047370:QKH1047435 QUD1047370:QUD1047435 RDZ1047370:RDZ1047435 RNV1047370:RNV1047435 RXR1047370:RXR1047435 SHN1047370:SHN1047435 SRJ1047370:SRJ1047435 TBF1047370:TBF1047435 TLB1047370:TLB1047435 TUX1047370:TUX1047435 UET1047370:UET1047435 UOP1047370:UOP1047435 UYL1047370:UYL1047435 VIH1047370:VIH1047435 VSD1047370:VSD1047435 WBZ1047370:WBZ1047435 WLV1047370:WLV1047435 WVR1047370:WVR1047435" xr:uid="{4AB97B8F-08ED-4361-90A6-56B3D79ED9A5}">
      <formula1>$AP$2:$AP$15</formula1>
    </dataValidation>
    <dataValidation type="list" allowBlank="1" showInputMessage="1" showErrorMessage="1" sqref="K64330:K64395 JG64330:JG64395 TC64330:TC64395 ACY64330:ACY64395 AMU64330:AMU64395 AWQ64330:AWQ64395 BGM64330:BGM64395 BQI64330:BQI64395 CAE64330:CAE64395 CKA64330:CKA64395 CTW64330:CTW64395 DDS64330:DDS64395 DNO64330:DNO64395 DXK64330:DXK64395 EHG64330:EHG64395 ERC64330:ERC64395 FAY64330:FAY64395 FKU64330:FKU64395 FUQ64330:FUQ64395 GEM64330:GEM64395 GOI64330:GOI64395 GYE64330:GYE64395 HIA64330:HIA64395 HRW64330:HRW64395 IBS64330:IBS64395 ILO64330:ILO64395 IVK64330:IVK64395 JFG64330:JFG64395 JPC64330:JPC64395 JYY64330:JYY64395 KIU64330:KIU64395 KSQ64330:KSQ64395 LCM64330:LCM64395 LMI64330:LMI64395 LWE64330:LWE64395 MGA64330:MGA64395 MPW64330:MPW64395 MZS64330:MZS64395 NJO64330:NJO64395 NTK64330:NTK64395 ODG64330:ODG64395 ONC64330:ONC64395 OWY64330:OWY64395 PGU64330:PGU64395 PQQ64330:PQQ64395 QAM64330:QAM64395 QKI64330:QKI64395 QUE64330:QUE64395 REA64330:REA64395 RNW64330:RNW64395 RXS64330:RXS64395 SHO64330:SHO64395 SRK64330:SRK64395 TBG64330:TBG64395 TLC64330:TLC64395 TUY64330:TUY64395 UEU64330:UEU64395 UOQ64330:UOQ64395 UYM64330:UYM64395 VII64330:VII64395 VSE64330:VSE64395 WCA64330:WCA64395 WLW64330:WLW64395 WVS64330:WVS64395 K129866:K129931 JG129866:JG129931 TC129866:TC129931 ACY129866:ACY129931 AMU129866:AMU129931 AWQ129866:AWQ129931 BGM129866:BGM129931 BQI129866:BQI129931 CAE129866:CAE129931 CKA129866:CKA129931 CTW129866:CTW129931 DDS129866:DDS129931 DNO129866:DNO129931 DXK129866:DXK129931 EHG129866:EHG129931 ERC129866:ERC129931 FAY129866:FAY129931 FKU129866:FKU129931 FUQ129866:FUQ129931 GEM129866:GEM129931 GOI129866:GOI129931 GYE129866:GYE129931 HIA129866:HIA129931 HRW129866:HRW129931 IBS129866:IBS129931 ILO129866:ILO129931 IVK129866:IVK129931 JFG129866:JFG129931 JPC129866:JPC129931 JYY129866:JYY129931 KIU129866:KIU129931 KSQ129866:KSQ129931 LCM129866:LCM129931 LMI129866:LMI129931 LWE129866:LWE129931 MGA129866:MGA129931 MPW129866:MPW129931 MZS129866:MZS129931 NJO129866:NJO129931 NTK129866:NTK129931 ODG129866:ODG129931 ONC129866:ONC129931 OWY129866:OWY129931 PGU129866:PGU129931 PQQ129866:PQQ129931 QAM129866:QAM129931 QKI129866:QKI129931 QUE129866:QUE129931 REA129866:REA129931 RNW129866:RNW129931 RXS129866:RXS129931 SHO129866:SHO129931 SRK129866:SRK129931 TBG129866:TBG129931 TLC129866:TLC129931 TUY129866:TUY129931 UEU129866:UEU129931 UOQ129866:UOQ129931 UYM129866:UYM129931 VII129866:VII129931 VSE129866:VSE129931 WCA129866:WCA129931 WLW129866:WLW129931 WVS129866:WVS129931 K195402:K195467 JG195402:JG195467 TC195402:TC195467 ACY195402:ACY195467 AMU195402:AMU195467 AWQ195402:AWQ195467 BGM195402:BGM195467 BQI195402:BQI195467 CAE195402:CAE195467 CKA195402:CKA195467 CTW195402:CTW195467 DDS195402:DDS195467 DNO195402:DNO195467 DXK195402:DXK195467 EHG195402:EHG195467 ERC195402:ERC195467 FAY195402:FAY195467 FKU195402:FKU195467 FUQ195402:FUQ195467 GEM195402:GEM195467 GOI195402:GOI195467 GYE195402:GYE195467 HIA195402:HIA195467 HRW195402:HRW195467 IBS195402:IBS195467 ILO195402:ILO195467 IVK195402:IVK195467 JFG195402:JFG195467 JPC195402:JPC195467 JYY195402:JYY195467 KIU195402:KIU195467 KSQ195402:KSQ195467 LCM195402:LCM195467 LMI195402:LMI195467 LWE195402:LWE195467 MGA195402:MGA195467 MPW195402:MPW195467 MZS195402:MZS195467 NJO195402:NJO195467 NTK195402:NTK195467 ODG195402:ODG195467 ONC195402:ONC195467 OWY195402:OWY195467 PGU195402:PGU195467 PQQ195402:PQQ195467 QAM195402:QAM195467 QKI195402:QKI195467 QUE195402:QUE195467 REA195402:REA195467 RNW195402:RNW195467 RXS195402:RXS195467 SHO195402:SHO195467 SRK195402:SRK195467 TBG195402:TBG195467 TLC195402:TLC195467 TUY195402:TUY195467 UEU195402:UEU195467 UOQ195402:UOQ195467 UYM195402:UYM195467 VII195402:VII195467 VSE195402:VSE195467 WCA195402:WCA195467 WLW195402:WLW195467 WVS195402:WVS195467 K260938:K261003 JG260938:JG261003 TC260938:TC261003 ACY260938:ACY261003 AMU260938:AMU261003 AWQ260938:AWQ261003 BGM260938:BGM261003 BQI260938:BQI261003 CAE260938:CAE261003 CKA260938:CKA261003 CTW260938:CTW261003 DDS260938:DDS261003 DNO260938:DNO261003 DXK260938:DXK261003 EHG260938:EHG261003 ERC260938:ERC261003 FAY260938:FAY261003 FKU260938:FKU261003 FUQ260938:FUQ261003 GEM260938:GEM261003 GOI260938:GOI261003 GYE260938:GYE261003 HIA260938:HIA261003 HRW260938:HRW261003 IBS260938:IBS261003 ILO260938:ILO261003 IVK260938:IVK261003 JFG260938:JFG261003 JPC260938:JPC261003 JYY260938:JYY261003 KIU260938:KIU261003 KSQ260938:KSQ261003 LCM260938:LCM261003 LMI260938:LMI261003 LWE260938:LWE261003 MGA260938:MGA261003 MPW260938:MPW261003 MZS260938:MZS261003 NJO260938:NJO261003 NTK260938:NTK261003 ODG260938:ODG261003 ONC260938:ONC261003 OWY260938:OWY261003 PGU260938:PGU261003 PQQ260938:PQQ261003 QAM260938:QAM261003 QKI260938:QKI261003 QUE260938:QUE261003 REA260938:REA261003 RNW260938:RNW261003 RXS260938:RXS261003 SHO260938:SHO261003 SRK260938:SRK261003 TBG260938:TBG261003 TLC260938:TLC261003 TUY260938:TUY261003 UEU260938:UEU261003 UOQ260938:UOQ261003 UYM260938:UYM261003 VII260938:VII261003 VSE260938:VSE261003 WCA260938:WCA261003 WLW260938:WLW261003 WVS260938:WVS261003 K326474:K326539 JG326474:JG326539 TC326474:TC326539 ACY326474:ACY326539 AMU326474:AMU326539 AWQ326474:AWQ326539 BGM326474:BGM326539 BQI326474:BQI326539 CAE326474:CAE326539 CKA326474:CKA326539 CTW326474:CTW326539 DDS326474:DDS326539 DNO326474:DNO326539 DXK326474:DXK326539 EHG326474:EHG326539 ERC326474:ERC326539 FAY326474:FAY326539 FKU326474:FKU326539 FUQ326474:FUQ326539 GEM326474:GEM326539 GOI326474:GOI326539 GYE326474:GYE326539 HIA326474:HIA326539 HRW326474:HRW326539 IBS326474:IBS326539 ILO326474:ILO326539 IVK326474:IVK326539 JFG326474:JFG326539 JPC326474:JPC326539 JYY326474:JYY326539 KIU326474:KIU326539 KSQ326474:KSQ326539 LCM326474:LCM326539 LMI326474:LMI326539 LWE326474:LWE326539 MGA326474:MGA326539 MPW326474:MPW326539 MZS326474:MZS326539 NJO326474:NJO326539 NTK326474:NTK326539 ODG326474:ODG326539 ONC326474:ONC326539 OWY326474:OWY326539 PGU326474:PGU326539 PQQ326474:PQQ326539 QAM326474:QAM326539 QKI326474:QKI326539 QUE326474:QUE326539 REA326474:REA326539 RNW326474:RNW326539 RXS326474:RXS326539 SHO326474:SHO326539 SRK326474:SRK326539 TBG326474:TBG326539 TLC326474:TLC326539 TUY326474:TUY326539 UEU326474:UEU326539 UOQ326474:UOQ326539 UYM326474:UYM326539 VII326474:VII326539 VSE326474:VSE326539 WCA326474:WCA326539 WLW326474:WLW326539 WVS326474:WVS326539 K392010:K392075 JG392010:JG392075 TC392010:TC392075 ACY392010:ACY392075 AMU392010:AMU392075 AWQ392010:AWQ392075 BGM392010:BGM392075 BQI392010:BQI392075 CAE392010:CAE392075 CKA392010:CKA392075 CTW392010:CTW392075 DDS392010:DDS392075 DNO392010:DNO392075 DXK392010:DXK392075 EHG392010:EHG392075 ERC392010:ERC392075 FAY392010:FAY392075 FKU392010:FKU392075 FUQ392010:FUQ392075 GEM392010:GEM392075 GOI392010:GOI392075 GYE392010:GYE392075 HIA392010:HIA392075 HRW392010:HRW392075 IBS392010:IBS392075 ILO392010:ILO392075 IVK392010:IVK392075 JFG392010:JFG392075 JPC392010:JPC392075 JYY392010:JYY392075 KIU392010:KIU392075 KSQ392010:KSQ392075 LCM392010:LCM392075 LMI392010:LMI392075 LWE392010:LWE392075 MGA392010:MGA392075 MPW392010:MPW392075 MZS392010:MZS392075 NJO392010:NJO392075 NTK392010:NTK392075 ODG392010:ODG392075 ONC392010:ONC392075 OWY392010:OWY392075 PGU392010:PGU392075 PQQ392010:PQQ392075 QAM392010:QAM392075 QKI392010:QKI392075 QUE392010:QUE392075 REA392010:REA392075 RNW392010:RNW392075 RXS392010:RXS392075 SHO392010:SHO392075 SRK392010:SRK392075 TBG392010:TBG392075 TLC392010:TLC392075 TUY392010:TUY392075 UEU392010:UEU392075 UOQ392010:UOQ392075 UYM392010:UYM392075 VII392010:VII392075 VSE392010:VSE392075 WCA392010:WCA392075 WLW392010:WLW392075 WVS392010:WVS392075 K457546:K457611 JG457546:JG457611 TC457546:TC457611 ACY457546:ACY457611 AMU457546:AMU457611 AWQ457546:AWQ457611 BGM457546:BGM457611 BQI457546:BQI457611 CAE457546:CAE457611 CKA457546:CKA457611 CTW457546:CTW457611 DDS457546:DDS457611 DNO457546:DNO457611 DXK457546:DXK457611 EHG457546:EHG457611 ERC457546:ERC457611 FAY457546:FAY457611 FKU457546:FKU457611 FUQ457546:FUQ457611 GEM457546:GEM457611 GOI457546:GOI457611 GYE457546:GYE457611 HIA457546:HIA457611 HRW457546:HRW457611 IBS457546:IBS457611 ILO457546:ILO457611 IVK457546:IVK457611 JFG457546:JFG457611 JPC457546:JPC457611 JYY457546:JYY457611 KIU457546:KIU457611 KSQ457546:KSQ457611 LCM457546:LCM457611 LMI457546:LMI457611 LWE457546:LWE457611 MGA457546:MGA457611 MPW457546:MPW457611 MZS457546:MZS457611 NJO457546:NJO457611 NTK457546:NTK457611 ODG457546:ODG457611 ONC457546:ONC457611 OWY457546:OWY457611 PGU457546:PGU457611 PQQ457546:PQQ457611 QAM457546:QAM457611 QKI457546:QKI457611 QUE457546:QUE457611 REA457546:REA457611 RNW457546:RNW457611 RXS457546:RXS457611 SHO457546:SHO457611 SRK457546:SRK457611 TBG457546:TBG457611 TLC457546:TLC457611 TUY457546:TUY457611 UEU457546:UEU457611 UOQ457546:UOQ457611 UYM457546:UYM457611 VII457546:VII457611 VSE457546:VSE457611 WCA457546:WCA457611 WLW457546:WLW457611 WVS457546:WVS457611 K523082:K523147 JG523082:JG523147 TC523082:TC523147 ACY523082:ACY523147 AMU523082:AMU523147 AWQ523082:AWQ523147 BGM523082:BGM523147 BQI523082:BQI523147 CAE523082:CAE523147 CKA523082:CKA523147 CTW523082:CTW523147 DDS523082:DDS523147 DNO523082:DNO523147 DXK523082:DXK523147 EHG523082:EHG523147 ERC523082:ERC523147 FAY523082:FAY523147 FKU523082:FKU523147 FUQ523082:FUQ523147 GEM523082:GEM523147 GOI523082:GOI523147 GYE523082:GYE523147 HIA523082:HIA523147 HRW523082:HRW523147 IBS523082:IBS523147 ILO523082:ILO523147 IVK523082:IVK523147 JFG523082:JFG523147 JPC523082:JPC523147 JYY523082:JYY523147 KIU523082:KIU523147 KSQ523082:KSQ523147 LCM523082:LCM523147 LMI523082:LMI523147 LWE523082:LWE523147 MGA523082:MGA523147 MPW523082:MPW523147 MZS523082:MZS523147 NJO523082:NJO523147 NTK523082:NTK523147 ODG523082:ODG523147 ONC523082:ONC523147 OWY523082:OWY523147 PGU523082:PGU523147 PQQ523082:PQQ523147 QAM523082:QAM523147 QKI523082:QKI523147 QUE523082:QUE523147 REA523082:REA523147 RNW523082:RNW523147 RXS523082:RXS523147 SHO523082:SHO523147 SRK523082:SRK523147 TBG523082:TBG523147 TLC523082:TLC523147 TUY523082:TUY523147 UEU523082:UEU523147 UOQ523082:UOQ523147 UYM523082:UYM523147 VII523082:VII523147 VSE523082:VSE523147 WCA523082:WCA523147 WLW523082:WLW523147 WVS523082:WVS523147 K588618:K588683 JG588618:JG588683 TC588618:TC588683 ACY588618:ACY588683 AMU588618:AMU588683 AWQ588618:AWQ588683 BGM588618:BGM588683 BQI588618:BQI588683 CAE588618:CAE588683 CKA588618:CKA588683 CTW588618:CTW588683 DDS588618:DDS588683 DNO588618:DNO588683 DXK588618:DXK588683 EHG588618:EHG588683 ERC588618:ERC588683 FAY588618:FAY588683 FKU588618:FKU588683 FUQ588618:FUQ588683 GEM588618:GEM588683 GOI588618:GOI588683 GYE588618:GYE588683 HIA588618:HIA588683 HRW588618:HRW588683 IBS588618:IBS588683 ILO588618:ILO588683 IVK588618:IVK588683 JFG588618:JFG588683 JPC588618:JPC588683 JYY588618:JYY588683 KIU588618:KIU588683 KSQ588618:KSQ588683 LCM588618:LCM588683 LMI588618:LMI588683 LWE588618:LWE588683 MGA588618:MGA588683 MPW588618:MPW588683 MZS588618:MZS588683 NJO588618:NJO588683 NTK588618:NTK588683 ODG588618:ODG588683 ONC588618:ONC588683 OWY588618:OWY588683 PGU588618:PGU588683 PQQ588618:PQQ588683 QAM588618:QAM588683 QKI588618:QKI588683 QUE588618:QUE588683 REA588618:REA588683 RNW588618:RNW588683 RXS588618:RXS588683 SHO588618:SHO588683 SRK588618:SRK588683 TBG588618:TBG588683 TLC588618:TLC588683 TUY588618:TUY588683 UEU588618:UEU588683 UOQ588618:UOQ588683 UYM588618:UYM588683 VII588618:VII588683 VSE588618:VSE588683 WCA588618:WCA588683 WLW588618:WLW588683 WVS588618:WVS588683 K654154:K654219 JG654154:JG654219 TC654154:TC654219 ACY654154:ACY654219 AMU654154:AMU654219 AWQ654154:AWQ654219 BGM654154:BGM654219 BQI654154:BQI654219 CAE654154:CAE654219 CKA654154:CKA654219 CTW654154:CTW654219 DDS654154:DDS654219 DNO654154:DNO654219 DXK654154:DXK654219 EHG654154:EHG654219 ERC654154:ERC654219 FAY654154:FAY654219 FKU654154:FKU654219 FUQ654154:FUQ654219 GEM654154:GEM654219 GOI654154:GOI654219 GYE654154:GYE654219 HIA654154:HIA654219 HRW654154:HRW654219 IBS654154:IBS654219 ILO654154:ILO654219 IVK654154:IVK654219 JFG654154:JFG654219 JPC654154:JPC654219 JYY654154:JYY654219 KIU654154:KIU654219 KSQ654154:KSQ654219 LCM654154:LCM654219 LMI654154:LMI654219 LWE654154:LWE654219 MGA654154:MGA654219 MPW654154:MPW654219 MZS654154:MZS654219 NJO654154:NJO654219 NTK654154:NTK654219 ODG654154:ODG654219 ONC654154:ONC654219 OWY654154:OWY654219 PGU654154:PGU654219 PQQ654154:PQQ654219 QAM654154:QAM654219 QKI654154:QKI654219 QUE654154:QUE654219 REA654154:REA654219 RNW654154:RNW654219 RXS654154:RXS654219 SHO654154:SHO654219 SRK654154:SRK654219 TBG654154:TBG654219 TLC654154:TLC654219 TUY654154:TUY654219 UEU654154:UEU654219 UOQ654154:UOQ654219 UYM654154:UYM654219 VII654154:VII654219 VSE654154:VSE654219 WCA654154:WCA654219 WLW654154:WLW654219 WVS654154:WVS654219 K719690:K719755 JG719690:JG719755 TC719690:TC719755 ACY719690:ACY719755 AMU719690:AMU719755 AWQ719690:AWQ719755 BGM719690:BGM719755 BQI719690:BQI719755 CAE719690:CAE719755 CKA719690:CKA719755 CTW719690:CTW719755 DDS719690:DDS719755 DNO719690:DNO719755 DXK719690:DXK719755 EHG719690:EHG719755 ERC719690:ERC719755 FAY719690:FAY719755 FKU719690:FKU719755 FUQ719690:FUQ719755 GEM719690:GEM719755 GOI719690:GOI719755 GYE719690:GYE719755 HIA719690:HIA719755 HRW719690:HRW719755 IBS719690:IBS719755 ILO719690:ILO719755 IVK719690:IVK719755 JFG719690:JFG719755 JPC719690:JPC719755 JYY719690:JYY719755 KIU719690:KIU719755 KSQ719690:KSQ719755 LCM719690:LCM719755 LMI719690:LMI719755 LWE719690:LWE719755 MGA719690:MGA719755 MPW719690:MPW719755 MZS719690:MZS719755 NJO719690:NJO719755 NTK719690:NTK719755 ODG719690:ODG719755 ONC719690:ONC719755 OWY719690:OWY719755 PGU719690:PGU719755 PQQ719690:PQQ719755 QAM719690:QAM719755 QKI719690:QKI719755 QUE719690:QUE719755 REA719690:REA719755 RNW719690:RNW719755 RXS719690:RXS719755 SHO719690:SHO719755 SRK719690:SRK719755 TBG719690:TBG719755 TLC719690:TLC719755 TUY719690:TUY719755 UEU719690:UEU719755 UOQ719690:UOQ719755 UYM719690:UYM719755 VII719690:VII719755 VSE719690:VSE719755 WCA719690:WCA719755 WLW719690:WLW719755 WVS719690:WVS719755 K785226:K785291 JG785226:JG785291 TC785226:TC785291 ACY785226:ACY785291 AMU785226:AMU785291 AWQ785226:AWQ785291 BGM785226:BGM785291 BQI785226:BQI785291 CAE785226:CAE785291 CKA785226:CKA785291 CTW785226:CTW785291 DDS785226:DDS785291 DNO785226:DNO785291 DXK785226:DXK785291 EHG785226:EHG785291 ERC785226:ERC785291 FAY785226:FAY785291 FKU785226:FKU785291 FUQ785226:FUQ785291 GEM785226:GEM785291 GOI785226:GOI785291 GYE785226:GYE785291 HIA785226:HIA785291 HRW785226:HRW785291 IBS785226:IBS785291 ILO785226:ILO785291 IVK785226:IVK785291 JFG785226:JFG785291 JPC785226:JPC785291 JYY785226:JYY785291 KIU785226:KIU785291 KSQ785226:KSQ785291 LCM785226:LCM785291 LMI785226:LMI785291 LWE785226:LWE785291 MGA785226:MGA785291 MPW785226:MPW785291 MZS785226:MZS785291 NJO785226:NJO785291 NTK785226:NTK785291 ODG785226:ODG785291 ONC785226:ONC785291 OWY785226:OWY785291 PGU785226:PGU785291 PQQ785226:PQQ785291 QAM785226:QAM785291 QKI785226:QKI785291 QUE785226:QUE785291 REA785226:REA785291 RNW785226:RNW785291 RXS785226:RXS785291 SHO785226:SHO785291 SRK785226:SRK785291 TBG785226:TBG785291 TLC785226:TLC785291 TUY785226:TUY785291 UEU785226:UEU785291 UOQ785226:UOQ785291 UYM785226:UYM785291 VII785226:VII785291 VSE785226:VSE785291 WCA785226:WCA785291 WLW785226:WLW785291 WVS785226:WVS785291 K850762:K850827 JG850762:JG850827 TC850762:TC850827 ACY850762:ACY850827 AMU850762:AMU850827 AWQ850762:AWQ850827 BGM850762:BGM850827 BQI850762:BQI850827 CAE850762:CAE850827 CKA850762:CKA850827 CTW850762:CTW850827 DDS850762:DDS850827 DNO850762:DNO850827 DXK850762:DXK850827 EHG850762:EHG850827 ERC850762:ERC850827 FAY850762:FAY850827 FKU850762:FKU850827 FUQ850762:FUQ850827 GEM850762:GEM850827 GOI850762:GOI850827 GYE850762:GYE850827 HIA850762:HIA850827 HRW850762:HRW850827 IBS850762:IBS850827 ILO850762:ILO850827 IVK850762:IVK850827 JFG850762:JFG850827 JPC850762:JPC850827 JYY850762:JYY850827 KIU850762:KIU850827 KSQ850762:KSQ850827 LCM850762:LCM850827 LMI850762:LMI850827 LWE850762:LWE850827 MGA850762:MGA850827 MPW850762:MPW850827 MZS850762:MZS850827 NJO850762:NJO850827 NTK850762:NTK850827 ODG850762:ODG850827 ONC850762:ONC850827 OWY850762:OWY850827 PGU850762:PGU850827 PQQ850762:PQQ850827 QAM850762:QAM850827 QKI850762:QKI850827 QUE850762:QUE850827 REA850762:REA850827 RNW850762:RNW850827 RXS850762:RXS850827 SHO850762:SHO850827 SRK850762:SRK850827 TBG850762:TBG850827 TLC850762:TLC850827 TUY850762:TUY850827 UEU850762:UEU850827 UOQ850762:UOQ850827 UYM850762:UYM850827 VII850762:VII850827 VSE850762:VSE850827 WCA850762:WCA850827 WLW850762:WLW850827 WVS850762:WVS850827 K916298:K916363 JG916298:JG916363 TC916298:TC916363 ACY916298:ACY916363 AMU916298:AMU916363 AWQ916298:AWQ916363 BGM916298:BGM916363 BQI916298:BQI916363 CAE916298:CAE916363 CKA916298:CKA916363 CTW916298:CTW916363 DDS916298:DDS916363 DNO916298:DNO916363 DXK916298:DXK916363 EHG916298:EHG916363 ERC916298:ERC916363 FAY916298:FAY916363 FKU916298:FKU916363 FUQ916298:FUQ916363 GEM916298:GEM916363 GOI916298:GOI916363 GYE916298:GYE916363 HIA916298:HIA916363 HRW916298:HRW916363 IBS916298:IBS916363 ILO916298:ILO916363 IVK916298:IVK916363 JFG916298:JFG916363 JPC916298:JPC916363 JYY916298:JYY916363 KIU916298:KIU916363 KSQ916298:KSQ916363 LCM916298:LCM916363 LMI916298:LMI916363 LWE916298:LWE916363 MGA916298:MGA916363 MPW916298:MPW916363 MZS916298:MZS916363 NJO916298:NJO916363 NTK916298:NTK916363 ODG916298:ODG916363 ONC916298:ONC916363 OWY916298:OWY916363 PGU916298:PGU916363 PQQ916298:PQQ916363 QAM916298:QAM916363 QKI916298:QKI916363 QUE916298:QUE916363 REA916298:REA916363 RNW916298:RNW916363 RXS916298:RXS916363 SHO916298:SHO916363 SRK916298:SRK916363 TBG916298:TBG916363 TLC916298:TLC916363 TUY916298:TUY916363 UEU916298:UEU916363 UOQ916298:UOQ916363 UYM916298:UYM916363 VII916298:VII916363 VSE916298:VSE916363 WCA916298:WCA916363 WLW916298:WLW916363 WVS916298:WVS916363 K981834:K981899 JG981834:JG981899 TC981834:TC981899 ACY981834:ACY981899 AMU981834:AMU981899 AWQ981834:AWQ981899 BGM981834:BGM981899 BQI981834:BQI981899 CAE981834:CAE981899 CKA981834:CKA981899 CTW981834:CTW981899 DDS981834:DDS981899 DNO981834:DNO981899 DXK981834:DXK981899 EHG981834:EHG981899 ERC981834:ERC981899 FAY981834:FAY981899 FKU981834:FKU981899 FUQ981834:FUQ981899 GEM981834:GEM981899 GOI981834:GOI981899 GYE981834:GYE981899 HIA981834:HIA981899 HRW981834:HRW981899 IBS981834:IBS981899 ILO981834:ILO981899 IVK981834:IVK981899 JFG981834:JFG981899 JPC981834:JPC981899 JYY981834:JYY981899 KIU981834:KIU981899 KSQ981834:KSQ981899 LCM981834:LCM981899 LMI981834:LMI981899 LWE981834:LWE981899 MGA981834:MGA981899 MPW981834:MPW981899 MZS981834:MZS981899 NJO981834:NJO981899 NTK981834:NTK981899 ODG981834:ODG981899 ONC981834:ONC981899 OWY981834:OWY981899 PGU981834:PGU981899 PQQ981834:PQQ981899 QAM981834:QAM981899 QKI981834:QKI981899 QUE981834:QUE981899 REA981834:REA981899 RNW981834:RNW981899 RXS981834:RXS981899 SHO981834:SHO981899 SRK981834:SRK981899 TBG981834:TBG981899 TLC981834:TLC981899 TUY981834:TUY981899 UEU981834:UEU981899 UOQ981834:UOQ981899 UYM981834:UYM981899 VII981834:VII981899 VSE981834:VSE981899 WCA981834:WCA981899 WLW981834:WLW981899 WVS981834:WVS981899 K1047370:K1047435 JG1047370:JG1047435 TC1047370:TC1047435 ACY1047370:ACY1047435 AMU1047370:AMU1047435 AWQ1047370:AWQ1047435 BGM1047370:BGM1047435 BQI1047370:BQI1047435 CAE1047370:CAE1047435 CKA1047370:CKA1047435 CTW1047370:CTW1047435 DDS1047370:DDS1047435 DNO1047370:DNO1047435 DXK1047370:DXK1047435 EHG1047370:EHG1047435 ERC1047370:ERC1047435 FAY1047370:FAY1047435 FKU1047370:FKU1047435 FUQ1047370:FUQ1047435 GEM1047370:GEM1047435 GOI1047370:GOI1047435 GYE1047370:GYE1047435 HIA1047370:HIA1047435 HRW1047370:HRW1047435 IBS1047370:IBS1047435 ILO1047370:ILO1047435 IVK1047370:IVK1047435 JFG1047370:JFG1047435 JPC1047370:JPC1047435 JYY1047370:JYY1047435 KIU1047370:KIU1047435 KSQ1047370:KSQ1047435 LCM1047370:LCM1047435 LMI1047370:LMI1047435 LWE1047370:LWE1047435 MGA1047370:MGA1047435 MPW1047370:MPW1047435 MZS1047370:MZS1047435 NJO1047370:NJO1047435 NTK1047370:NTK1047435 ODG1047370:ODG1047435 ONC1047370:ONC1047435 OWY1047370:OWY1047435 PGU1047370:PGU1047435 PQQ1047370:PQQ1047435 QAM1047370:QAM1047435 QKI1047370:QKI1047435 QUE1047370:QUE1047435 REA1047370:REA1047435 RNW1047370:RNW1047435 RXS1047370:RXS1047435 SHO1047370:SHO1047435 SRK1047370:SRK1047435 TBG1047370:TBG1047435 TLC1047370:TLC1047435 TUY1047370:TUY1047435 UEU1047370:UEU1047435 UOQ1047370:UOQ1047435 UYM1047370:UYM1047435 VII1047370:VII1047435 VSE1047370:VSE1047435 WCA1047370:WCA1047435 WLW1047370:WLW1047435 WVS1047370:WVS1047435" xr:uid="{44843CAE-7D06-4DF6-B3A7-793E26B4BB55}">
      <formula1>$AR$2:$AR$24</formula1>
    </dataValidation>
    <dataValidation type="list" allowBlank="1" showInputMessage="1" showErrorMessage="1" sqref="Y64330:AA64395 JU64330:JW64395 TQ64330:TS64395 ADM64330:ADO64395 ANI64330:ANK64395 AXE64330:AXG64395 BHA64330:BHC64395 BQW64330:BQY64395 CAS64330:CAU64395 CKO64330:CKQ64395 CUK64330:CUM64395 DEG64330:DEI64395 DOC64330:DOE64395 DXY64330:DYA64395 EHU64330:EHW64395 ERQ64330:ERS64395 FBM64330:FBO64395 FLI64330:FLK64395 FVE64330:FVG64395 GFA64330:GFC64395 GOW64330:GOY64395 GYS64330:GYU64395 HIO64330:HIQ64395 HSK64330:HSM64395 ICG64330:ICI64395 IMC64330:IME64395 IVY64330:IWA64395 JFU64330:JFW64395 JPQ64330:JPS64395 JZM64330:JZO64395 KJI64330:KJK64395 KTE64330:KTG64395 LDA64330:LDC64395 LMW64330:LMY64395 LWS64330:LWU64395 MGO64330:MGQ64395 MQK64330:MQM64395 NAG64330:NAI64395 NKC64330:NKE64395 NTY64330:NUA64395 ODU64330:ODW64395 ONQ64330:ONS64395 OXM64330:OXO64395 PHI64330:PHK64395 PRE64330:PRG64395 QBA64330:QBC64395 QKW64330:QKY64395 QUS64330:QUU64395 REO64330:REQ64395 ROK64330:ROM64395 RYG64330:RYI64395 SIC64330:SIE64395 SRY64330:SSA64395 TBU64330:TBW64395 TLQ64330:TLS64395 TVM64330:TVO64395 UFI64330:UFK64395 UPE64330:UPG64395 UZA64330:UZC64395 VIW64330:VIY64395 VSS64330:VSU64395 WCO64330:WCQ64395 WMK64330:WMM64395 WWG64330:WWI64395 Y129866:AA129931 JU129866:JW129931 TQ129866:TS129931 ADM129866:ADO129931 ANI129866:ANK129931 AXE129866:AXG129931 BHA129866:BHC129931 BQW129866:BQY129931 CAS129866:CAU129931 CKO129866:CKQ129931 CUK129866:CUM129931 DEG129866:DEI129931 DOC129866:DOE129931 DXY129866:DYA129931 EHU129866:EHW129931 ERQ129866:ERS129931 FBM129866:FBO129931 FLI129866:FLK129931 FVE129866:FVG129931 GFA129866:GFC129931 GOW129866:GOY129931 GYS129866:GYU129931 HIO129866:HIQ129931 HSK129866:HSM129931 ICG129866:ICI129931 IMC129866:IME129931 IVY129866:IWA129931 JFU129866:JFW129931 JPQ129866:JPS129931 JZM129866:JZO129931 KJI129866:KJK129931 KTE129866:KTG129931 LDA129866:LDC129931 LMW129866:LMY129931 LWS129866:LWU129931 MGO129866:MGQ129931 MQK129866:MQM129931 NAG129866:NAI129931 NKC129866:NKE129931 NTY129866:NUA129931 ODU129866:ODW129931 ONQ129866:ONS129931 OXM129866:OXO129931 PHI129866:PHK129931 PRE129866:PRG129931 QBA129866:QBC129931 QKW129866:QKY129931 QUS129866:QUU129931 REO129866:REQ129931 ROK129866:ROM129931 RYG129866:RYI129931 SIC129866:SIE129931 SRY129866:SSA129931 TBU129866:TBW129931 TLQ129866:TLS129931 TVM129866:TVO129931 UFI129866:UFK129931 UPE129866:UPG129931 UZA129866:UZC129931 VIW129866:VIY129931 VSS129866:VSU129931 WCO129866:WCQ129931 WMK129866:WMM129931 WWG129866:WWI129931 Y195402:AA195467 JU195402:JW195467 TQ195402:TS195467 ADM195402:ADO195467 ANI195402:ANK195467 AXE195402:AXG195467 BHA195402:BHC195467 BQW195402:BQY195467 CAS195402:CAU195467 CKO195402:CKQ195467 CUK195402:CUM195467 DEG195402:DEI195467 DOC195402:DOE195467 DXY195402:DYA195467 EHU195402:EHW195467 ERQ195402:ERS195467 FBM195402:FBO195467 FLI195402:FLK195467 FVE195402:FVG195467 GFA195402:GFC195467 GOW195402:GOY195467 GYS195402:GYU195467 HIO195402:HIQ195467 HSK195402:HSM195467 ICG195402:ICI195467 IMC195402:IME195467 IVY195402:IWA195467 JFU195402:JFW195467 JPQ195402:JPS195467 JZM195402:JZO195467 KJI195402:KJK195467 KTE195402:KTG195467 LDA195402:LDC195467 LMW195402:LMY195467 LWS195402:LWU195467 MGO195402:MGQ195467 MQK195402:MQM195467 NAG195402:NAI195467 NKC195402:NKE195467 NTY195402:NUA195467 ODU195402:ODW195467 ONQ195402:ONS195467 OXM195402:OXO195467 PHI195402:PHK195467 PRE195402:PRG195467 QBA195402:QBC195467 QKW195402:QKY195467 QUS195402:QUU195467 REO195402:REQ195467 ROK195402:ROM195467 RYG195402:RYI195467 SIC195402:SIE195467 SRY195402:SSA195467 TBU195402:TBW195467 TLQ195402:TLS195467 TVM195402:TVO195467 UFI195402:UFK195467 UPE195402:UPG195467 UZA195402:UZC195467 VIW195402:VIY195467 VSS195402:VSU195467 WCO195402:WCQ195467 WMK195402:WMM195467 WWG195402:WWI195467 Y260938:AA261003 JU260938:JW261003 TQ260938:TS261003 ADM260938:ADO261003 ANI260938:ANK261003 AXE260938:AXG261003 BHA260938:BHC261003 BQW260938:BQY261003 CAS260938:CAU261003 CKO260938:CKQ261003 CUK260938:CUM261003 DEG260938:DEI261003 DOC260938:DOE261003 DXY260938:DYA261003 EHU260938:EHW261003 ERQ260938:ERS261003 FBM260938:FBO261003 FLI260938:FLK261003 FVE260938:FVG261003 GFA260938:GFC261003 GOW260938:GOY261003 GYS260938:GYU261003 HIO260938:HIQ261003 HSK260938:HSM261003 ICG260938:ICI261003 IMC260938:IME261003 IVY260938:IWA261003 JFU260938:JFW261003 JPQ260938:JPS261003 JZM260938:JZO261003 KJI260938:KJK261003 KTE260938:KTG261003 LDA260938:LDC261003 LMW260938:LMY261003 LWS260938:LWU261003 MGO260938:MGQ261003 MQK260938:MQM261003 NAG260938:NAI261003 NKC260938:NKE261003 NTY260938:NUA261003 ODU260938:ODW261003 ONQ260938:ONS261003 OXM260938:OXO261003 PHI260938:PHK261003 PRE260938:PRG261003 QBA260938:QBC261003 QKW260938:QKY261003 QUS260938:QUU261003 REO260938:REQ261003 ROK260938:ROM261003 RYG260938:RYI261003 SIC260938:SIE261003 SRY260938:SSA261003 TBU260938:TBW261003 TLQ260938:TLS261003 TVM260938:TVO261003 UFI260938:UFK261003 UPE260938:UPG261003 UZA260938:UZC261003 VIW260938:VIY261003 VSS260938:VSU261003 WCO260938:WCQ261003 WMK260938:WMM261003 WWG260938:WWI261003 Y326474:AA326539 JU326474:JW326539 TQ326474:TS326539 ADM326474:ADO326539 ANI326474:ANK326539 AXE326474:AXG326539 BHA326474:BHC326539 BQW326474:BQY326539 CAS326474:CAU326539 CKO326474:CKQ326539 CUK326474:CUM326539 DEG326474:DEI326539 DOC326474:DOE326539 DXY326474:DYA326539 EHU326474:EHW326539 ERQ326474:ERS326539 FBM326474:FBO326539 FLI326474:FLK326539 FVE326474:FVG326539 GFA326474:GFC326539 GOW326474:GOY326539 GYS326474:GYU326539 HIO326474:HIQ326539 HSK326474:HSM326539 ICG326474:ICI326539 IMC326474:IME326539 IVY326474:IWA326539 JFU326474:JFW326539 JPQ326474:JPS326539 JZM326474:JZO326539 KJI326474:KJK326539 KTE326474:KTG326539 LDA326474:LDC326539 LMW326474:LMY326539 LWS326474:LWU326539 MGO326474:MGQ326539 MQK326474:MQM326539 NAG326474:NAI326539 NKC326474:NKE326539 NTY326474:NUA326539 ODU326474:ODW326539 ONQ326474:ONS326539 OXM326474:OXO326539 PHI326474:PHK326539 PRE326474:PRG326539 QBA326474:QBC326539 QKW326474:QKY326539 QUS326474:QUU326539 REO326474:REQ326539 ROK326474:ROM326539 RYG326474:RYI326539 SIC326474:SIE326539 SRY326474:SSA326539 TBU326474:TBW326539 TLQ326474:TLS326539 TVM326474:TVO326539 UFI326474:UFK326539 UPE326474:UPG326539 UZA326474:UZC326539 VIW326474:VIY326539 VSS326474:VSU326539 WCO326474:WCQ326539 WMK326474:WMM326539 WWG326474:WWI326539 Y392010:AA392075 JU392010:JW392075 TQ392010:TS392075 ADM392010:ADO392075 ANI392010:ANK392075 AXE392010:AXG392075 BHA392010:BHC392075 BQW392010:BQY392075 CAS392010:CAU392075 CKO392010:CKQ392075 CUK392010:CUM392075 DEG392010:DEI392075 DOC392010:DOE392075 DXY392010:DYA392075 EHU392010:EHW392075 ERQ392010:ERS392075 FBM392010:FBO392075 FLI392010:FLK392075 FVE392010:FVG392075 GFA392010:GFC392075 GOW392010:GOY392075 GYS392010:GYU392075 HIO392010:HIQ392075 HSK392010:HSM392075 ICG392010:ICI392075 IMC392010:IME392075 IVY392010:IWA392075 JFU392010:JFW392075 JPQ392010:JPS392075 JZM392010:JZO392075 KJI392010:KJK392075 KTE392010:KTG392075 LDA392010:LDC392075 LMW392010:LMY392075 LWS392010:LWU392075 MGO392010:MGQ392075 MQK392010:MQM392075 NAG392010:NAI392075 NKC392010:NKE392075 NTY392010:NUA392075 ODU392010:ODW392075 ONQ392010:ONS392075 OXM392010:OXO392075 PHI392010:PHK392075 PRE392010:PRG392075 QBA392010:QBC392075 QKW392010:QKY392075 QUS392010:QUU392075 REO392010:REQ392075 ROK392010:ROM392075 RYG392010:RYI392075 SIC392010:SIE392075 SRY392010:SSA392075 TBU392010:TBW392075 TLQ392010:TLS392075 TVM392010:TVO392075 UFI392010:UFK392075 UPE392010:UPG392075 UZA392010:UZC392075 VIW392010:VIY392075 VSS392010:VSU392075 WCO392010:WCQ392075 WMK392010:WMM392075 WWG392010:WWI392075 Y457546:AA457611 JU457546:JW457611 TQ457546:TS457611 ADM457546:ADO457611 ANI457546:ANK457611 AXE457546:AXG457611 BHA457546:BHC457611 BQW457546:BQY457611 CAS457546:CAU457611 CKO457546:CKQ457611 CUK457546:CUM457611 DEG457546:DEI457611 DOC457546:DOE457611 DXY457546:DYA457611 EHU457546:EHW457611 ERQ457546:ERS457611 FBM457546:FBO457611 FLI457546:FLK457611 FVE457546:FVG457611 GFA457546:GFC457611 GOW457546:GOY457611 GYS457546:GYU457611 HIO457546:HIQ457611 HSK457546:HSM457611 ICG457546:ICI457611 IMC457546:IME457611 IVY457546:IWA457611 JFU457546:JFW457611 JPQ457546:JPS457611 JZM457546:JZO457611 KJI457546:KJK457611 KTE457546:KTG457611 LDA457546:LDC457611 LMW457546:LMY457611 LWS457546:LWU457611 MGO457546:MGQ457611 MQK457546:MQM457611 NAG457546:NAI457611 NKC457546:NKE457611 NTY457546:NUA457611 ODU457546:ODW457611 ONQ457546:ONS457611 OXM457546:OXO457611 PHI457546:PHK457611 PRE457546:PRG457611 QBA457546:QBC457611 QKW457546:QKY457611 QUS457546:QUU457611 REO457546:REQ457611 ROK457546:ROM457611 RYG457546:RYI457611 SIC457546:SIE457611 SRY457546:SSA457611 TBU457546:TBW457611 TLQ457546:TLS457611 TVM457546:TVO457611 UFI457546:UFK457611 UPE457546:UPG457611 UZA457546:UZC457611 VIW457546:VIY457611 VSS457546:VSU457611 WCO457546:WCQ457611 WMK457546:WMM457611 WWG457546:WWI457611 Y523082:AA523147 JU523082:JW523147 TQ523082:TS523147 ADM523082:ADO523147 ANI523082:ANK523147 AXE523082:AXG523147 BHA523082:BHC523147 BQW523082:BQY523147 CAS523082:CAU523147 CKO523082:CKQ523147 CUK523082:CUM523147 DEG523082:DEI523147 DOC523082:DOE523147 DXY523082:DYA523147 EHU523082:EHW523147 ERQ523082:ERS523147 FBM523082:FBO523147 FLI523082:FLK523147 FVE523082:FVG523147 GFA523082:GFC523147 GOW523082:GOY523147 GYS523082:GYU523147 HIO523082:HIQ523147 HSK523082:HSM523147 ICG523082:ICI523147 IMC523082:IME523147 IVY523082:IWA523147 JFU523082:JFW523147 JPQ523082:JPS523147 JZM523082:JZO523147 KJI523082:KJK523147 KTE523082:KTG523147 LDA523082:LDC523147 LMW523082:LMY523147 LWS523082:LWU523147 MGO523082:MGQ523147 MQK523082:MQM523147 NAG523082:NAI523147 NKC523082:NKE523147 NTY523082:NUA523147 ODU523082:ODW523147 ONQ523082:ONS523147 OXM523082:OXO523147 PHI523082:PHK523147 PRE523082:PRG523147 QBA523082:QBC523147 QKW523082:QKY523147 QUS523082:QUU523147 REO523082:REQ523147 ROK523082:ROM523147 RYG523082:RYI523147 SIC523082:SIE523147 SRY523082:SSA523147 TBU523082:TBW523147 TLQ523082:TLS523147 TVM523082:TVO523147 UFI523082:UFK523147 UPE523082:UPG523147 UZA523082:UZC523147 VIW523082:VIY523147 VSS523082:VSU523147 WCO523082:WCQ523147 WMK523082:WMM523147 WWG523082:WWI523147 Y588618:AA588683 JU588618:JW588683 TQ588618:TS588683 ADM588618:ADO588683 ANI588618:ANK588683 AXE588618:AXG588683 BHA588618:BHC588683 BQW588618:BQY588683 CAS588618:CAU588683 CKO588618:CKQ588683 CUK588618:CUM588683 DEG588618:DEI588683 DOC588618:DOE588683 DXY588618:DYA588683 EHU588618:EHW588683 ERQ588618:ERS588683 FBM588618:FBO588683 FLI588618:FLK588683 FVE588618:FVG588683 GFA588618:GFC588683 GOW588618:GOY588683 GYS588618:GYU588683 HIO588618:HIQ588683 HSK588618:HSM588683 ICG588618:ICI588683 IMC588618:IME588683 IVY588618:IWA588683 JFU588618:JFW588683 JPQ588618:JPS588683 JZM588618:JZO588683 KJI588618:KJK588683 KTE588618:KTG588683 LDA588618:LDC588683 LMW588618:LMY588683 LWS588618:LWU588683 MGO588618:MGQ588683 MQK588618:MQM588683 NAG588618:NAI588683 NKC588618:NKE588683 NTY588618:NUA588683 ODU588618:ODW588683 ONQ588618:ONS588683 OXM588618:OXO588683 PHI588618:PHK588683 PRE588618:PRG588683 QBA588618:QBC588683 QKW588618:QKY588683 QUS588618:QUU588683 REO588618:REQ588683 ROK588618:ROM588683 RYG588618:RYI588683 SIC588618:SIE588683 SRY588618:SSA588683 TBU588618:TBW588683 TLQ588618:TLS588683 TVM588618:TVO588683 UFI588618:UFK588683 UPE588618:UPG588683 UZA588618:UZC588683 VIW588618:VIY588683 VSS588618:VSU588683 WCO588618:WCQ588683 WMK588618:WMM588683 WWG588618:WWI588683 Y654154:AA654219 JU654154:JW654219 TQ654154:TS654219 ADM654154:ADO654219 ANI654154:ANK654219 AXE654154:AXG654219 BHA654154:BHC654219 BQW654154:BQY654219 CAS654154:CAU654219 CKO654154:CKQ654219 CUK654154:CUM654219 DEG654154:DEI654219 DOC654154:DOE654219 DXY654154:DYA654219 EHU654154:EHW654219 ERQ654154:ERS654219 FBM654154:FBO654219 FLI654154:FLK654219 FVE654154:FVG654219 GFA654154:GFC654219 GOW654154:GOY654219 GYS654154:GYU654219 HIO654154:HIQ654219 HSK654154:HSM654219 ICG654154:ICI654219 IMC654154:IME654219 IVY654154:IWA654219 JFU654154:JFW654219 JPQ654154:JPS654219 JZM654154:JZO654219 KJI654154:KJK654219 KTE654154:KTG654219 LDA654154:LDC654219 LMW654154:LMY654219 LWS654154:LWU654219 MGO654154:MGQ654219 MQK654154:MQM654219 NAG654154:NAI654219 NKC654154:NKE654219 NTY654154:NUA654219 ODU654154:ODW654219 ONQ654154:ONS654219 OXM654154:OXO654219 PHI654154:PHK654219 PRE654154:PRG654219 QBA654154:QBC654219 QKW654154:QKY654219 QUS654154:QUU654219 REO654154:REQ654219 ROK654154:ROM654219 RYG654154:RYI654219 SIC654154:SIE654219 SRY654154:SSA654219 TBU654154:TBW654219 TLQ654154:TLS654219 TVM654154:TVO654219 UFI654154:UFK654219 UPE654154:UPG654219 UZA654154:UZC654219 VIW654154:VIY654219 VSS654154:VSU654219 WCO654154:WCQ654219 WMK654154:WMM654219 WWG654154:WWI654219 Y719690:AA719755 JU719690:JW719755 TQ719690:TS719755 ADM719690:ADO719755 ANI719690:ANK719755 AXE719690:AXG719755 BHA719690:BHC719755 BQW719690:BQY719755 CAS719690:CAU719755 CKO719690:CKQ719755 CUK719690:CUM719755 DEG719690:DEI719755 DOC719690:DOE719755 DXY719690:DYA719755 EHU719690:EHW719755 ERQ719690:ERS719755 FBM719690:FBO719755 FLI719690:FLK719755 FVE719690:FVG719755 GFA719690:GFC719755 GOW719690:GOY719755 GYS719690:GYU719755 HIO719690:HIQ719755 HSK719690:HSM719755 ICG719690:ICI719755 IMC719690:IME719755 IVY719690:IWA719755 JFU719690:JFW719755 JPQ719690:JPS719755 JZM719690:JZO719755 KJI719690:KJK719755 KTE719690:KTG719755 LDA719690:LDC719755 LMW719690:LMY719755 LWS719690:LWU719755 MGO719690:MGQ719755 MQK719690:MQM719755 NAG719690:NAI719755 NKC719690:NKE719755 NTY719690:NUA719755 ODU719690:ODW719755 ONQ719690:ONS719755 OXM719690:OXO719755 PHI719690:PHK719755 PRE719690:PRG719755 QBA719690:QBC719755 QKW719690:QKY719755 QUS719690:QUU719755 REO719690:REQ719755 ROK719690:ROM719755 RYG719690:RYI719755 SIC719690:SIE719755 SRY719690:SSA719755 TBU719690:TBW719755 TLQ719690:TLS719755 TVM719690:TVO719755 UFI719690:UFK719755 UPE719690:UPG719755 UZA719690:UZC719755 VIW719690:VIY719755 VSS719690:VSU719755 WCO719690:WCQ719755 WMK719690:WMM719755 WWG719690:WWI719755 Y785226:AA785291 JU785226:JW785291 TQ785226:TS785291 ADM785226:ADO785291 ANI785226:ANK785291 AXE785226:AXG785291 BHA785226:BHC785291 BQW785226:BQY785291 CAS785226:CAU785291 CKO785226:CKQ785291 CUK785226:CUM785291 DEG785226:DEI785291 DOC785226:DOE785291 DXY785226:DYA785291 EHU785226:EHW785291 ERQ785226:ERS785291 FBM785226:FBO785291 FLI785226:FLK785291 FVE785226:FVG785291 GFA785226:GFC785291 GOW785226:GOY785291 GYS785226:GYU785291 HIO785226:HIQ785291 HSK785226:HSM785291 ICG785226:ICI785291 IMC785226:IME785291 IVY785226:IWA785291 JFU785226:JFW785291 JPQ785226:JPS785291 JZM785226:JZO785291 KJI785226:KJK785291 KTE785226:KTG785291 LDA785226:LDC785291 LMW785226:LMY785291 LWS785226:LWU785291 MGO785226:MGQ785291 MQK785226:MQM785291 NAG785226:NAI785291 NKC785226:NKE785291 NTY785226:NUA785291 ODU785226:ODW785291 ONQ785226:ONS785291 OXM785226:OXO785291 PHI785226:PHK785291 PRE785226:PRG785291 QBA785226:QBC785291 QKW785226:QKY785291 QUS785226:QUU785291 REO785226:REQ785291 ROK785226:ROM785291 RYG785226:RYI785291 SIC785226:SIE785291 SRY785226:SSA785291 TBU785226:TBW785291 TLQ785226:TLS785291 TVM785226:TVO785291 UFI785226:UFK785291 UPE785226:UPG785291 UZA785226:UZC785291 VIW785226:VIY785291 VSS785226:VSU785291 WCO785226:WCQ785291 WMK785226:WMM785291 WWG785226:WWI785291 Y850762:AA850827 JU850762:JW850827 TQ850762:TS850827 ADM850762:ADO850827 ANI850762:ANK850827 AXE850762:AXG850827 BHA850762:BHC850827 BQW850762:BQY850827 CAS850762:CAU850827 CKO850762:CKQ850827 CUK850762:CUM850827 DEG850762:DEI850827 DOC850762:DOE850827 DXY850762:DYA850827 EHU850762:EHW850827 ERQ850762:ERS850827 FBM850762:FBO850827 FLI850762:FLK850827 FVE850762:FVG850827 GFA850762:GFC850827 GOW850762:GOY850827 GYS850762:GYU850827 HIO850762:HIQ850827 HSK850762:HSM850827 ICG850762:ICI850827 IMC850762:IME850827 IVY850762:IWA850827 JFU850762:JFW850827 JPQ850762:JPS850827 JZM850762:JZO850827 KJI850762:KJK850827 KTE850762:KTG850827 LDA850762:LDC850827 LMW850762:LMY850827 LWS850762:LWU850827 MGO850762:MGQ850827 MQK850762:MQM850827 NAG850762:NAI850827 NKC850762:NKE850827 NTY850762:NUA850827 ODU850762:ODW850827 ONQ850762:ONS850827 OXM850762:OXO850827 PHI850762:PHK850827 PRE850762:PRG850827 QBA850762:QBC850827 QKW850762:QKY850827 QUS850762:QUU850827 REO850762:REQ850827 ROK850762:ROM850827 RYG850762:RYI850827 SIC850762:SIE850827 SRY850762:SSA850827 TBU850762:TBW850827 TLQ850762:TLS850827 TVM850762:TVO850827 UFI850762:UFK850827 UPE850762:UPG850827 UZA850762:UZC850827 VIW850762:VIY850827 VSS850762:VSU850827 WCO850762:WCQ850827 WMK850762:WMM850827 WWG850762:WWI850827 Y916298:AA916363 JU916298:JW916363 TQ916298:TS916363 ADM916298:ADO916363 ANI916298:ANK916363 AXE916298:AXG916363 BHA916298:BHC916363 BQW916298:BQY916363 CAS916298:CAU916363 CKO916298:CKQ916363 CUK916298:CUM916363 DEG916298:DEI916363 DOC916298:DOE916363 DXY916298:DYA916363 EHU916298:EHW916363 ERQ916298:ERS916363 FBM916298:FBO916363 FLI916298:FLK916363 FVE916298:FVG916363 GFA916298:GFC916363 GOW916298:GOY916363 GYS916298:GYU916363 HIO916298:HIQ916363 HSK916298:HSM916363 ICG916298:ICI916363 IMC916298:IME916363 IVY916298:IWA916363 JFU916298:JFW916363 JPQ916298:JPS916363 JZM916298:JZO916363 KJI916298:KJK916363 KTE916298:KTG916363 LDA916298:LDC916363 LMW916298:LMY916363 LWS916298:LWU916363 MGO916298:MGQ916363 MQK916298:MQM916363 NAG916298:NAI916363 NKC916298:NKE916363 NTY916298:NUA916363 ODU916298:ODW916363 ONQ916298:ONS916363 OXM916298:OXO916363 PHI916298:PHK916363 PRE916298:PRG916363 QBA916298:QBC916363 QKW916298:QKY916363 QUS916298:QUU916363 REO916298:REQ916363 ROK916298:ROM916363 RYG916298:RYI916363 SIC916298:SIE916363 SRY916298:SSA916363 TBU916298:TBW916363 TLQ916298:TLS916363 TVM916298:TVO916363 UFI916298:UFK916363 UPE916298:UPG916363 UZA916298:UZC916363 VIW916298:VIY916363 VSS916298:VSU916363 WCO916298:WCQ916363 WMK916298:WMM916363 WWG916298:WWI916363 Y981834:AA981899 JU981834:JW981899 TQ981834:TS981899 ADM981834:ADO981899 ANI981834:ANK981899 AXE981834:AXG981899 BHA981834:BHC981899 BQW981834:BQY981899 CAS981834:CAU981899 CKO981834:CKQ981899 CUK981834:CUM981899 DEG981834:DEI981899 DOC981834:DOE981899 DXY981834:DYA981899 EHU981834:EHW981899 ERQ981834:ERS981899 FBM981834:FBO981899 FLI981834:FLK981899 FVE981834:FVG981899 GFA981834:GFC981899 GOW981834:GOY981899 GYS981834:GYU981899 HIO981834:HIQ981899 HSK981834:HSM981899 ICG981834:ICI981899 IMC981834:IME981899 IVY981834:IWA981899 JFU981834:JFW981899 JPQ981834:JPS981899 JZM981834:JZO981899 KJI981834:KJK981899 KTE981834:KTG981899 LDA981834:LDC981899 LMW981834:LMY981899 LWS981834:LWU981899 MGO981834:MGQ981899 MQK981834:MQM981899 NAG981834:NAI981899 NKC981834:NKE981899 NTY981834:NUA981899 ODU981834:ODW981899 ONQ981834:ONS981899 OXM981834:OXO981899 PHI981834:PHK981899 PRE981834:PRG981899 QBA981834:QBC981899 QKW981834:QKY981899 QUS981834:QUU981899 REO981834:REQ981899 ROK981834:ROM981899 RYG981834:RYI981899 SIC981834:SIE981899 SRY981834:SSA981899 TBU981834:TBW981899 TLQ981834:TLS981899 TVM981834:TVO981899 UFI981834:UFK981899 UPE981834:UPG981899 UZA981834:UZC981899 VIW981834:VIY981899 VSS981834:VSU981899 WCO981834:WCQ981899 WMK981834:WMM981899 WWG981834:WWI981899 Y1047370:AA1047435 JU1047370:JW1047435 TQ1047370:TS1047435 ADM1047370:ADO1047435 ANI1047370:ANK1047435 AXE1047370:AXG1047435 BHA1047370:BHC1047435 BQW1047370:BQY1047435 CAS1047370:CAU1047435 CKO1047370:CKQ1047435 CUK1047370:CUM1047435 DEG1047370:DEI1047435 DOC1047370:DOE1047435 DXY1047370:DYA1047435 EHU1047370:EHW1047435 ERQ1047370:ERS1047435 FBM1047370:FBO1047435 FLI1047370:FLK1047435 FVE1047370:FVG1047435 GFA1047370:GFC1047435 GOW1047370:GOY1047435 GYS1047370:GYU1047435 HIO1047370:HIQ1047435 HSK1047370:HSM1047435 ICG1047370:ICI1047435 IMC1047370:IME1047435 IVY1047370:IWA1047435 JFU1047370:JFW1047435 JPQ1047370:JPS1047435 JZM1047370:JZO1047435 KJI1047370:KJK1047435 KTE1047370:KTG1047435 LDA1047370:LDC1047435 LMW1047370:LMY1047435 LWS1047370:LWU1047435 MGO1047370:MGQ1047435 MQK1047370:MQM1047435 NAG1047370:NAI1047435 NKC1047370:NKE1047435 NTY1047370:NUA1047435 ODU1047370:ODW1047435 ONQ1047370:ONS1047435 OXM1047370:OXO1047435 PHI1047370:PHK1047435 PRE1047370:PRG1047435 QBA1047370:QBC1047435 QKW1047370:QKY1047435 QUS1047370:QUU1047435 REO1047370:REQ1047435 ROK1047370:ROM1047435 RYG1047370:RYI1047435 SIC1047370:SIE1047435 SRY1047370:SSA1047435 TBU1047370:TBW1047435 TLQ1047370:TLS1047435 TVM1047370:TVO1047435 UFI1047370:UFK1047435 UPE1047370:UPG1047435 UZA1047370:UZC1047435 VIW1047370:VIY1047435 VSS1047370:VSU1047435 WCO1047370:WCQ1047435 WMK1047370:WMM1047435 WWG1047370:WWI1047435 WWG983009:WWI983074 Y65505:AA65570 JU65505:JW65570 TQ65505:TS65570 ADM65505:ADO65570 ANI65505:ANK65570 AXE65505:AXG65570 BHA65505:BHC65570 BQW65505:BQY65570 CAS65505:CAU65570 CKO65505:CKQ65570 CUK65505:CUM65570 DEG65505:DEI65570 DOC65505:DOE65570 DXY65505:DYA65570 EHU65505:EHW65570 ERQ65505:ERS65570 FBM65505:FBO65570 FLI65505:FLK65570 FVE65505:FVG65570 GFA65505:GFC65570 GOW65505:GOY65570 GYS65505:GYU65570 HIO65505:HIQ65570 HSK65505:HSM65570 ICG65505:ICI65570 IMC65505:IME65570 IVY65505:IWA65570 JFU65505:JFW65570 JPQ65505:JPS65570 JZM65505:JZO65570 KJI65505:KJK65570 KTE65505:KTG65570 LDA65505:LDC65570 LMW65505:LMY65570 LWS65505:LWU65570 MGO65505:MGQ65570 MQK65505:MQM65570 NAG65505:NAI65570 NKC65505:NKE65570 NTY65505:NUA65570 ODU65505:ODW65570 ONQ65505:ONS65570 OXM65505:OXO65570 PHI65505:PHK65570 PRE65505:PRG65570 QBA65505:QBC65570 QKW65505:QKY65570 QUS65505:QUU65570 REO65505:REQ65570 ROK65505:ROM65570 RYG65505:RYI65570 SIC65505:SIE65570 SRY65505:SSA65570 TBU65505:TBW65570 TLQ65505:TLS65570 TVM65505:TVO65570 UFI65505:UFK65570 UPE65505:UPG65570 UZA65505:UZC65570 VIW65505:VIY65570 VSS65505:VSU65570 WCO65505:WCQ65570 WMK65505:WMM65570 WWG65505:WWI65570 Y131041:AA131106 JU131041:JW131106 TQ131041:TS131106 ADM131041:ADO131106 ANI131041:ANK131106 AXE131041:AXG131106 BHA131041:BHC131106 BQW131041:BQY131106 CAS131041:CAU131106 CKO131041:CKQ131106 CUK131041:CUM131106 DEG131041:DEI131106 DOC131041:DOE131106 DXY131041:DYA131106 EHU131041:EHW131106 ERQ131041:ERS131106 FBM131041:FBO131106 FLI131041:FLK131106 FVE131041:FVG131106 GFA131041:GFC131106 GOW131041:GOY131106 GYS131041:GYU131106 HIO131041:HIQ131106 HSK131041:HSM131106 ICG131041:ICI131106 IMC131041:IME131106 IVY131041:IWA131106 JFU131041:JFW131106 JPQ131041:JPS131106 JZM131041:JZO131106 KJI131041:KJK131106 KTE131041:KTG131106 LDA131041:LDC131106 LMW131041:LMY131106 LWS131041:LWU131106 MGO131041:MGQ131106 MQK131041:MQM131106 NAG131041:NAI131106 NKC131041:NKE131106 NTY131041:NUA131106 ODU131041:ODW131106 ONQ131041:ONS131106 OXM131041:OXO131106 PHI131041:PHK131106 PRE131041:PRG131106 QBA131041:QBC131106 QKW131041:QKY131106 QUS131041:QUU131106 REO131041:REQ131106 ROK131041:ROM131106 RYG131041:RYI131106 SIC131041:SIE131106 SRY131041:SSA131106 TBU131041:TBW131106 TLQ131041:TLS131106 TVM131041:TVO131106 UFI131041:UFK131106 UPE131041:UPG131106 UZA131041:UZC131106 VIW131041:VIY131106 VSS131041:VSU131106 WCO131041:WCQ131106 WMK131041:WMM131106 WWG131041:WWI131106 Y196577:AA196642 JU196577:JW196642 TQ196577:TS196642 ADM196577:ADO196642 ANI196577:ANK196642 AXE196577:AXG196642 BHA196577:BHC196642 BQW196577:BQY196642 CAS196577:CAU196642 CKO196577:CKQ196642 CUK196577:CUM196642 DEG196577:DEI196642 DOC196577:DOE196642 DXY196577:DYA196642 EHU196577:EHW196642 ERQ196577:ERS196642 FBM196577:FBO196642 FLI196577:FLK196642 FVE196577:FVG196642 GFA196577:GFC196642 GOW196577:GOY196642 GYS196577:GYU196642 HIO196577:HIQ196642 HSK196577:HSM196642 ICG196577:ICI196642 IMC196577:IME196642 IVY196577:IWA196642 JFU196577:JFW196642 JPQ196577:JPS196642 JZM196577:JZO196642 KJI196577:KJK196642 KTE196577:KTG196642 LDA196577:LDC196642 LMW196577:LMY196642 LWS196577:LWU196642 MGO196577:MGQ196642 MQK196577:MQM196642 NAG196577:NAI196642 NKC196577:NKE196642 NTY196577:NUA196642 ODU196577:ODW196642 ONQ196577:ONS196642 OXM196577:OXO196642 PHI196577:PHK196642 PRE196577:PRG196642 QBA196577:QBC196642 QKW196577:QKY196642 QUS196577:QUU196642 REO196577:REQ196642 ROK196577:ROM196642 RYG196577:RYI196642 SIC196577:SIE196642 SRY196577:SSA196642 TBU196577:TBW196642 TLQ196577:TLS196642 TVM196577:TVO196642 UFI196577:UFK196642 UPE196577:UPG196642 UZA196577:UZC196642 VIW196577:VIY196642 VSS196577:VSU196642 WCO196577:WCQ196642 WMK196577:WMM196642 WWG196577:WWI196642 Y262113:AA262178 JU262113:JW262178 TQ262113:TS262178 ADM262113:ADO262178 ANI262113:ANK262178 AXE262113:AXG262178 BHA262113:BHC262178 BQW262113:BQY262178 CAS262113:CAU262178 CKO262113:CKQ262178 CUK262113:CUM262178 DEG262113:DEI262178 DOC262113:DOE262178 DXY262113:DYA262178 EHU262113:EHW262178 ERQ262113:ERS262178 FBM262113:FBO262178 FLI262113:FLK262178 FVE262113:FVG262178 GFA262113:GFC262178 GOW262113:GOY262178 GYS262113:GYU262178 HIO262113:HIQ262178 HSK262113:HSM262178 ICG262113:ICI262178 IMC262113:IME262178 IVY262113:IWA262178 JFU262113:JFW262178 JPQ262113:JPS262178 JZM262113:JZO262178 KJI262113:KJK262178 KTE262113:KTG262178 LDA262113:LDC262178 LMW262113:LMY262178 LWS262113:LWU262178 MGO262113:MGQ262178 MQK262113:MQM262178 NAG262113:NAI262178 NKC262113:NKE262178 NTY262113:NUA262178 ODU262113:ODW262178 ONQ262113:ONS262178 OXM262113:OXO262178 PHI262113:PHK262178 PRE262113:PRG262178 QBA262113:QBC262178 QKW262113:QKY262178 QUS262113:QUU262178 REO262113:REQ262178 ROK262113:ROM262178 RYG262113:RYI262178 SIC262113:SIE262178 SRY262113:SSA262178 TBU262113:TBW262178 TLQ262113:TLS262178 TVM262113:TVO262178 UFI262113:UFK262178 UPE262113:UPG262178 UZA262113:UZC262178 VIW262113:VIY262178 VSS262113:VSU262178 WCO262113:WCQ262178 WMK262113:WMM262178 WWG262113:WWI262178 Y327649:AA327714 JU327649:JW327714 TQ327649:TS327714 ADM327649:ADO327714 ANI327649:ANK327714 AXE327649:AXG327714 BHA327649:BHC327714 BQW327649:BQY327714 CAS327649:CAU327714 CKO327649:CKQ327714 CUK327649:CUM327714 DEG327649:DEI327714 DOC327649:DOE327714 DXY327649:DYA327714 EHU327649:EHW327714 ERQ327649:ERS327714 FBM327649:FBO327714 FLI327649:FLK327714 FVE327649:FVG327714 GFA327649:GFC327714 GOW327649:GOY327714 GYS327649:GYU327714 HIO327649:HIQ327714 HSK327649:HSM327714 ICG327649:ICI327714 IMC327649:IME327714 IVY327649:IWA327714 JFU327649:JFW327714 JPQ327649:JPS327714 JZM327649:JZO327714 KJI327649:KJK327714 KTE327649:KTG327714 LDA327649:LDC327714 LMW327649:LMY327714 LWS327649:LWU327714 MGO327649:MGQ327714 MQK327649:MQM327714 NAG327649:NAI327714 NKC327649:NKE327714 NTY327649:NUA327714 ODU327649:ODW327714 ONQ327649:ONS327714 OXM327649:OXO327714 PHI327649:PHK327714 PRE327649:PRG327714 QBA327649:QBC327714 QKW327649:QKY327714 QUS327649:QUU327714 REO327649:REQ327714 ROK327649:ROM327714 RYG327649:RYI327714 SIC327649:SIE327714 SRY327649:SSA327714 TBU327649:TBW327714 TLQ327649:TLS327714 TVM327649:TVO327714 UFI327649:UFK327714 UPE327649:UPG327714 UZA327649:UZC327714 VIW327649:VIY327714 VSS327649:VSU327714 WCO327649:WCQ327714 WMK327649:WMM327714 WWG327649:WWI327714 Y393185:AA393250 JU393185:JW393250 TQ393185:TS393250 ADM393185:ADO393250 ANI393185:ANK393250 AXE393185:AXG393250 BHA393185:BHC393250 BQW393185:BQY393250 CAS393185:CAU393250 CKO393185:CKQ393250 CUK393185:CUM393250 DEG393185:DEI393250 DOC393185:DOE393250 DXY393185:DYA393250 EHU393185:EHW393250 ERQ393185:ERS393250 FBM393185:FBO393250 FLI393185:FLK393250 FVE393185:FVG393250 GFA393185:GFC393250 GOW393185:GOY393250 GYS393185:GYU393250 HIO393185:HIQ393250 HSK393185:HSM393250 ICG393185:ICI393250 IMC393185:IME393250 IVY393185:IWA393250 JFU393185:JFW393250 JPQ393185:JPS393250 JZM393185:JZO393250 KJI393185:KJK393250 KTE393185:KTG393250 LDA393185:LDC393250 LMW393185:LMY393250 LWS393185:LWU393250 MGO393185:MGQ393250 MQK393185:MQM393250 NAG393185:NAI393250 NKC393185:NKE393250 NTY393185:NUA393250 ODU393185:ODW393250 ONQ393185:ONS393250 OXM393185:OXO393250 PHI393185:PHK393250 PRE393185:PRG393250 QBA393185:QBC393250 QKW393185:QKY393250 QUS393185:QUU393250 REO393185:REQ393250 ROK393185:ROM393250 RYG393185:RYI393250 SIC393185:SIE393250 SRY393185:SSA393250 TBU393185:TBW393250 TLQ393185:TLS393250 TVM393185:TVO393250 UFI393185:UFK393250 UPE393185:UPG393250 UZA393185:UZC393250 VIW393185:VIY393250 VSS393185:VSU393250 WCO393185:WCQ393250 WMK393185:WMM393250 WWG393185:WWI393250 Y458721:AA458786 JU458721:JW458786 TQ458721:TS458786 ADM458721:ADO458786 ANI458721:ANK458786 AXE458721:AXG458786 BHA458721:BHC458786 BQW458721:BQY458786 CAS458721:CAU458786 CKO458721:CKQ458786 CUK458721:CUM458786 DEG458721:DEI458786 DOC458721:DOE458786 DXY458721:DYA458786 EHU458721:EHW458786 ERQ458721:ERS458786 FBM458721:FBO458786 FLI458721:FLK458786 FVE458721:FVG458786 GFA458721:GFC458786 GOW458721:GOY458786 GYS458721:GYU458786 HIO458721:HIQ458786 HSK458721:HSM458786 ICG458721:ICI458786 IMC458721:IME458786 IVY458721:IWA458786 JFU458721:JFW458786 JPQ458721:JPS458786 JZM458721:JZO458786 KJI458721:KJK458786 KTE458721:KTG458786 LDA458721:LDC458786 LMW458721:LMY458786 LWS458721:LWU458786 MGO458721:MGQ458786 MQK458721:MQM458786 NAG458721:NAI458786 NKC458721:NKE458786 NTY458721:NUA458786 ODU458721:ODW458786 ONQ458721:ONS458786 OXM458721:OXO458786 PHI458721:PHK458786 PRE458721:PRG458786 QBA458721:QBC458786 QKW458721:QKY458786 QUS458721:QUU458786 REO458721:REQ458786 ROK458721:ROM458786 RYG458721:RYI458786 SIC458721:SIE458786 SRY458721:SSA458786 TBU458721:TBW458786 TLQ458721:TLS458786 TVM458721:TVO458786 UFI458721:UFK458786 UPE458721:UPG458786 UZA458721:UZC458786 VIW458721:VIY458786 VSS458721:VSU458786 WCO458721:WCQ458786 WMK458721:WMM458786 WWG458721:WWI458786 Y524257:AA524322 JU524257:JW524322 TQ524257:TS524322 ADM524257:ADO524322 ANI524257:ANK524322 AXE524257:AXG524322 BHA524257:BHC524322 BQW524257:BQY524322 CAS524257:CAU524322 CKO524257:CKQ524322 CUK524257:CUM524322 DEG524257:DEI524322 DOC524257:DOE524322 DXY524257:DYA524322 EHU524257:EHW524322 ERQ524257:ERS524322 FBM524257:FBO524322 FLI524257:FLK524322 FVE524257:FVG524322 GFA524257:GFC524322 GOW524257:GOY524322 GYS524257:GYU524322 HIO524257:HIQ524322 HSK524257:HSM524322 ICG524257:ICI524322 IMC524257:IME524322 IVY524257:IWA524322 JFU524257:JFW524322 JPQ524257:JPS524322 JZM524257:JZO524322 KJI524257:KJK524322 KTE524257:KTG524322 LDA524257:LDC524322 LMW524257:LMY524322 LWS524257:LWU524322 MGO524257:MGQ524322 MQK524257:MQM524322 NAG524257:NAI524322 NKC524257:NKE524322 NTY524257:NUA524322 ODU524257:ODW524322 ONQ524257:ONS524322 OXM524257:OXO524322 PHI524257:PHK524322 PRE524257:PRG524322 QBA524257:QBC524322 QKW524257:QKY524322 QUS524257:QUU524322 REO524257:REQ524322 ROK524257:ROM524322 RYG524257:RYI524322 SIC524257:SIE524322 SRY524257:SSA524322 TBU524257:TBW524322 TLQ524257:TLS524322 TVM524257:TVO524322 UFI524257:UFK524322 UPE524257:UPG524322 UZA524257:UZC524322 VIW524257:VIY524322 VSS524257:VSU524322 WCO524257:WCQ524322 WMK524257:WMM524322 WWG524257:WWI524322 Y589793:AA589858 JU589793:JW589858 TQ589793:TS589858 ADM589793:ADO589858 ANI589793:ANK589858 AXE589793:AXG589858 BHA589793:BHC589858 BQW589793:BQY589858 CAS589793:CAU589858 CKO589793:CKQ589858 CUK589793:CUM589858 DEG589793:DEI589858 DOC589793:DOE589858 DXY589793:DYA589858 EHU589793:EHW589858 ERQ589793:ERS589858 FBM589793:FBO589858 FLI589793:FLK589858 FVE589793:FVG589858 GFA589793:GFC589858 GOW589793:GOY589858 GYS589793:GYU589858 HIO589793:HIQ589858 HSK589793:HSM589858 ICG589793:ICI589858 IMC589793:IME589858 IVY589793:IWA589858 JFU589793:JFW589858 JPQ589793:JPS589858 JZM589793:JZO589858 KJI589793:KJK589858 KTE589793:KTG589858 LDA589793:LDC589858 LMW589793:LMY589858 LWS589793:LWU589858 MGO589793:MGQ589858 MQK589793:MQM589858 NAG589793:NAI589858 NKC589793:NKE589858 NTY589793:NUA589858 ODU589793:ODW589858 ONQ589793:ONS589858 OXM589793:OXO589858 PHI589793:PHK589858 PRE589793:PRG589858 QBA589793:QBC589858 QKW589793:QKY589858 QUS589793:QUU589858 REO589793:REQ589858 ROK589793:ROM589858 RYG589793:RYI589858 SIC589793:SIE589858 SRY589793:SSA589858 TBU589793:TBW589858 TLQ589793:TLS589858 TVM589793:TVO589858 UFI589793:UFK589858 UPE589793:UPG589858 UZA589793:UZC589858 VIW589793:VIY589858 VSS589793:VSU589858 WCO589793:WCQ589858 WMK589793:WMM589858 WWG589793:WWI589858 Y655329:AA655394 JU655329:JW655394 TQ655329:TS655394 ADM655329:ADO655394 ANI655329:ANK655394 AXE655329:AXG655394 BHA655329:BHC655394 BQW655329:BQY655394 CAS655329:CAU655394 CKO655329:CKQ655394 CUK655329:CUM655394 DEG655329:DEI655394 DOC655329:DOE655394 DXY655329:DYA655394 EHU655329:EHW655394 ERQ655329:ERS655394 FBM655329:FBO655394 FLI655329:FLK655394 FVE655329:FVG655394 GFA655329:GFC655394 GOW655329:GOY655394 GYS655329:GYU655394 HIO655329:HIQ655394 HSK655329:HSM655394 ICG655329:ICI655394 IMC655329:IME655394 IVY655329:IWA655394 JFU655329:JFW655394 JPQ655329:JPS655394 JZM655329:JZO655394 KJI655329:KJK655394 KTE655329:KTG655394 LDA655329:LDC655394 LMW655329:LMY655394 LWS655329:LWU655394 MGO655329:MGQ655394 MQK655329:MQM655394 NAG655329:NAI655394 NKC655329:NKE655394 NTY655329:NUA655394 ODU655329:ODW655394 ONQ655329:ONS655394 OXM655329:OXO655394 PHI655329:PHK655394 PRE655329:PRG655394 QBA655329:QBC655394 QKW655329:QKY655394 QUS655329:QUU655394 REO655329:REQ655394 ROK655329:ROM655394 RYG655329:RYI655394 SIC655329:SIE655394 SRY655329:SSA655394 TBU655329:TBW655394 TLQ655329:TLS655394 TVM655329:TVO655394 UFI655329:UFK655394 UPE655329:UPG655394 UZA655329:UZC655394 VIW655329:VIY655394 VSS655329:VSU655394 WCO655329:WCQ655394 WMK655329:WMM655394 WWG655329:WWI655394 Y720865:AA720930 JU720865:JW720930 TQ720865:TS720930 ADM720865:ADO720930 ANI720865:ANK720930 AXE720865:AXG720930 BHA720865:BHC720930 BQW720865:BQY720930 CAS720865:CAU720930 CKO720865:CKQ720930 CUK720865:CUM720930 DEG720865:DEI720930 DOC720865:DOE720930 DXY720865:DYA720930 EHU720865:EHW720930 ERQ720865:ERS720930 FBM720865:FBO720930 FLI720865:FLK720930 FVE720865:FVG720930 GFA720865:GFC720930 GOW720865:GOY720930 GYS720865:GYU720930 HIO720865:HIQ720930 HSK720865:HSM720930 ICG720865:ICI720930 IMC720865:IME720930 IVY720865:IWA720930 JFU720865:JFW720930 JPQ720865:JPS720930 JZM720865:JZO720930 KJI720865:KJK720930 KTE720865:KTG720930 LDA720865:LDC720930 LMW720865:LMY720930 LWS720865:LWU720930 MGO720865:MGQ720930 MQK720865:MQM720930 NAG720865:NAI720930 NKC720865:NKE720930 NTY720865:NUA720930 ODU720865:ODW720930 ONQ720865:ONS720930 OXM720865:OXO720930 PHI720865:PHK720930 PRE720865:PRG720930 QBA720865:QBC720930 QKW720865:QKY720930 QUS720865:QUU720930 REO720865:REQ720930 ROK720865:ROM720930 RYG720865:RYI720930 SIC720865:SIE720930 SRY720865:SSA720930 TBU720865:TBW720930 TLQ720865:TLS720930 TVM720865:TVO720930 UFI720865:UFK720930 UPE720865:UPG720930 UZA720865:UZC720930 VIW720865:VIY720930 VSS720865:VSU720930 WCO720865:WCQ720930 WMK720865:WMM720930 WWG720865:WWI720930 Y786401:AA786466 JU786401:JW786466 TQ786401:TS786466 ADM786401:ADO786466 ANI786401:ANK786466 AXE786401:AXG786466 BHA786401:BHC786466 BQW786401:BQY786466 CAS786401:CAU786466 CKO786401:CKQ786466 CUK786401:CUM786466 DEG786401:DEI786466 DOC786401:DOE786466 DXY786401:DYA786466 EHU786401:EHW786466 ERQ786401:ERS786466 FBM786401:FBO786466 FLI786401:FLK786466 FVE786401:FVG786466 GFA786401:GFC786466 GOW786401:GOY786466 GYS786401:GYU786466 HIO786401:HIQ786466 HSK786401:HSM786466 ICG786401:ICI786466 IMC786401:IME786466 IVY786401:IWA786466 JFU786401:JFW786466 JPQ786401:JPS786466 JZM786401:JZO786466 KJI786401:KJK786466 KTE786401:KTG786466 LDA786401:LDC786466 LMW786401:LMY786466 LWS786401:LWU786466 MGO786401:MGQ786466 MQK786401:MQM786466 NAG786401:NAI786466 NKC786401:NKE786466 NTY786401:NUA786466 ODU786401:ODW786466 ONQ786401:ONS786466 OXM786401:OXO786466 PHI786401:PHK786466 PRE786401:PRG786466 QBA786401:QBC786466 QKW786401:QKY786466 QUS786401:QUU786466 REO786401:REQ786466 ROK786401:ROM786466 RYG786401:RYI786466 SIC786401:SIE786466 SRY786401:SSA786466 TBU786401:TBW786466 TLQ786401:TLS786466 TVM786401:TVO786466 UFI786401:UFK786466 UPE786401:UPG786466 UZA786401:UZC786466 VIW786401:VIY786466 VSS786401:VSU786466 WCO786401:WCQ786466 WMK786401:WMM786466 WWG786401:WWI786466 Y851937:AA852002 JU851937:JW852002 TQ851937:TS852002 ADM851937:ADO852002 ANI851937:ANK852002 AXE851937:AXG852002 BHA851937:BHC852002 BQW851937:BQY852002 CAS851937:CAU852002 CKO851937:CKQ852002 CUK851937:CUM852002 DEG851937:DEI852002 DOC851937:DOE852002 DXY851937:DYA852002 EHU851937:EHW852002 ERQ851937:ERS852002 FBM851937:FBO852002 FLI851937:FLK852002 FVE851937:FVG852002 GFA851937:GFC852002 GOW851937:GOY852002 GYS851937:GYU852002 HIO851937:HIQ852002 HSK851937:HSM852002 ICG851937:ICI852002 IMC851937:IME852002 IVY851937:IWA852002 JFU851937:JFW852002 JPQ851937:JPS852002 JZM851937:JZO852002 KJI851937:KJK852002 KTE851937:KTG852002 LDA851937:LDC852002 LMW851937:LMY852002 LWS851937:LWU852002 MGO851937:MGQ852002 MQK851937:MQM852002 NAG851937:NAI852002 NKC851937:NKE852002 NTY851937:NUA852002 ODU851937:ODW852002 ONQ851937:ONS852002 OXM851937:OXO852002 PHI851937:PHK852002 PRE851937:PRG852002 QBA851937:QBC852002 QKW851937:QKY852002 QUS851937:QUU852002 REO851937:REQ852002 ROK851937:ROM852002 RYG851937:RYI852002 SIC851937:SIE852002 SRY851937:SSA852002 TBU851937:TBW852002 TLQ851937:TLS852002 TVM851937:TVO852002 UFI851937:UFK852002 UPE851937:UPG852002 UZA851937:UZC852002 VIW851937:VIY852002 VSS851937:VSU852002 WCO851937:WCQ852002 WMK851937:WMM852002 WWG851937:WWI852002 Y917473:AA917538 JU917473:JW917538 TQ917473:TS917538 ADM917473:ADO917538 ANI917473:ANK917538 AXE917473:AXG917538 BHA917473:BHC917538 BQW917473:BQY917538 CAS917473:CAU917538 CKO917473:CKQ917538 CUK917473:CUM917538 DEG917473:DEI917538 DOC917473:DOE917538 DXY917473:DYA917538 EHU917473:EHW917538 ERQ917473:ERS917538 FBM917473:FBO917538 FLI917473:FLK917538 FVE917473:FVG917538 GFA917473:GFC917538 GOW917473:GOY917538 GYS917473:GYU917538 HIO917473:HIQ917538 HSK917473:HSM917538 ICG917473:ICI917538 IMC917473:IME917538 IVY917473:IWA917538 JFU917473:JFW917538 JPQ917473:JPS917538 JZM917473:JZO917538 KJI917473:KJK917538 KTE917473:KTG917538 LDA917473:LDC917538 LMW917473:LMY917538 LWS917473:LWU917538 MGO917473:MGQ917538 MQK917473:MQM917538 NAG917473:NAI917538 NKC917473:NKE917538 NTY917473:NUA917538 ODU917473:ODW917538 ONQ917473:ONS917538 OXM917473:OXO917538 PHI917473:PHK917538 PRE917473:PRG917538 QBA917473:QBC917538 QKW917473:QKY917538 QUS917473:QUU917538 REO917473:REQ917538 ROK917473:ROM917538 RYG917473:RYI917538 SIC917473:SIE917538 SRY917473:SSA917538 TBU917473:TBW917538 TLQ917473:TLS917538 TVM917473:TVO917538 UFI917473:UFK917538 UPE917473:UPG917538 UZA917473:UZC917538 VIW917473:VIY917538 VSS917473:VSU917538 WCO917473:WCQ917538 WMK917473:WMM917538 WWG917473:WWI917538 Y983009:AA983074 JU983009:JW983074 TQ983009:TS983074 ADM983009:ADO983074 ANI983009:ANK983074 AXE983009:AXG983074 BHA983009:BHC983074 BQW983009:BQY983074 CAS983009:CAU983074 CKO983009:CKQ983074 CUK983009:CUM983074 DEG983009:DEI983074 DOC983009:DOE983074 DXY983009:DYA983074 EHU983009:EHW983074 ERQ983009:ERS983074 FBM983009:FBO983074 FLI983009:FLK983074 FVE983009:FVG983074 GFA983009:GFC983074 GOW983009:GOY983074 GYS983009:GYU983074 HIO983009:HIQ983074 HSK983009:HSM983074 ICG983009:ICI983074 IMC983009:IME983074 IVY983009:IWA983074 JFU983009:JFW983074 JPQ983009:JPS983074 JZM983009:JZO983074 KJI983009:KJK983074 KTE983009:KTG983074 LDA983009:LDC983074 LMW983009:LMY983074 LWS983009:LWU983074 MGO983009:MGQ983074 MQK983009:MQM983074 NAG983009:NAI983074 NKC983009:NKE983074 NTY983009:NUA983074 ODU983009:ODW983074 ONQ983009:ONS983074 OXM983009:OXO983074 PHI983009:PHK983074 PRE983009:PRG983074 QBA983009:QBC983074 QKW983009:QKY983074 QUS983009:QUU983074 REO983009:REQ983074 ROK983009:ROM983074 RYG983009:RYI983074 SIC983009:SIE983074 SRY983009:SSA983074 TBU983009:TBW983074 TLQ983009:TLS983074 TVM983009:TVO983074 UFI983009:UFK983074 UPE983009:UPG983074 UZA983009:UZC983074 VIW983009:VIY983074 VSS983009:VSU983074 WCO983009:WCQ983074 WMK983009:WMM983074 WMK2:WMM54 WCO2:WCQ54 VSS2:VSU54 VIW2:VIY54 UZA2:UZC54 UPE2:UPG54 UFI2:UFK54 TVM2:TVO54 TLQ2:TLS54 TBU2:TBW54 SRY2:SSA54 SIC2:SIE54 RYG2:RYI54 ROK2:ROM54 REO2:REQ54 QUS2:QUU54 QKW2:QKY54 QBA2:QBC54 PRE2:PRG54 PHI2:PHK54 OXM2:OXO54 ONQ2:ONS54 ODU2:ODW54 NTY2:NUA54 NKC2:NKE54 NAG2:NAI54 MQK2:MQM54 MGO2:MGQ54 LWS2:LWU54 LMW2:LMY54 LDA2:LDC54 KTE2:KTG54 KJI2:KJK54 JZM2:JZO54 JPQ2:JPS54 JFU2:JFW54 IVY2:IWA54 IMC2:IME54 ICG2:ICI54 HSK2:HSM54 HIO2:HIQ54 GYS2:GYU54 GOW2:GOY54 GFA2:GFC54 FVE2:FVG54 FLI2:FLK54 FBM2:FBO54 ERQ2:ERS54 EHU2:EHW54 DXY2:DYA54 DOC2:DOE54 DEG2:DEI54 CUK2:CUM54 CKO2:CKQ54 CAS2:CAU54 BQW2:BQY54 BHA2:BHC54 AXE2:AXG54 ANI2:ANK54 ADM2:ADO54 TQ2:TS54 JU2:JW54 WWG2:WWI54" xr:uid="{3D2C4238-AE7B-450A-9ED4-030A94B6231F}">
      <formula1>$AV$2:$AV$20</formula1>
    </dataValidation>
    <dataValidation type="list" allowBlank="1" showInputMessage="1" showErrorMessage="1" sqref="H64330:H64395 JD64330:JD64395 SZ64330:SZ64395 ACV64330:ACV64395 AMR64330:AMR64395 AWN64330:AWN64395 BGJ64330:BGJ64395 BQF64330:BQF64395 CAB64330:CAB64395 CJX64330:CJX64395 CTT64330:CTT64395 DDP64330:DDP64395 DNL64330:DNL64395 DXH64330:DXH64395 EHD64330:EHD64395 EQZ64330:EQZ64395 FAV64330:FAV64395 FKR64330:FKR64395 FUN64330:FUN64395 GEJ64330:GEJ64395 GOF64330:GOF64395 GYB64330:GYB64395 HHX64330:HHX64395 HRT64330:HRT64395 IBP64330:IBP64395 ILL64330:ILL64395 IVH64330:IVH64395 JFD64330:JFD64395 JOZ64330:JOZ64395 JYV64330:JYV64395 KIR64330:KIR64395 KSN64330:KSN64395 LCJ64330:LCJ64395 LMF64330:LMF64395 LWB64330:LWB64395 MFX64330:MFX64395 MPT64330:MPT64395 MZP64330:MZP64395 NJL64330:NJL64395 NTH64330:NTH64395 ODD64330:ODD64395 OMZ64330:OMZ64395 OWV64330:OWV64395 PGR64330:PGR64395 PQN64330:PQN64395 QAJ64330:QAJ64395 QKF64330:QKF64395 QUB64330:QUB64395 RDX64330:RDX64395 RNT64330:RNT64395 RXP64330:RXP64395 SHL64330:SHL64395 SRH64330:SRH64395 TBD64330:TBD64395 TKZ64330:TKZ64395 TUV64330:TUV64395 UER64330:UER64395 UON64330:UON64395 UYJ64330:UYJ64395 VIF64330:VIF64395 VSB64330:VSB64395 WBX64330:WBX64395 WLT64330:WLT64395 WVP64330:WVP64395 H129866:H129931 JD129866:JD129931 SZ129866:SZ129931 ACV129866:ACV129931 AMR129866:AMR129931 AWN129866:AWN129931 BGJ129866:BGJ129931 BQF129866:BQF129931 CAB129866:CAB129931 CJX129866:CJX129931 CTT129866:CTT129931 DDP129866:DDP129931 DNL129866:DNL129931 DXH129866:DXH129931 EHD129866:EHD129931 EQZ129866:EQZ129931 FAV129866:FAV129931 FKR129866:FKR129931 FUN129866:FUN129931 GEJ129866:GEJ129931 GOF129866:GOF129931 GYB129866:GYB129931 HHX129866:HHX129931 HRT129866:HRT129931 IBP129866:IBP129931 ILL129866:ILL129931 IVH129866:IVH129931 JFD129866:JFD129931 JOZ129866:JOZ129931 JYV129866:JYV129931 KIR129866:KIR129931 KSN129866:KSN129931 LCJ129866:LCJ129931 LMF129866:LMF129931 LWB129866:LWB129931 MFX129866:MFX129931 MPT129866:MPT129931 MZP129866:MZP129931 NJL129866:NJL129931 NTH129866:NTH129931 ODD129866:ODD129931 OMZ129866:OMZ129931 OWV129866:OWV129931 PGR129866:PGR129931 PQN129866:PQN129931 QAJ129866:QAJ129931 QKF129866:QKF129931 QUB129866:QUB129931 RDX129866:RDX129931 RNT129866:RNT129931 RXP129866:RXP129931 SHL129866:SHL129931 SRH129866:SRH129931 TBD129866:TBD129931 TKZ129866:TKZ129931 TUV129866:TUV129931 UER129866:UER129931 UON129866:UON129931 UYJ129866:UYJ129931 VIF129866:VIF129931 VSB129866:VSB129931 WBX129866:WBX129931 WLT129866:WLT129931 WVP129866:WVP129931 H195402:H195467 JD195402:JD195467 SZ195402:SZ195467 ACV195402:ACV195467 AMR195402:AMR195467 AWN195402:AWN195467 BGJ195402:BGJ195467 BQF195402:BQF195467 CAB195402:CAB195467 CJX195402:CJX195467 CTT195402:CTT195467 DDP195402:DDP195467 DNL195402:DNL195467 DXH195402:DXH195467 EHD195402:EHD195467 EQZ195402:EQZ195467 FAV195402:FAV195467 FKR195402:FKR195467 FUN195402:FUN195467 GEJ195402:GEJ195467 GOF195402:GOF195467 GYB195402:GYB195467 HHX195402:HHX195467 HRT195402:HRT195467 IBP195402:IBP195467 ILL195402:ILL195467 IVH195402:IVH195467 JFD195402:JFD195467 JOZ195402:JOZ195467 JYV195402:JYV195467 KIR195402:KIR195467 KSN195402:KSN195467 LCJ195402:LCJ195467 LMF195402:LMF195467 LWB195402:LWB195467 MFX195402:MFX195467 MPT195402:MPT195467 MZP195402:MZP195467 NJL195402:NJL195467 NTH195402:NTH195467 ODD195402:ODD195467 OMZ195402:OMZ195467 OWV195402:OWV195467 PGR195402:PGR195467 PQN195402:PQN195467 QAJ195402:QAJ195467 QKF195402:QKF195467 QUB195402:QUB195467 RDX195402:RDX195467 RNT195402:RNT195467 RXP195402:RXP195467 SHL195402:SHL195467 SRH195402:SRH195467 TBD195402:TBD195467 TKZ195402:TKZ195467 TUV195402:TUV195467 UER195402:UER195467 UON195402:UON195467 UYJ195402:UYJ195467 VIF195402:VIF195467 VSB195402:VSB195467 WBX195402:WBX195467 WLT195402:WLT195467 WVP195402:WVP195467 H260938:H261003 JD260938:JD261003 SZ260938:SZ261003 ACV260938:ACV261003 AMR260938:AMR261003 AWN260938:AWN261003 BGJ260938:BGJ261003 BQF260938:BQF261003 CAB260938:CAB261003 CJX260938:CJX261003 CTT260938:CTT261003 DDP260938:DDP261003 DNL260938:DNL261003 DXH260938:DXH261003 EHD260938:EHD261003 EQZ260938:EQZ261003 FAV260938:FAV261003 FKR260938:FKR261003 FUN260938:FUN261003 GEJ260938:GEJ261003 GOF260938:GOF261003 GYB260938:GYB261003 HHX260938:HHX261003 HRT260938:HRT261003 IBP260938:IBP261003 ILL260938:ILL261003 IVH260938:IVH261003 JFD260938:JFD261003 JOZ260938:JOZ261003 JYV260938:JYV261003 KIR260938:KIR261003 KSN260938:KSN261003 LCJ260938:LCJ261003 LMF260938:LMF261003 LWB260938:LWB261003 MFX260938:MFX261003 MPT260938:MPT261003 MZP260938:MZP261003 NJL260938:NJL261003 NTH260938:NTH261003 ODD260938:ODD261003 OMZ260938:OMZ261003 OWV260938:OWV261003 PGR260938:PGR261003 PQN260938:PQN261003 QAJ260938:QAJ261003 QKF260938:QKF261003 QUB260938:QUB261003 RDX260938:RDX261003 RNT260938:RNT261003 RXP260938:RXP261003 SHL260938:SHL261003 SRH260938:SRH261003 TBD260938:TBD261003 TKZ260938:TKZ261003 TUV260938:TUV261003 UER260938:UER261003 UON260938:UON261003 UYJ260938:UYJ261003 VIF260938:VIF261003 VSB260938:VSB261003 WBX260938:WBX261003 WLT260938:WLT261003 WVP260938:WVP261003 H326474:H326539 JD326474:JD326539 SZ326474:SZ326539 ACV326474:ACV326539 AMR326474:AMR326539 AWN326474:AWN326539 BGJ326474:BGJ326539 BQF326474:BQF326539 CAB326474:CAB326539 CJX326474:CJX326539 CTT326474:CTT326539 DDP326474:DDP326539 DNL326474:DNL326539 DXH326474:DXH326539 EHD326474:EHD326539 EQZ326474:EQZ326539 FAV326474:FAV326539 FKR326474:FKR326539 FUN326474:FUN326539 GEJ326474:GEJ326539 GOF326474:GOF326539 GYB326474:GYB326539 HHX326474:HHX326539 HRT326474:HRT326539 IBP326474:IBP326539 ILL326474:ILL326539 IVH326474:IVH326539 JFD326474:JFD326539 JOZ326474:JOZ326539 JYV326474:JYV326539 KIR326474:KIR326539 KSN326474:KSN326539 LCJ326474:LCJ326539 LMF326474:LMF326539 LWB326474:LWB326539 MFX326474:MFX326539 MPT326474:MPT326539 MZP326474:MZP326539 NJL326474:NJL326539 NTH326474:NTH326539 ODD326474:ODD326539 OMZ326474:OMZ326539 OWV326474:OWV326539 PGR326474:PGR326539 PQN326474:PQN326539 QAJ326474:QAJ326539 QKF326474:QKF326539 QUB326474:QUB326539 RDX326474:RDX326539 RNT326474:RNT326539 RXP326474:RXP326539 SHL326474:SHL326539 SRH326474:SRH326539 TBD326474:TBD326539 TKZ326474:TKZ326539 TUV326474:TUV326539 UER326474:UER326539 UON326474:UON326539 UYJ326474:UYJ326539 VIF326474:VIF326539 VSB326474:VSB326539 WBX326474:WBX326539 WLT326474:WLT326539 WVP326474:WVP326539 H392010:H392075 JD392010:JD392075 SZ392010:SZ392075 ACV392010:ACV392075 AMR392010:AMR392075 AWN392010:AWN392075 BGJ392010:BGJ392075 BQF392010:BQF392075 CAB392010:CAB392075 CJX392010:CJX392075 CTT392010:CTT392075 DDP392010:DDP392075 DNL392010:DNL392075 DXH392010:DXH392075 EHD392010:EHD392075 EQZ392010:EQZ392075 FAV392010:FAV392075 FKR392010:FKR392075 FUN392010:FUN392075 GEJ392010:GEJ392075 GOF392010:GOF392075 GYB392010:GYB392075 HHX392010:HHX392075 HRT392010:HRT392075 IBP392010:IBP392075 ILL392010:ILL392075 IVH392010:IVH392075 JFD392010:JFD392075 JOZ392010:JOZ392075 JYV392010:JYV392075 KIR392010:KIR392075 KSN392010:KSN392075 LCJ392010:LCJ392075 LMF392010:LMF392075 LWB392010:LWB392075 MFX392010:MFX392075 MPT392010:MPT392075 MZP392010:MZP392075 NJL392010:NJL392075 NTH392010:NTH392075 ODD392010:ODD392075 OMZ392010:OMZ392075 OWV392010:OWV392075 PGR392010:PGR392075 PQN392010:PQN392075 QAJ392010:QAJ392075 QKF392010:QKF392075 QUB392010:QUB392075 RDX392010:RDX392075 RNT392010:RNT392075 RXP392010:RXP392075 SHL392010:SHL392075 SRH392010:SRH392075 TBD392010:TBD392075 TKZ392010:TKZ392075 TUV392010:TUV392075 UER392010:UER392075 UON392010:UON392075 UYJ392010:UYJ392075 VIF392010:VIF392075 VSB392010:VSB392075 WBX392010:WBX392075 WLT392010:WLT392075 WVP392010:WVP392075 H457546:H457611 JD457546:JD457611 SZ457546:SZ457611 ACV457546:ACV457611 AMR457546:AMR457611 AWN457546:AWN457611 BGJ457546:BGJ457611 BQF457546:BQF457611 CAB457546:CAB457611 CJX457546:CJX457611 CTT457546:CTT457611 DDP457546:DDP457611 DNL457546:DNL457611 DXH457546:DXH457611 EHD457546:EHD457611 EQZ457546:EQZ457611 FAV457546:FAV457611 FKR457546:FKR457611 FUN457546:FUN457611 GEJ457546:GEJ457611 GOF457546:GOF457611 GYB457546:GYB457611 HHX457546:HHX457611 HRT457546:HRT457611 IBP457546:IBP457611 ILL457546:ILL457611 IVH457546:IVH457611 JFD457546:JFD457611 JOZ457546:JOZ457611 JYV457546:JYV457611 KIR457546:KIR457611 KSN457546:KSN457611 LCJ457546:LCJ457611 LMF457546:LMF457611 LWB457546:LWB457611 MFX457546:MFX457611 MPT457546:MPT457611 MZP457546:MZP457611 NJL457546:NJL457611 NTH457546:NTH457611 ODD457546:ODD457611 OMZ457546:OMZ457611 OWV457546:OWV457611 PGR457546:PGR457611 PQN457546:PQN457611 QAJ457546:QAJ457611 QKF457546:QKF457611 QUB457546:QUB457611 RDX457546:RDX457611 RNT457546:RNT457611 RXP457546:RXP457611 SHL457546:SHL457611 SRH457546:SRH457611 TBD457546:TBD457611 TKZ457546:TKZ457611 TUV457546:TUV457611 UER457546:UER457611 UON457546:UON457611 UYJ457546:UYJ457611 VIF457546:VIF457611 VSB457546:VSB457611 WBX457546:WBX457611 WLT457546:WLT457611 WVP457546:WVP457611 H523082:H523147 JD523082:JD523147 SZ523082:SZ523147 ACV523082:ACV523147 AMR523082:AMR523147 AWN523082:AWN523147 BGJ523082:BGJ523147 BQF523082:BQF523147 CAB523082:CAB523147 CJX523082:CJX523147 CTT523082:CTT523147 DDP523082:DDP523147 DNL523082:DNL523147 DXH523082:DXH523147 EHD523082:EHD523147 EQZ523082:EQZ523147 FAV523082:FAV523147 FKR523082:FKR523147 FUN523082:FUN523147 GEJ523082:GEJ523147 GOF523082:GOF523147 GYB523082:GYB523147 HHX523082:HHX523147 HRT523082:HRT523147 IBP523082:IBP523147 ILL523082:ILL523147 IVH523082:IVH523147 JFD523082:JFD523147 JOZ523082:JOZ523147 JYV523082:JYV523147 KIR523082:KIR523147 KSN523082:KSN523147 LCJ523082:LCJ523147 LMF523082:LMF523147 LWB523082:LWB523147 MFX523082:MFX523147 MPT523082:MPT523147 MZP523082:MZP523147 NJL523082:NJL523147 NTH523082:NTH523147 ODD523082:ODD523147 OMZ523082:OMZ523147 OWV523082:OWV523147 PGR523082:PGR523147 PQN523082:PQN523147 QAJ523082:QAJ523147 QKF523082:QKF523147 QUB523082:QUB523147 RDX523082:RDX523147 RNT523082:RNT523147 RXP523082:RXP523147 SHL523082:SHL523147 SRH523082:SRH523147 TBD523082:TBD523147 TKZ523082:TKZ523147 TUV523082:TUV523147 UER523082:UER523147 UON523082:UON523147 UYJ523082:UYJ523147 VIF523082:VIF523147 VSB523082:VSB523147 WBX523082:WBX523147 WLT523082:WLT523147 WVP523082:WVP523147 H588618:H588683 JD588618:JD588683 SZ588618:SZ588683 ACV588618:ACV588683 AMR588618:AMR588683 AWN588618:AWN588683 BGJ588618:BGJ588683 BQF588618:BQF588683 CAB588618:CAB588683 CJX588618:CJX588683 CTT588618:CTT588683 DDP588618:DDP588683 DNL588618:DNL588683 DXH588618:DXH588683 EHD588618:EHD588683 EQZ588618:EQZ588683 FAV588618:FAV588683 FKR588618:FKR588683 FUN588618:FUN588683 GEJ588618:GEJ588683 GOF588618:GOF588683 GYB588618:GYB588683 HHX588618:HHX588683 HRT588618:HRT588683 IBP588618:IBP588683 ILL588618:ILL588683 IVH588618:IVH588683 JFD588618:JFD588683 JOZ588618:JOZ588683 JYV588618:JYV588683 KIR588618:KIR588683 KSN588618:KSN588683 LCJ588618:LCJ588683 LMF588618:LMF588683 LWB588618:LWB588683 MFX588618:MFX588683 MPT588618:MPT588683 MZP588618:MZP588683 NJL588618:NJL588683 NTH588618:NTH588683 ODD588618:ODD588683 OMZ588618:OMZ588683 OWV588618:OWV588683 PGR588618:PGR588683 PQN588618:PQN588683 QAJ588618:QAJ588683 QKF588618:QKF588683 QUB588618:QUB588683 RDX588618:RDX588683 RNT588618:RNT588683 RXP588618:RXP588683 SHL588618:SHL588683 SRH588618:SRH588683 TBD588618:TBD588683 TKZ588618:TKZ588683 TUV588618:TUV588683 UER588618:UER588683 UON588618:UON588683 UYJ588618:UYJ588683 VIF588618:VIF588683 VSB588618:VSB588683 WBX588618:WBX588683 WLT588618:WLT588683 WVP588618:WVP588683 H654154:H654219 JD654154:JD654219 SZ654154:SZ654219 ACV654154:ACV654219 AMR654154:AMR654219 AWN654154:AWN654219 BGJ654154:BGJ654219 BQF654154:BQF654219 CAB654154:CAB654219 CJX654154:CJX654219 CTT654154:CTT654219 DDP654154:DDP654219 DNL654154:DNL654219 DXH654154:DXH654219 EHD654154:EHD654219 EQZ654154:EQZ654219 FAV654154:FAV654219 FKR654154:FKR654219 FUN654154:FUN654219 GEJ654154:GEJ654219 GOF654154:GOF654219 GYB654154:GYB654219 HHX654154:HHX654219 HRT654154:HRT654219 IBP654154:IBP654219 ILL654154:ILL654219 IVH654154:IVH654219 JFD654154:JFD654219 JOZ654154:JOZ654219 JYV654154:JYV654219 KIR654154:KIR654219 KSN654154:KSN654219 LCJ654154:LCJ654219 LMF654154:LMF654219 LWB654154:LWB654219 MFX654154:MFX654219 MPT654154:MPT654219 MZP654154:MZP654219 NJL654154:NJL654219 NTH654154:NTH654219 ODD654154:ODD654219 OMZ654154:OMZ654219 OWV654154:OWV654219 PGR654154:PGR654219 PQN654154:PQN654219 QAJ654154:QAJ654219 QKF654154:QKF654219 QUB654154:QUB654219 RDX654154:RDX654219 RNT654154:RNT654219 RXP654154:RXP654219 SHL654154:SHL654219 SRH654154:SRH654219 TBD654154:TBD654219 TKZ654154:TKZ654219 TUV654154:TUV654219 UER654154:UER654219 UON654154:UON654219 UYJ654154:UYJ654219 VIF654154:VIF654219 VSB654154:VSB654219 WBX654154:WBX654219 WLT654154:WLT654219 WVP654154:WVP654219 H719690:H719755 JD719690:JD719755 SZ719690:SZ719755 ACV719690:ACV719755 AMR719690:AMR719755 AWN719690:AWN719755 BGJ719690:BGJ719755 BQF719690:BQF719755 CAB719690:CAB719755 CJX719690:CJX719755 CTT719690:CTT719755 DDP719690:DDP719755 DNL719690:DNL719755 DXH719690:DXH719755 EHD719690:EHD719755 EQZ719690:EQZ719755 FAV719690:FAV719755 FKR719690:FKR719755 FUN719690:FUN719755 GEJ719690:GEJ719755 GOF719690:GOF719755 GYB719690:GYB719755 HHX719690:HHX719755 HRT719690:HRT719755 IBP719690:IBP719755 ILL719690:ILL719755 IVH719690:IVH719755 JFD719690:JFD719755 JOZ719690:JOZ719755 JYV719690:JYV719755 KIR719690:KIR719755 KSN719690:KSN719755 LCJ719690:LCJ719755 LMF719690:LMF719755 LWB719690:LWB719755 MFX719690:MFX719755 MPT719690:MPT719755 MZP719690:MZP719755 NJL719690:NJL719755 NTH719690:NTH719755 ODD719690:ODD719755 OMZ719690:OMZ719755 OWV719690:OWV719755 PGR719690:PGR719755 PQN719690:PQN719755 QAJ719690:QAJ719755 QKF719690:QKF719755 QUB719690:QUB719755 RDX719690:RDX719755 RNT719690:RNT719755 RXP719690:RXP719755 SHL719690:SHL719755 SRH719690:SRH719755 TBD719690:TBD719755 TKZ719690:TKZ719755 TUV719690:TUV719755 UER719690:UER719755 UON719690:UON719755 UYJ719690:UYJ719755 VIF719690:VIF719755 VSB719690:VSB719755 WBX719690:WBX719755 WLT719690:WLT719755 WVP719690:WVP719755 H785226:H785291 JD785226:JD785291 SZ785226:SZ785291 ACV785226:ACV785291 AMR785226:AMR785291 AWN785226:AWN785291 BGJ785226:BGJ785291 BQF785226:BQF785291 CAB785226:CAB785291 CJX785226:CJX785291 CTT785226:CTT785291 DDP785226:DDP785291 DNL785226:DNL785291 DXH785226:DXH785291 EHD785226:EHD785291 EQZ785226:EQZ785291 FAV785226:FAV785291 FKR785226:FKR785291 FUN785226:FUN785291 GEJ785226:GEJ785291 GOF785226:GOF785291 GYB785226:GYB785291 HHX785226:HHX785291 HRT785226:HRT785291 IBP785226:IBP785291 ILL785226:ILL785291 IVH785226:IVH785291 JFD785226:JFD785291 JOZ785226:JOZ785291 JYV785226:JYV785291 KIR785226:KIR785291 KSN785226:KSN785291 LCJ785226:LCJ785291 LMF785226:LMF785291 LWB785226:LWB785291 MFX785226:MFX785291 MPT785226:MPT785291 MZP785226:MZP785291 NJL785226:NJL785291 NTH785226:NTH785291 ODD785226:ODD785291 OMZ785226:OMZ785291 OWV785226:OWV785291 PGR785226:PGR785291 PQN785226:PQN785291 QAJ785226:QAJ785291 QKF785226:QKF785291 QUB785226:QUB785291 RDX785226:RDX785291 RNT785226:RNT785291 RXP785226:RXP785291 SHL785226:SHL785291 SRH785226:SRH785291 TBD785226:TBD785291 TKZ785226:TKZ785291 TUV785226:TUV785291 UER785226:UER785291 UON785226:UON785291 UYJ785226:UYJ785291 VIF785226:VIF785291 VSB785226:VSB785291 WBX785226:WBX785291 WLT785226:WLT785291 WVP785226:WVP785291 H850762:H850827 JD850762:JD850827 SZ850762:SZ850827 ACV850762:ACV850827 AMR850762:AMR850827 AWN850762:AWN850827 BGJ850762:BGJ850827 BQF850762:BQF850827 CAB850762:CAB850827 CJX850762:CJX850827 CTT850762:CTT850827 DDP850762:DDP850827 DNL850762:DNL850827 DXH850762:DXH850827 EHD850762:EHD850827 EQZ850762:EQZ850827 FAV850762:FAV850827 FKR850762:FKR850827 FUN850762:FUN850827 GEJ850762:GEJ850827 GOF850762:GOF850827 GYB850762:GYB850827 HHX850762:HHX850827 HRT850762:HRT850827 IBP850762:IBP850827 ILL850762:ILL850827 IVH850762:IVH850827 JFD850762:JFD850827 JOZ850762:JOZ850827 JYV850762:JYV850827 KIR850762:KIR850827 KSN850762:KSN850827 LCJ850762:LCJ850827 LMF850762:LMF850827 LWB850762:LWB850827 MFX850762:MFX850827 MPT850762:MPT850827 MZP850762:MZP850827 NJL850762:NJL850827 NTH850762:NTH850827 ODD850762:ODD850827 OMZ850762:OMZ850827 OWV850762:OWV850827 PGR850762:PGR850827 PQN850762:PQN850827 QAJ850762:QAJ850827 QKF850762:QKF850827 QUB850762:QUB850827 RDX850762:RDX850827 RNT850762:RNT850827 RXP850762:RXP850827 SHL850762:SHL850827 SRH850762:SRH850827 TBD850762:TBD850827 TKZ850762:TKZ850827 TUV850762:TUV850827 UER850762:UER850827 UON850762:UON850827 UYJ850762:UYJ850827 VIF850762:VIF850827 VSB850762:VSB850827 WBX850762:WBX850827 WLT850762:WLT850827 WVP850762:WVP850827 H916298:H916363 JD916298:JD916363 SZ916298:SZ916363 ACV916298:ACV916363 AMR916298:AMR916363 AWN916298:AWN916363 BGJ916298:BGJ916363 BQF916298:BQF916363 CAB916298:CAB916363 CJX916298:CJX916363 CTT916298:CTT916363 DDP916298:DDP916363 DNL916298:DNL916363 DXH916298:DXH916363 EHD916298:EHD916363 EQZ916298:EQZ916363 FAV916298:FAV916363 FKR916298:FKR916363 FUN916298:FUN916363 GEJ916298:GEJ916363 GOF916298:GOF916363 GYB916298:GYB916363 HHX916298:HHX916363 HRT916298:HRT916363 IBP916298:IBP916363 ILL916298:ILL916363 IVH916298:IVH916363 JFD916298:JFD916363 JOZ916298:JOZ916363 JYV916298:JYV916363 KIR916298:KIR916363 KSN916298:KSN916363 LCJ916298:LCJ916363 LMF916298:LMF916363 LWB916298:LWB916363 MFX916298:MFX916363 MPT916298:MPT916363 MZP916298:MZP916363 NJL916298:NJL916363 NTH916298:NTH916363 ODD916298:ODD916363 OMZ916298:OMZ916363 OWV916298:OWV916363 PGR916298:PGR916363 PQN916298:PQN916363 QAJ916298:QAJ916363 QKF916298:QKF916363 QUB916298:QUB916363 RDX916298:RDX916363 RNT916298:RNT916363 RXP916298:RXP916363 SHL916298:SHL916363 SRH916298:SRH916363 TBD916298:TBD916363 TKZ916298:TKZ916363 TUV916298:TUV916363 UER916298:UER916363 UON916298:UON916363 UYJ916298:UYJ916363 VIF916298:VIF916363 VSB916298:VSB916363 WBX916298:WBX916363 WLT916298:WLT916363 WVP916298:WVP916363 H981834:H981899 JD981834:JD981899 SZ981834:SZ981899 ACV981834:ACV981899 AMR981834:AMR981899 AWN981834:AWN981899 BGJ981834:BGJ981899 BQF981834:BQF981899 CAB981834:CAB981899 CJX981834:CJX981899 CTT981834:CTT981899 DDP981834:DDP981899 DNL981834:DNL981899 DXH981834:DXH981899 EHD981834:EHD981899 EQZ981834:EQZ981899 FAV981834:FAV981899 FKR981834:FKR981899 FUN981834:FUN981899 GEJ981834:GEJ981899 GOF981834:GOF981899 GYB981834:GYB981899 HHX981834:HHX981899 HRT981834:HRT981899 IBP981834:IBP981899 ILL981834:ILL981899 IVH981834:IVH981899 JFD981834:JFD981899 JOZ981834:JOZ981899 JYV981834:JYV981899 KIR981834:KIR981899 KSN981834:KSN981899 LCJ981834:LCJ981899 LMF981834:LMF981899 LWB981834:LWB981899 MFX981834:MFX981899 MPT981834:MPT981899 MZP981834:MZP981899 NJL981834:NJL981899 NTH981834:NTH981899 ODD981834:ODD981899 OMZ981834:OMZ981899 OWV981834:OWV981899 PGR981834:PGR981899 PQN981834:PQN981899 QAJ981834:QAJ981899 QKF981834:QKF981899 QUB981834:QUB981899 RDX981834:RDX981899 RNT981834:RNT981899 RXP981834:RXP981899 SHL981834:SHL981899 SRH981834:SRH981899 TBD981834:TBD981899 TKZ981834:TKZ981899 TUV981834:TUV981899 UER981834:UER981899 UON981834:UON981899 UYJ981834:UYJ981899 VIF981834:VIF981899 VSB981834:VSB981899 WBX981834:WBX981899 WLT981834:WLT981899 WVP981834:WVP981899 H1047370:H1047435 JD1047370:JD1047435 SZ1047370:SZ1047435 ACV1047370:ACV1047435 AMR1047370:AMR1047435 AWN1047370:AWN1047435 BGJ1047370:BGJ1047435 BQF1047370:BQF1047435 CAB1047370:CAB1047435 CJX1047370:CJX1047435 CTT1047370:CTT1047435 DDP1047370:DDP1047435 DNL1047370:DNL1047435 DXH1047370:DXH1047435 EHD1047370:EHD1047435 EQZ1047370:EQZ1047435 FAV1047370:FAV1047435 FKR1047370:FKR1047435 FUN1047370:FUN1047435 GEJ1047370:GEJ1047435 GOF1047370:GOF1047435 GYB1047370:GYB1047435 HHX1047370:HHX1047435 HRT1047370:HRT1047435 IBP1047370:IBP1047435 ILL1047370:ILL1047435 IVH1047370:IVH1047435 JFD1047370:JFD1047435 JOZ1047370:JOZ1047435 JYV1047370:JYV1047435 KIR1047370:KIR1047435 KSN1047370:KSN1047435 LCJ1047370:LCJ1047435 LMF1047370:LMF1047435 LWB1047370:LWB1047435 MFX1047370:MFX1047435 MPT1047370:MPT1047435 MZP1047370:MZP1047435 NJL1047370:NJL1047435 NTH1047370:NTH1047435 ODD1047370:ODD1047435 OMZ1047370:OMZ1047435 OWV1047370:OWV1047435 PGR1047370:PGR1047435 PQN1047370:PQN1047435 QAJ1047370:QAJ1047435 QKF1047370:QKF1047435 QUB1047370:QUB1047435 RDX1047370:RDX1047435 RNT1047370:RNT1047435 RXP1047370:RXP1047435 SHL1047370:SHL1047435 SRH1047370:SRH1047435 TBD1047370:TBD1047435 TKZ1047370:TKZ1047435 TUV1047370:TUV1047435 UER1047370:UER1047435 UON1047370:UON1047435 UYJ1047370:UYJ1047435 VIF1047370:VIF1047435 VSB1047370:VSB1047435 WBX1047370:WBX1047435 WLT1047370:WLT1047435 WVP1047370:WVP1047435" xr:uid="{FD3EEDE0-6F2C-4FF9-A4E2-FD9EB5F0EAF6}">
      <formula1>$AL$5:$AL$12</formula1>
    </dataValidation>
    <dataValidation type="list" allowBlank="1" showInputMessage="1" showErrorMessage="1" sqref="E64330:F64395 WVM983009:WVN983080 WLQ983009:WLR983080 WBU983009:WBV983080 VRY983009:VRZ983080 VIC983009:VID983080 UYG983009:UYH983080 UOK983009:UOL983080 UEO983009:UEP983080 TUS983009:TUT983080 TKW983009:TKX983080 TBA983009:TBB983080 SRE983009:SRF983080 SHI983009:SHJ983080 RXM983009:RXN983080 RNQ983009:RNR983080 RDU983009:RDV983080 QTY983009:QTZ983080 QKC983009:QKD983080 QAG983009:QAH983080 PQK983009:PQL983080 PGO983009:PGP983080 OWS983009:OWT983080 OMW983009:OMX983080 ODA983009:ODB983080 NTE983009:NTF983080 NJI983009:NJJ983080 MZM983009:MZN983080 MPQ983009:MPR983080 MFU983009:MFV983080 LVY983009:LVZ983080 LMC983009:LMD983080 LCG983009:LCH983080 KSK983009:KSL983080 KIO983009:KIP983080 JYS983009:JYT983080 JOW983009:JOX983080 JFA983009:JFB983080 IVE983009:IVF983080 ILI983009:ILJ983080 IBM983009:IBN983080 HRQ983009:HRR983080 HHU983009:HHV983080 GXY983009:GXZ983080 GOC983009:GOD983080 GEG983009:GEH983080 FUK983009:FUL983080 FKO983009:FKP983080 FAS983009:FAT983080 EQW983009:EQX983080 EHA983009:EHB983080 DXE983009:DXF983080 DNI983009:DNJ983080 DDM983009:DDN983080 CTQ983009:CTR983080 CJU983009:CJV983080 BZY983009:BZZ983080 BQC983009:BQD983080 BGG983009:BGH983080 AWK983009:AWL983080 AMO983009:AMP983080 ACS983009:ACT983080 SW983009:SX983080 JA983009:JB983080 E983009:F983080 WVM917473:WVN917544 WLQ917473:WLR917544 WBU917473:WBV917544 VRY917473:VRZ917544 VIC917473:VID917544 UYG917473:UYH917544 UOK917473:UOL917544 UEO917473:UEP917544 TUS917473:TUT917544 TKW917473:TKX917544 TBA917473:TBB917544 SRE917473:SRF917544 SHI917473:SHJ917544 RXM917473:RXN917544 RNQ917473:RNR917544 RDU917473:RDV917544 QTY917473:QTZ917544 QKC917473:QKD917544 QAG917473:QAH917544 PQK917473:PQL917544 PGO917473:PGP917544 OWS917473:OWT917544 OMW917473:OMX917544 ODA917473:ODB917544 NTE917473:NTF917544 NJI917473:NJJ917544 MZM917473:MZN917544 MPQ917473:MPR917544 MFU917473:MFV917544 LVY917473:LVZ917544 LMC917473:LMD917544 LCG917473:LCH917544 KSK917473:KSL917544 KIO917473:KIP917544 JYS917473:JYT917544 JOW917473:JOX917544 JFA917473:JFB917544 IVE917473:IVF917544 ILI917473:ILJ917544 IBM917473:IBN917544 HRQ917473:HRR917544 HHU917473:HHV917544 GXY917473:GXZ917544 GOC917473:GOD917544 GEG917473:GEH917544 FUK917473:FUL917544 FKO917473:FKP917544 FAS917473:FAT917544 EQW917473:EQX917544 EHA917473:EHB917544 DXE917473:DXF917544 DNI917473:DNJ917544 DDM917473:DDN917544 CTQ917473:CTR917544 CJU917473:CJV917544 BZY917473:BZZ917544 BQC917473:BQD917544 BGG917473:BGH917544 AWK917473:AWL917544 AMO917473:AMP917544 ACS917473:ACT917544 SW917473:SX917544 JA917473:JB917544 E917473:F917544 WVM851937:WVN852008 WLQ851937:WLR852008 WBU851937:WBV852008 VRY851937:VRZ852008 VIC851937:VID852008 UYG851937:UYH852008 UOK851937:UOL852008 UEO851937:UEP852008 TUS851937:TUT852008 TKW851937:TKX852008 TBA851937:TBB852008 SRE851937:SRF852008 SHI851937:SHJ852008 RXM851937:RXN852008 RNQ851937:RNR852008 RDU851937:RDV852008 QTY851937:QTZ852008 QKC851937:QKD852008 QAG851937:QAH852008 PQK851937:PQL852008 PGO851937:PGP852008 OWS851937:OWT852008 OMW851937:OMX852008 ODA851937:ODB852008 NTE851937:NTF852008 NJI851937:NJJ852008 MZM851937:MZN852008 MPQ851937:MPR852008 MFU851937:MFV852008 LVY851937:LVZ852008 LMC851937:LMD852008 LCG851937:LCH852008 KSK851937:KSL852008 KIO851937:KIP852008 JYS851937:JYT852008 JOW851937:JOX852008 JFA851937:JFB852008 IVE851937:IVF852008 ILI851937:ILJ852008 IBM851937:IBN852008 HRQ851937:HRR852008 HHU851937:HHV852008 GXY851937:GXZ852008 GOC851937:GOD852008 GEG851937:GEH852008 FUK851937:FUL852008 FKO851937:FKP852008 FAS851937:FAT852008 EQW851937:EQX852008 EHA851937:EHB852008 DXE851937:DXF852008 DNI851937:DNJ852008 DDM851937:DDN852008 CTQ851937:CTR852008 CJU851937:CJV852008 BZY851937:BZZ852008 BQC851937:BQD852008 BGG851937:BGH852008 AWK851937:AWL852008 AMO851937:AMP852008 ACS851937:ACT852008 SW851937:SX852008 JA851937:JB852008 E851937:F852008 WVM786401:WVN786472 WLQ786401:WLR786472 WBU786401:WBV786472 VRY786401:VRZ786472 VIC786401:VID786472 UYG786401:UYH786472 UOK786401:UOL786472 UEO786401:UEP786472 TUS786401:TUT786472 TKW786401:TKX786472 TBA786401:TBB786472 SRE786401:SRF786472 SHI786401:SHJ786472 RXM786401:RXN786472 RNQ786401:RNR786472 RDU786401:RDV786472 QTY786401:QTZ786472 QKC786401:QKD786472 QAG786401:QAH786472 PQK786401:PQL786472 PGO786401:PGP786472 OWS786401:OWT786472 OMW786401:OMX786472 ODA786401:ODB786472 NTE786401:NTF786472 NJI786401:NJJ786472 MZM786401:MZN786472 MPQ786401:MPR786472 MFU786401:MFV786472 LVY786401:LVZ786472 LMC786401:LMD786472 LCG786401:LCH786472 KSK786401:KSL786472 KIO786401:KIP786472 JYS786401:JYT786472 JOW786401:JOX786472 JFA786401:JFB786472 IVE786401:IVF786472 ILI786401:ILJ786472 IBM786401:IBN786472 HRQ786401:HRR786472 HHU786401:HHV786472 GXY786401:GXZ786472 GOC786401:GOD786472 GEG786401:GEH786472 FUK786401:FUL786472 FKO786401:FKP786472 FAS786401:FAT786472 EQW786401:EQX786472 EHA786401:EHB786472 DXE786401:DXF786472 DNI786401:DNJ786472 DDM786401:DDN786472 CTQ786401:CTR786472 CJU786401:CJV786472 BZY786401:BZZ786472 BQC786401:BQD786472 BGG786401:BGH786472 AWK786401:AWL786472 AMO786401:AMP786472 ACS786401:ACT786472 SW786401:SX786472 JA786401:JB786472 E786401:F786472 WVM720865:WVN720936 WLQ720865:WLR720936 WBU720865:WBV720936 VRY720865:VRZ720936 VIC720865:VID720936 UYG720865:UYH720936 UOK720865:UOL720936 UEO720865:UEP720936 TUS720865:TUT720936 TKW720865:TKX720936 TBA720865:TBB720936 SRE720865:SRF720936 SHI720865:SHJ720936 RXM720865:RXN720936 RNQ720865:RNR720936 RDU720865:RDV720936 QTY720865:QTZ720936 QKC720865:QKD720936 QAG720865:QAH720936 PQK720865:PQL720936 PGO720865:PGP720936 OWS720865:OWT720936 OMW720865:OMX720936 ODA720865:ODB720936 NTE720865:NTF720936 NJI720865:NJJ720936 MZM720865:MZN720936 MPQ720865:MPR720936 MFU720865:MFV720936 LVY720865:LVZ720936 LMC720865:LMD720936 LCG720865:LCH720936 KSK720865:KSL720936 KIO720865:KIP720936 JYS720865:JYT720936 JOW720865:JOX720936 JFA720865:JFB720936 IVE720865:IVF720936 ILI720865:ILJ720936 IBM720865:IBN720936 HRQ720865:HRR720936 HHU720865:HHV720936 GXY720865:GXZ720936 GOC720865:GOD720936 GEG720865:GEH720936 FUK720865:FUL720936 FKO720865:FKP720936 FAS720865:FAT720936 EQW720865:EQX720936 EHA720865:EHB720936 DXE720865:DXF720936 DNI720865:DNJ720936 DDM720865:DDN720936 CTQ720865:CTR720936 CJU720865:CJV720936 BZY720865:BZZ720936 BQC720865:BQD720936 BGG720865:BGH720936 AWK720865:AWL720936 AMO720865:AMP720936 ACS720865:ACT720936 SW720865:SX720936 JA720865:JB720936 E720865:F720936 WVM655329:WVN655400 WLQ655329:WLR655400 WBU655329:WBV655400 VRY655329:VRZ655400 VIC655329:VID655400 UYG655329:UYH655400 UOK655329:UOL655400 UEO655329:UEP655400 TUS655329:TUT655400 TKW655329:TKX655400 TBA655329:TBB655400 SRE655329:SRF655400 SHI655329:SHJ655400 RXM655329:RXN655400 RNQ655329:RNR655400 RDU655329:RDV655400 QTY655329:QTZ655400 QKC655329:QKD655400 QAG655329:QAH655400 PQK655329:PQL655400 PGO655329:PGP655400 OWS655329:OWT655400 OMW655329:OMX655400 ODA655329:ODB655400 NTE655329:NTF655400 NJI655329:NJJ655400 MZM655329:MZN655400 MPQ655329:MPR655400 MFU655329:MFV655400 LVY655329:LVZ655400 LMC655329:LMD655400 LCG655329:LCH655400 KSK655329:KSL655400 KIO655329:KIP655400 JYS655329:JYT655400 JOW655329:JOX655400 JFA655329:JFB655400 IVE655329:IVF655400 ILI655329:ILJ655400 IBM655329:IBN655400 HRQ655329:HRR655400 HHU655329:HHV655400 GXY655329:GXZ655400 GOC655329:GOD655400 GEG655329:GEH655400 FUK655329:FUL655400 FKO655329:FKP655400 FAS655329:FAT655400 EQW655329:EQX655400 EHA655329:EHB655400 DXE655329:DXF655400 DNI655329:DNJ655400 DDM655329:DDN655400 CTQ655329:CTR655400 CJU655329:CJV655400 BZY655329:BZZ655400 BQC655329:BQD655400 BGG655329:BGH655400 AWK655329:AWL655400 AMO655329:AMP655400 ACS655329:ACT655400 SW655329:SX655400 JA655329:JB655400 E655329:F655400 WVM589793:WVN589864 WLQ589793:WLR589864 WBU589793:WBV589864 VRY589793:VRZ589864 VIC589793:VID589864 UYG589793:UYH589864 UOK589793:UOL589864 UEO589793:UEP589864 TUS589793:TUT589864 TKW589793:TKX589864 TBA589793:TBB589864 SRE589793:SRF589864 SHI589793:SHJ589864 RXM589793:RXN589864 RNQ589793:RNR589864 RDU589793:RDV589864 QTY589793:QTZ589864 QKC589793:QKD589864 QAG589793:QAH589864 PQK589793:PQL589864 PGO589793:PGP589864 OWS589793:OWT589864 OMW589793:OMX589864 ODA589793:ODB589864 NTE589793:NTF589864 NJI589793:NJJ589864 MZM589793:MZN589864 MPQ589793:MPR589864 MFU589793:MFV589864 LVY589793:LVZ589864 LMC589793:LMD589864 LCG589793:LCH589864 KSK589793:KSL589864 KIO589793:KIP589864 JYS589793:JYT589864 JOW589793:JOX589864 JFA589793:JFB589864 IVE589793:IVF589864 ILI589793:ILJ589864 IBM589793:IBN589864 HRQ589793:HRR589864 HHU589793:HHV589864 GXY589793:GXZ589864 GOC589793:GOD589864 GEG589793:GEH589864 FUK589793:FUL589864 FKO589793:FKP589864 FAS589793:FAT589864 EQW589793:EQX589864 EHA589793:EHB589864 DXE589793:DXF589864 DNI589793:DNJ589864 DDM589793:DDN589864 CTQ589793:CTR589864 CJU589793:CJV589864 BZY589793:BZZ589864 BQC589793:BQD589864 BGG589793:BGH589864 AWK589793:AWL589864 AMO589793:AMP589864 ACS589793:ACT589864 SW589793:SX589864 JA589793:JB589864 E589793:F589864 WVM524257:WVN524328 WLQ524257:WLR524328 WBU524257:WBV524328 VRY524257:VRZ524328 VIC524257:VID524328 UYG524257:UYH524328 UOK524257:UOL524328 UEO524257:UEP524328 TUS524257:TUT524328 TKW524257:TKX524328 TBA524257:TBB524328 SRE524257:SRF524328 SHI524257:SHJ524328 RXM524257:RXN524328 RNQ524257:RNR524328 RDU524257:RDV524328 QTY524257:QTZ524328 QKC524257:QKD524328 QAG524257:QAH524328 PQK524257:PQL524328 PGO524257:PGP524328 OWS524257:OWT524328 OMW524257:OMX524328 ODA524257:ODB524328 NTE524257:NTF524328 NJI524257:NJJ524328 MZM524257:MZN524328 MPQ524257:MPR524328 MFU524257:MFV524328 LVY524257:LVZ524328 LMC524257:LMD524328 LCG524257:LCH524328 KSK524257:KSL524328 KIO524257:KIP524328 JYS524257:JYT524328 JOW524257:JOX524328 JFA524257:JFB524328 IVE524257:IVF524328 ILI524257:ILJ524328 IBM524257:IBN524328 HRQ524257:HRR524328 HHU524257:HHV524328 GXY524257:GXZ524328 GOC524257:GOD524328 GEG524257:GEH524328 FUK524257:FUL524328 FKO524257:FKP524328 FAS524257:FAT524328 EQW524257:EQX524328 EHA524257:EHB524328 DXE524257:DXF524328 DNI524257:DNJ524328 DDM524257:DDN524328 CTQ524257:CTR524328 CJU524257:CJV524328 BZY524257:BZZ524328 BQC524257:BQD524328 BGG524257:BGH524328 AWK524257:AWL524328 AMO524257:AMP524328 ACS524257:ACT524328 SW524257:SX524328 JA524257:JB524328 E524257:F524328 WVM458721:WVN458792 WLQ458721:WLR458792 WBU458721:WBV458792 VRY458721:VRZ458792 VIC458721:VID458792 UYG458721:UYH458792 UOK458721:UOL458792 UEO458721:UEP458792 TUS458721:TUT458792 TKW458721:TKX458792 TBA458721:TBB458792 SRE458721:SRF458792 SHI458721:SHJ458792 RXM458721:RXN458792 RNQ458721:RNR458792 RDU458721:RDV458792 QTY458721:QTZ458792 QKC458721:QKD458792 QAG458721:QAH458792 PQK458721:PQL458792 PGO458721:PGP458792 OWS458721:OWT458792 OMW458721:OMX458792 ODA458721:ODB458792 NTE458721:NTF458792 NJI458721:NJJ458792 MZM458721:MZN458792 MPQ458721:MPR458792 MFU458721:MFV458792 LVY458721:LVZ458792 LMC458721:LMD458792 LCG458721:LCH458792 KSK458721:KSL458792 KIO458721:KIP458792 JYS458721:JYT458792 JOW458721:JOX458792 JFA458721:JFB458792 IVE458721:IVF458792 ILI458721:ILJ458792 IBM458721:IBN458792 HRQ458721:HRR458792 HHU458721:HHV458792 GXY458721:GXZ458792 GOC458721:GOD458792 GEG458721:GEH458792 FUK458721:FUL458792 FKO458721:FKP458792 FAS458721:FAT458792 EQW458721:EQX458792 EHA458721:EHB458792 DXE458721:DXF458792 DNI458721:DNJ458792 DDM458721:DDN458792 CTQ458721:CTR458792 CJU458721:CJV458792 BZY458721:BZZ458792 BQC458721:BQD458792 BGG458721:BGH458792 AWK458721:AWL458792 AMO458721:AMP458792 ACS458721:ACT458792 SW458721:SX458792 JA458721:JB458792 E458721:F458792 WVM393185:WVN393256 WLQ393185:WLR393256 WBU393185:WBV393256 VRY393185:VRZ393256 VIC393185:VID393256 UYG393185:UYH393256 UOK393185:UOL393256 UEO393185:UEP393256 TUS393185:TUT393256 TKW393185:TKX393256 TBA393185:TBB393256 SRE393185:SRF393256 SHI393185:SHJ393256 RXM393185:RXN393256 RNQ393185:RNR393256 RDU393185:RDV393256 QTY393185:QTZ393256 QKC393185:QKD393256 QAG393185:QAH393256 PQK393185:PQL393256 PGO393185:PGP393256 OWS393185:OWT393256 OMW393185:OMX393256 ODA393185:ODB393256 NTE393185:NTF393256 NJI393185:NJJ393256 MZM393185:MZN393256 MPQ393185:MPR393256 MFU393185:MFV393256 LVY393185:LVZ393256 LMC393185:LMD393256 LCG393185:LCH393256 KSK393185:KSL393256 KIO393185:KIP393256 JYS393185:JYT393256 JOW393185:JOX393256 JFA393185:JFB393256 IVE393185:IVF393256 ILI393185:ILJ393256 IBM393185:IBN393256 HRQ393185:HRR393256 HHU393185:HHV393256 GXY393185:GXZ393256 GOC393185:GOD393256 GEG393185:GEH393256 FUK393185:FUL393256 FKO393185:FKP393256 FAS393185:FAT393256 EQW393185:EQX393256 EHA393185:EHB393256 DXE393185:DXF393256 DNI393185:DNJ393256 DDM393185:DDN393256 CTQ393185:CTR393256 CJU393185:CJV393256 BZY393185:BZZ393256 BQC393185:BQD393256 BGG393185:BGH393256 AWK393185:AWL393256 AMO393185:AMP393256 ACS393185:ACT393256 SW393185:SX393256 JA393185:JB393256 E393185:F393256 WVM327649:WVN327720 WLQ327649:WLR327720 WBU327649:WBV327720 VRY327649:VRZ327720 VIC327649:VID327720 UYG327649:UYH327720 UOK327649:UOL327720 UEO327649:UEP327720 TUS327649:TUT327720 TKW327649:TKX327720 TBA327649:TBB327720 SRE327649:SRF327720 SHI327649:SHJ327720 RXM327649:RXN327720 RNQ327649:RNR327720 RDU327649:RDV327720 QTY327649:QTZ327720 QKC327649:QKD327720 QAG327649:QAH327720 PQK327649:PQL327720 PGO327649:PGP327720 OWS327649:OWT327720 OMW327649:OMX327720 ODA327649:ODB327720 NTE327649:NTF327720 NJI327649:NJJ327720 MZM327649:MZN327720 MPQ327649:MPR327720 MFU327649:MFV327720 LVY327649:LVZ327720 LMC327649:LMD327720 LCG327649:LCH327720 KSK327649:KSL327720 KIO327649:KIP327720 JYS327649:JYT327720 JOW327649:JOX327720 JFA327649:JFB327720 IVE327649:IVF327720 ILI327649:ILJ327720 IBM327649:IBN327720 HRQ327649:HRR327720 HHU327649:HHV327720 GXY327649:GXZ327720 GOC327649:GOD327720 GEG327649:GEH327720 FUK327649:FUL327720 FKO327649:FKP327720 FAS327649:FAT327720 EQW327649:EQX327720 EHA327649:EHB327720 DXE327649:DXF327720 DNI327649:DNJ327720 DDM327649:DDN327720 CTQ327649:CTR327720 CJU327649:CJV327720 BZY327649:BZZ327720 BQC327649:BQD327720 BGG327649:BGH327720 AWK327649:AWL327720 AMO327649:AMP327720 ACS327649:ACT327720 SW327649:SX327720 JA327649:JB327720 E327649:F327720 WVM262113:WVN262184 WLQ262113:WLR262184 WBU262113:WBV262184 VRY262113:VRZ262184 VIC262113:VID262184 UYG262113:UYH262184 UOK262113:UOL262184 UEO262113:UEP262184 TUS262113:TUT262184 TKW262113:TKX262184 TBA262113:TBB262184 SRE262113:SRF262184 SHI262113:SHJ262184 RXM262113:RXN262184 RNQ262113:RNR262184 RDU262113:RDV262184 QTY262113:QTZ262184 QKC262113:QKD262184 QAG262113:QAH262184 PQK262113:PQL262184 PGO262113:PGP262184 OWS262113:OWT262184 OMW262113:OMX262184 ODA262113:ODB262184 NTE262113:NTF262184 NJI262113:NJJ262184 MZM262113:MZN262184 MPQ262113:MPR262184 MFU262113:MFV262184 LVY262113:LVZ262184 LMC262113:LMD262184 LCG262113:LCH262184 KSK262113:KSL262184 KIO262113:KIP262184 JYS262113:JYT262184 JOW262113:JOX262184 JFA262113:JFB262184 IVE262113:IVF262184 ILI262113:ILJ262184 IBM262113:IBN262184 HRQ262113:HRR262184 HHU262113:HHV262184 GXY262113:GXZ262184 GOC262113:GOD262184 GEG262113:GEH262184 FUK262113:FUL262184 FKO262113:FKP262184 FAS262113:FAT262184 EQW262113:EQX262184 EHA262113:EHB262184 DXE262113:DXF262184 DNI262113:DNJ262184 DDM262113:DDN262184 CTQ262113:CTR262184 CJU262113:CJV262184 BZY262113:BZZ262184 BQC262113:BQD262184 BGG262113:BGH262184 AWK262113:AWL262184 AMO262113:AMP262184 ACS262113:ACT262184 SW262113:SX262184 JA262113:JB262184 E262113:F262184 WVM196577:WVN196648 WLQ196577:WLR196648 WBU196577:WBV196648 VRY196577:VRZ196648 VIC196577:VID196648 UYG196577:UYH196648 UOK196577:UOL196648 UEO196577:UEP196648 TUS196577:TUT196648 TKW196577:TKX196648 TBA196577:TBB196648 SRE196577:SRF196648 SHI196577:SHJ196648 RXM196577:RXN196648 RNQ196577:RNR196648 RDU196577:RDV196648 QTY196577:QTZ196648 QKC196577:QKD196648 QAG196577:QAH196648 PQK196577:PQL196648 PGO196577:PGP196648 OWS196577:OWT196648 OMW196577:OMX196648 ODA196577:ODB196648 NTE196577:NTF196648 NJI196577:NJJ196648 MZM196577:MZN196648 MPQ196577:MPR196648 MFU196577:MFV196648 LVY196577:LVZ196648 LMC196577:LMD196648 LCG196577:LCH196648 KSK196577:KSL196648 KIO196577:KIP196648 JYS196577:JYT196648 JOW196577:JOX196648 JFA196577:JFB196648 IVE196577:IVF196648 ILI196577:ILJ196648 IBM196577:IBN196648 HRQ196577:HRR196648 HHU196577:HHV196648 GXY196577:GXZ196648 GOC196577:GOD196648 GEG196577:GEH196648 FUK196577:FUL196648 FKO196577:FKP196648 FAS196577:FAT196648 EQW196577:EQX196648 EHA196577:EHB196648 DXE196577:DXF196648 DNI196577:DNJ196648 DDM196577:DDN196648 CTQ196577:CTR196648 CJU196577:CJV196648 BZY196577:BZZ196648 BQC196577:BQD196648 BGG196577:BGH196648 AWK196577:AWL196648 AMO196577:AMP196648 ACS196577:ACT196648 SW196577:SX196648 JA196577:JB196648 E196577:F196648 WVM131041:WVN131112 WLQ131041:WLR131112 WBU131041:WBV131112 VRY131041:VRZ131112 VIC131041:VID131112 UYG131041:UYH131112 UOK131041:UOL131112 UEO131041:UEP131112 TUS131041:TUT131112 TKW131041:TKX131112 TBA131041:TBB131112 SRE131041:SRF131112 SHI131041:SHJ131112 RXM131041:RXN131112 RNQ131041:RNR131112 RDU131041:RDV131112 QTY131041:QTZ131112 QKC131041:QKD131112 QAG131041:QAH131112 PQK131041:PQL131112 PGO131041:PGP131112 OWS131041:OWT131112 OMW131041:OMX131112 ODA131041:ODB131112 NTE131041:NTF131112 NJI131041:NJJ131112 MZM131041:MZN131112 MPQ131041:MPR131112 MFU131041:MFV131112 LVY131041:LVZ131112 LMC131041:LMD131112 LCG131041:LCH131112 KSK131041:KSL131112 KIO131041:KIP131112 JYS131041:JYT131112 JOW131041:JOX131112 JFA131041:JFB131112 IVE131041:IVF131112 ILI131041:ILJ131112 IBM131041:IBN131112 HRQ131041:HRR131112 HHU131041:HHV131112 GXY131041:GXZ131112 GOC131041:GOD131112 GEG131041:GEH131112 FUK131041:FUL131112 FKO131041:FKP131112 FAS131041:FAT131112 EQW131041:EQX131112 EHA131041:EHB131112 DXE131041:DXF131112 DNI131041:DNJ131112 DDM131041:DDN131112 CTQ131041:CTR131112 CJU131041:CJV131112 BZY131041:BZZ131112 BQC131041:BQD131112 BGG131041:BGH131112 AWK131041:AWL131112 AMO131041:AMP131112 ACS131041:ACT131112 SW131041:SX131112 JA131041:JB131112 E131041:F131112 WVM65505:WVN65576 WLQ65505:WLR65576 WBU65505:WBV65576 VRY65505:VRZ65576 VIC65505:VID65576 UYG65505:UYH65576 UOK65505:UOL65576 UEO65505:UEP65576 TUS65505:TUT65576 TKW65505:TKX65576 TBA65505:TBB65576 SRE65505:SRF65576 SHI65505:SHJ65576 RXM65505:RXN65576 RNQ65505:RNR65576 RDU65505:RDV65576 QTY65505:QTZ65576 QKC65505:QKD65576 QAG65505:QAH65576 PQK65505:PQL65576 PGO65505:PGP65576 OWS65505:OWT65576 OMW65505:OMX65576 ODA65505:ODB65576 NTE65505:NTF65576 NJI65505:NJJ65576 MZM65505:MZN65576 MPQ65505:MPR65576 MFU65505:MFV65576 LVY65505:LVZ65576 LMC65505:LMD65576 LCG65505:LCH65576 KSK65505:KSL65576 KIO65505:KIP65576 JYS65505:JYT65576 JOW65505:JOX65576 JFA65505:JFB65576 IVE65505:IVF65576 ILI65505:ILJ65576 IBM65505:IBN65576 HRQ65505:HRR65576 HHU65505:HHV65576 GXY65505:GXZ65576 GOC65505:GOD65576 GEG65505:GEH65576 FUK65505:FUL65576 FKO65505:FKP65576 FAS65505:FAT65576 EQW65505:EQX65576 EHA65505:EHB65576 DXE65505:DXF65576 DNI65505:DNJ65576 DDM65505:DDN65576 CTQ65505:CTR65576 CJU65505:CJV65576 BZY65505:BZZ65576 BQC65505:BQD65576 BGG65505:BGH65576 AWK65505:AWL65576 AMO65505:AMP65576 ACS65505:ACT65576 SW65505:SX65576 JA65505:JB65576 E65505:F65576 JA64330:JB64395 WVM1047370:WVN1047435 WLQ1047370:WLR1047435 WBU1047370:WBV1047435 VRY1047370:VRZ1047435 VIC1047370:VID1047435 UYG1047370:UYH1047435 UOK1047370:UOL1047435 UEO1047370:UEP1047435 TUS1047370:TUT1047435 TKW1047370:TKX1047435 TBA1047370:TBB1047435 SRE1047370:SRF1047435 SHI1047370:SHJ1047435 RXM1047370:RXN1047435 RNQ1047370:RNR1047435 RDU1047370:RDV1047435 QTY1047370:QTZ1047435 QKC1047370:QKD1047435 QAG1047370:QAH1047435 PQK1047370:PQL1047435 PGO1047370:PGP1047435 OWS1047370:OWT1047435 OMW1047370:OMX1047435 ODA1047370:ODB1047435 NTE1047370:NTF1047435 NJI1047370:NJJ1047435 MZM1047370:MZN1047435 MPQ1047370:MPR1047435 MFU1047370:MFV1047435 LVY1047370:LVZ1047435 LMC1047370:LMD1047435 LCG1047370:LCH1047435 KSK1047370:KSL1047435 KIO1047370:KIP1047435 JYS1047370:JYT1047435 JOW1047370:JOX1047435 JFA1047370:JFB1047435 IVE1047370:IVF1047435 ILI1047370:ILJ1047435 IBM1047370:IBN1047435 HRQ1047370:HRR1047435 HHU1047370:HHV1047435 GXY1047370:GXZ1047435 GOC1047370:GOD1047435 GEG1047370:GEH1047435 FUK1047370:FUL1047435 FKO1047370:FKP1047435 FAS1047370:FAT1047435 EQW1047370:EQX1047435 EHA1047370:EHB1047435 DXE1047370:DXF1047435 DNI1047370:DNJ1047435 DDM1047370:DDN1047435 CTQ1047370:CTR1047435 CJU1047370:CJV1047435 BZY1047370:BZZ1047435 BQC1047370:BQD1047435 BGG1047370:BGH1047435 AWK1047370:AWL1047435 AMO1047370:AMP1047435 ACS1047370:ACT1047435 SW1047370:SX1047435 JA1047370:JB1047435 E1047370:F1047435 WVM981834:WVN981899 WLQ981834:WLR981899 WBU981834:WBV981899 VRY981834:VRZ981899 VIC981834:VID981899 UYG981834:UYH981899 UOK981834:UOL981899 UEO981834:UEP981899 TUS981834:TUT981899 TKW981834:TKX981899 TBA981834:TBB981899 SRE981834:SRF981899 SHI981834:SHJ981899 RXM981834:RXN981899 RNQ981834:RNR981899 RDU981834:RDV981899 QTY981834:QTZ981899 QKC981834:QKD981899 QAG981834:QAH981899 PQK981834:PQL981899 PGO981834:PGP981899 OWS981834:OWT981899 OMW981834:OMX981899 ODA981834:ODB981899 NTE981834:NTF981899 NJI981834:NJJ981899 MZM981834:MZN981899 MPQ981834:MPR981899 MFU981834:MFV981899 LVY981834:LVZ981899 LMC981834:LMD981899 LCG981834:LCH981899 KSK981834:KSL981899 KIO981834:KIP981899 JYS981834:JYT981899 JOW981834:JOX981899 JFA981834:JFB981899 IVE981834:IVF981899 ILI981834:ILJ981899 IBM981834:IBN981899 HRQ981834:HRR981899 HHU981834:HHV981899 GXY981834:GXZ981899 GOC981834:GOD981899 GEG981834:GEH981899 FUK981834:FUL981899 FKO981834:FKP981899 FAS981834:FAT981899 EQW981834:EQX981899 EHA981834:EHB981899 DXE981834:DXF981899 DNI981834:DNJ981899 DDM981834:DDN981899 CTQ981834:CTR981899 CJU981834:CJV981899 BZY981834:BZZ981899 BQC981834:BQD981899 BGG981834:BGH981899 AWK981834:AWL981899 AMO981834:AMP981899 ACS981834:ACT981899 SW981834:SX981899 JA981834:JB981899 E981834:F981899 WVM916298:WVN916363 WLQ916298:WLR916363 WBU916298:WBV916363 VRY916298:VRZ916363 VIC916298:VID916363 UYG916298:UYH916363 UOK916298:UOL916363 UEO916298:UEP916363 TUS916298:TUT916363 TKW916298:TKX916363 TBA916298:TBB916363 SRE916298:SRF916363 SHI916298:SHJ916363 RXM916298:RXN916363 RNQ916298:RNR916363 RDU916298:RDV916363 QTY916298:QTZ916363 QKC916298:QKD916363 QAG916298:QAH916363 PQK916298:PQL916363 PGO916298:PGP916363 OWS916298:OWT916363 OMW916298:OMX916363 ODA916298:ODB916363 NTE916298:NTF916363 NJI916298:NJJ916363 MZM916298:MZN916363 MPQ916298:MPR916363 MFU916298:MFV916363 LVY916298:LVZ916363 LMC916298:LMD916363 LCG916298:LCH916363 KSK916298:KSL916363 KIO916298:KIP916363 JYS916298:JYT916363 JOW916298:JOX916363 JFA916298:JFB916363 IVE916298:IVF916363 ILI916298:ILJ916363 IBM916298:IBN916363 HRQ916298:HRR916363 HHU916298:HHV916363 GXY916298:GXZ916363 GOC916298:GOD916363 GEG916298:GEH916363 FUK916298:FUL916363 FKO916298:FKP916363 FAS916298:FAT916363 EQW916298:EQX916363 EHA916298:EHB916363 DXE916298:DXF916363 DNI916298:DNJ916363 DDM916298:DDN916363 CTQ916298:CTR916363 CJU916298:CJV916363 BZY916298:BZZ916363 BQC916298:BQD916363 BGG916298:BGH916363 AWK916298:AWL916363 AMO916298:AMP916363 ACS916298:ACT916363 SW916298:SX916363 JA916298:JB916363 E916298:F916363 WVM850762:WVN850827 WLQ850762:WLR850827 WBU850762:WBV850827 VRY850762:VRZ850827 VIC850762:VID850827 UYG850762:UYH850827 UOK850762:UOL850827 UEO850762:UEP850827 TUS850762:TUT850827 TKW850762:TKX850827 TBA850762:TBB850827 SRE850762:SRF850827 SHI850762:SHJ850827 RXM850762:RXN850827 RNQ850762:RNR850827 RDU850762:RDV850827 QTY850762:QTZ850827 QKC850762:QKD850827 QAG850762:QAH850827 PQK850762:PQL850827 PGO850762:PGP850827 OWS850762:OWT850827 OMW850762:OMX850827 ODA850762:ODB850827 NTE850762:NTF850827 NJI850762:NJJ850827 MZM850762:MZN850827 MPQ850762:MPR850827 MFU850762:MFV850827 LVY850762:LVZ850827 LMC850762:LMD850827 LCG850762:LCH850827 KSK850762:KSL850827 KIO850762:KIP850827 JYS850762:JYT850827 JOW850762:JOX850827 JFA850762:JFB850827 IVE850762:IVF850827 ILI850762:ILJ850827 IBM850762:IBN850827 HRQ850762:HRR850827 HHU850762:HHV850827 GXY850762:GXZ850827 GOC850762:GOD850827 GEG850762:GEH850827 FUK850762:FUL850827 FKO850762:FKP850827 FAS850762:FAT850827 EQW850762:EQX850827 EHA850762:EHB850827 DXE850762:DXF850827 DNI850762:DNJ850827 DDM850762:DDN850827 CTQ850762:CTR850827 CJU850762:CJV850827 BZY850762:BZZ850827 BQC850762:BQD850827 BGG850762:BGH850827 AWK850762:AWL850827 AMO850762:AMP850827 ACS850762:ACT850827 SW850762:SX850827 JA850762:JB850827 E850762:F850827 WVM785226:WVN785291 WLQ785226:WLR785291 WBU785226:WBV785291 VRY785226:VRZ785291 VIC785226:VID785291 UYG785226:UYH785291 UOK785226:UOL785291 UEO785226:UEP785291 TUS785226:TUT785291 TKW785226:TKX785291 TBA785226:TBB785291 SRE785226:SRF785291 SHI785226:SHJ785291 RXM785226:RXN785291 RNQ785226:RNR785291 RDU785226:RDV785291 QTY785226:QTZ785291 QKC785226:QKD785291 QAG785226:QAH785291 PQK785226:PQL785291 PGO785226:PGP785291 OWS785226:OWT785291 OMW785226:OMX785291 ODA785226:ODB785291 NTE785226:NTF785291 NJI785226:NJJ785291 MZM785226:MZN785291 MPQ785226:MPR785291 MFU785226:MFV785291 LVY785226:LVZ785291 LMC785226:LMD785291 LCG785226:LCH785291 KSK785226:KSL785291 KIO785226:KIP785291 JYS785226:JYT785291 JOW785226:JOX785291 JFA785226:JFB785291 IVE785226:IVF785291 ILI785226:ILJ785291 IBM785226:IBN785291 HRQ785226:HRR785291 HHU785226:HHV785291 GXY785226:GXZ785291 GOC785226:GOD785291 GEG785226:GEH785291 FUK785226:FUL785291 FKO785226:FKP785291 FAS785226:FAT785291 EQW785226:EQX785291 EHA785226:EHB785291 DXE785226:DXF785291 DNI785226:DNJ785291 DDM785226:DDN785291 CTQ785226:CTR785291 CJU785226:CJV785291 BZY785226:BZZ785291 BQC785226:BQD785291 BGG785226:BGH785291 AWK785226:AWL785291 AMO785226:AMP785291 ACS785226:ACT785291 SW785226:SX785291 JA785226:JB785291 E785226:F785291 WVM719690:WVN719755 WLQ719690:WLR719755 WBU719690:WBV719755 VRY719690:VRZ719755 VIC719690:VID719755 UYG719690:UYH719755 UOK719690:UOL719755 UEO719690:UEP719755 TUS719690:TUT719755 TKW719690:TKX719755 TBA719690:TBB719755 SRE719690:SRF719755 SHI719690:SHJ719755 RXM719690:RXN719755 RNQ719690:RNR719755 RDU719690:RDV719755 QTY719690:QTZ719755 QKC719690:QKD719755 QAG719690:QAH719755 PQK719690:PQL719755 PGO719690:PGP719755 OWS719690:OWT719755 OMW719690:OMX719755 ODA719690:ODB719755 NTE719690:NTF719755 NJI719690:NJJ719755 MZM719690:MZN719755 MPQ719690:MPR719755 MFU719690:MFV719755 LVY719690:LVZ719755 LMC719690:LMD719755 LCG719690:LCH719755 KSK719690:KSL719755 KIO719690:KIP719755 JYS719690:JYT719755 JOW719690:JOX719755 JFA719690:JFB719755 IVE719690:IVF719755 ILI719690:ILJ719755 IBM719690:IBN719755 HRQ719690:HRR719755 HHU719690:HHV719755 GXY719690:GXZ719755 GOC719690:GOD719755 GEG719690:GEH719755 FUK719690:FUL719755 FKO719690:FKP719755 FAS719690:FAT719755 EQW719690:EQX719755 EHA719690:EHB719755 DXE719690:DXF719755 DNI719690:DNJ719755 DDM719690:DDN719755 CTQ719690:CTR719755 CJU719690:CJV719755 BZY719690:BZZ719755 BQC719690:BQD719755 BGG719690:BGH719755 AWK719690:AWL719755 AMO719690:AMP719755 ACS719690:ACT719755 SW719690:SX719755 JA719690:JB719755 E719690:F719755 WVM654154:WVN654219 WLQ654154:WLR654219 WBU654154:WBV654219 VRY654154:VRZ654219 VIC654154:VID654219 UYG654154:UYH654219 UOK654154:UOL654219 UEO654154:UEP654219 TUS654154:TUT654219 TKW654154:TKX654219 TBA654154:TBB654219 SRE654154:SRF654219 SHI654154:SHJ654219 RXM654154:RXN654219 RNQ654154:RNR654219 RDU654154:RDV654219 QTY654154:QTZ654219 QKC654154:QKD654219 QAG654154:QAH654219 PQK654154:PQL654219 PGO654154:PGP654219 OWS654154:OWT654219 OMW654154:OMX654219 ODA654154:ODB654219 NTE654154:NTF654219 NJI654154:NJJ654219 MZM654154:MZN654219 MPQ654154:MPR654219 MFU654154:MFV654219 LVY654154:LVZ654219 LMC654154:LMD654219 LCG654154:LCH654219 KSK654154:KSL654219 KIO654154:KIP654219 JYS654154:JYT654219 JOW654154:JOX654219 JFA654154:JFB654219 IVE654154:IVF654219 ILI654154:ILJ654219 IBM654154:IBN654219 HRQ654154:HRR654219 HHU654154:HHV654219 GXY654154:GXZ654219 GOC654154:GOD654219 GEG654154:GEH654219 FUK654154:FUL654219 FKO654154:FKP654219 FAS654154:FAT654219 EQW654154:EQX654219 EHA654154:EHB654219 DXE654154:DXF654219 DNI654154:DNJ654219 DDM654154:DDN654219 CTQ654154:CTR654219 CJU654154:CJV654219 BZY654154:BZZ654219 BQC654154:BQD654219 BGG654154:BGH654219 AWK654154:AWL654219 AMO654154:AMP654219 ACS654154:ACT654219 SW654154:SX654219 JA654154:JB654219 E654154:F654219 WVM588618:WVN588683 WLQ588618:WLR588683 WBU588618:WBV588683 VRY588618:VRZ588683 VIC588618:VID588683 UYG588618:UYH588683 UOK588618:UOL588683 UEO588618:UEP588683 TUS588618:TUT588683 TKW588618:TKX588683 TBA588618:TBB588683 SRE588618:SRF588683 SHI588618:SHJ588683 RXM588618:RXN588683 RNQ588618:RNR588683 RDU588618:RDV588683 QTY588618:QTZ588683 QKC588618:QKD588683 QAG588618:QAH588683 PQK588618:PQL588683 PGO588618:PGP588683 OWS588618:OWT588683 OMW588618:OMX588683 ODA588618:ODB588683 NTE588618:NTF588683 NJI588618:NJJ588683 MZM588618:MZN588683 MPQ588618:MPR588683 MFU588618:MFV588683 LVY588618:LVZ588683 LMC588618:LMD588683 LCG588618:LCH588683 KSK588618:KSL588683 KIO588618:KIP588683 JYS588618:JYT588683 JOW588618:JOX588683 JFA588618:JFB588683 IVE588618:IVF588683 ILI588618:ILJ588683 IBM588618:IBN588683 HRQ588618:HRR588683 HHU588618:HHV588683 GXY588618:GXZ588683 GOC588618:GOD588683 GEG588618:GEH588683 FUK588618:FUL588683 FKO588618:FKP588683 FAS588618:FAT588683 EQW588618:EQX588683 EHA588618:EHB588683 DXE588618:DXF588683 DNI588618:DNJ588683 DDM588618:DDN588683 CTQ588618:CTR588683 CJU588618:CJV588683 BZY588618:BZZ588683 BQC588618:BQD588683 BGG588618:BGH588683 AWK588618:AWL588683 AMO588618:AMP588683 ACS588618:ACT588683 SW588618:SX588683 JA588618:JB588683 E588618:F588683 WVM523082:WVN523147 WLQ523082:WLR523147 WBU523082:WBV523147 VRY523082:VRZ523147 VIC523082:VID523147 UYG523082:UYH523147 UOK523082:UOL523147 UEO523082:UEP523147 TUS523082:TUT523147 TKW523082:TKX523147 TBA523082:TBB523147 SRE523082:SRF523147 SHI523082:SHJ523147 RXM523082:RXN523147 RNQ523082:RNR523147 RDU523082:RDV523147 QTY523082:QTZ523147 QKC523082:QKD523147 QAG523082:QAH523147 PQK523082:PQL523147 PGO523082:PGP523147 OWS523082:OWT523147 OMW523082:OMX523147 ODA523082:ODB523147 NTE523082:NTF523147 NJI523082:NJJ523147 MZM523082:MZN523147 MPQ523082:MPR523147 MFU523082:MFV523147 LVY523082:LVZ523147 LMC523082:LMD523147 LCG523082:LCH523147 KSK523082:KSL523147 KIO523082:KIP523147 JYS523082:JYT523147 JOW523082:JOX523147 JFA523082:JFB523147 IVE523082:IVF523147 ILI523082:ILJ523147 IBM523082:IBN523147 HRQ523082:HRR523147 HHU523082:HHV523147 GXY523082:GXZ523147 GOC523082:GOD523147 GEG523082:GEH523147 FUK523082:FUL523147 FKO523082:FKP523147 FAS523082:FAT523147 EQW523082:EQX523147 EHA523082:EHB523147 DXE523082:DXF523147 DNI523082:DNJ523147 DDM523082:DDN523147 CTQ523082:CTR523147 CJU523082:CJV523147 BZY523082:BZZ523147 BQC523082:BQD523147 BGG523082:BGH523147 AWK523082:AWL523147 AMO523082:AMP523147 ACS523082:ACT523147 SW523082:SX523147 JA523082:JB523147 E523082:F523147 WVM457546:WVN457611 WLQ457546:WLR457611 WBU457546:WBV457611 VRY457546:VRZ457611 VIC457546:VID457611 UYG457546:UYH457611 UOK457546:UOL457611 UEO457546:UEP457611 TUS457546:TUT457611 TKW457546:TKX457611 TBA457546:TBB457611 SRE457546:SRF457611 SHI457546:SHJ457611 RXM457546:RXN457611 RNQ457546:RNR457611 RDU457546:RDV457611 QTY457546:QTZ457611 QKC457546:QKD457611 QAG457546:QAH457611 PQK457546:PQL457611 PGO457546:PGP457611 OWS457546:OWT457611 OMW457546:OMX457611 ODA457546:ODB457611 NTE457546:NTF457611 NJI457546:NJJ457611 MZM457546:MZN457611 MPQ457546:MPR457611 MFU457546:MFV457611 LVY457546:LVZ457611 LMC457546:LMD457611 LCG457546:LCH457611 KSK457546:KSL457611 KIO457546:KIP457611 JYS457546:JYT457611 JOW457546:JOX457611 JFA457546:JFB457611 IVE457546:IVF457611 ILI457546:ILJ457611 IBM457546:IBN457611 HRQ457546:HRR457611 HHU457546:HHV457611 GXY457546:GXZ457611 GOC457546:GOD457611 GEG457546:GEH457611 FUK457546:FUL457611 FKO457546:FKP457611 FAS457546:FAT457611 EQW457546:EQX457611 EHA457546:EHB457611 DXE457546:DXF457611 DNI457546:DNJ457611 DDM457546:DDN457611 CTQ457546:CTR457611 CJU457546:CJV457611 BZY457546:BZZ457611 BQC457546:BQD457611 BGG457546:BGH457611 AWK457546:AWL457611 AMO457546:AMP457611 ACS457546:ACT457611 SW457546:SX457611 JA457546:JB457611 E457546:F457611 WVM392010:WVN392075 WLQ392010:WLR392075 WBU392010:WBV392075 VRY392010:VRZ392075 VIC392010:VID392075 UYG392010:UYH392075 UOK392010:UOL392075 UEO392010:UEP392075 TUS392010:TUT392075 TKW392010:TKX392075 TBA392010:TBB392075 SRE392010:SRF392075 SHI392010:SHJ392075 RXM392010:RXN392075 RNQ392010:RNR392075 RDU392010:RDV392075 QTY392010:QTZ392075 QKC392010:QKD392075 QAG392010:QAH392075 PQK392010:PQL392075 PGO392010:PGP392075 OWS392010:OWT392075 OMW392010:OMX392075 ODA392010:ODB392075 NTE392010:NTF392075 NJI392010:NJJ392075 MZM392010:MZN392075 MPQ392010:MPR392075 MFU392010:MFV392075 LVY392010:LVZ392075 LMC392010:LMD392075 LCG392010:LCH392075 KSK392010:KSL392075 KIO392010:KIP392075 JYS392010:JYT392075 JOW392010:JOX392075 JFA392010:JFB392075 IVE392010:IVF392075 ILI392010:ILJ392075 IBM392010:IBN392075 HRQ392010:HRR392075 HHU392010:HHV392075 GXY392010:GXZ392075 GOC392010:GOD392075 GEG392010:GEH392075 FUK392010:FUL392075 FKO392010:FKP392075 FAS392010:FAT392075 EQW392010:EQX392075 EHA392010:EHB392075 DXE392010:DXF392075 DNI392010:DNJ392075 DDM392010:DDN392075 CTQ392010:CTR392075 CJU392010:CJV392075 BZY392010:BZZ392075 BQC392010:BQD392075 BGG392010:BGH392075 AWK392010:AWL392075 AMO392010:AMP392075 ACS392010:ACT392075 SW392010:SX392075 JA392010:JB392075 E392010:F392075 WVM326474:WVN326539 WLQ326474:WLR326539 WBU326474:WBV326539 VRY326474:VRZ326539 VIC326474:VID326539 UYG326474:UYH326539 UOK326474:UOL326539 UEO326474:UEP326539 TUS326474:TUT326539 TKW326474:TKX326539 TBA326474:TBB326539 SRE326474:SRF326539 SHI326474:SHJ326539 RXM326474:RXN326539 RNQ326474:RNR326539 RDU326474:RDV326539 QTY326474:QTZ326539 QKC326474:QKD326539 QAG326474:QAH326539 PQK326474:PQL326539 PGO326474:PGP326539 OWS326474:OWT326539 OMW326474:OMX326539 ODA326474:ODB326539 NTE326474:NTF326539 NJI326474:NJJ326539 MZM326474:MZN326539 MPQ326474:MPR326539 MFU326474:MFV326539 LVY326474:LVZ326539 LMC326474:LMD326539 LCG326474:LCH326539 KSK326474:KSL326539 KIO326474:KIP326539 JYS326474:JYT326539 JOW326474:JOX326539 JFA326474:JFB326539 IVE326474:IVF326539 ILI326474:ILJ326539 IBM326474:IBN326539 HRQ326474:HRR326539 HHU326474:HHV326539 GXY326474:GXZ326539 GOC326474:GOD326539 GEG326474:GEH326539 FUK326474:FUL326539 FKO326474:FKP326539 FAS326474:FAT326539 EQW326474:EQX326539 EHA326474:EHB326539 DXE326474:DXF326539 DNI326474:DNJ326539 DDM326474:DDN326539 CTQ326474:CTR326539 CJU326474:CJV326539 BZY326474:BZZ326539 BQC326474:BQD326539 BGG326474:BGH326539 AWK326474:AWL326539 AMO326474:AMP326539 ACS326474:ACT326539 SW326474:SX326539 JA326474:JB326539 E326474:F326539 WVM260938:WVN261003 WLQ260938:WLR261003 WBU260938:WBV261003 VRY260938:VRZ261003 VIC260938:VID261003 UYG260938:UYH261003 UOK260938:UOL261003 UEO260938:UEP261003 TUS260938:TUT261003 TKW260938:TKX261003 TBA260938:TBB261003 SRE260938:SRF261003 SHI260938:SHJ261003 RXM260938:RXN261003 RNQ260938:RNR261003 RDU260938:RDV261003 QTY260938:QTZ261003 QKC260938:QKD261003 QAG260938:QAH261003 PQK260938:PQL261003 PGO260938:PGP261003 OWS260938:OWT261003 OMW260938:OMX261003 ODA260938:ODB261003 NTE260938:NTF261003 NJI260938:NJJ261003 MZM260938:MZN261003 MPQ260938:MPR261003 MFU260938:MFV261003 LVY260938:LVZ261003 LMC260938:LMD261003 LCG260938:LCH261003 KSK260938:KSL261003 KIO260938:KIP261003 JYS260938:JYT261003 JOW260938:JOX261003 JFA260938:JFB261003 IVE260938:IVF261003 ILI260938:ILJ261003 IBM260938:IBN261003 HRQ260938:HRR261003 HHU260938:HHV261003 GXY260938:GXZ261003 GOC260938:GOD261003 GEG260938:GEH261003 FUK260938:FUL261003 FKO260938:FKP261003 FAS260938:FAT261003 EQW260938:EQX261003 EHA260938:EHB261003 DXE260938:DXF261003 DNI260938:DNJ261003 DDM260938:DDN261003 CTQ260938:CTR261003 CJU260938:CJV261003 BZY260938:BZZ261003 BQC260938:BQD261003 BGG260938:BGH261003 AWK260938:AWL261003 AMO260938:AMP261003 ACS260938:ACT261003 SW260938:SX261003 JA260938:JB261003 E260938:F261003 WVM195402:WVN195467 WLQ195402:WLR195467 WBU195402:WBV195467 VRY195402:VRZ195467 VIC195402:VID195467 UYG195402:UYH195467 UOK195402:UOL195467 UEO195402:UEP195467 TUS195402:TUT195467 TKW195402:TKX195467 TBA195402:TBB195467 SRE195402:SRF195467 SHI195402:SHJ195467 RXM195402:RXN195467 RNQ195402:RNR195467 RDU195402:RDV195467 QTY195402:QTZ195467 QKC195402:QKD195467 QAG195402:QAH195467 PQK195402:PQL195467 PGO195402:PGP195467 OWS195402:OWT195467 OMW195402:OMX195467 ODA195402:ODB195467 NTE195402:NTF195467 NJI195402:NJJ195467 MZM195402:MZN195467 MPQ195402:MPR195467 MFU195402:MFV195467 LVY195402:LVZ195467 LMC195402:LMD195467 LCG195402:LCH195467 KSK195402:KSL195467 KIO195402:KIP195467 JYS195402:JYT195467 JOW195402:JOX195467 JFA195402:JFB195467 IVE195402:IVF195467 ILI195402:ILJ195467 IBM195402:IBN195467 HRQ195402:HRR195467 HHU195402:HHV195467 GXY195402:GXZ195467 GOC195402:GOD195467 GEG195402:GEH195467 FUK195402:FUL195467 FKO195402:FKP195467 FAS195402:FAT195467 EQW195402:EQX195467 EHA195402:EHB195467 DXE195402:DXF195467 DNI195402:DNJ195467 DDM195402:DDN195467 CTQ195402:CTR195467 CJU195402:CJV195467 BZY195402:BZZ195467 BQC195402:BQD195467 BGG195402:BGH195467 AWK195402:AWL195467 AMO195402:AMP195467 ACS195402:ACT195467 SW195402:SX195467 JA195402:JB195467 E195402:F195467 WVM129866:WVN129931 WLQ129866:WLR129931 WBU129866:WBV129931 VRY129866:VRZ129931 VIC129866:VID129931 UYG129866:UYH129931 UOK129866:UOL129931 UEO129866:UEP129931 TUS129866:TUT129931 TKW129866:TKX129931 TBA129866:TBB129931 SRE129866:SRF129931 SHI129866:SHJ129931 RXM129866:RXN129931 RNQ129866:RNR129931 RDU129866:RDV129931 QTY129866:QTZ129931 QKC129866:QKD129931 QAG129866:QAH129931 PQK129866:PQL129931 PGO129866:PGP129931 OWS129866:OWT129931 OMW129866:OMX129931 ODA129866:ODB129931 NTE129866:NTF129931 NJI129866:NJJ129931 MZM129866:MZN129931 MPQ129866:MPR129931 MFU129866:MFV129931 LVY129866:LVZ129931 LMC129866:LMD129931 LCG129866:LCH129931 KSK129866:KSL129931 KIO129866:KIP129931 JYS129866:JYT129931 JOW129866:JOX129931 JFA129866:JFB129931 IVE129866:IVF129931 ILI129866:ILJ129931 IBM129866:IBN129931 HRQ129866:HRR129931 HHU129866:HHV129931 GXY129866:GXZ129931 GOC129866:GOD129931 GEG129866:GEH129931 FUK129866:FUL129931 FKO129866:FKP129931 FAS129866:FAT129931 EQW129866:EQX129931 EHA129866:EHB129931 DXE129866:DXF129931 DNI129866:DNJ129931 DDM129866:DDN129931 CTQ129866:CTR129931 CJU129866:CJV129931 BZY129866:BZZ129931 BQC129866:BQD129931 BGG129866:BGH129931 AWK129866:AWL129931 AMO129866:AMP129931 ACS129866:ACT129931 SW129866:SX129931 JA129866:JB129931 E129866:F129931 WVM64330:WVN64395 WLQ64330:WLR64395 WBU64330:WBV64395 VRY64330:VRZ64395 VIC64330:VID64395 UYG64330:UYH64395 UOK64330:UOL64395 UEO64330:UEP64395 TUS64330:TUT64395 TKW64330:TKX64395 TBA64330:TBB64395 SRE64330:SRF64395 SHI64330:SHJ64395 RXM64330:RXN64395 RNQ64330:RNR64395 RDU64330:RDV64395 QTY64330:QTZ64395 QKC64330:QKD64395 QAG64330:QAH64395 PQK64330:PQL64395 PGO64330:PGP64395 OWS64330:OWT64395 OMW64330:OMX64395 ODA64330:ODB64395 NTE64330:NTF64395 NJI64330:NJJ64395 MZM64330:MZN64395 MPQ64330:MPR64395 MFU64330:MFV64395 LVY64330:LVZ64395 LMC64330:LMD64395 LCG64330:LCH64395 KSK64330:KSL64395 KIO64330:KIP64395 JYS64330:JYT64395 JOW64330:JOX64395 JFA64330:JFB64395 IVE64330:IVF64395 ILI64330:ILJ64395 IBM64330:IBN64395 HRQ64330:HRR64395 HHU64330:HHV64395 GXY64330:GXZ64395 GOC64330:GOD64395 GEG64330:GEH64395 FUK64330:FUL64395 FKO64330:FKP64395 FAS64330:FAT64395 EQW64330:EQX64395 EHA64330:EHB64395 DXE64330:DXF64395 DNI64330:DNJ64395 DDM64330:DDN64395 CTQ64330:CTR64395 CJU64330:CJV64395 BZY64330:BZZ64395 BQC64330:BQD64395 BGG64330:BGH64395 AWK64330:AWL64395 AMO64330:AMP64395 ACS64330:ACT64395 SW64330:SX64395 WLQ2:WLR54 WBU2:WBV54 VRY2:VRZ54 VIC2:VID54 UYG2:UYH54 UOK2:UOL54 UEO2:UEP54 TUS2:TUT54 TKW2:TKX54 TBA2:TBB54 SRE2:SRF54 SHI2:SHJ54 RXM2:RXN54 RNQ2:RNR54 RDU2:RDV54 QTY2:QTZ54 QKC2:QKD54 QAG2:QAH54 PQK2:PQL54 PGO2:PGP54 OWS2:OWT54 OMW2:OMX54 ODA2:ODB54 NTE2:NTF54 NJI2:NJJ54 MZM2:MZN54 MPQ2:MPR54 MFU2:MFV54 LVY2:LVZ54 LMC2:LMD54 LCG2:LCH54 KSK2:KSL54 KIO2:KIP54 JYS2:JYT54 JOW2:JOX54 JFA2:JFB54 IVE2:IVF54 ILI2:ILJ54 IBM2:IBN54 HRQ2:HRR54 HHU2:HHV54 GXY2:GXZ54 GOC2:GOD54 GEG2:GEH54 FUK2:FUL54 FKO2:FKP54 FAS2:FAT54 EQW2:EQX54 EHA2:EHB54 DXE2:DXF54 DNI2:DNJ54 DDM2:DDN54 CTQ2:CTR54 CJU2:CJV54 BZY2:BZZ54 BQC2:BQD54 BGG2:BGH54 AWK2:AWL54 AMO2:AMP54 ACS2:ACT54 SW2:SX54 JA2:JB54 WVM2:WVN54" xr:uid="{31CF94EA-AA40-413F-AE7C-2A34E8A8168C}">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2ED1E-3BFD-4988-8EBE-7A473DA4435E}">
  <dimension ref="A1:BA442"/>
  <sheetViews>
    <sheetView zoomScaleNormal="100" zoomScaleSheetLayoutView="100" workbookViewId="0">
      <selection activeCell="F31" sqref="F31"/>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376</v>
      </c>
      <c r="G1" s="45" t="s">
        <v>6</v>
      </c>
      <c r="H1" s="45" t="s">
        <v>7</v>
      </c>
      <c r="I1" s="45" t="s">
        <v>8</v>
      </c>
      <c r="J1" s="45" t="s">
        <v>9</v>
      </c>
      <c r="K1" s="147"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8"/>
      <c r="AJ1" s="149" t="s">
        <v>6</v>
      </c>
      <c r="AK1" s="148"/>
      <c r="AL1" s="150" t="s">
        <v>7</v>
      </c>
      <c r="AM1" s="148"/>
      <c r="AN1" s="10" t="s">
        <v>8</v>
      </c>
      <c r="AO1" s="61"/>
      <c r="AP1" s="10" t="s">
        <v>27</v>
      </c>
      <c r="AQ1" s="61"/>
      <c r="AR1" s="10" t="s">
        <v>10</v>
      </c>
      <c r="AS1" s="61"/>
      <c r="AT1" s="11" t="s">
        <v>28</v>
      </c>
      <c r="AU1" s="61"/>
      <c r="AV1" s="10" t="s">
        <v>29</v>
      </c>
      <c r="AX1" s="12" t="s">
        <v>30</v>
      </c>
      <c r="AY1" s="13" t="s">
        <v>31</v>
      </c>
      <c r="AZ1" s="13" t="s">
        <v>32</v>
      </c>
      <c r="BA1" s="14" t="s">
        <v>33</v>
      </c>
    </row>
    <row r="2" spans="1:53" x14ac:dyDescent="0.15">
      <c r="A2" s="151" t="s">
        <v>34</v>
      </c>
      <c r="B2" s="151" t="s">
        <v>236</v>
      </c>
      <c r="C2" s="151">
        <v>2019</v>
      </c>
      <c r="D2" s="152" t="s">
        <v>377</v>
      </c>
      <c r="E2" s="151" t="s">
        <v>378</v>
      </c>
      <c r="F2" s="151" t="s">
        <v>379</v>
      </c>
      <c r="G2" s="153" t="s">
        <v>36</v>
      </c>
      <c r="H2" s="154" t="s">
        <v>164</v>
      </c>
      <c r="I2" s="127" t="s">
        <v>159</v>
      </c>
      <c r="J2" s="155" t="s">
        <v>38</v>
      </c>
      <c r="K2" s="127" t="s">
        <v>161</v>
      </c>
      <c r="L2" s="156">
        <v>1</v>
      </c>
      <c r="M2" s="157"/>
      <c r="N2" s="157">
        <v>1</v>
      </c>
      <c r="O2" s="157">
        <v>0.75</v>
      </c>
      <c r="P2" s="157">
        <v>0.7</v>
      </c>
      <c r="Q2" s="158">
        <f>IF(OR(O2="",P2=""),"",AVERAGE(O2,P2))</f>
        <v>0.72499999999999998</v>
      </c>
      <c r="R2" s="159">
        <v>13.8</v>
      </c>
      <c r="S2" s="154">
        <v>121</v>
      </c>
      <c r="T2" s="160">
        <f t="shared" ref="T2:T64" si="0">IF(H2="","",IF(OR(H2="GREEN",H2="GK"),IF(S2&gt;=$AX$2,VLOOKUP(S2,$AX$2:$AY$7,2,1),""),IF(S2&gt;=$AZ$2,VLOOKUP(S2,$AZ$2:$BA$7,2,1),"")))</f>
        <v>30</v>
      </c>
      <c r="U2" s="127">
        <v>88</v>
      </c>
      <c r="V2" s="160">
        <f t="shared" ref="V2:V64" si="1">IF(OR(N2="",U2="",T2=""),"",U2/N2*T2)</f>
        <v>2640</v>
      </c>
      <c r="W2" s="161">
        <v>2</v>
      </c>
      <c r="X2" s="162" t="s">
        <v>46</v>
      </c>
      <c r="Y2" s="162" t="s">
        <v>90</v>
      </c>
      <c r="Z2" s="162" t="s">
        <v>84</v>
      </c>
      <c r="AA2" s="162" t="s">
        <v>50</v>
      </c>
      <c r="AB2" s="53" t="s">
        <v>240</v>
      </c>
      <c r="AE2" s="64" t="s">
        <v>35</v>
      </c>
      <c r="AG2" s="67" t="s">
        <v>378</v>
      </c>
      <c r="AH2" s="67" t="s">
        <v>379</v>
      </c>
      <c r="AJ2" s="130" t="s">
        <v>36</v>
      </c>
      <c r="AL2" s="67" t="s">
        <v>127</v>
      </c>
      <c r="AN2" s="67" t="s">
        <v>37</v>
      </c>
      <c r="AP2" s="67" t="s">
        <v>38</v>
      </c>
      <c r="AR2" s="67" t="s">
        <v>120</v>
      </c>
      <c r="AT2" s="67" t="s">
        <v>39</v>
      </c>
      <c r="AV2" s="67" t="s">
        <v>40</v>
      </c>
      <c r="AX2" s="68">
        <v>1</v>
      </c>
      <c r="AY2" s="69">
        <v>50</v>
      </c>
      <c r="AZ2" s="69">
        <v>1</v>
      </c>
      <c r="BA2" s="70">
        <v>50</v>
      </c>
    </row>
    <row r="3" spans="1:53" x14ac:dyDescent="0.15">
      <c r="A3" s="163" t="s">
        <v>34</v>
      </c>
      <c r="B3" s="163" t="s">
        <v>157</v>
      </c>
      <c r="C3" s="164">
        <v>2019</v>
      </c>
      <c r="D3" s="165" t="s">
        <v>380</v>
      </c>
      <c r="E3" s="163" t="s">
        <v>378</v>
      </c>
      <c r="F3" s="163" t="s">
        <v>379</v>
      </c>
      <c r="G3" s="166" t="s">
        <v>36</v>
      </c>
      <c r="H3" s="127" t="s">
        <v>164</v>
      </c>
      <c r="I3" s="127" t="s">
        <v>159</v>
      </c>
      <c r="J3" s="127" t="s">
        <v>38</v>
      </c>
      <c r="K3" s="127" t="s">
        <v>161</v>
      </c>
      <c r="L3" s="53">
        <v>2</v>
      </c>
      <c r="N3" s="53">
        <v>1</v>
      </c>
      <c r="O3" s="53">
        <v>0.9</v>
      </c>
      <c r="P3" s="34">
        <v>0.8</v>
      </c>
      <c r="Q3" s="167">
        <f t="shared" ref="Q3:Q42" si="2">IF(OR(O3="",P3=""),"",AVERAGE(O3,P3))</f>
        <v>0.85000000000000009</v>
      </c>
      <c r="R3" s="168">
        <v>14</v>
      </c>
      <c r="S3" s="168">
        <v>121</v>
      </c>
      <c r="T3" s="16">
        <f t="shared" si="0"/>
        <v>30</v>
      </c>
      <c r="U3" s="169">
        <v>88</v>
      </c>
      <c r="V3" s="38">
        <f t="shared" si="1"/>
        <v>2640</v>
      </c>
      <c r="W3" s="170">
        <v>2</v>
      </c>
      <c r="X3" s="171" t="s">
        <v>46</v>
      </c>
      <c r="Y3" s="171" t="s">
        <v>90</v>
      </c>
      <c r="Z3" s="171" t="s">
        <v>84</v>
      </c>
      <c r="AA3" s="162" t="s">
        <v>50</v>
      </c>
      <c r="AB3" s="53" t="s">
        <v>158</v>
      </c>
      <c r="AE3" s="22" t="s">
        <v>41</v>
      </c>
      <c r="AG3" s="67" t="s">
        <v>381</v>
      </c>
      <c r="AH3" s="67" t="s">
        <v>382</v>
      </c>
      <c r="AJ3" s="172" t="s">
        <v>42</v>
      </c>
      <c r="AL3" s="23" t="s">
        <v>128</v>
      </c>
      <c r="AN3" s="23" t="s">
        <v>43</v>
      </c>
      <c r="AP3" s="23" t="s">
        <v>44</v>
      </c>
      <c r="AR3" s="23" t="s">
        <v>45</v>
      </c>
      <c r="AT3" s="23" t="s">
        <v>46</v>
      </c>
      <c r="AV3" s="23" t="s">
        <v>47</v>
      </c>
      <c r="AX3" s="24">
        <v>72</v>
      </c>
      <c r="AY3" s="25">
        <v>46</v>
      </c>
      <c r="AZ3" s="25">
        <v>71</v>
      </c>
      <c r="BA3" s="26">
        <v>42</v>
      </c>
    </row>
    <row r="4" spans="1:53" x14ac:dyDescent="0.15">
      <c r="A4" s="163" t="s">
        <v>34</v>
      </c>
      <c r="B4" s="163" t="s">
        <v>157</v>
      </c>
      <c r="C4" s="163">
        <v>2019</v>
      </c>
      <c r="D4" s="165" t="s">
        <v>380</v>
      </c>
      <c r="E4" s="163" t="s">
        <v>378</v>
      </c>
      <c r="F4" s="163" t="s">
        <v>379</v>
      </c>
      <c r="G4" s="166" t="s">
        <v>36</v>
      </c>
      <c r="H4" s="127" t="s">
        <v>164</v>
      </c>
      <c r="I4" s="127" t="s">
        <v>159</v>
      </c>
      <c r="J4" s="127" t="s">
        <v>38</v>
      </c>
      <c r="K4" s="127" t="s">
        <v>161</v>
      </c>
      <c r="L4" s="53">
        <v>3</v>
      </c>
      <c r="N4" s="53">
        <v>1</v>
      </c>
      <c r="O4" s="53">
        <v>0.8</v>
      </c>
      <c r="P4" s="34">
        <v>0.8</v>
      </c>
      <c r="Q4" s="74">
        <f t="shared" si="2"/>
        <v>0.8</v>
      </c>
      <c r="R4" s="173">
        <v>14.5</v>
      </c>
      <c r="S4" s="173">
        <v>119</v>
      </c>
      <c r="T4" s="16">
        <f t="shared" si="0"/>
        <v>30</v>
      </c>
      <c r="U4" s="174">
        <v>88</v>
      </c>
      <c r="V4" s="38">
        <f t="shared" si="1"/>
        <v>2640</v>
      </c>
      <c r="W4" s="170">
        <v>2</v>
      </c>
      <c r="X4" s="171" t="s">
        <v>46</v>
      </c>
      <c r="Y4" s="171" t="s">
        <v>90</v>
      </c>
      <c r="Z4" s="171" t="s">
        <v>84</v>
      </c>
      <c r="AA4" s="162" t="s">
        <v>50</v>
      </c>
      <c r="AB4" s="53" t="s">
        <v>158</v>
      </c>
      <c r="AE4" s="22" t="s">
        <v>34</v>
      </c>
      <c r="AG4" s="67" t="s">
        <v>360</v>
      </c>
      <c r="AH4" s="67" t="s">
        <v>382</v>
      </c>
      <c r="AJ4" s="175" t="s">
        <v>48</v>
      </c>
      <c r="AL4" s="27" t="s">
        <v>129</v>
      </c>
      <c r="AN4" s="28" t="s">
        <v>49</v>
      </c>
      <c r="AP4" s="23" t="s">
        <v>93</v>
      </c>
      <c r="AR4" s="23" t="s">
        <v>121</v>
      </c>
      <c r="AT4" s="28"/>
      <c r="AV4" s="23" t="s">
        <v>50</v>
      </c>
      <c r="AX4" s="24">
        <v>75</v>
      </c>
      <c r="AY4" s="25">
        <v>42</v>
      </c>
      <c r="AZ4" s="25">
        <v>76</v>
      </c>
      <c r="BA4" s="26">
        <v>39</v>
      </c>
    </row>
    <row r="5" spans="1:53" x14ac:dyDescent="0.15">
      <c r="A5" s="163" t="s">
        <v>34</v>
      </c>
      <c r="B5" s="163" t="s">
        <v>157</v>
      </c>
      <c r="C5" s="164">
        <v>2019</v>
      </c>
      <c r="D5" s="165" t="s">
        <v>380</v>
      </c>
      <c r="E5" s="163" t="s">
        <v>381</v>
      </c>
      <c r="F5" s="163" t="s">
        <v>382</v>
      </c>
      <c r="G5" s="166" t="s">
        <v>36</v>
      </c>
      <c r="H5" s="127" t="s">
        <v>164</v>
      </c>
      <c r="I5" s="127" t="s">
        <v>159</v>
      </c>
      <c r="J5" s="127" t="s">
        <v>38</v>
      </c>
      <c r="K5" s="127" t="s">
        <v>161</v>
      </c>
      <c r="L5" s="53">
        <v>1</v>
      </c>
      <c r="N5" s="53">
        <v>1</v>
      </c>
      <c r="O5" s="53">
        <v>1.1000000000000001</v>
      </c>
      <c r="P5" s="53">
        <v>0.95</v>
      </c>
      <c r="Q5" s="74">
        <f t="shared" si="2"/>
        <v>1.0249999999999999</v>
      </c>
      <c r="R5" s="173">
        <v>14.1</v>
      </c>
      <c r="S5" s="173">
        <v>93</v>
      </c>
      <c r="T5" s="16">
        <f t="shared" si="0"/>
        <v>36</v>
      </c>
      <c r="U5" s="174">
        <v>50</v>
      </c>
      <c r="V5" s="38">
        <f t="shared" si="1"/>
        <v>1800</v>
      </c>
      <c r="W5" s="170">
        <v>2</v>
      </c>
      <c r="X5" s="171" t="s">
        <v>46</v>
      </c>
      <c r="Y5" s="171" t="s">
        <v>84</v>
      </c>
      <c r="Z5" s="171" t="s">
        <v>90</v>
      </c>
      <c r="AA5" s="162" t="s">
        <v>50</v>
      </c>
      <c r="AB5" s="53" t="s">
        <v>158</v>
      </c>
      <c r="AE5" s="22" t="s">
        <v>51</v>
      </c>
      <c r="AG5" s="67" t="s">
        <v>378</v>
      </c>
      <c r="AH5" s="67" t="s">
        <v>383</v>
      </c>
      <c r="AJ5" s="176"/>
      <c r="AL5" s="73" t="s">
        <v>66</v>
      </c>
      <c r="AN5" s="73" t="s">
        <v>52</v>
      </c>
      <c r="AP5" s="23" t="s">
        <v>119</v>
      </c>
      <c r="AR5" s="23" t="s">
        <v>54</v>
      </c>
      <c r="AV5" s="23" t="s">
        <v>55</v>
      </c>
      <c r="AX5" s="24">
        <v>84</v>
      </c>
      <c r="AY5" s="25">
        <v>39</v>
      </c>
      <c r="AZ5" s="25">
        <v>84</v>
      </c>
      <c r="BA5" s="26">
        <v>36</v>
      </c>
    </row>
    <row r="6" spans="1:53" x14ac:dyDescent="0.15">
      <c r="A6" s="163" t="s">
        <v>34</v>
      </c>
      <c r="B6" s="163" t="s">
        <v>157</v>
      </c>
      <c r="C6" s="163">
        <v>2019</v>
      </c>
      <c r="D6" s="165" t="s">
        <v>380</v>
      </c>
      <c r="E6" s="163" t="s">
        <v>381</v>
      </c>
      <c r="F6" s="163" t="s">
        <v>382</v>
      </c>
      <c r="G6" s="166" t="s">
        <v>36</v>
      </c>
      <c r="H6" s="127" t="s">
        <v>164</v>
      </c>
      <c r="I6" s="127" t="s">
        <v>159</v>
      </c>
      <c r="J6" s="127" t="s">
        <v>38</v>
      </c>
      <c r="K6" s="127" t="s">
        <v>161</v>
      </c>
      <c r="L6" s="53">
        <v>2</v>
      </c>
      <c r="N6" s="53">
        <v>1</v>
      </c>
      <c r="O6" s="53">
        <v>0.85</v>
      </c>
      <c r="P6" s="53">
        <v>0.9</v>
      </c>
      <c r="Q6" s="74">
        <f t="shared" si="2"/>
        <v>0.875</v>
      </c>
      <c r="R6" s="173">
        <v>14.5</v>
      </c>
      <c r="S6" s="173">
        <v>103</v>
      </c>
      <c r="T6" s="16">
        <f t="shared" si="0"/>
        <v>33</v>
      </c>
      <c r="U6" s="174">
        <v>50</v>
      </c>
      <c r="V6" s="38">
        <f t="shared" si="1"/>
        <v>1650</v>
      </c>
      <c r="W6" s="170">
        <v>2</v>
      </c>
      <c r="X6" s="171" t="s">
        <v>46</v>
      </c>
      <c r="Y6" s="171" t="s">
        <v>84</v>
      </c>
      <c r="Z6" s="171" t="s">
        <v>90</v>
      </c>
      <c r="AA6" s="162" t="s">
        <v>50</v>
      </c>
      <c r="AB6" s="53" t="s">
        <v>158</v>
      </c>
      <c r="AE6" s="22" t="s">
        <v>56</v>
      </c>
      <c r="AG6" s="67" t="s">
        <v>211</v>
      </c>
      <c r="AH6" s="67" t="s">
        <v>384</v>
      </c>
      <c r="AL6" s="73" t="s">
        <v>99</v>
      </c>
      <c r="AN6" s="73" t="s">
        <v>57</v>
      </c>
      <c r="AP6" s="23" t="s">
        <v>53</v>
      </c>
      <c r="AR6" s="23" t="s">
        <v>59</v>
      </c>
      <c r="AV6" s="23" t="s">
        <v>60</v>
      </c>
      <c r="AX6" s="24">
        <v>97</v>
      </c>
      <c r="AY6" s="25">
        <v>36</v>
      </c>
      <c r="AZ6" s="25">
        <v>99</v>
      </c>
      <c r="BA6" s="26">
        <v>33</v>
      </c>
    </row>
    <row r="7" spans="1:53" x14ac:dyDescent="0.15">
      <c r="A7" s="163" t="s">
        <v>34</v>
      </c>
      <c r="B7" s="163" t="s">
        <v>157</v>
      </c>
      <c r="C7" s="164">
        <v>2019</v>
      </c>
      <c r="D7" s="165" t="s">
        <v>380</v>
      </c>
      <c r="E7" s="163" t="s">
        <v>381</v>
      </c>
      <c r="F7" s="163" t="s">
        <v>382</v>
      </c>
      <c r="G7" s="166" t="s">
        <v>36</v>
      </c>
      <c r="H7" s="127" t="s">
        <v>164</v>
      </c>
      <c r="I7" s="127" t="s">
        <v>159</v>
      </c>
      <c r="J7" s="127" t="s">
        <v>38</v>
      </c>
      <c r="K7" s="127" t="s">
        <v>161</v>
      </c>
      <c r="L7" s="53">
        <v>3</v>
      </c>
      <c r="N7" s="53">
        <v>1</v>
      </c>
      <c r="O7" s="53">
        <v>0.8</v>
      </c>
      <c r="P7" s="53">
        <v>0.75</v>
      </c>
      <c r="Q7" s="74">
        <f t="shared" si="2"/>
        <v>0.77500000000000002</v>
      </c>
      <c r="R7" s="173">
        <v>14.4</v>
      </c>
      <c r="S7" s="173">
        <v>105</v>
      </c>
      <c r="T7" s="16">
        <f t="shared" si="0"/>
        <v>33</v>
      </c>
      <c r="U7" s="174">
        <v>50</v>
      </c>
      <c r="V7" s="38">
        <f t="shared" si="1"/>
        <v>1650</v>
      </c>
      <c r="W7" s="170">
        <v>2</v>
      </c>
      <c r="X7" s="171" t="s">
        <v>46</v>
      </c>
      <c r="Y7" s="171" t="s">
        <v>84</v>
      </c>
      <c r="Z7" s="171" t="s">
        <v>90</v>
      </c>
      <c r="AA7" s="162" t="s">
        <v>50</v>
      </c>
      <c r="AB7" s="53" t="s">
        <v>158</v>
      </c>
      <c r="AE7" s="22" t="s">
        <v>61</v>
      </c>
      <c r="AG7" s="67" t="s">
        <v>385</v>
      </c>
      <c r="AH7" s="67" t="s">
        <v>384</v>
      </c>
      <c r="AL7" s="34" t="s">
        <v>109</v>
      </c>
      <c r="AP7" s="23" t="s">
        <v>58</v>
      </c>
      <c r="AR7" s="23" t="s">
        <v>122</v>
      </c>
      <c r="AV7" s="23" t="s">
        <v>64</v>
      </c>
      <c r="AX7" s="24">
        <v>109</v>
      </c>
      <c r="AY7" s="25">
        <v>33</v>
      </c>
      <c r="AZ7" s="25">
        <v>113</v>
      </c>
      <c r="BA7" s="26">
        <v>30</v>
      </c>
    </row>
    <row r="8" spans="1:53" x14ac:dyDescent="0.15">
      <c r="A8" s="163" t="s">
        <v>34</v>
      </c>
      <c r="B8" s="163" t="s">
        <v>157</v>
      </c>
      <c r="C8" s="163">
        <v>2019</v>
      </c>
      <c r="D8" s="165" t="s">
        <v>380</v>
      </c>
      <c r="E8" s="164" t="s">
        <v>360</v>
      </c>
      <c r="F8" s="163" t="s">
        <v>382</v>
      </c>
      <c r="G8" s="166" t="s">
        <v>36</v>
      </c>
      <c r="H8" s="127" t="s">
        <v>164</v>
      </c>
      <c r="I8" s="127" t="s">
        <v>159</v>
      </c>
      <c r="J8" s="127" t="s">
        <v>38</v>
      </c>
      <c r="K8" s="127" t="s">
        <v>161</v>
      </c>
      <c r="L8" s="53">
        <v>1</v>
      </c>
      <c r="N8" s="53">
        <v>8</v>
      </c>
      <c r="O8" s="53">
        <v>0.7</v>
      </c>
      <c r="P8" s="53">
        <v>0.65</v>
      </c>
      <c r="Q8" s="74">
        <f t="shared" si="2"/>
        <v>0.67500000000000004</v>
      </c>
      <c r="R8" s="173">
        <v>16.8</v>
      </c>
      <c r="S8" s="173">
        <v>100</v>
      </c>
      <c r="T8" s="16">
        <f t="shared" si="0"/>
        <v>33</v>
      </c>
      <c r="U8" s="169">
        <v>498</v>
      </c>
      <c r="V8" s="38">
        <f t="shared" si="1"/>
        <v>2054.25</v>
      </c>
      <c r="W8" s="170">
        <v>2</v>
      </c>
      <c r="X8" s="171" t="s">
        <v>39</v>
      </c>
      <c r="Y8" s="177" t="s">
        <v>84</v>
      </c>
      <c r="Z8" s="171" t="s">
        <v>69</v>
      </c>
      <c r="AA8" s="162" t="s">
        <v>50</v>
      </c>
      <c r="AB8" s="53" t="s">
        <v>158</v>
      </c>
      <c r="AE8" s="22" t="s">
        <v>59</v>
      </c>
      <c r="AG8" s="67" t="s">
        <v>211</v>
      </c>
      <c r="AH8" s="67" t="s">
        <v>386</v>
      </c>
      <c r="AL8" s="34" t="s">
        <v>134</v>
      </c>
      <c r="AP8" s="23" t="s">
        <v>62</v>
      </c>
      <c r="AR8" s="23" t="s">
        <v>81</v>
      </c>
      <c r="AV8" s="23" t="s">
        <v>97</v>
      </c>
      <c r="AX8" s="24">
        <v>151</v>
      </c>
      <c r="AY8" s="25">
        <v>22</v>
      </c>
      <c r="AZ8" s="25">
        <v>152</v>
      </c>
      <c r="BA8" s="26">
        <v>18</v>
      </c>
    </row>
    <row r="9" spans="1:53" x14ac:dyDescent="0.15">
      <c r="A9" s="163" t="s">
        <v>34</v>
      </c>
      <c r="B9" s="163" t="s">
        <v>157</v>
      </c>
      <c r="C9" s="164">
        <v>2019</v>
      </c>
      <c r="D9" s="165" t="s">
        <v>380</v>
      </c>
      <c r="E9" s="164" t="s">
        <v>360</v>
      </c>
      <c r="F9" s="163" t="s">
        <v>382</v>
      </c>
      <c r="G9" s="166" t="s">
        <v>36</v>
      </c>
      <c r="H9" s="127" t="s">
        <v>164</v>
      </c>
      <c r="I9" s="127" t="s">
        <v>159</v>
      </c>
      <c r="J9" s="127" t="s">
        <v>38</v>
      </c>
      <c r="K9" s="127" t="s">
        <v>161</v>
      </c>
      <c r="L9" s="53">
        <v>2</v>
      </c>
      <c r="N9" s="53">
        <v>8</v>
      </c>
      <c r="O9" s="53">
        <v>0.8</v>
      </c>
      <c r="P9" s="53">
        <v>0.9</v>
      </c>
      <c r="Q9" s="74">
        <f t="shared" si="2"/>
        <v>0.85000000000000009</v>
      </c>
      <c r="R9" s="173">
        <v>14.3</v>
      </c>
      <c r="S9" s="173">
        <v>103</v>
      </c>
      <c r="T9" s="16">
        <f t="shared" si="0"/>
        <v>33</v>
      </c>
      <c r="U9" s="169">
        <v>498</v>
      </c>
      <c r="V9" s="38">
        <f t="shared" si="1"/>
        <v>2054.25</v>
      </c>
      <c r="W9" s="170">
        <v>2</v>
      </c>
      <c r="X9" s="171" t="s">
        <v>39</v>
      </c>
      <c r="Y9" s="177" t="s">
        <v>84</v>
      </c>
      <c r="Z9" s="171" t="s">
        <v>69</v>
      </c>
      <c r="AA9" s="162" t="s">
        <v>50</v>
      </c>
      <c r="AB9" s="53" t="s">
        <v>158</v>
      </c>
      <c r="AE9" s="22" t="s">
        <v>98</v>
      </c>
      <c r="AG9" s="67" t="s">
        <v>139</v>
      </c>
      <c r="AH9" s="67" t="s">
        <v>386</v>
      </c>
      <c r="AL9" s="73"/>
      <c r="AP9" s="23" t="s">
        <v>95</v>
      </c>
      <c r="AR9" s="23" t="s">
        <v>89</v>
      </c>
      <c r="AV9" s="23" t="s">
        <v>102</v>
      </c>
      <c r="AX9" s="31">
        <v>180</v>
      </c>
      <c r="AY9" s="32">
        <v>18</v>
      </c>
      <c r="AZ9" s="32">
        <v>181</v>
      </c>
      <c r="BA9" s="33">
        <v>16</v>
      </c>
    </row>
    <row r="10" spans="1:53" x14ac:dyDescent="0.15">
      <c r="A10" s="163" t="s">
        <v>34</v>
      </c>
      <c r="B10" s="163" t="s">
        <v>157</v>
      </c>
      <c r="C10" s="163">
        <v>2019</v>
      </c>
      <c r="D10" s="165" t="s">
        <v>380</v>
      </c>
      <c r="E10" s="164" t="s">
        <v>360</v>
      </c>
      <c r="F10" s="163" t="s">
        <v>382</v>
      </c>
      <c r="G10" s="166" t="s">
        <v>36</v>
      </c>
      <c r="H10" s="127" t="s">
        <v>164</v>
      </c>
      <c r="I10" s="127" t="s">
        <v>159</v>
      </c>
      <c r="J10" s="127" t="s">
        <v>38</v>
      </c>
      <c r="K10" s="127" t="s">
        <v>161</v>
      </c>
      <c r="L10" s="53">
        <v>3</v>
      </c>
      <c r="N10" s="53">
        <v>8</v>
      </c>
      <c r="O10" s="53">
        <v>0.65</v>
      </c>
      <c r="P10" s="53">
        <v>0.55000000000000004</v>
      </c>
      <c r="Q10" s="74">
        <f t="shared" si="2"/>
        <v>0.60000000000000009</v>
      </c>
      <c r="R10" s="173">
        <v>15.5</v>
      </c>
      <c r="S10" s="173">
        <v>100</v>
      </c>
      <c r="T10" s="16">
        <f t="shared" si="0"/>
        <v>33</v>
      </c>
      <c r="U10" s="169">
        <v>498</v>
      </c>
      <c r="V10" s="38">
        <f t="shared" si="1"/>
        <v>2054.25</v>
      </c>
      <c r="W10" s="170">
        <v>2</v>
      </c>
      <c r="X10" s="171" t="s">
        <v>39</v>
      </c>
      <c r="Y10" s="177" t="s">
        <v>84</v>
      </c>
      <c r="Z10" s="171" t="s">
        <v>69</v>
      </c>
      <c r="AA10" s="162" t="s">
        <v>50</v>
      </c>
      <c r="AB10" s="53" t="s">
        <v>158</v>
      </c>
      <c r="AE10" s="22" t="s">
        <v>103</v>
      </c>
      <c r="AG10" s="67" t="s">
        <v>133</v>
      </c>
      <c r="AH10" s="67" t="s">
        <v>387</v>
      </c>
      <c r="AL10" s="34"/>
      <c r="AP10" s="23" t="s">
        <v>100</v>
      </c>
      <c r="AR10" s="23" t="s">
        <v>123</v>
      </c>
      <c r="AV10" s="23" t="s">
        <v>106</v>
      </c>
    </row>
    <row r="11" spans="1:53" x14ac:dyDescent="0.15">
      <c r="A11" s="163" t="s">
        <v>34</v>
      </c>
      <c r="B11" s="163" t="s">
        <v>157</v>
      </c>
      <c r="C11" s="164">
        <v>2019</v>
      </c>
      <c r="D11" s="165" t="s">
        <v>380</v>
      </c>
      <c r="E11" s="164" t="s">
        <v>378</v>
      </c>
      <c r="F11" s="163" t="s">
        <v>383</v>
      </c>
      <c r="G11" s="166" t="s">
        <v>36</v>
      </c>
      <c r="H11" s="127" t="s">
        <v>164</v>
      </c>
      <c r="I11" s="127" t="s">
        <v>159</v>
      </c>
      <c r="J11" s="127" t="s">
        <v>38</v>
      </c>
      <c r="K11" s="127" t="s">
        <v>161</v>
      </c>
      <c r="L11" s="53">
        <v>1</v>
      </c>
      <c r="N11" s="53">
        <v>4</v>
      </c>
      <c r="O11" s="53">
        <v>0.45</v>
      </c>
      <c r="P11" s="53">
        <v>0.5</v>
      </c>
      <c r="Q11" s="74">
        <f t="shared" si="2"/>
        <v>0.47499999999999998</v>
      </c>
      <c r="R11" s="173">
        <v>14.2</v>
      </c>
      <c r="S11" s="173">
        <v>86</v>
      </c>
      <c r="T11" s="16">
        <f t="shared" si="0"/>
        <v>36</v>
      </c>
      <c r="U11" s="169">
        <v>398</v>
      </c>
      <c r="V11" s="38">
        <f t="shared" si="1"/>
        <v>3582</v>
      </c>
      <c r="W11" s="170">
        <v>2</v>
      </c>
      <c r="X11" s="171" t="s">
        <v>39</v>
      </c>
      <c r="Y11" s="177" t="s">
        <v>84</v>
      </c>
      <c r="Z11" s="171" t="s">
        <v>69</v>
      </c>
      <c r="AA11" s="177" t="s">
        <v>90</v>
      </c>
      <c r="AB11" s="53" t="s">
        <v>158</v>
      </c>
      <c r="AE11" s="22" t="s">
        <v>65</v>
      </c>
      <c r="AG11" s="23" t="s">
        <v>273</v>
      </c>
      <c r="AH11" s="23" t="s">
        <v>388</v>
      </c>
      <c r="AL11" s="34"/>
      <c r="AP11" s="23" t="s">
        <v>104</v>
      </c>
      <c r="AR11" s="23" t="s">
        <v>87</v>
      </c>
      <c r="AV11" s="23" t="s">
        <v>69</v>
      </c>
    </row>
    <row r="12" spans="1:53" x14ac:dyDescent="0.15">
      <c r="A12" s="163" t="s">
        <v>34</v>
      </c>
      <c r="B12" s="163" t="s">
        <v>157</v>
      </c>
      <c r="C12" s="163">
        <v>2019</v>
      </c>
      <c r="D12" s="165" t="s">
        <v>380</v>
      </c>
      <c r="E12" s="164" t="s">
        <v>378</v>
      </c>
      <c r="F12" s="163" t="s">
        <v>383</v>
      </c>
      <c r="G12" s="166" t="s">
        <v>36</v>
      </c>
      <c r="H12" s="127" t="s">
        <v>164</v>
      </c>
      <c r="I12" s="127" t="s">
        <v>159</v>
      </c>
      <c r="J12" s="127" t="s">
        <v>38</v>
      </c>
      <c r="K12" s="127" t="s">
        <v>161</v>
      </c>
      <c r="L12" s="53">
        <v>2</v>
      </c>
      <c r="N12" s="53">
        <v>4</v>
      </c>
      <c r="O12" s="53">
        <v>0.5</v>
      </c>
      <c r="P12" s="53">
        <v>0.45</v>
      </c>
      <c r="Q12" s="74">
        <f t="shared" si="2"/>
        <v>0.47499999999999998</v>
      </c>
      <c r="R12" s="173">
        <v>14.6</v>
      </c>
      <c r="S12" s="173">
        <v>90</v>
      </c>
      <c r="T12" s="16">
        <f t="shared" si="0"/>
        <v>36</v>
      </c>
      <c r="U12" s="169">
        <v>398</v>
      </c>
      <c r="V12" s="38">
        <f t="shared" si="1"/>
        <v>3582</v>
      </c>
      <c r="W12" s="170">
        <v>2</v>
      </c>
      <c r="X12" s="171" t="s">
        <v>39</v>
      </c>
      <c r="Y12" s="177" t="s">
        <v>84</v>
      </c>
      <c r="Z12" s="171" t="s">
        <v>69</v>
      </c>
      <c r="AA12" s="177" t="s">
        <v>90</v>
      </c>
      <c r="AB12" s="53" t="s">
        <v>158</v>
      </c>
      <c r="AE12" s="22" t="s">
        <v>70</v>
      </c>
      <c r="AG12" s="23"/>
      <c r="AH12" s="23"/>
      <c r="AL12" s="34"/>
      <c r="AP12" s="23" t="s">
        <v>67</v>
      </c>
      <c r="AR12" s="23" t="s">
        <v>124</v>
      </c>
      <c r="AV12" s="23" t="s">
        <v>72</v>
      </c>
    </row>
    <row r="13" spans="1:53" x14ac:dyDescent="0.15">
      <c r="A13" s="163" t="s">
        <v>34</v>
      </c>
      <c r="B13" s="163" t="s">
        <v>157</v>
      </c>
      <c r="C13" s="164">
        <v>2019</v>
      </c>
      <c r="D13" s="165" t="s">
        <v>380</v>
      </c>
      <c r="E13" s="164" t="s">
        <v>378</v>
      </c>
      <c r="F13" s="163" t="s">
        <v>383</v>
      </c>
      <c r="G13" s="166" t="s">
        <v>36</v>
      </c>
      <c r="H13" s="127" t="s">
        <v>164</v>
      </c>
      <c r="I13" s="127" t="s">
        <v>159</v>
      </c>
      <c r="J13" s="127" t="s">
        <v>38</v>
      </c>
      <c r="K13" s="127" t="s">
        <v>161</v>
      </c>
      <c r="L13" s="53">
        <v>3</v>
      </c>
      <c r="N13" s="53">
        <v>4</v>
      </c>
      <c r="O13" s="53">
        <v>0.5</v>
      </c>
      <c r="P13" s="53">
        <v>0.5</v>
      </c>
      <c r="Q13" s="74">
        <f t="shared" si="2"/>
        <v>0.5</v>
      </c>
      <c r="R13" s="173">
        <v>14.4</v>
      </c>
      <c r="S13" s="173">
        <v>86</v>
      </c>
      <c r="T13" s="16">
        <f t="shared" si="0"/>
        <v>36</v>
      </c>
      <c r="U13" s="169">
        <v>398</v>
      </c>
      <c r="V13" s="38">
        <f t="shared" si="1"/>
        <v>3582</v>
      </c>
      <c r="W13" s="170">
        <v>2</v>
      </c>
      <c r="X13" s="171" t="s">
        <v>39</v>
      </c>
      <c r="Y13" s="177" t="s">
        <v>84</v>
      </c>
      <c r="Z13" s="171" t="s">
        <v>69</v>
      </c>
      <c r="AA13" s="177" t="s">
        <v>90</v>
      </c>
      <c r="AB13" s="53" t="s">
        <v>158</v>
      </c>
      <c r="AE13" s="22" t="s">
        <v>73</v>
      </c>
      <c r="AG13" s="28"/>
      <c r="AH13" s="28"/>
      <c r="AP13" s="23" t="s">
        <v>71</v>
      </c>
      <c r="AR13" s="23" t="s">
        <v>103</v>
      </c>
      <c r="AV13" s="23" t="s">
        <v>75</v>
      </c>
    </row>
    <row r="14" spans="1:53" x14ac:dyDescent="0.15">
      <c r="A14" s="163" t="s">
        <v>34</v>
      </c>
      <c r="B14" s="163" t="s">
        <v>157</v>
      </c>
      <c r="C14" s="163">
        <v>2019</v>
      </c>
      <c r="D14" s="165" t="s">
        <v>380</v>
      </c>
      <c r="E14" s="164" t="s">
        <v>211</v>
      </c>
      <c r="F14" s="163" t="s">
        <v>384</v>
      </c>
      <c r="G14" s="166" t="s">
        <v>36</v>
      </c>
      <c r="H14" s="127" t="s">
        <v>164</v>
      </c>
      <c r="I14" s="127" t="s">
        <v>159</v>
      </c>
      <c r="J14" s="127" t="s">
        <v>38</v>
      </c>
      <c r="K14" s="127" t="s">
        <v>161</v>
      </c>
      <c r="L14" s="53">
        <v>1</v>
      </c>
      <c r="N14" s="53">
        <v>4</v>
      </c>
      <c r="O14" s="53">
        <v>0.7</v>
      </c>
      <c r="P14" s="53">
        <v>0.65</v>
      </c>
      <c r="Q14" s="74">
        <f t="shared" si="2"/>
        <v>0.67500000000000004</v>
      </c>
      <c r="R14" s="173">
        <v>14</v>
      </c>
      <c r="S14" s="173">
        <v>91</v>
      </c>
      <c r="T14" s="16">
        <f t="shared" si="0"/>
        <v>36</v>
      </c>
      <c r="U14" s="169">
        <v>377</v>
      </c>
      <c r="V14" s="38">
        <f t="shared" si="1"/>
        <v>3393</v>
      </c>
      <c r="W14" s="170">
        <v>2</v>
      </c>
      <c r="X14" s="171" t="s">
        <v>39</v>
      </c>
      <c r="Y14" s="177" t="s">
        <v>84</v>
      </c>
      <c r="Z14" s="177" t="s">
        <v>90</v>
      </c>
      <c r="AA14" s="177" t="s">
        <v>50</v>
      </c>
      <c r="AB14" s="53" t="s">
        <v>158</v>
      </c>
      <c r="AC14" s="34"/>
      <c r="AE14" s="22" t="s">
        <v>76</v>
      </c>
      <c r="AP14" s="23" t="s">
        <v>74</v>
      </c>
      <c r="AR14" s="23" t="s">
        <v>125</v>
      </c>
      <c r="AV14" s="23" t="s">
        <v>78</v>
      </c>
    </row>
    <row r="15" spans="1:53" x14ac:dyDescent="0.15">
      <c r="A15" s="163" t="s">
        <v>34</v>
      </c>
      <c r="B15" s="163" t="s">
        <v>157</v>
      </c>
      <c r="C15" s="164">
        <v>2019</v>
      </c>
      <c r="D15" s="165" t="s">
        <v>380</v>
      </c>
      <c r="E15" s="164" t="s">
        <v>211</v>
      </c>
      <c r="F15" s="163" t="s">
        <v>384</v>
      </c>
      <c r="G15" s="166" t="s">
        <v>36</v>
      </c>
      <c r="H15" s="127" t="s">
        <v>164</v>
      </c>
      <c r="I15" s="127" t="s">
        <v>159</v>
      </c>
      <c r="J15" s="127" t="s">
        <v>38</v>
      </c>
      <c r="K15" s="127" t="s">
        <v>161</v>
      </c>
      <c r="L15" s="53">
        <v>2</v>
      </c>
      <c r="N15" s="53">
        <v>4</v>
      </c>
      <c r="O15" s="53">
        <v>0.45</v>
      </c>
      <c r="P15" s="53">
        <v>0.5</v>
      </c>
      <c r="Q15" s="74">
        <f t="shared" si="2"/>
        <v>0.47499999999999998</v>
      </c>
      <c r="R15" s="173">
        <v>16</v>
      </c>
      <c r="S15" s="173">
        <v>84</v>
      </c>
      <c r="T15" s="16">
        <f t="shared" si="0"/>
        <v>36</v>
      </c>
      <c r="U15" s="169">
        <v>377</v>
      </c>
      <c r="V15" s="38">
        <f t="shared" si="1"/>
        <v>3393</v>
      </c>
      <c r="W15" s="170">
        <v>2</v>
      </c>
      <c r="X15" s="171" t="s">
        <v>39</v>
      </c>
      <c r="Y15" s="177" t="s">
        <v>84</v>
      </c>
      <c r="Z15" s="177" t="s">
        <v>90</v>
      </c>
      <c r="AA15" s="177" t="s">
        <v>50</v>
      </c>
      <c r="AB15" s="53" t="s">
        <v>158</v>
      </c>
      <c r="AC15" s="34"/>
      <c r="AE15" s="22" t="s">
        <v>79</v>
      </c>
      <c r="AP15" s="23" t="s">
        <v>77</v>
      </c>
      <c r="AR15" s="23" t="s">
        <v>94</v>
      </c>
      <c r="AV15" s="23" t="s">
        <v>107</v>
      </c>
    </row>
    <row r="16" spans="1:53" x14ac:dyDescent="0.15">
      <c r="A16" s="163" t="s">
        <v>34</v>
      </c>
      <c r="B16" s="163" t="s">
        <v>157</v>
      </c>
      <c r="C16" s="163">
        <v>2019</v>
      </c>
      <c r="D16" s="165" t="s">
        <v>380</v>
      </c>
      <c r="E16" s="164" t="s">
        <v>211</v>
      </c>
      <c r="F16" s="163" t="s">
        <v>384</v>
      </c>
      <c r="G16" s="166" t="s">
        <v>42</v>
      </c>
      <c r="H16" s="127" t="s">
        <v>164</v>
      </c>
      <c r="I16" s="127" t="s">
        <v>159</v>
      </c>
      <c r="J16" s="127" t="s">
        <v>38</v>
      </c>
      <c r="K16" s="127" t="s">
        <v>161</v>
      </c>
      <c r="L16" s="53">
        <v>3</v>
      </c>
      <c r="N16" s="53">
        <v>4</v>
      </c>
      <c r="O16" s="53">
        <v>0.6</v>
      </c>
      <c r="P16" s="53">
        <v>0.55000000000000004</v>
      </c>
      <c r="Q16" s="74">
        <f t="shared" si="2"/>
        <v>0.57499999999999996</v>
      </c>
      <c r="R16" s="173">
        <v>14.4</v>
      </c>
      <c r="S16" s="173">
        <v>84</v>
      </c>
      <c r="T16" s="16">
        <f t="shared" si="0"/>
        <v>36</v>
      </c>
      <c r="U16" s="169">
        <v>377</v>
      </c>
      <c r="V16" s="38">
        <f t="shared" si="1"/>
        <v>3393</v>
      </c>
      <c r="W16" s="170">
        <v>2</v>
      </c>
      <c r="X16" s="171" t="s">
        <v>39</v>
      </c>
      <c r="Y16" s="177" t="s">
        <v>84</v>
      </c>
      <c r="Z16" s="177" t="s">
        <v>90</v>
      </c>
      <c r="AA16" s="177" t="s">
        <v>50</v>
      </c>
      <c r="AB16" s="53" t="s">
        <v>158</v>
      </c>
      <c r="AC16" s="34"/>
      <c r="AE16" s="22" t="s">
        <v>82</v>
      </c>
      <c r="AP16" s="23" t="s">
        <v>80</v>
      </c>
      <c r="AR16" s="23" t="s">
        <v>63</v>
      </c>
      <c r="AV16" s="23" t="s">
        <v>84</v>
      </c>
    </row>
    <row r="17" spans="1:48" x14ac:dyDescent="0.15">
      <c r="A17" s="163" t="s">
        <v>34</v>
      </c>
      <c r="B17" s="163" t="s">
        <v>236</v>
      </c>
      <c r="C17" s="164">
        <v>2019</v>
      </c>
      <c r="D17" s="165" t="s">
        <v>380</v>
      </c>
      <c r="E17" s="164" t="s">
        <v>273</v>
      </c>
      <c r="F17" s="163" t="s">
        <v>384</v>
      </c>
      <c r="G17" s="166" t="s">
        <v>42</v>
      </c>
      <c r="H17" s="127" t="s">
        <v>164</v>
      </c>
      <c r="I17" s="127" t="s">
        <v>159</v>
      </c>
      <c r="J17" s="127" t="s">
        <v>38</v>
      </c>
      <c r="K17" s="127" t="s">
        <v>161</v>
      </c>
      <c r="L17" s="53">
        <v>1</v>
      </c>
      <c r="N17" s="53">
        <v>7</v>
      </c>
      <c r="O17" s="53">
        <v>0.8</v>
      </c>
      <c r="P17" s="53">
        <v>0.7</v>
      </c>
      <c r="Q17" s="74">
        <f t="shared" si="2"/>
        <v>0.75</v>
      </c>
      <c r="R17" s="173">
        <v>14.7</v>
      </c>
      <c r="S17" s="173">
        <v>87</v>
      </c>
      <c r="T17" s="16">
        <f t="shared" si="0"/>
        <v>36</v>
      </c>
      <c r="U17" s="169">
        <v>398</v>
      </c>
      <c r="V17" s="38">
        <f t="shared" si="1"/>
        <v>2046.8571428571427</v>
      </c>
      <c r="W17" s="170">
        <v>2</v>
      </c>
      <c r="X17" s="171" t="s">
        <v>39</v>
      </c>
      <c r="Y17" s="177" t="s">
        <v>90</v>
      </c>
      <c r="Z17" s="177" t="s">
        <v>50</v>
      </c>
      <c r="AA17" s="177" t="s">
        <v>84</v>
      </c>
      <c r="AB17" s="53" t="s">
        <v>158</v>
      </c>
      <c r="AC17" s="34"/>
      <c r="AE17" s="22" t="s">
        <v>85</v>
      </c>
      <c r="AP17" s="27" t="s">
        <v>110</v>
      </c>
      <c r="AR17" s="23" t="s">
        <v>96</v>
      </c>
      <c r="AV17" s="23" t="s">
        <v>86</v>
      </c>
    </row>
    <row r="18" spans="1:48" x14ac:dyDescent="0.15">
      <c r="A18" s="163" t="s">
        <v>34</v>
      </c>
      <c r="B18" s="163" t="s">
        <v>157</v>
      </c>
      <c r="C18" s="163">
        <v>2019</v>
      </c>
      <c r="D18" s="165" t="s">
        <v>380</v>
      </c>
      <c r="E18" s="164" t="s">
        <v>273</v>
      </c>
      <c r="F18" s="163" t="s">
        <v>384</v>
      </c>
      <c r="G18" s="166" t="s">
        <v>42</v>
      </c>
      <c r="H18" s="127" t="s">
        <v>164</v>
      </c>
      <c r="I18" s="127" t="s">
        <v>159</v>
      </c>
      <c r="J18" s="127" t="s">
        <v>38</v>
      </c>
      <c r="K18" s="127" t="s">
        <v>161</v>
      </c>
      <c r="L18" s="53">
        <v>2</v>
      </c>
      <c r="N18" s="53">
        <v>7</v>
      </c>
      <c r="O18" s="53">
        <v>0.6</v>
      </c>
      <c r="P18" s="53">
        <v>0.7</v>
      </c>
      <c r="Q18" s="74">
        <f t="shared" si="2"/>
        <v>0.64999999999999991</v>
      </c>
      <c r="R18" s="173">
        <v>14.2</v>
      </c>
      <c r="S18" s="173">
        <v>84</v>
      </c>
      <c r="T18" s="16">
        <f t="shared" si="0"/>
        <v>36</v>
      </c>
      <c r="U18" s="169">
        <v>398</v>
      </c>
      <c r="V18" s="38">
        <f t="shared" si="1"/>
        <v>2046.8571428571427</v>
      </c>
      <c r="W18" s="170">
        <v>2</v>
      </c>
      <c r="X18" s="171" t="s">
        <v>46</v>
      </c>
      <c r="Y18" s="177" t="s">
        <v>90</v>
      </c>
      <c r="Z18" s="177" t="s">
        <v>50</v>
      </c>
      <c r="AA18" s="177" t="s">
        <v>84</v>
      </c>
      <c r="AB18" s="53" t="s">
        <v>158</v>
      </c>
      <c r="AC18" s="34"/>
      <c r="AE18" s="22" t="s">
        <v>87</v>
      </c>
      <c r="AP18" s="27" t="s">
        <v>111</v>
      </c>
      <c r="AR18" s="23" t="s">
        <v>101</v>
      </c>
      <c r="AV18" s="23" t="s">
        <v>88</v>
      </c>
    </row>
    <row r="19" spans="1:48" x14ac:dyDescent="0.15">
      <c r="A19" s="163" t="s">
        <v>34</v>
      </c>
      <c r="B19" s="163" t="s">
        <v>157</v>
      </c>
      <c r="C19" s="164">
        <v>2019</v>
      </c>
      <c r="D19" s="165" t="s">
        <v>380</v>
      </c>
      <c r="E19" s="164" t="s">
        <v>273</v>
      </c>
      <c r="F19" s="163" t="s">
        <v>384</v>
      </c>
      <c r="G19" s="166" t="s">
        <v>42</v>
      </c>
      <c r="H19" s="127" t="s">
        <v>164</v>
      </c>
      <c r="I19" s="127" t="s">
        <v>159</v>
      </c>
      <c r="J19" s="127" t="s">
        <v>38</v>
      </c>
      <c r="K19" s="127" t="s">
        <v>161</v>
      </c>
      <c r="L19" s="53">
        <v>3</v>
      </c>
      <c r="N19" s="53">
        <v>7</v>
      </c>
      <c r="O19" s="53">
        <v>0.55000000000000004</v>
      </c>
      <c r="P19" s="53">
        <v>0.6</v>
      </c>
      <c r="Q19" s="74">
        <f t="shared" si="2"/>
        <v>0.57499999999999996</v>
      </c>
      <c r="R19" s="173">
        <v>13.8</v>
      </c>
      <c r="S19" s="173">
        <v>89</v>
      </c>
      <c r="T19" s="16">
        <f t="shared" si="0"/>
        <v>36</v>
      </c>
      <c r="U19" s="169">
        <v>398</v>
      </c>
      <c r="V19" s="38">
        <f t="shared" si="1"/>
        <v>2046.8571428571427</v>
      </c>
      <c r="W19" s="170">
        <v>2</v>
      </c>
      <c r="X19" s="171" t="s">
        <v>46</v>
      </c>
      <c r="Y19" s="177" t="s">
        <v>90</v>
      </c>
      <c r="Z19" s="177" t="s">
        <v>50</v>
      </c>
      <c r="AA19" s="177" t="s">
        <v>84</v>
      </c>
      <c r="AB19" s="53" t="s">
        <v>158</v>
      </c>
      <c r="AC19" s="34"/>
      <c r="AE19" s="35" t="s">
        <v>89</v>
      </c>
      <c r="AP19" s="27" t="s">
        <v>112</v>
      </c>
      <c r="AR19" s="23" t="s">
        <v>126</v>
      </c>
      <c r="AV19" s="23" t="s">
        <v>90</v>
      </c>
    </row>
    <row r="20" spans="1:48" x14ac:dyDescent="0.15">
      <c r="A20" s="163" t="s">
        <v>34</v>
      </c>
      <c r="B20" s="163" t="s">
        <v>157</v>
      </c>
      <c r="C20" s="164">
        <v>2019</v>
      </c>
      <c r="D20" s="165" t="s">
        <v>380</v>
      </c>
      <c r="E20" s="164" t="s">
        <v>139</v>
      </c>
      <c r="F20" s="163" t="s">
        <v>386</v>
      </c>
      <c r="G20" s="166" t="s">
        <v>36</v>
      </c>
      <c r="H20" s="127" t="s">
        <v>164</v>
      </c>
      <c r="I20" s="127" t="s">
        <v>159</v>
      </c>
      <c r="J20" s="127" t="s">
        <v>38</v>
      </c>
      <c r="K20" s="127" t="s">
        <v>161</v>
      </c>
      <c r="L20" s="53">
        <v>1</v>
      </c>
      <c r="N20" s="53">
        <v>1</v>
      </c>
      <c r="O20" s="53">
        <v>0.8</v>
      </c>
      <c r="P20" s="53">
        <v>0.75</v>
      </c>
      <c r="Q20" s="74">
        <f t="shared" si="2"/>
        <v>0.77500000000000002</v>
      </c>
      <c r="R20" s="173">
        <v>14.5</v>
      </c>
      <c r="S20" s="173">
        <v>109</v>
      </c>
      <c r="T20" s="16">
        <f t="shared" si="0"/>
        <v>33</v>
      </c>
      <c r="U20" s="169">
        <v>108</v>
      </c>
      <c r="V20" s="38">
        <f t="shared" si="1"/>
        <v>3564</v>
      </c>
      <c r="W20" s="170">
        <v>6</v>
      </c>
      <c r="X20" s="171" t="s">
        <v>46</v>
      </c>
      <c r="Y20" s="177" t="s">
        <v>84</v>
      </c>
      <c r="Z20" s="177" t="s">
        <v>90</v>
      </c>
      <c r="AA20" s="177" t="s">
        <v>50</v>
      </c>
      <c r="AB20" s="53" t="s">
        <v>158</v>
      </c>
      <c r="AE20" s="28"/>
      <c r="AP20" s="27" t="s">
        <v>114</v>
      </c>
      <c r="AR20" s="23" t="s">
        <v>68</v>
      </c>
      <c r="AV20" s="27" t="s">
        <v>136</v>
      </c>
    </row>
    <row r="21" spans="1:48" x14ac:dyDescent="0.15">
      <c r="A21" s="163" t="s">
        <v>34</v>
      </c>
      <c r="B21" s="163" t="s">
        <v>157</v>
      </c>
      <c r="C21" s="163">
        <v>2019</v>
      </c>
      <c r="D21" s="165" t="s">
        <v>380</v>
      </c>
      <c r="E21" s="164" t="s">
        <v>139</v>
      </c>
      <c r="F21" s="163" t="s">
        <v>386</v>
      </c>
      <c r="G21" s="166" t="s">
        <v>36</v>
      </c>
      <c r="H21" s="127" t="s">
        <v>164</v>
      </c>
      <c r="I21" s="127" t="s">
        <v>159</v>
      </c>
      <c r="J21" s="127" t="s">
        <v>38</v>
      </c>
      <c r="K21" s="127" t="s">
        <v>161</v>
      </c>
      <c r="L21" s="53">
        <v>2</v>
      </c>
      <c r="N21" s="53">
        <v>1</v>
      </c>
      <c r="O21" s="53">
        <v>0.9</v>
      </c>
      <c r="P21" s="34">
        <v>0.85</v>
      </c>
      <c r="Q21" s="74">
        <f t="shared" si="2"/>
        <v>0.875</v>
      </c>
      <c r="R21" s="173">
        <v>14.1</v>
      </c>
      <c r="S21" s="173">
        <v>106</v>
      </c>
      <c r="T21" s="16">
        <f t="shared" si="0"/>
        <v>33</v>
      </c>
      <c r="U21" s="169">
        <v>108</v>
      </c>
      <c r="V21" s="38">
        <f t="shared" si="1"/>
        <v>3564</v>
      </c>
      <c r="W21" s="170">
        <v>6</v>
      </c>
      <c r="X21" s="171" t="s">
        <v>46</v>
      </c>
      <c r="Y21" s="177" t="s">
        <v>84</v>
      </c>
      <c r="Z21" s="177" t="s">
        <v>90</v>
      </c>
      <c r="AA21" s="177" t="s">
        <v>50</v>
      </c>
      <c r="AB21" s="53" t="s">
        <v>158</v>
      </c>
      <c r="AP21" s="27" t="s">
        <v>115</v>
      </c>
      <c r="AR21" s="23" t="s">
        <v>83</v>
      </c>
      <c r="AV21" s="23"/>
    </row>
    <row r="22" spans="1:48" x14ac:dyDescent="0.15">
      <c r="A22" s="163" t="s">
        <v>34</v>
      </c>
      <c r="B22" s="163" t="s">
        <v>157</v>
      </c>
      <c r="C22" s="164">
        <v>2019</v>
      </c>
      <c r="D22" s="165" t="s">
        <v>380</v>
      </c>
      <c r="E22" s="164" t="s">
        <v>139</v>
      </c>
      <c r="F22" s="163" t="s">
        <v>386</v>
      </c>
      <c r="G22" s="166" t="s">
        <v>36</v>
      </c>
      <c r="H22" s="127" t="s">
        <v>164</v>
      </c>
      <c r="I22" s="127" t="s">
        <v>159</v>
      </c>
      <c r="J22" s="127" t="s">
        <v>38</v>
      </c>
      <c r="K22" s="127" t="s">
        <v>161</v>
      </c>
      <c r="L22" s="53">
        <v>3</v>
      </c>
      <c r="N22" s="53">
        <v>1</v>
      </c>
      <c r="O22" s="53">
        <v>0.85</v>
      </c>
      <c r="P22" s="34">
        <v>0.9</v>
      </c>
      <c r="Q22" s="74">
        <f t="shared" si="2"/>
        <v>0.875</v>
      </c>
      <c r="R22" s="173">
        <v>13.3</v>
      </c>
      <c r="S22" s="173">
        <v>111</v>
      </c>
      <c r="T22" s="16">
        <f t="shared" si="0"/>
        <v>33</v>
      </c>
      <c r="U22" s="169">
        <v>108</v>
      </c>
      <c r="V22" s="38">
        <f t="shared" si="1"/>
        <v>3564</v>
      </c>
      <c r="W22" s="170">
        <v>6</v>
      </c>
      <c r="X22" s="171" t="s">
        <v>46</v>
      </c>
      <c r="Y22" s="177" t="s">
        <v>84</v>
      </c>
      <c r="Z22" s="177" t="s">
        <v>90</v>
      </c>
      <c r="AA22" s="177" t="s">
        <v>50</v>
      </c>
      <c r="AB22" s="53" t="s">
        <v>158</v>
      </c>
      <c r="AP22" s="27" t="s">
        <v>137</v>
      </c>
      <c r="AR22" s="23" t="s">
        <v>61</v>
      </c>
      <c r="AV22" s="23"/>
    </row>
    <row r="23" spans="1:48" x14ac:dyDescent="0.15">
      <c r="A23" s="163" t="s">
        <v>34</v>
      </c>
      <c r="B23" s="163" t="s">
        <v>157</v>
      </c>
      <c r="C23" s="163">
        <v>2019</v>
      </c>
      <c r="D23" s="165" t="s">
        <v>380</v>
      </c>
      <c r="E23" s="164" t="s">
        <v>133</v>
      </c>
      <c r="F23" s="163" t="s">
        <v>387</v>
      </c>
      <c r="G23" s="166" t="s">
        <v>36</v>
      </c>
      <c r="H23" s="127" t="s">
        <v>164</v>
      </c>
      <c r="I23" s="127" t="s">
        <v>159</v>
      </c>
      <c r="J23" s="127" t="s">
        <v>38</v>
      </c>
      <c r="K23" s="127" t="s">
        <v>161</v>
      </c>
      <c r="L23" s="53">
        <v>1</v>
      </c>
      <c r="N23" s="53">
        <v>1</v>
      </c>
      <c r="O23" s="53">
        <v>0.7</v>
      </c>
      <c r="P23" s="34">
        <v>0.75</v>
      </c>
      <c r="Q23" s="74">
        <f t="shared" si="2"/>
        <v>0.72499999999999998</v>
      </c>
      <c r="R23" s="173">
        <v>14.3</v>
      </c>
      <c r="S23" s="173">
        <v>121</v>
      </c>
      <c r="T23" s="16">
        <f t="shared" si="0"/>
        <v>30</v>
      </c>
      <c r="U23" s="169">
        <v>98</v>
      </c>
      <c r="V23" s="38">
        <f t="shared" si="1"/>
        <v>2940</v>
      </c>
      <c r="W23" s="170">
        <v>6</v>
      </c>
      <c r="X23" s="171" t="s">
        <v>46</v>
      </c>
      <c r="Y23" s="177" t="s">
        <v>84</v>
      </c>
      <c r="Z23" s="177" t="s">
        <v>90</v>
      </c>
      <c r="AA23" s="177" t="s">
        <v>50</v>
      </c>
      <c r="AB23" s="53" t="s">
        <v>158</v>
      </c>
      <c r="AP23" s="27" t="s">
        <v>138</v>
      </c>
      <c r="AR23" s="23" t="s">
        <v>91</v>
      </c>
      <c r="AV23" s="23"/>
    </row>
    <row r="24" spans="1:48" x14ac:dyDescent="0.15">
      <c r="A24" s="163" t="s">
        <v>34</v>
      </c>
      <c r="B24" s="163" t="s">
        <v>157</v>
      </c>
      <c r="C24" s="164">
        <v>2019</v>
      </c>
      <c r="D24" s="165" t="s">
        <v>380</v>
      </c>
      <c r="E24" s="164" t="s">
        <v>133</v>
      </c>
      <c r="F24" s="163" t="s">
        <v>387</v>
      </c>
      <c r="G24" s="166" t="s">
        <v>36</v>
      </c>
      <c r="H24" s="127" t="s">
        <v>164</v>
      </c>
      <c r="I24" s="127" t="s">
        <v>159</v>
      </c>
      <c r="J24" s="127" t="s">
        <v>38</v>
      </c>
      <c r="K24" s="127" t="s">
        <v>161</v>
      </c>
      <c r="L24" s="53">
        <v>2</v>
      </c>
      <c r="N24" s="53">
        <v>1</v>
      </c>
      <c r="O24" s="53">
        <v>0.65</v>
      </c>
      <c r="P24" s="34">
        <v>0.6</v>
      </c>
      <c r="Q24" s="74">
        <f t="shared" si="2"/>
        <v>0.625</v>
      </c>
      <c r="R24" s="173">
        <v>15.1</v>
      </c>
      <c r="S24" s="173">
        <v>122</v>
      </c>
      <c r="T24" s="16">
        <f t="shared" si="0"/>
        <v>30</v>
      </c>
      <c r="U24" s="169">
        <v>98</v>
      </c>
      <c r="V24" s="38">
        <f t="shared" si="1"/>
        <v>2940</v>
      </c>
      <c r="W24" s="170">
        <v>6</v>
      </c>
      <c r="X24" s="171" t="s">
        <v>46</v>
      </c>
      <c r="Y24" s="177" t="s">
        <v>84</v>
      </c>
      <c r="Z24" s="177" t="s">
        <v>90</v>
      </c>
      <c r="AA24" s="177" t="s">
        <v>50</v>
      </c>
      <c r="AB24" s="53" t="s">
        <v>158</v>
      </c>
      <c r="AP24" s="27" t="s">
        <v>116</v>
      </c>
      <c r="AR24" s="27" t="s">
        <v>92</v>
      </c>
      <c r="AV24" s="23"/>
    </row>
    <row r="25" spans="1:48" x14ac:dyDescent="0.15">
      <c r="A25" s="163" t="s">
        <v>34</v>
      </c>
      <c r="B25" s="163" t="s">
        <v>157</v>
      </c>
      <c r="C25" s="163">
        <v>2019</v>
      </c>
      <c r="D25" s="165" t="s">
        <v>380</v>
      </c>
      <c r="E25" s="164" t="s">
        <v>133</v>
      </c>
      <c r="F25" s="163" t="s">
        <v>387</v>
      </c>
      <c r="G25" s="166" t="s">
        <v>36</v>
      </c>
      <c r="H25" s="127" t="s">
        <v>164</v>
      </c>
      <c r="I25" s="127" t="s">
        <v>159</v>
      </c>
      <c r="J25" s="127" t="s">
        <v>38</v>
      </c>
      <c r="K25" s="127" t="s">
        <v>161</v>
      </c>
      <c r="L25" s="53">
        <v>3</v>
      </c>
      <c r="N25" s="53">
        <v>1</v>
      </c>
      <c r="O25" s="53">
        <v>0.7</v>
      </c>
      <c r="P25" s="53">
        <v>0.65</v>
      </c>
      <c r="Q25" s="74">
        <f t="shared" si="2"/>
        <v>0.67500000000000004</v>
      </c>
      <c r="R25" s="173">
        <v>15.4</v>
      </c>
      <c r="S25" s="173">
        <v>129</v>
      </c>
      <c r="T25" s="16">
        <f t="shared" si="0"/>
        <v>30</v>
      </c>
      <c r="U25" s="169">
        <v>98</v>
      </c>
      <c r="V25" s="38">
        <f t="shared" si="1"/>
        <v>2940</v>
      </c>
      <c r="W25" s="170">
        <v>6</v>
      </c>
      <c r="X25" s="171" t="s">
        <v>46</v>
      </c>
      <c r="Y25" s="177" t="s">
        <v>84</v>
      </c>
      <c r="Z25" s="177" t="s">
        <v>90</v>
      </c>
      <c r="AA25" s="177" t="s">
        <v>50</v>
      </c>
      <c r="AB25" s="53" t="s">
        <v>158</v>
      </c>
      <c r="AP25" s="27" t="s">
        <v>117</v>
      </c>
      <c r="AR25" s="23" t="s">
        <v>153</v>
      </c>
      <c r="AV25" s="27"/>
    </row>
    <row r="26" spans="1:48" x14ac:dyDescent="0.15">
      <c r="A26" s="163" t="s">
        <v>34</v>
      </c>
      <c r="B26" s="163" t="s">
        <v>157</v>
      </c>
      <c r="C26" s="164">
        <v>2019</v>
      </c>
      <c r="D26" s="165" t="s">
        <v>380</v>
      </c>
      <c r="E26" s="164" t="s">
        <v>273</v>
      </c>
      <c r="F26" s="163" t="s">
        <v>388</v>
      </c>
      <c r="G26" s="166" t="s">
        <v>36</v>
      </c>
      <c r="H26" s="127" t="s">
        <v>164</v>
      </c>
      <c r="I26" s="127" t="s">
        <v>159</v>
      </c>
      <c r="J26" s="127" t="s">
        <v>38</v>
      </c>
      <c r="K26" s="127" t="s">
        <v>161</v>
      </c>
      <c r="L26" s="53">
        <v>1</v>
      </c>
      <c r="N26" s="53">
        <v>7</v>
      </c>
      <c r="O26" s="34">
        <v>0.55000000000000004</v>
      </c>
      <c r="P26" s="53">
        <v>0.55000000000000004</v>
      </c>
      <c r="Q26" s="74">
        <f t="shared" si="2"/>
        <v>0.55000000000000004</v>
      </c>
      <c r="R26" s="173">
        <v>15.1</v>
      </c>
      <c r="S26" s="173">
        <v>91</v>
      </c>
      <c r="T26" s="16">
        <f t="shared" si="0"/>
        <v>36</v>
      </c>
      <c r="U26" s="169">
        <v>398</v>
      </c>
      <c r="V26" s="38">
        <f t="shared" si="1"/>
        <v>2046.8571428571427</v>
      </c>
      <c r="W26" s="170">
        <v>2</v>
      </c>
      <c r="X26" s="171" t="s">
        <v>39</v>
      </c>
      <c r="Y26" s="177" t="s">
        <v>90</v>
      </c>
      <c r="Z26" s="177" t="s">
        <v>84</v>
      </c>
      <c r="AA26" s="177" t="s">
        <v>50</v>
      </c>
      <c r="AB26" s="53" t="s">
        <v>158</v>
      </c>
      <c r="AP26" s="27" t="s">
        <v>118</v>
      </c>
      <c r="AR26" s="23"/>
    </row>
    <row r="27" spans="1:48" x14ac:dyDescent="0.15">
      <c r="A27" s="163" t="s">
        <v>34</v>
      </c>
      <c r="B27" s="163" t="s">
        <v>157</v>
      </c>
      <c r="C27" s="163">
        <v>2019</v>
      </c>
      <c r="D27" s="165" t="s">
        <v>380</v>
      </c>
      <c r="E27" s="164" t="s">
        <v>273</v>
      </c>
      <c r="F27" s="163" t="s">
        <v>388</v>
      </c>
      <c r="G27" s="166" t="s">
        <v>36</v>
      </c>
      <c r="H27" s="127" t="s">
        <v>164</v>
      </c>
      <c r="I27" s="127" t="s">
        <v>159</v>
      </c>
      <c r="J27" s="127" t="s">
        <v>38</v>
      </c>
      <c r="K27" s="127" t="s">
        <v>161</v>
      </c>
      <c r="L27" s="53">
        <v>2</v>
      </c>
      <c r="N27" s="53">
        <v>7</v>
      </c>
      <c r="O27" s="34">
        <v>0.6</v>
      </c>
      <c r="P27" s="53">
        <v>0.6</v>
      </c>
      <c r="Q27" s="74">
        <f t="shared" si="2"/>
        <v>0.6</v>
      </c>
      <c r="R27" s="173">
        <v>15.5</v>
      </c>
      <c r="S27" s="173">
        <v>86</v>
      </c>
      <c r="T27" s="16">
        <f t="shared" si="0"/>
        <v>36</v>
      </c>
      <c r="U27" s="169">
        <v>398</v>
      </c>
      <c r="V27" s="38">
        <f t="shared" si="1"/>
        <v>2046.8571428571427</v>
      </c>
      <c r="W27" s="170">
        <v>2</v>
      </c>
      <c r="X27" s="171" t="s">
        <v>39</v>
      </c>
      <c r="Y27" s="177" t="s">
        <v>90</v>
      </c>
      <c r="Z27" s="177" t="s">
        <v>84</v>
      </c>
      <c r="AA27" s="177" t="s">
        <v>50</v>
      </c>
      <c r="AB27" s="53" t="s">
        <v>158</v>
      </c>
      <c r="AR27" s="23"/>
    </row>
    <row r="28" spans="1:48" x14ac:dyDescent="0.15">
      <c r="A28" s="163" t="s">
        <v>34</v>
      </c>
      <c r="B28" s="163" t="s">
        <v>157</v>
      </c>
      <c r="C28" s="163">
        <v>2019</v>
      </c>
      <c r="D28" s="165" t="s">
        <v>380</v>
      </c>
      <c r="E28" s="164" t="s">
        <v>273</v>
      </c>
      <c r="F28" s="163" t="s">
        <v>388</v>
      </c>
      <c r="G28" s="166" t="s">
        <v>36</v>
      </c>
      <c r="H28" s="127" t="s">
        <v>164</v>
      </c>
      <c r="I28" s="127" t="s">
        <v>159</v>
      </c>
      <c r="J28" s="127" t="s">
        <v>38</v>
      </c>
      <c r="K28" s="127" t="s">
        <v>161</v>
      </c>
      <c r="L28" s="53">
        <v>3</v>
      </c>
      <c r="N28" s="53">
        <v>7</v>
      </c>
      <c r="O28" s="53">
        <v>0.45</v>
      </c>
      <c r="P28" s="53">
        <v>0.5</v>
      </c>
      <c r="Q28" s="74">
        <f t="shared" si="2"/>
        <v>0.47499999999999998</v>
      </c>
      <c r="R28" s="173">
        <v>14.3</v>
      </c>
      <c r="S28" s="173">
        <v>90</v>
      </c>
      <c r="T28" s="16">
        <f t="shared" si="0"/>
        <v>36</v>
      </c>
      <c r="U28" s="169">
        <v>398</v>
      </c>
      <c r="V28" s="38">
        <f t="shared" si="1"/>
        <v>2046.8571428571427</v>
      </c>
      <c r="W28" s="170">
        <v>2</v>
      </c>
      <c r="X28" s="171" t="s">
        <v>39</v>
      </c>
      <c r="Y28" s="177" t="s">
        <v>90</v>
      </c>
      <c r="Z28" s="177" t="s">
        <v>84</v>
      </c>
      <c r="AA28" s="177" t="s">
        <v>50</v>
      </c>
      <c r="AB28" s="53" t="s">
        <v>158</v>
      </c>
      <c r="AR28" s="28"/>
    </row>
    <row r="29" spans="1:48" x14ac:dyDescent="0.15">
      <c r="A29" s="163"/>
      <c r="B29" s="163"/>
      <c r="C29" s="164"/>
      <c r="D29" s="165"/>
      <c r="E29" s="164"/>
      <c r="F29" s="163"/>
      <c r="G29" s="166"/>
      <c r="H29" s="127"/>
      <c r="I29" s="127"/>
      <c r="J29" s="127"/>
      <c r="K29" s="127"/>
      <c r="Q29" s="74"/>
      <c r="R29" s="173"/>
      <c r="S29" s="173"/>
      <c r="U29" s="169"/>
      <c r="V29" s="38"/>
      <c r="W29" s="170"/>
      <c r="X29" s="171"/>
      <c r="Y29" s="177"/>
      <c r="Z29" s="177"/>
      <c r="AA29" s="177"/>
    </row>
    <row r="30" spans="1:48" x14ac:dyDescent="0.15">
      <c r="A30" s="163"/>
      <c r="B30" s="163"/>
      <c r="C30" s="163"/>
      <c r="D30" s="165"/>
      <c r="E30" s="164"/>
      <c r="F30" s="163"/>
      <c r="G30" s="166"/>
      <c r="H30" s="127"/>
      <c r="I30" s="127"/>
      <c r="J30" s="127"/>
      <c r="K30" s="127"/>
      <c r="Q30" s="74"/>
      <c r="R30" s="173"/>
      <c r="S30" s="173"/>
      <c r="U30" s="169"/>
      <c r="V30" s="38"/>
      <c r="W30" s="170"/>
      <c r="X30" s="171"/>
      <c r="Y30" s="177"/>
      <c r="Z30" s="177"/>
      <c r="AA30" s="177"/>
    </row>
    <row r="31" spans="1:48" ht="14.25" customHeight="1" x14ac:dyDescent="0.15">
      <c r="A31" s="163"/>
      <c r="B31" s="163"/>
      <c r="C31" s="164"/>
      <c r="D31" s="165"/>
      <c r="E31" s="164"/>
      <c r="F31" s="163"/>
      <c r="G31" s="166"/>
      <c r="H31" s="127"/>
      <c r="I31" s="127"/>
      <c r="J31" s="127"/>
      <c r="K31" s="127"/>
      <c r="Q31" s="74"/>
      <c r="R31" s="173"/>
      <c r="S31" s="173"/>
      <c r="U31" s="169"/>
      <c r="V31" s="38"/>
      <c r="W31" s="170"/>
      <c r="X31" s="171"/>
      <c r="Y31" s="177"/>
      <c r="Z31" s="177"/>
      <c r="AA31" s="177"/>
    </row>
    <row r="32" spans="1:48" x14ac:dyDescent="0.15">
      <c r="A32" s="163"/>
      <c r="B32" s="163"/>
      <c r="C32" s="163"/>
      <c r="D32" s="165"/>
      <c r="E32" s="164"/>
      <c r="F32" s="163"/>
      <c r="G32" s="166"/>
      <c r="H32" s="127"/>
      <c r="I32" s="127"/>
      <c r="J32" s="127"/>
      <c r="K32" s="127"/>
      <c r="Q32" s="74"/>
      <c r="R32" s="173"/>
      <c r="S32" s="173"/>
      <c r="U32" s="169"/>
      <c r="V32" s="38"/>
      <c r="W32" s="170"/>
      <c r="X32" s="171"/>
      <c r="Y32" s="177"/>
      <c r="Z32" s="177"/>
      <c r="AA32" s="177"/>
    </row>
    <row r="33" spans="1:27" x14ac:dyDescent="0.15">
      <c r="A33" s="163"/>
      <c r="B33" s="163"/>
      <c r="C33" s="164"/>
      <c r="D33" s="165"/>
      <c r="E33" s="164"/>
      <c r="F33" s="163"/>
      <c r="G33" s="166"/>
      <c r="H33" s="127"/>
      <c r="I33" s="127"/>
      <c r="J33" s="127"/>
      <c r="K33" s="127"/>
      <c r="P33" s="34"/>
      <c r="Q33" s="74"/>
      <c r="R33" s="173"/>
      <c r="S33" s="173"/>
      <c r="U33" s="169"/>
      <c r="V33" s="38"/>
      <c r="W33" s="170"/>
      <c r="X33" s="171"/>
      <c r="Y33" s="177"/>
      <c r="Z33" s="177"/>
      <c r="AA33" s="177"/>
    </row>
    <row r="34" spans="1:27" x14ac:dyDescent="0.15">
      <c r="A34" s="163"/>
      <c r="B34" s="163"/>
      <c r="C34" s="163"/>
      <c r="D34" s="165"/>
      <c r="E34" s="164"/>
      <c r="F34" s="163"/>
      <c r="G34" s="166"/>
      <c r="H34" s="127"/>
      <c r="I34" s="127"/>
      <c r="J34" s="127"/>
      <c r="K34" s="127"/>
      <c r="Q34" s="74"/>
      <c r="R34" s="173"/>
      <c r="S34" s="173"/>
      <c r="U34" s="169"/>
      <c r="V34" s="38"/>
      <c r="W34" s="170"/>
      <c r="X34" s="171"/>
      <c r="Y34" s="177"/>
      <c r="Z34" s="177"/>
      <c r="AA34" s="177"/>
    </row>
    <row r="35" spans="1:27" x14ac:dyDescent="0.15">
      <c r="A35" s="163"/>
      <c r="B35" s="163"/>
      <c r="C35" s="164"/>
      <c r="D35" s="165"/>
      <c r="E35" s="164"/>
      <c r="F35" s="163"/>
      <c r="G35" s="166"/>
      <c r="H35" s="127"/>
      <c r="I35" s="127"/>
      <c r="J35" s="127"/>
      <c r="K35" s="127"/>
      <c r="Q35" s="74"/>
      <c r="R35" s="173"/>
      <c r="S35" s="173"/>
      <c r="U35" s="169"/>
      <c r="V35" s="38"/>
      <c r="W35" s="170"/>
      <c r="X35" s="171"/>
      <c r="Y35" s="177"/>
      <c r="Z35" s="177"/>
      <c r="AA35" s="177"/>
    </row>
    <row r="36" spans="1:27" x14ac:dyDescent="0.15">
      <c r="A36" s="163"/>
      <c r="B36" s="163"/>
      <c r="C36" s="163"/>
      <c r="D36" s="165"/>
      <c r="E36" s="164"/>
      <c r="F36" s="163"/>
      <c r="G36" s="166"/>
      <c r="H36" s="127"/>
      <c r="I36" s="127"/>
      <c r="J36" s="127"/>
      <c r="K36" s="127"/>
      <c r="Q36" s="74"/>
      <c r="R36" s="173"/>
      <c r="S36" s="173"/>
      <c r="U36" s="169"/>
      <c r="V36" s="38"/>
      <c r="W36" s="170"/>
      <c r="X36" s="171"/>
      <c r="Y36" s="177"/>
      <c r="Z36" s="177"/>
      <c r="AA36" s="177"/>
    </row>
    <row r="37" spans="1:27" x14ac:dyDescent="0.15">
      <c r="A37" s="163"/>
      <c r="B37" s="163"/>
      <c r="C37" s="164"/>
      <c r="D37" s="165"/>
      <c r="E37" s="164"/>
      <c r="F37" s="163"/>
      <c r="G37" s="166"/>
      <c r="H37" s="127"/>
      <c r="I37" s="127"/>
      <c r="J37" s="127"/>
      <c r="K37" s="127"/>
      <c r="Q37" s="74"/>
      <c r="R37" s="173"/>
      <c r="S37" s="173"/>
      <c r="U37" s="169"/>
      <c r="V37" s="38"/>
      <c r="W37" s="170"/>
      <c r="X37" s="171"/>
      <c r="Y37" s="177"/>
      <c r="Z37" s="177"/>
      <c r="AA37" s="177"/>
    </row>
    <row r="38" spans="1:27" x14ac:dyDescent="0.15">
      <c r="A38" s="163"/>
      <c r="B38" s="163"/>
      <c r="C38" s="163"/>
      <c r="D38" s="165"/>
      <c r="E38" s="164"/>
      <c r="F38" s="163"/>
      <c r="G38" s="166"/>
      <c r="H38" s="127"/>
      <c r="I38" s="127"/>
      <c r="J38" s="127"/>
      <c r="K38" s="127"/>
      <c r="Q38" s="74"/>
      <c r="R38" s="173"/>
      <c r="S38" s="173"/>
      <c r="U38" s="169"/>
      <c r="V38" s="38"/>
      <c r="W38" s="170"/>
      <c r="X38" s="171"/>
      <c r="Y38" s="177"/>
      <c r="Z38" s="177"/>
      <c r="AA38" s="177"/>
    </row>
    <row r="39" spans="1:27" ht="12.75" customHeight="1" x14ac:dyDescent="0.15">
      <c r="A39" s="163"/>
      <c r="B39" s="163"/>
      <c r="C39" s="164"/>
      <c r="D39" s="165"/>
      <c r="E39" s="164"/>
      <c r="F39" s="163"/>
      <c r="G39" s="166"/>
      <c r="H39" s="127"/>
      <c r="I39" s="127"/>
      <c r="J39" s="127"/>
      <c r="K39" s="127"/>
      <c r="Q39" s="74"/>
      <c r="R39" s="173"/>
      <c r="S39" s="173"/>
      <c r="U39" s="169"/>
      <c r="V39" s="38"/>
      <c r="W39" s="170"/>
      <c r="X39" s="171"/>
      <c r="Y39" s="177"/>
      <c r="Z39" s="177"/>
      <c r="AA39" s="177"/>
    </row>
    <row r="40" spans="1:27" ht="12.75" customHeight="1" x14ac:dyDescent="0.15">
      <c r="A40" s="127"/>
      <c r="B40" s="163"/>
      <c r="C40" s="164"/>
      <c r="D40" s="165"/>
      <c r="E40" s="164"/>
      <c r="F40" s="163"/>
      <c r="G40" s="166"/>
      <c r="H40" s="127"/>
      <c r="I40" s="127"/>
      <c r="J40" s="127"/>
      <c r="K40" s="127"/>
      <c r="Q40" s="74" t="str">
        <f t="shared" si="2"/>
        <v/>
      </c>
      <c r="R40" s="173"/>
      <c r="S40" s="173"/>
      <c r="T40" s="16" t="str">
        <f t="shared" si="0"/>
        <v/>
      </c>
      <c r="U40" s="169"/>
      <c r="V40" s="38" t="str">
        <f t="shared" si="1"/>
        <v/>
      </c>
      <c r="X40" s="171"/>
      <c r="Y40" s="178"/>
      <c r="Z40" s="178"/>
      <c r="AA40" s="178"/>
    </row>
    <row r="41" spans="1:27" ht="12.75" customHeight="1" x14ac:dyDescent="0.15">
      <c r="A41" s="127"/>
      <c r="B41" s="163"/>
      <c r="C41" s="164"/>
      <c r="D41" s="165"/>
      <c r="E41" s="164"/>
      <c r="F41" s="163"/>
      <c r="G41" s="166"/>
      <c r="H41" s="127"/>
      <c r="I41" s="127"/>
      <c r="J41" s="127"/>
      <c r="K41" s="127"/>
      <c r="Q41" s="74" t="str">
        <f t="shared" si="2"/>
        <v/>
      </c>
      <c r="R41" s="173"/>
      <c r="S41" s="173"/>
      <c r="T41" s="16" t="str">
        <f t="shared" si="0"/>
        <v/>
      </c>
      <c r="U41" s="169"/>
      <c r="V41" s="38" t="str">
        <f t="shared" si="1"/>
        <v/>
      </c>
      <c r="X41" s="171"/>
      <c r="Y41" s="178"/>
      <c r="Z41" s="178"/>
      <c r="AA41" s="178"/>
    </row>
    <row r="42" spans="1:27" ht="12.75" customHeight="1" x14ac:dyDescent="0.15">
      <c r="A42" s="127"/>
      <c r="B42" s="163"/>
      <c r="C42" s="164"/>
      <c r="D42" s="165"/>
      <c r="E42" s="164"/>
      <c r="F42" s="163"/>
      <c r="G42" s="166"/>
      <c r="H42" s="127"/>
      <c r="I42" s="127"/>
      <c r="J42" s="127"/>
      <c r="K42" s="127"/>
      <c r="Q42" s="74" t="str">
        <f t="shared" si="2"/>
        <v/>
      </c>
      <c r="R42" s="173"/>
      <c r="S42" s="173"/>
      <c r="T42" s="16" t="str">
        <f t="shared" si="0"/>
        <v/>
      </c>
      <c r="U42" s="169"/>
      <c r="V42" s="38" t="str">
        <f t="shared" si="1"/>
        <v/>
      </c>
      <c r="X42" s="171"/>
      <c r="Y42" s="178"/>
      <c r="Z42" s="178"/>
      <c r="AA42" s="178"/>
    </row>
    <row r="43" spans="1:27" x14ac:dyDescent="0.15">
      <c r="B43" s="163"/>
      <c r="C43" s="164"/>
      <c r="D43" s="165"/>
      <c r="E43" s="164"/>
      <c r="F43" s="163"/>
      <c r="G43" s="166"/>
      <c r="H43" s="127"/>
      <c r="I43" s="127"/>
      <c r="K43" s="127"/>
      <c r="Q43" s="74"/>
      <c r="R43" s="173"/>
      <c r="S43" s="173"/>
      <c r="U43" s="169"/>
      <c r="X43" s="171"/>
      <c r="Y43" s="178"/>
      <c r="Z43" s="178"/>
      <c r="AA43" s="178"/>
    </row>
    <row r="44" spans="1:27" x14ac:dyDescent="0.15">
      <c r="B44" s="163"/>
      <c r="C44" s="163"/>
      <c r="D44" s="165"/>
      <c r="E44" s="164"/>
      <c r="F44" s="163"/>
      <c r="G44" s="166"/>
      <c r="H44" s="127"/>
      <c r="I44" s="127"/>
      <c r="K44" s="127"/>
      <c r="Q44" s="74"/>
      <c r="R44" s="173"/>
      <c r="S44" s="173"/>
      <c r="U44" s="169"/>
      <c r="X44" s="171"/>
      <c r="Y44" s="178"/>
      <c r="Z44" s="178"/>
      <c r="AA44" s="178"/>
    </row>
    <row r="45" spans="1:27" x14ac:dyDescent="0.15">
      <c r="B45" s="163"/>
      <c r="C45" s="164"/>
      <c r="D45" s="165"/>
      <c r="E45" s="164"/>
      <c r="F45" s="163"/>
      <c r="G45" s="166"/>
      <c r="H45" s="127"/>
      <c r="I45" s="127"/>
      <c r="K45" s="127"/>
      <c r="Q45" s="74"/>
      <c r="R45" s="173"/>
      <c r="S45" s="173"/>
      <c r="U45" s="169"/>
      <c r="X45" s="171"/>
      <c r="Y45" s="178"/>
      <c r="Z45" s="178"/>
      <c r="AA45" s="178"/>
    </row>
    <row r="46" spans="1:27" x14ac:dyDescent="0.15">
      <c r="B46" s="34"/>
      <c r="D46" s="179"/>
      <c r="F46" s="163"/>
      <c r="G46" s="166"/>
      <c r="H46" s="127"/>
      <c r="I46" s="127"/>
      <c r="K46" s="127"/>
      <c r="Q46" s="74"/>
      <c r="R46" s="173"/>
      <c r="S46" s="173"/>
      <c r="X46" s="171"/>
    </row>
    <row r="47" spans="1:27" x14ac:dyDescent="0.15">
      <c r="B47" s="34"/>
      <c r="D47" s="179"/>
      <c r="F47" s="163"/>
      <c r="G47" s="166"/>
      <c r="H47" s="127"/>
      <c r="I47" s="127"/>
      <c r="K47" s="127"/>
      <c r="Q47" s="74"/>
      <c r="R47" s="173"/>
      <c r="S47" s="173"/>
      <c r="X47" s="171"/>
    </row>
    <row r="48" spans="1:27" x14ac:dyDescent="0.15">
      <c r="B48" s="34"/>
      <c r="D48" s="179"/>
      <c r="F48" s="163"/>
      <c r="G48" s="166"/>
      <c r="H48" s="127"/>
      <c r="I48" s="127"/>
      <c r="K48" s="127"/>
      <c r="Q48" s="74"/>
      <c r="R48" s="173"/>
      <c r="S48" s="173"/>
      <c r="X48" s="171"/>
    </row>
    <row r="49" spans="4:24" x14ac:dyDescent="0.15">
      <c r="D49" s="179"/>
      <c r="F49" s="163"/>
      <c r="G49" s="166"/>
      <c r="K49" s="127"/>
      <c r="Q49" s="74"/>
      <c r="X49" s="171"/>
    </row>
    <row r="50" spans="4:24" x14ac:dyDescent="0.15">
      <c r="D50" s="179"/>
      <c r="F50" s="163"/>
      <c r="G50" s="166"/>
      <c r="K50" s="127"/>
      <c r="Q50" s="74"/>
      <c r="X50" s="171"/>
    </row>
    <row r="51" spans="4:24" x14ac:dyDescent="0.15">
      <c r="D51" s="179"/>
      <c r="F51" s="163"/>
      <c r="G51" s="166"/>
      <c r="K51" s="127"/>
      <c r="Q51" s="74"/>
      <c r="X51" s="171"/>
    </row>
    <row r="52" spans="4:24" x14ac:dyDescent="0.15">
      <c r="D52" s="179"/>
      <c r="F52" s="163"/>
      <c r="G52" s="166"/>
      <c r="K52" s="127"/>
      <c r="Q52" s="74"/>
      <c r="X52" s="171"/>
    </row>
    <row r="53" spans="4:24" x14ac:dyDescent="0.15">
      <c r="D53" s="179"/>
      <c r="F53" s="163"/>
      <c r="G53" s="166"/>
      <c r="K53" s="127"/>
      <c r="Q53" s="74"/>
      <c r="X53" s="171"/>
    </row>
    <row r="54" spans="4:24" x14ac:dyDescent="0.15">
      <c r="D54" s="179"/>
      <c r="F54" s="163"/>
      <c r="G54" s="166"/>
      <c r="K54" s="127"/>
      <c r="Q54" s="74"/>
      <c r="X54" s="171"/>
    </row>
    <row r="55" spans="4:24" x14ac:dyDescent="0.15">
      <c r="D55" s="179"/>
      <c r="F55" s="163"/>
      <c r="G55" s="166"/>
      <c r="K55" s="127"/>
      <c r="Q55" s="74"/>
      <c r="X55" s="171"/>
    </row>
    <row r="56" spans="4:24" x14ac:dyDescent="0.15">
      <c r="D56" s="179"/>
      <c r="F56" s="163"/>
      <c r="G56" s="166"/>
      <c r="K56" s="127"/>
      <c r="Q56" s="74"/>
      <c r="X56" s="171"/>
    </row>
    <row r="57" spans="4:24" x14ac:dyDescent="0.15">
      <c r="D57" s="179"/>
      <c r="F57" s="163"/>
      <c r="G57" s="166"/>
      <c r="K57" s="127"/>
      <c r="Q57" s="74"/>
      <c r="X57" s="171"/>
    </row>
    <row r="58" spans="4:24" x14ac:dyDescent="0.15">
      <c r="D58" s="179"/>
      <c r="F58" s="163"/>
      <c r="G58" s="166"/>
      <c r="K58" s="127"/>
      <c r="Q58" s="74"/>
      <c r="X58" s="171"/>
    </row>
    <row r="59" spans="4:24" x14ac:dyDescent="0.15">
      <c r="D59" s="179"/>
      <c r="F59" s="163"/>
      <c r="G59" s="166"/>
      <c r="K59" s="127"/>
      <c r="Q59" s="74"/>
      <c r="X59" s="171"/>
    </row>
    <row r="60" spans="4:24" x14ac:dyDescent="0.15">
      <c r="D60" s="179"/>
      <c r="F60" s="163"/>
      <c r="G60" s="166"/>
      <c r="K60" s="127"/>
      <c r="Q60" s="74"/>
      <c r="X60" s="171"/>
    </row>
    <row r="61" spans="4:24" x14ac:dyDescent="0.15">
      <c r="D61" s="179"/>
      <c r="F61" s="163"/>
      <c r="G61" s="166"/>
      <c r="K61" s="127"/>
      <c r="Q61" s="74" t="str">
        <f t="shared" ref="Q61:Q90" si="3">IF(OR(O61="",P61=""),"",AVERAGE(O61,P61))</f>
        <v/>
      </c>
      <c r="T61" s="16" t="str">
        <f t="shared" si="0"/>
        <v/>
      </c>
      <c r="V61" s="16" t="str">
        <f t="shared" si="1"/>
        <v/>
      </c>
      <c r="X61" s="171"/>
    </row>
    <row r="62" spans="4:24" x14ac:dyDescent="0.15">
      <c r="D62" s="179"/>
      <c r="F62" s="163"/>
      <c r="G62" s="166"/>
      <c r="K62" s="127"/>
      <c r="Q62" s="74" t="str">
        <f t="shared" si="3"/>
        <v/>
      </c>
      <c r="T62" s="16" t="str">
        <f t="shared" si="0"/>
        <v/>
      </c>
      <c r="V62" s="16" t="str">
        <f t="shared" si="1"/>
        <v/>
      </c>
      <c r="X62" s="171"/>
    </row>
    <row r="63" spans="4:24" x14ac:dyDescent="0.15">
      <c r="D63" s="179"/>
      <c r="F63" s="163"/>
      <c r="G63" s="166"/>
      <c r="K63" s="127"/>
      <c r="Q63" s="74" t="str">
        <f t="shared" si="3"/>
        <v/>
      </c>
      <c r="T63" s="16" t="str">
        <f t="shared" si="0"/>
        <v/>
      </c>
      <c r="V63" s="16" t="str">
        <f t="shared" si="1"/>
        <v/>
      </c>
      <c r="X63" s="171"/>
    </row>
    <row r="64" spans="4:24" x14ac:dyDescent="0.15">
      <c r="D64" s="179"/>
      <c r="F64" s="163"/>
      <c r="G64" s="166"/>
      <c r="K64" s="127"/>
      <c r="Q64" s="74" t="str">
        <f t="shared" si="3"/>
        <v/>
      </c>
      <c r="T64" s="16" t="str">
        <f t="shared" si="0"/>
        <v/>
      </c>
      <c r="V64" s="16" t="str">
        <f t="shared" si="1"/>
        <v/>
      </c>
      <c r="X64" s="171"/>
    </row>
    <row r="65" spans="4:24" x14ac:dyDescent="0.15">
      <c r="D65" s="179"/>
      <c r="F65" s="163"/>
      <c r="G65" s="166"/>
      <c r="K65" s="127"/>
      <c r="Q65" s="74" t="str">
        <f t="shared" si="3"/>
        <v/>
      </c>
      <c r="T65" s="16" t="str">
        <f t="shared" ref="T65:T90" si="4">IF(H65="","",IF(OR(H65="GREEN",H65="GK"),IF(S65&gt;=$AX$2,VLOOKUP(S65,$AX$2:$AY$7,2,1),""),IF(S65&gt;=$AZ$2,VLOOKUP(S65,$AZ$2:$BA$7,2,1),"")))</f>
        <v/>
      </c>
      <c r="V65" s="16" t="str">
        <f t="shared" ref="V65:V90" si="5">IF(OR(N65="",U65="",T65=""),"",U65/N65*T65)</f>
        <v/>
      </c>
      <c r="X65" s="171"/>
    </row>
    <row r="66" spans="4:24" x14ac:dyDescent="0.15">
      <c r="D66" s="179"/>
      <c r="F66" s="163"/>
      <c r="G66" s="166"/>
      <c r="K66" s="127"/>
      <c r="Q66" s="74" t="str">
        <f t="shared" si="3"/>
        <v/>
      </c>
      <c r="T66" s="16" t="str">
        <f t="shared" si="4"/>
        <v/>
      </c>
      <c r="V66" s="16" t="str">
        <f t="shared" si="5"/>
        <v/>
      </c>
      <c r="X66" s="171"/>
    </row>
    <row r="67" spans="4:24" x14ac:dyDescent="0.15">
      <c r="D67" s="179"/>
      <c r="F67" s="163"/>
      <c r="G67" s="166"/>
      <c r="K67" s="127"/>
      <c r="Q67" s="74" t="str">
        <f t="shared" si="3"/>
        <v/>
      </c>
      <c r="T67" s="16" t="str">
        <f t="shared" si="4"/>
        <v/>
      </c>
      <c r="V67" s="16" t="str">
        <f t="shared" si="5"/>
        <v/>
      </c>
      <c r="X67" s="171"/>
    </row>
    <row r="68" spans="4:24" x14ac:dyDescent="0.15">
      <c r="D68" s="179"/>
      <c r="F68" s="163"/>
      <c r="G68" s="166"/>
      <c r="K68" s="127"/>
      <c r="Q68" s="74" t="str">
        <f t="shared" si="3"/>
        <v/>
      </c>
      <c r="T68" s="16" t="str">
        <f t="shared" si="4"/>
        <v/>
      </c>
      <c r="V68" s="16" t="str">
        <f t="shared" si="5"/>
        <v/>
      </c>
      <c r="X68" s="171"/>
    </row>
    <row r="69" spans="4:24" x14ac:dyDescent="0.15">
      <c r="D69" s="179"/>
      <c r="F69" s="163"/>
      <c r="G69" s="166"/>
      <c r="K69" s="127"/>
      <c r="Q69" s="74" t="str">
        <f t="shared" si="3"/>
        <v/>
      </c>
      <c r="T69" s="16" t="str">
        <f t="shared" si="4"/>
        <v/>
      </c>
      <c r="V69" s="16" t="str">
        <f t="shared" si="5"/>
        <v/>
      </c>
      <c r="X69" s="171"/>
    </row>
    <row r="70" spans="4:24" x14ac:dyDescent="0.15">
      <c r="D70" s="179"/>
      <c r="F70" s="163"/>
      <c r="G70" s="166"/>
      <c r="K70" s="127"/>
      <c r="Q70" s="74" t="str">
        <f t="shared" si="3"/>
        <v/>
      </c>
      <c r="T70" s="16" t="str">
        <f t="shared" si="4"/>
        <v/>
      </c>
      <c r="V70" s="16" t="str">
        <f t="shared" si="5"/>
        <v/>
      </c>
      <c r="X70" s="171"/>
    </row>
    <row r="71" spans="4:24" x14ac:dyDescent="0.15">
      <c r="D71" s="179"/>
      <c r="F71" s="163"/>
      <c r="G71" s="166"/>
      <c r="K71" s="127"/>
      <c r="Q71" s="74" t="str">
        <f t="shared" si="3"/>
        <v/>
      </c>
      <c r="T71" s="16" t="str">
        <f t="shared" si="4"/>
        <v/>
      </c>
      <c r="V71" s="16" t="str">
        <f t="shared" si="5"/>
        <v/>
      </c>
      <c r="X71" s="171"/>
    </row>
    <row r="72" spans="4:24" x14ac:dyDescent="0.15">
      <c r="D72" s="179"/>
      <c r="F72" s="163"/>
      <c r="G72" s="166"/>
      <c r="K72" s="127"/>
      <c r="Q72" s="74" t="str">
        <f t="shared" si="3"/>
        <v/>
      </c>
      <c r="T72" s="16" t="str">
        <f t="shared" si="4"/>
        <v/>
      </c>
      <c r="V72" s="16" t="str">
        <f t="shared" si="5"/>
        <v/>
      </c>
      <c r="X72" s="171"/>
    </row>
    <row r="73" spans="4:24" x14ac:dyDescent="0.15">
      <c r="D73" s="179"/>
      <c r="F73" s="163"/>
      <c r="G73" s="166"/>
      <c r="K73" s="127"/>
      <c r="Q73" s="74" t="str">
        <f t="shared" si="3"/>
        <v/>
      </c>
      <c r="T73" s="16" t="str">
        <f t="shared" si="4"/>
        <v/>
      </c>
      <c r="V73" s="16" t="str">
        <f t="shared" si="5"/>
        <v/>
      </c>
      <c r="X73" s="171"/>
    </row>
    <row r="74" spans="4:24" x14ac:dyDescent="0.15">
      <c r="D74" s="179"/>
      <c r="F74" s="163"/>
      <c r="G74" s="166"/>
      <c r="K74" s="127"/>
      <c r="Q74" s="74" t="str">
        <f t="shared" si="3"/>
        <v/>
      </c>
      <c r="T74" s="16" t="str">
        <f t="shared" si="4"/>
        <v/>
      </c>
      <c r="V74" s="16" t="str">
        <f t="shared" si="5"/>
        <v/>
      </c>
      <c r="X74" s="171"/>
    </row>
    <row r="75" spans="4:24" x14ac:dyDescent="0.15">
      <c r="D75" s="179"/>
      <c r="F75" s="163"/>
      <c r="G75" s="166"/>
      <c r="K75" s="127"/>
      <c r="Q75" s="74" t="str">
        <f t="shared" si="3"/>
        <v/>
      </c>
      <c r="T75" s="16" t="str">
        <f t="shared" si="4"/>
        <v/>
      </c>
      <c r="V75" s="16" t="str">
        <f t="shared" si="5"/>
        <v/>
      </c>
      <c r="X75" s="171"/>
    </row>
    <row r="76" spans="4:24" x14ac:dyDescent="0.15">
      <c r="D76" s="179"/>
      <c r="F76" s="163"/>
      <c r="G76" s="166"/>
      <c r="K76" s="127"/>
      <c r="Q76" s="74" t="str">
        <f t="shared" si="3"/>
        <v/>
      </c>
      <c r="T76" s="16" t="str">
        <f t="shared" si="4"/>
        <v/>
      </c>
      <c r="V76" s="16" t="str">
        <f t="shared" si="5"/>
        <v/>
      </c>
      <c r="X76" s="171"/>
    </row>
    <row r="77" spans="4:24" x14ac:dyDescent="0.15">
      <c r="D77" s="179"/>
      <c r="F77" s="163"/>
      <c r="G77" s="166"/>
      <c r="K77" s="127"/>
      <c r="Q77" s="74" t="str">
        <f t="shared" si="3"/>
        <v/>
      </c>
      <c r="T77" s="16" t="str">
        <f t="shared" si="4"/>
        <v/>
      </c>
      <c r="V77" s="16" t="str">
        <f t="shared" si="5"/>
        <v/>
      </c>
      <c r="X77" s="171"/>
    </row>
    <row r="78" spans="4:24" x14ac:dyDescent="0.15">
      <c r="D78" s="179"/>
      <c r="F78" s="163"/>
      <c r="G78" s="166"/>
      <c r="K78" s="127"/>
      <c r="Q78" s="74" t="str">
        <f t="shared" si="3"/>
        <v/>
      </c>
      <c r="T78" s="16" t="str">
        <f t="shared" si="4"/>
        <v/>
      </c>
      <c r="V78" s="16" t="str">
        <f t="shared" si="5"/>
        <v/>
      </c>
      <c r="X78" s="171"/>
    </row>
    <row r="79" spans="4:24" x14ac:dyDescent="0.15">
      <c r="K79" s="127"/>
      <c r="Q79" s="74" t="str">
        <f t="shared" si="3"/>
        <v/>
      </c>
      <c r="T79" s="16" t="str">
        <f t="shared" si="4"/>
        <v/>
      </c>
      <c r="V79" s="16" t="str">
        <f t="shared" si="5"/>
        <v/>
      </c>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t="str">
        <f t="shared" si="3"/>
        <v/>
      </c>
      <c r="T86" s="16" t="str">
        <f t="shared" si="4"/>
        <v/>
      </c>
      <c r="V86" s="16" t="str">
        <f t="shared" si="5"/>
        <v/>
      </c>
    </row>
    <row r="87" spans="11:22" x14ac:dyDescent="0.15">
      <c r="K87" s="127"/>
      <c r="Q87" s="74" t="str">
        <f t="shared" si="3"/>
        <v/>
      </c>
      <c r="T87" s="16" t="str">
        <f t="shared" si="4"/>
        <v/>
      </c>
      <c r="V87" s="16" t="str">
        <f t="shared" si="5"/>
        <v/>
      </c>
    </row>
    <row r="88" spans="11:22" x14ac:dyDescent="0.15">
      <c r="K88" s="127"/>
      <c r="Q88" s="74" t="str">
        <f t="shared" si="3"/>
        <v/>
      </c>
      <c r="T88" s="16" t="str">
        <f t="shared" si="4"/>
        <v/>
      </c>
      <c r="V88" s="16" t="str">
        <f t="shared" si="5"/>
        <v/>
      </c>
    </row>
    <row r="89" spans="11:22" x14ac:dyDescent="0.15">
      <c r="K89" s="127"/>
      <c r="Q89" s="74" t="str">
        <f t="shared" si="3"/>
        <v/>
      </c>
      <c r="T89" s="16" t="str">
        <f t="shared" si="4"/>
        <v/>
      </c>
      <c r="V89" s="16" t="str">
        <f t="shared" si="5"/>
        <v/>
      </c>
    </row>
    <row r="90" spans="11:22" x14ac:dyDescent="0.15">
      <c r="K90" s="127"/>
      <c r="Q90" s="74" t="str">
        <f t="shared" si="3"/>
        <v/>
      </c>
      <c r="T90" s="16" t="str">
        <f t="shared" si="4"/>
        <v/>
      </c>
      <c r="V90" s="16" t="str">
        <f t="shared" si="5"/>
        <v/>
      </c>
    </row>
    <row r="91" spans="11:22" x14ac:dyDescent="0.15">
      <c r="K91" s="127"/>
      <c r="Q91" s="74"/>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sheetData>
  <autoFilter ref="A1:BA1" xr:uid="{00000000-0009-0000-0000-000000000000}"/>
  <phoneticPr fontId="3"/>
  <dataValidations count="20">
    <dataValidation type="list" allowBlank="1" showInputMessage="1" showErrorMessage="1" sqref="K443:K490" xr:uid="{B6F8C0C8-C5EF-4D76-9551-7538DB5A104D}">
      <formula1>$AR$2:$AR$24</formula1>
    </dataValidation>
    <dataValidation type="list" allowBlank="1" showInputMessage="1" showErrorMessage="1" sqref="F491:F64241" xr:uid="{764F864D-2C22-4CD5-9F8F-BB3576FB7F3C}">
      <formula1>$AH$2:$AH$8</formula1>
    </dataValidation>
    <dataValidation type="list" allowBlank="1" showInputMessage="1" showErrorMessage="1" sqref="E491:E64241" xr:uid="{EE446558-0AE9-4A84-BFDF-287279D2B542}">
      <formula1>$AG$2:$AG$9</formula1>
    </dataValidation>
    <dataValidation type="list" allowBlank="1" showInputMessage="1" showErrorMessage="1" sqref="H491:H64241" xr:uid="{409E8E00-6D13-416B-81A2-E53718C50F85}">
      <formula1>$AL$2:$AL$10</formula1>
    </dataValidation>
    <dataValidation type="list" allowBlank="1" showInputMessage="1" showErrorMessage="1" sqref="K491:K64241" xr:uid="{9769F8D4-E05C-4CD0-8C91-009CD811E2BE}">
      <formula1>$AR$2:$AR$27</formula1>
    </dataValidation>
    <dataValidation type="list" allowBlank="1" showInputMessage="1" showErrorMessage="1" sqref="Y491:AA64241" xr:uid="{D5A888F9-2324-4125-B1B9-9E96730CB393}">
      <formula1>$AV$2:$AV$25</formula1>
    </dataValidation>
    <dataValidation type="list" allowBlank="1" showInputMessage="1" showErrorMessage="1" sqref="I491:I64241" xr:uid="{7F832FB2-B2F9-4B9C-A099-90A2F376F1DA}">
      <formula1>$AN$2:$AN$6</formula1>
    </dataValidation>
    <dataValidation type="list" allowBlank="1" showInputMessage="1" showErrorMessage="1" sqref="J491:J64241" xr:uid="{F47A0313-721A-471D-8F72-70753471DEF8}">
      <formula1>$AP$2:$AP$16</formula1>
    </dataValidation>
    <dataValidation type="list" allowBlank="1" showInputMessage="1" showErrorMessage="1" sqref="F2:F490" xr:uid="{6BB05BF9-8A9E-41F4-A9C5-55B9239EB3CA}">
      <formula1>$AH$2:$AH$11</formula1>
    </dataValidation>
    <dataValidation type="list" allowBlank="1" showInputMessage="1" showErrorMessage="1" sqref="E2:E490" xr:uid="{C2C63E22-1BC8-4E1B-883A-70BE561BA487}">
      <formula1>$AG$2:$AG$11</formula1>
    </dataValidation>
    <dataValidation type="decimal" allowBlank="1" showInputMessage="1" showErrorMessage="1" error="硬度を正しく入力して下さい。" sqref="O2:P490" xr:uid="{D1E76ED3-90DD-46CE-8A0E-32487586F502}">
      <formula1>0</formula1>
      <formula2>7</formula2>
    </dataValidation>
    <dataValidation type="list" allowBlank="1" showInputMessage="1" showErrorMessage="1" sqref="Y2:AA490" xr:uid="{6205E546-9883-4570-97CB-0B0092D13ABE}">
      <formula1>$AV$2:$AV$20</formula1>
    </dataValidation>
    <dataValidation type="list" allowBlank="1" showInputMessage="1" showErrorMessage="1" sqref="I2:I490" xr:uid="{262DF1CF-3EE7-4F10-A9C9-3C60F70B1A17}">
      <formula1>$AN$5:$AN$6</formula1>
    </dataValidation>
    <dataValidation type="list" allowBlank="1" showInputMessage="1" showErrorMessage="1" sqref="H2:H490" xr:uid="{53D58B52-CB6E-4862-970D-7E469A8120A1}">
      <formula1>$AL$2:$AL$8</formula1>
    </dataValidation>
    <dataValidation type="list" allowBlank="1" showInputMessage="1" showErrorMessage="1" sqref="A2:A490" xr:uid="{DB10BBD6-BFC3-4B17-B7BC-D6EC7A7F742C}">
      <formula1>$AE$2:$AE$19</formula1>
    </dataValidation>
    <dataValidation type="list" allowBlank="1" showInputMessage="1" showErrorMessage="1" sqref="X2:X490" xr:uid="{490159B5-2E78-4BFC-AE6E-6599E691EC55}">
      <formula1>$AT$2:$AT$3</formula1>
    </dataValidation>
    <dataValidation type="list" allowBlank="1" showInputMessage="1" showErrorMessage="1" sqref="G2:G490" xr:uid="{5FA6D3E3-2ED5-403C-86BD-A2CF90E5F65C}">
      <formula1>$AJ$2:$AJ$4</formula1>
    </dataValidation>
    <dataValidation type="list" allowBlank="1" showInputMessage="1" showErrorMessage="1" sqref="J2:J490" xr:uid="{E59A8959-2E19-448F-92C0-A885CA9CD86B}">
      <formula1>$AP$2:$AP$26</formula1>
    </dataValidation>
    <dataValidation operator="equal" allowBlank="1" showInputMessage="1" showErrorMessage="1" sqref="B2:B45" xr:uid="{3D853F7C-6DBF-4BB1-8024-D6B3FB8CB104}"/>
    <dataValidation type="list" allowBlank="1" showInputMessage="1" showErrorMessage="1" sqref="K2:K442" xr:uid="{E2603920-823D-44B1-979C-3B2157D22CA2}">
      <formula1>$AR$2:$AR$25</formula1>
    </dataValidation>
  </dataValidations>
  <pageMargins left="0.7" right="0.7" top="0.75" bottom="0.75" header="0.3" footer="0.3"/>
  <pageSetup paperSize="8" scale="77" orientation="landscape" r:id="rId1"/>
  <headerFooter alignWithMargins="0"/>
  <rowBreaks count="1" manualBreakCount="1">
    <brk id="42"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2044-8BC2-4715-9143-BCF0F30A5B67}">
  <dimension ref="A1:BA149"/>
  <sheetViews>
    <sheetView zoomScale="85" zoomScaleNormal="85" workbookViewId="0">
      <pane ySplit="1" topLeftCell="A2" activePane="bottomLeft" state="frozen"/>
      <selection pane="bottomLeft" activeCell="S25" sqref="S25"/>
    </sheetView>
  </sheetViews>
  <sheetFormatPr defaultRowHeight="13.5" x14ac:dyDescent="0.15"/>
  <cols>
    <col min="1" max="2" width="9" style="53"/>
    <col min="3" max="3" width="6.5" style="53" customWidth="1"/>
    <col min="4" max="4" width="10.5" style="53" bestFit="1"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312</v>
      </c>
      <c r="V1" s="5" t="s">
        <v>20</v>
      </c>
      <c r="W1" s="56" t="s">
        <v>21</v>
      </c>
      <c r="X1" s="45" t="s">
        <v>22</v>
      </c>
      <c r="Y1" s="45" t="s">
        <v>23</v>
      </c>
      <c r="Z1" s="45" t="s">
        <v>356</v>
      </c>
      <c r="AA1" s="46" t="s">
        <v>25</v>
      </c>
      <c r="AB1" s="80" t="s">
        <v>26</v>
      </c>
      <c r="AE1" s="60" t="s">
        <v>0</v>
      </c>
      <c r="AF1" s="61"/>
      <c r="AG1" s="142"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236</v>
      </c>
      <c r="C2" s="53">
        <v>2019</v>
      </c>
      <c r="D2" s="143" t="s">
        <v>357</v>
      </c>
      <c r="E2" s="53" t="s">
        <v>358</v>
      </c>
      <c r="F2" s="53" t="s">
        <v>359</v>
      </c>
      <c r="G2" s="53" t="s">
        <v>36</v>
      </c>
      <c r="H2" s="53" t="s">
        <v>164</v>
      </c>
      <c r="I2" s="53" t="s">
        <v>159</v>
      </c>
      <c r="J2" s="53" t="s">
        <v>38</v>
      </c>
      <c r="K2" s="53" t="s">
        <v>161</v>
      </c>
      <c r="L2" s="53">
        <v>1</v>
      </c>
      <c r="N2" s="53">
        <v>1</v>
      </c>
      <c r="O2" s="53">
        <v>0.65</v>
      </c>
      <c r="P2" s="53">
        <v>0.8</v>
      </c>
      <c r="Q2" s="74">
        <f t="shared" ref="Q2:Q65" si="0">IF(OR(O2="",P2=""),"",AVERAGE(O2,P2))</f>
        <v>0.72500000000000009</v>
      </c>
      <c r="R2" s="53">
        <v>14.4</v>
      </c>
      <c r="S2" s="53">
        <v>118</v>
      </c>
      <c r="T2" s="16">
        <f t="shared" ref="T2:T65" si="1">IF(H2="","",IF(OR(H2="GREEN",H2="GK"),IF(S2&gt;=$AX$2,VLOOKUP(S2,$AX$2:$AY$9,2,1),""),IF(S2&gt;=$AZ$2,VLOOKUP(S2,$AZ$2:$BA$9,2,1),"")))</f>
        <v>30</v>
      </c>
      <c r="U2" s="53">
        <v>103</v>
      </c>
      <c r="V2" s="16">
        <f t="shared" ref="V2:V65" si="2">IF(OR(N2="",U2="",T2=""),"",U2/N2*T2)</f>
        <v>3090</v>
      </c>
      <c r="W2" s="53">
        <v>1</v>
      </c>
      <c r="X2" s="53" t="s">
        <v>46</v>
      </c>
      <c r="Y2" s="53" t="s">
        <v>84</v>
      </c>
      <c r="Z2" s="53" t="s">
        <v>90</v>
      </c>
      <c r="AA2" s="53" t="s">
        <v>69</v>
      </c>
      <c r="AB2" s="53" t="s">
        <v>240</v>
      </c>
      <c r="AE2" s="64" t="s">
        <v>35</v>
      </c>
      <c r="AG2" s="144" t="s">
        <v>360</v>
      </c>
      <c r="AH2" s="67" t="s">
        <v>361</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236</v>
      </c>
      <c r="C3" s="53">
        <v>2019</v>
      </c>
      <c r="D3" s="143" t="s">
        <v>357</v>
      </c>
      <c r="E3" s="53" t="s">
        <v>358</v>
      </c>
      <c r="F3" s="53" t="s">
        <v>359</v>
      </c>
      <c r="G3" s="53" t="s">
        <v>36</v>
      </c>
      <c r="H3" s="53" t="s">
        <v>164</v>
      </c>
      <c r="I3" s="53" t="s">
        <v>159</v>
      </c>
      <c r="J3" s="53" t="s">
        <v>38</v>
      </c>
      <c r="K3" s="53" t="s">
        <v>161</v>
      </c>
      <c r="L3" s="53">
        <v>2</v>
      </c>
      <c r="N3" s="53">
        <v>1</v>
      </c>
      <c r="O3" s="53">
        <v>0.9</v>
      </c>
      <c r="P3" s="53">
        <v>0.65</v>
      </c>
      <c r="Q3" s="74">
        <f t="shared" si="0"/>
        <v>0.77500000000000002</v>
      </c>
      <c r="R3" s="53">
        <v>14.3</v>
      </c>
      <c r="S3" s="53">
        <v>126</v>
      </c>
      <c r="T3" s="16">
        <f t="shared" si="1"/>
        <v>30</v>
      </c>
      <c r="U3" s="53">
        <v>103</v>
      </c>
      <c r="V3" s="16">
        <f t="shared" si="2"/>
        <v>3090</v>
      </c>
      <c r="W3" s="53">
        <v>1</v>
      </c>
      <c r="X3" s="53" t="s">
        <v>46</v>
      </c>
      <c r="Y3" s="53" t="s">
        <v>84</v>
      </c>
      <c r="Z3" s="53" t="s">
        <v>90</v>
      </c>
      <c r="AA3" s="53" t="s">
        <v>69</v>
      </c>
      <c r="AB3" s="53" t="s">
        <v>240</v>
      </c>
      <c r="AE3" s="22" t="s">
        <v>41</v>
      </c>
      <c r="AG3" s="145" t="s">
        <v>362</v>
      </c>
      <c r="AH3" s="67" t="s">
        <v>363</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236</v>
      </c>
      <c r="C4" s="53">
        <v>2019</v>
      </c>
      <c r="D4" s="143" t="s">
        <v>357</v>
      </c>
      <c r="E4" s="53" t="s">
        <v>358</v>
      </c>
      <c r="F4" s="53" t="s">
        <v>359</v>
      </c>
      <c r="G4" s="53" t="s">
        <v>36</v>
      </c>
      <c r="H4" s="53" t="s">
        <v>164</v>
      </c>
      <c r="I4" s="53" t="s">
        <v>159</v>
      </c>
      <c r="J4" s="53" t="s">
        <v>38</v>
      </c>
      <c r="K4" s="53" t="s">
        <v>161</v>
      </c>
      <c r="L4" s="53">
        <v>3</v>
      </c>
      <c r="N4" s="53">
        <v>1</v>
      </c>
      <c r="O4" s="53">
        <v>0.5</v>
      </c>
      <c r="P4" s="53">
        <v>0.6</v>
      </c>
      <c r="Q4" s="74">
        <f t="shared" si="0"/>
        <v>0.55000000000000004</v>
      </c>
      <c r="R4" s="53">
        <v>14.2</v>
      </c>
      <c r="S4" s="53">
        <v>124</v>
      </c>
      <c r="T4" s="16">
        <f t="shared" si="1"/>
        <v>30</v>
      </c>
      <c r="U4" s="53">
        <v>103</v>
      </c>
      <c r="V4" s="16">
        <f t="shared" si="2"/>
        <v>3090</v>
      </c>
      <c r="W4" s="53">
        <v>1</v>
      </c>
      <c r="X4" s="53" t="s">
        <v>46</v>
      </c>
      <c r="Y4" s="53" t="s">
        <v>84</v>
      </c>
      <c r="Z4" s="53" t="s">
        <v>90</v>
      </c>
      <c r="AA4" s="53" t="s">
        <v>69</v>
      </c>
      <c r="AB4" s="53" t="s">
        <v>240</v>
      </c>
      <c r="AE4" s="22" t="s">
        <v>34</v>
      </c>
      <c r="AG4" s="145" t="s">
        <v>364</v>
      </c>
      <c r="AH4" s="67" t="s">
        <v>365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236</v>
      </c>
      <c r="C5" s="53">
        <v>2019</v>
      </c>
      <c r="D5" s="143" t="s">
        <v>357</v>
      </c>
      <c r="E5" s="53" t="s">
        <v>366</v>
      </c>
      <c r="F5" s="53" t="s">
        <v>367</v>
      </c>
      <c r="G5" s="53" t="s">
        <v>36</v>
      </c>
      <c r="H5" s="53" t="s">
        <v>164</v>
      </c>
      <c r="I5" s="53" t="s">
        <v>159</v>
      </c>
      <c r="J5" s="53" t="s">
        <v>38</v>
      </c>
      <c r="K5" s="53" t="s">
        <v>161</v>
      </c>
      <c r="L5" s="53">
        <v>1</v>
      </c>
      <c r="N5" s="53">
        <v>1</v>
      </c>
      <c r="O5" s="53">
        <v>0.75</v>
      </c>
      <c r="P5" s="53">
        <v>1</v>
      </c>
      <c r="Q5" s="74">
        <f t="shared" si="0"/>
        <v>0.875</v>
      </c>
      <c r="R5" s="53">
        <v>14.8</v>
      </c>
      <c r="S5" s="53">
        <v>140</v>
      </c>
      <c r="T5" s="16">
        <f t="shared" si="1"/>
        <v>30</v>
      </c>
      <c r="U5" s="53">
        <v>84</v>
      </c>
      <c r="V5" s="16">
        <f t="shared" si="2"/>
        <v>2520</v>
      </c>
      <c r="W5" s="53">
        <v>1</v>
      </c>
      <c r="X5" s="53" t="s">
        <v>46</v>
      </c>
      <c r="Y5" s="53" t="s">
        <v>84</v>
      </c>
      <c r="Z5" s="53" t="s">
        <v>78</v>
      </c>
      <c r="AA5" s="53" t="s">
        <v>90</v>
      </c>
      <c r="AB5" s="53" t="s">
        <v>240</v>
      </c>
      <c r="AE5" s="22" t="s">
        <v>51</v>
      </c>
      <c r="AG5" s="145" t="s">
        <v>368</v>
      </c>
      <c r="AH5" s="67" t="s">
        <v>369</v>
      </c>
      <c r="AJ5" s="28"/>
      <c r="AL5" s="73" t="s">
        <v>66</v>
      </c>
      <c r="AN5" s="73" t="s">
        <v>52</v>
      </c>
      <c r="AP5" s="23" t="s">
        <v>119</v>
      </c>
      <c r="AR5" s="23" t="s">
        <v>54</v>
      </c>
      <c r="AV5" s="23" t="s">
        <v>55</v>
      </c>
      <c r="AX5" s="24">
        <v>84</v>
      </c>
      <c r="AY5" s="25">
        <v>39</v>
      </c>
      <c r="AZ5" s="25">
        <v>84</v>
      </c>
      <c r="BA5" s="26">
        <v>36</v>
      </c>
    </row>
    <row r="6" spans="1:53" x14ac:dyDescent="0.15">
      <c r="A6" s="53" t="s">
        <v>34</v>
      </c>
      <c r="B6" s="53" t="s">
        <v>236</v>
      </c>
      <c r="C6" s="53">
        <v>2019</v>
      </c>
      <c r="D6" s="143" t="s">
        <v>357</v>
      </c>
      <c r="E6" s="53" t="s">
        <v>366</v>
      </c>
      <c r="F6" s="53" t="s">
        <v>367</v>
      </c>
      <c r="G6" s="53" t="s">
        <v>36</v>
      </c>
      <c r="H6" s="53" t="s">
        <v>164</v>
      </c>
      <c r="I6" s="53" t="s">
        <v>159</v>
      </c>
      <c r="J6" s="53" t="s">
        <v>38</v>
      </c>
      <c r="K6" s="53" t="s">
        <v>161</v>
      </c>
      <c r="L6" s="53">
        <v>2</v>
      </c>
      <c r="N6" s="53">
        <v>1</v>
      </c>
      <c r="O6" s="53">
        <v>0.75</v>
      </c>
      <c r="P6" s="53">
        <v>0.7</v>
      </c>
      <c r="Q6" s="74">
        <f t="shared" si="0"/>
        <v>0.72499999999999998</v>
      </c>
      <c r="R6" s="53">
        <v>13.7</v>
      </c>
      <c r="S6" s="53">
        <v>132</v>
      </c>
      <c r="T6" s="16">
        <f t="shared" si="1"/>
        <v>30</v>
      </c>
      <c r="U6" s="53">
        <v>84</v>
      </c>
      <c r="V6" s="16">
        <f t="shared" si="2"/>
        <v>2520</v>
      </c>
      <c r="W6" s="53">
        <v>1</v>
      </c>
      <c r="X6" s="53" t="s">
        <v>46</v>
      </c>
      <c r="Y6" s="53" t="s">
        <v>84</v>
      </c>
      <c r="Z6" s="53" t="s">
        <v>78</v>
      </c>
      <c r="AA6" s="53" t="s">
        <v>90</v>
      </c>
      <c r="AB6" s="53" t="s">
        <v>240</v>
      </c>
      <c r="AE6" s="22" t="s">
        <v>56</v>
      </c>
      <c r="AG6" s="145" t="s">
        <v>370</v>
      </c>
      <c r="AH6" s="67" t="s">
        <v>371</v>
      </c>
      <c r="AL6" s="73" t="s">
        <v>99</v>
      </c>
      <c r="AN6" s="73" t="s">
        <v>57</v>
      </c>
      <c r="AP6" s="23" t="s">
        <v>53</v>
      </c>
      <c r="AR6" s="23" t="s">
        <v>59</v>
      </c>
      <c r="AV6" s="23" t="s">
        <v>60</v>
      </c>
      <c r="AX6" s="24">
        <v>97</v>
      </c>
      <c r="AY6" s="25">
        <v>36</v>
      </c>
      <c r="AZ6" s="25">
        <v>99</v>
      </c>
      <c r="BA6" s="26">
        <v>33</v>
      </c>
    </row>
    <row r="7" spans="1:53" x14ac:dyDescent="0.15">
      <c r="A7" s="53" t="s">
        <v>34</v>
      </c>
      <c r="B7" s="53" t="s">
        <v>236</v>
      </c>
      <c r="C7" s="53">
        <v>2019</v>
      </c>
      <c r="D7" s="143" t="s">
        <v>357</v>
      </c>
      <c r="E7" s="53" t="s">
        <v>366</v>
      </c>
      <c r="F7" s="53" t="s">
        <v>367</v>
      </c>
      <c r="G7" s="53" t="s">
        <v>36</v>
      </c>
      <c r="H7" s="53" t="s">
        <v>164</v>
      </c>
      <c r="I7" s="53" t="s">
        <v>159</v>
      </c>
      <c r="J7" s="53" t="s">
        <v>38</v>
      </c>
      <c r="K7" s="53" t="s">
        <v>161</v>
      </c>
      <c r="L7" s="53">
        <v>3</v>
      </c>
      <c r="N7" s="53">
        <v>1</v>
      </c>
      <c r="O7" s="53">
        <v>0.85</v>
      </c>
      <c r="P7" s="53">
        <v>0.95</v>
      </c>
      <c r="Q7" s="74">
        <f t="shared" si="0"/>
        <v>0.89999999999999991</v>
      </c>
      <c r="R7" s="53">
        <v>14.4</v>
      </c>
      <c r="S7" s="53">
        <v>134</v>
      </c>
      <c r="T7" s="16">
        <f t="shared" si="1"/>
        <v>30</v>
      </c>
      <c r="U7" s="53">
        <v>84</v>
      </c>
      <c r="V7" s="16">
        <f t="shared" si="2"/>
        <v>2520</v>
      </c>
      <c r="W7" s="53">
        <v>1</v>
      </c>
      <c r="X7" s="53" t="s">
        <v>46</v>
      </c>
      <c r="Y7" s="53" t="s">
        <v>84</v>
      </c>
      <c r="Z7" s="53" t="s">
        <v>78</v>
      </c>
      <c r="AA7" s="53" t="s">
        <v>90</v>
      </c>
      <c r="AB7" s="53" t="s">
        <v>240</v>
      </c>
      <c r="AE7" s="22" t="s">
        <v>61</v>
      </c>
      <c r="AG7" s="145" t="s">
        <v>273</v>
      </c>
      <c r="AH7" s="67" t="s">
        <v>372</v>
      </c>
      <c r="AL7" s="34" t="s">
        <v>109</v>
      </c>
      <c r="AP7" s="23" t="s">
        <v>58</v>
      </c>
      <c r="AR7" s="23" t="s">
        <v>122</v>
      </c>
      <c r="AV7" s="23" t="s">
        <v>64</v>
      </c>
      <c r="AX7" s="24">
        <v>109</v>
      </c>
      <c r="AY7" s="25">
        <v>33</v>
      </c>
      <c r="AZ7" s="25">
        <v>113</v>
      </c>
      <c r="BA7" s="26">
        <v>30</v>
      </c>
    </row>
    <row r="8" spans="1:53" x14ac:dyDescent="0.15">
      <c r="A8" s="53" t="s">
        <v>34</v>
      </c>
      <c r="B8" s="53" t="s">
        <v>236</v>
      </c>
      <c r="C8" s="53">
        <v>2019</v>
      </c>
      <c r="D8" s="143" t="s">
        <v>357</v>
      </c>
      <c r="E8" s="53" t="s">
        <v>366</v>
      </c>
      <c r="F8" s="53" t="s">
        <v>367</v>
      </c>
      <c r="G8" s="53" t="s">
        <v>36</v>
      </c>
      <c r="H8" s="53" t="s">
        <v>127</v>
      </c>
      <c r="I8" s="53" t="s">
        <v>159</v>
      </c>
      <c r="J8" s="53" t="s">
        <v>80</v>
      </c>
      <c r="K8" s="53" t="s">
        <v>45</v>
      </c>
      <c r="L8" s="53">
        <v>1</v>
      </c>
      <c r="N8" s="53">
        <v>8</v>
      </c>
      <c r="O8" s="53">
        <v>0.6</v>
      </c>
      <c r="P8" s="53">
        <v>0.55000000000000004</v>
      </c>
      <c r="Q8" s="74">
        <f t="shared" si="0"/>
        <v>0.57499999999999996</v>
      </c>
      <c r="R8" s="53">
        <v>13.3</v>
      </c>
      <c r="S8" s="53">
        <v>92</v>
      </c>
      <c r="T8" s="16">
        <f t="shared" si="1"/>
        <v>36</v>
      </c>
      <c r="U8" s="53">
        <v>321</v>
      </c>
      <c r="V8" s="16">
        <f t="shared" si="2"/>
        <v>1444.5</v>
      </c>
      <c r="W8" s="53">
        <v>1</v>
      </c>
      <c r="X8" s="53" t="s">
        <v>46</v>
      </c>
      <c r="Y8" s="53" t="s">
        <v>84</v>
      </c>
      <c r="Z8" s="53" t="s">
        <v>78</v>
      </c>
      <c r="AA8" s="53" t="s">
        <v>90</v>
      </c>
      <c r="AB8" s="53" t="s">
        <v>240</v>
      </c>
      <c r="AE8" s="22" t="s">
        <v>59</v>
      </c>
      <c r="AG8" s="145" t="s">
        <v>366</v>
      </c>
      <c r="AH8" s="67" t="s">
        <v>367</v>
      </c>
      <c r="AL8" s="34" t="s">
        <v>134</v>
      </c>
      <c r="AP8" s="23" t="s">
        <v>62</v>
      </c>
      <c r="AR8" s="23" t="s">
        <v>81</v>
      </c>
      <c r="AV8" s="23" t="s">
        <v>97</v>
      </c>
      <c r="AX8" s="24">
        <v>151</v>
      </c>
      <c r="AY8" s="25">
        <v>22</v>
      </c>
      <c r="AZ8" s="25">
        <v>152</v>
      </c>
      <c r="BA8" s="26">
        <v>18</v>
      </c>
    </row>
    <row r="9" spans="1:53" x14ac:dyDescent="0.15">
      <c r="A9" s="53" t="s">
        <v>34</v>
      </c>
      <c r="B9" s="53" t="s">
        <v>236</v>
      </c>
      <c r="C9" s="53">
        <v>2019</v>
      </c>
      <c r="D9" s="143" t="s">
        <v>357</v>
      </c>
      <c r="E9" s="53" t="s">
        <v>366</v>
      </c>
      <c r="F9" s="53" t="s">
        <v>367</v>
      </c>
      <c r="G9" s="53" t="s">
        <v>36</v>
      </c>
      <c r="H9" s="53" t="s">
        <v>127</v>
      </c>
      <c r="I9" s="53" t="s">
        <v>159</v>
      </c>
      <c r="J9" s="53" t="s">
        <v>80</v>
      </c>
      <c r="K9" s="53" t="s">
        <v>45</v>
      </c>
      <c r="L9" s="53">
        <v>2</v>
      </c>
      <c r="N9" s="53">
        <v>8</v>
      </c>
      <c r="O9" s="53">
        <v>0.85</v>
      </c>
      <c r="P9" s="53">
        <v>0.75</v>
      </c>
      <c r="Q9" s="74">
        <f t="shared" si="0"/>
        <v>0.8</v>
      </c>
      <c r="R9" s="53">
        <v>14.1</v>
      </c>
      <c r="S9" s="53">
        <v>96</v>
      </c>
      <c r="T9" s="16">
        <f t="shared" si="1"/>
        <v>36</v>
      </c>
      <c r="U9" s="53">
        <v>321</v>
      </c>
      <c r="V9" s="16">
        <f t="shared" si="2"/>
        <v>1444.5</v>
      </c>
      <c r="W9" s="53">
        <v>1</v>
      </c>
      <c r="X9" s="53" t="s">
        <v>46</v>
      </c>
      <c r="Y9" s="53" t="s">
        <v>84</v>
      </c>
      <c r="Z9" s="53" t="s">
        <v>78</v>
      </c>
      <c r="AA9" s="53" t="s">
        <v>90</v>
      </c>
      <c r="AB9" s="53" t="s">
        <v>240</v>
      </c>
      <c r="AE9" s="22" t="s">
        <v>98</v>
      </c>
      <c r="AG9" s="145" t="s">
        <v>373</v>
      </c>
      <c r="AH9" s="67" t="s">
        <v>374</v>
      </c>
      <c r="AL9" s="73"/>
      <c r="AP9" s="23" t="s">
        <v>95</v>
      </c>
      <c r="AR9" s="23" t="s">
        <v>89</v>
      </c>
      <c r="AV9" s="23" t="s">
        <v>102</v>
      </c>
      <c r="AX9" s="31">
        <v>180</v>
      </c>
      <c r="AY9" s="32">
        <v>18</v>
      </c>
      <c r="AZ9" s="32">
        <v>181</v>
      </c>
      <c r="BA9" s="33">
        <v>16</v>
      </c>
    </row>
    <row r="10" spans="1:53" x14ac:dyDescent="0.15">
      <c r="A10" s="53" t="s">
        <v>34</v>
      </c>
      <c r="B10" s="53" t="s">
        <v>236</v>
      </c>
      <c r="C10" s="53">
        <v>2019</v>
      </c>
      <c r="D10" s="143" t="s">
        <v>357</v>
      </c>
      <c r="E10" s="53" t="s">
        <v>366</v>
      </c>
      <c r="F10" s="53" t="s">
        <v>367</v>
      </c>
      <c r="G10" s="53" t="s">
        <v>36</v>
      </c>
      <c r="H10" s="53" t="s">
        <v>127</v>
      </c>
      <c r="I10" s="53" t="s">
        <v>159</v>
      </c>
      <c r="J10" s="53" t="s">
        <v>80</v>
      </c>
      <c r="K10" s="53" t="s">
        <v>45</v>
      </c>
      <c r="L10" s="53">
        <v>3</v>
      </c>
      <c r="N10" s="53">
        <v>8</v>
      </c>
      <c r="O10" s="53">
        <v>0.6</v>
      </c>
      <c r="P10" s="53">
        <v>0.6</v>
      </c>
      <c r="Q10" s="74">
        <f t="shared" si="0"/>
        <v>0.6</v>
      </c>
      <c r="R10" s="53">
        <v>14.2</v>
      </c>
      <c r="S10" s="53">
        <v>93</v>
      </c>
      <c r="T10" s="16">
        <f t="shared" si="1"/>
        <v>36</v>
      </c>
      <c r="U10" s="53">
        <v>321</v>
      </c>
      <c r="V10" s="16">
        <f t="shared" si="2"/>
        <v>1444.5</v>
      </c>
      <c r="W10" s="53">
        <v>1</v>
      </c>
      <c r="X10" s="53" t="s">
        <v>46</v>
      </c>
      <c r="Y10" s="53" t="s">
        <v>84</v>
      </c>
      <c r="Z10" s="53" t="s">
        <v>78</v>
      </c>
      <c r="AA10" s="53" t="s">
        <v>90</v>
      </c>
      <c r="AB10" s="53" t="s">
        <v>240</v>
      </c>
      <c r="AE10" s="22" t="s">
        <v>103</v>
      </c>
      <c r="AG10" s="145" t="s">
        <v>358</v>
      </c>
      <c r="AH10" s="67" t="s">
        <v>359</v>
      </c>
      <c r="AL10" s="34"/>
      <c r="AP10" s="23" t="s">
        <v>100</v>
      </c>
      <c r="AR10" s="23" t="s">
        <v>123</v>
      </c>
      <c r="AV10" s="23" t="s">
        <v>106</v>
      </c>
    </row>
    <row r="11" spans="1:53" x14ac:dyDescent="0.15">
      <c r="A11" s="53" t="s">
        <v>34</v>
      </c>
      <c r="B11" s="53" t="s">
        <v>236</v>
      </c>
      <c r="C11" s="53">
        <v>2019</v>
      </c>
      <c r="D11" s="143" t="s">
        <v>357</v>
      </c>
      <c r="E11" s="53" t="s">
        <v>366</v>
      </c>
      <c r="F11" s="53" t="s">
        <v>367</v>
      </c>
      <c r="G11" s="53" t="s">
        <v>36</v>
      </c>
      <c r="H11" s="53" t="s">
        <v>128</v>
      </c>
      <c r="I11" s="53" t="s">
        <v>159</v>
      </c>
      <c r="J11" s="53" t="s">
        <v>53</v>
      </c>
      <c r="K11" s="53" t="s">
        <v>54</v>
      </c>
      <c r="L11" s="53">
        <v>1</v>
      </c>
      <c r="N11" s="53">
        <v>1</v>
      </c>
      <c r="O11" s="53">
        <v>1</v>
      </c>
      <c r="P11" s="53">
        <v>0.75</v>
      </c>
      <c r="Q11" s="74">
        <f t="shared" si="0"/>
        <v>0.875</v>
      </c>
      <c r="R11" s="53">
        <v>15.4</v>
      </c>
      <c r="S11" s="53">
        <v>116</v>
      </c>
      <c r="T11" s="16">
        <f t="shared" si="1"/>
        <v>30</v>
      </c>
      <c r="U11" s="53">
        <v>149</v>
      </c>
      <c r="V11" s="16">
        <f t="shared" si="2"/>
        <v>4470</v>
      </c>
      <c r="W11" s="53">
        <v>1</v>
      </c>
      <c r="X11" s="53" t="s">
        <v>46</v>
      </c>
      <c r="Y11" s="53" t="s">
        <v>84</v>
      </c>
      <c r="Z11" s="53" t="s">
        <v>78</v>
      </c>
      <c r="AA11" s="53" t="s">
        <v>90</v>
      </c>
      <c r="AB11" s="53" t="s">
        <v>240</v>
      </c>
      <c r="AE11" s="22" t="s">
        <v>65</v>
      </c>
      <c r="AG11" s="145" t="s">
        <v>211</v>
      </c>
      <c r="AH11" s="67" t="s">
        <v>375</v>
      </c>
      <c r="AL11" s="34"/>
      <c r="AP11" s="23" t="s">
        <v>104</v>
      </c>
      <c r="AR11" s="23" t="s">
        <v>87</v>
      </c>
      <c r="AV11" s="23" t="s">
        <v>69</v>
      </c>
    </row>
    <row r="12" spans="1:53" x14ac:dyDescent="0.15">
      <c r="A12" s="53" t="s">
        <v>34</v>
      </c>
      <c r="B12" s="53" t="s">
        <v>236</v>
      </c>
      <c r="C12" s="53">
        <v>2019</v>
      </c>
      <c r="D12" s="143" t="s">
        <v>357</v>
      </c>
      <c r="E12" s="53" t="s">
        <v>366</v>
      </c>
      <c r="F12" s="53" t="s">
        <v>367</v>
      </c>
      <c r="G12" s="53" t="s">
        <v>36</v>
      </c>
      <c r="H12" s="53" t="s">
        <v>128</v>
      </c>
      <c r="I12" s="53" t="s">
        <v>159</v>
      </c>
      <c r="J12" s="53" t="s">
        <v>53</v>
      </c>
      <c r="K12" s="53" t="s">
        <v>54</v>
      </c>
      <c r="L12" s="53">
        <v>2</v>
      </c>
      <c r="N12" s="53">
        <v>1</v>
      </c>
      <c r="O12" s="53">
        <v>0.55000000000000004</v>
      </c>
      <c r="P12" s="53">
        <v>0.7</v>
      </c>
      <c r="Q12" s="74">
        <f t="shared" si="0"/>
        <v>0.625</v>
      </c>
      <c r="R12" s="53">
        <v>15.5</v>
      </c>
      <c r="S12" s="53">
        <v>112</v>
      </c>
      <c r="T12" s="16">
        <f t="shared" si="1"/>
        <v>33</v>
      </c>
      <c r="U12" s="53">
        <v>149</v>
      </c>
      <c r="V12" s="16">
        <f t="shared" si="2"/>
        <v>4917</v>
      </c>
      <c r="W12" s="53">
        <v>1</v>
      </c>
      <c r="X12" s="53" t="s">
        <v>46</v>
      </c>
      <c r="Y12" s="53" t="s">
        <v>84</v>
      </c>
      <c r="Z12" s="53" t="s">
        <v>78</v>
      </c>
      <c r="AA12" s="53" t="s">
        <v>90</v>
      </c>
      <c r="AB12" s="53" t="s">
        <v>240</v>
      </c>
      <c r="AE12" s="22" t="s">
        <v>70</v>
      </c>
      <c r="AG12" s="28"/>
      <c r="AH12" s="23"/>
      <c r="AL12" s="34"/>
      <c r="AP12" s="23" t="s">
        <v>67</v>
      </c>
      <c r="AR12" s="23" t="s">
        <v>124</v>
      </c>
      <c r="AV12" s="23" t="s">
        <v>72</v>
      </c>
    </row>
    <row r="13" spans="1:53" x14ac:dyDescent="0.15">
      <c r="A13" s="53" t="s">
        <v>34</v>
      </c>
      <c r="B13" s="53" t="s">
        <v>236</v>
      </c>
      <c r="C13" s="53">
        <v>2019</v>
      </c>
      <c r="D13" s="143" t="s">
        <v>357</v>
      </c>
      <c r="E13" s="53" t="s">
        <v>366</v>
      </c>
      <c r="F13" s="53" t="s">
        <v>367</v>
      </c>
      <c r="G13" s="53" t="s">
        <v>36</v>
      </c>
      <c r="H13" s="53" t="s">
        <v>128</v>
      </c>
      <c r="I13" s="53" t="s">
        <v>159</v>
      </c>
      <c r="J13" s="53" t="s">
        <v>53</v>
      </c>
      <c r="K13" s="53" t="s">
        <v>54</v>
      </c>
      <c r="L13" s="53">
        <v>3</v>
      </c>
      <c r="N13" s="53">
        <v>1</v>
      </c>
      <c r="O13" s="53">
        <v>0.7</v>
      </c>
      <c r="P13" s="53">
        <v>0.95</v>
      </c>
      <c r="Q13" s="74">
        <f t="shared" si="0"/>
        <v>0.82499999999999996</v>
      </c>
      <c r="R13" s="53">
        <v>15.4</v>
      </c>
      <c r="S13" s="53">
        <v>110</v>
      </c>
      <c r="T13" s="16">
        <f t="shared" si="1"/>
        <v>33</v>
      </c>
      <c r="U13" s="53">
        <v>149</v>
      </c>
      <c r="V13" s="16">
        <f t="shared" si="2"/>
        <v>4917</v>
      </c>
      <c r="W13" s="53">
        <v>1</v>
      </c>
      <c r="X13" s="53" t="s">
        <v>46</v>
      </c>
      <c r="Y13" s="53" t="s">
        <v>84</v>
      </c>
      <c r="Z13" s="53" t="s">
        <v>78</v>
      </c>
      <c r="AA13" s="53" t="s">
        <v>90</v>
      </c>
      <c r="AB13" s="53" t="s">
        <v>240</v>
      </c>
      <c r="AE13" s="22" t="s">
        <v>73</v>
      </c>
      <c r="AH13" s="28"/>
      <c r="AP13" s="23" t="s">
        <v>71</v>
      </c>
      <c r="AR13" s="23" t="s">
        <v>103</v>
      </c>
      <c r="AV13" s="23" t="s">
        <v>75</v>
      </c>
    </row>
    <row r="14" spans="1:53" x14ac:dyDescent="0.15">
      <c r="A14" s="53" t="s">
        <v>34</v>
      </c>
      <c r="B14" s="53" t="s">
        <v>236</v>
      </c>
      <c r="C14" s="53">
        <v>2019</v>
      </c>
      <c r="D14" s="143" t="s">
        <v>357</v>
      </c>
      <c r="E14" s="53" t="s">
        <v>373</v>
      </c>
      <c r="F14" s="53" t="s">
        <v>374</v>
      </c>
      <c r="G14" s="53" t="s">
        <v>36</v>
      </c>
      <c r="H14" s="53" t="s">
        <v>164</v>
      </c>
      <c r="I14" s="53" t="s">
        <v>159</v>
      </c>
      <c r="J14" s="53" t="s">
        <v>38</v>
      </c>
      <c r="K14" s="53" t="s">
        <v>161</v>
      </c>
      <c r="L14" s="53">
        <v>1</v>
      </c>
      <c r="N14" s="53">
        <v>1</v>
      </c>
      <c r="O14" s="53">
        <v>0.8</v>
      </c>
      <c r="P14" s="53">
        <v>0.95</v>
      </c>
      <c r="Q14" s="74">
        <f t="shared" si="0"/>
        <v>0.875</v>
      </c>
      <c r="R14" s="53">
        <v>11</v>
      </c>
      <c r="S14" s="53">
        <v>118</v>
      </c>
      <c r="T14" s="16">
        <f t="shared" si="1"/>
        <v>30</v>
      </c>
      <c r="U14" s="53">
        <v>118</v>
      </c>
      <c r="V14" s="16">
        <f t="shared" si="2"/>
        <v>3540</v>
      </c>
      <c r="W14" s="53">
        <v>6</v>
      </c>
      <c r="X14" s="53" t="s">
        <v>46</v>
      </c>
      <c r="Y14" s="53" t="s">
        <v>84</v>
      </c>
      <c r="Z14" s="53" t="s">
        <v>78</v>
      </c>
      <c r="AA14" s="53" t="s">
        <v>90</v>
      </c>
      <c r="AB14" s="53" t="s">
        <v>240</v>
      </c>
      <c r="AE14" s="22" t="s">
        <v>76</v>
      </c>
      <c r="AG14" s="146"/>
      <c r="AP14" s="23" t="s">
        <v>74</v>
      </c>
      <c r="AR14" s="23" t="s">
        <v>125</v>
      </c>
      <c r="AV14" s="23" t="s">
        <v>78</v>
      </c>
    </row>
    <row r="15" spans="1:53" x14ac:dyDescent="0.15">
      <c r="A15" s="53" t="s">
        <v>34</v>
      </c>
      <c r="B15" s="53" t="s">
        <v>236</v>
      </c>
      <c r="C15" s="53">
        <v>2019</v>
      </c>
      <c r="D15" s="143" t="s">
        <v>357</v>
      </c>
      <c r="E15" s="53" t="s">
        <v>373</v>
      </c>
      <c r="F15" s="53" t="s">
        <v>374</v>
      </c>
      <c r="G15" s="53" t="s">
        <v>36</v>
      </c>
      <c r="H15" s="53" t="s">
        <v>164</v>
      </c>
      <c r="I15" s="53" t="s">
        <v>159</v>
      </c>
      <c r="J15" s="53" t="s">
        <v>38</v>
      </c>
      <c r="K15" s="53" t="s">
        <v>161</v>
      </c>
      <c r="L15" s="53">
        <v>2</v>
      </c>
      <c r="N15" s="53">
        <v>1</v>
      </c>
      <c r="O15" s="53">
        <v>0.75</v>
      </c>
      <c r="P15" s="53">
        <v>0.95</v>
      </c>
      <c r="Q15" s="74">
        <f t="shared" si="0"/>
        <v>0.85</v>
      </c>
      <c r="R15" s="53">
        <v>13.5</v>
      </c>
      <c r="S15" s="53">
        <v>120</v>
      </c>
      <c r="T15" s="16">
        <f t="shared" si="1"/>
        <v>30</v>
      </c>
      <c r="U15" s="53">
        <v>120</v>
      </c>
      <c r="V15" s="16">
        <f t="shared" si="2"/>
        <v>3600</v>
      </c>
      <c r="W15" s="53">
        <v>6</v>
      </c>
      <c r="X15" s="53" t="s">
        <v>46</v>
      </c>
      <c r="Y15" s="53" t="s">
        <v>84</v>
      </c>
      <c r="Z15" s="53" t="s">
        <v>78</v>
      </c>
      <c r="AA15" s="53" t="s">
        <v>90</v>
      </c>
      <c r="AB15" s="53" t="s">
        <v>240</v>
      </c>
      <c r="AE15" s="22" t="s">
        <v>79</v>
      </c>
      <c r="AP15" s="23" t="s">
        <v>77</v>
      </c>
      <c r="AR15" s="23" t="s">
        <v>94</v>
      </c>
      <c r="AV15" s="23" t="s">
        <v>107</v>
      </c>
    </row>
    <row r="16" spans="1:53" x14ac:dyDescent="0.15">
      <c r="A16" s="53" t="s">
        <v>34</v>
      </c>
      <c r="B16" s="53" t="s">
        <v>236</v>
      </c>
      <c r="C16" s="53">
        <v>2019</v>
      </c>
      <c r="D16" s="143" t="s">
        <v>357</v>
      </c>
      <c r="E16" s="53" t="s">
        <v>373</v>
      </c>
      <c r="F16" s="53" t="s">
        <v>374</v>
      </c>
      <c r="G16" s="53" t="s">
        <v>36</v>
      </c>
      <c r="H16" s="53" t="s">
        <v>164</v>
      </c>
      <c r="I16" s="53" t="s">
        <v>159</v>
      </c>
      <c r="J16" s="53" t="s">
        <v>38</v>
      </c>
      <c r="K16" s="53" t="s">
        <v>161</v>
      </c>
      <c r="L16" s="53">
        <v>3</v>
      </c>
      <c r="N16" s="53">
        <v>1</v>
      </c>
      <c r="O16" s="53">
        <v>0.2</v>
      </c>
      <c r="P16" s="53">
        <v>0.06</v>
      </c>
      <c r="Q16" s="74">
        <f t="shared" si="0"/>
        <v>0.13</v>
      </c>
      <c r="R16" s="53">
        <v>13.5</v>
      </c>
      <c r="S16" s="53">
        <v>118</v>
      </c>
      <c r="T16" s="16">
        <f t="shared" si="1"/>
        <v>30</v>
      </c>
      <c r="U16" s="53">
        <v>118</v>
      </c>
      <c r="V16" s="16">
        <f t="shared" si="2"/>
        <v>3540</v>
      </c>
      <c r="W16" s="53">
        <v>6</v>
      </c>
      <c r="X16" s="53" t="s">
        <v>46</v>
      </c>
      <c r="Y16" s="53" t="s">
        <v>84</v>
      </c>
      <c r="Z16" s="53" t="s">
        <v>78</v>
      </c>
      <c r="AA16" s="53" t="s">
        <v>90</v>
      </c>
      <c r="AB16" s="53" t="s">
        <v>240</v>
      </c>
      <c r="AE16" s="22" t="s">
        <v>82</v>
      </c>
      <c r="AP16" s="23" t="s">
        <v>80</v>
      </c>
      <c r="AR16" s="23" t="s">
        <v>63</v>
      </c>
      <c r="AV16" s="23" t="s">
        <v>84</v>
      </c>
    </row>
    <row r="17" spans="1:48" x14ac:dyDescent="0.15">
      <c r="A17" s="53" t="s">
        <v>34</v>
      </c>
      <c r="B17" s="53" t="s">
        <v>236</v>
      </c>
      <c r="C17" s="53">
        <v>2019</v>
      </c>
      <c r="D17" s="143" t="s">
        <v>357</v>
      </c>
      <c r="E17" s="53" t="s">
        <v>373</v>
      </c>
      <c r="F17" s="53" t="s">
        <v>374</v>
      </c>
      <c r="G17" s="53" t="s">
        <v>36</v>
      </c>
      <c r="H17" s="53" t="s">
        <v>164</v>
      </c>
      <c r="I17" s="53" t="s">
        <v>159</v>
      </c>
      <c r="J17" s="53" t="s">
        <v>38</v>
      </c>
      <c r="K17" s="53" t="s">
        <v>161</v>
      </c>
      <c r="L17" s="53">
        <v>1</v>
      </c>
      <c r="N17" s="53">
        <v>4</v>
      </c>
      <c r="O17" s="53">
        <v>0.55000000000000004</v>
      </c>
      <c r="P17" s="53">
        <v>0.6</v>
      </c>
      <c r="Q17" s="74">
        <f t="shared" si="0"/>
        <v>0.57499999999999996</v>
      </c>
      <c r="R17" s="53">
        <v>15.6</v>
      </c>
      <c r="S17" s="53">
        <v>83</v>
      </c>
      <c r="T17" s="16">
        <f t="shared" si="1"/>
        <v>39</v>
      </c>
      <c r="U17" s="53">
        <v>83</v>
      </c>
      <c r="V17" s="16">
        <f t="shared" si="2"/>
        <v>809.25</v>
      </c>
      <c r="W17" s="53">
        <v>6</v>
      </c>
      <c r="X17" s="53" t="s">
        <v>46</v>
      </c>
      <c r="Y17" s="53" t="s">
        <v>84</v>
      </c>
      <c r="Z17" s="53" t="s">
        <v>78</v>
      </c>
      <c r="AA17" s="53" t="s">
        <v>90</v>
      </c>
      <c r="AB17" s="53" t="s">
        <v>240</v>
      </c>
      <c r="AE17" s="22" t="s">
        <v>85</v>
      </c>
      <c r="AP17" s="27" t="s">
        <v>110</v>
      </c>
      <c r="AR17" s="23" t="s">
        <v>96</v>
      </c>
      <c r="AV17" s="23" t="s">
        <v>86</v>
      </c>
    </row>
    <row r="18" spans="1:48" x14ac:dyDescent="0.15">
      <c r="A18" s="53" t="s">
        <v>34</v>
      </c>
      <c r="B18" s="53" t="s">
        <v>236</v>
      </c>
      <c r="C18" s="53">
        <v>2019</v>
      </c>
      <c r="D18" s="143" t="s">
        <v>357</v>
      </c>
      <c r="E18" s="53" t="s">
        <v>373</v>
      </c>
      <c r="F18" s="53" t="s">
        <v>374</v>
      </c>
      <c r="G18" s="53" t="s">
        <v>36</v>
      </c>
      <c r="H18" s="53" t="s">
        <v>164</v>
      </c>
      <c r="I18" s="53" t="s">
        <v>159</v>
      </c>
      <c r="J18" s="53" t="s">
        <v>38</v>
      </c>
      <c r="K18" s="53" t="s">
        <v>161</v>
      </c>
      <c r="L18" s="53">
        <v>2</v>
      </c>
      <c r="N18" s="53">
        <v>4</v>
      </c>
      <c r="O18" s="53">
        <v>0.7</v>
      </c>
      <c r="P18" s="53">
        <v>0.8</v>
      </c>
      <c r="Q18" s="74">
        <f t="shared" si="0"/>
        <v>0.75</v>
      </c>
      <c r="R18" s="53">
        <v>15.3</v>
      </c>
      <c r="S18" s="53">
        <v>87</v>
      </c>
      <c r="T18" s="16">
        <f t="shared" si="1"/>
        <v>36</v>
      </c>
      <c r="U18" s="53">
        <v>87</v>
      </c>
      <c r="V18" s="16">
        <f t="shared" si="2"/>
        <v>783</v>
      </c>
      <c r="W18" s="53">
        <v>6</v>
      </c>
      <c r="X18" s="53" t="s">
        <v>46</v>
      </c>
      <c r="Y18" s="53" t="s">
        <v>84</v>
      </c>
      <c r="Z18" s="53" t="s">
        <v>78</v>
      </c>
      <c r="AA18" s="53" t="s">
        <v>90</v>
      </c>
      <c r="AB18" s="53" t="s">
        <v>240</v>
      </c>
      <c r="AE18" s="22" t="s">
        <v>87</v>
      </c>
      <c r="AP18" s="27" t="s">
        <v>111</v>
      </c>
      <c r="AR18" s="23" t="s">
        <v>101</v>
      </c>
      <c r="AV18" s="23" t="s">
        <v>88</v>
      </c>
    </row>
    <row r="19" spans="1:48" x14ac:dyDescent="0.15">
      <c r="A19" s="53" t="s">
        <v>34</v>
      </c>
      <c r="B19" s="53" t="s">
        <v>236</v>
      </c>
      <c r="C19" s="53">
        <v>2019</v>
      </c>
      <c r="D19" s="143" t="s">
        <v>357</v>
      </c>
      <c r="E19" s="53" t="s">
        <v>373</v>
      </c>
      <c r="F19" s="53" t="s">
        <v>374</v>
      </c>
      <c r="G19" s="53" t="s">
        <v>36</v>
      </c>
      <c r="H19" s="53" t="s">
        <v>164</v>
      </c>
      <c r="I19" s="53" t="s">
        <v>159</v>
      </c>
      <c r="J19" s="53" t="s">
        <v>38</v>
      </c>
      <c r="K19" s="53" t="s">
        <v>161</v>
      </c>
      <c r="L19" s="53">
        <v>3</v>
      </c>
      <c r="N19" s="53">
        <v>4</v>
      </c>
      <c r="O19" s="53">
        <v>0.95</v>
      </c>
      <c r="P19" s="53">
        <v>0.75</v>
      </c>
      <c r="Q19" s="74">
        <f t="shared" si="0"/>
        <v>0.85</v>
      </c>
      <c r="R19" s="53">
        <v>14.3</v>
      </c>
      <c r="S19" s="53">
        <v>83</v>
      </c>
      <c r="T19" s="16">
        <f t="shared" si="1"/>
        <v>39</v>
      </c>
      <c r="U19" s="53">
        <v>83</v>
      </c>
      <c r="V19" s="16">
        <f t="shared" si="2"/>
        <v>809.25</v>
      </c>
      <c r="W19" s="53">
        <v>6</v>
      </c>
      <c r="X19" s="53" t="s">
        <v>46</v>
      </c>
      <c r="Y19" s="53" t="s">
        <v>84</v>
      </c>
      <c r="Z19" s="53" t="s">
        <v>78</v>
      </c>
      <c r="AA19" s="53" t="s">
        <v>90</v>
      </c>
      <c r="AB19" s="53" t="s">
        <v>240</v>
      </c>
      <c r="AE19" s="35" t="s">
        <v>89</v>
      </c>
      <c r="AP19" s="27" t="s">
        <v>112</v>
      </c>
      <c r="AR19" s="23" t="s">
        <v>126</v>
      </c>
      <c r="AV19" s="23" t="s">
        <v>90</v>
      </c>
    </row>
    <row r="20" spans="1:48" x14ac:dyDescent="0.15">
      <c r="A20" s="53" t="s">
        <v>34</v>
      </c>
      <c r="B20" s="53" t="s">
        <v>236</v>
      </c>
      <c r="C20" s="53">
        <v>2019</v>
      </c>
      <c r="D20" s="143" t="s">
        <v>357</v>
      </c>
      <c r="E20" s="53" t="s">
        <v>373</v>
      </c>
      <c r="F20" s="53" t="s">
        <v>374</v>
      </c>
      <c r="G20" s="53" t="s">
        <v>36</v>
      </c>
      <c r="H20" s="53" t="s">
        <v>164</v>
      </c>
      <c r="I20" s="53" t="s">
        <v>159</v>
      </c>
      <c r="J20" s="53" t="s">
        <v>38</v>
      </c>
      <c r="K20" s="53" t="s">
        <v>161</v>
      </c>
      <c r="L20" s="53">
        <v>1</v>
      </c>
      <c r="N20" s="53">
        <v>8</v>
      </c>
      <c r="O20" s="53">
        <v>0.6</v>
      </c>
      <c r="P20" s="53">
        <v>0.6</v>
      </c>
      <c r="Q20" s="74">
        <f t="shared" si="0"/>
        <v>0.6</v>
      </c>
      <c r="R20" s="53">
        <v>14.2</v>
      </c>
      <c r="S20" s="53">
        <v>86</v>
      </c>
      <c r="T20" s="16">
        <f t="shared" si="1"/>
        <v>36</v>
      </c>
      <c r="U20" s="53">
        <v>86</v>
      </c>
      <c r="V20" s="16">
        <f t="shared" si="2"/>
        <v>387</v>
      </c>
      <c r="W20" s="53">
        <v>6</v>
      </c>
      <c r="X20" s="53" t="s">
        <v>46</v>
      </c>
      <c r="Y20" s="53" t="s">
        <v>84</v>
      </c>
      <c r="Z20" s="53" t="s">
        <v>78</v>
      </c>
      <c r="AA20" s="53" t="s">
        <v>90</v>
      </c>
      <c r="AB20" s="53" t="s">
        <v>240</v>
      </c>
      <c r="AP20" s="27" t="s">
        <v>113</v>
      </c>
      <c r="AR20" s="23" t="s">
        <v>105</v>
      </c>
      <c r="AV20" s="27" t="s">
        <v>135</v>
      </c>
    </row>
    <row r="21" spans="1:48" x14ac:dyDescent="0.15">
      <c r="A21" s="53" t="s">
        <v>34</v>
      </c>
      <c r="B21" s="53" t="s">
        <v>236</v>
      </c>
      <c r="C21" s="53">
        <v>2019</v>
      </c>
      <c r="D21" s="143" t="s">
        <v>357</v>
      </c>
      <c r="E21" s="53" t="s">
        <v>373</v>
      </c>
      <c r="F21" s="53" t="s">
        <v>374</v>
      </c>
      <c r="G21" s="53" t="s">
        <v>36</v>
      </c>
      <c r="H21" s="53" t="s">
        <v>164</v>
      </c>
      <c r="I21" s="53" t="s">
        <v>159</v>
      </c>
      <c r="J21" s="53" t="s">
        <v>38</v>
      </c>
      <c r="K21" s="53" t="s">
        <v>161</v>
      </c>
      <c r="L21" s="53">
        <v>2</v>
      </c>
      <c r="N21" s="53">
        <v>8</v>
      </c>
      <c r="O21" s="53">
        <v>0.6</v>
      </c>
      <c r="P21" s="53">
        <v>0.75</v>
      </c>
      <c r="Q21" s="74">
        <f t="shared" si="0"/>
        <v>0.67500000000000004</v>
      </c>
      <c r="R21" s="53">
        <v>14.3</v>
      </c>
      <c r="S21" s="53">
        <v>88</v>
      </c>
      <c r="T21" s="16">
        <f t="shared" si="1"/>
        <v>36</v>
      </c>
      <c r="U21" s="53">
        <v>88</v>
      </c>
      <c r="V21" s="16">
        <f t="shared" si="2"/>
        <v>396</v>
      </c>
      <c r="W21" s="53">
        <v>6</v>
      </c>
      <c r="X21" s="53" t="s">
        <v>46</v>
      </c>
      <c r="Y21" s="53" t="s">
        <v>84</v>
      </c>
      <c r="Z21" s="53" t="s">
        <v>78</v>
      </c>
      <c r="AA21" s="53" t="s">
        <v>90</v>
      </c>
      <c r="AB21" s="53" t="s">
        <v>240</v>
      </c>
      <c r="AP21" s="27" t="s">
        <v>114</v>
      </c>
      <c r="AR21" s="23" t="s">
        <v>68</v>
      </c>
      <c r="AV21" s="27" t="s">
        <v>136</v>
      </c>
    </row>
    <row r="22" spans="1:48" x14ac:dyDescent="0.15">
      <c r="A22" s="53" t="s">
        <v>34</v>
      </c>
      <c r="B22" s="53" t="s">
        <v>236</v>
      </c>
      <c r="C22" s="53">
        <v>2019</v>
      </c>
      <c r="D22" s="143" t="s">
        <v>357</v>
      </c>
      <c r="E22" s="53" t="s">
        <v>373</v>
      </c>
      <c r="F22" s="53" t="s">
        <v>374</v>
      </c>
      <c r="G22" s="53" t="s">
        <v>36</v>
      </c>
      <c r="H22" s="53" t="s">
        <v>164</v>
      </c>
      <c r="I22" s="53" t="s">
        <v>159</v>
      </c>
      <c r="J22" s="53" t="s">
        <v>38</v>
      </c>
      <c r="K22" s="53" t="s">
        <v>161</v>
      </c>
      <c r="L22" s="53">
        <v>3</v>
      </c>
      <c r="N22" s="53">
        <v>8</v>
      </c>
      <c r="O22" s="53">
        <v>1</v>
      </c>
      <c r="P22" s="53">
        <v>0.6</v>
      </c>
      <c r="Q22" s="74">
        <f t="shared" si="0"/>
        <v>0.8</v>
      </c>
      <c r="R22" s="53">
        <v>13.8</v>
      </c>
      <c r="S22" s="53">
        <v>86</v>
      </c>
      <c r="T22" s="16">
        <f t="shared" si="1"/>
        <v>36</v>
      </c>
      <c r="U22" s="53">
        <v>86</v>
      </c>
      <c r="V22" s="16">
        <f t="shared" si="2"/>
        <v>387</v>
      </c>
      <c r="W22" s="53">
        <v>6</v>
      </c>
      <c r="X22" s="53" t="s">
        <v>46</v>
      </c>
      <c r="Y22" s="53" t="s">
        <v>84</v>
      </c>
      <c r="Z22" s="53" t="s">
        <v>78</v>
      </c>
      <c r="AA22" s="53" t="s">
        <v>90</v>
      </c>
      <c r="AB22" s="53" t="s">
        <v>240</v>
      </c>
      <c r="AP22" s="27" t="s">
        <v>115</v>
      </c>
      <c r="AR22" s="23" t="s">
        <v>83</v>
      </c>
      <c r="AV22" s="27"/>
    </row>
    <row r="23" spans="1:48" x14ac:dyDescent="0.15">
      <c r="A23" s="53" t="s">
        <v>34</v>
      </c>
      <c r="B23" s="53" t="s">
        <v>236</v>
      </c>
      <c r="C23" s="53">
        <v>2019</v>
      </c>
      <c r="D23" s="143" t="s">
        <v>357</v>
      </c>
      <c r="E23" s="53" t="s">
        <v>211</v>
      </c>
      <c r="F23" s="53" t="s">
        <v>375</v>
      </c>
      <c r="G23" s="53" t="s">
        <v>36</v>
      </c>
      <c r="H23" s="53" t="s">
        <v>164</v>
      </c>
      <c r="I23" s="53" t="s">
        <v>159</v>
      </c>
      <c r="J23" s="53" t="s">
        <v>38</v>
      </c>
      <c r="K23" s="53" t="s">
        <v>161</v>
      </c>
      <c r="L23" s="53">
        <v>1</v>
      </c>
      <c r="N23" s="53">
        <v>1</v>
      </c>
      <c r="O23" s="53">
        <v>0.5</v>
      </c>
      <c r="P23" s="53">
        <v>0.55000000000000004</v>
      </c>
      <c r="Q23" s="74">
        <f t="shared" si="0"/>
        <v>0.52500000000000002</v>
      </c>
      <c r="R23" s="53">
        <v>13.7</v>
      </c>
      <c r="S23" s="53">
        <v>120</v>
      </c>
      <c r="T23" s="16">
        <f t="shared" si="1"/>
        <v>30</v>
      </c>
      <c r="U23" s="53">
        <v>104</v>
      </c>
      <c r="V23" s="16">
        <f t="shared" si="2"/>
        <v>3120</v>
      </c>
      <c r="W23" s="53">
        <v>3</v>
      </c>
      <c r="X23" s="53" t="s">
        <v>46</v>
      </c>
      <c r="Y23" s="53" t="s">
        <v>84</v>
      </c>
      <c r="Z23" s="53" t="s">
        <v>90</v>
      </c>
      <c r="AA23" s="53" t="s">
        <v>69</v>
      </c>
      <c r="AB23" s="53" t="s">
        <v>240</v>
      </c>
      <c r="AP23" s="27" t="s">
        <v>117</v>
      </c>
      <c r="AR23" s="23" t="s">
        <v>153</v>
      </c>
    </row>
    <row r="24" spans="1:48" x14ac:dyDescent="0.15">
      <c r="A24" s="53" t="s">
        <v>34</v>
      </c>
      <c r="B24" s="53" t="s">
        <v>236</v>
      </c>
      <c r="C24" s="53">
        <v>2019</v>
      </c>
      <c r="D24" s="143" t="s">
        <v>357</v>
      </c>
      <c r="E24" s="53" t="s">
        <v>211</v>
      </c>
      <c r="F24" s="53" t="s">
        <v>375</v>
      </c>
      <c r="G24" s="53" t="s">
        <v>36</v>
      </c>
      <c r="H24" s="53" t="s">
        <v>164</v>
      </c>
      <c r="I24" s="53" t="s">
        <v>159</v>
      </c>
      <c r="J24" s="53" t="s">
        <v>38</v>
      </c>
      <c r="K24" s="53" t="s">
        <v>161</v>
      </c>
      <c r="L24" s="53">
        <v>2</v>
      </c>
      <c r="N24" s="53">
        <v>1</v>
      </c>
      <c r="O24" s="53">
        <v>0.45</v>
      </c>
      <c r="P24" s="53">
        <v>0.45</v>
      </c>
      <c r="Q24" s="74">
        <f t="shared" si="0"/>
        <v>0.45</v>
      </c>
      <c r="R24" s="53">
        <v>13.5</v>
      </c>
      <c r="S24" s="53">
        <v>124</v>
      </c>
      <c r="T24" s="16">
        <f t="shared" si="1"/>
        <v>30</v>
      </c>
      <c r="U24" s="53">
        <v>104</v>
      </c>
      <c r="V24" s="16">
        <f t="shared" si="2"/>
        <v>3120</v>
      </c>
      <c r="W24" s="53">
        <v>3</v>
      </c>
      <c r="X24" s="53" t="s">
        <v>46</v>
      </c>
      <c r="Y24" s="53" t="s">
        <v>84</v>
      </c>
      <c r="Z24" s="53" t="s">
        <v>90</v>
      </c>
      <c r="AA24" s="53" t="s">
        <v>69</v>
      </c>
      <c r="AB24" s="53" t="s">
        <v>240</v>
      </c>
      <c r="AP24" s="27" t="s">
        <v>118</v>
      </c>
    </row>
    <row r="25" spans="1:48" x14ac:dyDescent="0.15">
      <c r="A25" s="53" t="s">
        <v>34</v>
      </c>
      <c r="B25" s="53" t="s">
        <v>236</v>
      </c>
      <c r="C25" s="53">
        <v>2019</v>
      </c>
      <c r="D25" s="143" t="s">
        <v>357</v>
      </c>
      <c r="E25" s="53" t="s">
        <v>211</v>
      </c>
      <c r="F25" s="53" t="s">
        <v>375</v>
      </c>
      <c r="G25" s="53" t="s">
        <v>36</v>
      </c>
      <c r="H25" s="53" t="s">
        <v>164</v>
      </c>
      <c r="I25" s="53" t="s">
        <v>159</v>
      </c>
      <c r="J25" s="53" t="s">
        <v>38</v>
      </c>
      <c r="K25" s="53" t="s">
        <v>161</v>
      </c>
      <c r="L25" s="53">
        <v>3</v>
      </c>
      <c r="N25" s="53">
        <v>1</v>
      </c>
      <c r="O25" s="53">
        <v>0.45</v>
      </c>
      <c r="P25" s="53">
        <v>0.45</v>
      </c>
      <c r="Q25" s="74">
        <f t="shared" si="0"/>
        <v>0.45</v>
      </c>
      <c r="R25" s="53">
        <v>14.2</v>
      </c>
      <c r="S25" s="53">
        <v>120</v>
      </c>
      <c r="T25" s="16">
        <f t="shared" si="1"/>
        <v>30</v>
      </c>
      <c r="U25" s="53">
        <v>104</v>
      </c>
      <c r="V25" s="16">
        <f t="shared" si="2"/>
        <v>3120</v>
      </c>
      <c r="W25" s="53">
        <v>3</v>
      </c>
      <c r="X25" s="53" t="s">
        <v>46</v>
      </c>
      <c r="Y25" s="53" t="s">
        <v>84</v>
      </c>
      <c r="Z25" s="53" t="s">
        <v>90</v>
      </c>
      <c r="AA25" s="53" t="s">
        <v>69</v>
      </c>
      <c r="AB25" s="53" t="s">
        <v>240</v>
      </c>
    </row>
    <row r="26" spans="1:48" x14ac:dyDescent="0.15">
      <c r="A26" s="53" t="s">
        <v>34</v>
      </c>
      <c r="B26" s="53" t="s">
        <v>236</v>
      </c>
      <c r="C26" s="53">
        <v>2019</v>
      </c>
      <c r="D26" s="143" t="s">
        <v>357</v>
      </c>
      <c r="E26" s="53" t="s">
        <v>211</v>
      </c>
      <c r="F26" s="53" t="s">
        <v>375</v>
      </c>
      <c r="G26" s="53" t="s">
        <v>36</v>
      </c>
      <c r="H26" s="53" t="s">
        <v>164</v>
      </c>
      <c r="I26" s="53" t="s">
        <v>159</v>
      </c>
      <c r="J26" s="53" t="s">
        <v>38</v>
      </c>
      <c r="K26" s="53" t="s">
        <v>161</v>
      </c>
      <c r="L26" s="53">
        <v>1</v>
      </c>
      <c r="N26" s="53">
        <v>4</v>
      </c>
      <c r="O26" s="53">
        <v>1.6</v>
      </c>
      <c r="P26" s="53">
        <v>1.1499999999999999</v>
      </c>
      <c r="Q26" s="74">
        <f t="shared" si="0"/>
        <v>1.375</v>
      </c>
      <c r="R26" s="53">
        <v>14</v>
      </c>
      <c r="S26" s="53">
        <v>90</v>
      </c>
      <c r="T26" s="16">
        <f t="shared" si="1"/>
        <v>36</v>
      </c>
      <c r="U26" s="53">
        <v>407</v>
      </c>
      <c r="V26" s="16">
        <f t="shared" si="2"/>
        <v>3663</v>
      </c>
      <c r="W26" s="53">
        <v>3</v>
      </c>
      <c r="X26" s="53" t="s">
        <v>46</v>
      </c>
      <c r="Y26" s="53" t="s">
        <v>84</v>
      </c>
      <c r="Z26" s="53" t="s">
        <v>90</v>
      </c>
      <c r="AA26" s="53" t="s">
        <v>69</v>
      </c>
      <c r="AB26" s="53" t="s">
        <v>240</v>
      </c>
    </row>
    <row r="27" spans="1:48" x14ac:dyDescent="0.15">
      <c r="A27" s="53" t="s">
        <v>34</v>
      </c>
      <c r="B27" s="53" t="s">
        <v>236</v>
      </c>
      <c r="C27" s="53">
        <v>2019</v>
      </c>
      <c r="D27" s="143" t="s">
        <v>357</v>
      </c>
      <c r="E27" s="53" t="s">
        <v>211</v>
      </c>
      <c r="F27" s="53" t="s">
        <v>375</v>
      </c>
      <c r="G27" s="53" t="s">
        <v>36</v>
      </c>
      <c r="H27" s="53" t="s">
        <v>164</v>
      </c>
      <c r="I27" s="53" t="s">
        <v>159</v>
      </c>
      <c r="J27" s="53" t="s">
        <v>38</v>
      </c>
      <c r="K27" s="53" t="s">
        <v>161</v>
      </c>
      <c r="L27" s="53">
        <v>2</v>
      </c>
      <c r="N27" s="53">
        <v>4</v>
      </c>
      <c r="O27" s="53">
        <v>1</v>
      </c>
      <c r="P27" s="53">
        <v>0.75</v>
      </c>
      <c r="Q27" s="74">
        <f t="shared" si="0"/>
        <v>0.875</v>
      </c>
      <c r="R27" s="53">
        <v>14.1</v>
      </c>
      <c r="S27" s="53">
        <v>94</v>
      </c>
      <c r="T27" s="16">
        <f t="shared" si="1"/>
        <v>36</v>
      </c>
      <c r="U27" s="53">
        <v>407</v>
      </c>
      <c r="V27" s="16">
        <f t="shared" si="2"/>
        <v>3663</v>
      </c>
      <c r="W27" s="53">
        <v>3</v>
      </c>
      <c r="X27" s="53" t="s">
        <v>46</v>
      </c>
      <c r="Y27" s="53" t="s">
        <v>84</v>
      </c>
      <c r="Z27" s="53" t="s">
        <v>90</v>
      </c>
      <c r="AA27" s="53" t="s">
        <v>69</v>
      </c>
      <c r="AB27" s="53" t="s">
        <v>240</v>
      </c>
    </row>
    <row r="28" spans="1:48" x14ac:dyDescent="0.15">
      <c r="A28" s="53" t="s">
        <v>34</v>
      </c>
      <c r="B28" s="53" t="s">
        <v>236</v>
      </c>
      <c r="C28" s="53">
        <v>2019</v>
      </c>
      <c r="D28" s="143" t="s">
        <v>357</v>
      </c>
      <c r="E28" s="53" t="s">
        <v>211</v>
      </c>
      <c r="F28" s="53" t="s">
        <v>375</v>
      </c>
      <c r="G28" s="53" t="s">
        <v>36</v>
      </c>
      <c r="H28" s="53" t="s">
        <v>164</v>
      </c>
      <c r="I28" s="53" t="s">
        <v>159</v>
      </c>
      <c r="J28" s="53" t="s">
        <v>38</v>
      </c>
      <c r="K28" s="53" t="s">
        <v>161</v>
      </c>
      <c r="L28" s="53">
        <v>3</v>
      </c>
      <c r="N28" s="53">
        <v>4</v>
      </c>
      <c r="O28" s="53">
        <v>0.95</v>
      </c>
      <c r="P28" s="53">
        <v>1.5</v>
      </c>
      <c r="Q28" s="74">
        <f>IF(OR(O28="",P28=""),"",AVERAGE(O28,P28))</f>
        <v>1.2250000000000001</v>
      </c>
      <c r="R28" s="53">
        <v>13.7</v>
      </c>
      <c r="S28" s="53">
        <v>84</v>
      </c>
      <c r="T28" s="16">
        <f t="shared" si="1"/>
        <v>36</v>
      </c>
      <c r="U28" s="53">
        <v>407</v>
      </c>
      <c r="V28" s="16">
        <f t="shared" si="2"/>
        <v>3663</v>
      </c>
      <c r="W28" s="53">
        <v>3</v>
      </c>
      <c r="X28" s="53" t="s">
        <v>46</v>
      </c>
      <c r="Y28" s="53" t="s">
        <v>84</v>
      </c>
      <c r="Z28" s="53" t="s">
        <v>90</v>
      </c>
      <c r="AA28" s="53" t="s">
        <v>69</v>
      </c>
      <c r="AB28" s="53" t="s">
        <v>240</v>
      </c>
    </row>
    <row r="29" spans="1:48" x14ac:dyDescent="0.15">
      <c r="A29" s="53" t="s">
        <v>34</v>
      </c>
      <c r="B29" s="53" t="s">
        <v>236</v>
      </c>
      <c r="C29" s="53">
        <v>2019</v>
      </c>
      <c r="D29" s="143" t="s">
        <v>357</v>
      </c>
      <c r="E29" s="53" t="s">
        <v>364</v>
      </c>
      <c r="F29" s="53" t="s">
        <v>365</v>
      </c>
      <c r="G29" s="53" t="s">
        <v>36</v>
      </c>
      <c r="H29" s="53" t="s">
        <v>164</v>
      </c>
      <c r="I29" s="53" t="s">
        <v>159</v>
      </c>
      <c r="J29" s="53" t="s">
        <v>38</v>
      </c>
      <c r="K29" s="53" t="s">
        <v>161</v>
      </c>
      <c r="L29" s="53">
        <v>1</v>
      </c>
      <c r="N29" s="53">
        <v>1</v>
      </c>
      <c r="O29" s="53">
        <v>0.5</v>
      </c>
      <c r="P29" s="53">
        <v>0.9</v>
      </c>
      <c r="Q29" s="74">
        <f t="shared" si="0"/>
        <v>0.7</v>
      </c>
      <c r="R29" s="53">
        <v>14.3</v>
      </c>
      <c r="S29" s="53">
        <v>120</v>
      </c>
      <c r="T29" s="16">
        <f t="shared" si="1"/>
        <v>30</v>
      </c>
      <c r="U29" s="53">
        <v>108</v>
      </c>
      <c r="V29" s="16">
        <f t="shared" si="2"/>
        <v>3240</v>
      </c>
      <c r="W29" s="53">
        <v>2</v>
      </c>
      <c r="X29" s="53" t="s">
        <v>39</v>
      </c>
      <c r="Y29" s="53" t="s">
        <v>84</v>
      </c>
      <c r="Z29" s="53" t="s">
        <v>78</v>
      </c>
      <c r="AA29" s="53" t="s">
        <v>90</v>
      </c>
      <c r="AB29" s="53" t="s">
        <v>240</v>
      </c>
    </row>
    <row r="30" spans="1:48" x14ac:dyDescent="0.15">
      <c r="A30" s="53" t="s">
        <v>34</v>
      </c>
      <c r="B30" s="53" t="s">
        <v>236</v>
      </c>
      <c r="C30" s="53">
        <v>2019</v>
      </c>
      <c r="D30" s="143" t="s">
        <v>357</v>
      </c>
      <c r="E30" s="53" t="s">
        <v>364</v>
      </c>
      <c r="F30" s="53" t="s">
        <v>365</v>
      </c>
      <c r="G30" s="53" t="s">
        <v>36</v>
      </c>
      <c r="H30" s="53" t="s">
        <v>164</v>
      </c>
      <c r="I30" s="53" t="s">
        <v>159</v>
      </c>
      <c r="J30" s="53" t="s">
        <v>38</v>
      </c>
      <c r="K30" s="53" t="s">
        <v>161</v>
      </c>
      <c r="L30" s="53">
        <v>2</v>
      </c>
      <c r="N30" s="53">
        <v>1</v>
      </c>
      <c r="O30" s="53">
        <v>0.9</v>
      </c>
      <c r="P30" s="53">
        <v>0.75</v>
      </c>
      <c r="Q30" s="74">
        <f t="shared" si="0"/>
        <v>0.82499999999999996</v>
      </c>
      <c r="R30" s="53">
        <v>14.4</v>
      </c>
      <c r="S30" s="53">
        <v>126</v>
      </c>
      <c r="T30" s="16">
        <f t="shared" si="1"/>
        <v>30</v>
      </c>
      <c r="U30" s="53">
        <v>108</v>
      </c>
      <c r="V30" s="16">
        <f t="shared" si="2"/>
        <v>3240</v>
      </c>
      <c r="W30" s="53">
        <v>2</v>
      </c>
      <c r="X30" s="53" t="s">
        <v>39</v>
      </c>
      <c r="Y30" s="53" t="s">
        <v>84</v>
      </c>
      <c r="Z30" s="53" t="s">
        <v>78</v>
      </c>
      <c r="AA30" s="53" t="s">
        <v>90</v>
      </c>
      <c r="AB30" s="53" t="s">
        <v>240</v>
      </c>
    </row>
    <row r="31" spans="1:48" x14ac:dyDescent="0.15">
      <c r="A31" s="53" t="s">
        <v>34</v>
      </c>
      <c r="B31" s="53" t="s">
        <v>236</v>
      </c>
      <c r="C31" s="53">
        <v>2019</v>
      </c>
      <c r="D31" s="143" t="s">
        <v>357</v>
      </c>
      <c r="E31" s="53" t="s">
        <v>364</v>
      </c>
      <c r="F31" s="53" t="s">
        <v>365</v>
      </c>
      <c r="G31" s="53" t="s">
        <v>36</v>
      </c>
      <c r="H31" s="53" t="s">
        <v>164</v>
      </c>
      <c r="I31" s="53" t="s">
        <v>159</v>
      </c>
      <c r="J31" s="53" t="s">
        <v>38</v>
      </c>
      <c r="K31" s="53" t="s">
        <v>161</v>
      </c>
      <c r="L31" s="53">
        <v>3</v>
      </c>
      <c r="N31" s="53">
        <v>1</v>
      </c>
      <c r="O31" s="53">
        <v>0.55000000000000004</v>
      </c>
      <c r="P31" s="53">
        <v>0.65</v>
      </c>
      <c r="Q31" s="74">
        <f t="shared" si="0"/>
        <v>0.60000000000000009</v>
      </c>
      <c r="R31" s="53">
        <v>14.3</v>
      </c>
      <c r="S31" s="53">
        <v>128</v>
      </c>
      <c r="T31" s="16">
        <f t="shared" si="1"/>
        <v>30</v>
      </c>
      <c r="U31" s="53">
        <v>108</v>
      </c>
      <c r="V31" s="16">
        <f t="shared" si="2"/>
        <v>3240</v>
      </c>
      <c r="W31" s="53">
        <v>2</v>
      </c>
      <c r="X31" s="53" t="s">
        <v>39</v>
      </c>
      <c r="Y31" s="53" t="s">
        <v>84</v>
      </c>
      <c r="Z31" s="53" t="s">
        <v>78</v>
      </c>
      <c r="AA31" s="53" t="s">
        <v>90</v>
      </c>
      <c r="AB31" s="53" t="s">
        <v>240</v>
      </c>
    </row>
    <row r="32" spans="1:48" x14ac:dyDescent="0.15">
      <c r="A32" s="53" t="s">
        <v>34</v>
      </c>
      <c r="B32" s="53" t="s">
        <v>236</v>
      </c>
      <c r="C32" s="53">
        <v>2019</v>
      </c>
      <c r="D32" s="143" t="s">
        <v>357</v>
      </c>
      <c r="E32" s="53" t="s">
        <v>364</v>
      </c>
      <c r="F32" s="53" t="s">
        <v>365</v>
      </c>
      <c r="G32" s="53" t="s">
        <v>36</v>
      </c>
      <c r="H32" s="53" t="s">
        <v>127</v>
      </c>
      <c r="I32" s="53" t="s">
        <v>159</v>
      </c>
      <c r="J32" s="53" t="s">
        <v>80</v>
      </c>
      <c r="K32" s="53" t="s">
        <v>94</v>
      </c>
      <c r="L32" s="53">
        <v>1</v>
      </c>
      <c r="N32" s="53">
        <v>4</v>
      </c>
      <c r="O32" s="53">
        <v>3.05</v>
      </c>
      <c r="P32" s="53">
        <v>2.75</v>
      </c>
      <c r="Q32" s="74">
        <f t="shared" si="0"/>
        <v>2.9</v>
      </c>
      <c r="R32" s="53">
        <v>10.5</v>
      </c>
      <c r="S32" s="53">
        <v>126</v>
      </c>
      <c r="T32" s="16">
        <f t="shared" si="1"/>
        <v>30</v>
      </c>
      <c r="U32" s="53">
        <v>321</v>
      </c>
      <c r="V32" s="16">
        <f t="shared" si="2"/>
        <v>2407.5</v>
      </c>
      <c r="W32" s="53">
        <v>2</v>
      </c>
      <c r="X32" s="53" t="s">
        <v>46</v>
      </c>
      <c r="Y32" s="53" t="s">
        <v>84</v>
      </c>
      <c r="Z32" s="53" t="s">
        <v>78</v>
      </c>
      <c r="AA32" s="53" t="s">
        <v>90</v>
      </c>
      <c r="AB32" s="53" t="s">
        <v>240</v>
      </c>
    </row>
    <row r="33" spans="1:28" x14ac:dyDescent="0.15">
      <c r="A33" s="53" t="s">
        <v>34</v>
      </c>
      <c r="B33" s="53" t="s">
        <v>236</v>
      </c>
      <c r="C33" s="53">
        <v>2019</v>
      </c>
      <c r="D33" s="143" t="s">
        <v>357</v>
      </c>
      <c r="E33" s="53" t="s">
        <v>364</v>
      </c>
      <c r="F33" s="53" t="s">
        <v>365</v>
      </c>
      <c r="G33" s="53" t="s">
        <v>36</v>
      </c>
      <c r="H33" s="53" t="s">
        <v>127</v>
      </c>
      <c r="I33" s="53" t="s">
        <v>159</v>
      </c>
      <c r="J33" s="53" t="s">
        <v>80</v>
      </c>
      <c r="K33" s="53" t="s">
        <v>94</v>
      </c>
      <c r="L33" s="53">
        <v>2</v>
      </c>
      <c r="N33" s="53">
        <v>4</v>
      </c>
      <c r="O33" s="53">
        <v>3.9</v>
      </c>
      <c r="P33" s="53">
        <v>3.8</v>
      </c>
      <c r="Q33" s="74">
        <f t="shared" si="0"/>
        <v>3.8499999999999996</v>
      </c>
      <c r="R33" s="53">
        <v>9.1</v>
      </c>
      <c r="S33" s="53">
        <v>130</v>
      </c>
      <c r="T33" s="16">
        <f t="shared" si="1"/>
        <v>30</v>
      </c>
      <c r="U33" s="53">
        <v>321</v>
      </c>
      <c r="V33" s="16">
        <f t="shared" si="2"/>
        <v>2407.5</v>
      </c>
      <c r="W33" s="53">
        <v>2</v>
      </c>
      <c r="X33" s="53" t="s">
        <v>46</v>
      </c>
      <c r="Y33" s="53" t="s">
        <v>84</v>
      </c>
      <c r="Z33" s="53" t="s">
        <v>78</v>
      </c>
      <c r="AA33" s="53" t="s">
        <v>90</v>
      </c>
      <c r="AB33" s="53" t="s">
        <v>240</v>
      </c>
    </row>
    <row r="34" spans="1:28" x14ac:dyDescent="0.15">
      <c r="A34" s="53" t="s">
        <v>34</v>
      </c>
      <c r="B34" s="53" t="s">
        <v>236</v>
      </c>
      <c r="C34" s="53">
        <v>2019</v>
      </c>
      <c r="D34" s="143" t="s">
        <v>357</v>
      </c>
      <c r="E34" s="53" t="s">
        <v>364</v>
      </c>
      <c r="F34" s="53" t="s">
        <v>365</v>
      </c>
      <c r="G34" s="53" t="s">
        <v>36</v>
      </c>
      <c r="H34" s="53" t="s">
        <v>127</v>
      </c>
      <c r="I34" s="53" t="s">
        <v>159</v>
      </c>
      <c r="J34" s="53" t="s">
        <v>80</v>
      </c>
      <c r="K34" s="53" t="s">
        <v>94</v>
      </c>
      <c r="L34" s="53">
        <v>3</v>
      </c>
      <c r="N34" s="53">
        <v>4</v>
      </c>
      <c r="O34" s="53">
        <v>3.8</v>
      </c>
      <c r="P34" s="53">
        <v>3.5</v>
      </c>
      <c r="Q34" s="74">
        <f>IF(OR(O34="",P34=""),"",AVERAGE(O34,P34))</f>
        <v>3.65</v>
      </c>
      <c r="R34" s="53">
        <v>8.4</v>
      </c>
      <c r="S34" s="53">
        <v>114</v>
      </c>
      <c r="T34" s="16">
        <f t="shared" si="1"/>
        <v>30</v>
      </c>
      <c r="U34" s="53">
        <v>321</v>
      </c>
      <c r="V34" s="16">
        <f t="shared" si="2"/>
        <v>2407.5</v>
      </c>
      <c r="W34" s="53">
        <v>2</v>
      </c>
      <c r="X34" s="53" t="s">
        <v>46</v>
      </c>
      <c r="Y34" s="53" t="s">
        <v>84</v>
      </c>
      <c r="Z34" s="53" t="s">
        <v>78</v>
      </c>
      <c r="AA34" s="53" t="s">
        <v>90</v>
      </c>
      <c r="AB34" s="53" t="s">
        <v>240</v>
      </c>
    </row>
    <row r="35" spans="1:28" x14ac:dyDescent="0.15">
      <c r="A35" s="53" t="s">
        <v>34</v>
      </c>
      <c r="B35" s="53" t="s">
        <v>236</v>
      </c>
      <c r="C35" s="53">
        <v>2019</v>
      </c>
      <c r="D35" s="143" t="s">
        <v>357</v>
      </c>
      <c r="E35" s="53" t="s">
        <v>364</v>
      </c>
      <c r="F35" s="53" t="s">
        <v>365</v>
      </c>
      <c r="G35" s="53" t="s">
        <v>36</v>
      </c>
      <c r="H35" s="53" t="s">
        <v>129</v>
      </c>
      <c r="I35" s="53" t="s">
        <v>159</v>
      </c>
      <c r="J35" s="53" t="s">
        <v>111</v>
      </c>
      <c r="K35" s="53" t="s">
        <v>126</v>
      </c>
      <c r="L35" s="53">
        <v>1</v>
      </c>
      <c r="N35" s="53">
        <v>6</v>
      </c>
      <c r="O35" s="53">
        <v>0.5</v>
      </c>
      <c r="P35" s="53">
        <v>0.6</v>
      </c>
      <c r="Q35" s="74">
        <f t="shared" ref="Q35:Q36" si="3">IF(OR(O35="",P35=""),"",AVERAGE(O35,P35))</f>
        <v>0.55000000000000004</v>
      </c>
      <c r="R35" s="53">
        <v>18.2</v>
      </c>
      <c r="S35" s="53">
        <v>49</v>
      </c>
      <c r="T35" s="16">
        <f t="shared" si="1"/>
        <v>50</v>
      </c>
      <c r="U35" s="53">
        <v>429</v>
      </c>
      <c r="V35" s="16">
        <f t="shared" si="2"/>
        <v>3575</v>
      </c>
      <c r="W35" s="53">
        <v>2</v>
      </c>
      <c r="X35" s="53" t="s">
        <v>39</v>
      </c>
      <c r="Y35" s="53" t="s">
        <v>84</v>
      </c>
      <c r="Z35" s="53" t="s">
        <v>78</v>
      </c>
      <c r="AA35" s="53" t="s">
        <v>90</v>
      </c>
      <c r="AB35" s="53" t="s">
        <v>240</v>
      </c>
    </row>
    <row r="36" spans="1:28" x14ac:dyDescent="0.15">
      <c r="A36" s="53" t="s">
        <v>34</v>
      </c>
      <c r="B36" s="53" t="s">
        <v>236</v>
      </c>
      <c r="C36" s="53">
        <v>2019</v>
      </c>
      <c r="D36" s="143" t="s">
        <v>357</v>
      </c>
      <c r="E36" s="53" t="s">
        <v>364</v>
      </c>
      <c r="F36" s="53" t="s">
        <v>365</v>
      </c>
      <c r="G36" s="53" t="s">
        <v>36</v>
      </c>
      <c r="H36" s="53" t="s">
        <v>129</v>
      </c>
      <c r="I36" s="53" t="s">
        <v>159</v>
      </c>
      <c r="J36" s="53" t="s">
        <v>111</v>
      </c>
      <c r="K36" s="53" t="s">
        <v>126</v>
      </c>
      <c r="L36" s="53">
        <v>2</v>
      </c>
      <c r="N36" s="53">
        <v>6</v>
      </c>
      <c r="O36" s="53">
        <v>0.6</v>
      </c>
      <c r="P36" s="53">
        <v>0.45</v>
      </c>
      <c r="Q36" s="74">
        <f t="shared" si="3"/>
        <v>0.52500000000000002</v>
      </c>
      <c r="R36" s="53">
        <v>17.600000000000001</v>
      </c>
      <c r="S36" s="53">
        <v>55</v>
      </c>
      <c r="T36" s="16">
        <f t="shared" si="1"/>
        <v>50</v>
      </c>
      <c r="U36" s="53">
        <v>429</v>
      </c>
      <c r="V36" s="16">
        <f t="shared" si="2"/>
        <v>3575</v>
      </c>
      <c r="W36" s="53">
        <v>2</v>
      </c>
      <c r="X36" s="53" t="s">
        <v>39</v>
      </c>
      <c r="Y36" s="53" t="s">
        <v>84</v>
      </c>
      <c r="Z36" s="53" t="s">
        <v>78</v>
      </c>
      <c r="AA36" s="53" t="s">
        <v>90</v>
      </c>
      <c r="AB36" s="53" t="s">
        <v>240</v>
      </c>
    </row>
    <row r="37" spans="1:28" x14ac:dyDescent="0.15">
      <c r="A37" s="53" t="s">
        <v>34</v>
      </c>
      <c r="B37" s="53" t="s">
        <v>236</v>
      </c>
      <c r="C37" s="53">
        <v>2019</v>
      </c>
      <c r="D37" s="143" t="s">
        <v>357</v>
      </c>
      <c r="E37" s="53" t="s">
        <v>364</v>
      </c>
      <c r="F37" s="53" t="s">
        <v>365</v>
      </c>
      <c r="G37" s="53" t="s">
        <v>36</v>
      </c>
      <c r="H37" s="53" t="s">
        <v>129</v>
      </c>
      <c r="I37" s="53" t="s">
        <v>159</v>
      </c>
      <c r="J37" s="53" t="s">
        <v>111</v>
      </c>
      <c r="K37" s="53" t="s">
        <v>126</v>
      </c>
      <c r="L37" s="53">
        <v>3</v>
      </c>
      <c r="N37" s="53">
        <v>6</v>
      </c>
      <c r="O37" s="53">
        <v>0.5</v>
      </c>
      <c r="P37" s="53">
        <v>0.7</v>
      </c>
      <c r="Q37" s="74">
        <f>IF(OR(O37="",P37=""),"",AVERAGE(O37,P37))</f>
        <v>0.6</v>
      </c>
      <c r="R37" s="53">
        <v>17.899999999999999</v>
      </c>
      <c r="S37" s="53">
        <v>58</v>
      </c>
      <c r="T37" s="16">
        <f t="shared" si="1"/>
        <v>50</v>
      </c>
      <c r="U37" s="53">
        <v>429</v>
      </c>
      <c r="V37" s="16">
        <f t="shared" si="2"/>
        <v>3575</v>
      </c>
      <c r="W37" s="53">
        <v>2</v>
      </c>
      <c r="X37" s="53" t="s">
        <v>39</v>
      </c>
      <c r="Y37" s="53" t="s">
        <v>84</v>
      </c>
      <c r="Z37" s="53" t="s">
        <v>78</v>
      </c>
      <c r="AA37" s="53" t="s">
        <v>90</v>
      </c>
      <c r="AB37" s="53" t="s">
        <v>240</v>
      </c>
    </row>
    <row r="38" spans="1:28" x14ac:dyDescent="0.15">
      <c r="A38" s="53" t="s">
        <v>34</v>
      </c>
      <c r="B38" s="53" t="s">
        <v>236</v>
      </c>
      <c r="C38" s="53">
        <v>2019</v>
      </c>
      <c r="D38" s="143" t="s">
        <v>357</v>
      </c>
      <c r="E38" s="53" t="s">
        <v>362</v>
      </c>
      <c r="F38" s="53" t="s">
        <v>363</v>
      </c>
      <c r="G38" s="53" t="s">
        <v>36</v>
      </c>
      <c r="H38" s="53" t="s">
        <v>164</v>
      </c>
      <c r="I38" s="53" t="s">
        <v>159</v>
      </c>
      <c r="J38" s="53" t="s">
        <v>38</v>
      </c>
      <c r="K38" s="53" t="s">
        <v>161</v>
      </c>
      <c r="L38" s="53">
        <v>1</v>
      </c>
      <c r="N38" s="53">
        <v>1</v>
      </c>
      <c r="O38" s="53">
        <v>0.9</v>
      </c>
      <c r="P38" s="53">
        <v>0.9</v>
      </c>
      <c r="Q38" s="74">
        <f t="shared" ref="Q38:Q39" si="4">IF(OR(O38="",P38=""),"",AVERAGE(O38,P38))</f>
        <v>0.9</v>
      </c>
      <c r="R38" s="53">
        <v>15.4</v>
      </c>
      <c r="S38" s="53">
        <v>132</v>
      </c>
      <c r="T38" s="16">
        <f t="shared" si="1"/>
        <v>30</v>
      </c>
      <c r="U38" s="53">
        <v>108</v>
      </c>
      <c r="V38" s="16">
        <f t="shared" si="2"/>
        <v>3240</v>
      </c>
      <c r="W38" s="53">
        <v>2</v>
      </c>
      <c r="X38" s="53" t="s">
        <v>46</v>
      </c>
      <c r="Y38" s="53" t="s">
        <v>84</v>
      </c>
      <c r="Z38" s="53" t="s">
        <v>90</v>
      </c>
      <c r="AA38" s="53" t="s">
        <v>69</v>
      </c>
      <c r="AB38" s="53" t="s">
        <v>240</v>
      </c>
    </row>
    <row r="39" spans="1:28" x14ac:dyDescent="0.15">
      <c r="A39" s="53" t="s">
        <v>34</v>
      </c>
      <c r="B39" s="53" t="s">
        <v>236</v>
      </c>
      <c r="C39" s="53">
        <v>2019</v>
      </c>
      <c r="D39" s="143" t="s">
        <v>357</v>
      </c>
      <c r="E39" s="53" t="s">
        <v>362</v>
      </c>
      <c r="F39" s="53" t="s">
        <v>363</v>
      </c>
      <c r="G39" s="53" t="s">
        <v>36</v>
      </c>
      <c r="H39" s="53" t="s">
        <v>164</v>
      </c>
      <c r="I39" s="53" t="s">
        <v>159</v>
      </c>
      <c r="J39" s="53" t="s">
        <v>38</v>
      </c>
      <c r="K39" s="53" t="s">
        <v>161</v>
      </c>
      <c r="L39" s="53">
        <v>2</v>
      </c>
      <c r="N39" s="53">
        <v>1</v>
      </c>
      <c r="O39" s="53">
        <v>0.6</v>
      </c>
      <c r="P39" s="53">
        <v>0.75</v>
      </c>
      <c r="Q39" s="74">
        <f t="shared" si="4"/>
        <v>0.67500000000000004</v>
      </c>
      <c r="R39" s="53">
        <v>14.9</v>
      </c>
      <c r="S39" s="53">
        <v>130</v>
      </c>
      <c r="T39" s="16">
        <f t="shared" si="1"/>
        <v>30</v>
      </c>
      <c r="U39" s="53">
        <v>108</v>
      </c>
      <c r="V39" s="16">
        <f t="shared" si="2"/>
        <v>3240</v>
      </c>
      <c r="W39" s="53">
        <v>2</v>
      </c>
      <c r="X39" s="53" t="s">
        <v>46</v>
      </c>
      <c r="Y39" s="53" t="s">
        <v>84</v>
      </c>
      <c r="Z39" s="53" t="s">
        <v>90</v>
      </c>
      <c r="AA39" s="53" t="s">
        <v>69</v>
      </c>
      <c r="AB39" s="53" t="s">
        <v>240</v>
      </c>
    </row>
    <row r="40" spans="1:28" x14ac:dyDescent="0.15">
      <c r="A40" s="53" t="s">
        <v>34</v>
      </c>
      <c r="B40" s="53" t="s">
        <v>236</v>
      </c>
      <c r="C40" s="53">
        <v>2019</v>
      </c>
      <c r="D40" s="143" t="s">
        <v>357</v>
      </c>
      <c r="E40" s="53" t="s">
        <v>362</v>
      </c>
      <c r="F40" s="53" t="s">
        <v>363</v>
      </c>
      <c r="G40" s="53" t="s">
        <v>36</v>
      </c>
      <c r="H40" s="53" t="s">
        <v>164</v>
      </c>
      <c r="I40" s="53" t="s">
        <v>159</v>
      </c>
      <c r="J40" s="53" t="s">
        <v>38</v>
      </c>
      <c r="K40" s="53" t="s">
        <v>161</v>
      </c>
      <c r="L40" s="53">
        <v>3</v>
      </c>
      <c r="N40" s="53">
        <v>1</v>
      </c>
      <c r="O40" s="53">
        <v>0.2</v>
      </c>
      <c r="P40" s="53">
        <v>0.2</v>
      </c>
      <c r="Q40" s="74">
        <f>IF(OR(O40="",P40=""),"",AVERAGE(O40,P40))</f>
        <v>0.2</v>
      </c>
      <c r="R40" s="53">
        <v>14.6</v>
      </c>
      <c r="S40" s="53">
        <v>138</v>
      </c>
      <c r="T40" s="16">
        <f t="shared" si="1"/>
        <v>30</v>
      </c>
      <c r="U40" s="53">
        <v>108</v>
      </c>
      <c r="V40" s="16">
        <f t="shared" si="2"/>
        <v>3240</v>
      </c>
      <c r="W40" s="53">
        <v>2</v>
      </c>
      <c r="X40" s="53" t="s">
        <v>46</v>
      </c>
      <c r="Y40" s="53" t="s">
        <v>84</v>
      </c>
      <c r="Z40" s="53" t="s">
        <v>90</v>
      </c>
      <c r="AA40" s="53" t="s">
        <v>69</v>
      </c>
      <c r="AB40" s="53" t="s">
        <v>240</v>
      </c>
    </row>
    <row r="41" spans="1:28" x14ac:dyDescent="0.15">
      <c r="A41" s="53" t="s">
        <v>34</v>
      </c>
      <c r="B41" s="53" t="s">
        <v>236</v>
      </c>
      <c r="C41" s="53">
        <v>2019</v>
      </c>
      <c r="D41" s="143" t="s">
        <v>357</v>
      </c>
      <c r="E41" s="53" t="s">
        <v>362</v>
      </c>
      <c r="F41" s="53" t="s">
        <v>363</v>
      </c>
      <c r="G41" s="53" t="s">
        <v>36</v>
      </c>
      <c r="H41" s="53" t="s">
        <v>164</v>
      </c>
      <c r="I41" s="53" t="s">
        <v>159</v>
      </c>
      <c r="J41" s="53" t="s">
        <v>38</v>
      </c>
      <c r="K41" s="53" t="s">
        <v>161</v>
      </c>
      <c r="L41" s="53">
        <v>1</v>
      </c>
      <c r="N41" s="53">
        <v>4</v>
      </c>
      <c r="O41" s="53">
        <v>0.8</v>
      </c>
      <c r="P41" s="53">
        <v>0.75</v>
      </c>
      <c r="Q41" s="74">
        <f t="shared" si="0"/>
        <v>0.77500000000000002</v>
      </c>
      <c r="R41" s="53">
        <v>14.8</v>
      </c>
      <c r="S41" s="53">
        <v>90</v>
      </c>
      <c r="T41" s="16">
        <f t="shared" si="1"/>
        <v>36</v>
      </c>
      <c r="U41" s="53">
        <v>321</v>
      </c>
      <c r="V41" s="16">
        <f t="shared" si="2"/>
        <v>2889</v>
      </c>
      <c r="W41" s="53">
        <v>2</v>
      </c>
      <c r="X41" s="53" t="s">
        <v>46</v>
      </c>
      <c r="Y41" s="53" t="s">
        <v>84</v>
      </c>
      <c r="Z41" s="53" t="s">
        <v>90</v>
      </c>
      <c r="AA41" s="53" t="s">
        <v>69</v>
      </c>
      <c r="AB41" s="53" t="s">
        <v>240</v>
      </c>
    </row>
    <row r="42" spans="1:28" x14ac:dyDescent="0.15">
      <c r="A42" s="53" t="s">
        <v>34</v>
      </c>
      <c r="B42" s="53" t="s">
        <v>236</v>
      </c>
      <c r="C42" s="53">
        <v>2019</v>
      </c>
      <c r="D42" s="143" t="s">
        <v>357</v>
      </c>
      <c r="E42" s="53" t="s">
        <v>362</v>
      </c>
      <c r="F42" s="53" t="s">
        <v>363</v>
      </c>
      <c r="G42" s="53" t="s">
        <v>36</v>
      </c>
      <c r="H42" s="53" t="s">
        <v>164</v>
      </c>
      <c r="I42" s="53" t="s">
        <v>159</v>
      </c>
      <c r="J42" s="53" t="s">
        <v>38</v>
      </c>
      <c r="K42" s="53" t="s">
        <v>161</v>
      </c>
      <c r="L42" s="53">
        <v>2</v>
      </c>
      <c r="N42" s="53">
        <v>4</v>
      </c>
      <c r="O42" s="53">
        <v>1.1499999999999999</v>
      </c>
      <c r="P42" s="53">
        <v>0.9</v>
      </c>
      <c r="Q42" s="74">
        <f t="shared" si="0"/>
        <v>1.0249999999999999</v>
      </c>
      <c r="R42" s="53">
        <v>14.6</v>
      </c>
      <c r="S42" s="53">
        <v>87</v>
      </c>
      <c r="T42" s="16">
        <f t="shared" si="1"/>
        <v>36</v>
      </c>
      <c r="U42" s="53">
        <v>321</v>
      </c>
      <c r="V42" s="16">
        <f t="shared" si="2"/>
        <v>2889</v>
      </c>
      <c r="W42" s="53">
        <v>2</v>
      </c>
      <c r="X42" s="53" t="s">
        <v>46</v>
      </c>
      <c r="Y42" s="53" t="s">
        <v>84</v>
      </c>
      <c r="Z42" s="53" t="s">
        <v>90</v>
      </c>
      <c r="AA42" s="53" t="s">
        <v>69</v>
      </c>
      <c r="AB42" s="53" t="s">
        <v>240</v>
      </c>
    </row>
    <row r="43" spans="1:28" x14ac:dyDescent="0.15">
      <c r="A43" s="53" t="s">
        <v>34</v>
      </c>
      <c r="B43" s="53" t="s">
        <v>236</v>
      </c>
      <c r="C43" s="53">
        <v>2019</v>
      </c>
      <c r="D43" s="143" t="s">
        <v>357</v>
      </c>
      <c r="E43" s="53" t="s">
        <v>362</v>
      </c>
      <c r="F43" s="53" t="s">
        <v>363</v>
      </c>
      <c r="G43" s="53" t="s">
        <v>36</v>
      </c>
      <c r="H43" s="53" t="s">
        <v>164</v>
      </c>
      <c r="I43" s="53" t="s">
        <v>159</v>
      </c>
      <c r="J43" s="53" t="s">
        <v>38</v>
      </c>
      <c r="K43" s="53" t="s">
        <v>161</v>
      </c>
      <c r="L43" s="53">
        <v>3</v>
      </c>
      <c r="N43" s="53">
        <v>4</v>
      </c>
      <c r="O43" s="53">
        <v>1</v>
      </c>
      <c r="P43" s="53">
        <v>0.9</v>
      </c>
      <c r="Q43" s="74">
        <f t="shared" si="0"/>
        <v>0.95</v>
      </c>
      <c r="R43" s="53">
        <v>14.6</v>
      </c>
      <c r="S43" s="53">
        <v>92</v>
      </c>
      <c r="T43" s="16">
        <f t="shared" si="1"/>
        <v>36</v>
      </c>
      <c r="U43" s="53">
        <v>321</v>
      </c>
      <c r="V43" s="16">
        <f t="shared" si="2"/>
        <v>2889</v>
      </c>
      <c r="W43" s="53">
        <v>2</v>
      </c>
      <c r="X43" s="53" t="s">
        <v>46</v>
      </c>
      <c r="Y43" s="53" t="s">
        <v>84</v>
      </c>
      <c r="Z43" s="53" t="s">
        <v>90</v>
      </c>
      <c r="AA43" s="53" t="s">
        <v>69</v>
      </c>
      <c r="AB43" s="53" t="s">
        <v>240</v>
      </c>
    </row>
    <row r="44" spans="1:28" x14ac:dyDescent="0.15">
      <c r="A44" s="53" t="s">
        <v>34</v>
      </c>
      <c r="B44" s="53" t="s">
        <v>236</v>
      </c>
      <c r="C44" s="53">
        <v>2019</v>
      </c>
      <c r="D44" s="143" t="s">
        <v>357</v>
      </c>
      <c r="E44" s="53" t="s">
        <v>362</v>
      </c>
      <c r="F44" s="53" t="s">
        <v>363</v>
      </c>
      <c r="G44" s="53" t="s">
        <v>36</v>
      </c>
      <c r="H44" s="53" t="s">
        <v>160</v>
      </c>
      <c r="I44" s="53" t="s">
        <v>159</v>
      </c>
      <c r="J44" s="53" t="s">
        <v>38</v>
      </c>
      <c r="K44" s="53" t="s">
        <v>161</v>
      </c>
      <c r="L44" s="53">
        <v>1</v>
      </c>
      <c r="N44" s="53">
        <v>1</v>
      </c>
      <c r="O44" s="53">
        <v>0.7</v>
      </c>
      <c r="P44" s="53">
        <v>0.5</v>
      </c>
      <c r="Q44" s="74">
        <f t="shared" si="0"/>
        <v>0.6</v>
      </c>
      <c r="R44" s="53">
        <v>16.399999999999999</v>
      </c>
      <c r="S44" s="53">
        <v>102</v>
      </c>
      <c r="T44" s="16">
        <f t="shared" si="1"/>
        <v>33</v>
      </c>
      <c r="U44" s="53">
        <v>108</v>
      </c>
      <c r="V44" s="16">
        <f t="shared" si="2"/>
        <v>3564</v>
      </c>
      <c r="W44" s="53">
        <v>1</v>
      </c>
      <c r="X44" s="53" t="s">
        <v>46</v>
      </c>
      <c r="Y44" s="53" t="s">
        <v>84</v>
      </c>
      <c r="Z44" s="53" t="s">
        <v>90</v>
      </c>
      <c r="AA44" s="53" t="s">
        <v>69</v>
      </c>
      <c r="AB44" s="53" t="s">
        <v>240</v>
      </c>
    </row>
    <row r="45" spans="1:28" x14ac:dyDescent="0.15">
      <c r="A45" s="53" t="s">
        <v>34</v>
      </c>
      <c r="B45" s="53" t="s">
        <v>236</v>
      </c>
      <c r="C45" s="53">
        <v>2019</v>
      </c>
      <c r="D45" s="143" t="s">
        <v>357</v>
      </c>
      <c r="E45" s="53" t="s">
        <v>362</v>
      </c>
      <c r="F45" s="53" t="s">
        <v>363</v>
      </c>
      <c r="G45" s="53" t="s">
        <v>36</v>
      </c>
      <c r="H45" s="53" t="s">
        <v>160</v>
      </c>
      <c r="I45" s="53" t="s">
        <v>159</v>
      </c>
      <c r="J45" s="53" t="s">
        <v>38</v>
      </c>
      <c r="K45" s="53" t="s">
        <v>161</v>
      </c>
      <c r="L45" s="53">
        <v>2</v>
      </c>
      <c r="N45" s="53">
        <v>1</v>
      </c>
      <c r="O45" s="53">
        <v>0.7</v>
      </c>
      <c r="P45" s="53">
        <v>1</v>
      </c>
      <c r="Q45" s="74">
        <f t="shared" si="0"/>
        <v>0.85</v>
      </c>
      <c r="R45" s="53">
        <v>16.7</v>
      </c>
      <c r="S45" s="53">
        <v>104</v>
      </c>
      <c r="T45" s="16">
        <f t="shared" si="1"/>
        <v>33</v>
      </c>
      <c r="U45" s="53">
        <v>108</v>
      </c>
      <c r="V45" s="16">
        <f t="shared" si="2"/>
        <v>3564</v>
      </c>
      <c r="W45" s="53">
        <v>1</v>
      </c>
      <c r="X45" s="53" t="s">
        <v>46</v>
      </c>
      <c r="Y45" s="53" t="s">
        <v>84</v>
      </c>
      <c r="Z45" s="53" t="s">
        <v>90</v>
      </c>
      <c r="AA45" s="53" t="s">
        <v>69</v>
      </c>
      <c r="AB45" s="53" t="s">
        <v>240</v>
      </c>
    </row>
    <row r="46" spans="1:28" x14ac:dyDescent="0.15">
      <c r="A46" s="53" t="s">
        <v>34</v>
      </c>
      <c r="B46" s="53" t="s">
        <v>236</v>
      </c>
      <c r="C46" s="53">
        <v>2019</v>
      </c>
      <c r="D46" s="143" t="s">
        <v>357</v>
      </c>
      <c r="E46" s="53" t="s">
        <v>362</v>
      </c>
      <c r="F46" s="53" t="s">
        <v>363</v>
      </c>
      <c r="G46" s="53" t="s">
        <v>36</v>
      </c>
      <c r="H46" s="53" t="s">
        <v>160</v>
      </c>
      <c r="I46" s="53" t="s">
        <v>159</v>
      </c>
      <c r="J46" s="53" t="s">
        <v>38</v>
      </c>
      <c r="K46" s="53" t="s">
        <v>161</v>
      </c>
      <c r="L46" s="53">
        <v>3</v>
      </c>
      <c r="N46" s="53">
        <v>1</v>
      </c>
      <c r="O46" s="53">
        <v>1.2</v>
      </c>
      <c r="P46" s="53">
        <v>0.75</v>
      </c>
      <c r="Q46" s="74">
        <f t="shared" si="0"/>
        <v>0.97499999999999998</v>
      </c>
      <c r="R46" s="53">
        <v>15.2</v>
      </c>
      <c r="S46" s="53">
        <v>100</v>
      </c>
      <c r="T46" s="16">
        <f t="shared" si="1"/>
        <v>33</v>
      </c>
      <c r="U46" s="53">
        <v>108</v>
      </c>
      <c r="V46" s="16">
        <f t="shared" si="2"/>
        <v>3564</v>
      </c>
      <c r="W46" s="53">
        <v>1</v>
      </c>
      <c r="X46" s="53" t="s">
        <v>46</v>
      </c>
      <c r="Y46" s="53" t="s">
        <v>84</v>
      </c>
      <c r="Z46" s="53" t="s">
        <v>90</v>
      </c>
      <c r="AA46" s="53" t="s">
        <v>69</v>
      </c>
      <c r="AB46" s="53" t="s">
        <v>240</v>
      </c>
    </row>
    <row r="47" spans="1:28" x14ac:dyDescent="0.15">
      <c r="A47" s="53" t="s">
        <v>34</v>
      </c>
      <c r="B47" s="53" t="s">
        <v>236</v>
      </c>
      <c r="C47" s="53">
        <v>2019</v>
      </c>
      <c r="D47" s="143" t="s">
        <v>357</v>
      </c>
      <c r="E47" s="53" t="s">
        <v>360</v>
      </c>
      <c r="F47" s="53" t="s">
        <v>361</v>
      </c>
      <c r="G47" s="53" t="s">
        <v>36</v>
      </c>
      <c r="H47" s="53" t="s">
        <v>164</v>
      </c>
      <c r="I47" s="53" t="s">
        <v>159</v>
      </c>
      <c r="J47" s="53" t="s">
        <v>38</v>
      </c>
      <c r="K47" s="53" t="s">
        <v>161</v>
      </c>
      <c r="L47" s="53">
        <v>1</v>
      </c>
      <c r="N47" s="53">
        <v>1</v>
      </c>
      <c r="O47" s="53">
        <v>0.7</v>
      </c>
      <c r="P47" s="53">
        <v>0.7</v>
      </c>
      <c r="Q47" s="74">
        <f t="shared" si="0"/>
        <v>0.7</v>
      </c>
      <c r="R47" s="53">
        <v>14.5</v>
      </c>
      <c r="S47" s="53">
        <v>100</v>
      </c>
      <c r="T47" s="16">
        <f t="shared" si="1"/>
        <v>33</v>
      </c>
      <c r="U47" s="53">
        <v>63</v>
      </c>
      <c r="V47" s="16">
        <f t="shared" si="2"/>
        <v>2079</v>
      </c>
      <c r="W47" s="53">
        <v>3</v>
      </c>
      <c r="X47" s="53" t="s">
        <v>46</v>
      </c>
      <c r="Y47" s="53" t="s">
        <v>84</v>
      </c>
      <c r="Z47" s="53" t="s">
        <v>90</v>
      </c>
      <c r="AA47" s="53" t="s">
        <v>78</v>
      </c>
      <c r="AB47" s="53" t="s">
        <v>240</v>
      </c>
    </row>
    <row r="48" spans="1:28" x14ac:dyDescent="0.15">
      <c r="A48" s="53" t="s">
        <v>34</v>
      </c>
      <c r="B48" s="53" t="s">
        <v>236</v>
      </c>
      <c r="C48" s="53">
        <v>2019</v>
      </c>
      <c r="D48" s="143" t="s">
        <v>357</v>
      </c>
      <c r="E48" s="53" t="s">
        <v>360</v>
      </c>
      <c r="F48" s="53" t="s">
        <v>361</v>
      </c>
      <c r="G48" s="53" t="s">
        <v>36</v>
      </c>
      <c r="H48" s="53" t="s">
        <v>164</v>
      </c>
      <c r="I48" s="53" t="s">
        <v>159</v>
      </c>
      <c r="J48" s="53" t="s">
        <v>38</v>
      </c>
      <c r="K48" s="53" t="s">
        <v>161</v>
      </c>
      <c r="L48" s="53">
        <v>2</v>
      </c>
      <c r="N48" s="53">
        <v>1</v>
      </c>
      <c r="O48" s="53">
        <v>0.9</v>
      </c>
      <c r="P48" s="53">
        <v>0.8</v>
      </c>
      <c r="Q48" s="74">
        <f t="shared" si="0"/>
        <v>0.85000000000000009</v>
      </c>
      <c r="R48" s="53">
        <v>14</v>
      </c>
      <c r="S48" s="53">
        <v>99</v>
      </c>
      <c r="T48" s="16">
        <f t="shared" si="1"/>
        <v>33</v>
      </c>
      <c r="U48" s="53">
        <v>63</v>
      </c>
      <c r="V48" s="16">
        <f t="shared" si="2"/>
        <v>2079</v>
      </c>
      <c r="W48" s="53">
        <v>3</v>
      </c>
      <c r="X48" s="53" t="s">
        <v>46</v>
      </c>
      <c r="Y48" s="53" t="s">
        <v>84</v>
      </c>
      <c r="Z48" s="53" t="s">
        <v>90</v>
      </c>
      <c r="AA48" s="53" t="s">
        <v>78</v>
      </c>
      <c r="AB48" s="53" t="s">
        <v>240</v>
      </c>
    </row>
    <row r="49" spans="1:28" x14ac:dyDescent="0.15">
      <c r="A49" s="53" t="s">
        <v>34</v>
      </c>
      <c r="B49" s="53" t="s">
        <v>236</v>
      </c>
      <c r="C49" s="53">
        <v>2019</v>
      </c>
      <c r="D49" s="143" t="s">
        <v>357</v>
      </c>
      <c r="E49" s="53" t="s">
        <v>360</v>
      </c>
      <c r="F49" s="53" t="s">
        <v>361</v>
      </c>
      <c r="G49" s="53" t="s">
        <v>36</v>
      </c>
      <c r="H49" s="53" t="s">
        <v>164</v>
      </c>
      <c r="I49" s="53" t="s">
        <v>159</v>
      </c>
      <c r="J49" s="53" t="s">
        <v>38</v>
      </c>
      <c r="K49" s="53" t="s">
        <v>161</v>
      </c>
      <c r="L49" s="53">
        <v>3</v>
      </c>
      <c r="N49" s="53">
        <v>1</v>
      </c>
      <c r="O49" s="53">
        <v>0.6</v>
      </c>
      <c r="P49" s="53">
        <v>0.55000000000000004</v>
      </c>
      <c r="Q49" s="74">
        <f t="shared" si="0"/>
        <v>0.57499999999999996</v>
      </c>
      <c r="R49" s="53">
        <v>13.9</v>
      </c>
      <c r="S49" s="53">
        <v>95</v>
      </c>
      <c r="T49" s="16">
        <f t="shared" si="1"/>
        <v>36</v>
      </c>
      <c r="U49" s="53">
        <v>63</v>
      </c>
      <c r="V49" s="16">
        <f t="shared" si="2"/>
        <v>2268</v>
      </c>
      <c r="W49" s="53">
        <v>3</v>
      </c>
      <c r="X49" s="53" t="s">
        <v>46</v>
      </c>
      <c r="Y49" s="53" t="s">
        <v>84</v>
      </c>
      <c r="Z49" s="53" t="s">
        <v>90</v>
      </c>
      <c r="AA49" s="53" t="s">
        <v>78</v>
      </c>
      <c r="AB49" s="53" t="s">
        <v>240</v>
      </c>
    </row>
    <row r="50" spans="1:28" x14ac:dyDescent="0.15">
      <c r="A50" s="53" t="s">
        <v>34</v>
      </c>
      <c r="B50" s="53" t="s">
        <v>236</v>
      </c>
      <c r="C50" s="53">
        <v>2019</v>
      </c>
      <c r="D50" s="143" t="s">
        <v>357</v>
      </c>
      <c r="E50" s="53" t="s">
        <v>360</v>
      </c>
      <c r="F50" s="53" t="s">
        <v>361</v>
      </c>
      <c r="G50" s="53" t="s">
        <v>36</v>
      </c>
      <c r="H50" s="53" t="s">
        <v>160</v>
      </c>
      <c r="I50" s="53" t="s">
        <v>159</v>
      </c>
      <c r="J50" s="53" t="s">
        <v>38</v>
      </c>
      <c r="K50" s="53" t="s">
        <v>161</v>
      </c>
      <c r="L50" s="53">
        <v>1</v>
      </c>
      <c r="N50" s="53">
        <v>1</v>
      </c>
      <c r="O50" s="53">
        <v>0.5</v>
      </c>
      <c r="P50" s="53">
        <v>0.2</v>
      </c>
      <c r="Q50" s="74">
        <f t="shared" si="0"/>
        <v>0.35</v>
      </c>
      <c r="R50" s="53">
        <v>14</v>
      </c>
      <c r="S50" s="53">
        <v>106</v>
      </c>
      <c r="T50" s="16">
        <f t="shared" si="1"/>
        <v>33</v>
      </c>
      <c r="U50" s="53">
        <v>138</v>
      </c>
      <c r="V50" s="16">
        <f t="shared" si="2"/>
        <v>4554</v>
      </c>
      <c r="W50" s="53">
        <v>1</v>
      </c>
      <c r="X50" s="53" t="s">
        <v>46</v>
      </c>
      <c r="Y50" s="53" t="s">
        <v>84</v>
      </c>
      <c r="Z50" s="53" t="s">
        <v>90</v>
      </c>
      <c r="AA50" s="53" t="s">
        <v>78</v>
      </c>
      <c r="AB50" s="53" t="s">
        <v>240</v>
      </c>
    </row>
    <row r="51" spans="1:28" x14ac:dyDescent="0.15">
      <c r="A51" s="53" t="s">
        <v>34</v>
      </c>
      <c r="B51" s="53" t="s">
        <v>236</v>
      </c>
      <c r="C51" s="53">
        <v>2019</v>
      </c>
      <c r="D51" s="143" t="s">
        <v>357</v>
      </c>
      <c r="E51" s="53" t="s">
        <v>360</v>
      </c>
      <c r="F51" s="53" t="s">
        <v>361</v>
      </c>
      <c r="G51" s="53" t="s">
        <v>36</v>
      </c>
      <c r="H51" s="53" t="s">
        <v>160</v>
      </c>
      <c r="I51" s="53" t="s">
        <v>159</v>
      </c>
      <c r="J51" s="53" t="s">
        <v>38</v>
      </c>
      <c r="K51" s="53" t="s">
        <v>161</v>
      </c>
      <c r="L51" s="53">
        <v>2</v>
      </c>
      <c r="N51" s="53">
        <v>1</v>
      </c>
      <c r="O51" s="53">
        <v>0.2</v>
      </c>
      <c r="P51" s="53">
        <v>0.2</v>
      </c>
      <c r="Q51" s="74">
        <f t="shared" si="0"/>
        <v>0.2</v>
      </c>
      <c r="R51" s="53">
        <v>15</v>
      </c>
      <c r="S51" s="53">
        <v>94</v>
      </c>
      <c r="T51" s="16">
        <f t="shared" si="1"/>
        <v>36</v>
      </c>
      <c r="U51" s="53">
        <v>138</v>
      </c>
      <c r="V51" s="16">
        <f t="shared" si="2"/>
        <v>4968</v>
      </c>
      <c r="W51" s="53">
        <v>1</v>
      </c>
      <c r="X51" s="53" t="s">
        <v>46</v>
      </c>
      <c r="Y51" s="53" t="s">
        <v>84</v>
      </c>
      <c r="Z51" s="53" t="s">
        <v>90</v>
      </c>
      <c r="AA51" s="53" t="s">
        <v>78</v>
      </c>
      <c r="AB51" s="53" t="s">
        <v>240</v>
      </c>
    </row>
    <row r="52" spans="1:28" x14ac:dyDescent="0.15">
      <c r="A52" s="53" t="s">
        <v>34</v>
      </c>
      <c r="B52" s="53" t="s">
        <v>236</v>
      </c>
      <c r="C52" s="53">
        <v>2019</v>
      </c>
      <c r="D52" s="143" t="s">
        <v>357</v>
      </c>
      <c r="E52" s="53" t="s">
        <v>360</v>
      </c>
      <c r="F52" s="53" t="s">
        <v>361</v>
      </c>
      <c r="G52" s="53" t="s">
        <v>36</v>
      </c>
      <c r="H52" s="53" t="s">
        <v>160</v>
      </c>
      <c r="I52" s="53" t="s">
        <v>159</v>
      </c>
      <c r="J52" s="53" t="s">
        <v>38</v>
      </c>
      <c r="K52" s="53" t="s">
        <v>161</v>
      </c>
      <c r="L52" s="53">
        <v>3</v>
      </c>
      <c r="N52" s="53">
        <v>1</v>
      </c>
      <c r="O52" s="53">
        <v>0.45</v>
      </c>
      <c r="P52" s="53">
        <v>0.45</v>
      </c>
      <c r="Q52" s="74">
        <f t="shared" si="0"/>
        <v>0.45</v>
      </c>
      <c r="R52" s="53">
        <v>14.5</v>
      </c>
      <c r="S52" s="53">
        <v>104</v>
      </c>
      <c r="T52" s="16">
        <f t="shared" si="1"/>
        <v>33</v>
      </c>
      <c r="U52" s="53">
        <v>138</v>
      </c>
      <c r="V52" s="16">
        <f t="shared" si="2"/>
        <v>4554</v>
      </c>
      <c r="W52" s="53">
        <v>1</v>
      </c>
      <c r="X52" s="53" t="s">
        <v>46</v>
      </c>
      <c r="Y52" s="53" t="s">
        <v>84</v>
      </c>
      <c r="Z52" s="53" t="s">
        <v>90</v>
      </c>
      <c r="AA52" s="53" t="s">
        <v>78</v>
      </c>
      <c r="AB52" s="53" t="s">
        <v>240</v>
      </c>
    </row>
    <row r="53" spans="1:28" x14ac:dyDescent="0.15">
      <c r="A53" s="53" t="s">
        <v>34</v>
      </c>
      <c r="B53" s="53" t="s">
        <v>236</v>
      </c>
      <c r="C53" s="53">
        <v>2019</v>
      </c>
      <c r="D53" s="143" t="s">
        <v>357</v>
      </c>
      <c r="E53" s="53" t="s">
        <v>368</v>
      </c>
      <c r="F53" s="53" t="s">
        <v>369</v>
      </c>
      <c r="G53" s="53" t="s">
        <v>36</v>
      </c>
      <c r="H53" s="53" t="s">
        <v>164</v>
      </c>
      <c r="I53" s="53" t="s">
        <v>159</v>
      </c>
      <c r="J53" s="53" t="s">
        <v>38</v>
      </c>
      <c r="K53" s="53" t="s">
        <v>161</v>
      </c>
      <c r="L53" s="53">
        <v>1</v>
      </c>
      <c r="N53" s="53">
        <v>1</v>
      </c>
      <c r="O53" s="53">
        <v>0.6</v>
      </c>
      <c r="P53" s="53">
        <v>0.75</v>
      </c>
      <c r="Q53" s="74">
        <f t="shared" si="0"/>
        <v>0.67500000000000004</v>
      </c>
      <c r="R53" s="53">
        <v>12.9</v>
      </c>
      <c r="S53" s="53">
        <v>116</v>
      </c>
      <c r="T53" s="16">
        <f t="shared" si="1"/>
        <v>30</v>
      </c>
      <c r="U53" s="53">
        <v>127</v>
      </c>
      <c r="V53" s="16">
        <f t="shared" si="2"/>
        <v>3810</v>
      </c>
      <c r="W53" s="53">
        <v>1</v>
      </c>
      <c r="X53" s="53" t="s">
        <v>46</v>
      </c>
      <c r="Y53" s="53" t="s">
        <v>84</v>
      </c>
      <c r="Z53" s="53" t="s">
        <v>90</v>
      </c>
      <c r="AA53" s="53" t="s">
        <v>50</v>
      </c>
      <c r="AB53" s="53" t="s">
        <v>240</v>
      </c>
    </row>
    <row r="54" spans="1:28" x14ac:dyDescent="0.15">
      <c r="A54" s="53" t="s">
        <v>34</v>
      </c>
      <c r="B54" s="53" t="s">
        <v>236</v>
      </c>
      <c r="C54" s="53">
        <v>2019</v>
      </c>
      <c r="D54" s="143" t="s">
        <v>357</v>
      </c>
      <c r="E54" s="53" t="s">
        <v>368</v>
      </c>
      <c r="F54" s="53" t="s">
        <v>369</v>
      </c>
      <c r="G54" s="53" t="s">
        <v>36</v>
      </c>
      <c r="H54" s="53" t="s">
        <v>164</v>
      </c>
      <c r="I54" s="53" t="s">
        <v>159</v>
      </c>
      <c r="J54" s="53" t="s">
        <v>38</v>
      </c>
      <c r="K54" s="53" t="s">
        <v>161</v>
      </c>
      <c r="L54" s="53">
        <v>2</v>
      </c>
      <c r="N54" s="53">
        <v>1</v>
      </c>
      <c r="O54" s="53">
        <v>0.75</v>
      </c>
      <c r="P54" s="53">
        <v>0.7</v>
      </c>
      <c r="Q54" s="74">
        <f t="shared" si="0"/>
        <v>0.72499999999999998</v>
      </c>
      <c r="R54" s="53">
        <v>13.7</v>
      </c>
      <c r="S54" s="53">
        <v>124</v>
      </c>
      <c r="T54" s="16">
        <f t="shared" si="1"/>
        <v>30</v>
      </c>
      <c r="U54" s="53">
        <v>127</v>
      </c>
      <c r="V54" s="16">
        <f t="shared" si="2"/>
        <v>3810</v>
      </c>
      <c r="W54" s="53">
        <v>1</v>
      </c>
      <c r="X54" s="53" t="s">
        <v>46</v>
      </c>
      <c r="Y54" s="53" t="s">
        <v>84</v>
      </c>
      <c r="Z54" s="53" t="s">
        <v>90</v>
      </c>
      <c r="AA54" s="53" t="s">
        <v>50</v>
      </c>
      <c r="AB54" s="53" t="s">
        <v>240</v>
      </c>
    </row>
    <row r="55" spans="1:28" x14ac:dyDescent="0.15">
      <c r="A55" s="53" t="s">
        <v>34</v>
      </c>
      <c r="B55" s="53" t="s">
        <v>236</v>
      </c>
      <c r="C55" s="53">
        <v>2019</v>
      </c>
      <c r="D55" s="143" t="s">
        <v>357</v>
      </c>
      <c r="E55" s="53" t="s">
        <v>368</v>
      </c>
      <c r="F55" s="53" t="s">
        <v>369</v>
      </c>
      <c r="G55" s="53" t="s">
        <v>36</v>
      </c>
      <c r="H55" s="53" t="s">
        <v>164</v>
      </c>
      <c r="I55" s="53" t="s">
        <v>159</v>
      </c>
      <c r="J55" s="53" t="s">
        <v>38</v>
      </c>
      <c r="K55" s="53" t="s">
        <v>161</v>
      </c>
      <c r="L55" s="53">
        <v>3</v>
      </c>
      <c r="N55" s="53">
        <v>1</v>
      </c>
      <c r="O55" s="53">
        <v>0.9</v>
      </c>
      <c r="P55" s="53">
        <v>1</v>
      </c>
      <c r="Q55" s="74">
        <f t="shared" si="0"/>
        <v>0.95</v>
      </c>
      <c r="R55" s="53">
        <v>13.4</v>
      </c>
      <c r="S55" s="53">
        <v>118</v>
      </c>
      <c r="T55" s="16">
        <f t="shared" si="1"/>
        <v>30</v>
      </c>
      <c r="U55" s="53">
        <v>127</v>
      </c>
      <c r="V55" s="16">
        <f t="shared" si="2"/>
        <v>3810</v>
      </c>
      <c r="W55" s="53">
        <v>1</v>
      </c>
      <c r="X55" s="53" t="s">
        <v>46</v>
      </c>
      <c r="Y55" s="53" t="s">
        <v>84</v>
      </c>
      <c r="Z55" s="53" t="s">
        <v>90</v>
      </c>
      <c r="AA55" s="53" t="s">
        <v>50</v>
      </c>
      <c r="AB55" s="53" t="s">
        <v>240</v>
      </c>
    </row>
    <row r="56" spans="1:28" x14ac:dyDescent="0.15">
      <c r="A56" s="53" t="s">
        <v>34</v>
      </c>
      <c r="B56" s="53" t="s">
        <v>236</v>
      </c>
      <c r="C56" s="53">
        <v>2019</v>
      </c>
      <c r="D56" s="143" t="s">
        <v>357</v>
      </c>
      <c r="E56" s="53" t="s">
        <v>370</v>
      </c>
      <c r="F56" s="53" t="s">
        <v>371</v>
      </c>
      <c r="G56" s="53" t="s">
        <v>36</v>
      </c>
      <c r="H56" s="53" t="s">
        <v>164</v>
      </c>
      <c r="I56" s="53" t="s">
        <v>159</v>
      </c>
      <c r="J56" s="53" t="s">
        <v>38</v>
      </c>
      <c r="K56" s="53" t="s">
        <v>161</v>
      </c>
      <c r="L56" s="53">
        <v>1</v>
      </c>
      <c r="N56" s="53">
        <v>1</v>
      </c>
      <c r="O56" s="53">
        <v>0.55000000000000004</v>
      </c>
      <c r="P56" s="53">
        <v>0.5</v>
      </c>
      <c r="Q56" s="74">
        <f t="shared" si="0"/>
        <v>0.52500000000000002</v>
      </c>
      <c r="R56" s="53">
        <v>14.3</v>
      </c>
      <c r="S56" s="53">
        <v>112</v>
      </c>
      <c r="T56" s="16">
        <f t="shared" si="1"/>
        <v>33</v>
      </c>
      <c r="U56" s="53">
        <v>105</v>
      </c>
      <c r="V56" s="16">
        <f t="shared" si="2"/>
        <v>3465</v>
      </c>
      <c r="W56" s="53">
        <v>4</v>
      </c>
      <c r="X56" s="53" t="s">
        <v>46</v>
      </c>
      <c r="Y56" s="53" t="s">
        <v>84</v>
      </c>
      <c r="Z56" s="53" t="s">
        <v>90</v>
      </c>
      <c r="AA56" s="53" t="s">
        <v>50</v>
      </c>
      <c r="AB56" s="53" t="s">
        <v>240</v>
      </c>
    </row>
    <row r="57" spans="1:28" x14ac:dyDescent="0.15">
      <c r="A57" s="53" t="s">
        <v>34</v>
      </c>
      <c r="B57" s="53" t="s">
        <v>236</v>
      </c>
      <c r="C57" s="53">
        <v>2019</v>
      </c>
      <c r="D57" s="143" t="s">
        <v>357</v>
      </c>
      <c r="E57" s="53" t="s">
        <v>370</v>
      </c>
      <c r="F57" s="53" t="s">
        <v>371</v>
      </c>
      <c r="G57" s="53" t="s">
        <v>36</v>
      </c>
      <c r="H57" s="53" t="s">
        <v>164</v>
      </c>
      <c r="I57" s="53" t="s">
        <v>159</v>
      </c>
      <c r="J57" s="53" t="s">
        <v>38</v>
      </c>
      <c r="K57" s="53" t="s">
        <v>161</v>
      </c>
      <c r="L57" s="53">
        <v>2</v>
      </c>
      <c r="N57" s="53">
        <v>1</v>
      </c>
      <c r="O57" s="53">
        <v>0.75</v>
      </c>
      <c r="P57" s="53">
        <v>0.7</v>
      </c>
      <c r="Q57" s="74">
        <f t="shared" si="0"/>
        <v>0.72499999999999998</v>
      </c>
      <c r="R57" s="53">
        <v>14.9</v>
      </c>
      <c r="S57" s="53">
        <v>112</v>
      </c>
      <c r="T57" s="16">
        <f t="shared" si="1"/>
        <v>33</v>
      </c>
      <c r="U57" s="53">
        <v>105</v>
      </c>
      <c r="V57" s="16">
        <f t="shared" si="2"/>
        <v>3465</v>
      </c>
      <c r="W57" s="53">
        <v>4</v>
      </c>
      <c r="X57" s="53" t="s">
        <v>46</v>
      </c>
      <c r="Y57" s="53" t="s">
        <v>84</v>
      </c>
      <c r="Z57" s="53" t="s">
        <v>90</v>
      </c>
      <c r="AA57" s="53" t="s">
        <v>50</v>
      </c>
      <c r="AB57" s="53" t="s">
        <v>240</v>
      </c>
    </row>
    <row r="58" spans="1:28" x14ac:dyDescent="0.15">
      <c r="A58" s="53" t="s">
        <v>34</v>
      </c>
      <c r="B58" s="53" t="s">
        <v>236</v>
      </c>
      <c r="C58" s="53">
        <v>2019</v>
      </c>
      <c r="D58" s="143" t="s">
        <v>357</v>
      </c>
      <c r="E58" s="53" t="s">
        <v>370</v>
      </c>
      <c r="F58" s="53" t="s">
        <v>371</v>
      </c>
      <c r="G58" s="53" t="s">
        <v>36</v>
      </c>
      <c r="H58" s="53" t="s">
        <v>164</v>
      </c>
      <c r="I58" s="53" t="s">
        <v>159</v>
      </c>
      <c r="J58" s="53" t="s">
        <v>38</v>
      </c>
      <c r="K58" s="53" t="s">
        <v>161</v>
      </c>
      <c r="L58" s="53">
        <v>3</v>
      </c>
      <c r="N58" s="53">
        <v>1</v>
      </c>
      <c r="O58" s="53">
        <v>0.8</v>
      </c>
      <c r="P58" s="53">
        <v>0.7</v>
      </c>
      <c r="Q58" s="74">
        <f t="shared" si="0"/>
        <v>0.75</v>
      </c>
      <c r="R58" s="53">
        <v>14</v>
      </c>
      <c r="S58" s="53">
        <v>108</v>
      </c>
      <c r="T58" s="16">
        <f t="shared" si="1"/>
        <v>33</v>
      </c>
      <c r="U58" s="53">
        <v>105</v>
      </c>
      <c r="V58" s="16">
        <f t="shared" si="2"/>
        <v>3465</v>
      </c>
      <c r="W58" s="53">
        <v>4</v>
      </c>
      <c r="X58" s="53" t="s">
        <v>46</v>
      </c>
      <c r="Y58" s="53" t="s">
        <v>84</v>
      </c>
      <c r="Z58" s="53" t="s">
        <v>90</v>
      </c>
      <c r="AA58" s="53" t="s">
        <v>50</v>
      </c>
      <c r="AB58" s="53" t="s">
        <v>240</v>
      </c>
    </row>
    <row r="59" spans="1:28" x14ac:dyDescent="0.15">
      <c r="A59" s="53" t="s">
        <v>34</v>
      </c>
      <c r="B59" s="53" t="s">
        <v>236</v>
      </c>
      <c r="C59" s="53">
        <v>2019</v>
      </c>
      <c r="D59" s="143" t="s">
        <v>357</v>
      </c>
      <c r="E59" s="53" t="s">
        <v>370</v>
      </c>
      <c r="F59" s="53" t="s">
        <v>371</v>
      </c>
      <c r="G59" s="53" t="s">
        <v>36</v>
      </c>
      <c r="H59" s="53" t="s">
        <v>164</v>
      </c>
      <c r="I59" s="53" t="s">
        <v>159</v>
      </c>
      <c r="J59" s="53" t="s">
        <v>38</v>
      </c>
      <c r="K59" s="53" t="s">
        <v>161</v>
      </c>
      <c r="L59" s="53">
        <v>1</v>
      </c>
      <c r="N59" s="53">
        <v>5</v>
      </c>
      <c r="O59" s="53">
        <v>0.55000000000000004</v>
      </c>
      <c r="P59" s="53">
        <v>0.55000000000000004</v>
      </c>
      <c r="Q59" s="74">
        <f t="shared" si="0"/>
        <v>0.55000000000000004</v>
      </c>
      <c r="R59" s="53">
        <v>14.4</v>
      </c>
      <c r="S59" s="53">
        <v>98</v>
      </c>
      <c r="T59" s="16">
        <f t="shared" si="1"/>
        <v>36</v>
      </c>
      <c r="U59" s="53">
        <v>410</v>
      </c>
      <c r="V59" s="16">
        <f t="shared" si="2"/>
        <v>2952</v>
      </c>
      <c r="W59" s="53">
        <v>4</v>
      </c>
      <c r="X59" s="53" t="s">
        <v>46</v>
      </c>
      <c r="Y59" s="53" t="s">
        <v>84</v>
      </c>
      <c r="Z59" s="53" t="s">
        <v>90</v>
      </c>
      <c r="AA59" s="53" t="s">
        <v>50</v>
      </c>
      <c r="AB59" s="53" t="s">
        <v>240</v>
      </c>
    </row>
    <row r="60" spans="1:28" x14ac:dyDescent="0.15">
      <c r="A60" s="53" t="s">
        <v>34</v>
      </c>
      <c r="B60" s="53" t="s">
        <v>236</v>
      </c>
      <c r="C60" s="53">
        <v>2019</v>
      </c>
      <c r="D60" s="143" t="s">
        <v>357</v>
      </c>
      <c r="E60" s="53" t="s">
        <v>370</v>
      </c>
      <c r="F60" s="53" t="s">
        <v>371</v>
      </c>
      <c r="G60" s="53" t="s">
        <v>36</v>
      </c>
      <c r="H60" s="53" t="s">
        <v>164</v>
      </c>
      <c r="I60" s="53" t="s">
        <v>159</v>
      </c>
      <c r="J60" s="53" t="s">
        <v>38</v>
      </c>
      <c r="K60" s="53" t="s">
        <v>161</v>
      </c>
      <c r="L60" s="53">
        <v>2</v>
      </c>
      <c r="N60" s="53">
        <v>5</v>
      </c>
      <c r="O60" s="53">
        <v>0.5</v>
      </c>
      <c r="P60" s="53">
        <v>0.75</v>
      </c>
      <c r="Q60" s="74">
        <f t="shared" si="0"/>
        <v>0.625</v>
      </c>
      <c r="R60" s="53">
        <v>14.9</v>
      </c>
      <c r="S60" s="53">
        <v>96</v>
      </c>
      <c r="T60" s="16">
        <f t="shared" si="1"/>
        <v>36</v>
      </c>
      <c r="U60" s="53">
        <v>410</v>
      </c>
      <c r="V60" s="16">
        <f t="shared" si="2"/>
        <v>2952</v>
      </c>
      <c r="W60" s="53">
        <v>4</v>
      </c>
      <c r="X60" s="53" t="s">
        <v>46</v>
      </c>
      <c r="Y60" s="53" t="s">
        <v>84</v>
      </c>
      <c r="Z60" s="53" t="s">
        <v>90</v>
      </c>
      <c r="AA60" s="53" t="s">
        <v>50</v>
      </c>
      <c r="AB60" s="53" t="s">
        <v>240</v>
      </c>
    </row>
    <row r="61" spans="1:28" x14ac:dyDescent="0.15">
      <c r="A61" s="53" t="s">
        <v>34</v>
      </c>
      <c r="B61" s="53" t="s">
        <v>236</v>
      </c>
      <c r="C61" s="53">
        <v>2019</v>
      </c>
      <c r="D61" s="143" t="s">
        <v>357</v>
      </c>
      <c r="E61" s="53" t="s">
        <v>370</v>
      </c>
      <c r="F61" s="53" t="s">
        <v>371</v>
      </c>
      <c r="G61" s="53" t="s">
        <v>36</v>
      </c>
      <c r="H61" s="53" t="s">
        <v>164</v>
      </c>
      <c r="I61" s="53" t="s">
        <v>159</v>
      </c>
      <c r="J61" s="53" t="s">
        <v>38</v>
      </c>
      <c r="K61" s="53" t="s">
        <v>161</v>
      </c>
      <c r="L61" s="53">
        <v>3</v>
      </c>
      <c r="N61" s="53">
        <v>5</v>
      </c>
      <c r="O61" s="53">
        <v>0.6</v>
      </c>
      <c r="P61" s="53">
        <v>0.5</v>
      </c>
      <c r="Q61" s="74">
        <f t="shared" si="0"/>
        <v>0.55000000000000004</v>
      </c>
      <c r="R61" s="53">
        <v>14.9</v>
      </c>
      <c r="S61" s="53">
        <v>93</v>
      </c>
      <c r="T61" s="16">
        <f t="shared" si="1"/>
        <v>36</v>
      </c>
      <c r="U61" s="53">
        <v>410</v>
      </c>
      <c r="V61" s="16">
        <f t="shared" si="2"/>
        <v>2952</v>
      </c>
      <c r="W61" s="53">
        <v>4</v>
      </c>
      <c r="X61" s="53" t="s">
        <v>46</v>
      </c>
      <c r="Y61" s="53" t="s">
        <v>84</v>
      </c>
      <c r="Z61" s="53" t="s">
        <v>90</v>
      </c>
      <c r="AA61" s="53" t="s">
        <v>50</v>
      </c>
      <c r="AB61" s="53" t="s">
        <v>240</v>
      </c>
    </row>
    <row r="62" spans="1:28" x14ac:dyDescent="0.15">
      <c r="A62" s="53" t="s">
        <v>34</v>
      </c>
      <c r="B62" s="53" t="s">
        <v>236</v>
      </c>
      <c r="C62" s="53">
        <v>2019</v>
      </c>
      <c r="D62" s="143" t="s">
        <v>357</v>
      </c>
      <c r="E62" s="53" t="s">
        <v>370</v>
      </c>
      <c r="F62" s="53" t="s">
        <v>371</v>
      </c>
      <c r="G62" s="53" t="s">
        <v>36</v>
      </c>
      <c r="H62" s="53" t="s">
        <v>127</v>
      </c>
      <c r="I62" s="53" t="s">
        <v>159</v>
      </c>
      <c r="J62" s="53" t="s">
        <v>112</v>
      </c>
      <c r="K62" s="53" t="s">
        <v>105</v>
      </c>
      <c r="L62" s="53">
        <v>1</v>
      </c>
      <c r="N62" s="53">
        <v>6</v>
      </c>
      <c r="O62" s="53">
        <v>0.2</v>
      </c>
      <c r="P62" s="53">
        <v>0.5</v>
      </c>
      <c r="Q62" s="74">
        <f t="shared" si="0"/>
        <v>0.35</v>
      </c>
      <c r="R62" s="53">
        <v>15.9</v>
      </c>
      <c r="S62" s="53">
        <v>46</v>
      </c>
      <c r="T62" s="16">
        <f t="shared" si="1"/>
        <v>50</v>
      </c>
      <c r="U62" s="53">
        <v>421</v>
      </c>
      <c r="V62" s="16">
        <f t="shared" si="2"/>
        <v>3508.3333333333335</v>
      </c>
      <c r="W62" s="53">
        <v>4</v>
      </c>
      <c r="X62" s="53" t="s">
        <v>46</v>
      </c>
      <c r="Y62" s="53" t="s">
        <v>84</v>
      </c>
      <c r="Z62" s="53" t="s">
        <v>90</v>
      </c>
      <c r="AA62" s="53" t="s">
        <v>50</v>
      </c>
      <c r="AB62" s="53" t="s">
        <v>240</v>
      </c>
    </row>
    <row r="63" spans="1:28" x14ac:dyDescent="0.15">
      <c r="A63" s="53" t="s">
        <v>34</v>
      </c>
      <c r="B63" s="53" t="s">
        <v>236</v>
      </c>
      <c r="C63" s="53">
        <v>2019</v>
      </c>
      <c r="D63" s="143" t="s">
        <v>357</v>
      </c>
      <c r="E63" s="53" t="s">
        <v>370</v>
      </c>
      <c r="F63" s="53" t="s">
        <v>371</v>
      </c>
      <c r="G63" s="53" t="s">
        <v>36</v>
      </c>
      <c r="H63" s="53" t="s">
        <v>127</v>
      </c>
      <c r="I63" s="53" t="s">
        <v>159</v>
      </c>
      <c r="J63" s="53" t="s">
        <v>112</v>
      </c>
      <c r="K63" s="53" t="s">
        <v>105</v>
      </c>
      <c r="L63" s="53">
        <v>2</v>
      </c>
      <c r="N63" s="53">
        <v>6</v>
      </c>
      <c r="O63" s="53">
        <v>0.2</v>
      </c>
      <c r="P63" s="53">
        <v>0.2</v>
      </c>
      <c r="Q63" s="74">
        <f t="shared" si="0"/>
        <v>0.2</v>
      </c>
      <c r="R63" s="53">
        <v>15.5</v>
      </c>
      <c r="S63" s="53">
        <v>44</v>
      </c>
      <c r="T63" s="16">
        <f t="shared" si="1"/>
        <v>50</v>
      </c>
      <c r="U63" s="53">
        <v>421</v>
      </c>
      <c r="V63" s="16">
        <f t="shared" si="2"/>
        <v>3508.3333333333335</v>
      </c>
      <c r="W63" s="53">
        <v>4</v>
      </c>
      <c r="X63" s="53" t="s">
        <v>46</v>
      </c>
      <c r="Y63" s="53" t="s">
        <v>84</v>
      </c>
      <c r="Z63" s="53" t="s">
        <v>90</v>
      </c>
      <c r="AA63" s="53" t="s">
        <v>50</v>
      </c>
      <c r="AB63" s="53" t="s">
        <v>240</v>
      </c>
    </row>
    <row r="64" spans="1:28" x14ac:dyDescent="0.15">
      <c r="A64" s="53" t="s">
        <v>34</v>
      </c>
      <c r="B64" s="53" t="s">
        <v>236</v>
      </c>
      <c r="C64" s="53">
        <v>2019</v>
      </c>
      <c r="D64" s="143" t="s">
        <v>357</v>
      </c>
      <c r="E64" s="53" t="s">
        <v>370</v>
      </c>
      <c r="F64" s="53" t="s">
        <v>371</v>
      </c>
      <c r="G64" s="53" t="s">
        <v>36</v>
      </c>
      <c r="H64" s="53" t="s">
        <v>127</v>
      </c>
      <c r="I64" s="53" t="s">
        <v>159</v>
      </c>
      <c r="J64" s="53" t="s">
        <v>112</v>
      </c>
      <c r="K64" s="53" t="s">
        <v>105</v>
      </c>
      <c r="L64" s="53">
        <v>3</v>
      </c>
      <c r="N64" s="53">
        <v>6</v>
      </c>
      <c r="O64" s="53">
        <v>0.2</v>
      </c>
      <c r="P64" s="53">
        <v>0.2</v>
      </c>
      <c r="Q64" s="74">
        <f t="shared" si="0"/>
        <v>0.2</v>
      </c>
      <c r="R64" s="53">
        <v>15.7</v>
      </c>
      <c r="S64" s="53">
        <v>37</v>
      </c>
      <c r="T64" s="16">
        <f t="shared" si="1"/>
        <v>50</v>
      </c>
      <c r="U64" s="53">
        <v>421</v>
      </c>
      <c r="V64" s="16">
        <f t="shared" si="2"/>
        <v>3508.3333333333335</v>
      </c>
      <c r="W64" s="53">
        <v>4</v>
      </c>
      <c r="X64" s="53" t="s">
        <v>46</v>
      </c>
      <c r="Y64" s="53" t="s">
        <v>84</v>
      </c>
      <c r="Z64" s="53" t="s">
        <v>90</v>
      </c>
      <c r="AA64" s="53" t="s">
        <v>50</v>
      </c>
      <c r="AB64" s="53" t="s">
        <v>240</v>
      </c>
    </row>
    <row r="65" spans="1:28" x14ac:dyDescent="0.15">
      <c r="A65" s="53" t="s">
        <v>34</v>
      </c>
      <c r="B65" s="53" t="s">
        <v>236</v>
      </c>
      <c r="C65" s="53">
        <v>2019</v>
      </c>
      <c r="D65" s="143" t="s">
        <v>357</v>
      </c>
      <c r="E65" s="53" t="s">
        <v>273</v>
      </c>
      <c r="F65" s="53" t="s">
        <v>372</v>
      </c>
      <c r="G65" s="53" t="s">
        <v>36</v>
      </c>
      <c r="H65" s="53" t="s">
        <v>164</v>
      </c>
      <c r="I65" s="53" t="s">
        <v>159</v>
      </c>
      <c r="J65" s="53" t="s">
        <v>38</v>
      </c>
      <c r="K65" s="53" t="s">
        <v>161</v>
      </c>
      <c r="L65" s="53">
        <v>3</v>
      </c>
      <c r="N65" s="53">
        <v>1</v>
      </c>
      <c r="O65" s="53">
        <v>0.55000000000000004</v>
      </c>
      <c r="P65" s="53">
        <v>0.6</v>
      </c>
      <c r="Q65" s="74">
        <f t="shared" si="0"/>
        <v>0.57499999999999996</v>
      </c>
      <c r="R65" s="53">
        <v>14.4</v>
      </c>
      <c r="S65" s="53">
        <v>82</v>
      </c>
      <c r="T65" s="16">
        <f t="shared" si="1"/>
        <v>39</v>
      </c>
      <c r="U65" s="53">
        <v>105</v>
      </c>
      <c r="V65" s="16">
        <f t="shared" si="2"/>
        <v>4095</v>
      </c>
      <c r="W65" s="53">
        <v>2</v>
      </c>
      <c r="X65" s="53" t="s">
        <v>46</v>
      </c>
      <c r="Y65" s="53" t="s">
        <v>84</v>
      </c>
      <c r="Z65" s="53" t="s">
        <v>90</v>
      </c>
      <c r="AA65" s="53" t="s">
        <v>69</v>
      </c>
      <c r="AB65" s="53" t="s">
        <v>240</v>
      </c>
    </row>
    <row r="66" spans="1:28" x14ac:dyDescent="0.15">
      <c r="A66" s="53" t="s">
        <v>34</v>
      </c>
      <c r="B66" s="53" t="s">
        <v>236</v>
      </c>
      <c r="C66" s="53">
        <v>2019</v>
      </c>
      <c r="D66" s="143" t="s">
        <v>357</v>
      </c>
      <c r="E66" s="53" t="s">
        <v>273</v>
      </c>
      <c r="F66" s="53" t="s">
        <v>372</v>
      </c>
      <c r="G66" s="53" t="s">
        <v>36</v>
      </c>
      <c r="H66" s="53" t="s">
        <v>164</v>
      </c>
      <c r="I66" s="53" t="s">
        <v>159</v>
      </c>
      <c r="J66" s="53" t="s">
        <v>38</v>
      </c>
      <c r="K66" s="53" t="s">
        <v>161</v>
      </c>
      <c r="L66" s="53">
        <v>3</v>
      </c>
      <c r="N66" s="53">
        <v>1</v>
      </c>
      <c r="O66" s="53">
        <v>0.55000000000000004</v>
      </c>
      <c r="P66" s="53">
        <v>0.45</v>
      </c>
      <c r="Q66" s="74">
        <f t="shared" ref="Q66:Q70" si="5">IF(OR(O66="",P66=""),"",AVERAGE(O66,P66))</f>
        <v>0.5</v>
      </c>
      <c r="R66" s="53">
        <v>14</v>
      </c>
      <c r="S66" s="53">
        <v>82</v>
      </c>
      <c r="T66" s="16">
        <f t="shared" ref="T66:T70" si="6">IF(H66="","",IF(OR(H66="GREEN",H66="GK"),IF(S66&gt;=$AX$2,VLOOKUP(S66,$AX$2:$AY$9,2,1),""),IF(S66&gt;=$AZ$2,VLOOKUP(S66,$AZ$2:$BA$9,2,1),"")))</f>
        <v>39</v>
      </c>
      <c r="U66" s="53">
        <v>105</v>
      </c>
      <c r="V66" s="16">
        <f t="shared" ref="V66:V70" si="7">IF(OR(N66="",U66="",T66=""),"",U66/N66*T66)</f>
        <v>4095</v>
      </c>
      <c r="W66" s="53">
        <v>2</v>
      </c>
      <c r="X66" s="53" t="s">
        <v>46</v>
      </c>
      <c r="Y66" s="53" t="s">
        <v>84</v>
      </c>
      <c r="Z66" s="53" t="s">
        <v>90</v>
      </c>
      <c r="AA66" s="53" t="s">
        <v>69</v>
      </c>
      <c r="AB66" s="53" t="s">
        <v>240</v>
      </c>
    </row>
    <row r="67" spans="1:28" x14ac:dyDescent="0.15">
      <c r="A67" s="53" t="s">
        <v>34</v>
      </c>
      <c r="B67" s="53" t="s">
        <v>236</v>
      </c>
      <c r="C67" s="53">
        <v>2019</v>
      </c>
      <c r="D67" s="143" t="s">
        <v>357</v>
      </c>
      <c r="E67" s="53" t="s">
        <v>273</v>
      </c>
      <c r="F67" s="53" t="s">
        <v>372</v>
      </c>
      <c r="G67" s="53" t="s">
        <v>36</v>
      </c>
      <c r="H67" s="53" t="s">
        <v>164</v>
      </c>
      <c r="I67" s="53" t="s">
        <v>159</v>
      </c>
      <c r="J67" s="53" t="s">
        <v>38</v>
      </c>
      <c r="K67" s="53" t="s">
        <v>161</v>
      </c>
      <c r="L67" s="53">
        <v>3</v>
      </c>
      <c r="N67" s="53">
        <v>1</v>
      </c>
      <c r="O67" s="53">
        <v>1</v>
      </c>
      <c r="P67" s="53">
        <v>0.75</v>
      </c>
      <c r="Q67" s="74">
        <f t="shared" si="5"/>
        <v>0.875</v>
      </c>
      <c r="R67" s="53">
        <v>13.3</v>
      </c>
      <c r="S67" s="53">
        <v>85</v>
      </c>
      <c r="T67" s="16">
        <f t="shared" si="6"/>
        <v>36</v>
      </c>
      <c r="U67" s="53">
        <v>105</v>
      </c>
      <c r="V67" s="16">
        <f t="shared" si="7"/>
        <v>3780</v>
      </c>
      <c r="W67" s="53">
        <v>2</v>
      </c>
      <c r="X67" s="53" t="s">
        <v>46</v>
      </c>
      <c r="Y67" s="53" t="s">
        <v>84</v>
      </c>
      <c r="Z67" s="53" t="s">
        <v>90</v>
      </c>
      <c r="AA67" s="53" t="s">
        <v>69</v>
      </c>
      <c r="AB67" s="53" t="s">
        <v>240</v>
      </c>
    </row>
    <row r="68" spans="1:28" x14ac:dyDescent="0.15">
      <c r="A68" s="53" t="s">
        <v>34</v>
      </c>
      <c r="B68" s="53" t="s">
        <v>236</v>
      </c>
      <c r="C68" s="53">
        <v>2019</v>
      </c>
      <c r="D68" s="143" t="s">
        <v>357</v>
      </c>
      <c r="E68" s="53" t="s">
        <v>273</v>
      </c>
      <c r="F68" s="53" t="s">
        <v>372</v>
      </c>
      <c r="G68" s="53" t="s">
        <v>36</v>
      </c>
      <c r="H68" s="53" t="s">
        <v>164</v>
      </c>
      <c r="I68" s="53" t="s">
        <v>159</v>
      </c>
      <c r="J68" s="53" t="s">
        <v>38</v>
      </c>
      <c r="K68" s="53" t="s">
        <v>161</v>
      </c>
      <c r="L68" s="53">
        <v>3</v>
      </c>
      <c r="N68" s="53">
        <v>7</v>
      </c>
      <c r="O68" s="53">
        <v>0.8</v>
      </c>
      <c r="P68" s="53">
        <v>0.65</v>
      </c>
      <c r="Q68" s="74">
        <f t="shared" si="5"/>
        <v>0.72500000000000009</v>
      </c>
      <c r="R68" s="53">
        <v>13.7</v>
      </c>
      <c r="S68" s="53">
        <v>90</v>
      </c>
      <c r="T68" s="16">
        <f t="shared" si="6"/>
        <v>36</v>
      </c>
      <c r="U68" s="53">
        <v>429</v>
      </c>
      <c r="V68" s="16">
        <f t="shared" si="7"/>
        <v>2206.2857142857142</v>
      </c>
      <c r="W68" s="53">
        <v>2</v>
      </c>
      <c r="X68" s="53" t="s">
        <v>46</v>
      </c>
      <c r="Y68" s="53" t="s">
        <v>84</v>
      </c>
      <c r="Z68" s="53" t="s">
        <v>90</v>
      </c>
      <c r="AA68" s="53" t="s">
        <v>69</v>
      </c>
      <c r="AB68" s="53" t="s">
        <v>240</v>
      </c>
    </row>
    <row r="69" spans="1:28" x14ac:dyDescent="0.15">
      <c r="A69" s="53" t="s">
        <v>34</v>
      </c>
      <c r="B69" s="53" t="s">
        <v>236</v>
      </c>
      <c r="C69" s="53">
        <v>2019</v>
      </c>
      <c r="D69" s="143" t="s">
        <v>357</v>
      </c>
      <c r="E69" s="53" t="s">
        <v>273</v>
      </c>
      <c r="F69" s="53" t="s">
        <v>372</v>
      </c>
      <c r="G69" s="53" t="s">
        <v>36</v>
      </c>
      <c r="H69" s="53" t="s">
        <v>164</v>
      </c>
      <c r="I69" s="53" t="s">
        <v>159</v>
      </c>
      <c r="J69" s="53" t="s">
        <v>38</v>
      </c>
      <c r="K69" s="53" t="s">
        <v>161</v>
      </c>
      <c r="L69" s="53">
        <v>3</v>
      </c>
      <c r="N69" s="53">
        <v>7</v>
      </c>
      <c r="O69" s="53">
        <v>0.65</v>
      </c>
      <c r="P69" s="53">
        <v>0.55000000000000004</v>
      </c>
      <c r="Q69" s="74">
        <f t="shared" si="5"/>
        <v>0.60000000000000009</v>
      </c>
      <c r="R69" s="53">
        <v>14.3</v>
      </c>
      <c r="S69" s="53">
        <v>82</v>
      </c>
      <c r="T69" s="16">
        <f t="shared" si="6"/>
        <v>39</v>
      </c>
      <c r="U69" s="53">
        <v>429</v>
      </c>
      <c r="V69" s="16">
        <f t="shared" si="7"/>
        <v>2390.1428571428569</v>
      </c>
      <c r="W69" s="53">
        <v>2</v>
      </c>
      <c r="X69" s="53" t="s">
        <v>46</v>
      </c>
      <c r="Y69" s="53" t="s">
        <v>84</v>
      </c>
      <c r="Z69" s="53" t="s">
        <v>90</v>
      </c>
      <c r="AA69" s="53" t="s">
        <v>69</v>
      </c>
      <c r="AB69" s="53" t="s">
        <v>240</v>
      </c>
    </row>
    <row r="70" spans="1:28" x14ac:dyDescent="0.15">
      <c r="A70" s="53" t="s">
        <v>34</v>
      </c>
      <c r="B70" s="53" t="s">
        <v>236</v>
      </c>
      <c r="C70" s="53">
        <v>2019</v>
      </c>
      <c r="D70" s="143" t="s">
        <v>357</v>
      </c>
      <c r="E70" s="53" t="s">
        <v>273</v>
      </c>
      <c r="F70" s="53" t="s">
        <v>372</v>
      </c>
      <c r="G70" s="53" t="s">
        <v>36</v>
      </c>
      <c r="H70" s="53" t="s">
        <v>164</v>
      </c>
      <c r="I70" s="53" t="s">
        <v>159</v>
      </c>
      <c r="J70" s="53" t="s">
        <v>38</v>
      </c>
      <c r="K70" s="53" t="s">
        <v>161</v>
      </c>
      <c r="L70" s="53">
        <v>3</v>
      </c>
      <c r="N70" s="53">
        <v>7</v>
      </c>
      <c r="O70" s="53">
        <v>0.75</v>
      </c>
      <c r="P70" s="53">
        <v>0.7</v>
      </c>
      <c r="Q70" s="74">
        <f t="shared" si="5"/>
        <v>0.72499999999999998</v>
      </c>
      <c r="R70" s="53">
        <v>14.6</v>
      </c>
      <c r="S70" s="53">
        <v>83</v>
      </c>
      <c r="T70" s="16">
        <f t="shared" si="6"/>
        <v>39</v>
      </c>
      <c r="U70" s="53">
        <v>429</v>
      </c>
      <c r="V70" s="16">
        <f t="shared" si="7"/>
        <v>2390.1428571428569</v>
      </c>
      <c r="W70" s="53">
        <v>2</v>
      </c>
      <c r="X70" s="53" t="s">
        <v>46</v>
      </c>
      <c r="Y70" s="53" t="s">
        <v>84</v>
      </c>
      <c r="Z70" s="53" t="s">
        <v>90</v>
      </c>
      <c r="AA70" s="53" t="s">
        <v>69</v>
      </c>
      <c r="AB70" s="53" t="s">
        <v>240</v>
      </c>
    </row>
    <row r="71" spans="1:28" x14ac:dyDescent="0.15">
      <c r="D71" s="143"/>
      <c r="Q71" s="74"/>
    </row>
    <row r="72" spans="1:28" x14ac:dyDescent="0.15">
      <c r="D72" s="143"/>
      <c r="Q72" s="74"/>
    </row>
    <row r="73" spans="1:28" x14ac:dyDescent="0.15">
      <c r="D73" s="143"/>
      <c r="Q73" s="74"/>
    </row>
    <row r="74" spans="1:28" x14ac:dyDescent="0.15">
      <c r="D74" s="143"/>
      <c r="Q74" s="74"/>
    </row>
    <row r="75" spans="1:28" x14ac:dyDescent="0.15">
      <c r="D75" s="143"/>
      <c r="Q75" s="74"/>
    </row>
    <row r="76" spans="1:28" x14ac:dyDescent="0.15">
      <c r="D76" s="143"/>
      <c r="Q76" s="74"/>
    </row>
    <row r="77" spans="1:28" x14ac:dyDescent="0.15">
      <c r="D77" s="143"/>
      <c r="Q77" s="74"/>
    </row>
    <row r="78" spans="1:28" x14ac:dyDescent="0.15">
      <c r="D78" s="143"/>
      <c r="Q78" s="74"/>
    </row>
    <row r="79" spans="1:28" x14ac:dyDescent="0.15">
      <c r="D79" s="143"/>
      <c r="Q79" s="74"/>
    </row>
    <row r="80" spans="1:28" x14ac:dyDescent="0.15">
      <c r="D80" s="143"/>
      <c r="Q80" s="74"/>
    </row>
    <row r="81" spans="4:17" x14ac:dyDescent="0.15">
      <c r="D81" s="143"/>
      <c r="Q81" s="74"/>
    </row>
    <row r="82" spans="4:17" x14ac:dyDescent="0.15">
      <c r="D82" s="143"/>
      <c r="Q82" s="74"/>
    </row>
    <row r="83" spans="4:17" x14ac:dyDescent="0.15">
      <c r="D83" s="143"/>
      <c r="Q83" s="74"/>
    </row>
    <row r="84" spans="4:17" x14ac:dyDescent="0.15">
      <c r="D84" s="143"/>
    </row>
    <row r="85" spans="4:17" x14ac:dyDescent="0.15">
      <c r="D85" s="143"/>
    </row>
    <row r="86" spans="4:17" x14ac:dyDescent="0.15">
      <c r="D86" s="143"/>
    </row>
    <row r="87" spans="4:17" x14ac:dyDescent="0.15">
      <c r="D87" s="143"/>
    </row>
    <row r="88" spans="4:17" x14ac:dyDescent="0.15">
      <c r="D88" s="143"/>
    </row>
    <row r="89" spans="4:17" x14ac:dyDescent="0.15">
      <c r="D89" s="143"/>
    </row>
    <row r="90" spans="4:17" x14ac:dyDescent="0.15">
      <c r="D90" s="143"/>
    </row>
    <row r="91" spans="4:17" x14ac:dyDescent="0.15">
      <c r="D91" s="143"/>
    </row>
    <row r="92" spans="4:17" x14ac:dyDescent="0.15">
      <c r="D92" s="143"/>
    </row>
    <row r="93" spans="4:17" x14ac:dyDescent="0.15">
      <c r="D93" s="143"/>
    </row>
    <row r="94" spans="4:17" x14ac:dyDescent="0.15">
      <c r="D94" s="143"/>
    </row>
    <row r="95" spans="4:17" x14ac:dyDescent="0.15">
      <c r="D95" s="143"/>
    </row>
    <row r="96" spans="4:17" x14ac:dyDescent="0.15">
      <c r="D96" s="143"/>
    </row>
    <row r="97" spans="4:4" x14ac:dyDescent="0.15">
      <c r="D97" s="143"/>
    </row>
    <row r="98" spans="4:4" x14ac:dyDescent="0.15">
      <c r="D98" s="143"/>
    </row>
    <row r="99" spans="4:4" x14ac:dyDescent="0.15">
      <c r="D99" s="143"/>
    </row>
    <row r="100" spans="4:4" x14ac:dyDescent="0.15">
      <c r="D100" s="143"/>
    </row>
    <row r="101" spans="4:4" x14ac:dyDescent="0.15">
      <c r="D101" s="143"/>
    </row>
    <row r="102" spans="4:4" x14ac:dyDescent="0.15">
      <c r="D102" s="143"/>
    </row>
    <row r="103" spans="4:4" x14ac:dyDescent="0.15">
      <c r="D103" s="143"/>
    </row>
    <row r="104" spans="4:4" x14ac:dyDescent="0.15">
      <c r="D104" s="143"/>
    </row>
    <row r="105" spans="4:4" x14ac:dyDescent="0.15">
      <c r="D105" s="143"/>
    </row>
    <row r="106" spans="4:4" x14ac:dyDescent="0.15">
      <c r="D106" s="143"/>
    </row>
    <row r="107" spans="4:4" x14ac:dyDescent="0.15">
      <c r="D107" s="143"/>
    </row>
    <row r="108" spans="4:4" x14ac:dyDescent="0.15">
      <c r="D108" s="143"/>
    </row>
    <row r="109" spans="4:4" x14ac:dyDescent="0.15">
      <c r="D109" s="143"/>
    </row>
    <row r="110" spans="4:4" x14ac:dyDescent="0.15">
      <c r="D110" s="143"/>
    </row>
    <row r="111" spans="4:4" x14ac:dyDescent="0.15">
      <c r="D111" s="143"/>
    </row>
    <row r="112" spans="4:4" x14ac:dyDescent="0.15">
      <c r="D112" s="143"/>
    </row>
    <row r="113" spans="4:4" x14ac:dyDescent="0.15">
      <c r="D113" s="143"/>
    </row>
    <row r="114" spans="4:4" x14ac:dyDescent="0.15">
      <c r="D114" s="143"/>
    </row>
    <row r="115" spans="4:4" x14ac:dyDescent="0.15">
      <c r="D115" s="143"/>
    </row>
    <row r="116" spans="4:4" x14ac:dyDescent="0.15">
      <c r="D116" s="143"/>
    </row>
    <row r="117" spans="4:4" x14ac:dyDescent="0.15">
      <c r="D117" s="143"/>
    </row>
    <row r="118" spans="4:4" x14ac:dyDescent="0.15">
      <c r="D118" s="143"/>
    </row>
    <row r="119" spans="4:4" x14ac:dyDescent="0.15">
      <c r="D119" s="143"/>
    </row>
    <row r="120" spans="4:4" x14ac:dyDescent="0.15">
      <c r="D120" s="143"/>
    </row>
    <row r="121" spans="4:4" x14ac:dyDescent="0.15">
      <c r="D121" s="143"/>
    </row>
    <row r="122" spans="4:4" x14ac:dyDescent="0.15">
      <c r="D122" s="143"/>
    </row>
    <row r="123" spans="4:4" x14ac:dyDescent="0.15">
      <c r="D123" s="143"/>
    </row>
    <row r="124" spans="4:4" x14ac:dyDescent="0.15">
      <c r="D124" s="143"/>
    </row>
    <row r="125" spans="4:4" x14ac:dyDescent="0.15">
      <c r="D125" s="143"/>
    </row>
    <row r="126" spans="4:4" x14ac:dyDescent="0.15">
      <c r="D126" s="143"/>
    </row>
    <row r="127" spans="4:4" x14ac:dyDescent="0.15">
      <c r="D127" s="143"/>
    </row>
    <row r="128" spans="4:4" x14ac:dyDescent="0.15">
      <c r="D128" s="143"/>
    </row>
    <row r="129" spans="4:4" x14ac:dyDescent="0.15">
      <c r="D129" s="143"/>
    </row>
    <row r="130" spans="4:4" x14ac:dyDescent="0.15">
      <c r="D130" s="143"/>
    </row>
    <row r="131" spans="4:4" x14ac:dyDescent="0.15">
      <c r="D131" s="143"/>
    </row>
    <row r="132" spans="4:4" x14ac:dyDescent="0.15">
      <c r="D132" s="143"/>
    </row>
    <row r="133" spans="4:4" x14ac:dyDescent="0.15">
      <c r="D133" s="143"/>
    </row>
    <row r="134" spans="4:4" x14ac:dyDescent="0.15">
      <c r="D134" s="143"/>
    </row>
    <row r="135" spans="4:4" x14ac:dyDescent="0.15">
      <c r="D135" s="143"/>
    </row>
    <row r="136" spans="4:4" x14ac:dyDescent="0.15">
      <c r="D136" s="143"/>
    </row>
    <row r="137" spans="4:4" x14ac:dyDescent="0.15">
      <c r="D137" s="143"/>
    </row>
    <row r="138" spans="4:4" x14ac:dyDescent="0.15">
      <c r="D138" s="143"/>
    </row>
    <row r="139" spans="4:4" x14ac:dyDescent="0.15">
      <c r="D139" s="143"/>
    </row>
    <row r="140" spans="4:4" x14ac:dyDescent="0.15">
      <c r="D140" s="143"/>
    </row>
    <row r="141" spans="4:4" x14ac:dyDescent="0.15">
      <c r="D141" s="143"/>
    </row>
    <row r="142" spans="4:4" x14ac:dyDescent="0.15">
      <c r="D142" s="143"/>
    </row>
    <row r="143" spans="4:4" x14ac:dyDescent="0.15">
      <c r="D143" s="143"/>
    </row>
    <row r="144" spans="4:4" x14ac:dyDescent="0.15">
      <c r="D144" s="143"/>
    </row>
    <row r="145" spans="4:4" x14ac:dyDescent="0.15">
      <c r="D145" s="143"/>
    </row>
    <row r="146" spans="4:4" x14ac:dyDescent="0.15">
      <c r="D146" s="143"/>
    </row>
    <row r="147" spans="4:4" x14ac:dyDescent="0.15">
      <c r="D147" s="143"/>
    </row>
    <row r="148" spans="4:4" x14ac:dyDescent="0.15">
      <c r="D148" s="143"/>
    </row>
    <row r="149" spans="4:4" x14ac:dyDescent="0.15">
      <c r="D149" s="143"/>
    </row>
  </sheetData>
  <autoFilter ref="A1:BA149" xr:uid="{00000000-0009-0000-0000-000000000000}"/>
  <phoneticPr fontId="3"/>
  <dataValidations count="12">
    <dataValidation type="list" allowBlank="1" showInputMessage="1" showErrorMessage="1" sqref="F2:F469" xr:uid="{F0175498-85B0-4237-95DB-E0923B62676D}">
      <formula1>$AH$2:$AH$11</formula1>
    </dataValidation>
    <dataValidation type="list" allowBlank="1" showInputMessage="1" showErrorMessage="1" sqref="E2:E469" xr:uid="{D7BC4434-733C-45B0-B0CA-3936BE35FE7A}">
      <formula1>$AG$2:$AG$11</formula1>
    </dataValidation>
    <dataValidation type="list" allowBlank="1" showInputMessage="1" showErrorMessage="1" sqref="K2:K781" xr:uid="{4CF8AB07-88F1-4374-A061-16B1CAFD39F8}">
      <formula1>$AR$2:$AR$23</formula1>
    </dataValidation>
    <dataValidation operator="equal" allowBlank="1" showInputMessage="1" showErrorMessage="1" sqref="B2:B149" xr:uid="{F83EB0B4-6740-485B-9C95-F9EA855DD666}"/>
    <dataValidation type="list" allowBlank="1" showInputMessage="1" showErrorMessage="1" sqref="A2:A468" xr:uid="{1E43E9E9-98C4-4EE6-B61A-9C5291177B67}">
      <formula1>$AE$2:$AE$19</formula1>
    </dataValidation>
    <dataValidation type="list" allowBlank="1" showInputMessage="1" showErrorMessage="1" sqref="Y2:AA469" xr:uid="{C80C0FAE-417B-4826-B877-CF06F034F776}">
      <formula1>$AV$2:$AV$21</formula1>
    </dataValidation>
    <dataValidation type="list" allowBlank="1" showInputMessage="1" showErrorMessage="1" sqref="H2:H469" xr:uid="{8F15B88B-EFDC-460E-A816-F61D8D5EDEDB}">
      <formula1>$AL$2:$AL$8</formula1>
    </dataValidation>
    <dataValidation type="list" allowBlank="1" showInputMessage="1" showErrorMessage="1" sqref="X2:X469" xr:uid="{A344DB19-D8B7-4DAA-A00E-86D76A97627C}">
      <formula1>$AT$2:$AT$3</formula1>
    </dataValidation>
    <dataValidation type="list" allowBlank="1" showInputMessage="1" showErrorMessage="1" sqref="G2:G469" xr:uid="{AAB15F92-989E-45A2-80DD-DA2048E5F5CA}">
      <formula1>$AJ$2:$AJ$4</formula1>
    </dataValidation>
    <dataValidation type="list" allowBlank="1" showInputMessage="1" showErrorMessage="1" sqref="I2:I469" xr:uid="{74D23912-E6A8-4072-A8DD-1A3812775CF3}">
      <formula1>$AN$5:$AN$6</formula1>
    </dataValidation>
    <dataValidation type="list" allowBlank="1" showInputMessage="1" showErrorMessage="1" sqref="J2:J469" xr:uid="{9EF4D12B-56D7-484D-84B2-0849F6548925}">
      <formula1>$AP$2:$AP$24</formula1>
    </dataValidation>
    <dataValidation type="decimal" allowBlank="1" showInputMessage="1" showErrorMessage="1" error="硬度を正しく入力して下さい。" sqref="O2:P49 O59:P469" xr:uid="{C7CB67DF-8A0B-4C3E-8FF0-47C5DC69EFD5}">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70EE0B-E734-4901-9820-0094501913EC}"/>
</file>

<file path=customXml/itemProps2.xml><?xml version="1.0" encoding="utf-8"?>
<ds:datastoreItem xmlns:ds="http://schemas.openxmlformats.org/officeDocument/2006/customXml" ds:itemID="{77F6FAAD-AEB2-41E7-9DF5-4E7231870E16}"/>
</file>

<file path=customXml/itemProps3.xml><?xml version="1.0" encoding="utf-8"?>
<ds:datastoreItem xmlns:ds="http://schemas.openxmlformats.org/officeDocument/2006/customXml" ds:itemID="{8993EEE1-16B0-4306-9E34-6992C0E423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2019-12-02T04:32:39Z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