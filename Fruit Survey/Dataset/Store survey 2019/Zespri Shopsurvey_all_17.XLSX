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01"/>
  <workbookPr defaultThemeVersion="124226"/>
  <mc:AlternateContent xmlns:mc="http://schemas.openxmlformats.org/markup-compatibility/2006">
    <mc:Choice Requires="x15">
      <x15ac:absPath xmlns:x15ac="http://schemas.microsoft.com/office/spreadsheetml/2010/11/ac" url="\\192.168.11.200\000_全国共有\2-Zespri\品質調査\2019\17週\"/>
    </mc:Choice>
  </mc:AlternateContent>
  <xr:revisionPtr revIDLastSave="0" documentId="13_ncr:1_{960F83C8-9048-40AF-B92C-C397BEA4DE5E}" xr6:coauthVersionLast="43" xr6:coauthVersionMax="43" xr10:uidLastSave="{00000000-0000-0000-0000-000000000000}"/>
  <bookViews>
    <workbookView xWindow="-120" yWindow="-120" windowWidth="29040" windowHeight="15840" activeTab="3"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miyagi!$A$1:$BA$354</definedName>
    <definedName name="_xlnm._FilterDatabase" localSheetId="2" hidden="1">nagoya!$A$1:$BA$49</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1">#REF!</definedName>
    <definedName name="aaa" localSheetId="0">#REF!</definedName>
    <definedName name="aaa">#REF!</definedName>
    <definedName name="Brand" localSheetId="1">#REF!</definedName>
    <definedName name="Brand" localSheetId="0">#REF!</definedName>
    <definedName name="Brand">#REF!</definedName>
    <definedName name="District" localSheetId="1">#REF!</definedName>
    <definedName name="District" localSheetId="0">#REF!</definedName>
    <definedName name="District">#REF!</definedName>
    <definedName name="Fruit" localSheetId="1">#REF!</definedName>
    <definedName name="Fruit" localSheetId="0">#REF!</definedName>
    <definedName name="Fruit">#REF!</definedName>
    <definedName name="GoldSIZE" localSheetId="1">#REF!</definedName>
    <definedName name="GoldSIZE" localSheetId="0">#REF!</definedName>
    <definedName name="GoldSIZE">#REF!</definedName>
    <definedName name="GreenSIZE" localSheetId="1">#REF!</definedName>
    <definedName name="GreenSIZE" localSheetId="0">#REF!</definedName>
    <definedName name="GreenSIZE">#REF!</definedName>
    <definedName name="GrowingMethod" localSheetId="1">#REF!</definedName>
    <definedName name="GrowingMethod" localSheetId="0">#REF!</definedName>
    <definedName name="GrowingMethod">#REF!</definedName>
    <definedName name="hiroshima" localSheetId="1">#REF!</definedName>
    <definedName name="hiroshima">#REF!</definedName>
    <definedName name="kk" localSheetId="1">#REF!</definedName>
    <definedName name="kk">#REF!</definedName>
    <definedName name="ｌｌｌｌｌ" localSheetId="1">#REF!</definedName>
    <definedName name="ｌｌｌｌｌ">#REF!</definedName>
    <definedName name="miyagi" localSheetId="1">#REF!</definedName>
    <definedName name="miyagi">#REF!</definedName>
    <definedName name="miyagi2" localSheetId="1">#REF!</definedName>
    <definedName name="miyagi2">#REF!</definedName>
    <definedName name="Origin" localSheetId="1">#REF!</definedName>
    <definedName name="Origin" localSheetId="0">#REF!</definedName>
    <definedName name="Origin">#REF!</definedName>
    <definedName name="Shelf" localSheetId="1">#REF!</definedName>
    <definedName name="Shelf" localSheetId="0">#REF!</definedName>
    <definedName name="Shelf">#REF!</definedName>
    <definedName name="Shop" localSheetId="1">#REF!</definedName>
    <definedName name="Shop" localSheetId="0">#REF!</definedName>
    <definedName name="Shop">#REF!</definedName>
    <definedName name="ShopName1" localSheetId="1">#REF!</definedName>
    <definedName name="ShopName1" localSheetId="0">#REF!</definedName>
    <definedName name="ShopName1">#REF!</definedName>
    <definedName name="ShopName2" localSheetId="1">#REF!</definedName>
    <definedName name="ShopName2" localSheetId="0">#REF!</definedName>
    <definedName name="ShopName2">#REF!</definedName>
    <definedName name="Variety" localSheetId="1">#REF!</definedName>
    <definedName name="Variety" localSheetId="0">#REF!</definedName>
    <definedName name="Variety">#REF!</definedName>
    <definedName name="yaginuma" localSheetId="1">#REF!</definedName>
    <definedName name="yaginuma">#REF!</definedName>
    <definedName name="検索店舗名" localSheetId="1">#REF!</definedName>
    <definedName name="検索店舗名" localSheetId="0">#REF!</definedName>
    <definedName name="検索店舗名">#REF!</definedName>
    <definedName name="栽培方法">#REF!</definedName>
    <definedName name="販売ユニット個数" localSheetId="1">#REF!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82" i="24" l="1"/>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V83" i="20"/>
  <c r="T83" i="20"/>
  <c r="Q83" i="20"/>
  <c r="T82" i="20"/>
  <c r="V82" i="20" s="1"/>
  <c r="Q82" i="20"/>
  <c r="T81" i="20"/>
  <c r="V81" i="20" s="1"/>
  <c r="Q81" i="20"/>
  <c r="T80" i="20"/>
  <c r="V80" i="20" s="1"/>
  <c r="Q80" i="20"/>
  <c r="V79" i="20"/>
  <c r="T79" i="20"/>
  <c r="Q79" i="20"/>
  <c r="T78" i="20"/>
  <c r="V78" i="20" s="1"/>
  <c r="Q78" i="20"/>
  <c r="T77" i="20"/>
  <c r="V77" i="20" s="1"/>
  <c r="Q77" i="20"/>
  <c r="T76" i="20"/>
  <c r="V76" i="20" s="1"/>
  <c r="Q76" i="20"/>
  <c r="V75" i="20"/>
  <c r="T75" i="20"/>
  <c r="Q75" i="20"/>
  <c r="T74" i="20"/>
  <c r="V74" i="20" s="1"/>
  <c r="Q74" i="20"/>
  <c r="T73" i="20"/>
  <c r="V73" i="20" s="1"/>
  <c r="Q73" i="20"/>
  <c r="T72" i="20"/>
  <c r="V72" i="20" s="1"/>
  <c r="Q72" i="20"/>
  <c r="V71" i="20"/>
  <c r="T71" i="20"/>
  <c r="Q71" i="20"/>
  <c r="T70" i="20"/>
  <c r="V70" i="20" s="1"/>
  <c r="Q70" i="20"/>
  <c r="T69" i="20"/>
  <c r="V69" i="20" s="1"/>
  <c r="Q69" i="20"/>
  <c r="T68" i="20"/>
  <c r="V68" i="20" s="1"/>
  <c r="Q68" i="20"/>
  <c r="V67" i="20"/>
  <c r="T67" i="20"/>
  <c r="Q67" i="20"/>
  <c r="T66" i="20"/>
  <c r="V66" i="20" s="1"/>
  <c r="Q66" i="20"/>
  <c r="T65" i="20"/>
  <c r="V65" i="20" s="1"/>
  <c r="Q65" i="20"/>
  <c r="T64" i="20"/>
  <c r="V64" i="20" s="1"/>
  <c r="Q64" i="20"/>
  <c r="V63" i="20"/>
  <c r="T63" i="20"/>
  <c r="Q63" i="20"/>
  <c r="T62" i="20"/>
  <c r="V62" i="20" s="1"/>
  <c r="Q62" i="20"/>
  <c r="T61" i="20"/>
  <c r="V61" i="20" s="1"/>
  <c r="Q61" i="20"/>
  <c r="T60" i="20"/>
  <c r="V60" i="20" s="1"/>
  <c r="Q60" i="20"/>
  <c r="V59" i="20"/>
  <c r="T59" i="20"/>
  <c r="Q59" i="20"/>
  <c r="T58" i="20"/>
  <c r="V58" i="20" s="1"/>
  <c r="Q58" i="20"/>
  <c r="T57" i="20"/>
  <c r="V57" i="20" s="1"/>
  <c r="Q57" i="20"/>
  <c r="T56" i="20"/>
  <c r="V56" i="20" s="1"/>
  <c r="Q56" i="20"/>
  <c r="V55" i="20"/>
  <c r="T55" i="20"/>
  <c r="Q55" i="20"/>
  <c r="T54" i="20"/>
  <c r="V54" i="20" s="1"/>
  <c r="Q54" i="20"/>
  <c r="T53" i="20"/>
  <c r="V53" i="20" s="1"/>
  <c r="Q53" i="20"/>
  <c r="T52" i="20"/>
  <c r="V52" i="20" s="1"/>
  <c r="Q52" i="20"/>
  <c r="V51" i="20"/>
  <c r="T51" i="20"/>
  <c r="Q51" i="20"/>
  <c r="T50" i="20"/>
  <c r="V50" i="20" s="1"/>
  <c r="Q50" i="20"/>
  <c r="T49" i="20"/>
  <c r="V49" i="20" s="1"/>
  <c r="Q49" i="20"/>
  <c r="T48" i="20"/>
  <c r="V48" i="20" s="1"/>
  <c r="Q48" i="20"/>
  <c r="V47" i="20"/>
  <c r="T47" i="20"/>
  <c r="Q47" i="20"/>
  <c r="T46" i="20"/>
  <c r="V46" i="20" s="1"/>
  <c r="Q46" i="20"/>
  <c r="T45" i="20"/>
  <c r="V45" i="20" s="1"/>
  <c r="Q45" i="20"/>
  <c r="T44" i="20"/>
  <c r="V44" i="20" s="1"/>
  <c r="Q44" i="20"/>
  <c r="V43" i="20"/>
  <c r="T43" i="20"/>
  <c r="Q43" i="20"/>
  <c r="T42" i="20"/>
  <c r="V42" i="20" s="1"/>
  <c r="Q42" i="20"/>
  <c r="T41" i="20"/>
  <c r="V41" i="20" s="1"/>
  <c r="Q41" i="20"/>
  <c r="T40" i="20"/>
  <c r="V40" i="20" s="1"/>
  <c r="Q40" i="20"/>
  <c r="V39" i="20"/>
  <c r="T39" i="20"/>
  <c r="Q39" i="20"/>
  <c r="T38" i="20"/>
  <c r="V38" i="20" s="1"/>
  <c r="Q38" i="20"/>
  <c r="T37" i="20"/>
  <c r="V37" i="20" s="1"/>
  <c r="Q37" i="20"/>
  <c r="T36" i="20"/>
  <c r="V36" i="20" s="1"/>
  <c r="Q36" i="20"/>
  <c r="V35" i="20"/>
  <c r="T35" i="20"/>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54" i="18" l="1"/>
  <c r="T353" i="18"/>
  <c r="T352" i="18"/>
  <c r="T351" i="18"/>
  <c r="T350" i="18"/>
  <c r="T349" i="18"/>
  <c r="T348" i="18"/>
  <c r="T347" i="18"/>
  <c r="T346" i="18"/>
  <c r="T345" i="18"/>
  <c r="T344" i="18"/>
  <c r="T343" i="18"/>
  <c r="T342" i="18"/>
  <c r="T341" i="18"/>
  <c r="T340" i="18"/>
  <c r="T339" i="18"/>
  <c r="T338" i="18"/>
  <c r="T337" i="18"/>
  <c r="T336" i="18"/>
  <c r="T335" i="18"/>
  <c r="T334" i="18"/>
  <c r="V334" i="18" s="1"/>
  <c r="T333" i="18"/>
  <c r="V333" i="18" s="1"/>
  <c r="T332" i="18"/>
  <c r="V332" i="18" s="1"/>
  <c r="T331" i="18"/>
  <c r="V331" i="18" s="1"/>
  <c r="T330" i="18"/>
  <c r="V330" i="18" s="1"/>
  <c r="T329" i="18"/>
  <c r="V329" i="18" s="1"/>
  <c r="T328" i="18"/>
  <c r="V328" i="18" s="1"/>
  <c r="T327" i="18"/>
  <c r="V327" i="18" s="1"/>
  <c r="T326" i="18"/>
  <c r="V326" i="18" s="1"/>
  <c r="Q326" i="18"/>
  <c r="T325" i="18"/>
  <c r="V325" i="18" s="1"/>
  <c r="Q325" i="18"/>
  <c r="T324" i="18"/>
  <c r="V324" i="18" s="1"/>
  <c r="Q324" i="18"/>
  <c r="T323" i="18"/>
  <c r="V323" i="18" s="1"/>
  <c r="Q323" i="18"/>
  <c r="T322" i="18"/>
  <c r="V322" i="18" s="1"/>
  <c r="Q322" i="18"/>
  <c r="T321" i="18"/>
  <c r="V321" i="18" s="1"/>
  <c r="Q321" i="18"/>
  <c r="T320" i="18"/>
  <c r="V320" i="18" s="1"/>
  <c r="Q320" i="18"/>
  <c r="T319" i="18"/>
  <c r="V319" i="18" s="1"/>
  <c r="Q319" i="18"/>
  <c r="T318" i="18"/>
  <c r="V318" i="18" s="1"/>
  <c r="Q318" i="18"/>
  <c r="T317" i="18"/>
  <c r="V317" i="18" s="1"/>
  <c r="Q317" i="18"/>
  <c r="T316" i="18"/>
  <c r="V316" i="18" s="1"/>
  <c r="Q316" i="18"/>
  <c r="T315" i="18"/>
  <c r="V315" i="18" s="1"/>
  <c r="Q315" i="18"/>
  <c r="T314" i="18"/>
  <c r="V314" i="18" s="1"/>
  <c r="Q314" i="18"/>
  <c r="T313" i="18"/>
  <c r="V313" i="18" s="1"/>
  <c r="Q313" i="18"/>
  <c r="T312" i="18"/>
  <c r="V312" i="18" s="1"/>
  <c r="Q312" i="18"/>
  <c r="T311" i="18"/>
  <c r="V311" i="18" s="1"/>
  <c r="Q311" i="18"/>
  <c r="T310" i="18"/>
  <c r="V310" i="18" s="1"/>
  <c r="Q310" i="18"/>
  <c r="T309" i="18"/>
  <c r="V309" i="18" s="1"/>
  <c r="Q309" i="18"/>
  <c r="T308" i="18"/>
  <c r="V308" i="18" s="1"/>
  <c r="Q308" i="18"/>
  <c r="T307" i="18"/>
  <c r="V307" i="18" s="1"/>
  <c r="Q307" i="18"/>
  <c r="T306" i="18"/>
  <c r="V306" i="18" s="1"/>
  <c r="Q306" i="18"/>
  <c r="T305" i="18"/>
  <c r="V305" i="18" s="1"/>
  <c r="Q305" i="18"/>
  <c r="T304" i="18"/>
  <c r="V304" i="18" s="1"/>
  <c r="Q304" i="18"/>
  <c r="T303" i="18"/>
  <c r="V303" i="18" s="1"/>
  <c r="Q303" i="18"/>
  <c r="T302" i="18"/>
  <c r="V302" i="18" s="1"/>
  <c r="Q302" i="18"/>
  <c r="T301" i="18"/>
  <c r="V301" i="18" s="1"/>
  <c r="Q301" i="18"/>
  <c r="T300" i="18"/>
  <c r="V300" i="18" s="1"/>
  <c r="Q300" i="18"/>
  <c r="T299" i="18"/>
  <c r="V299" i="18" s="1"/>
  <c r="Q299" i="18"/>
  <c r="T298" i="18"/>
  <c r="V298" i="18" s="1"/>
  <c r="Q298" i="18"/>
  <c r="T297" i="18"/>
  <c r="V297" i="18" s="1"/>
  <c r="Q297" i="18"/>
  <c r="T296" i="18"/>
  <c r="V296" i="18" s="1"/>
  <c r="Q296" i="18"/>
  <c r="T295" i="18"/>
  <c r="V295" i="18" s="1"/>
  <c r="Q295" i="18"/>
  <c r="T294" i="18"/>
  <c r="V294" i="18" s="1"/>
  <c r="Q294" i="18"/>
  <c r="T293" i="18"/>
  <c r="V293" i="18" s="1"/>
  <c r="Q293" i="18"/>
  <c r="T292" i="18"/>
  <c r="V292" i="18" s="1"/>
  <c r="Q292" i="18"/>
  <c r="T291" i="18"/>
  <c r="V291" i="18" s="1"/>
  <c r="Q291" i="18"/>
  <c r="T290" i="18"/>
  <c r="V290" i="18" s="1"/>
  <c r="Q290" i="18"/>
  <c r="T289" i="18"/>
  <c r="V289" i="18" s="1"/>
  <c r="Q289" i="18"/>
  <c r="T288" i="18"/>
  <c r="V288" i="18" s="1"/>
  <c r="Q288" i="18"/>
  <c r="T287" i="18"/>
  <c r="V287" i="18" s="1"/>
  <c r="Q287" i="18"/>
  <c r="T286" i="18"/>
  <c r="V286" i="18" s="1"/>
  <c r="Q286" i="18"/>
  <c r="T285" i="18"/>
  <c r="V285" i="18" s="1"/>
  <c r="Q285" i="18"/>
  <c r="T284" i="18"/>
  <c r="V284" i="18" s="1"/>
  <c r="Q284" i="18"/>
  <c r="T283" i="18"/>
  <c r="V283" i="18" s="1"/>
  <c r="Q283" i="18"/>
  <c r="T282" i="18"/>
  <c r="V282" i="18" s="1"/>
  <c r="Q282" i="18"/>
  <c r="T281" i="18"/>
  <c r="V281" i="18" s="1"/>
  <c r="Q281" i="18"/>
  <c r="T280" i="18"/>
  <c r="V280" i="18" s="1"/>
  <c r="Q280" i="18"/>
  <c r="T279" i="18"/>
  <c r="V279" i="18" s="1"/>
  <c r="Q279" i="18"/>
  <c r="T278" i="18"/>
  <c r="V278" i="18" s="1"/>
  <c r="Q278" i="18"/>
  <c r="T277" i="18"/>
  <c r="V277" i="18" s="1"/>
  <c r="Q277" i="18"/>
  <c r="T276" i="18"/>
  <c r="V276" i="18" s="1"/>
  <c r="Q276" i="18"/>
  <c r="T275" i="18"/>
  <c r="V275" i="18" s="1"/>
  <c r="Q275" i="18"/>
  <c r="T274" i="18"/>
  <c r="V274" i="18" s="1"/>
  <c r="Q274" i="18"/>
  <c r="T273" i="18"/>
  <c r="V273" i="18" s="1"/>
  <c r="Q273" i="18"/>
  <c r="T272" i="18"/>
  <c r="V272" i="18" s="1"/>
  <c r="Q272" i="18"/>
  <c r="T271" i="18"/>
  <c r="V271" i="18" s="1"/>
  <c r="Q271" i="18"/>
  <c r="T270" i="18"/>
  <c r="V270" i="18" s="1"/>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T40" i="18"/>
  <c r="V40" i="18" s="1"/>
  <c r="Q40" i="18"/>
  <c r="T39" i="18"/>
  <c r="V39" i="18" s="1"/>
  <c r="Q39" i="18"/>
  <c r="T38" i="18"/>
  <c r="V38" i="18" s="1"/>
  <c r="Q38" i="18"/>
  <c r="T37" i="18"/>
  <c r="V37" i="18" s="1"/>
  <c r="Q37" i="18"/>
  <c r="T36" i="18"/>
  <c r="V36" i="18" s="1"/>
  <c r="Q36" i="18"/>
  <c r="T35" i="18"/>
  <c r="V35" i="18" s="1"/>
  <c r="Q35" i="18"/>
  <c r="T34" i="18"/>
  <c r="V34" i="18" s="1"/>
  <c r="Q34" i="18"/>
  <c r="T33" i="18"/>
  <c r="V33" i="18" s="1"/>
  <c r="Q33" i="18"/>
  <c r="T32" i="18"/>
  <c r="V32" i="18" s="1"/>
  <c r="Q32" i="18"/>
  <c r="T31" i="18"/>
  <c r="V31" i="18" s="1"/>
  <c r="Q31" i="18"/>
  <c r="T30" i="18"/>
  <c r="V30" i="18" s="1"/>
  <c r="Q30" i="18"/>
  <c r="T29" i="18"/>
  <c r="V29" i="18" s="1"/>
  <c r="Q29" i="18"/>
  <c r="T28" i="18"/>
  <c r="V28" i="18" s="1"/>
  <c r="Q28" i="18"/>
  <c r="T27" i="18"/>
  <c r="V27" i="18" s="1"/>
  <c r="Q27" i="18"/>
  <c r="T26" i="18"/>
  <c r="V26" i="18" s="1"/>
  <c r="Q26" i="18"/>
  <c r="T25" i="18"/>
  <c r="V25" i="18" s="1"/>
  <c r="Q25" i="18"/>
  <c r="T24" i="18"/>
  <c r="V24" i="18" s="1"/>
  <c r="Q24" i="18"/>
  <c r="T23" i="18"/>
  <c r="V23" i="18" s="1"/>
  <c r="Q23" i="18"/>
  <c r="T22" i="18"/>
  <c r="V22" i="18" s="1"/>
  <c r="Q22" i="18"/>
  <c r="T21" i="18"/>
  <c r="V21" i="18" s="1"/>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<sst xmlns="http://schemas.openxmlformats.org/spreadsheetml/2006/main" count="8147" uniqueCount="384">
  <si>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</si>
  <si>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</si>
  <si>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</si>
  <si>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</si>
  <si>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</si>
  <si>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</si>
  <si>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</si>
  <si>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</si>
  <si>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</si>
  <si>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</si>
  <si>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</si>
  <si>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</si>
  <si>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</si>
  <si>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</si>
  <si>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</si>
  <si>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</si>
  <si>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</si>
  <si>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</si>
  <si>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</si>
  <si>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</si>
  <si>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</si>
  <si>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</si>
  <si>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</si>
  <si>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</si>
  <si>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</si>
  <si>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</si>
  <si>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</si>
  <si>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</si>
  <si>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</si>
  <si>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</si>
  <si>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</si>
  <si>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</si>
  <si>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</si>
  <si>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</si>
  <si>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</si>
  <si>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</si>
  <si>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</si>
  <si>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</si>
  <si>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</si>
  <si>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</si>
  <si>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</si>
  <si>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</si>
  <si>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</si>
  <si>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</si>
  <si>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</si>
  <si>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</si>
  <si>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</si>
  <si>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</si>
  <si>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</si>
  <si>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</si>
  <si>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</si>
  <si>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</si>
  <si>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</si>
  <si>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</si>
  <si>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</si>
  <si>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</si>
  <si>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</si>
  <si>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</si>
  <si>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</si>
  <si>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</si>
  <si>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</si>
  <si>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</si>
  <si>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</si>
  <si>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</si>
  <si>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</si>
  <si>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</si>
  <si>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</si>
  <si>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</si>
  <si>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</si>
  <si>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</si>
  <si>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</si>
  <si>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</si>
  <si>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</si>
  <si>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</si>
  <si>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</si>
  <si>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</si>
  <si>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</si>
  <si>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</si>
  <si>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</si>
  <si>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</si>
  <si>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</si>
  <si>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</si>
  <si>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</si>
  <si>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</si>
  <si>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</si>
  <si>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</si>
  <si>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</si>
  <si>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</si>
  <si>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</si>
  <si>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</si>
  <si>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</si>
  <si>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</si>
  <si>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</si>
  <si>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</si>
  <si>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</si>
  <si>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</si>
  <si>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</si>
  <si>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</si>
  <si>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</si>
  <si>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</si>
  <si>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</si>
  <si>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</si>
  <si>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</si>
  <si>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</si>
  <si>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</si>
  <si>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</si>
  <si>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</si>
  <si>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</si>
  <si>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</si>
  <si>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</si>
  <si>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</si>
  <si>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</si>
  <si>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</si>
  <si>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</si>
  <si>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</si>
  <si>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</si>
  <si>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</si>
  <si>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</si>
  <si>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</si>
  <si>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</si>
  <si>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</si>
  <si>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</si>
  <si>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</si>
  <si>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</si>
  <si>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</si>
  <si>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</si>
  <si>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</si>
  <si>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</si>
  <si>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</si>
  <si>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</si>
  <si>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</si>
  <si>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</si>
  <si>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</si>
  <si>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</si>
  <si>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</si>
  <si>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</si>
  <si>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</si>
  <si>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</si>
  <si>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</si>
  <si>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</si>
  <si>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</si>
  <si>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</si>
  <si>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</si>
  <si>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</si>
  <si>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</si>
  <si>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</si>
  <si>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</si>
  <si>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</si>
  <si>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</si>
  <si>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</si>
  <si>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</si>
  <si>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</si>
  <si>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</si>
  <si>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</si>
  <si>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</si>
  <si>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</si>
  <si>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</si>
  <si>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</si>
  <si>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23.04.2019</t>
  </si>
  <si>
    <t>23.04.2019</t>
    <phoneticPr fontId="3"/>
  </si>
  <si>
    <t>JPY</t>
  </si>
  <si>
    <t>CK</t>
  </si>
  <si>
    <t>GA</t>
  </si>
  <si>
    <t>ﾆｭｰｼﾞｰﾗﾝﾄﾞ</t>
  </si>
  <si>
    <t>OB</t>
  </si>
  <si>
    <t>マックスバリュ</t>
  </si>
  <si>
    <t>北40条</t>
  </si>
  <si>
    <t>HE</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</si>
  <si>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</si>
  <si>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</si>
  <si>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</si>
  <si>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</si>
  <si>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</si>
  <si>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</si>
  <si>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</si>
  <si>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</si>
  <si>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</si>
  <si>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</si>
  <si>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</si>
  <si>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</si>
  <si>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</si>
  <si>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</si>
  <si>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</si>
  <si>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</si>
  <si>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24.04.2019</t>
    <phoneticPr fontId="16"/>
  </si>
  <si>
    <t>利府店</t>
  </si>
  <si>
    <t>HW</t>
  </si>
  <si>
    <t>JPY</t>
    <phoneticPr fontId="16"/>
  </si>
  <si>
    <t>その他グリーン</t>
  </si>
  <si>
    <t>みやぎ生協</t>
  </si>
  <si>
    <t>その他ゴールド</t>
  </si>
  <si>
    <t>24.04.2019</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</si>
  <si>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</si>
  <si>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</si>
  <si>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</si>
  <si>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</si>
  <si>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</si>
  <si>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</si>
  <si>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</si>
  <si>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</si>
  <si>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</si>
  <si>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</si>
  <si>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</si>
  <si>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</si>
  <si>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</si>
  <si>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</si>
  <si>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</si>
  <si>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</si>
  <si>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</si>
  <si>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</si>
  <si>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</si>
  <si>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</si>
  <si>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</si>
  <si>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</si>
  <si>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</si>
  <si>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</si>
  <si>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</si>
  <si>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</si>
  <si>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</si>
  <si>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</si>
  <si>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</si>
  <si>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</si>
  <si>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</si>
  <si>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</si>
  <si>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</si>
  <si>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</si>
  <si>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</si>
  <si>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</si>
  <si>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</si>
  <si>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</si>
  <si>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</si>
  <si>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</si>
  <si>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</si>
  <si>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</si>
  <si>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</si>
  <si>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25.04.2019</t>
    <phoneticPr fontId="3"/>
  </si>
  <si>
    <t>旬楽膳</t>
    <rPh sb="0" eb="1">
      <t>シュン</t>
    </rPh>
    <rPh sb="1" eb="2">
      <t>ラク</t>
    </rPh>
    <rPh sb="2" eb="3">
      <t>ゼン</t>
    </rPh>
    <phoneticPr fontId="4"/>
  </si>
  <si>
    <t>日進店</t>
    <rPh sb="0" eb="2">
      <t>ニッシン</t>
    </rPh>
    <rPh sb="2" eb="3">
      <t>ミセ</t>
    </rPh>
    <phoneticPr fontId="4"/>
  </si>
  <si>
    <t>段の上店</t>
    <rPh sb="0" eb="1">
      <t>ダン</t>
    </rPh>
    <rPh sb="2" eb="3">
      <t>ウエ</t>
    </rPh>
    <rPh sb="3" eb="4">
      <t>テン</t>
    </rPh>
    <phoneticPr fontId="3"/>
  </si>
  <si>
    <t>アオキスーパー</t>
    <phoneticPr fontId="4"/>
  </si>
  <si>
    <t>アオキスーパー</t>
  </si>
  <si>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</si>
  <si>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</si>
  <si>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</si>
  <si>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</si>
  <si>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</si>
  <si>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</si>
  <si>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長久手店</t>
  </si>
  <si>
    <t>カネトク</t>
    <phoneticPr fontId="4"/>
  </si>
  <si>
    <t>ピアゴ</t>
  </si>
  <si>
    <t>長久手南店</t>
  </si>
  <si>
    <t>カネスエ</t>
  </si>
  <si>
    <t>ラフランス</t>
    <phoneticPr fontId="4"/>
  </si>
  <si>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</si>
  <si>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</si>
  <si>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</si>
  <si>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</si>
  <si>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</si>
  <si>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26.04.2019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</si>
  <si>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</si>
  <si>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</si>
  <si>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</si>
  <si>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</si>
  <si>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</si>
  <si>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</si>
  <si>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</si>
  <si>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</si>
  <si>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</si>
  <si>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</si>
  <si>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</si>
  <si>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</si>
  <si>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</si>
  <si>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</si>
  <si>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</si>
  <si>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</si>
  <si>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</si>
  <si>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</si>
  <si>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</si>
  <si>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</si>
  <si>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</si>
  <si>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</si>
  <si>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</si>
  <si>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</si>
  <si>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</si>
  <si>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</si>
  <si>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</si>
  <si>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</si>
  <si>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</si>
  <si>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</si>
  <si>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</si>
  <si>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</si>
  <si>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</si>
  <si>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</si>
  <si>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</si>
  <si>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</si>
  <si>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</si>
  <si>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</si>
  <si>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</si>
  <si>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</si>
  <si>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</si>
  <si>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</si>
  <si>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</si>
  <si>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</si>
  <si>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</si>
  <si>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</si>
  <si>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</si>
  <si>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</si>
  <si>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</si>
  <si>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販売
ユニット
個数</t>
    <phoneticPr fontId="4"/>
  </si>
  <si>
    <t>U/P JPY</t>
    <phoneticPr fontId="4"/>
  </si>
  <si>
    <t>24.04.2019</t>
    <phoneticPr fontId="3"/>
  </si>
  <si>
    <t>マルショク</t>
    <phoneticPr fontId="3"/>
  </si>
  <si>
    <t>野間大池</t>
    <rPh sb="0" eb="2">
      <t>ノマ</t>
    </rPh>
    <rPh sb="2" eb="4">
      <t>オオイケ</t>
    </rPh>
    <phoneticPr fontId="3"/>
  </si>
  <si>
    <t>保冷なし</t>
    <rPh sb="0" eb="2">
      <t>ホレイ</t>
    </rPh>
    <phoneticPr fontId="3"/>
  </si>
  <si>
    <t>りんご</t>
    <phoneticPr fontId="3"/>
  </si>
  <si>
    <t>バナナ</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</si>
  <si>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</si>
  <si>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</si>
  <si>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</si>
  <si>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</si>
  <si>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</si>
  <si>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</si>
  <si>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</si>
  <si>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</si>
  <si>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</si>
  <si>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</si>
  <si>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</si>
  <si>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</si>
  <si>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</si>
  <si>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</si>
  <si>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</si>
  <si>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</si>
  <si>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</si>
  <si>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</si>
  <si>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</si>
  <si>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</si>
  <si>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</si>
  <si>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</si>
  <si>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ＪＡ八女</t>
    <rPh sb="2" eb="4">
      <t>ヤメ</t>
    </rPh>
    <phoneticPr fontId="4"/>
  </si>
  <si>
    <t>福岡</t>
    <rPh sb="0" eb="2">
      <t>フクオカ</t>
    </rPh>
    <phoneticPr fontId="3"/>
  </si>
  <si>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</si>
  <si>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</si>
  <si>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</si>
  <si>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</si>
  <si>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</si>
  <si>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</si>
  <si>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</si>
  <si>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</si>
  <si>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</si>
  <si>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</si>
  <si>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</si>
  <si>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</si>
  <si>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</si>
  <si>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</si>
  <si>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</si>
  <si>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</si>
  <si>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</si>
  <si>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25.04.2019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</si>
  <si>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</si>
  <si>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</si>
  <si>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</si>
  <si>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</si>
  <si>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</si>
  <si>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</si>
  <si>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</si>
  <si>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</si>
  <si>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</si>
  <si>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</si>
  <si>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</si>
  <si>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</si>
  <si>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</si>
  <si>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</si>
  <si>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</si>
  <si>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</si>
  <si>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東武ストア</t>
  </si>
  <si>
    <t>新小岩店</t>
  </si>
  <si>
    <t>コモディイイダ</t>
  </si>
  <si>
    <t>西瑞江店</t>
  </si>
  <si>
    <t>いなげや</t>
  </si>
  <si>
    <t>江戸川春江店</t>
  </si>
  <si>
    <t>鹿骨店</t>
  </si>
  <si>
    <t>江戸川中央店</t>
  </si>
  <si>
    <t>サミットストア</t>
  </si>
  <si>
    <t>江戸川区役所前店</t>
    <rPh sb="0" eb="6">
      <t>エドガワクヤクショ</t>
    </rPh>
    <rPh sb="6" eb="7">
      <t>マエ</t>
    </rPh>
    <rPh sb="7" eb="8">
      <t>ミセ</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</si>
</sst>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59">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top style="thin">
        <color auto="1"/>
      </top>
      <bottom/>
      <diagonal/>
    </border>
    <border>
      <left style="thin">
        <color auto="1"/>
      </left>
      <right/>
      <top/>
      <bottom/>
      <diagonal/>
    </border>
    <border>
      <left style="hair">
        <color auto="1"/>
      </left>
      <right style="thin">
        <color auto="1"/>
      </right>
      <top/>
      <bottom/>
      <diagonal/>
    </border>
    <border>
      <left style="thin">
        <color theme="0" tint="-0.14993743705557422"/>
      </left>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6795556505021"/>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top style="thin">
        <color theme="0" tint="-0.14996795556505021"/>
      </top>
      <bottom/>
      <diagonal/>
    </border>
    <border>
      <left/>
      <right/>
      <top style="thin">
        <color theme="0" tint="-0.14993743705557422"/>
      </top>
      <bottom/>
      <diagonal/>
    </border>
    <border>
      <left/>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3743705557422"/>
      </left>
      <right style="thin">
        <color theme="0" tint="-0.14993743705557422"/>
      </right>
      <top/>
      <bottom style="thin">
        <color theme="0" tint="-0.14996795556505021"/>
      </bottom>
      <diagonal/>
    </border>
    <border>
      <left style="thin">
        <color theme="0" tint="-0.14993743705557422"/>
      </left>
      <right style="thin">
        <color theme="0" tint="-0.14993743705557422"/>
      </right>
      <top/>
      <bottom style="thin">
        <color theme="0" tint="-0.14990691854609822"/>
      </bottom>
      <diagonal/>
    </border>
    <border>
      <left style="thin">
        <color theme="0" tint="-0.14993743705557422"/>
      </left>
      <right/>
      <top/>
      <bottom style="thin">
        <color theme="0" tint="-0.14996795556505021"/>
      </bottom>
      <diagonal/>
    </border>
    <border>
      <left/>
      <right/>
      <top/>
      <bottom style="thin">
        <color theme="0" tint="-0.14993743705557422"/>
      </bottom>
      <diagonal/>
    </border>
    <border>
      <left/>
      <right/>
      <top/>
      <bottom style="thin">
        <color theme="0" tint="-0.14996795556505021"/>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238">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0" fontId="1" fillId="0" borderId="0" xfId="1" applyFont="1" applyFill="1" applyAlignment="1"/>
    <xf numFmtId="0" fontId="1" fillId="0" borderId="0" xfId="1" applyFont="1" applyFill="1" applyAlignment="1">
      <alignment horizontal="center"/>
    </xf>
    <xf numFmtId="14" fontId="15" fillId="0" borderId="0" xfId="1" applyNumberFormat="1" applyFont="1" applyFill="1" applyAlignment="1">
      <alignment horizontal="right"/>
    </xf>
    <xf numFmtId="178" fontId="1" fillId="3" borderId="22" xfId="1" applyNumberFormat="1" applyFont="1" applyFill="1" applyBorder="1"/>
    <xf numFmtId="0" fontId="1" fillId="2" borderId="0" xfId="1" applyFont="1" applyFill="1"/>
    <xf numFmtId="0" fontId="17" fillId="0" borderId="23" xfId="2" applyFont="1" applyBorder="1" applyAlignment="1">
      <alignment horizontal="center" vertical="center"/>
    </xf>
    <xf numFmtId="0" fontId="17" fillId="0" borderId="24" xfId="2" applyFont="1" applyBorder="1" applyAlignment="1">
      <alignment horizontal="center" vertical="center"/>
    </xf>
    <xf numFmtId="0" fontId="1" fillId="0" borderId="8" xfId="1" applyFont="1" applyFill="1" applyBorder="1"/>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178" fontId="1" fillId="3" borderId="25" xfId="1" applyNumberFormat="1" applyFont="1" applyFill="1" applyBorder="1"/>
    <xf numFmtId="0" fontId="17" fillId="0" borderId="12" xfId="2"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178" fontId="1" fillId="2" borderId="0" xfId="1" applyNumberFormat="1" applyFont="1" applyFill="1"/>
    <xf numFmtId="0" fontId="1" fillId="0" borderId="16" xfId="1" applyFont="1" applyBorder="1"/>
    <xf numFmtId="0" fontId="1" fillId="0" borderId="17"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5"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0" fontId="15" fillId="0" borderId="0" xfId="2" applyFont="1">
      <alignment vertical="center"/>
    </xf>
    <xf numFmtId="178" fontId="1" fillId="3" borderId="0" xfId="1" applyNumberFormat="1" applyFont="1" applyFill="1"/>
    <xf numFmtId="0" fontId="1" fillId="3" borderId="0" xfId="1" applyFont="1" applyFill="1"/>
    <xf numFmtId="0" fontId="15" fillId="0" borderId="0" xfId="2" applyFont="1" applyFill="1">
      <alignment vertical="center"/>
    </xf>
    <xf numFmtId="0"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8" fillId="0" borderId="0" xfId="1" applyNumberFormat="1" applyFont="1" applyFill="1"/>
    <xf numFmtId="178" fontId="1" fillId="2" borderId="0" xfId="1" applyNumberFormat="1" applyFill="1"/>
    <xf numFmtId="0" fontId="1" fillId="0" borderId="12" xfId="1" applyFont="1" applyFill="1" applyBorder="1" applyAlignment="1">
      <alignment shrinkToFit="1"/>
    </xf>
    <xf numFmtId="0" fontId="18"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0" fontId="1" fillId="0" borderId="0" xfId="5" applyFont="1" applyFill="1" applyAlignment="1"/>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6" xfId="1" applyFont="1" applyBorder="1" applyAlignment="1">
      <alignment horizontal="left" wrapText="1"/>
    </xf>
    <xf numFmtId="0" fontId="1" fillId="4" borderId="0" xfId="1" applyFill="1" applyBorder="1"/>
    <xf numFmtId="14" fontId="1" fillId="4" borderId="0" xfId="1" applyNumberFormat="1" applyFont="1" applyFill="1" applyBorder="1"/>
    <xf numFmtId="0" fontId="1" fillId="0" borderId="0" xfId="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8" fillId="0" borderId="0" xfId="1" applyNumberFormat="1" applyFont="1" applyAlignment="1">
      <alignment horizontal="center"/>
    </xf>
    <xf numFmtId="0" fontId="19" fillId="0" borderId="1" xfId="0" applyFont="1" applyFill="1" applyBorder="1">
      <alignment vertical="center"/>
    </xf>
    <xf numFmtId="0" fontId="15" fillId="0" borderId="4" xfId="0" applyFont="1" applyFill="1" applyBorder="1">
      <alignment vertical="center"/>
    </xf>
    <xf numFmtId="0" fontId="1" fillId="0" borderId="8" xfId="1" applyBorder="1"/>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5" fillId="0" borderId="1" xfId="0" applyFont="1" applyFill="1" applyBorder="1">
      <alignment vertical="center"/>
    </xf>
    <xf numFmtId="0" fontId="15" fillId="0" borderId="6" xfId="0" applyFont="1" applyFill="1" applyBorder="1">
      <alignment vertical="center"/>
    </xf>
    <xf numFmtId="49" fontId="2" fillId="5" borderId="27" xfId="1" applyNumberFormat="1" applyFont="1" applyFill="1" applyBorder="1" applyAlignment="1">
      <alignment horizontal="center" vertical="center" wrapText="1"/>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8" xfId="1" applyFill="1" applyBorder="1"/>
    <xf numFmtId="14" fontId="0" fillId="4" borderId="29" xfId="1" applyNumberFormat="1" applyFont="1" applyFill="1" applyBorder="1"/>
    <xf numFmtId="0" fontId="1" fillId="4" borderId="30" xfId="1" applyFill="1" applyBorder="1"/>
    <xf numFmtId="0" fontId="1" fillId="4" borderId="31" xfId="1" applyFill="1" applyBorder="1"/>
    <xf numFmtId="0" fontId="1" fillId="4" borderId="32" xfId="1" applyFill="1" applyBorder="1"/>
    <xf numFmtId="0" fontId="1" fillId="4" borderId="33" xfId="1" applyFill="1" applyBorder="1"/>
    <xf numFmtId="0" fontId="1" fillId="4" borderId="34" xfId="1" applyFill="1" applyBorder="1"/>
    <xf numFmtId="178" fontId="1" fillId="3" borderId="31" xfId="1" applyNumberFormat="1" applyFill="1" applyBorder="1"/>
    <xf numFmtId="0" fontId="1" fillId="4" borderId="35" xfId="1" applyFill="1" applyBorder="1"/>
    <xf numFmtId="0" fontId="1" fillId="3" borderId="32" xfId="1" applyFill="1" applyBorder="1"/>
    <xf numFmtId="0" fontId="1" fillId="4" borderId="36" xfId="1" applyFill="1" applyBorder="1"/>
    <xf numFmtId="0" fontId="1" fillId="4" borderId="37" xfId="1" applyFill="1" applyBorder="1"/>
    <xf numFmtId="0" fontId="1" fillId="4" borderId="37" xfId="1" applyFont="1" applyFill="1" applyBorder="1"/>
    <xf numFmtId="0" fontId="1" fillId="4" borderId="38" xfId="1" applyFill="1" applyBorder="1"/>
    <xf numFmtId="0" fontId="1" fillId="0" borderId="38" xfId="1" applyBorder="1"/>
    <xf numFmtId="14" fontId="0" fillId="4" borderId="39" xfId="1" applyNumberFormat="1" applyFont="1" applyFill="1" applyBorder="1"/>
    <xf numFmtId="0" fontId="1" fillId="4" borderId="40" xfId="1" applyFill="1" applyBorder="1"/>
    <xf numFmtId="178" fontId="1" fillId="3" borderId="41" xfId="1" applyNumberFormat="1" applyFill="1" applyBorder="1"/>
    <xf numFmtId="0" fontId="1" fillId="0" borderId="42" xfId="1" applyBorder="1"/>
    <xf numFmtId="0" fontId="1" fillId="0" borderId="43" xfId="1" applyFill="1" applyBorder="1"/>
    <xf numFmtId="0" fontId="1" fillId="3" borderId="0" xfId="1" applyFill="1" applyBorder="1"/>
    <xf numFmtId="0" fontId="1" fillId="0" borderId="44" xfId="1" applyFill="1" applyBorder="1"/>
    <xf numFmtId="0" fontId="1" fillId="4" borderId="45" xfId="1" applyFill="1" applyBorder="1"/>
    <xf numFmtId="0" fontId="1" fillId="4" borderId="12" xfId="1" applyFill="1" applyBorder="1"/>
    <xf numFmtId="0" fontId="1" fillId="0" borderId="46" xfId="1" applyBorder="1"/>
    <xf numFmtId="0" fontId="1" fillId="4" borderId="43" xfId="1" applyFill="1" applyBorder="1"/>
    <xf numFmtId="0" fontId="1" fillId="0" borderId="44" xfId="1" applyBorder="1"/>
    <xf numFmtId="0" fontId="1" fillId="4" borderId="16" xfId="1" applyFill="1" applyBorder="1"/>
    <xf numFmtId="0" fontId="1" fillId="4" borderId="17" xfId="1" applyFill="1" applyBorder="1"/>
    <xf numFmtId="0" fontId="1" fillId="0" borderId="43" xfId="1" applyBorder="1"/>
    <xf numFmtId="0" fontId="1" fillId="0" borderId="45" xfId="1" applyBorder="1"/>
    <xf numFmtId="0" fontId="1" fillId="0" borderId="45" xfId="1" applyFont="1" applyBorder="1"/>
    <xf numFmtId="0" fontId="1" fillId="0" borderId="17" xfId="1" applyFill="1" applyBorder="1"/>
    <xf numFmtId="0" fontId="1" fillId="0" borderId="46" xfId="1" applyFont="1" applyBorder="1"/>
    <xf numFmtId="0" fontId="1" fillId="0" borderId="37" xfId="1" applyBorder="1"/>
    <xf numFmtId="14" fontId="0" fillId="0" borderId="0" xfId="1" applyNumberFormat="1" applyFont="1"/>
    <xf numFmtId="0" fontId="1" fillId="4" borderId="47" xfId="1" applyFill="1" applyBorder="1"/>
    <xf numFmtId="0" fontId="1" fillId="0" borderId="47" xfId="1" applyBorder="1"/>
    <xf numFmtId="14" fontId="0" fillId="4" borderId="48" xfId="1" applyNumberFormat="1" applyFont="1" applyFill="1" applyBorder="1"/>
    <xf numFmtId="0" fontId="1" fillId="4" borderId="49" xfId="1" applyFill="1" applyBorder="1"/>
    <xf numFmtId="0" fontId="1" fillId="0" borderId="50" xfId="1" applyBorder="1"/>
    <xf numFmtId="0" fontId="1" fillId="0" borderId="51" xfId="1" applyBorder="1"/>
    <xf numFmtId="0" fontId="1" fillId="4" borderId="52" xfId="1" applyFill="1" applyBorder="1"/>
    <xf numFmtId="0" fontId="1" fillId="0" borderId="53" xfId="1" applyBorder="1"/>
    <xf numFmtId="0" fontId="1" fillId="4" borderId="54" xfId="1" applyFill="1" applyBorder="1"/>
    <xf numFmtId="0" fontId="1" fillId="0" borderId="54" xfId="1" applyBorder="1"/>
    <xf numFmtId="14" fontId="0" fillId="4" borderId="55" xfId="1" applyNumberFormat="1" applyFont="1" applyFill="1" applyBorder="1"/>
    <xf numFmtId="0" fontId="1" fillId="4" borderId="56" xfId="1" applyFill="1" applyBorder="1"/>
    <xf numFmtId="0" fontId="1" fillId="0" borderId="57" xfId="1" applyBorder="1"/>
    <xf numFmtId="0" fontId="1" fillId="0" borderId="58" xfId="1" applyBorder="1"/>
    <xf numFmtId="0" fontId="1" fillId="0" borderId="0" xfId="1" applyFont="1" applyFill="1" applyBorder="1"/>
    <xf numFmtId="49" fontId="8" fillId="0" borderId="26"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zoomScale="85" zoomScaleNormal="85" workbookViewId="0">
      <selection activeCell="M37" sqref="M37"/>
    </sheetView>
  </sheetViews>
  <sheetFormatPr defaultRowHeight="13.5" x14ac:dyDescent="0.15"/>
  <cols>
    <col min="1" max="3" width="9" style="7"/>
    <col min="4" max="4" width="10.42578125" style="7" bestFit="1" customWidth="1"/>
    <col min="5" max="5" width="10.85546875" style="7" bestFit="1" customWidth="1"/>
    <col min="6" max="13" width="9" style="7"/>
    <col min="14" max="14" width="9.42578125" style="7" bestFit="1" customWidth="1"/>
    <col min="15" max="16" width="9" style="7"/>
    <col min="17" max="17" width="9" style="48"/>
    <col min="18" max="18" width="9" style="7"/>
    <col min="19" max="19" width="12.7109375" style="7" bestFit="1" customWidth="1"/>
    <col min="20" max="20" width="9" style="16"/>
    <col min="21" max="21" width="9.42578125" style="7" bestFit="1" customWidth="1"/>
    <col min="22" max="22" width="9" style="16"/>
    <col min="23" max="32" width="9" style="7"/>
    <col min="33" max="33" width="13.85546875" style="7" bestFit="1" customWidth="1"/>
    <col min="34" max="259" width="9" style="7"/>
    <col min="260" max="260" width="10.42578125" style="7" bestFit="1" customWidth="1"/>
    <col min="261" max="261" width="10.85546875" style="7" bestFit="1" customWidth="1"/>
    <col min="262" max="276" width="9" style="7"/>
    <col min="277" max="277" width="9.42578125" style="7" bestFit="1" customWidth="1"/>
    <col min="278" max="288" width="9" style="7"/>
    <col min="289" max="289" width="12.42578125" style="7" bestFit="1" customWidth="1"/>
    <col min="290" max="515" width="9" style="7"/>
    <col min="516" max="516" width="10.42578125" style="7" bestFit="1" customWidth="1"/>
    <col min="517" max="517" width="10.85546875" style="7" bestFit="1" customWidth="1"/>
    <col min="518" max="532" width="9" style="7"/>
    <col min="533" max="533" width="9.42578125" style="7" bestFit="1" customWidth="1"/>
    <col min="534" max="544" width="9" style="7"/>
    <col min="545" max="545" width="12.42578125" style="7" bestFit="1" customWidth="1"/>
    <col min="546" max="771" width="9" style="7"/>
    <col min="772" max="772" width="10.42578125" style="7" bestFit="1" customWidth="1"/>
    <col min="773" max="773" width="10.85546875" style="7" bestFit="1" customWidth="1"/>
    <col min="774" max="788" width="9" style="7"/>
    <col min="789" max="789" width="9.42578125" style="7" bestFit="1" customWidth="1"/>
    <col min="790" max="800" width="9" style="7"/>
    <col min="801" max="801" width="12.42578125" style="7" bestFit="1" customWidth="1"/>
    <col min="802" max="1027" width="9" style="7"/>
    <col min="1028" max="1028" width="10.42578125" style="7" bestFit="1" customWidth="1"/>
    <col min="1029" max="1029" width="10.85546875" style="7" bestFit="1" customWidth="1"/>
    <col min="1030" max="1044" width="9" style="7"/>
    <col min="1045" max="1045" width="9.42578125" style="7" bestFit="1" customWidth="1"/>
    <col min="1046" max="1056" width="9" style="7"/>
    <col min="1057" max="1057" width="12.42578125" style="7" bestFit="1" customWidth="1"/>
    <col min="1058" max="1283" width="9" style="7"/>
    <col min="1284" max="1284" width="10.42578125" style="7" bestFit="1" customWidth="1"/>
    <col min="1285" max="1285" width="10.85546875" style="7" bestFit="1" customWidth="1"/>
    <col min="1286" max="1300" width="9" style="7"/>
    <col min="1301" max="1301" width="9.42578125" style="7" bestFit="1" customWidth="1"/>
    <col min="1302" max="1312" width="9" style="7"/>
    <col min="1313" max="1313" width="12.42578125" style="7" bestFit="1" customWidth="1"/>
    <col min="1314" max="1539" width="9" style="7"/>
    <col min="1540" max="1540" width="10.42578125" style="7" bestFit="1" customWidth="1"/>
    <col min="1541" max="1541" width="10.85546875" style="7" bestFit="1" customWidth="1"/>
    <col min="1542" max="1556" width="9" style="7"/>
    <col min="1557" max="1557" width="9.42578125" style="7" bestFit="1" customWidth="1"/>
    <col min="1558" max="1568" width="9" style="7"/>
    <col min="1569" max="1569" width="12.42578125" style="7" bestFit="1" customWidth="1"/>
    <col min="1570" max="1795" width="9" style="7"/>
    <col min="1796" max="1796" width="10.42578125" style="7" bestFit="1" customWidth="1"/>
    <col min="1797" max="1797" width="10.85546875" style="7" bestFit="1" customWidth="1"/>
    <col min="1798" max="1812" width="9" style="7"/>
    <col min="1813" max="1813" width="9.42578125" style="7" bestFit="1" customWidth="1"/>
    <col min="1814" max="1824" width="9" style="7"/>
    <col min="1825" max="1825" width="12.42578125" style="7" bestFit="1" customWidth="1"/>
    <col min="1826" max="2051" width="9" style="7"/>
    <col min="2052" max="2052" width="10.42578125" style="7" bestFit="1" customWidth="1"/>
    <col min="2053" max="2053" width="10.85546875" style="7" bestFit="1" customWidth="1"/>
    <col min="2054" max="2068" width="9" style="7"/>
    <col min="2069" max="2069" width="9.42578125" style="7" bestFit="1" customWidth="1"/>
    <col min="2070" max="2080" width="9" style="7"/>
    <col min="2081" max="2081" width="12.42578125" style="7" bestFit="1" customWidth="1"/>
    <col min="2082" max="2307" width="9" style="7"/>
    <col min="2308" max="2308" width="10.42578125" style="7" bestFit="1" customWidth="1"/>
    <col min="2309" max="2309" width="10.85546875" style="7" bestFit="1" customWidth="1"/>
    <col min="2310" max="2324" width="9" style="7"/>
    <col min="2325" max="2325" width="9.42578125" style="7" bestFit="1" customWidth="1"/>
    <col min="2326" max="2336" width="9" style="7"/>
    <col min="2337" max="2337" width="12.42578125" style="7" bestFit="1" customWidth="1"/>
    <col min="2338" max="2563" width="9" style="7"/>
    <col min="2564" max="2564" width="10.42578125" style="7" bestFit="1" customWidth="1"/>
    <col min="2565" max="2565" width="10.85546875" style="7" bestFit="1" customWidth="1"/>
    <col min="2566" max="2580" width="9" style="7"/>
    <col min="2581" max="2581" width="9.42578125" style="7" bestFit="1" customWidth="1"/>
    <col min="2582" max="2592" width="9" style="7"/>
    <col min="2593" max="2593" width="12.42578125" style="7" bestFit="1" customWidth="1"/>
    <col min="2594" max="2819" width="9" style="7"/>
    <col min="2820" max="2820" width="10.42578125" style="7" bestFit="1" customWidth="1"/>
    <col min="2821" max="2821" width="10.85546875" style="7" bestFit="1" customWidth="1"/>
    <col min="2822" max="2836" width="9" style="7"/>
    <col min="2837" max="2837" width="9.42578125" style="7" bestFit="1" customWidth="1"/>
    <col min="2838" max="2848" width="9" style="7"/>
    <col min="2849" max="2849" width="12.42578125" style="7" bestFit="1" customWidth="1"/>
    <col min="2850" max="3075" width="9" style="7"/>
    <col min="3076" max="3076" width="10.42578125" style="7" bestFit="1" customWidth="1"/>
    <col min="3077" max="3077" width="10.85546875" style="7" bestFit="1" customWidth="1"/>
    <col min="3078" max="3092" width="9" style="7"/>
    <col min="3093" max="3093" width="9.42578125" style="7" bestFit="1" customWidth="1"/>
    <col min="3094" max="3104" width="9" style="7"/>
    <col min="3105" max="3105" width="12.42578125" style="7" bestFit="1" customWidth="1"/>
    <col min="3106" max="3331" width="9" style="7"/>
    <col min="3332" max="3332" width="10.42578125" style="7" bestFit="1" customWidth="1"/>
    <col min="3333" max="3333" width="10.85546875" style="7" bestFit="1" customWidth="1"/>
    <col min="3334" max="3348" width="9" style="7"/>
    <col min="3349" max="3349" width="9.42578125" style="7" bestFit="1" customWidth="1"/>
    <col min="3350" max="3360" width="9" style="7"/>
    <col min="3361" max="3361" width="12.42578125" style="7" bestFit="1" customWidth="1"/>
    <col min="3362" max="3587" width="9" style="7"/>
    <col min="3588" max="3588" width="10.42578125" style="7" bestFit="1" customWidth="1"/>
    <col min="3589" max="3589" width="10.85546875" style="7" bestFit="1" customWidth="1"/>
    <col min="3590" max="3604" width="9" style="7"/>
    <col min="3605" max="3605" width="9.42578125" style="7" bestFit="1" customWidth="1"/>
    <col min="3606" max="3616" width="9" style="7"/>
    <col min="3617" max="3617" width="12.42578125" style="7" bestFit="1" customWidth="1"/>
    <col min="3618" max="3843" width="9" style="7"/>
    <col min="3844" max="3844" width="10.42578125" style="7" bestFit="1" customWidth="1"/>
    <col min="3845" max="3845" width="10.85546875" style="7" bestFit="1" customWidth="1"/>
    <col min="3846" max="3860" width="9" style="7"/>
    <col min="3861" max="3861" width="9.42578125" style="7" bestFit="1" customWidth="1"/>
    <col min="3862" max="3872" width="9" style="7"/>
    <col min="3873" max="3873" width="12.42578125" style="7" bestFit="1" customWidth="1"/>
    <col min="3874" max="4099" width="9" style="7"/>
    <col min="4100" max="4100" width="10.42578125" style="7" bestFit="1" customWidth="1"/>
    <col min="4101" max="4101" width="10.85546875" style="7" bestFit="1" customWidth="1"/>
    <col min="4102" max="4116" width="9" style="7"/>
    <col min="4117" max="4117" width="9.42578125" style="7" bestFit="1" customWidth="1"/>
    <col min="4118" max="4128" width="9" style="7"/>
    <col min="4129" max="4129" width="12.42578125" style="7" bestFit="1" customWidth="1"/>
    <col min="4130" max="4355" width="9" style="7"/>
    <col min="4356" max="4356" width="10.42578125" style="7" bestFit="1" customWidth="1"/>
    <col min="4357" max="4357" width="10.85546875" style="7" bestFit="1" customWidth="1"/>
    <col min="4358" max="4372" width="9" style="7"/>
    <col min="4373" max="4373" width="9.42578125" style="7" bestFit="1" customWidth="1"/>
    <col min="4374" max="4384" width="9" style="7"/>
    <col min="4385" max="4385" width="12.42578125" style="7" bestFit="1" customWidth="1"/>
    <col min="4386" max="4611" width="9" style="7"/>
    <col min="4612" max="4612" width="10.42578125" style="7" bestFit="1" customWidth="1"/>
    <col min="4613" max="4613" width="10.85546875" style="7" bestFit="1" customWidth="1"/>
    <col min="4614" max="4628" width="9" style="7"/>
    <col min="4629" max="4629" width="9.42578125" style="7" bestFit="1" customWidth="1"/>
    <col min="4630" max="4640" width="9" style="7"/>
    <col min="4641" max="4641" width="12.42578125" style="7" bestFit="1" customWidth="1"/>
    <col min="4642" max="4867" width="9" style="7"/>
    <col min="4868" max="4868" width="10.42578125" style="7" bestFit="1" customWidth="1"/>
    <col min="4869" max="4869" width="10.85546875" style="7" bestFit="1" customWidth="1"/>
    <col min="4870" max="4884" width="9" style="7"/>
    <col min="4885" max="4885" width="9.42578125" style="7" bestFit="1" customWidth="1"/>
    <col min="4886" max="4896" width="9" style="7"/>
    <col min="4897" max="4897" width="12.42578125" style="7" bestFit="1" customWidth="1"/>
    <col min="4898" max="5123" width="9" style="7"/>
    <col min="5124" max="5124" width="10.42578125" style="7" bestFit="1" customWidth="1"/>
    <col min="5125" max="5125" width="10.85546875" style="7" bestFit="1" customWidth="1"/>
    <col min="5126" max="5140" width="9" style="7"/>
    <col min="5141" max="5141" width="9.42578125" style="7" bestFit="1" customWidth="1"/>
    <col min="5142" max="5152" width="9" style="7"/>
    <col min="5153" max="5153" width="12.42578125" style="7" bestFit="1" customWidth="1"/>
    <col min="5154" max="5379" width="9" style="7"/>
    <col min="5380" max="5380" width="10.42578125" style="7" bestFit="1" customWidth="1"/>
    <col min="5381" max="5381" width="10.85546875" style="7" bestFit="1" customWidth="1"/>
    <col min="5382" max="5396" width="9" style="7"/>
    <col min="5397" max="5397" width="9.42578125" style="7" bestFit="1" customWidth="1"/>
    <col min="5398" max="5408" width="9" style="7"/>
    <col min="5409" max="5409" width="12.42578125" style="7" bestFit="1" customWidth="1"/>
    <col min="5410" max="5635" width="9" style="7"/>
    <col min="5636" max="5636" width="10.42578125" style="7" bestFit="1" customWidth="1"/>
    <col min="5637" max="5637" width="10.85546875" style="7" bestFit="1" customWidth="1"/>
    <col min="5638" max="5652" width="9" style="7"/>
    <col min="5653" max="5653" width="9.42578125" style="7" bestFit="1" customWidth="1"/>
    <col min="5654" max="5664" width="9" style="7"/>
    <col min="5665" max="5665" width="12.42578125" style="7" bestFit="1" customWidth="1"/>
    <col min="5666" max="5891" width="9" style="7"/>
    <col min="5892" max="5892" width="10.42578125" style="7" bestFit="1" customWidth="1"/>
    <col min="5893" max="5893" width="10.85546875" style="7" bestFit="1" customWidth="1"/>
    <col min="5894" max="5908" width="9" style="7"/>
    <col min="5909" max="5909" width="9.42578125" style="7" bestFit="1" customWidth="1"/>
    <col min="5910" max="5920" width="9" style="7"/>
    <col min="5921" max="5921" width="12.42578125" style="7" bestFit="1" customWidth="1"/>
    <col min="5922" max="6147" width="9" style="7"/>
    <col min="6148" max="6148" width="10.42578125" style="7" bestFit="1" customWidth="1"/>
    <col min="6149" max="6149" width="10.85546875" style="7" bestFit="1" customWidth="1"/>
    <col min="6150" max="6164" width="9" style="7"/>
    <col min="6165" max="6165" width="9.42578125" style="7" bestFit="1" customWidth="1"/>
    <col min="6166" max="6176" width="9" style="7"/>
    <col min="6177" max="6177" width="12.42578125" style="7" bestFit="1" customWidth="1"/>
    <col min="6178" max="6403" width="9" style="7"/>
    <col min="6404" max="6404" width="10.42578125" style="7" bestFit="1" customWidth="1"/>
    <col min="6405" max="6405" width="10.85546875" style="7" bestFit="1" customWidth="1"/>
    <col min="6406" max="6420" width="9" style="7"/>
    <col min="6421" max="6421" width="9.42578125" style="7" bestFit="1" customWidth="1"/>
    <col min="6422" max="6432" width="9" style="7"/>
    <col min="6433" max="6433" width="12.42578125" style="7" bestFit="1" customWidth="1"/>
    <col min="6434" max="6659" width="9" style="7"/>
    <col min="6660" max="6660" width="10.42578125" style="7" bestFit="1" customWidth="1"/>
    <col min="6661" max="6661" width="10.85546875" style="7" bestFit="1" customWidth="1"/>
    <col min="6662" max="6676" width="9" style="7"/>
    <col min="6677" max="6677" width="9.42578125" style="7" bestFit="1" customWidth="1"/>
    <col min="6678" max="6688" width="9" style="7"/>
    <col min="6689" max="6689" width="12.42578125" style="7" bestFit="1" customWidth="1"/>
    <col min="6690" max="6915" width="9" style="7"/>
    <col min="6916" max="6916" width="10.42578125" style="7" bestFit="1" customWidth="1"/>
    <col min="6917" max="6917" width="10.85546875" style="7" bestFit="1" customWidth="1"/>
    <col min="6918" max="6932" width="9" style="7"/>
    <col min="6933" max="6933" width="9.42578125" style="7" bestFit="1" customWidth="1"/>
    <col min="6934" max="6944" width="9" style="7"/>
    <col min="6945" max="6945" width="12.42578125" style="7" bestFit="1" customWidth="1"/>
    <col min="6946" max="7171" width="9" style="7"/>
    <col min="7172" max="7172" width="10.42578125" style="7" bestFit="1" customWidth="1"/>
    <col min="7173" max="7173" width="10.85546875" style="7" bestFit="1" customWidth="1"/>
    <col min="7174" max="7188" width="9" style="7"/>
    <col min="7189" max="7189" width="9.42578125" style="7" bestFit="1" customWidth="1"/>
    <col min="7190" max="7200" width="9" style="7"/>
    <col min="7201" max="7201" width="12.42578125" style="7" bestFit="1" customWidth="1"/>
    <col min="7202" max="7427" width="9" style="7"/>
    <col min="7428" max="7428" width="10.42578125" style="7" bestFit="1" customWidth="1"/>
    <col min="7429" max="7429" width="10.85546875" style="7" bestFit="1" customWidth="1"/>
    <col min="7430" max="7444" width="9" style="7"/>
    <col min="7445" max="7445" width="9.42578125" style="7" bestFit="1" customWidth="1"/>
    <col min="7446" max="7456" width="9" style="7"/>
    <col min="7457" max="7457" width="12.42578125" style="7" bestFit="1" customWidth="1"/>
    <col min="7458" max="7683" width="9" style="7"/>
    <col min="7684" max="7684" width="10.42578125" style="7" bestFit="1" customWidth="1"/>
    <col min="7685" max="7685" width="10.85546875" style="7" bestFit="1" customWidth="1"/>
    <col min="7686" max="7700" width="9" style="7"/>
    <col min="7701" max="7701" width="9.42578125" style="7" bestFit="1" customWidth="1"/>
    <col min="7702" max="7712" width="9" style="7"/>
    <col min="7713" max="7713" width="12.42578125" style="7" bestFit="1" customWidth="1"/>
    <col min="7714" max="7939" width="9" style="7"/>
    <col min="7940" max="7940" width="10.42578125" style="7" bestFit="1" customWidth="1"/>
    <col min="7941" max="7941" width="10.85546875" style="7" bestFit="1" customWidth="1"/>
    <col min="7942" max="7956" width="9" style="7"/>
    <col min="7957" max="7957" width="9.42578125" style="7" bestFit="1" customWidth="1"/>
    <col min="7958" max="7968" width="9" style="7"/>
    <col min="7969" max="7969" width="12.42578125" style="7" bestFit="1" customWidth="1"/>
    <col min="7970" max="8195" width="9" style="7"/>
    <col min="8196" max="8196" width="10.42578125" style="7" bestFit="1" customWidth="1"/>
    <col min="8197" max="8197" width="10.85546875" style="7" bestFit="1" customWidth="1"/>
    <col min="8198" max="8212" width="9" style="7"/>
    <col min="8213" max="8213" width="9.42578125" style="7" bestFit="1" customWidth="1"/>
    <col min="8214" max="8224" width="9" style="7"/>
    <col min="8225" max="8225" width="12.42578125" style="7" bestFit="1" customWidth="1"/>
    <col min="8226" max="8451" width="9" style="7"/>
    <col min="8452" max="8452" width="10.42578125" style="7" bestFit="1" customWidth="1"/>
    <col min="8453" max="8453" width="10.85546875" style="7" bestFit="1" customWidth="1"/>
    <col min="8454" max="8468" width="9" style="7"/>
    <col min="8469" max="8469" width="9.42578125" style="7" bestFit="1" customWidth="1"/>
    <col min="8470" max="8480" width="9" style="7"/>
    <col min="8481" max="8481" width="12.42578125" style="7" bestFit="1" customWidth="1"/>
    <col min="8482" max="8707" width="9" style="7"/>
    <col min="8708" max="8708" width="10.42578125" style="7" bestFit="1" customWidth="1"/>
    <col min="8709" max="8709" width="10.85546875" style="7" bestFit="1" customWidth="1"/>
    <col min="8710" max="8724" width="9" style="7"/>
    <col min="8725" max="8725" width="9.42578125" style="7" bestFit="1" customWidth="1"/>
    <col min="8726" max="8736" width="9" style="7"/>
    <col min="8737" max="8737" width="12.42578125" style="7" bestFit="1" customWidth="1"/>
    <col min="8738" max="8963" width="9" style="7"/>
    <col min="8964" max="8964" width="10.42578125" style="7" bestFit="1" customWidth="1"/>
    <col min="8965" max="8965" width="10.85546875" style="7" bestFit="1" customWidth="1"/>
    <col min="8966" max="8980" width="9" style="7"/>
    <col min="8981" max="8981" width="9.42578125" style="7" bestFit="1" customWidth="1"/>
    <col min="8982" max="8992" width="9" style="7"/>
    <col min="8993" max="8993" width="12.42578125" style="7" bestFit="1" customWidth="1"/>
    <col min="8994" max="9219" width="9" style="7"/>
    <col min="9220" max="9220" width="10.42578125" style="7" bestFit="1" customWidth="1"/>
    <col min="9221" max="9221" width="10.85546875" style="7" bestFit="1" customWidth="1"/>
    <col min="9222" max="9236" width="9" style="7"/>
    <col min="9237" max="9237" width="9.42578125" style="7" bestFit="1" customWidth="1"/>
    <col min="9238" max="9248" width="9" style="7"/>
    <col min="9249" max="9249" width="12.42578125" style="7" bestFit="1" customWidth="1"/>
    <col min="9250" max="9475" width="9" style="7"/>
    <col min="9476" max="9476" width="10.42578125" style="7" bestFit="1" customWidth="1"/>
    <col min="9477" max="9477" width="10.85546875" style="7" bestFit="1" customWidth="1"/>
    <col min="9478" max="9492" width="9" style="7"/>
    <col min="9493" max="9493" width="9.42578125" style="7" bestFit="1" customWidth="1"/>
    <col min="9494" max="9504" width="9" style="7"/>
    <col min="9505" max="9505" width="12.42578125" style="7" bestFit="1" customWidth="1"/>
    <col min="9506" max="9731" width="9" style="7"/>
    <col min="9732" max="9732" width="10.42578125" style="7" bestFit="1" customWidth="1"/>
    <col min="9733" max="9733" width="10.85546875" style="7" bestFit="1" customWidth="1"/>
    <col min="9734" max="9748" width="9" style="7"/>
    <col min="9749" max="9749" width="9.42578125" style="7" bestFit="1" customWidth="1"/>
    <col min="9750" max="9760" width="9" style="7"/>
    <col min="9761" max="9761" width="12.42578125" style="7" bestFit="1" customWidth="1"/>
    <col min="9762" max="9987" width="9" style="7"/>
    <col min="9988" max="9988" width="10.42578125" style="7" bestFit="1" customWidth="1"/>
    <col min="9989" max="9989" width="10.85546875" style="7" bestFit="1" customWidth="1"/>
    <col min="9990" max="10004" width="9" style="7"/>
    <col min="10005" max="10005" width="9.42578125" style="7" bestFit="1" customWidth="1"/>
    <col min="10006" max="10016" width="9" style="7"/>
    <col min="10017" max="10017" width="12.42578125" style="7" bestFit="1" customWidth="1"/>
    <col min="10018" max="10243" width="9" style="7"/>
    <col min="10244" max="10244" width="10.42578125" style="7" bestFit="1" customWidth="1"/>
    <col min="10245" max="10245" width="10.85546875" style="7" bestFit="1" customWidth="1"/>
    <col min="10246" max="10260" width="9" style="7"/>
    <col min="10261" max="10261" width="9.42578125" style="7" bestFit="1" customWidth="1"/>
    <col min="10262" max="10272" width="9" style="7"/>
    <col min="10273" max="10273" width="12.42578125" style="7" bestFit="1" customWidth="1"/>
    <col min="10274" max="10499" width="9" style="7"/>
    <col min="10500" max="10500" width="10.42578125" style="7" bestFit="1" customWidth="1"/>
    <col min="10501" max="10501" width="10.85546875" style="7" bestFit="1" customWidth="1"/>
    <col min="10502" max="10516" width="9" style="7"/>
    <col min="10517" max="10517" width="9.42578125" style="7" bestFit="1" customWidth="1"/>
    <col min="10518" max="10528" width="9" style="7"/>
    <col min="10529" max="10529" width="12.42578125" style="7" bestFit="1" customWidth="1"/>
    <col min="10530" max="10755" width="9" style="7"/>
    <col min="10756" max="10756" width="10.42578125" style="7" bestFit="1" customWidth="1"/>
    <col min="10757" max="10757" width="10.85546875" style="7" bestFit="1" customWidth="1"/>
    <col min="10758" max="10772" width="9" style="7"/>
    <col min="10773" max="10773" width="9.42578125" style="7" bestFit="1" customWidth="1"/>
    <col min="10774" max="10784" width="9" style="7"/>
    <col min="10785" max="10785" width="12.42578125" style="7" bestFit="1" customWidth="1"/>
    <col min="10786" max="11011" width="9" style="7"/>
    <col min="11012" max="11012" width="10.42578125" style="7" bestFit="1" customWidth="1"/>
    <col min="11013" max="11013" width="10.85546875" style="7" bestFit="1" customWidth="1"/>
    <col min="11014" max="11028" width="9" style="7"/>
    <col min="11029" max="11029" width="9.42578125" style="7" bestFit="1" customWidth="1"/>
    <col min="11030" max="11040" width="9" style="7"/>
    <col min="11041" max="11041" width="12.42578125" style="7" bestFit="1" customWidth="1"/>
    <col min="11042" max="11267" width="9" style="7"/>
    <col min="11268" max="11268" width="10.42578125" style="7" bestFit="1" customWidth="1"/>
    <col min="11269" max="11269" width="10.85546875" style="7" bestFit="1" customWidth="1"/>
    <col min="11270" max="11284" width="9" style="7"/>
    <col min="11285" max="11285" width="9.42578125" style="7" bestFit="1" customWidth="1"/>
    <col min="11286" max="11296" width="9" style="7"/>
    <col min="11297" max="11297" width="12.42578125" style="7" bestFit="1" customWidth="1"/>
    <col min="11298" max="11523" width="9" style="7"/>
    <col min="11524" max="11524" width="10.42578125" style="7" bestFit="1" customWidth="1"/>
    <col min="11525" max="11525" width="10.85546875" style="7" bestFit="1" customWidth="1"/>
    <col min="11526" max="11540" width="9" style="7"/>
    <col min="11541" max="11541" width="9.42578125" style="7" bestFit="1" customWidth="1"/>
    <col min="11542" max="11552" width="9" style="7"/>
    <col min="11553" max="11553" width="12.42578125" style="7" bestFit="1" customWidth="1"/>
    <col min="11554" max="11779" width="9" style="7"/>
    <col min="11780" max="11780" width="10.42578125" style="7" bestFit="1" customWidth="1"/>
    <col min="11781" max="11781" width="10.85546875" style="7" bestFit="1" customWidth="1"/>
    <col min="11782" max="11796" width="9" style="7"/>
    <col min="11797" max="11797" width="9.42578125" style="7" bestFit="1" customWidth="1"/>
    <col min="11798" max="11808" width="9" style="7"/>
    <col min="11809" max="11809" width="12.42578125" style="7" bestFit="1" customWidth="1"/>
    <col min="11810" max="12035" width="9" style="7"/>
    <col min="12036" max="12036" width="10.42578125" style="7" bestFit="1" customWidth="1"/>
    <col min="12037" max="12037" width="10.85546875" style="7" bestFit="1" customWidth="1"/>
    <col min="12038" max="12052" width="9" style="7"/>
    <col min="12053" max="12053" width="9.42578125" style="7" bestFit="1" customWidth="1"/>
    <col min="12054" max="12064" width="9" style="7"/>
    <col min="12065" max="12065" width="12.42578125" style="7" bestFit="1" customWidth="1"/>
    <col min="12066" max="12291" width="9" style="7"/>
    <col min="12292" max="12292" width="10.42578125" style="7" bestFit="1" customWidth="1"/>
    <col min="12293" max="12293" width="10.85546875" style="7" bestFit="1" customWidth="1"/>
    <col min="12294" max="12308" width="9" style="7"/>
    <col min="12309" max="12309" width="9.42578125" style="7" bestFit="1" customWidth="1"/>
    <col min="12310" max="12320" width="9" style="7"/>
    <col min="12321" max="12321" width="12.42578125" style="7" bestFit="1" customWidth="1"/>
    <col min="12322" max="12547" width="9" style="7"/>
    <col min="12548" max="12548" width="10.42578125" style="7" bestFit="1" customWidth="1"/>
    <col min="12549" max="12549" width="10.85546875" style="7" bestFit="1" customWidth="1"/>
    <col min="12550" max="12564" width="9" style="7"/>
    <col min="12565" max="12565" width="9.42578125" style="7" bestFit="1" customWidth="1"/>
    <col min="12566" max="12576" width="9" style="7"/>
    <col min="12577" max="12577" width="12.42578125" style="7" bestFit="1" customWidth="1"/>
    <col min="12578" max="12803" width="9" style="7"/>
    <col min="12804" max="12804" width="10.42578125" style="7" bestFit="1" customWidth="1"/>
    <col min="12805" max="12805" width="10.85546875" style="7" bestFit="1" customWidth="1"/>
    <col min="12806" max="12820" width="9" style="7"/>
    <col min="12821" max="12821" width="9.42578125" style="7" bestFit="1" customWidth="1"/>
    <col min="12822" max="12832" width="9" style="7"/>
    <col min="12833" max="12833" width="12.42578125" style="7" bestFit="1" customWidth="1"/>
    <col min="12834" max="13059" width="9" style="7"/>
    <col min="13060" max="13060" width="10.42578125" style="7" bestFit="1" customWidth="1"/>
    <col min="13061" max="13061" width="10.85546875" style="7" bestFit="1" customWidth="1"/>
    <col min="13062" max="13076" width="9" style="7"/>
    <col min="13077" max="13077" width="9.42578125" style="7" bestFit="1" customWidth="1"/>
    <col min="13078" max="13088" width="9" style="7"/>
    <col min="13089" max="13089" width="12.42578125" style="7" bestFit="1" customWidth="1"/>
    <col min="13090" max="13315" width="9" style="7"/>
    <col min="13316" max="13316" width="10.42578125" style="7" bestFit="1" customWidth="1"/>
    <col min="13317" max="13317" width="10.85546875" style="7" bestFit="1" customWidth="1"/>
    <col min="13318" max="13332" width="9" style="7"/>
    <col min="13333" max="13333" width="9.42578125" style="7" bestFit="1" customWidth="1"/>
    <col min="13334" max="13344" width="9" style="7"/>
    <col min="13345" max="13345" width="12.42578125" style="7" bestFit="1" customWidth="1"/>
    <col min="13346" max="13571" width="9" style="7"/>
    <col min="13572" max="13572" width="10.42578125" style="7" bestFit="1" customWidth="1"/>
    <col min="13573" max="13573" width="10.85546875" style="7" bestFit="1" customWidth="1"/>
    <col min="13574" max="13588" width="9" style="7"/>
    <col min="13589" max="13589" width="9.42578125" style="7" bestFit="1" customWidth="1"/>
    <col min="13590" max="13600" width="9" style="7"/>
    <col min="13601" max="13601" width="12.42578125" style="7" bestFit="1" customWidth="1"/>
    <col min="13602" max="13827" width="9" style="7"/>
    <col min="13828" max="13828" width="10.42578125" style="7" bestFit="1" customWidth="1"/>
    <col min="13829" max="13829" width="10.85546875" style="7" bestFit="1" customWidth="1"/>
    <col min="13830" max="13844" width="9" style="7"/>
    <col min="13845" max="13845" width="9.42578125" style="7" bestFit="1" customWidth="1"/>
    <col min="13846" max="13856" width="9" style="7"/>
    <col min="13857" max="13857" width="12.42578125" style="7" bestFit="1" customWidth="1"/>
    <col min="13858" max="14083" width="9" style="7"/>
    <col min="14084" max="14084" width="10.42578125" style="7" bestFit="1" customWidth="1"/>
    <col min="14085" max="14085" width="10.85546875" style="7" bestFit="1" customWidth="1"/>
    <col min="14086" max="14100" width="9" style="7"/>
    <col min="14101" max="14101" width="9.42578125" style="7" bestFit="1" customWidth="1"/>
    <col min="14102" max="14112" width="9" style="7"/>
    <col min="14113" max="14113" width="12.42578125" style="7" bestFit="1" customWidth="1"/>
    <col min="14114" max="14339" width="9" style="7"/>
    <col min="14340" max="14340" width="10.42578125" style="7" bestFit="1" customWidth="1"/>
    <col min="14341" max="14341" width="10.85546875" style="7" bestFit="1" customWidth="1"/>
    <col min="14342" max="14356" width="9" style="7"/>
    <col min="14357" max="14357" width="9.42578125" style="7" bestFit="1" customWidth="1"/>
    <col min="14358" max="14368" width="9" style="7"/>
    <col min="14369" max="14369" width="12.42578125" style="7" bestFit="1" customWidth="1"/>
    <col min="14370" max="14595" width="9" style="7"/>
    <col min="14596" max="14596" width="10.42578125" style="7" bestFit="1" customWidth="1"/>
    <col min="14597" max="14597" width="10.85546875" style="7" bestFit="1" customWidth="1"/>
    <col min="14598" max="14612" width="9" style="7"/>
    <col min="14613" max="14613" width="9.42578125" style="7" bestFit="1" customWidth="1"/>
    <col min="14614" max="14624" width="9" style="7"/>
    <col min="14625" max="14625" width="12.42578125" style="7" bestFit="1" customWidth="1"/>
    <col min="14626" max="14851" width="9" style="7"/>
    <col min="14852" max="14852" width="10.42578125" style="7" bestFit="1" customWidth="1"/>
    <col min="14853" max="14853" width="10.85546875" style="7" bestFit="1" customWidth="1"/>
    <col min="14854" max="14868" width="9" style="7"/>
    <col min="14869" max="14869" width="9.42578125" style="7" bestFit="1" customWidth="1"/>
    <col min="14870" max="14880" width="9" style="7"/>
    <col min="14881" max="14881" width="12.42578125" style="7" bestFit="1" customWidth="1"/>
    <col min="14882" max="15107" width="9" style="7"/>
    <col min="15108" max="15108" width="10.42578125" style="7" bestFit="1" customWidth="1"/>
    <col min="15109" max="15109" width="10.85546875" style="7" bestFit="1" customWidth="1"/>
    <col min="15110" max="15124" width="9" style="7"/>
    <col min="15125" max="15125" width="9.42578125" style="7" bestFit="1" customWidth="1"/>
    <col min="15126" max="15136" width="9" style="7"/>
    <col min="15137" max="15137" width="12.42578125" style="7" bestFit="1" customWidth="1"/>
    <col min="15138" max="15363" width="9" style="7"/>
    <col min="15364" max="15364" width="10.42578125" style="7" bestFit="1" customWidth="1"/>
    <col min="15365" max="15365" width="10.85546875" style="7" bestFit="1" customWidth="1"/>
    <col min="15366" max="15380" width="9" style="7"/>
    <col min="15381" max="15381" width="9.42578125" style="7" bestFit="1" customWidth="1"/>
    <col min="15382" max="15392" width="9" style="7"/>
    <col min="15393" max="15393" width="12.42578125" style="7" bestFit="1" customWidth="1"/>
    <col min="15394" max="15619" width="9" style="7"/>
    <col min="15620" max="15620" width="10.42578125" style="7" bestFit="1" customWidth="1"/>
    <col min="15621" max="15621" width="10.85546875" style="7" bestFit="1" customWidth="1"/>
    <col min="15622" max="15636" width="9" style="7"/>
    <col min="15637" max="15637" width="9.42578125" style="7" bestFit="1" customWidth="1"/>
    <col min="15638" max="15648" width="9" style="7"/>
    <col min="15649" max="15649" width="12.42578125" style="7" bestFit="1" customWidth="1"/>
    <col min="15650" max="15875" width="9" style="7"/>
    <col min="15876" max="15876" width="10.42578125" style="7" bestFit="1" customWidth="1"/>
    <col min="15877" max="15877" width="10.85546875" style="7" bestFit="1" customWidth="1"/>
    <col min="15878" max="15892" width="9" style="7"/>
    <col min="15893" max="15893" width="9.42578125" style="7" bestFit="1" customWidth="1"/>
    <col min="15894" max="15904" width="9" style="7"/>
    <col min="15905" max="15905" width="12.42578125" style="7" bestFit="1" customWidth="1"/>
    <col min="15906" max="16131" width="9" style="7"/>
    <col min="16132" max="16132" width="10.42578125" style="7" bestFit="1" customWidth="1"/>
    <col min="16133" max="16133" width="10.85546875" style="7" bestFit="1" customWidth="1"/>
    <col min="16134" max="16148" width="9" style="7"/>
    <col min="16149" max="16149" width="9.42578125" style="7" bestFit="1" customWidth="1"/>
    <col min="16150" max="16160" width="9" style="7"/>
    <col min="16161" max="16161" width="12.4257812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159</v>
      </c>
      <c r="E2" s="15" t="s">
        <v>141</v>
      </c>
      <c r="F2" s="15" t="s">
        <v>149</v>
      </c>
      <c r="G2" s="15" t="s">
        <v>36</v>
      </c>
      <c r="H2" s="15" t="s">
        <v>127</v>
      </c>
      <c r="I2" s="15" t="s">
        <v>161</v>
      </c>
      <c r="J2" s="15" t="s">
        <v>53</v>
      </c>
      <c r="K2" s="7" t="s">
        <v>54</v>
      </c>
      <c r="L2" s="7">
        <v>1</v>
      </c>
      <c r="N2" s="47">
        <v>1</v>
      </c>
      <c r="O2" s="15">
        <v>0.9</v>
      </c>
      <c r="P2" s="15">
        <v>1.1000000000000001</v>
      </c>
      <c r="Q2" s="51">
        <f t="shared" ref="Q2:Q65" si="0">IF(OR(O2="",P2=""),"",AVERAGE(O2,P2))</f>
        <v>1</v>
      </c>
      <c r="R2" s="15">
        <v>12.9</v>
      </c>
      <c r="S2" s="15">
        <v>130</v>
      </c>
      <c r="T2" s="38">
        <f t="shared" ref="T2:T59" si="1">IF(H2="","",IF(OR(H2="GREEN",H2="GK"),IF(S2&gt;=$AX$2,VLOOKUP(S2,$AX$2:$AY$12,2,1),""),IF(S2&gt;=$AZ$2,VLOOKUP(S2,$AZ$2:$BA$12,2,1),"")))</f>
        <v>25</v>
      </c>
      <c r="U2" s="15">
        <v>135</v>
      </c>
      <c r="V2" s="38">
        <f t="shared" ref="V2:V65" si="2">IF(OR(N2="",U2="",T2=""),"",U2/N2*T2)</f>
        <v>3375</v>
      </c>
      <c r="W2" s="15">
        <v>7</v>
      </c>
      <c r="X2" s="15" t="s">
        <v>46</v>
      </c>
      <c r="Y2" s="15" t="s">
        <v>55</v>
      </c>
      <c r="Z2" s="15" t="s">
        <v>47</v>
      </c>
      <c r="AA2" s="15" t="s">
        <v>90</v>
      </c>
      <c r="AB2" s="39" t="s">
        <v>160</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158</v>
      </c>
      <c r="E3" s="15" t="s">
        <v>141</v>
      </c>
      <c r="F3" s="7" t="s">
        <v>149</v>
      </c>
      <c r="G3" s="7" t="s">
        <v>36</v>
      </c>
      <c r="H3" s="15" t="s">
        <v>127</v>
      </c>
      <c r="I3" s="7" t="s">
        <v>161</v>
      </c>
      <c r="J3" s="15" t="s">
        <v>53</v>
      </c>
      <c r="K3" s="7" t="s">
        <v>54</v>
      </c>
      <c r="L3" s="7">
        <v>2</v>
      </c>
      <c r="N3" s="7">
        <v>1</v>
      </c>
      <c r="O3" s="34">
        <v>0.65</v>
      </c>
      <c r="P3" s="7">
        <v>0.55000000000000004</v>
      </c>
      <c r="Q3" s="52">
        <f t="shared" si="0"/>
        <v>0.60000000000000009</v>
      </c>
      <c r="R3" s="7">
        <v>12.2</v>
      </c>
      <c r="S3" s="7">
        <v>117</v>
      </c>
      <c r="T3" s="16">
        <f t="shared" si="1"/>
        <v>30</v>
      </c>
      <c r="U3" s="15">
        <v>135</v>
      </c>
      <c r="V3" s="16">
        <f t="shared" si="2"/>
        <v>4050</v>
      </c>
      <c r="W3" s="15">
        <v>7</v>
      </c>
      <c r="X3" s="15" t="s">
        <v>46</v>
      </c>
      <c r="Y3" s="15" t="s">
        <v>55</v>
      </c>
      <c r="Z3" s="15" t="s">
        <v>47</v>
      </c>
      <c r="AA3" s="15" t="s">
        <v>90</v>
      </c>
      <c r="AB3" s="39" t="s">
        <v>160</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158</v>
      </c>
      <c r="E4" s="15" t="s">
        <v>141</v>
      </c>
      <c r="F4" s="7" t="s">
        <v>149</v>
      </c>
      <c r="G4" s="7" t="s">
        <v>36</v>
      </c>
      <c r="H4" s="15" t="s">
        <v>127</v>
      </c>
      <c r="I4" s="7" t="s">
        <v>161</v>
      </c>
      <c r="J4" s="15" t="s">
        <v>53</v>
      </c>
      <c r="K4" s="7" t="s">
        <v>54</v>
      </c>
      <c r="L4" s="7">
        <v>3</v>
      </c>
      <c r="N4" s="7">
        <v>1</v>
      </c>
      <c r="O4" s="7">
        <v>0.9</v>
      </c>
      <c r="P4" s="7">
        <v>0.95</v>
      </c>
      <c r="Q4" s="52">
        <f t="shared" si="0"/>
        <v>0.92500000000000004</v>
      </c>
      <c r="R4" s="7">
        <v>12.4</v>
      </c>
      <c r="S4" s="7">
        <v>121</v>
      </c>
      <c r="T4" s="16">
        <f t="shared" si="1"/>
        <v>27</v>
      </c>
      <c r="U4" s="15">
        <v>135</v>
      </c>
      <c r="V4" s="16">
        <f t="shared" si="2"/>
        <v>3645</v>
      </c>
      <c r="W4" s="15">
        <v>7</v>
      </c>
      <c r="X4" s="15" t="s">
        <v>46</v>
      </c>
      <c r="Y4" s="15" t="s">
        <v>55</v>
      </c>
      <c r="Z4" s="15" t="s">
        <v>47</v>
      </c>
      <c r="AA4" s="15" t="s">
        <v>90</v>
      </c>
      <c r="AB4" s="39" t="s">
        <v>160</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158</v>
      </c>
      <c r="E5" s="15" t="s">
        <v>141</v>
      </c>
      <c r="F5" s="15" t="s">
        <v>149</v>
      </c>
      <c r="G5" s="7" t="s">
        <v>36</v>
      </c>
      <c r="H5" s="15" t="s">
        <v>162</v>
      </c>
      <c r="I5" s="7" t="s">
        <v>161</v>
      </c>
      <c r="J5" s="15" t="s">
        <v>38</v>
      </c>
      <c r="K5" s="7" t="s">
        <v>163</v>
      </c>
      <c r="L5" s="7">
        <v>1</v>
      </c>
      <c r="N5" s="7">
        <v>1</v>
      </c>
      <c r="O5" s="7">
        <v>0.5</v>
      </c>
      <c r="P5" s="7">
        <v>0.5</v>
      </c>
      <c r="Q5" s="52">
        <f t="shared" si="0"/>
        <v>0.5</v>
      </c>
      <c r="R5" s="7">
        <v>19</v>
      </c>
      <c r="S5" s="7">
        <v>115</v>
      </c>
      <c r="T5" s="16">
        <f t="shared" si="1"/>
        <v>30</v>
      </c>
      <c r="U5" s="15">
        <v>135</v>
      </c>
      <c r="V5" s="16">
        <f t="shared" si="2"/>
        <v>4050</v>
      </c>
      <c r="W5" s="15">
        <v>20</v>
      </c>
      <c r="X5" s="15" t="s">
        <v>46</v>
      </c>
      <c r="Y5" s="15" t="s">
        <v>55</v>
      </c>
      <c r="Z5" s="15" t="s">
        <v>47</v>
      </c>
      <c r="AA5" s="15" t="s">
        <v>90</v>
      </c>
      <c r="AB5" s="39" t="s">
        <v>160</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158</v>
      </c>
      <c r="E6" s="15" t="s">
        <v>141</v>
      </c>
      <c r="F6" s="7" t="s">
        <v>149</v>
      </c>
      <c r="G6" s="7" t="s">
        <v>36</v>
      </c>
      <c r="H6" s="54" t="s">
        <v>162</v>
      </c>
      <c r="I6" s="7" t="s">
        <v>161</v>
      </c>
      <c r="J6" s="15" t="s">
        <v>38</v>
      </c>
      <c r="K6" s="7" t="s">
        <v>163</v>
      </c>
      <c r="L6" s="7">
        <v>2</v>
      </c>
      <c r="N6" s="7">
        <v>1</v>
      </c>
      <c r="O6" s="7">
        <v>0.65</v>
      </c>
      <c r="P6" s="7">
        <v>0.7</v>
      </c>
      <c r="Q6" s="52">
        <f t="shared" si="0"/>
        <v>0.67500000000000004</v>
      </c>
      <c r="R6" s="7">
        <v>18.8</v>
      </c>
      <c r="S6" s="7">
        <v>128</v>
      </c>
      <c r="T6" s="16">
        <f t="shared" si="1"/>
        <v>27</v>
      </c>
      <c r="U6" s="15">
        <v>135</v>
      </c>
      <c r="V6" s="16">
        <f t="shared" si="2"/>
        <v>3645</v>
      </c>
      <c r="W6" s="15">
        <v>20</v>
      </c>
      <c r="X6" s="15" t="s">
        <v>46</v>
      </c>
      <c r="Y6" s="15" t="s">
        <v>55</v>
      </c>
      <c r="Z6" s="15" t="s">
        <v>47</v>
      </c>
      <c r="AA6" s="15" t="s">
        <v>90</v>
      </c>
      <c r="AB6" s="39" t="s">
        <v>160</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158</v>
      </c>
      <c r="E7" s="15" t="s">
        <v>141</v>
      </c>
      <c r="F7" s="7" t="s">
        <v>149</v>
      </c>
      <c r="G7" s="7" t="s">
        <v>36</v>
      </c>
      <c r="H7" s="54" t="s">
        <v>162</v>
      </c>
      <c r="I7" s="7" t="s">
        <v>161</v>
      </c>
      <c r="J7" s="15" t="s">
        <v>38</v>
      </c>
      <c r="K7" s="7" t="s">
        <v>163</v>
      </c>
      <c r="L7" s="7">
        <v>3</v>
      </c>
      <c r="N7" s="7">
        <v>1</v>
      </c>
      <c r="O7" s="7">
        <v>0.55000000000000004</v>
      </c>
      <c r="P7" s="7">
        <v>0.6</v>
      </c>
      <c r="Q7" s="52">
        <f t="shared" si="0"/>
        <v>0.57499999999999996</v>
      </c>
      <c r="R7" s="34">
        <v>19.399999999999999</v>
      </c>
      <c r="S7" s="7">
        <v>119</v>
      </c>
      <c r="T7" s="16">
        <f t="shared" si="1"/>
        <v>30</v>
      </c>
      <c r="U7" s="15">
        <v>135</v>
      </c>
      <c r="V7" s="16">
        <f t="shared" si="2"/>
        <v>4050</v>
      </c>
      <c r="W7" s="15">
        <v>20</v>
      </c>
      <c r="X7" s="15" t="s">
        <v>46</v>
      </c>
      <c r="Y7" s="15" t="s">
        <v>55</v>
      </c>
      <c r="Z7" s="15" t="s">
        <v>47</v>
      </c>
      <c r="AA7" s="15" t="s">
        <v>90</v>
      </c>
      <c r="AB7" s="39" t="s">
        <v>160</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158</v>
      </c>
      <c r="E8" s="15" t="s">
        <v>133</v>
      </c>
      <c r="F8" s="7" t="s">
        <v>150</v>
      </c>
      <c r="G8" s="7" t="s">
        <v>36</v>
      </c>
      <c r="H8" s="15" t="s">
        <v>127</v>
      </c>
      <c r="I8" s="7" t="s">
        <v>164</v>
      </c>
      <c r="J8" s="15" t="s">
        <v>80</v>
      </c>
      <c r="K8" s="7" t="s">
        <v>63</v>
      </c>
      <c r="L8" s="7">
        <v>1</v>
      </c>
      <c r="N8" s="7">
        <v>4</v>
      </c>
      <c r="O8" s="7">
        <v>0.6</v>
      </c>
      <c r="P8" s="7">
        <v>0.7</v>
      </c>
      <c r="Q8" s="52">
        <f t="shared" si="0"/>
        <v>0.64999999999999991</v>
      </c>
      <c r="R8" s="34">
        <v>12</v>
      </c>
      <c r="S8" s="7">
        <v>94</v>
      </c>
      <c r="T8" s="16">
        <f t="shared" si="1"/>
        <v>36</v>
      </c>
      <c r="U8" s="15">
        <v>369</v>
      </c>
      <c r="V8" s="16">
        <f t="shared" si="2"/>
        <v>3321</v>
      </c>
      <c r="W8" s="15">
        <v>2</v>
      </c>
      <c r="X8" s="15" t="s">
        <v>46</v>
      </c>
      <c r="Y8" s="15" t="s">
        <v>47</v>
      </c>
      <c r="Z8" s="15" t="s">
        <v>90</v>
      </c>
      <c r="AA8" s="15" t="s">
        <v>40</v>
      </c>
      <c r="AB8" s="39" t="s">
        <v>160</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158</v>
      </c>
      <c r="E9" s="15" t="s">
        <v>133</v>
      </c>
      <c r="F9" s="7" t="s">
        <v>150</v>
      </c>
      <c r="G9" s="7" t="s">
        <v>36</v>
      </c>
      <c r="H9" s="15" t="s">
        <v>127</v>
      </c>
      <c r="I9" s="7" t="s">
        <v>164</v>
      </c>
      <c r="J9" s="15" t="s">
        <v>80</v>
      </c>
      <c r="K9" s="7" t="s">
        <v>63</v>
      </c>
      <c r="L9" s="7">
        <v>2</v>
      </c>
      <c r="N9" s="7">
        <v>4</v>
      </c>
      <c r="O9" s="7">
        <v>0.65</v>
      </c>
      <c r="P9" s="7">
        <v>0.75</v>
      </c>
      <c r="Q9" s="52">
        <f t="shared" si="0"/>
        <v>0.7</v>
      </c>
      <c r="R9" s="7">
        <v>12</v>
      </c>
      <c r="S9" s="7">
        <v>95</v>
      </c>
      <c r="T9" s="16">
        <f t="shared" si="1"/>
        <v>36</v>
      </c>
      <c r="U9" s="15">
        <v>369</v>
      </c>
      <c r="V9" s="16">
        <f t="shared" si="2"/>
        <v>3321</v>
      </c>
      <c r="W9" s="15">
        <v>2</v>
      </c>
      <c r="X9" s="15" t="s">
        <v>46</v>
      </c>
      <c r="Y9" s="15" t="s">
        <v>47</v>
      </c>
      <c r="Z9" s="15" t="s">
        <v>90</v>
      </c>
      <c r="AA9" s="15" t="s">
        <v>40</v>
      </c>
      <c r="AB9" s="39" t="s">
        <v>160</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158</v>
      </c>
      <c r="E10" s="15" t="s">
        <v>133</v>
      </c>
      <c r="F10" s="7" t="s">
        <v>150</v>
      </c>
      <c r="G10" s="7" t="s">
        <v>36</v>
      </c>
      <c r="H10" s="15" t="s">
        <v>127</v>
      </c>
      <c r="I10" s="7" t="s">
        <v>164</v>
      </c>
      <c r="J10" s="15" t="s">
        <v>80</v>
      </c>
      <c r="K10" s="7" t="s">
        <v>63</v>
      </c>
      <c r="L10" s="7">
        <v>3</v>
      </c>
      <c r="N10" s="7">
        <v>4</v>
      </c>
      <c r="O10" s="7">
        <v>0.75</v>
      </c>
      <c r="P10" s="7">
        <v>0.8</v>
      </c>
      <c r="Q10" s="52">
        <f t="shared" si="0"/>
        <v>0.77500000000000002</v>
      </c>
      <c r="R10" s="7">
        <v>10.4</v>
      </c>
      <c r="S10" s="7">
        <v>99</v>
      </c>
      <c r="T10" s="16">
        <f t="shared" si="1"/>
        <v>33</v>
      </c>
      <c r="U10" s="15">
        <v>369</v>
      </c>
      <c r="V10" s="16">
        <f t="shared" si="2"/>
        <v>3044.25</v>
      </c>
      <c r="W10" s="15">
        <v>2</v>
      </c>
      <c r="X10" s="15" t="s">
        <v>46</v>
      </c>
      <c r="Y10" s="15" t="s">
        <v>47</v>
      </c>
      <c r="Z10" s="15" t="s">
        <v>90</v>
      </c>
      <c r="AA10" s="15" t="s">
        <v>40</v>
      </c>
      <c r="AB10" s="39" t="s">
        <v>160</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158</v>
      </c>
      <c r="E11" s="15" t="s">
        <v>133</v>
      </c>
      <c r="F11" s="7" t="s">
        <v>150</v>
      </c>
      <c r="G11" s="7" t="s">
        <v>36</v>
      </c>
      <c r="H11" s="15" t="s">
        <v>162</v>
      </c>
      <c r="I11" s="7" t="s">
        <v>161</v>
      </c>
      <c r="J11" s="15" t="s">
        <v>38</v>
      </c>
      <c r="K11" s="7" t="s">
        <v>163</v>
      </c>
      <c r="L11" s="7">
        <v>1</v>
      </c>
      <c r="N11" s="7">
        <v>1</v>
      </c>
      <c r="O11" s="7">
        <v>0.75</v>
      </c>
      <c r="P11" s="7">
        <v>0.75</v>
      </c>
      <c r="Q11" s="52">
        <f t="shared" si="0"/>
        <v>0.75</v>
      </c>
      <c r="R11" s="7">
        <v>17.7</v>
      </c>
      <c r="S11" s="7">
        <v>126</v>
      </c>
      <c r="T11" s="16">
        <f t="shared" si="1"/>
        <v>27</v>
      </c>
      <c r="U11" s="7">
        <v>98</v>
      </c>
      <c r="V11" s="16">
        <f t="shared" si="2"/>
        <v>2646</v>
      </c>
      <c r="W11" s="7">
        <v>6</v>
      </c>
      <c r="X11" s="15" t="s">
        <v>46</v>
      </c>
      <c r="Y11" s="15" t="s">
        <v>47</v>
      </c>
      <c r="Z11" s="15" t="s">
        <v>90</v>
      </c>
      <c r="AA11" s="15" t="s">
        <v>40</v>
      </c>
      <c r="AB11" s="39" t="s">
        <v>160</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158</v>
      </c>
      <c r="E12" s="15" t="s">
        <v>133</v>
      </c>
      <c r="F12" s="7" t="s">
        <v>150</v>
      </c>
      <c r="G12" s="7" t="s">
        <v>36</v>
      </c>
      <c r="H12" s="54" t="s">
        <v>162</v>
      </c>
      <c r="I12" s="53" t="s">
        <v>161</v>
      </c>
      <c r="J12" s="15" t="s">
        <v>38</v>
      </c>
      <c r="K12" s="7" t="s">
        <v>163</v>
      </c>
      <c r="L12" s="7">
        <v>2</v>
      </c>
      <c r="N12" s="7">
        <v>1</v>
      </c>
      <c r="O12" s="7">
        <v>0.85</v>
      </c>
      <c r="P12" s="7">
        <v>0.9</v>
      </c>
      <c r="Q12" s="52">
        <f t="shared" si="0"/>
        <v>0.875</v>
      </c>
      <c r="R12" s="34">
        <v>17.8</v>
      </c>
      <c r="S12" s="7">
        <v>127</v>
      </c>
      <c r="T12" s="16">
        <f t="shared" si="1"/>
        <v>27</v>
      </c>
      <c r="U12" s="7">
        <v>98</v>
      </c>
      <c r="V12" s="16">
        <f t="shared" si="2"/>
        <v>2646</v>
      </c>
      <c r="W12" s="7">
        <v>6</v>
      </c>
      <c r="X12" s="15" t="s">
        <v>46</v>
      </c>
      <c r="Y12" s="15" t="s">
        <v>47</v>
      </c>
      <c r="Z12" s="15" t="s">
        <v>90</v>
      </c>
      <c r="AA12" s="15" t="s">
        <v>40</v>
      </c>
      <c r="AB12" s="39" t="s">
        <v>160</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158</v>
      </c>
      <c r="E13" s="15" t="s">
        <v>133</v>
      </c>
      <c r="F13" s="7" t="s">
        <v>150</v>
      </c>
      <c r="G13" s="7" t="s">
        <v>36</v>
      </c>
      <c r="H13" s="54" t="s">
        <v>162</v>
      </c>
      <c r="I13" s="53" t="s">
        <v>161</v>
      </c>
      <c r="J13" s="15" t="s">
        <v>38</v>
      </c>
      <c r="K13" s="7" t="s">
        <v>163</v>
      </c>
      <c r="L13" s="7">
        <v>3</v>
      </c>
      <c r="N13" s="7">
        <v>1</v>
      </c>
      <c r="O13" s="7">
        <v>0.65</v>
      </c>
      <c r="P13" s="7">
        <v>0.75</v>
      </c>
      <c r="Q13" s="52">
        <f t="shared" si="0"/>
        <v>0.7</v>
      </c>
      <c r="R13" s="7">
        <v>17.7</v>
      </c>
      <c r="S13" s="7">
        <v>126</v>
      </c>
      <c r="T13" s="16">
        <f t="shared" si="1"/>
        <v>27</v>
      </c>
      <c r="U13" s="7">
        <v>98</v>
      </c>
      <c r="V13" s="16">
        <f t="shared" si="2"/>
        <v>2646</v>
      </c>
      <c r="W13" s="7">
        <v>6</v>
      </c>
      <c r="X13" s="15" t="s">
        <v>46</v>
      </c>
      <c r="Y13" s="15" t="s">
        <v>47</v>
      </c>
      <c r="Z13" s="15" t="s">
        <v>90</v>
      </c>
      <c r="AA13" s="15" t="s">
        <v>40</v>
      </c>
      <c r="AB13" s="39" t="s">
        <v>160</v>
      </c>
      <c r="AE13" s="22" t="s">
        <v>73</v>
      </c>
      <c r="AG13" s="23"/>
      <c r="AH13" s="23"/>
      <c r="AP13" s="23" t="s">
        <v>71</v>
      </c>
      <c r="AR13" s="30" t="s">
        <v>103</v>
      </c>
      <c r="AV13" s="23" t="s">
        <v>75</v>
      </c>
    </row>
    <row r="14" spans="1:53" x14ac:dyDescent="0.15">
      <c r="A14" s="15" t="s">
        <v>156</v>
      </c>
      <c r="B14" s="15" t="s">
        <v>157</v>
      </c>
      <c r="C14" s="15">
        <v>2019</v>
      </c>
      <c r="D14" s="37" t="s">
        <v>158</v>
      </c>
      <c r="E14" s="15" t="s">
        <v>142</v>
      </c>
      <c r="F14" s="7" t="s">
        <v>151</v>
      </c>
      <c r="G14" s="7" t="s">
        <v>36</v>
      </c>
      <c r="H14" s="15" t="s">
        <v>162</v>
      </c>
      <c r="I14" s="7" t="s">
        <v>161</v>
      </c>
      <c r="J14" s="15" t="s">
        <v>38</v>
      </c>
      <c r="K14" s="7" t="s">
        <v>163</v>
      </c>
      <c r="L14" s="7">
        <v>1</v>
      </c>
      <c r="N14" s="7">
        <v>1</v>
      </c>
      <c r="O14" s="7">
        <v>0.7</v>
      </c>
      <c r="P14" s="7">
        <v>0.75</v>
      </c>
      <c r="Q14" s="52">
        <f t="shared" si="0"/>
        <v>0.72499999999999998</v>
      </c>
      <c r="R14" s="7">
        <v>16</v>
      </c>
      <c r="S14" s="7">
        <v>110</v>
      </c>
      <c r="T14" s="16">
        <f t="shared" si="1"/>
        <v>33</v>
      </c>
      <c r="U14" s="7">
        <v>149</v>
      </c>
      <c r="V14" s="16">
        <f t="shared" si="2"/>
        <v>4917</v>
      </c>
      <c r="W14" s="7">
        <v>6</v>
      </c>
      <c r="X14" s="15" t="s">
        <v>46</v>
      </c>
      <c r="Y14" s="15" t="s">
        <v>47</v>
      </c>
      <c r="Z14" s="15" t="s">
        <v>69</v>
      </c>
      <c r="AA14" s="15" t="s">
        <v>90</v>
      </c>
      <c r="AB14" s="39" t="s">
        <v>160</v>
      </c>
      <c r="AE14" s="22" t="s">
        <v>76</v>
      </c>
      <c r="AG14" s="23"/>
      <c r="AH14" s="23"/>
      <c r="AP14" s="23" t="s">
        <v>74</v>
      </c>
      <c r="AR14" s="30" t="s">
        <v>125</v>
      </c>
      <c r="AV14" s="23" t="s">
        <v>78</v>
      </c>
    </row>
    <row r="15" spans="1:53" x14ac:dyDescent="0.15">
      <c r="A15" s="15" t="s">
        <v>156</v>
      </c>
      <c r="B15" s="15" t="s">
        <v>157</v>
      </c>
      <c r="C15" s="15">
        <v>2019</v>
      </c>
      <c r="D15" s="37" t="s">
        <v>158</v>
      </c>
      <c r="E15" s="15" t="s">
        <v>142</v>
      </c>
      <c r="F15" s="7" t="s">
        <v>151</v>
      </c>
      <c r="G15" s="7" t="s">
        <v>36</v>
      </c>
      <c r="H15" s="15" t="s">
        <v>162</v>
      </c>
      <c r="I15" s="7" t="s">
        <v>161</v>
      </c>
      <c r="J15" s="15" t="s">
        <v>38</v>
      </c>
      <c r="K15" s="7" t="s">
        <v>163</v>
      </c>
      <c r="L15" s="7">
        <v>2</v>
      </c>
      <c r="N15" s="7">
        <v>1</v>
      </c>
      <c r="O15" s="7">
        <v>0.7</v>
      </c>
      <c r="P15" s="7">
        <v>0.7</v>
      </c>
      <c r="Q15" s="52">
        <f t="shared" si="0"/>
        <v>0.7</v>
      </c>
      <c r="R15" s="7">
        <v>15</v>
      </c>
      <c r="S15" s="7">
        <v>108</v>
      </c>
      <c r="T15" s="16">
        <f t="shared" si="1"/>
        <v>33</v>
      </c>
      <c r="U15" s="7">
        <v>149</v>
      </c>
      <c r="V15" s="16">
        <f t="shared" si="2"/>
        <v>4917</v>
      </c>
      <c r="W15" s="7">
        <v>6</v>
      </c>
      <c r="X15" s="15" t="s">
        <v>46</v>
      </c>
      <c r="Y15" s="54" t="s">
        <v>47</v>
      </c>
      <c r="Z15" s="54" t="s">
        <v>69</v>
      </c>
      <c r="AA15" s="54" t="s">
        <v>90</v>
      </c>
      <c r="AB15" s="39" t="s">
        <v>160</v>
      </c>
      <c r="AE15" s="22" t="s">
        <v>79</v>
      </c>
      <c r="AG15" s="23"/>
      <c r="AH15" s="23"/>
      <c r="AP15" s="23" t="s">
        <v>77</v>
      </c>
      <c r="AR15" s="30" t="s">
        <v>94</v>
      </c>
      <c r="AV15" s="23" t="s">
        <v>107</v>
      </c>
    </row>
    <row r="16" spans="1:53" x14ac:dyDescent="0.15">
      <c r="A16" s="15" t="s">
        <v>156</v>
      </c>
      <c r="B16" s="15" t="s">
        <v>157</v>
      </c>
      <c r="C16" s="15">
        <v>2019</v>
      </c>
      <c r="D16" s="37" t="s">
        <v>158</v>
      </c>
      <c r="E16" s="15" t="s">
        <v>142</v>
      </c>
      <c r="F16" s="7" t="s">
        <v>151</v>
      </c>
      <c r="G16" s="7" t="s">
        <v>36</v>
      </c>
      <c r="H16" s="15" t="s">
        <v>162</v>
      </c>
      <c r="I16" s="7" t="s">
        <v>161</v>
      </c>
      <c r="J16" s="15" t="s">
        <v>38</v>
      </c>
      <c r="K16" s="7" t="s">
        <v>163</v>
      </c>
      <c r="L16" s="7">
        <v>3</v>
      </c>
      <c r="N16" s="7">
        <v>1</v>
      </c>
      <c r="O16" s="7">
        <v>0.75</v>
      </c>
      <c r="P16" s="7">
        <v>0.7</v>
      </c>
      <c r="Q16" s="52">
        <f t="shared" si="0"/>
        <v>0.72499999999999998</v>
      </c>
      <c r="R16" s="7">
        <v>16.600000000000001</v>
      </c>
      <c r="S16" s="7">
        <v>110</v>
      </c>
      <c r="T16" s="16">
        <f t="shared" si="1"/>
        <v>33</v>
      </c>
      <c r="U16" s="7">
        <v>149</v>
      </c>
      <c r="V16" s="16">
        <f t="shared" si="2"/>
        <v>4917</v>
      </c>
      <c r="W16" s="7">
        <v>6</v>
      </c>
      <c r="X16" s="15" t="s">
        <v>46</v>
      </c>
      <c r="Y16" s="54" t="s">
        <v>47</v>
      </c>
      <c r="Z16" s="54" t="s">
        <v>69</v>
      </c>
      <c r="AA16" s="54" t="s">
        <v>90</v>
      </c>
      <c r="AB16" s="39" t="s">
        <v>160</v>
      </c>
      <c r="AE16" s="22" t="s">
        <v>82</v>
      </c>
      <c r="AG16" s="28"/>
      <c r="AH16" s="28"/>
      <c r="AP16" s="23" t="s">
        <v>80</v>
      </c>
      <c r="AR16" s="41" t="s">
        <v>63</v>
      </c>
      <c r="AV16" s="23" t="s">
        <v>84</v>
      </c>
    </row>
    <row r="17" spans="1:48" x14ac:dyDescent="0.15">
      <c r="A17" s="15" t="s">
        <v>156</v>
      </c>
      <c r="B17" s="15" t="s">
        <v>157</v>
      </c>
      <c r="C17" s="15">
        <v>2019</v>
      </c>
      <c r="D17" s="37" t="s">
        <v>158</v>
      </c>
      <c r="E17" s="15" t="s">
        <v>143</v>
      </c>
      <c r="F17" s="7" t="s">
        <v>152</v>
      </c>
      <c r="G17" s="7" t="s">
        <v>36</v>
      </c>
      <c r="H17" s="15" t="s">
        <v>127</v>
      </c>
      <c r="I17" s="7" t="s">
        <v>161</v>
      </c>
      <c r="J17" s="15" t="s">
        <v>53</v>
      </c>
      <c r="K17" s="7" t="s">
        <v>54</v>
      </c>
      <c r="L17" s="7">
        <v>1</v>
      </c>
      <c r="N17" s="7">
        <v>4</v>
      </c>
      <c r="O17" s="7">
        <v>0.9</v>
      </c>
      <c r="P17" s="7">
        <v>1.05</v>
      </c>
      <c r="Q17" s="52">
        <f t="shared" si="0"/>
        <v>0.97500000000000009</v>
      </c>
      <c r="R17" s="7">
        <v>12.2</v>
      </c>
      <c r="S17" s="7">
        <v>70</v>
      </c>
      <c r="T17" s="16">
        <f t="shared" si="1"/>
        <v>50</v>
      </c>
      <c r="U17" s="7">
        <v>321</v>
      </c>
      <c r="V17" s="16">
        <f t="shared" si="2"/>
        <v>4012.5</v>
      </c>
      <c r="W17" s="7">
        <v>3</v>
      </c>
      <c r="X17" s="15" t="s">
        <v>46</v>
      </c>
      <c r="Y17" s="15" t="s">
        <v>55</v>
      </c>
      <c r="Z17" s="15" t="s">
        <v>40</v>
      </c>
      <c r="AA17" s="15" t="s">
        <v>47</v>
      </c>
      <c r="AB17" s="39" t="s">
        <v>160</v>
      </c>
      <c r="AE17" s="22" t="s">
        <v>85</v>
      </c>
      <c r="AP17" s="43" t="s">
        <v>110</v>
      </c>
      <c r="AR17" s="41" t="s">
        <v>96</v>
      </c>
      <c r="AV17" s="23" t="s">
        <v>86</v>
      </c>
    </row>
    <row r="18" spans="1:48" x14ac:dyDescent="0.15">
      <c r="A18" s="15" t="s">
        <v>156</v>
      </c>
      <c r="B18" s="15" t="s">
        <v>157</v>
      </c>
      <c r="C18" s="15">
        <v>2019</v>
      </c>
      <c r="D18" s="37" t="s">
        <v>158</v>
      </c>
      <c r="E18" s="15" t="s">
        <v>143</v>
      </c>
      <c r="F18" s="7" t="s">
        <v>152</v>
      </c>
      <c r="G18" s="7" t="s">
        <v>36</v>
      </c>
      <c r="H18" s="15" t="s">
        <v>127</v>
      </c>
      <c r="I18" s="7" t="s">
        <v>161</v>
      </c>
      <c r="J18" s="15" t="s">
        <v>53</v>
      </c>
      <c r="K18" s="7" t="s">
        <v>54</v>
      </c>
      <c r="L18" s="7">
        <v>2</v>
      </c>
      <c r="N18" s="7">
        <v>4</v>
      </c>
      <c r="O18" s="7">
        <v>0.75</v>
      </c>
      <c r="P18" s="7">
        <v>0.9</v>
      </c>
      <c r="Q18" s="52">
        <f t="shared" si="0"/>
        <v>0.82499999999999996</v>
      </c>
      <c r="R18" s="7">
        <v>11.7</v>
      </c>
      <c r="S18" s="7">
        <v>70</v>
      </c>
      <c r="T18" s="16">
        <f t="shared" si="1"/>
        <v>50</v>
      </c>
      <c r="U18" s="7">
        <v>321</v>
      </c>
      <c r="V18" s="16">
        <f t="shared" si="2"/>
        <v>4012.5</v>
      </c>
      <c r="W18" s="7">
        <v>3</v>
      </c>
      <c r="X18" s="15" t="s">
        <v>46</v>
      </c>
      <c r="Y18" s="54" t="s">
        <v>55</v>
      </c>
      <c r="Z18" s="54" t="s">
        <v>40</v>
      </c>
      <c r="AA18" s="54" t="s">
        <v>47</v>
      </c>
      <c r="AB18" s="39" t="s">
        <v>160</v>
      </c>
      <c r="AE18" s="22" t="s">
        <v>87</v>
      </c>
      <c r="AP18" s="43" t="s">
        <v>111</v>
      </c>
      <c r="AR18" s="41" t="s">
        <v>101</v>
      </c>
      <c r="AV18" s="23" t="s">
        <v>88</v>
      </c>
    </row>
    <row r="19" spans="1:48" x14ac:dyDescent="0.15">
      <c r="A19" s="15" t="s">
        <v>156</v>
      </c>
      <c r="B19" s="15" t="s">
        <v>157</v>
      </c>
      <c r="C19" s="15">
        <v>2019</v>
      </c>
      <c r="D19" s="37" t="s">
        <v>158</v>
      </c>
      <c r="E19" s="15" t="s">
        <v>143</v>
      </c>
      <c r="F19" s="7" t="s">
        <v>152</v>
      </c>
      <c r="G19" s="7" t="s">
        <v>36</v>
      </c>
      <c r="H19" s="15" t="s">
        <v>127</v>
      </c>
      <c r="I19" s="7" t="s">
        <v>161</v>
      </c>
      <c r="J19" s="15" t="s">
        <v>53</v>
      </c>
      <c r="K19" s="7" t="s">
        <v>54</v>
      </c>
      <c r="L19" s="7">
        <v>3</v>
      </c>
      <c r="N19" s="7">
        <v>4</v>
      </c>
      <c r="O19" s="7">
        <v>0.95</v>
      </c>
      <c r="P19" s="7">
        <v>1</v>
      </c>
      <c r="Q19" s="52">
        <f t="shared" si="0"/>
        <v>0.97499999999999998</v>
      </c>
      <c r="R19" s="7">
        <v>11.6</v>
      </c>
      <c r="S19" s="7">
        <v>64</v>
      </c>
      <c r="T19" s="16">
        <f t="shared" si="1"/>
        <v>50</v>
      </c>
      <c r="U19" s="7">
        <v>321</v>
      </c>
      <c r="V19" s="16">
        <f t="shared" si="2"/>
        <v>4012.5</v>
      </c>
      <c r="W19" s="7">
        <v>3</v>
      </c>
      <c r="X19" s="15" t="s">
        <v>46</v>
      </c>
      <c r="Y19" s="54" t="s">
        <v>55</v>
      </c>
      <c r="Z19" s="54" t="s">
        <v>40</v>
      </c>
      <c r="AA19" s="54" t="s">
        <v>47</v>
      </c>
      <c r="AB19" s="39" t="s">
        <v>160</v>
      </c>
      <c r="AE19" s="35" t="s">
        <v>89</v>
      </c>
      <c r="AP19" s="43" t="s">
        <v>112</v>
      </c>
      <c r="AR19" s="30" t="s">
        <v>126</v>
      </c>
      <c r="AV19" s="23" t="s">
        <v>90</v>
      </c>
    </row>
    <row r="20" spans="1:48" x14ac:dyDescent="0.15">
      <c r="A20" s="15" t="s">
        <v>156</v>
      </c>
      <c r="B20" s="15" t="s">
        <v>157</v>
      </c>
      <c r="C20" s="15">
        <v>2019</v>
      </c>
      <c r="D20" s="37" t="s">
        <v>158</v>
      </c>
      <c r="E20" s="15" t="s">
        <v>143</v>
      </c>
      <c r="F20" s="7" t="s">
        <v>152</v>
      </c>
      <c r="G20" s="7" t="s">
        <v>36</v>
      </c>
      <c r="H20" s="15" t="s">
        <v>162</v>
      </c>
      <c r="I20" s="7" t="s">
        <v>161</v>
      </c>
      <c r="J20" s="15" t="s">
        <v>38</v>
      </c>
      <c r="K20" s="7" t="s">
        <v>163</v>
      </c>
      <c r="L20" s="7">
        <v>1</v>
      </c>
      <c r="N20" s="7">
        <v>1</v>
      </c>
      <c r="O20" s="7">
        <v>0.5</v>
      </c>
      <c r="P20" s="34">
        <v>0.55000000000000004</v>
      </c>
      <c r="Q20" s="52">
        <f t="shared" si="0"/>
        <v>0.52500000000000002</v>
      </c>
      <c r="R20" s="7">
        <v>17</v>
      </c>
      <c r="S20" s="7">
        <v>117</v>
      </c>
      <c r="T20" s="16">
        <f t="shared" si="1"/>
        <v>30</v>
      </c>
      <c r="U20" s="7">
        <v>105</v>
      </c>
      <c r="V20" s="16">
        <f t="shared" si="2"/>
        <v>3150</v>
      </c>
      <c r="W20" s="7">
        <v>8</v>
      </c>
      <c r="X20" s="15" t="s">
        <v>46</v>
      </c>
      <c r="Y20" s="54" t="s">
        <v>55</v>
      </c>
      <c r="Z20" s="54" t="s">
        <v>40</v>
      </c>
      <c r="AA20" s="54" t="s">
        <v>47</v>
      </c>
      <c r="AB20" s="39" t="s">
        <v>160</v>
      </c>
      <c r="AE20" s="22"/>
      <c r="AP20" s="43" t="s">
        <v>113</v>
      </c>
      <c r="AR20" s="41" t="s">
        <v>105</v>
      </c>
      <c r="AV20" s="27" t="s">
        <v>135</v>
      </c>
    </row>
    <row r="21" spans="1:48" x14ac:dyDescent="0.15">
      <c r="A21" s="15" t="s">
        <v>156</v>
      </c>
      <c r="B21" s="15" t="s">
        <v>157</v>
      </c>
      <c r="C21" s="15">
        <v>2019</v>
      </c>
      <c r="D21" s="37" t="s">
        <v>158</v>
      </c>
      <c r="E21" s="15" t="s">
        <v>143</v>
      </c>
      <c r="F21" s="7" t="s">
        <v>152</v>
      </c>
      <c r="G21" s="7" t="s">
        <v>36</v>
      </c>
      <c r="H21" s="15" t="s">
        <v>162</v>
      </c>
      <c r="I21" s="7" t="s">
        <v>161</v>
      </c>
      <c r="J21" s="15" t="s">
        <v>38</v>
      </c>
      <c r="K21" s="7" t="s">
        <v>163</v>
      </c>
      <c r="L21" s="7">
        <v>2</v>
      </c>
      <c r="N21" s="7">
        <v>1</v>
      </c>
      <c r="O21" s="7">
        <v>0.6</v>
      </c>
      <c r="P21" s="7">
        <v>0.6</v>
      </c>
      <c r="Q21" s="52">
        <f t="shared" si="0"/>
        <v>0.6</v>
      </c>
      <c r="R21" s="7">
        <v>19</v>
      </c>
      <c r="S21" s="7">
        <v>115</v>
      </c>
      <c r="T21" s="16">
        <f t="shared" si="1"/>
        <v>30</v>
      </c>
      <c r="U21" s="7">
        <v>105</v>
      </c>
      <c r="V21" s="16">
        <f t="shared" si="2"/>
        <v>3150</v>
      </c>
      <c r="W21" s="7">
        <v>8</v>
      </c>
      <c r="X21" s="15" t="s">
        <v>46</v>
      </c>
      <c r="Y21" s="54" t="s">
        <v>55</v>
      </c>
      <c r="Z21" s="54" t="s">
        <v>40</v>
      </c>
      <c r="AA21" s="54" t="s">
        <v>47</v>
      </c>
      <c r="AB21" s="39" t="s">
        <v>160</v>
      </c>
      <c r="AE21" s="22"/>
      <c r="AP21" s="43" t="s">
        <v>114</v>
      </c>
      <c r="AR21" s="41" t="s">
        <v>68</v>
      </c>
      <c r="AV21" s="27" t="s">
        <v>136</v>
      </c>
    </row>
    <row r="22" spans="1:48" x14ac:dyDescent="0.15">
      <c r="A22" s="15" t="s">
        <v>156</v>
      </c>
      <c r="B22" s="15" t="s">
        <v>157</v>
      </c>
      <c r="C22" s="15">
        <v>2019</v>
      </c>
      <c r="D22" s="37" t="s">
        <v>158</v>
      </c>
      <c r="E22" s="15" t="s">
        <v>143</v>
      </c>
      <c r="F22" s="7" t="s">
        <v>152</v>
      </c>
      <c r="G22" s="7" t="s">
        <v>36</v>
      </c>
      <c r="H22" s="15" t="s">
        <v>162</v>
      </c>
      <c r="I22" s="7" t="s">
        <v>161</v>
      </c>
      <c r="J22" s="15" t="s">
        <v>38</v>
      </c>
      <c r="K22" s="7" t="s">
        <v>163</v>
      </c>
      <c r="L22" s="7">
        <v>3</v>
      </c>
      <c r="N22" s="7">
        <v>1</v>
      </c>
      <c r="O22" s="34">
        <v>0.7</v>
      </c>
      <c r="P22" s="7">
        <v>0.75</v>
      </c>
      <c r="Q22" s="52">
        <f t="shared" si="0"/>
        <v>0.72499999999999998</v>
      </c>
      <c r="R22" s="7">
        <v>18.100000000000001</v>
      </c>
      <c r="S22" s="7">
        <v>124</v>
      </c>
      <c r="T22" s="16">
        <f t="shared" si="1"/>
        <v>27</v>
      </c>
      <c r="U22" s="7">
        <v>105</v>
      </c>
      <c r="V22" s="16">
        <f t="shared" si="2"/>
        <v>2835</v>
      </c>
      <c r="W22" s="7">
        <v>8</v>
      </c>
      <c r="X22" s="15" t="s">
        <v>46</v>
      </c>
      <c r="Y22" s="54" t="s">
        <v>55</v>
      </c>
      <c r="Z22" s="54" t="s">
        <v>40</v>
      </c>
      <c r="AA22" s="54" t="s">
        <v>47</v>
      </c>
      <c r="AB22" s="39" t="s">
        <v>160</v>
      </c>
      <c r="AE22" s="35"/>
      <c r="AP22" s="43" t="s">
        <v>115</v>
      </c>
      <c r="AR22" s="41" t="s">
        <v>83</v>
      </c>
      <c r="AV22" s="27"/>
    </row>
    <row r="23" spans="1:48" x14ac:dyDescent="0.15">
      <c r="A23" s="15" t="s">
        <v>156</v>
      </c>
      <c r="B23" s="15" t="s">
        <v>157</v>
      </c>
      <c r="C23" s="15">
        <v>2019</v>
      </c>
      <c r="D23" s="37" t="s">
        <v>158</v>
      </c>
      <c r="E23" s="7" t="s">
        <v>131</v>
      </c>
      <c r="F23" s="7" t="s">
        <v>144</v>
      </c>
      <c r="G23" s="7" t="s">
        <v>36</v>
      </c>
      <c r="H23" s="15" t="s">
        <v>127</v>
      </c>
      <c r="I23" s="7" t="s">
        <v>161</v>
      </c>
      <c r="J23" s="15" t="s">
        <v>58</v>
      </c>
      <c r="K23" s="7" t="s">
        <v>59</v>
      </c>
      <c r="L23" s="7">
        <v>1</v>
      </c>
      <c r="N23" s="7">
        <v>5</v>
      </c>
      <c r="O23" s="34">
        <v>1.1000000000000001</v>
      </c>
      <c r="P23" s="7">
        <v>1.2</v>
      </c>
      <c r="Q23" s="52">
        <f t="shared" si="0"/>
        <v>1.1499999999999999</v>
      </c>
      <c r="R23" s="7">
        <v>12.1</v>
      </c>
      <c r="S23" s="7">
        <v>94</v>
      </c>
      <c r="T23" s="16">
        <f t="shared" si="1"/>
        <v>36</v>
      </c>
      <c r="U23" s="7">
        <v>486</v>
      </c>
      <c r="V23" s="16">
        <f t="shared" si="2"/>
        <v>3499.2000000000003</v>
      </c>
      <c r="W23" s="7">
        <v>2</v>
      </c>
      <c r="X23" s="15" t="s">
        <v>46</v>
      </c>
      <c r="Y23" s="15" t="s">
        <v>55</v>
      </c>
      <c r="Z23" s="15" t="s">
        <v>47</v>
      </c>
      <c r="AA23" s="15" t="s">
        <v>40</v>
      </c>
      <c r="AB23" s="39" t="s">
        <v>160</v>
      </c>
      <c r="AE23" s="22"/>
      <c r="AP23" s="43" t="s">
        <v>137</v>
      </c>
      <c r="AR23" s="41" t="s">
        <v>61</v>
      </c>
      <c r="AV23" s="27"/>
    </row>
    <row r="24" spans="1:48" x14ac:dyDescent="0.15">
      <c r="A24" s="15" t="s">
        <v>156</v>
      </c>
      <c r="B24" s="15" t="s">
        <v>157</v>
      </c>
      <c r="C24" s="15">
        <v>2019</v>
      </c>
      <c r="D24" s="37" t="s">
        <v>158</v>
      </c>
      <c r="E24" s="7" t="s">
        <v>131</v>
      </c>
      <c r="F24" s="7" t="s">
        <v>144</v>
      </c>
      <c r="G24" s="7" t="s">
        <v>36</v>
      </c>
      <c r="H24" s="15" t="s">
        <v>127</v>
      </c>
      <c r="I24" s="7" t="s">
        <v>161</v>
      </c>
      <c r="J24" s="15" t="s">
        <v>58</v>
      </c>
      <c r="K24" s="7" t="s">
        <v>59</v>
      </c>
      <c r="L24" s="7">
        <v>2</v>
      </c>
      <c r="N24" s="7">
        <v>5</v>
      </c>
      <c r="O24" s="7">
        <v>0.65</v>
      </c>
      <c r="P24" s="7">
        <v>0.75</v>
      </c>
      <c r="Q24" s="52">
        <f t="shared" si="0"/>
        <v>0.7</v>
      </c>
      <c r="R24" s="7">
        <v>14</v>
      </c>
      <c r="S24" s="7">
        <v>96</v>
      </c>
      <c r="T24" s="16">
        <f t="shared" si="1"/>
        <v>36</v>
      </c>
      <c r="U24" s="7">
        <v>486</v>
      </c>
      <c r="V24" s="16">
        <f t="shared" si="2"/>
        <v>3499.2000000000003</v>
      </c>
      <c r="W24" s="7">
        <v>2</v>
      </c>
      <c r="X24" s="15" t="s">
        <v>46</v>
      </c>
      <c r="Y24" s="54" t="s">
        <v>55</v>
      </c>
      <c r="Z24" s="54" t="s">
        <v>47</v>
      </c>
      <c r="AA24" s="54" t="s">
        <v>40</v>
      </c>
      <c r="AB24" s="39" t="s">
        <v>160</v>
      </c>
      <c r="AE24" s="22"/>
      <c r="AP24" s="43" t="s">
        <v>138</v>
      </c>
      <c r="AR24" s="41" t="s">
        <v>91</v>
      </c>
      <c r="AV24" s="27"/>
    </row>
    <row r="25" spans="1:48" x14ac:dyDescent="0.15">
      <c r="A25" s="15" t="s">
        <v>156</v>
      </c>
      <c r="B25" s="15" t="s">
        <v>157</v>
      </c>
      <c r="C25" s="15">
        <v>2019</v>
      </c>
      <c r="D25" s="37" t="s">
        <v>158</v>
      </c>
      <c r="E25" s="7" t="s">
        <v>131</v>
      </c>
      <c r="F25" s="7" t="s">
        <v>144</v>
      </c>
      <c r="G25" s="7" t="s">
        <v>36</v>
      </c>
      <c r="H25" s="15" t="s">
        <v>127</v>
      </c>
      <c r="I25" s="7" t="s">
        <v>161</v>
      </c>
      <c r="J25" s="15" t="s">
        <v>58</v>
      </c>
      <c r="K25" s="7" t="s">
        <v>59</v>
      </c>
      <c r="L25" s="7">
        <v>3</v>
      </c>
      <c r="N25" s="7">
        <v>5</v>
      </c>
      <c r="O25" s="7">
        <v>1.1000000000000001</v>
      </c>
      <c r="P25" s="7">
        <v>1.05</v>
      </c>
      <c r="Q25" s="52">
        <f t="shared" si="0"/>
        <v>1.0750000000000002</v>
      </c>
      <c r="R25" s="7">
        <v>11.8</v>
      </c>
      <c r="S25" s="7">
        <v>88</v>
      </c>
      <c r="T25" s="16">
        <f t="shared" si="1"/>
        <v>36</v>
      </c>
      <c r="U25" s="7">
        <v>486</v>
      </c>
      <c r="V25" s="16">
        <f t="shared" si="2"/>
        <v>3499.2000000000003</v>
      </c>
      <c r="W25" s="7">
        <v>2</v>
      </c>
      <c r="X25" s="15" t="s">
        <v>46</v>
      </c>
      <c r="Y25" s="54" t="s">
        <v>55</v>
      </c>
      <c r="Z25" s="54" t="s">
        <v>47</v>
      </c>
      <c r="AA25" s="54" t="s">
        <v>40</v>
      </c>
      <c r="AB25" s="39" t="s">
        <v>160</v>
      </c>
      <c r="AE25" s="35"/>
      <c r="AP25" s="43" t="s">
        <v>116</v>
      </c>
      <c r="AR25" s="42" t="s">
        <v>92</v>
      </c>
      <c r="AV25" s="27"/>
    </row>
    <row r="26" spans="1:48" x14ac:dyDescent="0.15">
      <c r="A26" s="15" t="s">
        <v>156</v>
      </c>
      <c r="B26" s="15" t="s">
        <v>157</v>
      </c>
      <c r="C26" s="15">
        <v>2019</v>
      </c>
      <c r="D26" s="37" t="s">
        <v>158</v>
      </c>
      <c r="E26" s="7" t="s">
        <v>131</v>
      </c>
      <c r="F26" s="7" t="s">
        <v>144</v>
      </c>
      <c r="G26" s="7" t="s">
        <v>36</v>
      </c>
      <c r="H26" s="15" t="s">
        <v>162</v>
      </c>
      <c r="I26" s="7" t="s">
        <v>161</v>
      </c>
      <c r="J26" s="15" t="s">
        <v>38</v>
      </c>
      <c r="K26" s="7" t="s">
        <v>163</v>
      </c>
      <c r="L26" s="7">
        <v>1</v>
      </c>
      <c r="N26" s="7">
        <v>1</v>
      </c>
      <c r="O26" s="7">
        <v>0.75</v>
      </c>
      <c r="P26" s="7">
        <v>0.85</v>
      </c>
      <c r="Q26" s="52">
        <f t="shared" si="0"/>
        <v>0.8</v>
      </c>
      <c r="R26" s="7">
        <v>14.8</v>
      </c>
      <c r="S26" s="7">
        <v>142</v>
      </c>
      <c r="T26" s="16">
        <f t="shared" si="1"/>
        <v>22</v>
      </c>
      <c r="U26" s="7">
        <v>138</v>
      </c>
      <c r="V26" s="16">
        <f t="shared" si="2"/>
        <v>3036</v>
      </c>
      <c r="W26" s="7">
        <v>7</v>
      </c>
      <c r="X26" s="15" t="s">
        <v>46</v>
      </c>
      <c r="Y26" s="54" t="s">
        <v>55</v>
      </c>
      <c r="Z26" s="54" t="s">
        <v>47</v>
      </c>
      <c r="AA26" s="54" t="s">
        <v>40</v>
      </c>
      <c r="AB26" s="39" t="s">
        <v>160</v>
      </c>
      <c r="AE26" s="35"/>
      <c r="AP26" s="43" t="s">
        <v>117</v>
      </c>
      <c r="AR26" s="23" t="s">
        <v>153</v>
      </c>
      <c r="AV26" s="28"/>
    </row>
    <row r="27" spans="1:48" x14ac:dyDescent="0.15">
      <c r="A27" s="15" t="s">
        <v>156</v>
      </c>
      <c r="B27" s="15" t="s">
        <v>157</v>
      </c>
      <c r="C27" s="15">
        <v>2019</v>
      </c>
      <c r="D27" s="37" t="s">
        <v>158</v>
      </c>
      <c r="E27" s="7" t="s">
        <v>131</v>
      </c>
      <c r="F27" s="7" t="s">
        <v>144</v>
      </c>
      <c r="G27" s="7" t="s">
        <v>36</v>
      </c>
      <c r="H27" s="15" t="s">
        <v>162</v>
      </c>
      <c r="I27" s="7" t="s">
        <v>161</v>
      </c>
      <c r="J27" s="15" t="s">
        <v>38</v>
      </c>
      <c r="K27" s="7" t="s">
        <v>163</v>
      </c>
      <c r="L27" s="7">
        <v>2</v>
      </c>
      <c r="N27" s="7">
        <v>1</v>
      </c>
      <c r="O27" s="7">
        <v>0.75</v>
      </c>
      <c r="P27" s="7">
        <v>0.75</v>
      </c>
      <c r="Q27" s="52">
        <f t="shared" si="0"/>
        <v>0.75</v>
      </c>
      <c r="R27" s="7">
        <v>15.2</v>
      </c>
      <c r="S27" s="7">
        <v>143</v>
      </c>
      <c r="T27" s="16">
        <f t="shared" si="1"/>
        <v>22</v>
      </c>
      <c r="U27" s="7">
        <v>138</v>
      </c>
      <c r="V27" s="16">
        <f t="shared" si="2"/>
        <v>3036</v>
      </c>
      <c r="W27" s="7">
        <v>7</v>
      </c>
      <c r="X27" s="15" t="s">
        <v>46</v>
      </c>
      <c r="Y27" s="54" t="s">
        <v>55</v>
      </c>
      <c r="Z27" s="54" t="s">
        <v>47</v>
      </c>
      <c r="AA27" s="54" t="s">
        <v>40</v>
      </c>
      <c r="AB27" s="39" t="s">
        <v>160</v>
      </c>
      <c r="AE27" s="28"/>
      <c r="AP27" s="43" t="s">
        <v>118</v>
      </c>
      <c r="AR27" s="23"/>
    </row>
    <row r="28" spans="1:48" x14ac:dyDescent="0.15">
      <c r="A28" s="15" t="s">
        <v>156</v>
      </c>
      <c r="B28" s="15" t="s">
        <v>157</v>
      </c>
      <c r="C28" s="15">
        <v>2019</v>
      </c>
      <c r="D28" s="37" t="s">
        <v>158</v>
      </c>
      <c r="E28" s="7" t="s">
        <v>131</v>
      </c>
      <c r="F28" s="7" t="s">
        <v>144</v>
      </c>
      <c r="G28" s="7" t="s">
        <v>36</v>
      </c>
      <c r="H28" s="15" t="s">
        <v>162</v>
      </c>
      <c r="I28" s="7" t="s">
        <v>161</v>
      </c>
      <c r="J28" s="15" t="s">
        <v>38</v>
      </c>
      <c r="K28" s="7" t="s">
        <v>163</v>
      </c>
      <c r="L28" s="7">
        <v>3</v>
      </c>
      <c r="N28" s="7">
        <v>1</v>
      </c>
      <c r="O28" s="7">
        <v>0.6</v>
      </c>
      <c r="P28" s="7">
        <v>0.75</v>
      </c>
      <c r="Q28" s="52">
        <f t="shared" si="0"/>
        <v>0.67500000000000004</v>
      </c>
      <c r="R28" s="7">
        <v>15.8</v>
      </c>
      <c r="S28" s="7">
        <v>149</v>
      </c>
      <c r="T28" s="16">
        <f t="shared" si="1"/>
        <v>22</v>
      </c>
      <c r="U28" s="7">
        <v>138</v>
      </c>
      <c r="V28" s="16">
        <f t="shared" si="2"/>
        <v>3036</v>
      </c>
      <c r="W28" s="7">
        <v>7</v>
      </c>
      <c r="X28" s="15" t="s">
        <v>46</v>
      </c>
      <c r="Y28" s="54" t="s">
        <v>55</v>
      </c>
      <c r="Z28" s="54" t="s">
        <v>47</v>
      </c>
      <c r="AA28" s="54" t="s">
        <v>40</v>
      </c>
      <c r="AB28" s="39" t="s">
        <v>160</v>
      </c>
      <c r="AP28" s="27"/>
      <c r="AR28" s="23"/>
    </row>
    <row r="29" spans="1:48" x14ac:dyDescent="0.15">
      <c r="A29" s="15" t="s">
        <v>156</v>
      </c>
      <c r="B29" s="15" t="s">
        <v>157</v>
      </c>
      <c r="C29" s="15">
        <v>2019</v>
      </c>
      <c r="D29" s="37" t="s">
        <v>158</v>
      </c>
      <c r="E29" s="7" t="s">
        <v>139</v>
      </c>
      <c r="F29" s="7" t="s">
        <v>145</v>
      </c>
      <c r="G29" s="7" t="s">
        <v>36</v>
      </c>
      <c r="H29" s="15" t="s">
        <v>162</v>
      </c>
      <c r="I29" s="7" t="s">
        <v>161</v>
      </c>
      <c r="J29" s="15" t="s">
        <v>38</v>
      </c>
      <c r="K29" s="7" t="s">
        <v>163</v>
      </c>
      <c r="L29" s="7">
        <v>1</v>
      </c>
      <c r="N29" s="7">
        <v>1</v>
      </c>
      <c r="O29" s="7">
        <v>0.75</v>
      </c>
      <c r="P29" s="7">
        <v>0.75</v>
      </c>
      <c r="Q29" s="52">
        <f t="shared" si="0"/>
        <v>0.75</v>
      </c>
      <c r="R29" s="7">
        <v>17.399999999999999</v>
      </c>
      <c r="S29" s="7">
        <v>96</v>
      </c>
      <c r="T29" s="16">
        <f t="shared" si="1"/>
        <v>36</v>
      </c>
      <c r="U29" s="7">
        <v>100</v>
      </c>
      <c r="V29" s="16">
        <f t="shared" si="2"/>
        <v>3600</v>
      </c>
      <c r="W29" s="7">
        <v>10</v>
      </c>
      <c r="X29" s="15" t="s">
        <v>46</v>
      </c>
      <c r="Y29" s="15" t="s">
        <v>47</v>
      </c>
      <c r="Z29" s="15" t="s">
        <v>40</v>
      </c>
      <c r="AA29" s="15" t="s">
        <v>55</v>
      </c>
      <c r="AB29" s="39" t="s">
        <v>160</v>
      </c>
      <c r="AP29" s="27"/>
      <c r="AR29" s="27"/>
      <c r="AV29" s="28"/>
    </row>
    <row r="30" spans="1:48" x14ac:dyDescent="0.15">
      <c r="A30" s="15" t="s">
        <v>156</v>
      </c>
      <c r="B30" s="15" t="s">
        <v>157</v>
      </c>
      <c r="C30" s="15">
        <v>2019</v>
      </c>
      <c r="D30" s="37" t="s">
        <v>158</v>
      </c>
      <c r="E30" s="7" t="s">
        <v>139</v>
      </c>
      <c r="F30" s="7" t="s">
        <v>145</v>
      </c>
      <c r="G30" s="7" t="s">
        <v>36</v>
      </c>
      <c r="H30" s="15" t="s">
        <v>162</v>
      </c>
      <c r="I30" s="7" t="s">
        <v>161</v>
      </c>
      <c r="J30" s="15" t="s">
        <v>38</v>
      </c>
      <c r="K30" s="7" t="s">
        <v>163</v>
      </c>
      <c r="L30" s="7">
        <v>2</v>
      </c>
      <c r="N30" s="7">
        <v>1</v>
      </c>
      <c r="O30" s="7">
        <v>0.85</v>
      </c>
      <c r="P30" s="7">
        <v>0.8</v>
      </c>
      <c r="Q30" s="52">
        <f t="shared" si="0"/>
        <v>0.82499999999999996</v>
      </c>
      <c r="R30" s="7">
        <v>18.899999999999999</v>
      </c>
      <c r="S30" s="7">
        <v>97</v>
      </c>
      <c r="T30" s="16">
        <f t="shared" si="1"/>
        <v>36</v>
      </c>
      <c r="U30" s="7">
        <v>100</v>
      </c>
      <c r="V30" s="16">
        <f t="shared" si="2"/>
        <v>3600</v>
      </c>
      <c r="W30" s="7">
        <v>10</v>
      </c>
      <c r="X30" s="15" t="s">
        <v>46</v>
      </c>
      <c r="Y30" s="54" t="s">
        <v>47</v>
      </c>
      <c r="Z30" s="54" t="s">
        <v>40</v>
      </c>
      <c r="AA30" s="54" t="s">
        <v>55</v>
      </c>
      <c r="AB30" s="39" t="s">
        <v>160</v>
      </c>
      <c r="AP30" s="27"/>
      <c r="AR30" s="27"/>
    </row>
    <row r="31" spans="1:48" x14ac:dyDescent="0.15">
      <c r="A31" s="15" t="s">
        <v>156</v>
      </c>
      <c r="B31" s="15" t="s">
        <v>157</v>
      </c>
      <c r="C31" s="15">
        <v>2019</v>
      </c>
      <c r="D31" s="37" t="s">
        <v>158</v>
      </c>
      <c r="E31" s="7" t="s">
        <v>139</v>
      </c>
      <c r="F31" s="7" t="s">
        <v>145</v>
      </c>
      <c r="G31" s="7" t="s">
        <v>36</v>
      </c>
      <c r="H31" s="15" t="s">
        <v>162</v>
      </c>
      <c r="I31" s="7" t="s">
        <v>161</v>
      </c>
      <c r="J31" s="15" t="s">
        <v>38</v>
      </c>
      <c r="K31" s="7" t="s">
        <v>163</v>
      </c>
      <c r="L31" s="7">
        <v>3</v>
      </c>
      <c r="N31" s="7">
        <v>1</v>
      </c>
      <c r="O31" s="7">
        <v>0.65</v>
      </c>
      <c r="P31" s="7">
        <v>0.75</v>
      </c>
      <c r="Q31" s="52">
        <f t="shared" si="0"/>
        <v>0.7</v>
      </c>
      <c r="R31" s="7">
        <v>16.100000000000001</v>
      </c>
      <c r="S31" s="7">
        <v>99</v>
      </c>
      <c r="T31" s="16">
        <f t="shared" si="1"/>
        <v>33</v>
      </c>
      <c r="U31" s="7">
        <v>100</v>
      </c>
      <c r="V31" s="16">
        <f t="shared" si="2"/>
        <v>3300</v>
      </c>
      <c r="W31" s="7">
        <v>10</v>
      </c>
      <c r="X31" s="15" t="s">
        <v>46</v>
      </c>
      <c r="Y31" s="54" t="s">
        <v>47</v>
      </c>
      <c r="Z31" s="54" t="s">
        <v>40</v>
      </c>
      <c r="AA31" s="54" t="s">
        <v>55</v>
      </c>
      <c r="AB31" s="39" t="s">
        <v>160</v>
      </c>
      <c r="AP31" s="27"/>
      <c r="AR31" s="27"/>
    </row>
    <row r="32" spans="1:48" x14ac:dyDescent="0.15">
      <c r="A32" s="15" t="s">
        <v>156</v>
      </c>
      <c r="B32" s="15" t="s">
        <v>157</v>
      </c>
      <c r="C32" s="15">
        <v>2019</v>
      </c>
      <c r="D32" s="37" t="s">
        <v>158</v>
      </c>
      <c r="E32" s="7" t="s">
        <v>165</v>
      </c>
      <c r="F32" s="7" t="s">
        <v>166</v>
      </c>
      <c r="G32" s="7" t="s">
        <v>36</v>
      </c>
      <c r="H32" s="15" t="s">
        <v>127</v>
      </c>
      <c r="I32" s="7" t="s">
        <v>161</v>
      </c>
      <c r="J32" s="15" t="s">
        <v>58</v>
      </c>
      <c r="K32" s="7" t="s">
        <v>59</v>
      </c>
      <c r="L32" s="7">
        <v>1</v>
      </c>
      <c r="N32" s="7">
        <v>1</v>
      </c>
      <c r="O32" s="7">
        <v>0.95</v>
      </c>
      <c r="P32" s="7">
        <v>0.9</v>
      </c>
      <c r="Q32" s="52">
        <f t="shared" si="0"/>
        <v>0.92500000000000004</v>
      </c>
      <c r="R32" s="7">
        <v>12.5</v>
      </c>
      <c r="S32" s="7">
        <v>94</v>
      </c>
      <c r="T32" s="16">
        <f t="shared" si="1"/>
        <v>36</v>
      </c>
      <c r="U32" s="7">
        <v>98</v>
      </c>
      <c r="V32" s="16">
        <f t="shared" si="2"/>
        <v>3528</v>
      </c>
      <c r="W32" s="7">
        <v>3</v>
      </c>
      <c r="X32" s="15" t="s">
        <v>46</v>
      </c>
      <c r="Y32" s="54" t="s">
        <v>47</v>
      </c>
      <c r="Z32" s="15" t="s">
        <v>90</v>
      </c>
      <c r="AA32" s="15" t="s">
        <v>40</v>
      </c>
      <c r="AB32" s="39" t="s">
        <v>160</v>
      </c>
      <c r="AP32" s="28"/>
      <c r="AR32" s="28"/>
    </row>
    <row r="33" spans="1:44" x14ac:dyDescent="0.15">
      <c r="A33" s="15" t="s">
        <v>156</v>
      </c>
      <c r="B33" s="15" t="s">
        <v>157</v>
      </c>
      <c r="C33" s="15">
        <v>2019</v>
      </c>
      <c r="D33" s="37" t="s">
        <v>158</v>
      </c>
      <c r="E33" s="7" t="s">
        <v>165</v>
      </c>
      <c r="F33" s="7" t="s">
        <v>166</v>
      </c>
      <c r="G33" s="7" t="s">
        <v>36</v>
      </c>
      <c r="H33" s="15" t="s">
        <v>127</v>
      </c>
      <c r="I33" s="7" t="s">
        <v>161</v>
      </c>
      <c r="J33" s="15" t="s">
        <v>58</v>
      </c>
      <c r="K33" s="7" t="s">
        <v>59</v>
      </c>
      <c r="L33" s="7">
        <v>2</v>
      </c>
      <c r="N33" s="7">
        <v>1</v>
      </c>
      <c r="O33" s="7">
        <v>0.9</v>
      </c>
      <c r="P33" s="7">
        <v>1</v>
      </c>
      <c r="Q33" s="52">
        <f t="shared" si="0"/>
        <v>0.95</v>
      </c>
      <c r="R33" s="7">
        <v>11</v>
      </c>
      <c r="S33" s="7">
        <v>100</v>
      </c>
      <c r="T33" s="16">
        <f t="shared" si="1"/>
        <v>33</v>
      </c>
      <c r="U33" s="7">
        <v>98</v>
      </c>
      <c r="V33" s="16">
        <f t="shared" si="2"/>
        <v>3234</v>
      </c>
      <c r="W33" s="7">
        <v>3</v>
      </c>
      <c r="X33" s="15" t="s">
        <v>46</v>
      </c>
      <c r="Y33" s="54" t="s">
        <v>47</v>
      </c>
      <c r="Z33" s="54" t="s">
        <v>90</v>
      </c>
      <c r="AA33" s="54" t="s">
        <v>40</v>
      </c>
      <c r="AB33" s="39" t="s">
        <v>160</v>
      </c>
    </row>
    <row r="34" spans="1:44" x14ac:dyDescent="0.15">
      <c r="A34" s="15" t="s">
        <v>156</v>
      </c>
      <c r="B34" s="15" t="s">
        <v>157</v>
      </c>
      <c r="C34" s="15">
        <v>2019</v>
      </c>
      <c r="D34" s="37" t="s">
        <v>158</v>
      </c>
      <c r="E34" s="7" t="s">
        <v>165</v>
      </c>
      <c r="F34" s="7" t="s">
        <v>166</v>
      </c>
      <c r="G34" s="7" t="s">
        <v>36</v>
      </c>
      <c r="H34" s="15" t="s">
        <v>127</v>
      </c>
      <c r="I34" s="7" t="s">
        <v>161</v>
      </c>
      <c r="J34" s="15" t="s">
        <v>58</v>
      </c>
      <c r="K34" s="7" t="s">
        <v>59</v>
      </c>
      <c r="L34" s="7">
        <v>3</v>
      </c>
      <c r="N34" s="7">
        <v>1</v>
      </c>
      <c r="O34" s="7">
        <v>1.1000000000000001</v>
      </c>
      <c r="P34" s="7">
        <v>1.1000000000000001</v>
      </c>
      <c r="Q34" s="52">
        <f t="shared" si="0"/>
        <v>1.1000000000000001</v>
      </c>
      <c r="R34" s="7">
        <v>13</v>
      </c>
      <c r="S34" s="7">
        <v>99</v>
      </c>
      <c r="T34" s="16">
        <f t="shared" si="1"/>
        <v>33</v>
      </c>
      <c r="U34" s="7">
        <v>98</v>
      </c>
      <c r="V34" s="16">
        <f t="shared" si="2"/>
        <v>3234</v>
      </c>
      <c r="W34" s="7">
        <v>3</v>
      </c>
      <c r="X34" s="15" t="s">
        <v>46</v>
      </c>
      <c r="Y34" s="54" t="s">
        <v>47</v>
      </c>
      <c r="Z34" s="54" t="s">
        <v>90</v>
      </c>
      <c r="AA34" s="54" t="s">
        <v>40</v>
      </c>
      <c r="AB34" s="39" t="s">
        <v>160</v>
      </c>
    </row>
    <row r="35" spans="1:44" x14ac:dyDescent="0.15">
      <c r="A35" s="15" t="s">
        <v>156</v>
      </c>
      <c r="B35" s="15" t="s">
        <v>157</v>
      </c>
      <c r="C35" s="15">
        <v>2019</v>
      </c>
      <c r="D35" s="37" t="s">
        <v>158</v>
      </c>
      <c r="E35" s="7" t="s">
        <v>165</v>
      </c>
      <c r="F35" s="7" t="s">
        <v>166</v>
      </c>
      <c r="G35" s="7" t="s">
        <v>36</v>
      </c>
      <c r="H35" s="15" t="s">
        <v>162</v>
      </c>
      <c r="I35" s="7" t="s">
        <v>161</v>
      </c>
      <c r="J35" s="15" t="s">
        <v>38</v>
      </c>
      <c r="K35" s="7" t="s">
        <v>163</v>
      </c>
      <c r="L35" s="7">
        <v>1</v>
      </c>
      <c r="N35" s="7">
        <v>4</v>
      </c>
      <c r="O35" s="7">
        <v>0.55000000000000004</v>
      </c>
      <c r="P35" s="7">
        <v>0.55000000000000004</v>
      </c>
      <c r="Q35" s="52">
        <f t="shared" si="0"/>
        <v>0.55000000000000004</v>
      </c>
      <c r="R35" s="7">
        <v>18.600000000000001</v>
      </c>
      <c r="S35" s="7">
        <v>103</v>
      </c>
      <c r="T35" s="16">
        <f t="shared" si="1"/>
        <v>33</v>
      </c>
      <c r="U35" s="7">
        <v>498</v>
      </c>
      <c r="V35" s="16">
        <f t="shared" si="2"/>
        <v>4108.5</v>
      </c>
      <c r="W35" s="7">
        <v>4</v>
      </c>
      <c r="X35" s="15" t="s">
        <v>46</v>
      </c>
      <c r="Y35" s="54" t="s">
        <v>47</v>
      </c>
      <c r="Z35" s="54" t="s">
        <v>90</v>
      </c>
      <c r="AA35" s="54" t="s">
        <v>40</v>
      </c>
      <c r="AB35" s="39" t="s">
        <v>160</v>
      </c>
      <c r="AP35" s="28"/>
      <c r="AR35" s="28"/>
    </row>
    <row r="36" spans="1:44" x14ac:dyDescent="0.15">
      <c r="A36" s="15" t="s">
        <v>156</v>
      </c>
      <c r="B36" s="15" t="s">
        <v>157</v>
      </c>
      <c r="C36" s="15">
        <v>2019</v>
      </c>
      <c r="D36" s="37" t="s">
        <v>158</v>
      </c>
      <c r="E36" s="7" t="s">
        <v>165</v>
      </c>
      <c r="F36" s="7" t="s">
        <v>166</v>
      </c>
      <c r="G36" s="7" t="s">
        <v>36</v>
      </c>
      <c r="H36" s="15" t="s">
        <v>162</v>
      </c>
      <c r="I36" s="7" t="s">
        <v>161</v>
      </c>
      <c r="J36" s="15" t="s">
        <v>38</v>
      </c>
      <c r="K36" s="7" t="s">
        <v>163</v>
      </c>
      <c r="L36" s="7">
        <v>2</v>
      </c>
      <c r="N36" s="7">
        <v>4</v>
      </c>
      <c r="O36" s="7">
        <v>0.7</v>
      </c>
      <c r="P36" s="7">
        <v>0.65</v>
      </c>
      <c r="Q36" s="52">
        <f t="shared" si="0"/>
        <v>0.67500000000000004</v>
      </c>
      <c r="R36" s="7">
        <v>18.399999999999999</v>
      </c>
      <c r="S36" s="7">
        <v>96</v>
      </c>
      <c r="T36" s="16">
        <f t="shared" si="1"/>
        <v>36</v>
      </c>
      <c r="U36" s="7">
        <v>498</v>
      </c>
      <c r="V36" s="16">
        <f t="shared" si="2"/>
        <v>4482</v>
      </c>
      <c r="W36" s="7">
        <v>4</v>
      </c>
      <c r="X36" s="15" t="s">
        <v>46</v>
      </c>
      <c r="Y36" s="54" t="s">
        <v>47</v>
      </c>
      <c r="Z36" s="54" t="s">
        <v>90</v>
      </c>
      <c r="AA36" s="54" t="s">
        <v>40</v>
      </c>
      <c r="AB36" s="39" t="s">
        <v>160</v>
      </c>
    </row>
    <row r="37" spans="1:44" x14ac:dyDescent="0.15">
      <c r="A37" s="15" t="s">
        <v>156</v>
      </c>
      <c r="B37" s="15" t="s">
        <v>157</v>
      </c>
      <c r="C37" s="15">
        <v>2019</v>
      </c>
      <c r="D37" s="37" t="s">
        <v>158</v>
      </c>
      <c r="E37" s="7" t="s">
        <v>165</v>
      </c>
      <c r="F37" s="7" t="s">
        <v>166</v>
      </c>
      <c r="G37" s="7" t="s">
        <v>36</v>
      </c>
      <c r="H37" s="15" t="s">
        <v>162</v>
      </c>
      <c r="I37" s="7" t="s">
        <v>161</v>
      </c>
      <c r="J37" s="15" t="s">
        <v>38</v>
      </c>
      <c r="K37" s="7" t="s">
        <v>163</v>
      </c>
      <c r="L37" s="7">
        <v>3</v>
      </c>
      <c r="N37" s="7">
        <v>4</v>
      </c>
      <c r="O37" s="34">
        <v>0.6</v>
      </c>
      <c r="P37" s="34">
        <v>0.7</v>
      </c>
      <c r="Q37" s="52">
        <f t="shared" si="0"/>
        <v>0.64999999999999991</v>
      </c>
      <c r="R37" s="7">
        <v>18</v>
      </c>
      <c r="S37" s="7">
        <v>100</v>
      </c>
      <c r="T37" s="16">
        <f t="shared" si="1"/>
        <v>33</v>
      </c>
      <c r="U37" s="7">
        <v>498</v>
      </c>
      <c r="V37" s="16">
        <f t="shared" si="2"/>
        <v>4108.5</v>
      </c>
      <c r="W37" s="7">
        <v>4</v>
      </c>
      <c r="X37" s="15" t="s">
        <v>46</v>
      </c>
      <c r="Y37" s="54" t="s">
        <v>47</v>
      </c>
      <c r="Z37" s="54" t="s">
        <v>90</v>
      </c>
      <c r="AA37" s="54" t="s">
        <v>40</v>
      </c>
      <c r="AB37" s="39" t="s">
        <v>160</v>
      </c>
    </row>
    <row r="38" spans="1:44" x14ac:dyDescent="0.15">
      <c r="A38" s="15" t="s">
        <v>156</v>
      </c>
      <c r="B38" s="15" t="s">
        <v>157</v>
      </c>
      <c r="C38" s="15">
        <v>2019</v>
      </c>
      <c r="D38" s="37" t="s">
        <v>158</v>
      </c>
      <c r="E38" s="7" t="s">
        <v>130</v>
      </c>
      <c r="F38" s="7" t="s">
        <v>146</v>
      </c>
      <c r="G38" s="7" t="s">
        <v>36</v>
      </c>
      <c r="H38" s="15" t="s">
        <v>127</v>
      </c>
      <c r="I38" s="7" t="s">
        <v>161</v>
      </c>
      <c r="J38" s="15" t="s">
        <v>53</v>
      </c>
      <c r="K38" s="7" t="s">
        <v>54</v>
      </c>
      <c r="L38" s="7">
        <v>1</v>
      </c>
      <c r="N38" s="7">
        <v>4</v>
      </c>
      <c r="O38" s="34">
        <v>0.75</v>
      </c>
      <c r="P38" s="34">
        <v>0.6</v>
      </c>
      <c r="Q38" s="52">
        <f t="shared" si="0"/>
        <v>0.67500000000000004</v>
      </c>
      <c r="R38" s="7">
        <v>13.2</v>
      </c>
      <c r="S38" s="7">
        <v>68</v>
      </c>
      <c r="T38" s="16">
        <f t="shared" si="1"/>
        <v>50</v>
      </c>
      <c r="U38" s="7">
        <v>318</v>
      </c>
      <c r="V38" s="16">
        <f t="shared" si="2"/>
        <v>3975</v>
      </c>
      <c r="W38" s="7">
        <v>6</v>
      </c>
      <c r="X38" s="15" t="s">
        <v>46</v>
      </c>
      <c r="Y38" s="15" t="s">
        <v>40</v>
      </c>
      <c r="Z38" s="15" t="s">
        <v>55</v>
      </c>
      <c r="AA38" s="15" t="s">
        <v>47</v>
      </c>
      <c r="AB38" s="39" t="s">
        <v>160</v>
      </c>
    </row>
    <row r="39" spans="1:44" x14ac:dyDescent="0.15">
      <c r="A39" s="15" t="s">
        <v>156</v>
      </c>
      <c r="B39" s="15" t="s">
        <v>157</v>
      </c>
      <c r="C39" s="15">
        <v>2019</v>
      </c>
      <c r="D39" s="37" t="s">
        <v>158</v>
      </c>
      <c r="E39" s="7" t="s">
        <v>130</v>
      </c>
      <c r="F39" s="7" t="s">
        <v>146</v>
      </c>
      <c r="G39" s="7" t="s">
        <v>36</v>
      </c>
      <c r="H39" s="15" t="s">
        <v>127</v>
      </c>
      <c r="I39" s="7" t="s">
        <v>161</v>
      </c>
      <c r="J39" s="15" t="s">
        <v>53</v>
      </c>
      <c r="K39" s="7" t="s">
        <v>54</v>
      </c>
      <c r="L39" s="7">
        <v>2</v>
      </c>
      <c r="N39" s="7">
        <v>4</v>
      </c>
      <c r="O39" s="7">
        <v>0.5</v>
      </c>
      <c r="P39" s="7">
        <v>0.55000000000000004</v>
      </c>
      <c r="Q39" s="52">
        <f t="shared" si="0"/>
        <v>0.52500000000000002</v>
      </c>
      <c r="R39" s="34">
        <v>13.3</v>
      </c>
      <c r="S39" s="7">
        <v>66</v>
      </c>
      <c r="T39" s="16">
        <f t="shared" si="1"/>
        <v>50</v>
      </c>
      <c r="U39" s="7">
        <v>318</v>
      </c>
      <c r="V39" s="16">
        <f t="shared" si="2"/>
        <v>3975</v>
      </c>
      <c r="W39" s="7">
        <v>6</v>
      </c>
      <c r="X39" s="15" t="s">
        <v>46</v>
      </c>
      <c r="Y39" s="54" t="s">
        <v>40</v>
      </c>
      <c r="Z39" s="54" t="s">
        <v>55</v>
      </c>
      <c r="AA39" s="54" t="s">
        <v>47</v>
      </c>
      <c r="AB39" s="39" t="s">
        <v>160</v>
      </c>
    </row>
    <row r="40" spans="1:44" x14ac:dyDescent="0.15">
      <c r="A40" s="15" t="s">
        <v>156</v>
      </c>
      <c r="B40" s="15" t="s">
        <v>157</v>
      </c>
      <c r="C40" s="15">
        <v>2019</v>
      </c>
      <c r="D40" s="37" t="s">
        <v>158</v>
      </c>
      <c r="E40" s="7" t="s">
        <v>130</v>
      </c>
      <c r="F40" s="7" t="s">
        <v>146</v>
      </c>
      <c r="G40" s="7" t="s">
        <v>36</v>
      </c>
      <c r="H40" s="15" t="s">
        <v>127</v>
      </c>
      <c r="I40" s="7" t="s">
        <v>161</v>
      </c>
      <c r="J40" s="15" t="s">
        <v>53</v>
      </c>
      <c r="K40" s="7" t="s">
        <v>54</v>
      </c>
      <c r="L40" s="7">
        <v>3</v>
      </c>
      <c r="N40" s="7">
        <v>4</v>
      </c>
      <c r="O40" s="7">
        <v>0.7</v>
      </c>
      <c r="P40" s="7">
        <v>0.65</v>
      </c>
      <c r="Q40" s="52">
        <f t="shared" si="0"/>
        <v>0.67500000000000004</v>
      </c>
      <c r="R40" s="7">
        <v>14.1</v>
      </c>
      <c r="S40" s="7">
        <v>67</v>
      </c>
      <c r="T40" s="16">
        <f t="shared" si="1"/>
        <v>50</v>
      </c>
      <c r="U40" s="7">
        <v>318</v>
      </c>
      <c r="V40" s="16">
        <f t="shared" si="2"/>
        <v>3975</v>
      </c>
      <c r="W40" s="7">
        <v>6</v>
      </c>
      <c r="X40" s="15" t="s">
        <v>46</v>
      </c>
      <c r="Y40" s="54" t="s">
        <v>40</v>
      </c>
      <c r="Z40" s="54" t="s">
        <v>55</v>
      </c>
      <c r="AA40" s="54" t="s">
        <v>47</v>
      </c>
      <c r="AB40" s="39" t="s">
        <v>160</v>
      </c>
    </row>
    <row r="41" spans="1:44" ht="12.75" customHeight="1" x14ac:dyDescent="0.15">
      <c r="A41" s="15" t="s">
        <v>156</v>
      </c>
      <c r="B41" s="15" t="s">
        <v>157</v>
      </c>
      <c r="C41" s="15">
        <v>2019</v>
      </c>
      <c r="D41" s="37" t="s">
        <v>158</v>
      </c>
      <c r="E41" s="7" t="s">
        <v>130</v>
      </c>
      <c r="F41" s="7" t="s">
        <v>146</v>
      </c>
      <c r="G41" s="7" t="s">
        <v>36</v>
      </c>
      <c r="H41" s="15" t="s">
        <v>162</v>
      </c>
      <c r="I41" s="7" t="s">
        <v>161</v>
      </c>
      <c r="J41" s="15" t="s">
        <v>38</v>
      </c>
      <c r="K41" s="7" t="s">
        <v>163</v>
      </c>
      <c r="L41" s="7">
        <v>1</v>
      </c>
      <c r="N41" s="7">
        <v>1</v>
      </c>
      <c r="O41" s="7">
        <v>0.7</v>
      </c>
      <c r="P41" s="7">
        <v>0.65</v>
      </c>
      <c r="Q41" s="52">
        <f t="shared" si="0"/>
        <v>0.67500000000000004</v>
      </c>
      <c r="R41" s="7">
        <v>15.7</v>
      </c>
      <c r="S41" s="7">
        <v>131</v>
      </c>
      <c r="T41" s="16">
        <f t="shared" si="1"/>
        <v>25</v>
      </c>
      <c r="U41" s="7">
        <v>105</v>
      </c>
      <c r="V41" s="16">
        <f t="shared" si="2"/>
        <v>2625</v>
      </c>
      <c r="W41" s="7">
        <v>13</v>
      </c>
      <c r="X41" s="15" t="s">
        <v>46</v>
      </c>
      <c r="Y41" s="54" t="s">
        <v>40</v>
      </c>
      <c r="Z41" s="54" t="s">
        <v>55</v>
      </c>
      <c r="AA41" s="54" t="s">
        <v>47</v>
      </c>
      <c r="AB41" s="39" t="s">
        <v>160</v>
      </c>
    </row>
    <row r="42" spans="1:44" x14ac:dyDescent="0.15">
      <c r="A42" s="15" t="s">
        <v>156</v>
      </c>
      <c r="B42" s="15" t="s">
        <v>157</v>
      </c>
      <c r="C42" s="15">
        <v>2019</v>
      </c>
      <c r="D42" s="37" t="s">
        <v>158</v>
      </c>
      <c r="E42" s="7" t="s">
        <v>130</v>
      </c>
      <c r="F42" s="7" t="s">
        <v>146</v>
      </c>
      <c r="G42" s="7" t="s">
        <v>36</v>
      </c>
      <c r="H42" s="54" t="s">
        <v>162</v>
      </c>
      <c r="I42" s="7" t="s">
        <v>161</v>
      </c>
      <c r="J42" s="15" t="s">
        <v>38</v>
      </c>
      <c r="K42" s="7" t="s">
        <v>163</v>
      </c>
      <c r="L42" s="7">
        <v>2</v>
      </c>
      <c r="N42" s="7">
        <v>1</v>
      </c>
      <c r="O42" s="7">
        <v>0.8</v>
      </c>
      <c r="P42" s="7">
        <v>0.65</v>
      </c>
      <c r="Q42" s="52">
        <f t="shared" si="0"/>
        <v>0.72500000000000009</v>
      </c>
      <c r="R42" s="7">
        <v>20.399999999999999</v>
      </c>
      <c r="S42" s="7">
        <v>130</v>
      </c>
      <c r="T42" s="16">
        <f t="shared" si="1"/>
        <v>25</v>
      </c>
      <c r="U42" s="7">
        <v>105</v>
      </c>
      <c r="V42" s="16">
        <f t="shared" si="2"/>
        <v>2625</v>
      </c>
      <c r="W42" s="7">
        <v>13</v>
      </c>
      <c r="X42" s="15" t="s">
        <v>46</v>
      </c>
      <c r="Y42" s="54" t="s">
        <v>40</v>
      </c>
      <c r="Z42" s="54" t="s">
        <v>55</v>
      </c>
      <c r="AA42" s="54" t="s">
        <v>47</v>
      </c>
      <c r="AB42" s="39" t="s">
        <v>160</v>
      </c>
    </row>
    <row r="43" spans="1:44" x14ac:dyDescent="0.15">
      <c r="A43" s="15" t="s">
        <v>156</v>
      </c>
      <c r="B43" s="15" t="s">
        <v>157</v>
      </c>
      <c r="C43" s="15">
        <v>2019</v>
      </c>
      <c r="D43" s="37" t="s">
        <v>158</v>
      </c>
      <c r="E43" s="7" t="s">
        <v>130</v>
      </c>
      <c r="F43" s="7" t="s">
        <v>146</v>
      </c>
      <c r="G43" s="7" t="s">
        <v>36</v>
      </c>
      <c r="H43" s="54" t="s">
        <v>162</v>
      </c>
      <c r="I43" s="7" t="s">
        <v>161</v>
      </c>
      <c r="J43" s="15" t="s">
        <v>38</v>
      </c>
      <c r="K43" s="7" t="s">
        <v>163</v>
      </c>
      <c r="L43" s="7">
        <v>3</v>
      </c>
      <c r="N43" s="7">
        <v>1</v>
      </c>
      <c r="O43" s="7">
        <v>0.75</v>
      </c>
      <c r="P43" s="7">
        <v>0.8</v>
      </c>
      <c r="Q43" s="52">
        <f t="shared" si="0"/>
        <v>0.77500000000000002</v>
      </c>
      <c r="R43" s="7">
        <v>15.1</v>
      </c>
      <c r="S43" s="7">
        <v>124</v>
      </c>
      <c r="T43" s="16">
        <f t="shared" si="1"/>
        <v>27</v>
      </c>
      <c r="U43" s="7">
        <v>105</v>
      </c>
      <c r="V43" s="16">
        <f t="shared" si="2"/>
        <v>2835</v>
      </c>
      <c r="W43" s="7">
        <v>13</v>
      </c>
      <c r="X43" s="15" t="s">
        <v>46</v>
      </c>
      <c r="Y43" s="54" t="s">
        <v>40</v>
      </c>
      <c r="Z43" s="54" t="s">
        <v>55</v>
      </c>
      <c r="AA43" s="54" t="s">
        <v>47</v>
      </c>
      <c r="AB43" s="39" t="s">
        <v>160</v>
      </c>
    </row>
    <row r="44" spans="1:44" x14ac:dyDescent="0.15">
      <c r="A44" s="15" t="s">
        <v>156</v>
      </c>
      <c r="B44" s="15" t="s">
        <v>157</v>
      </c>
      <c r="C44" s="15">
        <v>2019</v>
      </c>
      <c r="D44" s="37" t="s">
        <v>158</v>
      </c>
      <c r="E44" s="7" t="s">
        <v>132</v>
      </c>
      <c r="F44" s="7" t="s">
        <v>147</v>
      </c>
      <c r="G44" s="7" t="s">
        <v>36</v>
      </c>
      <c r="H44" s="15" t="s">
        <v>167</v>
      </c>
      <c r="I44" s="7" t="s">
        <v>161</v>
      </c>
      <c r="J44" s="15" t="s">
        <v>38</v>
      </c>
      <c r="K44" s="7" t="s">
        <v>163</v>
      </c>
      <c r="L44" s="7">
        <v>1</v>
      </c>
      <c r="N44" s="7">
        <v>1</v>
      </c>
      <c r="O44" s="7">
        <v>1.2</v>
      </c>
      <c r="P44" s="7">
        <v>1.1499999999999999</v>
      </c>
      <c r="Q44" s="52">
        <f t="shared" si="0"/>
        <v>1.1749999999999998</v>
      </c>
      <c r="R44" s="7">
        <v>13.2</v>
      </c>
      <c r="S44" s="7">
        <v>101</v>
      </c>
      <c r="T44" s="16">
        <f t="shared" si="1"/>
        <v>33</v>
      </c>
      <c r="U44" s="7">
        <v>99</v>
      </c>
      <c r="V44" s="16">
        <f t="shared" si="2"/>
        <v>3267</v>
      </c>
      <c r="W44" s="7">
        <v>2</v>
      </c>
      <c r="X44" s="15" t="s">
        <v>46</v>
      </c>
      <c r="Y44" s="54" t="s">
        <v>40</v>
      </c>
      <c r="Z44" s="54" t="s">
        <v>55</v>
      </c>
      <c r="AA44" s="15" t="s">
        <v>90</v>
      </c>
      <c r="AB44" s="39" t="s">
        <v>160</v>
      </c>
    </row>
    <row r="45" spans="1:44" x14ac:dyDescent="0.15">
      <c r="A45" s="15" t="s">
        <v>156</v>
      </c>
      <c r="B45" s="15" t="s">
        <v>157</v>
      </c>
      <c r="C45" s="15">
        <v>2019</v>
      </c>
      <c r="D45" s="37" t="s">
        <v>158</v>
      </c>
      <c r="E45" s="7" t="s">
        <v>132</v>
      </c>
      <c r="F45" s="7" t="s">
        <v>147</v>
      </c>
      <c r="G45" s="7" t="s">
        <v>36</v>
      </c>
      <c r="H45" s="15" t="s">
        <v>167</v>
      </c>
      <c r="I45" s="7" t="s">
        <v>161</v>
      </c>
      <c r="J45" s="15" t="s">
        <v>38</v>
      </c>
      <c r="K45" s="7" t="s">
        <v>163</v>
      </c>
      <c r="L45" s="7">
        <v>2</v>
      </c>
      <c r="N45" s="7">
        <v>1</v>
      </c>
      <c r="O45" s="7">
        <v>1.7</v>
      </c>
      <c r="P45" s="7">
        <v>1.65</v>
      </c>
      <c r="Q45" s="52">
        <f t="shared" si="0"/>
        <v>1.6749999999999998</v>
      </c>
      <c r="R45" s="7">
        <v>12.6</v>
      </c>
      <c r="S45" s="7">
        <v>97</v>
      </c>
      <c r="T45" s="16">
        <f t="shared" si="1"/>
        <v>36</v>
      </c>
      <c r="U45" s="7">
        <v>99</v>
      </c>
      <c r="V45" s="16">
        <f t="shared" si="2"/>
        <v>3564</v>
      </c>
      <c r="W45" s="7">
        <v>2</v>
      </c>
      <c r="X45" s="15" t="s">
        <v>46</v>
      </c>
      <c r="Y45" s="54" t="s">
        <v>40</v>
      </c>
      <c r="Z45" s="54" t="s">
        <v>55</v>
      </c>
      <c r="AA45" s="54" t="s">
        <v>90</v>
      </c>
      <c r="AB45" s="39" t="s">
        <v>160</v>
      </c>
    </row>
    <row r="46" spans="1:44" x14ac:dyDescent="0.15">
      <c r="A46" s="15" t="s">
        <v>156</v>
      </c>
      <c r="B46" s="15" t="s">
        <v>157</v>
      </c>
      <c r="C46" s="15">
        <v>2019</v>
      </c>
      <c r="D46" s="37" t="s">
        <v>158</v>
      </c>
      <c r="E46" s="7" t="s">
        <v>132</v>
      </c>
      <c r="F46" s="7" t="s">
        <v>147</v>
      </c>
      <c r="G46" s="7" t="s">
        <v>36</v>
      </c>
      <c r="H46" s="15" t="s">
        <v>167</v>
      </c>
      <c r="I46" s="7" t="s">
        <v>161</v>
      </c>
      <c r="J46" s="15" t="s">
        <v>38</v>
      </c>
      <c r="K46" s="7" t="s">
        <v>163</v>
      </c>
      <c r="L46" s="7">
        <v>3</v>
      </c>
      <c r="N46" s="7">
        <v>1</v>
      </c>
      <c r="O46" s="7">
        <v>1.25</v>
      </c>
      <c r="P46" s="34">
        <v>1.2</v>
      </c>
      <c r="Q46" s="52">
        <f t="shared" si="0"/>
        <v>1.2250000000000001</v>
      </c>
      <c r="R46" s="7">
        <v>15.5</v>
      </c>
      <c r="S46" s="7">
        <v>99</v>
      </c>
      <c r="T46" s="16">
        <f t="shared" si="1"/>
        <v>33</v>
      </c>
      <c r="U46" s="7">
        <v>99</v>
      </c>
      <c r="V46" s="16">
        <f t="shared" si="2"/>
        <v>3267</v>
      </c>
      <c r="W46" s="7">
        <v>2</v>
      </c>
      <c r="X46" s="15" t="s">
        <v>46</v>
      </c>
      <c r="Y46" s="54" t="s">
        <v>40</v>
      </c>
      <c r="Z46" s="54" t="s">
        <v>55</v>
      </c>
      <c r="AA46" s="54" t="s">
        <v>90</v>
      </c>
      <c r="AB46" s="39" t="s">
        <v>160</v>
      </c>
    </row>
    <row r="47" spans="1:44" x14ac:dyDescent="0.15">
      <c r="A47" s="15" t="s">
        <v>156</v>
      </c>
      <c r="B47" s="15" t="s">
        <v>157</v>
      </c>
      <c r="C47" s="15">
        <v>2019</v>
      </c>
      <c r="D47" s="37" t="s">
        <v>158</v>
      </c>
      <c r="E47" s="7" t="s">
        <v>132</v>
      </c>
      <c r="F47" s="7" t="s">
        <v>147</v>
      </c>
      <c r="G47" s="7" t="s">
        <v>36</v>
      </c>
      <c r="H47" s="15" t="s">
        <v>162</v>
      </c>
      <c r="I47" s="7" t="s">
        <v>161</v>
      </c>
      <c r="J47" s="15" t="s">
        <v>38</v>
      </c>
      <c r="K47" s="7" t="s">
        <v>163</v>
      </c>
      <c r="L47" s="7">
        <v>1</v>
      </c>
      <c r="N47" s="7">
        <v>1</v>
      </c>
      <c r="O47" s="7">
        <v>0.8</v>
      </c>
      <c r="P47" s="7">
        <v>0.65</v>
      </c>
      <c r="Q47" s="52">
        <f t="shared" si="0"/>
        <v>0.72500000000000009</v>
      </c>
      <c r="R47" s="7">
        <v>16.7</v>
      </c>
      <c r="S47" s="7">
        <v>110</v>
      </c>
      <c r="T47" s="16">
        <f t="shared" si="1"/>
        <v>33</v>
      </c>
      <c r="U47" s="7">
        <v>99</v>
      </c>
      <c r="V47" s="16">
        <f t="shared" si="2"/>
        <v>3267</v>
      </c>
      <c r="W47" s="7">
        <v>6</v>
      </c>
      <c r="X47" s="15" t="s">
        <v>46</v>
      </c>
      <c r="Y47" s="54" t="s">
        <v>40</v>
      </c>
      <c r="Z47" s="54" t="s">
        <v>55</v>
      </c>
      <c r="AA47" s="54" t="s">
        <v>90</v>
      </c>
      <c r="AB47" s="39" t="s">
        <v>160</v>
      </c>
    </row>
    <row r="48" spans="1:44" x14ac:dyDescent="0.15">
      <c r="A48" s="15" t="s">
        <v>156</v>
      </c>
      <c r="B48" s="15" t="s">
        <v>157</v>
      </c>
      <c r="C48" s="15">
        <v>2019</v>
      </c>
      <c r="D48" s="37" t="s">
        <v>158</v>
      </c>
      <c r="E48" s="7" t="s">
        <v>132</v>
      </c>
      <c r="F48" s="7" t="s">
        <v>147</v>
      </c>
      <c r="G48" s="7" t="s">
        <v>36</v>
      </c>
      <c r="H48" s="15" t="s">
        <v>162</v>
      </c>
      <c r="I48" s="7" t="s">
        <v>161</v>
      </c>
      <c r="J48" s="15" t="s">
        <v>38</v>
      </c>
      <c r="K48" s="7" t="s">
        <v>163</v>
      </c>
      <c r="L48" s="7">
        <v>2</v>
      </c>
      <c r="N48" s="7">
        <v>1</v>
      </c>
      <c r="O48" s="7">
        <v>0.8</v>
      </c>
      <c r="P48" s="7">
        <v>0.7</v>
      </c>
      <c r="Q48" s="52">
        <f t="shared" si="0"/>
        <v>0.75</v>
      </c>
      <c r="R48" s="7">
        <v>15.5</v>
      </c>
      <c r="S48" s="7">
        <v>109</v>
      </c>
      <c r="T48" s="16">
        <f t="shared" si="1"/>
        <v>33</v>
      </c>
      <c r="U48" s="7">
        <v>99</v>
      </c>
      <c r="V48" s="16">
        <f t="shared" si="2"/>
        <v>3267</v>
      </c>
      <c r="W48" s="7">
        <v>6</v>
      </c>
      <c r="X48" s="15" t="s">
        <v>46</v>
      </c>
      <c r="Y48" s="54" t="s">
        <v>40</v>
      </c>
      <c r="Z48" s="54" t="s">
        <v>55</v>
      </c>
      <c r="AA48" s="54" t="s">
        <v>90</v>
      </c>
      <c r="AB48" s="39" t="s">
        <v>160</v>
      </c>
    </row>
    <row r="49" spans="1:29" x14ac:dyDescent="0.15">
      <c r="A49" s="15" t="s">
        <v>156</v>
      </c>
      <c r="B49" s="15" t="s">
        <v>157</v>
      </c>
      <c r="C49" s="15">
        <v>2019</v>
      </c>
      <c r="D49" s="37" t="s">
        <v>158</v>
      </c>
      <c r="E49" s="7" t="s">
        <v>132</v>
      </c>
      <c r="F49" s="7" t="s">
        <v>147</v>
      </c>
      <c r="G49" s="7" t="s">
        <v>36</v>
      </c>
      <c r="H49" s="15" t="s">
        <v>162</v>
      </c>
      <c r="I49" s="7" t="s">
        <v>161</v>
      </c>
      <c r="J49" s="15" t="s">
        <v>38</v>
      </c>
      <c r="K49" s="7" t="s">
        <v>163</v>
      </c>
      <c r="L49" s="7">
        <v>3</v>
      </c>
      <c r="N49" s="7">
        <v>1</v>
      </c>
      <c r="O49" s="7">
        <v>0.8</v>
      </c>
      <c r="P49" s="34">
        <v>0.9</v>
      </c>
      <c r="Q49" s="52">
        <f t="shared" si="0"/>
        <v>0.85000000000000009</v>
      </c>
      <c r="R49" s="7">
        <v>17.100000000000001</v>
      </c>
      <c r="S49" s="7">
        <v>108</v>
      </c>
      <c r="T49" s="16">
        <f t="shared" si="1"/>
        <v>33</v>
      </c>
      <c r="U49" s="7">
        <v>99</v>
      </c>
      <c r="V49" s="16">
        <f t="shared" si="2"/>
        <v>3267</v>
      </c>
      <c r="W49" s="7">
        <v>6</v>
      </c>
      <c r="X49" s="15" t="s">
        <v>46</v>
      </c>
      <c r="Y49" s="54" t="s">
        <v>40</v>
      </c>
      <c r="Z49" s="54" t="s">
        <v>55</v>
      </c>
      <c r="AA49" s="54" t="s">
        <v>90</v>
      </c>
      <c r="AB49" s="39" t="s">
        <v>160</v>
      </c>
    </row>
    <row r="50" spans="1:29" x14ac:dyDescent="0.15">
      <c r="A50" s="15" t="s">
        <v>156</v>
      </c>
      <c r="B50" s="15" t="s">
        <v>157</v>
      </c>
      <c r="C50" s="15">
        <v>2019</v>
      </c>
      <c r="D50" s="37" t="s">
        <v>158</v>
      </c>
      <c r="E50" s="7" t="s">
        <v>140</v>
      </c>
      <c r="F50" s="7" t="s">
        <v>148</v>
      </c>
      <c r="G50" s="7" t="s">
        <v>36</v>
      </c>
      <c r="H50" s="15" t="s">
        <v>162</v>
      </c>
      <c r="I50" s="7" t="s">
        <v>161</v>
      </c>
      <c r="J50" s="15" t="s">
        <v>38</v>
      </c>
      <c r="K50" s="7" t="s">
        <v>163</v>
      </c>
      <c r="L50" s="7">
        <v>1</v>
      </c>
      <c r="N50" s="7">
        <v>1</v>
      </c>
      <c r="O50" s="7">
        <v>0.8</v>
      </c>
      <c r="P50" s="7">
        <v>0.85</v>
      </c>
      <c r="Q50" s="52">
        <f t="shared" si="0"/>
        <v>0.82499999999999996</v>
      </c>
      <c r="R50" s="7">
        <v>18.7</v>
      </c>
      <c r="S50" s="7">
        <v>138</v>
      </c>
      <c r="T50" s="16">
        <f t="shared" si="1"/>
        <v>22</v>
      </c>
      <c r="U50" s="7">
        <v>170</v>
      </c>
      <c r="V50" s="16">
        <f t="shared" si="2"/>
        <v>3740</v>
      </c>
      <c r="W50" s="7">
        <v>11</v>
      </c>
      <c r="X50" s="15" t="s">
        <v>46</v>
      </c>
      <c r="Y50" s="54" t="s">
        <v>40</v>
      </c>
      <c r="Z50" s="15" t="s">
        <v>47</v>
      </c>
      <c r="AA50" s="15" t="s">
        <v>90</v>
      </c>
      <c r="AB50" s="39" t="s">
        <v>160</v>
      </c>
    </row>
    <row r="51" spans="1:29" x14ac:dyDescent="0.15">
      <c r="A51" s="15" t="s">
        <v>156</v>
      </c>
      <c r="B51" s="15" t="s">
        <v>157</v>
      </c>
      <c r="C51" s="15">
        <v>2019</v>
      </c>
      <c r="D51" s="37" t="s">
        <v>158</v>
      </c>
      <c r="E51" s="7" t="s">
        <v>140</v>
      </c>
      <c r="F51" s="7" t="s">
        <v>148</v>
      </c>
      <c r="G51" s="7" t="s">
        <v>36</v>
      </c>
      <c r="H51" s="15" t="s">
        <v>162</v>
      </c>
      <c r="I51" s="7" t="s">
        <v>161</v>
      </c>
      <c r="J51" s="15" t="s">
        <v>38</v>
      </c>
      <c r="K51" s="7" t="s">
        <v>163</v>
      </c>
      <c r="L51" s="7">
        <v>2</v>
      </c>
      <c r="N51" s="7">
        <v>1</v>
      </c>
      <c r="O51" s="7">
        <v>0.8</v>
      </c>
      <c r="P51" s="7">
        <v>0.8</v>
      </c>
      <c r="Q51" s="52">
        <f t="shared" si="0"/>
        <v>0.8</v>
      </c>
      <c r="R51" s="7">
        <v>16</v>
      </c>
      <c r="S51" s="7">
        <v>133</v>
      </c>
      <c r="T51" s="16">
        <f t="shared" si="1"/>
        <v>25</v>
      </c>
      <c r="U51" s="7">
        <v>170</v>
      </c>
      <c r="V51" s="16">
        <f t="shared" si="2"/>
        <v>4250</v>
      </c>
      <c r="W51" s="7">
        <v>11</v>
      </c>
      <c r="X51" s="15" t="s">
        <v>46</v>
      </c>
      <c r="Y51" s="54" t="s">
        <v>40</v>
      </c>
      <c r="Z51" s="54" t="s">
        <v>47</v>
      </c>
      <c r="AA51" s="54" t="s">
        <v>90</v>
      </c>
      <c r="AB51" s="39" t="s">
        <v>160</v>
      </c>
    </row>
    <row r="52" spans="1:29" x14ac:dyDescent="0.15">
      <c r="A52" s="15" t="s">
        <v>156</v>
      </c>
      <c r="B52" s="15" t="s">
        <v>157</v>
      </c>
      <c r="C52" s="15">
        <v>2019</v>
      </c>
      <c r="D52" s="37" t="s">
        <v>158</v>
      </c>
      <c r="E52" s="7" t="s">
        <v>140</v>
      </c>
      <c r="F52" s="7" t="s">
        <v>148</v>
      </c>
      <c r="G52" s="7" t="s">
        <v>36</v>
      </c>
      <c r="H52" s="15" t="s">
        <v>162</v>
      </c>
      <c r="I52" s="7" t="s">
        <v>161</v>
      </c>
      <c r="J52" s="15" t="s">
        <v>38</v>
      </c>
      <c r="K52" s="7" t="s">
        <v>163</v>
      </c>
      <c r="L52" s="7">
        <v>3</v>
      </c>
      <c r="N52" s="7">
        <v>1</v>
      </c>
      <c r="O52" s="7">
        <v>0.55000000000000004</v>
      </c>
      <c r="P52" s="7">
        <v>0.5</v>
      </c>
      <c r="Q52" s="52">
        <f t="shared" si="0"/>
        <v>0.52500000000000002</v>
      </c>
      <c r="R52" s="7">
        <v>16.899999999999999</v>
      </c>
      <c r="S52" s="7">
        <v>145</v>
      </c>
      <c r="T52" s="16">
        <f t="shared" si="1"/>
        <v>22</v>
      </c>
      <c r="U52" s="7">
        <v>170</v>
      </c>
      <c r="V52" s="16">
        <f t="shared" si="2"/>
        <v>3740</v>
      </c>
      <c r="W52" s="7">
        <v>11</v>
      </c>
      <c r="X52" s="15" t="s">
        <v>46</v>
      </c>
      <c r="Y52" s="54" t="s">
        <v>40</v>
      </c>
      <c r="Z52" s="54" t="s">
        <v>47</v>
      </c>
      <c r="AA52" s="54" t="s">
        <v>90</v>
      </c>
      <c r="AB52" s="39" t="s">
        <v>160</v>
      </c>
    </row>
    <row r="53" spans="1:29" x14ac:dyDescent="0.15">
      <c r="A53" s="15"/>
      <c r="B53" s="15"/>
      <c r="C53" s="15"/>
      <c r="D53" s="37"/>
      <c r="H53" s="15"/>
      <c r="J53" s="15"/>
      <c r="Q53" s="52" t="str">
        <f t="shared" si="0"/>
        <v/>
      </c>
      <c r="T53" s="16" t="str">
        <f t="shared" si="1"/>
        <v/>
      </c>
      <c r="V53" s="16" t="str">
        <f t="shared" si="2"/>
        <v/>
      </c>
      <c r="X53" s="15"/>
      <c r="Y53" s="15"/>
      <c r="Z53" s="15"/>
      <c r="AA53" s="15"/>
      <c r="AB53" s="39"/>
      <c r="AC53" s="36"/>
    </row>
    <row r="54" spans="1:29" x14ac:dyDescent="0.15">
      <c r="A54" s="15"/>
      <c r="B54" s="15"/>
      <c r="C54" s="15"/>
      <c r="D54" s="37"/>
      <c r="H54" s="15"/>
      <c r="J54" s="15"/>
      <c r="Q54" s="52" t="str">
        <f t="shared" si="0"/>
        <v/>
      </c>
      <c r="T54" s="16" t="str">
        <f t="shared" si="1"/>
        <v/>
      </c>
      <c r="V54" s="16" t="str">
        <f t="shared" si="2"/>
        <v/>
      </c>
      <c r="X54" s="15"/>
      <c r="Y54" s="15"/>
      <c r="Z54" s="15"/>
      <c r="AA54" s="15"/>
      <c r="AB54" s="39"/>
      <c r="AC54" s="36"/>
    </row>
    <row r="55" spans="1:29" x14ac:dyDescent="0.15">
      <c r="A55" s="15"/>
      <c r="B55" s="15"/>
      <c r="C55" s="15"/>
      <c r="D55" s="37"/>
      <c r="H55" s="15"/>
      <c r="J55" s="15"/>
      <c r="Q55" s="52" t="str">
        <f t="shared" si="0"/>
        <v/>
      </c>
      <c r="T55" s="16" t="str">
        <f t="shared" si="1"/>
        <v/>
      </c>
      <c r="V55" s="16" t="str">
        <f t="shared" si="2"/>
        <v/>
      </c>
      <c r="X55" s="15"/>
      <c r="Y55" s="15"/>
      <c r="Z55" s="15"/>
      <c r="AA55" s="15"/>
      <c r="AB55" s="39"/>
      <c r="AC55" s="36"/>
    </row>
    <row r="56" spans="1:29" x14ac:dyDescent="0.15">
      <c r="A56" s="15"/>
      <c r="B56" s="15"/>
      <c r="C56" s="15"/>
      <c r="D56" s="37"/>
      <c r="H56" s="15"/>
      <c r="J56" s="15"/>
      <c r="Q56" s="52" t="str">
        <f t="shared" si="0"/>
        <v/>
      </c>
      <c r="T56" s="16" t="str">
        <f t="shared" si="1"/>
        <v/>
      </c>
      <c r="V56" s="16" t="str">
        <f t="shared" si="2"/>
        <v/>
      </c>
      <c r="X56" s="15"/>
      <c r="Y56" s="15"/>
      <c r="Z56" s="15"/>
      <c r="AA56" s="15"/>
      <c r="AB56" s="39"/>
    </row>
    <row r="57" spans="1:29" x14ac:dyDescent="0.15">
      <c r="A57" s="15"/>
      <c r="B57" s="15"/>
      <c r="C57" s="15"/>
      <c r="D57" s="37"/>
      <c r="H57" s="15"/>
      <c r="J57" s="15"/>
      <c r="Q57" s="52" t="str">
        <f t="shared" si="0"/>
        <v/>
      </c>
      <c r="T57" s="16" t="str">
        <f t="shared" si="1"/>
        <v/>
      </c>
      <c r="V57" s="16" t="str">
        <f t="shared" si="2"/>
        <v/>
      </c>
      <c r="X57" s="15"/>
      <c r="Y57" s="15"/>
      <c r="Z57" s="15"/>
      <c r="AA57" s="15"/>
      <c r="AB57" s="39"/>
    </row>
    <row r="58" spans="1:29" x14ac:dyDescent="0.15">
      <c r="A58" s="15"/>
      <c r="B58" s="15"/>
      <c r="C58" s="15"/>
      <c r="D58" s="37"/>
      <c r="H58" s="15"/>
      <c r="J58" s="15"/>
      <c r="Q58" s="52" t="str">
        <f t="shared" si="0"/>
        <v/>
      </c>
      <c r="T58" s="16" t="str">
        <f t="shared" si="1"/>
        <v/>
      </c>
      <c r="V58" s="16" t="str">
        <f t="shared" si="2"/>
        <v/>
      </c>
      <c r="X58" s="15"/>
      <c r="Y58" s="15"/>
      <c r="Z58" s="15"/>
      <c r="AA58" s="15"/>
      <c r="AB58" s="39"/>
    </row>
    <row r="59" spans="1:29" x14ac:dyDescent="0.15">
      <c r="A59" s="15"/>
      <c r="B59" s="15"/>
      <c r="C59" s="15"/>
      <c r="D59" s="37"/>
      <c r="H59" s="15"/>
      <c r="J59" s="15"/>
      <c r="Q59" s="52" t="str">
        <f t="shared" si="0"/>
        <v/>
      </c>
      <c r="T59" s="16" t="str">
        <f t="shared" si="1"/>
        <v/>
      </c>
      <c r="V59" s="16" t="str">
        <f t="shared" si="2"/>
        <v/>
      </c>
      <c r="X59" s="15"/>
      <c r="Y59" s="15"/>
      <c r="Z59" s="15"/>
      <c r="AA59" s="15"/>
      <c r="AB59" s="39"/>
    </row>
    <row r="60" spans="1:29" x14ac:dyDescent="0.15">
      <c r="A60" s="15"/>
      <c r="B60" s="15"/>
      <c r="C60" s="15"/>
      <c r="D60" s="37"/>
      <c r="H60" s="15"/>
      <c r="J60" s="15"/>
      <c r="Q60" s="52" t="str">
        <f t="shared" si="0"/>
        <v/>
      </c>
      <c r="T60" s="16" t="str">
        <f>IF(H60="","",IF(OR(H60="GREEN",H60="GK"),IF(S60&gt;=$AX$2,VLOOKUP(S60,$AX$2:$AY$12,2,1),""),IF(S60&gt;=$AZ$2,VLOOKUP(S60,$AZ$2:$BA$12,2,1),"")))</f>
        <v/>
      </c>
      <c r="V60" s="16" t="str">
        <f t="shared" si="2"/>
        <v/>
      </c>
      <c r="X60" s="15"/>
      <c r="Y60" s="15"/>
      <c r="Z60" s="15"/>
      <c r="AA60" s="15"/>
      <c r="AB60" s="39"/>
    </row>
    <row r="61" spans="1:29" x14ac:dyDescent="0.15">
      <c r="A61" s="15"/>
      <c r="B61" s="15"/>
      <c r="C61" s="15"/>
      <c r="D61" s="37"/>
      <c r="H61" s="15"/>
      <c r="J61" s="15"/>
      <c r="Q61" s="52" t="str">
        <f t="shared" si="0"/>
        <v/>
      </c>
      <c r="T61" s="16" t="str">
        <f>IF(H61="","",IF(OR(H61="GREEN",H61="GK"),IF(S61&gt;=$AX$2,VLOOKUP(S61,$AX$2:$AY$12,2,1),""),IF(S61&gt;=$AZ$2,VLOOKUP(S61,$AZ$2:$BA$12,2,1),"")))</f>
        <v/>
      </c>
      <c r="V61" s="16" t="str">
        <f t="shared" si="2"/>
        <v/>
      </c>
      <c r="X61" s="15"/>
      <c r="Y61" s="15"/>
      <c r="Z61" s="15"/>
      <c r="AA61" s="15"/>
      <c r="AB61" s="39"/>
    </row>
    <row r="62" spans="1:29" x14ac:dyDescent="0.15">
      <c r="A62" s="15"/>
      <c r="B62" s="15"/>
      <c r="C62" s="15"/>
      <c r="D62" s="37"/>
      <c r="H62" s="15"/>
      <c r="J62" s="15"/>
      <c r="Q62" s="52" t="str">
        <f t="shared" si="0"/>
        <v/>
      </c>
      <c r="T62" s="16" t="str">
        <f t="shared" ref="T62:T120" si="3">IF(H62="","",IF(OR(H62="GREEN",H62="GK"),IF(S62&gt;=$AX$2,VLOOKUP(S62,$AX$2:$AY$12,2,1),""),IF(S62&gt;=$AZ$2,VLOOKUP(S62,$AZ$2:$BA$12,2,1),"")))</f>
        <v/>
      </c>
      <c r="V62" s="16" t="str">
        <f t="shared" si="2"/>
        <v/>
      </c>
      <c r="X62" s="15"/>
      <c r="Y62" s="15"/>
      <c r="Z62" s="15"/>
      <c r="AA62" s="15"/>
      <c r="AB62" s="39"/>
    </row>
    <row r="63" spans="1:29" x14ac:dyDescent="0.15">
      <c r="A63" s="15"/>
      <c r="B63" s="15"/>
      <c r="C63" s="15"/>
      <c r="D63" s="37"/>
      <c r="H63" s="15"/>
      <c r="J63" s="15"/>
      <c r="Q63" s="52" t="str">
        <f t="shared" si="0"/>
        <v/>
      </c>
      <c r="T63" s="16" t="str">
        <f t="shared" si="3"/>
        <v/>
      </c>
      <c r="V63" s="16" t="str">
        <f t="shared" si="2"/>
        <v/>
      </c>
      <c r="X63" s="15"/>
      <c r="Y63" s="15"/>
      <c r="Z63" s="15"/>
      <c r="AA63" s="15"/>
      <c r="AB63" s="39"/>
    </row>
    <row r="64" spans="1:29" x14ac:dyDescent="0.15">
      <c r="A64" s="15"/>
      <c r="B64" s="15"/>
      <c r="C64" s="15"/>
      <c r="D64" s="37"/>
      <c r="H64" s="15"/>
      <c r="J64" s="15"/>
      <c r="Q64" s="52" t="str">
        <f t="shared" si="0"/>
        <v/>
      </c>
      <c r="T64" s="16" t="str">
        <f t="shared" si="3"/>
        <v/>
      </c>
      <c r="V64" s="16" t="str">
        <f t="shared" si="2"/>
        <v/>
      </c>
      <c r="X64" s="15"/>
      <c r="Y64" s="15"/>
      <c r="Z64" s="15"/>
      <c r="AA64" s="15"/>
      <c r="AB64" s="39"/>
    </row>
    <row r="65" spans="1:28" x14ac:dyDescent="0.15">
      <c r="A65" s="15"/>
      <c r="B65" s="15"/>
      <c r="C65" s="15"/>
      <c r="D65" s="37"/>
      <c r="H65" s="15"/>
      <c r="J65" s="15"/>
      <c r="Q65" s="52" t="str">
        <f t="shared" si="0"/>
        <v/>
      </c>
      <c r="T65" s="16" t="str">
        <f t="shared" si="3"/>
        <v/>
      </c>
      <c r="V65" s="16" t="str">
        <f t="shared" si="2"/>
        <v/>
      </c>
      <c r="X65" s="15"/>
      <c r="Y65" s="15"/>
      <c r="Z65" s="15"/>
      <c r="AA65" s="15"/>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15"/>
      <c r="Y66" s="15"/>
      <c r="Z66" s="15"/>
      <c r="AA66" s="15"/>
      <c r="AB66" s="39"/>
    </row>
    <row r="67" spans="1:28" x14ac:dyDescent="0.15">
      <c r="A67" s="15"/>
      <c r="B67" s="15"/>
      <c r="C67" s="15"/>
      <c r="D67" s="37"/>
      <c r="H67" s="15"/>
      <c r="J67" s="15"/>
      <c r="Q67" s="52" t="str">
        <f t="shared" si="4"/>
        <v/>
      </c>
      <c r="T67" s="16" t="str">
        <f t="shared" si="3"/>
        <v/>
      </c>
      <c r="V67" s="16" t="str">
        <f t="shared" si="5"/>
        <v/>
      </c>
      <c r="X67" s="15"/>
      <c r="Y67" s="15"/>
      <c r="Z67" s="15"/>
      <c r="AA67" s="15"/>
      <c r="AB67" s="39"/>
    </row>
    <row r="68" spans="1:28" x14ac:dyDescent="0.15">
      <c r="A68" s="15"/>
      <c r="B68" s="15"/>
      <c r="C68" s="15"/>
      <c r="D68" s="37"/>
      <c r="H68" s="15"/>
      <c r="J68" s="15"/>
      <c r="Q68" s="52" t="str">
        <f t="shared" si="4"/>
        <v/>
      </c>
      <c r="T68" s="16" t="str">
        <f t="shared" si="3"/>
        <v/>
      </c>
      <c r="V68" s="16" t="str">
        <f t="shared" si="5"/>
        <v/>
      </c>
      <c r="X68" s="15"/>
      <c r="Y68" s="15"/>
      <c r="Z68" s="15"/>
      <c r="AA68" s="15"/>
      <c r="AB68" s="39"/>
    </row>
    <row r="69" spans="1:28" x14ac:dyDescent="0.15">
      <c r="A69" s="15"/>
      <c r="B69" s="15"/>
      <c r="C69" s="15"/>
      <c r="D69" s="37"/>
      <c r="H69" s="15"/>
      <c r="J69" s="15"/>
      <c r="Q69" s="52" t="str">
        <f t="shared" si="4"/>
        <v/>
      </c>
      <c r="T69" s="16" t="str">
        <f t="shared" si="3"/>
        <v/>
      </c>
      <c r="V69" s="16" t="str">
        <f t="shared" si="5"/>
        <v/>
      </c>
      <c r="X69" s="15"/>
      <c r="Y69" s="15"/>
      <c r="Z69" s="15"/>
      <c r="AA69" s="15"/>
      <c r="AB69" s="39"/>
    </row>
    <row r="70" spans="1:28" x14ac:dyDescent="0.15">
      <c r="A70" s="15"/>
      <c r="B70" s="15"/>
      <c r="C70" s="15"/>
      <c r="D70" s="37"/>
      <c r="H70" s="15"/>
      <c r="J70" s="15"/>
      <c r="Q70" s="52" t="str">
        <f t="shared" si="4"/>
        <v/>
      </c>
      <c r="T70" s="16" t="str">
        <f t="shared" si="3"/>
        <v/>
      </c>
      <c r="V70" s="16" t="str">
        <f t="shared" si="5"/>
        <v/>
      </c>
      <c r="X70" s="15"/>
      <c r="Y70" s="15"/>
      <c r="Z70" s="15"/>
      <c r="AA70" s="15"/>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C597-2CE0-45C0-800E-30ED83A6A6AC}">
  <dimension ref="A1:BA354"/>
  <sheetViews>
    <sheetView zoomScale="70" zoomScaleNormal="70" workbookViewId="0">
      <selection activeCell="AB2" sqref="AB2"/>
    </sheetView>
  </sheetViews>
  <sheetFormatPr defaultColWidth="9" defaultRowHeight="13.5" x14ac:dyDescent="0.15"/>
  <cols>
    <col min="1" max="3" width="9" style="36"/>
    <col min="4" max="4" width="11" style="36" customWidth="1"/>
    <col min="5" max="5" width="10.85546875" style="36" customWidth="1"/>
    <col min="6" max="16" width="9" style="36"/>
    <col min="17" max="17" width="9" style="62"/>
    <col min="18" max="18" width="9" style="36"/>
    <col min="19" max="19" width="11.5703125" style="36" customWidth="1"/>
    <col min="20" max="20" width="9" style="62"/>
    <col min="21" max="21" width="9" style="36"/>
    <col min="22" max="22" width="9" style="92"/>
    <col min="23" max="32" width="9" style="36"/>
    <col min="33" max="33" width="14.42578125" style="36" customWidth="1"/>
    <col min="34" max="34" width="11.42578125" style="36" customWidth="1"/>
    <col min="35" max="16384" width="9" style="36"/>
  </cols>
  <sheetData>
    <row r="1" spans="1:53" ht="45" x14ac:dyDescent="0.15">
      <c r="A1" s="44" t="s">
        <v>0</v>
      </c>
      <c r="B1" s="1" t="s">
        <v>168</v>
      </c>
      <c r="C1" s="1" t="s">
        <v>169</v>
      </c>
      <c r="D1" s="2" t="s">
        <v>3</v>
      </c>
      <c r="E1" s="45" t="s">
        <v>4</v>
      </c>
      <c r="F1" s="45" t="s">
        <v>5</v>
      </c>
      <c r="G1" s="45" t="s">
        <v>6</v>
      </c>
      <c r="H1" s="45" t="s">
        <v>7</v>
      </c>
      <c r="I1" s="45" t="s">
        <v>8</v>
      </c>
      <c r="J1" s="45" t="s">
        <v>9</v>
      </c>
      <c r="K1" s="45" t="s">
        <v>10</v>
      </c>
      <c r="L1" s="2" t="s">
        <v>170</v>
      </c>
      <c r="M1" s="2" t="s">
        <v>171</v>
      </c>
      <c r="N1" s="2" t="s">
        <v>13</v>
      </c>
      <c r="O1" s="2" t="s">
        <v>172</v>
      </c>
      <c r="P1" s="2" t="s">
        <v>173</v>
      </c>
      <c r="Q1" s="55" t="s">
        <v>174</v>
      </c>
      <c r="R1" s="2" t="s">
        <v>175</v>
      </c>
      <c r="S1" s="2" t="s">
        <v>176</v>
      </c>
      <c r="T1" s="55" t="s">
        <v>19</v>
      </c>
      <c r="U1" s="4" t="s">
        <v>108</v>
      </c>
      <c r="V1" s="56" t="s">
        <v>20</v>
      </c>
      <c r="W1" s="2" t="s">
        <v>177</v>
      </c>
      <c r="X1" s="45" t="s">
        <v>22</v>
      </c>
      <c r="Y1" s="45" t="s">
        <v>23</v>
      </c>
      <c r="Z1" s="45" t="s">
        <v>24</v>
      </c>
      <c r="AA1" s="45" t="s">
        <v>25</v>
      </c>
      <c r="AB1" s="46" t="s">
        <v>178</v>
      </c>
      <c r="AE1" s="8" t="s">
        <v>0</v>
      </c>
      <c r="AF1" s="9"/>
      <c r="AG1" s="8" t="s">
        <v>4</v>
      </c>
      <c r="AH1" s="8" t="s">
        <v>5</v>
      </c>
      <c r="AI1" s="9"/>
      <c r="AJ1" s="8" t="s">
        <v>6</v>
      </c>
      <c r="AK1" s="9"/>
      <c r="AL1" s="10" t="s">
        <v>7</v>
      </c>
      <c r="AM1" s="9"/>
      <c r="AN1" s="10" t="s">
        <v>8</v>
      </c>
      <c r="AO1" s="9"/>
      <c r="AP1" s="10" t="s">
        <v>27</v>
      </c>
      <c r="AQ1" s="9"/>
      <c r="AR1" s="10" t="s">
        <v>10</v>
      </c>
      <c r="AS1" s="9"/>
      <c r="AT1" s="11" t="s">
        <v>179</v>
      </c>
      <c r="AU1" s="9"/>
      <c r="AV1" s="10" t="s">
        <v>29</v>
      </c>
      <c r="AX1" s="12" t="s">
        <v>180</v>
      </c>
      <c r="AY1" s="13" t="s">
        <v>181</v>
      </c>
      <c r="AZ1" s="13" t="s">
        <v>182</v>
      </c>
      <c r="BA1" s="14" t="s">
        <v>183</v>
      </c>
    </row>
    <row r="2" spans="1:53" s="57" customFormat="1" x14ac:dyDescent="0.15">
      <c r="A2" s="57" t="s">
        <v>41</v>
      </c>
      <c r="B2" s="58" t="s">
        <v>157</v>
      </c>
      <c r="C2" s="59">
        <v>2019</v>
      </c>
      <c r="D2" s="60" t="s">
        <v>184</v>
      </c>
      <c r="E2" s="36" t="s">
        <v>133</v>
      </c>
      <c r="F2" s="36" t="s">
        <v>185</v>
      </c>
      <c r="G2" s="57" t="s">
        <v>42</v>
      </c>
      <c r="H2" s="57" t="s">
        <v>186</v>
      </c>
      <c r="I2" s="57" t="s">
        <v>161</v>
      </c>
      <c r="J2" s="57" t="s">
        <v>38</v>
      </c>
      <c r="K2" s="57" t="s">
        <v>163</v>
      </c>
      <c r="L2" s="36">
        <v>1</v>
      </c>
      <c r="M2" s="36"/>
      <c r="N2" s="57">
        <v>1</v>
      </c>
      <c r="O2" s="57">
        <v>1.3</v>
      </c>
      <c r="P2" s="57">
        <v>1.2</v>
      </c>
      <c r="Q2" s="61">
        <f t="shared" ref="Q2:Q65" si="0">IF(OR(O2="",P2=""),"",AVERAGE(O2,P2))</f>
        <v>1.25</v>
      </c>
      <c r="R2" s="57">
        <v>15.2</v>
      </c>
      <c r="S2" s="57">
        <v>125</v>
      </c>
      <c r="T2" s="62">
        <f t="shared" ref="T2:T65" si="1">IF(H2="","",IF(OR(H2="GREEN",H2="GK"),IF(S2&gt;=$AX$2,VLOOKUP(S2,$AX$2:$AY$10,2,1),""),IF(S2&gt;=$AZ$2,VLOOKUP(S2,$AZ$2:$BA$10,2,1),"")))</f>
        <v>27</v>
      </c>
      <c r="U2" s="36">
        <v>149</v>
      </c>
      <c r="V2" s="62">
        <f t="shared" ref="V2:V65" si="2">IF(OR(N2="",U2="",T2=""),"",U2/N2*T2)</f>
        <v>4023</v>
      </c>
      <c r="W2" s="36">
        <v>2</v>
      </c>
      <c r="X2" s="57" t="s">
        <v>46</v>
      </c>
      <c r="Y2" s="57" t="s">
        <v>69</v>
      </c>
      <c r="Z2" s="57" t="s">
        <v>55</v>
      </c>
      <c r="AA2" s="57" t="s">
        <v>40</v>
      </c>
      <c r="AB2" s="57" t="s">
        <v>187</v>
      </c>
      <c r="AE2" s="17" t="s">
        <v>35</v>
      </c>
      <c r="AG2" s="63" t="s">
        <v>133</v>
      </c>
      <c r="AH2" s="64" t="s">
        <v>185</v>
      </c>
      <c r="AJ2" s="65" t="s">
        <v>36</v>
      </c>
      <c r="AL2" s="65" t="s">
        <v>188</v>
      </c>
      <c r="AN2" s="65" t="s">
        <v>37</v>
      </c>
      <c r="AP2" s="65" t="s">
        <v>38</v>
      </c>
      <c r="AR2" s="65" t="s">
        <v>163</v>
      </c>
      <c r="AT2" s="65" t="s">
        <v>39</v>
      </c>
      <c r="AV2" s="65" t="s">
        <v>40</v>
      </c>
      <c r="AX2" s="66">
        <v>1</v>
      </c>
      <c r="AY2" s="67">
        <v>50</v>
      </c>
      <c r="AZ2" s="67">
        <v>1</v>
      </c>
      <c r="BA2" s="68">
        <v>50</v>
      </c>
    </row>
    <row r="3" spans="1:53" x14ac:dyDescent="0.15">
      <c r="A3" s="57" t="s">
        <v>41</v>
      </c>
      <c r="B3" s="58" t="s">
        <v>157</v>
      </c>
      <c r="C3" s="59">
        <v>2019</v>
      </c>
      <c r="D3" s="60" t="s">
        <v>184</v>
      </c>
      <c r="E3" s="36" t="s">
        <v>133</v>
      </c>
      <c r="F3" s="36" t="s">
        <v>185</v>
      </c>
      <c r="G3" s="57" t="s">
        <v>42</v>
      </c>
      <c r="H3" s="57" t="s">
        <v>186</v>
      </c>
      <c r="I3" s="57" t="s">
        <v>161</v>
      </c>
      <c r="J3" s="57" t="s">
        <v>38</v>
      </c>
      <c r="K3" s="57" t="s">
        <v>163</v>
      </c>
      <c r="L3" s="36">
        <v>2</v>
      </c>
      <c r="N3" s="57">
        <v>1</v>
      </c>
      <c r="O3" s="57">
        <v>1.5</v>
      </c>
      <c r="P3" s="57">
        <v>1.35</v>
      </c>
      <c r="Q3" s="69">
        <f t="shared" si="0"/>
        <v>1.425</v>
      </c>
      <c r="R3" s="57">
        <v>13.8</v>
      </c>
      <c r="S3" s="57">
        <v>124</v>
      </c>
      <c r="T3" s="62">
        <f t="shared" si="1"/>
        <v>27</v>
      </c>
      <c r="U3" s="36">
        <v>149</v>
      </c>
      <c r="V3" s="62">
        <f t="shared" si="2"/>
        <v>4023</v>
      </c>
      <c r="W3" s="36">
        <v>2</v>
      </c>
      <c r="X3" s="57" t="s">
        <v>46</v>
      </c>
      <c r="Y3" s="57" t="s">
        <v>69</v>
      </c>
      <c r="Z3" s="57" t="s">
        <v>55</v>
      </c>
      <c r="AA3" s="57" t="s">
        <v>40</v>
      </c>
      <c r="AB3" s="57" t="s">
        <v>187</v>
      </c>
      <c r="AE3" s="22" t="s">
        <v>41</v>
      </c>
      <c r="AG3" s="70" t="s">
        <v>189</v>
      </c>
      <c r="AH3" s="70" t="s">
        <v>185</v>
      </c>
      <c r="AJ3" s="71" t="s">
        <v>42</v>
      </c>
      <c r="AL3" s="71" t="s">
        <v>190</v>
      </c>
      <c r="AN3" s="71" t="s">
        <v>43</v>
      </c>
      <c r="AP3" s="71" t="s">
        <v>44</v>
      </c>
      <c r="AR3" s="30" t="s">
        <v>45</v>
      </c>
      <c r="AT3" s="71" t="s">
        <v>46</v>
      </c>
      <c r="AV3" s="71" t="s">
        <v>47</v>
      </c>
      <c r="AX3" s="72">
        <v>72</v>
      </c>
      <c r="AY3" s="73">
        <v>46</v>
      </c>
      <c r="AZ3" s="73">
        <v>71</v>
      </c>
      <c r="BA3" s="74">
        <v>42</v>
      </c>
    </row>
    <row r="4" spans="1:53" x14ac:dyDescent="0.15">
      <c r="A4" s="57" t="s">
        <v>41</v>
      </c>
      <c r="B4" s="58" t="s">
        <v>157</v>
      </c>
      <c r="C4" s="59">
        <v>2019</v>
      </c>
      <c r="D4" s="60" t="s">
        <v>191</v>
      </c>
      <c r="E4" s="36" t="s">
        <v>133</v>
      </c>
      <c r="F4" s="36" t="s">
        <v>185</v>
      </c>
      <c r="G4" s="57" t="s">
        <v>42</v>
      </c>
      <c r="H4" s="57" t="s">
        <v>186</v>
      </c>
      <c r="I4" s="57" t="s">
        <v>161</v>
      </c>
      <c r="J4" s="57" t="s">
        <v>38</v>
      </c>
      <c r="K4" s="57" t="s">
        <v>163</v>
      </c>
      <c r="L4" s="36">
        <v>3</v>
      </c>
      <c r="N4" s="57">
        <v>1</v>
      </c>
      <c r="O4" s="57">
        <v>1.4</v>
      </c>
      <c r="P4" s="57">
        <v>1.4</v>
      </c>
      <c r="Q4" s="75">
        <f t="shared" si="0"/>
        <v>1.4</v>
      </c>
      <c r="R4" s="57">
        <v>14.2</v>
      </c>
      <c r="S4" s="57">
        <v>122</v>
      </c>
      <c r="T4" s="62">
        <f t="shared" si="1"/>
        <v>27</v>
      </c>
      <c r="U4" s="36">
        <v>149</v>
      </c>
      <c r="V4" s="62">
        <f t="shared" si="2"/>
        <v>4023</v>
      </c>
      <c r="W4" s="36">
        <v>2</v>
      </c>
      <c r="X4" s="57" t="s">
        <v>46</v>
      </c>
      <c r="Y4" s="57" t="s">
        <v>69</v>
      </c>
      <c r="Z4" s="57" t="s">
        <v>55</v>
      </c>
      <c r="AA4" s="57" t="s">
        <v>40</v>
      </c>
      <c r="AB4" s="57" t="s">
        <v>187</v>
      </c>
      <c r="AE4" s="22" t="s">
        <v>34</v>
      </c>
      <c r="AG4" s="70" t="s">
        <v>189</v>
      </c>
      <c r="AH4" s="70" t="s">
        <v>192</v>
      </c>
      <c r="AJ4" s="76" t="s">
        <v>48</v>
      </c>
      <c r="AL4" s="76" t="s">
        <v>193</v>
      </c>
      <c r="AN4" s="77" t="s">
        <v>194</v>
      </c>
      <c r="AP4" s="71" t="s">
        <v>195</v>
      </c>
      <c r="AR4" s="30" t="s">
        <v>196</v>
      </c>
      <c r="AT4" s="77"/>
      <c r="AV4" s="71" t="s">
        <v>50</v>
      </c>
      <c r="AX4" s="72">
        <v>75</v>
      </c>
      <c r="AY4" s="73">
        <v>42</v>
      </c>
      <c r="AZ4" s="73">
        <v>76</v>
      </c>
      <c r="BA4" s="74">
        <v>39</v>
      </c>
    </row>
    <row r="5" spans="1:53" s="57" customFormat="1" ht="13.5" customHeight="1" x14ac:dyDescent="0.15">
      <c r="A5" s="57" t="s">
        <v>41</v>
      </c>
      <c r="B5" s="58" t="s">
        <v>157</v>
      </c>
      <c r="C5" s="59">
        <v>2019</v>
      </c>
      <c r="D5" s="60" t="s">
        <v>191</v>
      </c>
      <c r="E5" s="36" t="s">
        <v>133</v>
      </c>
      <c r="F5" s="36" t="s">
        <v>185</v>
      </c>
      <c r="G5" s="57" t="s">
        <v>42</v>
      </c>
      <c r="H5" s="57" t="s">
        <v>162</v>
      </c>
      <c r="I5" s="57" t="s">
        <v>161</v>
      </c>
      <c r="J5" s="57" t="s">
        <v>38</v>
      </c>
      <c r="K5" s="57" t="s">
        <v>163</v>
      </c>
      <c r="L5" s="36">
        <v>1</v>
      </c>
      <c r="M5" s="36"/>
      <c r="N5" s="36">
        <v>1</v>
      </c>
      <c r="O5" s="57">
        <v>0.25</v>
      </c>
      <c r="P5" s="57">
        <v>0.35</v>
      </c>
      <c r="Q5" s="75">
        <f t="shared" si="0"/>
        <v>0.3</v>
      </c>
      <c r="R5" s="57">
        <v>13.5</v>
      </c>
      <c r="S5" s="36">
        <v>124</v>
      </c>
      <c r="T5" s="62">
        <f t="shared" si="1"/>
        <v>27</v>
      </c>
      <c r="U5" s="36">
        <v>149</v>
      </c>
      <c r="V5" s="62">
        <f t="shared" si="2"/>
        <v>4023</v>
      </c>
      <c r="W5" s="36">
        <v>3</v>
      </c>
      <c r="X5" s="57" t="s">
        <v>46</v>
      </c>
      <c r="Y5" s="57" t="s">
        <v>69</v>
      </c>
      <c r="Z5" s="57" t="s">
        <v>55</v>
      </c>
      <c r="AA5" s="57" t="s">
        <v>40</v>
      </c>
      <c r="AB5" s="57" t="s">
        <v>187</v>
      </c>
      <c r="AC5" s="36"/>
      <c r="AD5" s="36"/>
      <c r="AE5" s="78" t="s">
        <v>51</v>
      </c>
      <c r="AG5" s="70" t="s">
        <v>197</v>
      </c>
      <c r="AH5" s="70" t="s">
        <v>185</v>
      </c>
      <c r="AJ5" s="79"/>
      <c r="AL5" s="80" t="s">
        <v>186</v>
      </c>
      <c r="AN5" s="80" t="s">
        <v>161</v>
      </c>
      <c r="AP5" s="30" t="s">
        <v>198</v>
      </c>
      <c r="AR5" s="30" t="s">
        <v>54</v>
      </c>
      <c r="AV5" s="30" t="s">
        <v>55</v>
      </c>
      <c r="AX5" s="81">
        <v>84</v>
      </c>
      <c r="AY5" s="82">
        <v>39</v>
      </c>
      <c r="AZ5" s="82">
        <v>84</v>
      </c>
      <c r="BA5" s="83">
        <v>36</v>
      </c>
    </row>
    <row r="6" spans="1:53" x14ac:dyDescent="0.15">
      <c r="A6" s="57" t="s">
        <v>41</v>
      </c>
      <c r="B6" s="58" t="s">
        <v>157</v>
      </c>
      <c r="C6" s="59">
        <v>2019</v>
      </c>
      <c r="D6" s="60" t="s">
        <v>191</v>
      </c>
      <c r="E6" s="36" t="s">
        <v>133</v>
      </c>
      <c r="F6" s="36" t="s">
        <v>185</v>
      </c>
      <c r="G6" s="57" t="s">
        <v>42</v>
      </c>
      <c r="H6" s="57" t="s">
        <v>162</v>
      </c>
      <c r="I6" s="57" t="s">
        <v>161</v>
      </c>
      <c r="J6" s="57" t="s">
        <v>38</v>
      </c>
      <c r="K6" s="57" t="s">
        <v>163</v>
      </c>
      <c r="L6" s="36">
        <v>2</v>
      </c>
      <c r="N6" s="36">
        <v>1</v>
      </c>
      <c r="O6" s="57">
        <v>0.3</v>
      </c>
      <c r="P6" s="57">
        <v>0.25</v>
      </c>
      <c r="Q6" s="75">
        <f t="shared" si="0"/>
        <v>0.27500000000000002</v>
      </c>
      <c r="R6" s="57">
        <v>15.8</v>
      </c>
      <c r="S6" s="36">
        <v>127</v>
      </c>
      <c r="T6" s="62">
        <f t="shared" si="1"/>
        <v>27</v>
      </c>
      <c r="U6" s="36">
        <v>149</v>
      </c>
      <c r="V6" s="62">
        <f t="shared" si="2"/>
        <v>4023</v>
      </c>
      <c r="W6" s="36">
        <v>3</v>
      </c>
      <c r="X6" s="57" t="s">
        <v>46</v>
      </c>
      <c r="Y6" s="57" t="s">
        <v>69</v>
      </c>
      <c r="Z6" s="57" t="s">
        <v>55</v>
      </c>
      <c r="AA6" s="57" t="s">
        <v>40</v>
      </c>
      <c r="AB6" s="57" t="s">
        <v>187</v>
      </c>
      <c r="AE6" s="22" t="s">
        <v>56</v>
      </c>
      <c r="AG6" s="70" t="s">
        <v>197</v>
      </c>
      <c r="AH6" s="70" t="s">
        <v>199</v>
      </c>
      <c r="AL6" s="80" t="s">
        <v>200</v>
      </c>
      <c r="AN6" s="80" t="s">
        <v>164</v>
      </c>
      <c r="AP6" s="71" t="s">
        <v>53</v>
      </c>
      <c r="AR6" s="30" t="s">
        <v>59</v>
      </c>
      <c r="AV6" s="71" t="s">
        <v>60</v>
      </c>
      <c r="AX6" s="72">
        <v>97</v>
      </c>
      <c r="AY6" s="73">
        <v>36</v>
      </c>
      <c r="AZ6" s="73">
        <v>99</v>
      </c>
      <c r="BA6" s="74">
        <v>33</v>
      </c>
    </row>
    <row r="7" spans="1:53" x14ac:dyDescent="0.15">
      <c r="A7" s="57" t="s">
        <v>41</v>
      </c>
      <c r="B7" s="58" t="s">
        <v>157</v>
      </c>
      <c r="C7" s="59">
        <v>2019</v>
      </c>
      <c r="D7" s="60" t="s">
        <v>191</v>
      </c>
      <c r="E7" s="36" t="s">
        <v>133</v>
      </c>
      <c r="F7" s="36" t="s">
        <v>185</v>
      </c>
      <c r="G7" s="57" t="s">
        <v>42</v>
      </c>
      <c r="H7" s="57" t="s">
        <v>162</v>
      </c>
      <c r="I7" s="57" t="s">
        <v>161</v>
      </c>
      <c r="J7" s="57" t="s">
        <v>38</v>
      </c>
      <c r="K7" s="57" t="s">
        <v>163</v>
      </c>
      <c r="L7" s="36">
        <v>3</v>
      </c>
      <c r="N7" s="36">
        <v>1</v>
      </c>
      <c r="O7" s="57">
        <v>0.45</v>
      </c>
      <c r="P7" s="57">
        <v>0.45</v>
      </c>
      <c r="Q7" s="75">
        <f t="shared" si="0"/>
        <v>0.45</v>
      </c>
      <c r="R7" s="57">
        <v>15.9</v>
      </c>
      <c r="S7" s="36">
        <v>128</v>
      </c>
      <c r="T7" s="62">
        <f t="shared" si="1"/>
        <v>27</v>
      </c>
      <c r="U7" s="36">
        <v>149</v>
      </c>
      <c r="V7" s="62">
        <f t="shared" si="2"/>
        <v>4023</v>
      </c>
      <c r="W7" s="36">
        <v>3</v>
      </c>
      <c r="X7" s="57" t="s">
        <v>46</v>
      </c>
      <c r="Y7" s="57" t="s">
        <v>69</v>
      </c>
      <c r="Z7" s="57" t="s">
        <v>55</v>
      </c>
      <c r="AA7" s="57" t="s">
        <v>40</v>
      </c>
      <c r="AB7" s="57" t="s">
        <v>187</v>
      </c>
      <c r="AE7" s="22" t="s">
        <v>61</v>
      </c>
      <c r="AG7" s="70" t="s">
        <v>201</v>
      </c>
      <c r="AH7" s="70" t="s">
        <v>199</v>
      </c>
      <c r="AL7" s="84" t="s">
        <v>167</v>
      </c>
      <c r="AP7" s="71" t="s">
        <v>58</v>
      </c>
      <c r="AR7" s="30" t="s">
        <v>202</v>
      </c>
      <c r="AV7" s="71" t="s">
        <v>64</v>
      </c>
      <c r="AX7" s="72">
        <v>109</v>
      </c>
      <c r="AY7" s="73">
        <v>33</v>
      </c>
      <c r="AZ7" s="73">
        <v>113</v>
      </c>
      <c r="BA7" s="74">
        <v>30</v>
      </c>
    </row>
    <row r="8" spans="1:53" x14ac:dyDescent="0.15">
      <c r="A8" s="57" t="s">
        <v>41</v>
      </c>
      <c r="B8" s="58" t="s">
        <v>157</v>
      </c>
      <c r="C8" s="59">
        <v>2019</v>
      </c>
      <c r="D8" s="60" t="s">
        <v>191</v>
      </c>
      <c r="E8" s="36" t="s">
        <v>133</v>
      </c>
      <c r="F8" s="36" t="s">
        <v>185</v>
      </c>
      <c r="G8" s="57" t="s">
        <v>42</v>
      </c>
      <c r="H8" s="57" t="s">
        <v>162</v>
      </c>
      <c r="I8" s="57" t="s">
        <v>161</v>
      </c>
      <c r="J8" s="57" t="s">
        <v>38</v>
      </c>
      <c r="K8" s="57" t="s">
        <v>163</v>
      </c>
      <c r="L8" s="57">
        <v>1</v>
      </c>
      <c r="M8" s="57"/>
      <c r="N8" s="57">
        <v>6</v>
      </c>
      <c r="O8" s="57">
        <v>0.65</v>
      </c>
      <c r="P8" s="57">
        <v>0.65</v>
      </c>
      <c r="Q8" s="75">
        <f t="shared" si="0"/>
        <v>0.65</v>
      </c>
      <c r="R8" s="36">
        <v>17.399999999999999</v>
      </c>
      <c r="S8" s="36">
        <v>118</v>
      </c>
      <c r="T8" s="62">
        <f t="shared" si="1"/>
        <v>30</v>
      </c>
      <c r="U8" s="57">
        <v>753</v>
      </c>
      <c r="V8" s="62">
        <f t="shared" si="2"/>
        <v>3765</v>
      </c>
      <c r="W8" s="57">
        <v>2</v>
      </c>
      <c r="X8" s="57" t="s">
        <v>46</v>
      </c>
      <c r="Y8" s="57" t="s">
        <v>69</v>
      </c>
      <c r="Z8" s="57" t="s">
        <v>55</v>
      </c>
      <c r="AA8" s="57" t="s">
        <v>40</v>
      </c>
      <c r="AB8" s="57" t="s">
        <v>187</v>
      </c>
      <c r="AC8" s="57"/>
      <c r="AD8" s="57"/>
      <c r="AE8" s="22" t="s">
        <v>59</v>
      </c>
      <c r="AG8" s="70" t="s">
        <v>203</v>
      </c>
      <c r="AH8" s="70" t="s">
        <v>204</v>
      </c>
      <c r="AL8" s="84" t="s">
        <v>162</v>
      </c>
      <c r="AP8" s="71" t="s">
        <v>62</v>
      </c>
      <c r="AR8" s="30" t="s">
        <v>81</v>
      </c>
      <c r="AV8" s="71" t="s">
        <v>97</v>
      </c>
      <c r="AX8" s="72">
        <v>119</v>
      </c>
      <c r="AY8" s="73">
        <v>30</v>
      </c>
      <c r="AZ8" s="73">
        <v>121</v>
      </c>
      <c r="BA8" s="74">
        <v>27</v>
      </c>
    </row>
    <row r="9" spans="1:53" x14ac:dyDescent="0.15">
      <c r="A9" s="57" t="s">
        <v>41</v>
      </c>
      <c r="B9" s="58" t="s">
        <v>157</v>
      </c>
      <c r="C9" s="59">
        <v>2019</v>
      </c>
      <c r="D9" s="60" t="s">
        <v>191</v>
      </c>
      <c r="E9" s="36" t="s">
        <v>133</v>
      </c>
      <c r="F9" s="36" t="s">
        <v>185</v>
      </c>
      <c r="G9" s="57" t="s">
        <v>42</v>
      </c>
      <c r="H9" s="57" t="s">
        <v>162</v>
      </c>
      <c r="I9" s="57" t="s">
        <v>161</v>
      </c>
      <c r="J9" s="57" t="s">
        <v>38</v>
      </c>
      <c r="K9" s="57" t="s">
        <v>163</v>
      </c>
      <c r="L9" s="36">
        <v>2</v>
      </c>
      <c r="N9" s="57">
        <v>6</v>
      </c>
      <c r="O9" s="57">
        <v>0.45</v>
      </c>
      <c r="P9" s="57">
        <v>0.5</v>
      </c>
      <c r="Q9" s="75">
        <f t="shared" si="0"/>
        <v>0.47499999999999998</v>
      </c>
      <c r="R9" s="36">
        <v>15.9</v>
      </c>
      <c r="S9" s="36">
        <v>115</v>
      </c>
      <c r="T9" s="62">
        <f t="shared" si="1"/>
        <v>30</v>
      </c>
      <c r="U9" s="57">
        <v>753</v>
      </c>
      <c r="V9" s="62">
        <f t="shared" si="2"/>
        <v>3765</v>
      </c>
      <c r="W9" s="36">
        <v>2</v>
      </c>
      <c r="X9" s="57" t="s">
        <v>46</v>
      </c>
      <c r="Y9" s="57" t="s">
        <v>69</v>
      </c>
      <c r="Z9" s="57" t="s">
        <v>55</v>
      </c>
      <c r="AA9" s="57" t="s">
        <v>40</v>
      </c>
      <c r="AB9" s="57" t="s">
        <v>187</v>
      </c>
      <c r="AE9" s="22" t="s">
        <v>205</v>
      </c>
      <c r="AG9" s="70" t="s">
        <v>206</v>
      </c>
      <c r="AH9" s="70" t="s">
        <v>207</v>
      </c>
      <c r="AL9" s="80"/>
      <c r="AP9" s="71" t="s">
        <v>95</v>
      </c>
      <c r="AR9" s="30" t="s">
        <v>208</v>
      </c>
      <c r="AV9" s="71" t="s">
        <v>102</v>
      </c>
      <c r="AX9" s="72">
        <v>128</v>
      </c>
      <c r="AY9" s="73">
        <v>27</v>
      </c>
      <c r="AZ9" s="73">
        <v>129</v>
      </c>
      <c r="BA9" s="74">
        <v>25</v>
      </c>
    </row>
    <row r="10" spans="1:53" x14ac:dyDescent="0.15">
      <c r="A10" s="57" t="s">
        <v>41</v>
      </c>
      <c r="B10" s="58" t="s">
        <v>157</v>
      </c>
      <c r="C10" s="59">
        <v>2019</v>
      </c>
      <c r="D10" s="60" t="s">
        <v>191</v>
      </c>
      <c r="E10" s="36" t="s">
        <v>133</v>
      </c>
      <c r="F10" s="36" t="s">
        <v>185</v>
      </c>
      <c r="G10" s="57" t="s">
        <v>42</v>
      </c>
      <c r="H10" s="57" t="s">
        <v>162</v>
      </c>
      <c r="I10" s="57" t="s">
        <v>161</v>
      </c>
      <c r="J10" s="57" t="s">
        <v>38</v>
      </c>
      <c r="K10" s="57" t="s">
        <v>163</v>
      </c>
      <c r="L10" s="36">
        <v>3</v>
      </c>
      <c r="N10" s="57">
        <v>6</v>
      </c>
      <c r="O10" s="57">
        <v>0.55000000000000004</v>
      </c>
      <c r="P10" s="57">
        <v>0.5</v>
      </c>
      <c r="Q10" s="75">
        <f t="shared" si="0"/>
        <v>0.52500000000000002</v>
      </c>
      <c r="R10" s="36">
        <v>15.2</v>
      </c>
      <c r="S10" s="36">
        <v>119</v>
      </c>
      <c r="T10" s="62">
        <f t="shared" si="1"/>
        <v>30</v>
      </c>
      <c r="U10" s="57">
        <v>753</v>
      </c>
      <c r="V10" s="62">
        <f t="shared" si="2"/>
        <v>3765</v>
      </c>
      <c r="W10" s="36">
        <v>2</v>
      </c>
      <c r="X10" s="57" t="s">
        <v>46</v>
      </c>
      <c r="Y10" s="57" t="s">
        <v>69</v>
      </c>
      <c r="Z10" s="57" t="s">
        <v>55</v>
      </c>
      <c r="AA10" s="57" t="s">
        <v>40</v>
      </c>
      <c r="AB10" s="57" t="s">
        <v>187</v>
      </c>
      <c r="AE10" s="22" t="s">
        <v>209</v>
      </c>
      <c r="AG10" s="70" t="s">
        <v>203</v>
      </c>
      <c r="AH10" s="70" t="s">
        <v>210</v>
      </c>
      <c r="AL10" s="84"/>
      <c r="AP10" s="71" t="s">
        <v>100</v>
      </c>
      <c r="AR10" s="30" t="s">
        <v>211</v>
      </c>
      <c r="AV10" s="71" t="s">
        <v>106</v>
      </c>
      <c r="AX10" s="72">
        <v>138</v>
      </c>
      <c r="AY10" s="73">
        <v>25</v>
      </c>
      <c r="AZ10" s="73">
        <v>138</v>
      </c>
      <c r="BA10" s="74">
        <v>22</v>
      </c>
    </row>
    <row r="11" spans="1:53" x14ac:dyDescent="0.15">
      <c r="A11" s="57" t="s">
        <v>41</v>
      </c>
      <c r="B11" s="58" t="s">
        <v>157</v>
      </c>
      <c r="C11" s="59">
        <v>2019</v>
      </c>
      <c r="D11" s="60" t="s">
        <v>191</v>
      </c>
      <c r="E11" s="36" t="s">
        <v>189</v>
      </c>
      <c r="F11" s="36" t="s">
        <v>185</v>
      </c>
      <c r="G11" s="57" t="s">
        <v>42</v>
      </c>
      <c r="H11" s="57" t="s">
        <v>188</v>
      </c>
      <c r="I11" s="57" t="s">
        <v>161</v>
      </c>
      <c r="J11" s="57" t="s">
        <v>53</v>
      </c>
      <c r="K11" s="57" t="s">
        <v>54</v>
      </c>
      <c r="L11" s="57">
        <v>1</v>
      </c>
      <c r="M11" s="57"/>
      <c r="N11" s="57">
        <v>1</v>
      </c>
      <c r="O11" s="57">
        <v>0.45</v>
      </c>
      <c r="P11" s="57">
        <v>0.5</v>
      </c>
      <c r="Q11" s="75">
        <f t="shared" si="0"/>
        <v>0.47499999999999998</v>
      </c>
      <c r="R11" s="36">
        <v>16.5</v>
      </c>
      <c r="S11" s="36">
        <v>125</v>
      </c>
      <c r="T11" s="62">
        <f t="shared" si="1"/>
        <v>27</v>
      </c>
      <c r="U11" s="57">
        <v>149</v>
      </c>
      <c r="V11" s="62">
        <f t="shared" si="2"/>
        <v>4023</v>
      </c>
      <c r="W11" s="57">
        <v>2</v>
      </c>
      <c r="X11" s="57" t="s">
        <v>46</v>
      </c>
      <c r="Y11" s="57" t="s">
        <v>69</v>
      </c>
      <c r="Z11" s="57" t="s">
        <v>78</v>
      </c>
      <c r="AA11" s="57" t="s">
        <v>55</v>
      </c>
      <c r="AB11" s="57" t="s">
        <v>187</v>
      </c>
      <c r="AE11" s="22" t="s">
        <v>68</v>
      </c>
      <c r="AG11" s="70" t="s">
        <v>212</v>
      </c>
      <c r="AH11" s="70" t="s">
        <v>213</v>
      </c>
      <c r="AL11" s="84"/>
      <c r="AP11" s="71" t="s">
        <v>104</v>
      </c>
      <c r="AR11" s="30" t="s">
        <v>214</v>
      </c>
      <c r="AV11" s="71" t="s">
        <v>69</v>
      </c>
      <c r="AX11" s="72">
        <v>151</v>
      </c>
      <c r="AY11" s="73">
        <v>22</v>
      </c>
      <c r="AZ11" s="73">
        <v>152</v>
      </c>
      <c r="BA11" s="74">
        <v>18</v>
      </c>
    </row>
    <row r="12" spans="1:53" x14ac:dyDescent="0.15">
      <c r="A12" s="57" t="s">
        <v>41</v>
      </c>
      <c r="B12" s="58" t="s">
        <v>157</v>
      </c>
      <c r="C12" s="59">
        <v>2019</v>
      </c>
      <c r="D12" s="60" t="s">
        <v>191</v>
      </c>
      <c r="E12" s="36" t="s">
        <v>189</v>
      </c>
      <c r="F12" s="36" t="s">
        <v>185</v>
      </c>
      <c r="G12" s="57" t="s">
        <v>42</v>
      </c>
      <c r="H12" s="57" t="s">
        <v>188</v>
      </c>
      <c r="I12" s="57" t="s">
        <v>161</v>
      </c>
      <c r="J12" s="57" t="s">
        <v>53</v>
      </c>
      <c r="K12" s="57" t="s">
        <v>54</v>
      </c>
      <c r="L12" s="36">
        <v>2</v>
      </c>
      <c r="N12" s="57">
        <v>1</v>
      </c>
      <c r="O12" s="57">
        <v>0.55000000000000004</v>
      </c>
      <c r="P12" s="57">
        <v>0.6</v>
      </c>
      <c r="Q12" s="75">
        <f t="shared" si="0"/>
        <v>0.57499999999999996</v>
      </c>
      <c r="R12" s="36">
        <v>10.3</v>
      </c>
      <c r="S12" s="36">
        <v>124</v>
      </c>
      <c r="T12" s="62">
        <f t="shared" si="1"/>
        <v>27</v>
      </c>
      <c r="U12" s="57">
        <v>149</v>
      </c>
      <c r="V12" s="62">
        <f t="shared" si="2"/>
        <v>4023</v>
      </c>
      <c r="W12" s="36">
        <v>2</v>
      </c>
      <c r="X12" s="57" t="s">
        <v>46</v>
      </c>
      <c r="Y12" s="57" t="s">
        <v>69</v>
      </c>
      <c r="Z12" s="57" t="s">
        <v>78</v>
      </c>
      <c r="AA12" s="57" t="s">
        <v>55</v>
      </c>
      <c r="AB12" s="57" t="s">
        <v>187</v>
      </c>
      <c r="AE12" s="22" t="s">
        <v>215</v>
      </c>
      <c r="AG12" s="78"/>
      <c r="AH12" s="78"/>
      <c r="AL12" s="84"/>
      <c r="AP12" s="71" t="s">
        <v>67</v>
      </c>
      <c r="AR12" s="30" t="s">
        <v>216</v>
      </c>
      <c r="AV12" s="71" t="s">
        <v>72</v>
      </c>
      <c r="AX12" s="85">
        <v>180</v>
      </c>
      <c r="AY12" s="86">
        <v>18</v>
      </c>
      <c r="AZ12" s="86">
        <v>181</v>
      </c>
      <c r="BA12" s="87">
        <v>16</v>
      </c>
    </row>
    <row r="13" spans="1:53" x14ac:dyDescent="0.15">
      <c r="A13" s="57" t="s">
        <v>41</v>
      </c>
      <c r="B13" s="58" t="s">
        <v>157</v>
      </c>
      <c r="C13" s="59">
        <v>2019</v>
      </c>
      <c r="D13" s="60" t="s">
        <v>191</v>
      </c>
      <c r="E13" s="36" t="s">
        <v>189</v>
      </c>
      <c r="F13" s="36" t="s">
        <v>185</v>
      </c>
      <c r="G13" s="57" t="s">
        <v>42</v>
      </c>
      <c r="H13" s="57" t="s">
        <v>188</v>
      </c>
      <c r="I13" s="57" t="s">
        <v>161</v>
      </c>
      <c r="J13" s="57" t="s">
        <v>53</v>
      </c>
      <c r="K13" s="57" t="s">
        <v>54</v>
      </c>
      <c r="L13" s="36">
        <v>3</v>
      </c>
      <c r="N13" s="57">
        <v>1</v>
      </c>
      <c r="O13" s="57">
        <v>0.95</v>
      </c>
      <c r="P13" s="57">
        <v>0.8</v>
      </c>
      <c r="Q13" s="75">
        <f t="shared" si="0"/>
        <v>0.875</v>
      </c>
      <c r="R13" s="36">
        <v>13.4</v>
      </c>
      <c r="S13" s="36">
        <v>126</v>
      </c>
      <c r="T13" s="62">
        <f t="shared" si="1"/>
        <v>27</v>
      </c>
      <c r="U13" s="57">
        <v>149</v>
      </c>
      <c r="V13" s="62">
        <f t="shared" si="2"/>
        <v>4023</v>
      </c>
      <c r="W13" s="36">
        <v>2</v>
      </c>
      <c r="X13" s="57" t="s">
        <v>46</v>
      </c>
      <c r="Y13" s="57" t="s">
        <v>69</v>
      </c>
      <c r="Z13" s="57" t="s">
        <v>78</v>
      </c>
      <c r="AA13" s="57" t="s">
        <v>55</v>
      </c>
      <c r="AB13" s="57" t="s">
        <v>187</v>
      </c>
      <c r="AE13" s="22" t="s">
        <v>217</v>
      </c>
      <c r="AG13" s="30"/>
      <c r="AH13" s="30"/>
      <c r="AP13" s="71" t="s">
        <v>71</v>
      </c>
      <c r="AR13" s="30" t="s">
        <v>209</v>
      </c>
      <c r="AV13" s="71" t="s">
        <v>75</v>
      </c>
    </row>
    <row r="14" spans="1:53" x14ac:dyDescent="0.15">
      <c r="A14" s="57" t="s">
        <v>41</v>
      </c>
      <c r="B14" s="58" t="s">
        <v>157</v>
      </c>
      <c r="C14" s="59">
        <v>2019</v>
      </c>
      <c r="D14" s="60" t="s">
        <v>191</v>
      </c>
      <c r="E14" s="36" t="s">
        <v>189</v>
      </c>
      <c r="F14" s="36" t="s">
        <v>185</v>
      </c>
      <c r="G14" s="57" t="s">
        <v>42</v>
      </c>
      <c r="H14" s="57" t="s">
        <v>200</v>
      </c>
      <c r="I14" s="57" t="s">
        <v>161</v>
      </c>
      <c r="J14" s="57" t="s">
        <v>38</v>
      </c>
      <c r="K14" s="57" t="s">
        <v>163</v>
      </c>
      <c r="L14" s="57">
        <v>1</v>
      </c>
      <c r="M14" s="57"/>
      <c r="N14" s="57">
        <v>1</v>
      </c>
      <c r="O14" s="57">
        <v>0.75</v>
      </c>
      <c r="P14" s="57">
        <v>0.8</v>
      </c>
      <c r="Q14" s="75">
        <f t="shared" si="0"/>
        <v>0.77500000000000002</v>
      </c>
      <c r="R14" s="36">
        <v>15.8</v>
      </c>
      <c r="S14" s="36">
        <v>122</v>
      </c>
      <c r="T14" s="62">
        <f t="shared" si="1"/>
        <v>30</v>
      </c>
      <c r="U14" s="57">
        <v>149</v>
      </c>
      <c r="V14" s="62">
        <f t="shared" si="2"/>
        <v>4470</v>
      </c>
      <c r="W14" s="57">
        <v>2</v>
      </c>
      <c r="X14" s="57" t="s">
        <v>46</v>
      </c>
      <c r="Y14" s="57" t="s">
        <v>69</v>
      </c>
      <c r="Z14" s="57" t="s">
        <v>78</v>
      </c>
      <c r="AA14" s="57" t="s">
        <v>55</v>
      </c>
      <c r="AB14" s="57" t="s">
        <v>187</v>
      </c>
      <c r="AE14" s="22" t="s">
        <v>96</v>
      </c>
      <c r="AG14" s="30"/>
      <c r="AH14" s="30"/>
      <c r="AP14" s="71" t="s">
        <v>74</v>
      </c>
      <c r="AR14" s="30" t="s">
        <v>218</v>
      </c>
      <c r="AV14" s="71" t="s">
        <v>78</v>
      </c>
    </row>
    <row r="15" spans="1:53" x14ac:dyDescent="0.15">
      <c r="A15" s="57" t="s">
        <v>41</v>
      </c>
      <c r="B15" s="58" t="s">
        <v>157</v>
      </c>
      <c r="C15" s="59">
        <v>2019</v>
      </c>
      <c r="D15" s="60" t="s">
        <v>191</v>
      </c>
      <c r="E15" s="36" t="s">
        <v>189</v>
      </c>
      <c r="F15" s="36" t="s">
        <v>185</v>
      </c>
      <c r="G15" s="57" t="s">
        <v>42</v>
      </c>
      <c r="H15" s="57" t="s">
        <v>200</v>
      </c>
      <c r="I15" s="57" t="s">
        <v>161</v>
      </c>
      <c r="J15" s="57" t="s">
        <v>38</v>
      </c>
      <c r="K15" s="57" t="s">
        <v>163</v>
      </c>
      <c r="L15" s="36">
        <v>2</v>
      </c>
      <c r="N15" s="57">
        <v>1</v>
      </c>
      <c r="O15" s="57">
        <v>0.85</v>
      </c>
      <c r="P15" s="57">
        <v>0.5</v>
      </c>
      <c r="Q15" s="75">
        <f t="shared" si="0"/>
        <v>0.67500000000000004</v>
      </c>
      <c r="R15" s="36">
        <v>15.2</v>
      </c>
      <c r="S15" s="36">
        <v>127</v>
      </c>
      <c r="T15" s="62">
        <f t="shared" si="1"/>
        <v>30</v>
      </c>
      <c r="U15" s="57">
        <v>149</v>
      </c>
      <c r="V15" s="62">
        <f t="shared" si="2"/>
        <v>4470</v>
      </c>
      <c r="W15" s="36">
        <v>2</v>
      </c>
      <c r="X15" s="57" t="s">
        <v>46</v>
      </c>
      <c r="Y15" s="57" t="s">
        <v>69</v>
      </c>
      <c r="Z15" s="57" t="s">
        <v>78</v>
      </c>
      <c r="AA15" s="57" t="s">
        <v>55</v>
      </c>
      <c r="AB15" s="57" t="s">
        <v>187</v>
      </c>
      <c r="AE15" s="22" t="s">
        <v>219</v>
      </c>
      <c r="AG15" s="30"/>
      <c r="AH15" s="30"/>
      <c r="AP15" s="71" t="s">
        <v>77</v>
      </c>
      <c r="AR15" s="30" t="s">
        <v>80</v>
      </c>
      <c r="AV15" s="71" t="s">
        <v>107</v>
      </c>
    </row>
    <row r="16" spans="1:53" x14ac:dyDescent="0.15">
      <c r="A16" s="57" t="s">
        <v>41</v>
      </c>
      <c r="B16" s="58" t="s">
        <v>157</v>
      </c>
      <c r="C16" s="59">
        <v>2019</v>
      </c>
      <c r="D16" s="60" t="s">
        <v>191</v>
      </c>
      <c r="E16" s="36" t="s">
        <v>189</v>
      </c>
      <c r="F16" s="36" t="s">
        <v>185</v>
      </c>
      <c r="G16" s="57" t="s">
        <v>42</v>
      </c>
      <c r="H16" s="57" t="s">
        <v>200</v>
      </c>
      <c r="I16" s="57" t="s">
        <v>161</v>
      </c>
      <c r="J16" s="57" t="s">
        <v>38</v>
      </c>
      <c r="K16" s="57" t="s">
        <v>163</v>
      </c>
      <c r="L16" s="36">
        <v>3</v>
      </c>
      <c r="N16" s="57">
        <v>1</v>
      </c>
      <c r="O16" s="57">
        <v>0.45</v>
      </c>
      <c r="P16" s="57">
        <v>0.6</v>
      </c>
      <c r="Q16" s="75">
        <f t="shared" si="0"/>
        <v>0.52500000000000002</v>
      </c>
      <c r="R16" s="36">
        <v>16.100000000000001</v>
      </c>
      <c r="S16" s="36">
        <v>125</v>
      </c>
      <c r="T16" s="62">
        <f t="shared" si="1"/>
        <v>30</v>
      </c>
      <c r="U16" s="57">
        <v>149</v>
      </c>
      <c r="V16" s="62">
        <f t="shared" si="2"/>
        <v>4470</v>
      </c>
      <c r="W16" s="36">
        <v>2</v>
      </c>
      <c r="X16" s="57" t="s">
        <v>46</v>
      </c>
      <c r="Y16" s="57" t="s">
        <v>69</v>
      </c>
      <c r="Z16" s="57" t="s">
        <v>78</v>
      </c>
      <c r="AA16" s="57" t="s">
        <v>55</v>
      </c>
      <c r="AB16" s="57" t="s">
        <v>187</v>
      </c>
      <c r="AE16" s="22" t="s">
        <v>220</v>
      </c>
      <c r="AG16" s="79"/>
      <c r="AH16" s="79"/>
      <c r="AP16" s="71" t="s">
        <v>80</v>
      </c>
      <c r="AR16" s="30" t="s">
        <v>63</v>
      </c>
      <c r="AV16" s="71" t="s">
        <v>84</v>
      </c>
    </row>
    <row r="17" spans="1:48" x14ac:dyDescent="0.15">
      <c r="A17" s="57" t="s">
        <v>41</v>
      </c>
      <c r="B17" s="58" t="s">
        <v>157</v>
      </c>
      <c r="C17" s="59">
        <v>2019</v>
      </c>
      <c r="D17" s="60" t="s">
        <v>191</v>
      </c>
      <c r="E17" s="36" t="s">
        <v>189</v>
      </c>
      <c r="F17" s="36" t="s">
        <v>185</v>
      </c>
      <c r="G17" s="57" t="s">
        <v>42</v>
      </c>
      <c r="H17" s="57" t="s">
        <v>162</v>
      </c>
      <c r="I17" s="57" t="s">
        <v>161</v>
      </c>
      <c r="J17" s="57" t="s">
        <v>38</v>
      </c>
      <c r="K17" s="57" t="s">
        <v>163</v>
      </c>
      <c r="L17" s="57">
        <v>1</v>
      </c>
      <c r="M17" s="57"/>
      <c r="N17" s="57">
        <v>4</v>
      </c>
      <c r="O17" s="57">
        <v>0.5</v>
      </c>
      <c r="P17" s="57">
        <v>0.75</v>
      </c>
      <c r="Q17" s="75">
        <f t="shared" si="0"/>
        <v>0.625</v>
      </c>
      <c r="R17" s="36">
        <v>14.4</v>
      </c>
      <c r="S17" s="36">
        <v>123</v>
      </c>
      <c r="T17" s="62">
        <f t="shared" si="1"/>
        <v>27</v>
      </c>
      <c r="U17" s="57">
        <v>537</v>
      </c>
      <c r="V17" s="62">
        <f t="shared" si="2"/>
        <v>3624.75</v>
      </c>
      <c r="W17" s="57">
        <v>1</v>
      </c>
      <c r="X17" s="57" t="s">
        <v>46</v>
      </c>
      <c r="Y17" s="57" t="s">
        <v>69</v>
      </c>
      <c r="Z17" s="57" t="s">
        <v>78</v>
      </c>
      <c r="AA17" s="57" t="s">
        <v>55</v>
      </c>
      <c r="AB17" s="57" t="s">
        <v>187</v>
      </c>
      <c r="AE17" s="22" t="s">
        <v>221</v>
      </c>
      <c r="AP17" s="43" t="s">
        <v>222</v>
      </c>
      <c r="AR17" s="30" t="s">
        <v>96</v>
      </c>
      <c r="AV17" s="71" t="s">
        <v>86</v>
      </c>
    </row>
    <row r="18" spans="1:48" x14ac:dyDescent="0.15">
      <c r="A18" s="57" t="s">
        <v>41</v>
      </c>
      <c r="B18" s="58" t="s">
        <v>157</v>
      </c>
      <c r="C18" s="59">
        <v>2019</v>
      </c>
      <c r="D18" s="60" t="s">
        <v>191</v>
      </c>
      <c r="E18" s="36" t="s">
        <v>189</v>
      </c>
      <c r="F18" s="36" t="s">
        <v>185</v>
      </c>
      <c r="G18" s="57" t="s">
        <v>42</v>
      </c>
      <c r="H18" s="57" t="s">
        <v>162</v>
      </c>
      <c r="I18" s="57" t="s">
        <v>161</v>
      </c>
      <c r="J18" s="57" t="s">
        <v>38</v>
      </c>
      <c r="K18" s="57" t="s">
        <v>163</v>
      </c>
      <c r="L18" s="36">
        <v>2</v>
      </c>
      <c r="N18" s="57">
        <v>4</v>
      </c>
      <c r="O18" s="57">
        <v>0.35</v>
      </c>
      <c r="P18" s="57">
        <v>0.5</v>
      </c>
      <c r="Q18" s="75">
        <f t="shared" si="0"/>
        <v>0.42499999999999999</v>
      </c>
      <c r="R18" s="36">
        <v>12.8</v>
      </c>
      <c r="S18" s="36">
        <v>121</v>
      </c>
      <c r="T18" s="62">
        <f t="shared" si="1"/>
        <v>27</v>
      </c>
      <c r="U18" s="57">
        <v>537</v>
      </c>
      <c r="V18" s="62">
        <f t="shared" si="2"/>
        <v>3624.75</v>
      </c>
      <c r="W18" s="57">
        <v>1</v>
      </c>
      <c r="X18" s="57" t="s">
        <v>46</v>
      </c>
      <c r="Y18" s="57" t="s">
        <v>69</v>
      </c>
      <c r="Z18" s="57" t="s">
        <v>78</v>
      </c>
      <c r="AA18" s="57" t="s">
        <v>55</v>
      </c>
      <c r="AB18" s="57" t="s">
        <v>187</v>
      </c>
      <c r="AE18" s="22" t="s">
        <v>214</v>
      </c>
      <c r="AP18" s="43" t="s">
        <v>223</v>
      </c>
      <c r="AR18" s="30" t="s">
        <v>101</v>
      </c>
      <c r="AV18" s="71" t="s">
        <v>88</v>
      </c>
    </row>
    <row r="19" spans="1:48" x14ac:dyDescent="0.15">
      <c r="A19" s="57" t="s">
        <v>41</v>
      </c>
      <c r="B19" s="58" t="s">
        <v>157</v>
      </c>
      <c r="C19" s="59">
        <v>2019</v>
      </c>
      <c r="D19" s="60" t="s">
        <v>191</v>
      </c>
      <c r="E19" s="36" t="s">
        <v>189</v>
      </c>
      <c r="F19" s="36" t="s">
        <v>185</v>
      </c>
      <c r="G19" s="57" t="s">
        <v>42</v>
      </c>
      <c r="H19" s="57" t="s">
        <v>162</v>
      </c>
      <c r="I19" s="57" t="s">
        <v>161</v>
      </c>
      <c r="J19" s="57" t="s">
        <v>38</v>
      </c>
      <c r="K19" s="57" t="s">
        <v>163</v>
      </c>
      <c r="L19" s="36">
        <v>3</v>
      </c>
      <c r="N19" s="57">
        <v>4</v>
      </c>
      <c r="O19" s="57">
        <v>0.65</v>
      </c>
      <c r="P19" s="57">
        <v>0.5</v>
      </c>
      <c r="Q19" s="75">
        <f t="shared" si="0"/>
        <v>0.57499999999999996</v>
      </c>
      <c r="R19" s="36">
        <v>14.1</v>
      </c>
      <c r="S19" s="36">
        <v>124</v>
      </c>
      <c r="T19" s="62">
        <f t="shared" si="1"/>
        <v>27</v>
      </c>
      <c r="U19" s="57">
        <v>537</v>
      </c>
      <c r="V19" s="62">
        <f t="shared" si="2"/>
        <v>3624.75</v>
      </c>
      <c r="W19" s="36">
        <v>1</v>
      </c>
      <c r="X19" s="57" t="s">
        <v>46</v>
      </c>
      <c r="Y19" s="57" t="s">
        <v>69</v>
      </c>
      <c r="Z19" s="57" t="s">
        <v>78</v>
      </c>
      <c r="AA19" s="57" t="s">
        <v>55</v>
      </c>
      <c r="AB19" s="57" t="s">
        <v>187</v>
      </c>
      <c r="AE19" s="35" t="s">
        <v>208</v>
      </c>
      <c r="AP19" s="43" t="s">
        <v>224</v>
      </c>
      <c r="AR19" s="30" t="s">
        <v>225</v>
      </c>
      <c r="AV19" s="71" t="s">
        <v>90</v>
      </c>
    </row>
    <row r="20" spans="1:48" x14ac:dyDescent="0.15">
      <c r="A20" s="57" t="s">
        <v>41</v>
      </c>
      <c r="B20" s="58" t="s">
        <v>157</v>
      </c>
      <c r="C20" s="59">
        <v>2019</v>
      </c>
      <c r="D20" s="60" t="s">
        <v>191</v>
      </c>
      <c r="E20" s="36" t="s">
        <v>189</v>
      </c>
      <c r="F20" s="36" t="s">
        <v>185</v>
      </c>
      <c r="G20" s="57" t="s">
        <v>42</v>
      </c>
      <c r="H20" s="57" t="s">
        <v>162</v>
      </c>
      <c r="I20" s="57" t="s">
        <v>161</v>
      </c>
      <c r="J20" s="57" t="s">
        <v>38</v>
      </c>
      <c r="K20" s="57" t="s">
        <v>163</v>
      </c>
      <c r="L20" s="57">
        <v>1</v>
      </c>
      <c r="M20" s="57"/>
      <c r="N20" s="57">
        <v>5</v>
      </c>
      <c r="O20" s="57">
        <v>0.75</v>
      </c>
      <c r="P20" s="57">
        <v>0.65</v>
      </c>
      <c r="Q20" s="75">
        <f t="shared" si="0"/>
        <v>0.7</v>
      </c>
      <c r="R20" s="36">
        <v>14.6</v>
      </c>
      <c r="S20" s="36">
        <v>122</v>
      </c>
      <c r="T20" s="62">
        <f t="shared" si="1"/>
        <v>27</v>
      </c>
      <c r="U20" s="57">
        <v>753</v>
      </c>
      <c r="V20" s="62">
        <f t="shared" si="2"/>
        <v>4066.2</v>
      </c>
      <c r="W20" s="57">
        <v>2</v>
      </c>
      <c r="X20" s="57" t="s">
        <v>46</v>
      </c>
      <c r="Y20" s="57" t="s">
        <v>69</v>
      </c>
      <c r="Z20" s="57" t="s">
        <v>78</v>
      </c>
      <c r="AA20" s="57" t="s">
        <v>55</v>
      </c>
      <c r="AB20" s="57" t="s">
        <v>187</v>
      </c>
      <c r="AE20" s="35"/>
      <c r="AP20" s="43" t="s">
        <v>226</v>
      </c>
      <c r="AR20" s="30" t="s">
        <v>105</v>
      </c>
      <c r="AV20" s="76" t="s">
        <v>227</v>
      </c>
    </row>
    <row r="21" spans="1:48" x14ac:dyDescent="0.15">
      <c r="A21" s="57" t="s">
        <v>41</v>
      </c>
      <c r="B21" s="58" t="s">
        <v>157</v>
      </c>
      <c r="C21" s="59">
        <v>2019</v>
      </c>
      <c r="D21" s="60" t="s">
        <v>191</v>
      </c>
      <c r="E21" s="36" t="s">
        <v>189</v>
      </c>
      <c r="F21" s="36" t="s">
        <v>185</v>
      </c>
      <c r="G21" s="57" t="s">
        <v>42</v>
      </c>
      <c r="H21" s="57" t="s">
        <v>162</v>
      </c>
      <c r="I21" s="57" t="s">
        <v>161</v>
      </c>
      <c r="J21" s="57" t="s">
        <v>38</v>
      </c>
      <c r="K21" s="57" t="s">
        <v>163</v>
      </c>
      <c r="L21" s="36">
        <v>2</v>
      </c>
      <c r="N21" s="57">
        <v>5</v>
      </c>
      <c r="O21" s="57">
        <v>0.5</v>
      </c>
      <c r="P21" s="57">
        <v>0.75</v>
      </c>
      <c r="Q21" s="75">
        <f t="shared" si="0"/>
        <v>0.625</v>
      </c>
      <c r="R21" s="36">
        <v>15.4</v>
      </c>
      <c r="S21" s="36">
        <v>121</v>
      </c>
      <c r="T21" s="62">
        <f t="shared" si="1"/>
        <v>27</v>
      </c>
      <c r="U21" s="57">
        <v>753</v>
      </c>
      <c r="V21" s="62">
        <f t="shared" si="2"/>
        <v>4066.2</v>
      </c>
      <c r="W21" s="57">
        <v>2</v>
      </c>
      <c r="X21" s="57" t="s">
        <v>46</v>
      </c>
      <c r="Y21" s="57" t="s">
        <v>69</v>
      </c>
      <c r="Z21" s="57" t="s">
        <v>78</v>
      </c>
      <c r="AA21" s="57" t="s">
        <v>55</v>
      </c>
      <c r="AB21" s="57" t="s">
        <v>187</v>
      </c>
      <c r="AE21" s="77"/>
      <c r="AP21" s="43" t="s">
        <v>228</v>
      </c>
      <c r="AR21" s="30" t="s">
        <v>68</v>
      </c>
      <c r="AV21" s="76" t="s">
        <v>229</v>
      </c>
    </row>
    <row r="22" spans="1:48" x14ac:dyDescent="0.15">
      <c r="A22" s="57" t="s">
        <v>41</v>
      </c>
      <c r="B22" s="58" t="s">
        <v>157</v>
      </c>
      <c r="C22" s="59">
        <v>2019</v>
      </c>
      <c r="D22" s="60" t="s">
        <v>191</v>
      </c>
      <c r="E22" s="36" t="s">
        <v>189</v>
      </c>
      <c r="F22" s="36" t="s">
        <v>185</v>
      </c>
      <c r="G22" s="57" t="s">
        <v>42</v>
      </c>
      <c r="H22" s="57" t="s">
        <v>162</v>
      </c>
      <c r="I22" s="57" t="s">
        <v>161</v>
      </c>
      <c r="J22" s="57" t="s">
        <v>38</v>
      </c>
      <c r="K22" s="57" t="s">
        <v>163</v>
      </c>
      <c r="L22" s="36">
        <v>3</v>
      </c>
      <c r="N22" s="57">
        <v>5</v>
      </c>
      <c r="O22" s="57">
        <v>0.55000000000000004</v>
      </c>
      <c r="P22" s="57">
        <v>0.45</v>
      </c>
      <c r="Q22" s="75">
        <f t="shared" si="0"/>
        <v>0.5</v>
      </c>
      <c r="R22" s="36">
        <v>15</v>
      </c>
      <c r="S22" s="36">
        <v>123</v>
      </c>
      <c r="T22" s="62">
        <f t="shared" si="1"/>
        <v>27</v>
      </c>
      <c r="U22" s="57">
        <v>753</v>
      </c>
      <c r="V22" s="62">
        <f t="shared" si="2"/>
        <v>4066.2</v>
      </c>
      <c r="W22" s="36">
        <v>2</v>
      </c>
      <c r="X22" s="57" t="s">
        <v>46</v>
      </c>
      <c r="Y22" s="57" t="s">
        <v>69</v>
      </c>
      <c r="Z22" s="57" t="s">
        <v>78</v>
      </c>
      <c r="AA22" s="57" t="s">
        <v>55</v>
      </c>
      <c r="AB22" s="57" t="s">
        <v>187</v>
      </c>
      <c r="AP22" s="43" t="s">
        <v>230</v>
      </c>
      <c r="AR22" s="30" t="s">
        <v>83</v>
      </c>
      <c r="AV22" s="76"/>
    </row>
    <row r="23" spans="1:48" x14ac:dyDescent="0.15">
      <c r="A23" s="57" t="s">
        <v>41</v>
      </c>
      <c r="B23" s="58" t="s">
        <v>157</v>
      </c>
      <c r="C23" s="59">
        <v>2019</v>
      </c>
      <c r="D23" s="60" t="s">
        <v>191</v>
      </c>
      <c r="E23" s="36" t="s">
        <v>189</v>
      </c>
      <c r="F23" s="57" t="s">
        <v>192</v>
      </c>
      <c r="G23" s="57" t="s">
        <v>42</v>
      </c>
      <c r="H23" s="57" t="s">
        <v>162</v>
      </c>
      <c r="I23" s="57" t="s">
        <v>161</v>
      </c>
      <c r="J23" s="57" t="s">
        <v>38</v>
      </c>
      <c r="K23" s="57" t="s">
        <v>163</v>
      </c>
      <c r="L23" s="57">
        <v>1</v>
      </c>
      <c r="M23" s="57"/>
      <c r="N23" s="57">
        <v>1</v>
      </c>
      <c r="O23" s="57">
        <v>0.65</v>
      </c>
      <c r="P23" s="57">
        <v>0.5</v>
      </c>
      <c r="Q23" s="75">
        <f t="shared" si="0"/>
        <v>0.57499999999999996</v>
      </c>
      <c r="R23" s="36">
        <v>12.8</v>
      </c>
      <c r="S23" s="36">
        <v>125</v>
      </c>
      <c r="T23" s="62">
        <f t="shared" si="1"/>
        <v>27</v>
      </c>
      <c r="U23" s="57">
        <v>149</v>
      </c>
      <c r="V23" s="62">
        <f t="shared" si="2"/>
        <v>4023</v>
      </c>
      <c r="W23" s="57">
        <v>2</v>
      </c>
      <c r="X23" s="57" t="s">
        <v>46</v>
      </c>
      <c r="Y23" s="57" t="s">
        <v>69</v>
      </c>
      <c r="Z23" s="57" t="s">
        <v>78</v>
      </c>
      <c r="AA23" s="57" t="s">
        <v>40</v>
      </c>
      <c r="AB23" s="57" t="s">
        <v>187</v>
      </c>
      <c r="AP23" s="43" t="s">
        <v>231</v>
      </c>
      <c r="AR23" s="77" t="s">
        <v>232</v>
      </c>
      <c r="AV23" s="77"/>
    </row>
    <row r="24" spans="1:48" x14ac:dyDescent="0.15">
      <c r="A24" s="57" t="s">
        <v>41</v>
      </c>
      <c r="B24" s="58" t="s">
        <v>157</v>
      </c>
      <c r="C24" s="59">
        <v>2019</v>
      </c>
      <c r="D24" s="60" t="s">
        <v>191</v>
      </c>
      <c r="E24" s="36" t="s">
        <v>189</v>
      </c>
      <c r="F24" s="57" t="s">
        <v>192</v>
      </c>
      <c r="G24" s="57" t="s">
        <v>42</v>
      </c>
      <c r="H24" s="57" t="s">
        <v>162</v>
      </c>
      <c r="I24" s="57" t="s">
        <v>161</v>
      </c>
      <c r="J24" s="57" t="s">
        <v>38</v>
      </c>
      <c r="K24" s="57" t="s">
        <v>163</v>
      </c>
      <c r="L24" s="36">
        <v>2</v>
      </c>
      <c r="N24" s="57">
        <v>1</v>
      </c>
      <c r="O24" s="57">
        <v>0.5</v>
      </c>
      <c r="P24" s="57">
        <v>0.5</v>
      </c>
      <c r="Q24" s="75">
        <f t="shared" si="0"/>
        <v>0.5</v>
      </c>
      <c r="R24" s="36">
        <v>16.5</v>
      </c>
      <c r="S24" s="36">
        <v>122</v>
      </c>
      <c r="T24" s="62">
        <f t="shared" si="1"/>
        <v>27</v>
      </c>
      <c r="U24" s="57">
        <v>149</v>
      </c>
      <c r="V24" s="62">
        <f t="shared" si="2"/>
        <v>4023</v>
      </c>
      <c r="W24" s="57">
        <v>2</v>
      </c>
      <c r="X24" s="57" t="s">
        <v>46</v>
      </c>
      <c r="Y24" s="57" t="s">
        <v>69</v>
      </c>
      <c r="Z24" s="57" t="s">
        <v>78</v>
      </c>
      <c r="AA24" s="57" t="s">
        <v>40</v>
      </c>
      <c r="AB24" s="57" t="s">
        <v>187</v>
      </c>
      <c r="AP24" s="43" t="s">
        <v>233</v>
      </c>
    </row>
    <row r="25" spans="1:48" x14ac:dyDescent="0.15">
      <c r="A25" s="57" t="s">
        <v>41</v>
      </c>
      <c r="B25" s="58" t="s">
        <v>157</v>
      </c>
      <c r="C25" s="59">
        <v>2019</v>
      </c>
      <c r="D25" s="60" t="s">
        <v>191</v>
      </c>
      <c r="E25" s="36" t="s">
        <v>189</v>
      </c>
      <c r="F25" s="57" t="s">
        <v>192</v>
      </c>
      <c r="G25" s="57" t="s">
        <v>42</v>
      </c>
      <c r="H25" s="57" t="s">
        <v>162</v>
      </c>
      <c r="I25" s="57" t="s">
        <v>161</v>
      </c>
      <c r="J25" s="57" t="s">
        <v>38</v>
      </c>
      <c r="K25" s="57" t="s">
        <v>163</v>
      </c>
      <c r="L25" s="36">
        <v>3</v>
      </c>
      <c r="N25" s="57">
        <v>1</v>
      </c>
      <c r="O25" s="57">
        <v>0.45</v>
      </c>
      <c r="P25" s="57">
        <v>0.35</v>
      </c>
      <c r="Q25" s="75">
        <f t="shared" si="0"/>
        <v>0.4</v>
      </c>
      <c r="R25" s="36">
        <v>14.2</v>
      </c>
      <c r="S25" s="36">
        <v>124</v>
      </c>
      <c r="T25" s="62">
        <f t="shared" si="1"/>
        <v>27</v>
      </c>
      <c r="U25" s="57">
        <v>149</v>
      </c>
      <c r="V25" s="62">
        <f t="shared" si="2"/>
        <v>4023</v>
      </c>
      <c r="W25" s="36">
        <v>2</v>
      </c>
      <c r="X25" s="57" t="s">
        <v>46</v>
      </c>
      <c r="Y25" s="57" t="s">
        <v>69</v>
      </c>
      <c r="Z25" s="57" t="s">
        <v>78</v>
      </c>
      <c r="AA25" s="57" t="s">
        <v>40</v>
      </c>
      <c r="AB25" s="57" t="s">
        <v>187</v>
      </c>
    </row>
    <row r="26" spans="1:48" x14ac:dyDescent="0.15">
      <c r="A26" s="57" t="s">
        <v>41</v>
      </c>
      <c r="B26" s="58" t="s">
        <v>157</v>
      </c>
      <c r="C26" s="59">
        <v>2019</v>
      </c>
      <c r="D26" s="60" t="s">
        <v>191</v>
      </c>
      <c r="E26" s="36" t="s">
        <v>189</v>
      </c>
      <c r="F26" s="57" t="s">
        <v>192</v>
      </c>
      <c r="G26" s="57" t="s">
        <v>42</v>
      </c>
      <c r="H26" s="57" t="s">
        <v>162</v>
      </c>
      <c r="I26" s="57" t="s">
        <v>161</v>
      </c>
      <c r="J26" s="57" t="s">
        <v>38</v>
      </c>
      <c r="K26" s="57" t="s">
        <v>163</v>
      </c>
      <c r="L26" s="57">
        <v>1</v>
      </c>
      <c r="M26" s="57"/>
      <c r="N26" s="57">
        <v>4</v>
      </c>
      <c r="O26" s="57">
        <v>0.65</v>
      </c>
      <c r="P26" s="57">
        <v>0.5</v>
      </c>
      <c r="Q26" s="75">
        <f t="shared" si="0"/>
        <v>0.57499999999999996</v>
      </c>
      <c r="R26" s="36">
        <v>15.4</v>
      </c>
      <c r="S26" s="36">
        <v>121</v>
      </c>
      <c r="T26" s="62">
        <f t="shared" si="1"/>
        <v>27</v>
      </c>
      <c r="U26" s="57">
        <v>537</v>
      </c>
      <c r="V26" s="62">
        <f t="shared" si="2"/>
        <v>3624.75</v>
      </c>
      <c r="W26" s="57">
        <v>1</v>
      </c>
      <c r="X26" s="57" t="s">
        <v>46</v>
      </c>
      <c r="Y26" s="57" t="s">
        <v>69</v>
      </c>
      <c r="Z26" s="57" t="s">
        <v>78</v>
      </c>
      <c r="AA26" s="57" t="s">
        <v>40</v>
      </c>
      <c r="AB26" s="57" t="s">
        <v>187</v>
      </c>
    </row>
    <row r="27" spans="1:48" x14ac:dyDescent="0.15">
      <c r="A27" s="57" t="s">
        <v>41</v>
      </c>
      <c r="B27" s="58" t="s">
        <v>157</v>
      </c>
      <c r="C27" s="59">
        <v>2019</v>
      </c>
      <c r="D27" s="60" t="s">
        <v>191</v>
      </c>
      <c r="E27" s="36" t="s">
        <v>189</v>
      </c>
      <c r="F27" s="57" t="s">
        <v>192</v>
      </c>
      <c r="G27" s="57" t="s">
        <v>42</v>
      </c>
      <c r="H27" s="57" t="s">
        <v>162</v>
      </c>
      <c r="I27" s="57" t="s">
        <v>161</v>
      </c>
      <c r="J27" s="57" t="s">
        <v>38</v>
      </c>
      <c r="K27" s="57" t="s">
        <v>163</v>
      </c>
      <c r="L27" s="36">
        <v>2</v>
      </c>
      <c r="N27" s="57">
        <v>4</v>
      </c>
      <c r="O27" s="57">
        <v>0.45</v>
      </c>
      <c r="P27" s="57">
        <v>0.4</v>
      </c>
      <c r="Q27" s="75">
        <f t="shared" si="0"/>
        <v>0.42500000000000004</v>
      </c>
      <c r="R27" s="36">
        <v>12.6</v>
      </c>
      <c r="S27" s="36">
        <v>123</v>
      </c>
      <c r="T27" s="62">
        <f t="shared" si="1"/>
        <v>27</v>
      </c>
      <c r="U27" s="57">
        <v>537</v>
      </c>
      <c r="V27" s="62">
        <f t="shared" si="2"/>
        <v>3624.75</v>
      </c>
      <c r="W27" s="36">
        <v>1</v>
      </c>
      <c r="X27" s="57" t="s">
        <v>46</v>
      </c>
      <c r="Y27" s="57" t="s">
        <v>69</v>
      </c>
      <c r="Z27" s="57" t="s">
        <v>78</v>
      </c>
      <c r="AA27" s="57" t="s">
        <v>40</v>
      </c>
      <c r="AB27" s="57" t="s">
        <v>187</v>
      </c>
    </row>
    <row r="28" spans="1:48" x14ac:dyDescent="0.15">
      <c r="A28" s="57" t="s">
        <v>41</v>
      </c>
      <c r="B28" s="58" t="s">
        <v>157</v>
      </c>
      <c r="C28" s="59">
        <v>2019</v>
      </c>
      <c r="D28" s="60" t="s">
        <v>191</v>
      </c>
      <c r="E28" s="36" t="s">
        <v>189</v>
      </c>
      <c r="F28" s="57" t="s">
        <v>192</v>
      </c>
      <c r="G28" s="57" t="s">
        <v>42</v>
      </c>
      <c r="H28" s="57" t="s">
        <v>162</v>
      </c>
      <c r="I28" s="57" t="s">
        <v>161</v>
      </c>
      <c r="J28" s="57" t="s">
        <v>38</v>
      </c>
      <c r="K28" s="57" t="s">
        <v>163</v>
      </c>
      <c r="L28" s="36">
        <v>3</v>
      </c>
      <c r="N28" s="57">
        <v>4</v>
      </c>
      <c r="O28" s="57">
        <v>0.5</v>
      </c>
      <c r="P28" s="57">
        <v>0.4</v>
      </c>
      <c r="Q28" s="75">
        <f t="shared" si="0"/>
        <v>0.45</v>
      </c>
      <c r="R28" s="36">
        <v>13.8</v>
      </c>
      <c r="S28" s="36">
        <v>120</v>
      </c>
      <c r="T28" s="62">
        <f t="shared" si="1"/>
        <v>30</v>
      </c>
      <c r="U28" s="57">
        <v>537</v>
      </c>
      <c r="V28" s="62">
        <f t="shared" si="2"/>
        <v>4027.5</v>
      </c>
      <c r="W28" s="36">
        <v>1</v>
      </c>
      <c r="X28" s="57" t="s">
        <v>46</v>
      </c>
      <c r="Y28" s="57" t="s">
        <v>69</v>
      </c>
      <c r="Z28" s="57" t="s">
        <v>78</v>
      </c>
      <c r="AA28" s="57" t="s">
        <v>40</v>
      </c>
      <c r="AB28" s="57" t="s">
        <v>187</v>
      </c>
    </row>
    <row r="29" spans="1:48" x14ac:dyDescent="0.15">
      <c r="A29" s="57" t="s">
        <v>41</v>
      </c>
      <c r="B29" s="58" t="s">
        <v>157</v>
      </c>
      <c r="C29" s="59">
        <v>2019</v>
      </c>
      <c r="D29" s="60" t="s">
        <v>191</v>
      </c>
      <c r="E29" s="36" t="s">
        <v>189</v>
      </c>
      <c r="F29" s="57" t="s">
        <v>192</v>
      </c>
      <c r="G29" s="57" t="s">
        <v>42</v>
      </c>
      <c r="H29" s="57" t="s">
        <v>188</v>
      </c>
      <c r="I29" s="57" t="s">
        <v>161</v>
      </c>
      <c r="J29" s="57" t="s">
        <v>80</v>
      </c>
      <c r="K29" s="57" t="s">
        <v>68</v>
      </c>
      <c r="L29" s="36">
        <v>1</v>
      </c>
      <c r="N29" s="57">
        <v>1</v>
      </c>
      <c r="O29" s="57">
        <v>0.25</v>
      </c>
      <c r="P29" s="57">
        <v>0.3</v>
      </c>
      <c r="Q29" s="75">
        <f t="shared" si="0"/>
        <v>0.27500000000000002</v>
      </c>
      <c r="R29" s="57">
        <v>11</v>
      </c>
      <c r="S29" s="57">
        <v>130</v>
      </c>
      <c r="T29" s="62">
        <f t="shared" si="1"/>
        <v>25</v>
      </c>
      <c r="U29" s="57">
        <v>149</v>
      </c>
      <c r="V29" s="62">
        <f t="shared" si="2"/>
        <v>3725</v>
      </c>
      <c r="W29" s="36">
        <v>1</v>
      </c>
      <c r="X29" s="57" t="s">
        <v>46</v>
      </c>
      <c r="Y29" s="57" t="s">
        <v>69</v>
      </c>
      <c r="Z29" s="57" t="s">
        <v>78</v>
      </c>
      <c r="AA29" s="57" t="s">
        <v>40</v>
      </c>
      <c r="AB29" s="57" t="s">
        <v>187</v>
      </c>
    </row>
    <row r="30" spans="1:48" x14ac:dyDescent="0.15">
      <c r="A30" s="57" t="s">
        <v>41</v>
      </c>
      <c r="B30" s="58" t="s">
        <v>157</v>
      </c>
      <c r="C30" s="59">
        <v>2019</v>
      </c>
      <c r="D30" s="60" t="s">
        <v>191</v>
      </c>
      <c r="E30" s="36" t="s">
        <v>189</v>
      </c>
      <c r="F30" s="57" t="s">
        <v>192</v>
      </c>
      <c r="G30" s="57" t="s">
        <v>42</v>
      </c>
      <c r="H30" s="57" t="s">
        <v>188</v>
      </c>
      <c r="I30" s="57" t="s">
        <v>161</v>
      </c>
      <c r="J30" s="57" t="s">
        <v>80</v>
      </c>
      <c r="K30" s="57" t="s">
        <v>68</v>
      </c>
      <c r="L30" s="36">
        <v>2</v>
      </c>
      <c r="N30" s="57">
        <v>1</v>
      </c>
      <c r="O30" s="57">
        <v>0.6</v>
      </c>
      <c r="P30" s="57">
        <v>0.65</v>
      </c>
      <c r="Q30" s="75">
        <f t="shared" si="0"/>
        <v>0.625</v>
      </c>
      <c r="R30" s="57">
        <v>12.4</v>
      </c>
      <c r="S30" s="57">
        <v>127</v>
      </c>
      <c r="T30" s="62">
        <f t="shared" si="1"/>
        <v>27</v>
      </c>
      <c r="U30" s="57">
        <v>149</v>
      </c>
      <c r="V30" s="62">
        <f t="shared" si="2"/>
        <v>4023</v>
      </c>
      <c r="W30" s="36">
        <v>1</v>
      </c>
      <c r="X30" s="57" t="s">
        <v>46</v>
      </c>
      <c r="Y30" s="57" t="s">
        <v>69</v>
      </c>
      <c r="Z30" s="57" t="s">
        <v>78</v>
      </c>
      <c r="AA30" s="57" t="s">
        <v>40</v>
      </c>
      <c r="AB30" s="57" t="s">
        <v>187</v>
      </c>
    </row>
    <row r="31" spans="1:48" x14ac:dyDescent="0.15">
      <c r="A31" s="57" t="s">
        <v>41</v>
      </c>
      <c r="B31" s="58" t="s">
        <v>157</v>
      </c>
      <c r="C31" s="59">
        <v>2019</v>
      </c>
      <c r="D31" s="60" t="s">
        <v>191</v>
      </c>
      <c r="E31" s="36" t="s">
        <v>189</v>
      </c>
      <c r="F31" s="57" t="s">
        <v>192</v>
      </c>
      <c r="G31" s="57" t="s">
        <v>42</v>
      </c>
      <c r="H31" s="57" t="s">
        <v>188</v>
      </c>
      <c r="I31" s="57" t="s">
        <v>161</v>
      </c>
      <c r="J31" s="57" t="s">
        <v>80</v>
      </c>
      <c r="K31" s="57" t="s">
        <v>68</v>
      </c>
      <c r="L31" s="36">
        <v>3</v>
      </c>
      <c r="N31" s="57">
        <v>1</v>
      </c>
      <c r="O31" s="57">
        <v>0.5</v>
      </c>
      <c r="P31" s="57">
        <v>0.55000000000000004</v>
      </c>
      <c r="Q31" s="75">
        <f t="shared" si="0"/>
        <v>0.52500000000000002</v>
      </c>
      <c r="R31" s="57">
        <v>13.7</v>
      </c>
      <c r="S31" s="57">
        <v>125</v>
      </c>
      <c r="T31" s="62">
        <f t="shared" si="1"/>
        <v>27</v>
      </c>
      <c r="U31" s="57">
        <v>149</v>
      </c>
      <c r="V31" s="62">
        <f t="shared" si="2"/>
        <v>4023</v>
      </c>
      <c r="W31" s="36">
        <v>1</v>
      </c>
      <c r="X31" s="57" t="s">
        <v>46</v>
      </c>
      <c r="Y31" s="57" t="s">
        <v>69</v>
      </c>
      <c r="Z31" s="57" t="s">
        <v>78</v>
      </c>
      <c r="AA31" s="57" t="s">
        <v>40</v>
      </c>
      <c r="AB31" s="57" t="s">
        <v>187</v>
      </c>
    </row>
    <row r="32" spans="1:48" x14ac:dyDescent="0.15">
      <c r="A32" s="57" t="s">
        <v>41</v>
      </c>
      <c r="B32" s="58" t="s">
        <v>157</v>
      </c>
      <c r="C32" s="59">
        <v>2019</v>
      </c>
      <c r="D32" s="60" t="s">
        <v>191</v>
      </c>
      <c r="E32" s="36" t="s">
        <v>197</v>
      </c>
      <c r="F32" s="57" t="s">
        <v>185</v>
      </c>
      <c r="G32" s="57" t="s">
        <v>42</v>
      </c>
      <c r="H32" s="57" t="s">
        <v>162</v>
      </c>
      <c r="I32" s="57" t="s">
        <v>161</v>
      </c>
      <c r="J32" s="57" t="s">
        <v>38</v>
      </c>
      <c r="K32" s="57" t="s">
        <v>163</v>
      </c>
      <c r="L32" s="36">
        <v>1</v>
      </c>
      <c r="N32" s="57">
        <v>1</v>
      </c>
      <c r="O32" s="57">
        <v>0.6</v>
      </c>
      <c r="P32" s="57">
        <v>0.8</v>
      </c>
      <c r="Q32" s="75">
        <f t="shared" si="0"/>
        <v>0.7</v>
      </c>
      <c r="R32" s="57">
        <v>13.2</v>
      </c>
      <c r="S32" s="57">
        <v>125</v>
      </c>
      <c r="T32" s="62">
        <f t="shared" si="1"/>
        <v>27</v>
      </c>
      <c r="U32" s="36">
        <v>170</v>
      </c>
      <c r="V32" s="62">
        <f t="shared" si="2"/>
        <v>4590</v>
      </c>
      <c r="W32" s="36">
        <v>4</v>
      </c>
      <c r="X32" s="57" t="s">
        <v>46</v>
      </c>
      <c r="Y32" s="57" t="s">
        <v>55</v>
      </c>
      <c r="Z32" s="57" t="s">
        <v>40</v>
      </c>
      <c r="AA32" s="57" t="s">
        <v>69</v>
      </c>
      <c r="AB32" s="57" t="s">
        <v>187</v>
      </c>
    </row>
    <row r="33" spans="1:28" x14ac:dyDescent="0.15">
      <c r="A33" s="57" t="s">
        <v>41</v>
      </c>
      <c r="B33" s="58" t="s">
        <v>157</v>
      </c>
      <c r="C33" s="59">
        <v>2019</v>
      </c>
      <c r="D33" s="60" t="s">
        <v>191</v>
      </c>
      <c r="E33" s="36" t="s">
        <v>197</v>
      </c>
      <c r="F33" s="57" t="s">
        <v>185</v>
      </c>
      <c r="G33" s="57" t="s">
        <v>42</v>
      </c>
      <c r="H33" s="57" t="s">
        <v>162</v>
      </c>
      <c r="I33" s="57" t="s">
        <v>161</v>
      </c>
      <c r="J33" s="57" t="s">
        <v>38</v>
      </c>
      <c r="K33" s="57" t="s">
        <v>163</v>
      </c>
      <c r="L33" s="36">
        <v>2</v>
      </c>
      <c r="N33" s="57">
        <v>1</v>
      </c>
      <c r="O33" s="57">
        <v>0.9</v>
      </c>
      <c r="P33" s="57">
        <v>0.8</v>
      </c>
      <c r="Q33" s="75">
        <f t="shared" si="0"/>
        <v>0.85000000000000009</v>
      </c>
      <c r="R33" s="57">
        <v>12.5</v>
      </c>
      <c r="S33" s="57">
        <v>127</v>
      </c>
      <c r="T33" s="62">
        <f t="shared" si="1"/>
        <v>27</v>
      </c>
      <c r="U33" s="36">
        <v>170</v>
      </c>
      <c r="V33" s="62">
        <f t="shared" si="2"/>
        <v>4590</v>
      </c>
      <c r="W33" s="36">
        <v>4</v>
      </c>
      <c r="X33" s="57" t="s">
        <v>46</v>
      </c>
      <c r="Y33" s="57" t="s">
        <v>55</v>
      </c>
      <c r="Z33" s="57" t="s">
        <v>40</v>
      </c>
      <c r="AA33" s="57" t="s">
        <v>69</v>
      </c>
      <c r="AB33" s="57" t="s">
        <v>187</v>
      </c>
    </row>
    <row r="34" spans="1:28" x14ac:dyDescent="0.15">
      <c r="A34" s="57" t="s">
        <v>41</v>
      </c>
      <c r="B34" s="58" t="s">
        <v>157</v>
      </c>
      <c r="C34" s="59">
        <v>2019</v>
      </c>
      <c r="D34" s="60" t="s">
        <v>191</v>
      </c>
      <c r="E34" s="36" t="s">
        <v>197</v>
      </c>
      <c r="F34" s="57" t="s">
        <v>185</v>
      </c>
      <c r="G34" s="57" t="s">
        <v>42</v>
      </c>
      <c r="H34" s="57" t="s">
        <v>162</v>
      </c>
      <c r="I34" s="57" t="s">
        <v>161</v>
      </c>
      <c r="J34" s="57" t="s">
        <v>38</v>
      </c>
      <c r="K34" s="57" t="s">
        <v>163</v>
      </c>
      <c r="L34" s="36">
        <v>3</v>
      </c>
      <c r="N34" s="57">
        <v>1</v>
      </c>
      <c r="O34" s="57">
        <v>0.45</v>
      </c>
      <c r="P34" s="57">
        <v>0.5</v>
      </c>
      <c r="Q34" s="75">
        <f t="shared" si="0"/>
        <v>0.47499999999999998</v>
      </c>
      <c r="R34" s="57">
        <v>14.5</v>
      </c>
      <c r="S34" s="57">
        <v>124</v>
      </c>
      <c r="T34" s="62">
        <f t="shared" si="1"/>
        <v>27</v>
      </c>
      <c r="U34" s="36">
        <v>170</v>
      </c>
      <c r="V34" s="62">
        <f t="shared" si="2"/>
        <v>4590</v>
      </c>
      <c r="W34" s="36">
        <v>4</v>
      </c>
      <c r="X34" s="57" t="s">
        <v>46</v>
      </c>
      <c r="Y34" s="57" t="s">
        <v>55</v>
      </c>
      <c r="Z34" s="57" t="s">
        <v>40</v>
      </c>
      <c r="AA34" s="57" t="s">
        <v>69</v>
      </c>
      <c r="AB34" s="57" t="s">
        <v>187</v>
      </c>
    </row>
    <row r="35" spans="1:28" x14ac:dyDescent="0.15">
      <c r="A35" s="57" t="s">
        <v>41</v>
      </c>
      <c r="B35" s="58" t="s">
        <v>157</v>
      </c>
      <c r="C35" s="59">
        <v>2019</v>
      </c>
      <c r="D35" s="60" t="s">
        <v>191</v>
      </c>
      <c r="E35" s="36" t="s">
        <v>197</v>
      </c>
      <c r="F35" s="57" t="s">
        <v>185</v>
      </c>
      <c r="G35" s="57" t="s">
        <v>42</v>
      </c>
      <c r="H35" s="57" t="s">
        <v>162</v>
      </c>
      <c r="I35" s="57" t="s">
        <v>161</v>
      </c>
      <c r="J35" s="57" t="s">
        <v>38</v>
      </c>
      <c r="K35" s="57" t="s">
        <v>163</v>
      </c>
      <c r="L35" s="36">
        <v>1</v>
      </c>
      <c r="N35" s="36">
        <v>4</v>
      </c>
      <c r="O35" s="36">
        <v>0.95</v>
      </c>
      <c r="P35" s="36">
        <v>0.9</v>
      </c>
      <c r="Q35" s="75">
        <f t="shared" si="0"/>
        <v>0.92500000000000004</v>
      </c>
      <c r="R35" s="36">
        <v>15.4</v>
      </c>
      <c r="S35" s="36">
        <v>118</v>
      </c>
      <c r="T35" s="62">
        <f t="shared" si="1"/>
        <v>30</v>
      </c>
      <c r="U35" s="36">
        <v>753</v>
      </c>
      <c r="V35" s="62">
        <f t="shared" si="2"/>
        <v>5647.5</v>
      </c>
      <c r="W35" s="36">
        <v>3</v>
      </c>
      <c r="X35" s="57" t="s">
        <v>46</v>
      </c>
      <c r="Y35" s="57" t="s">
        <v>55</v>
      </c>
      <c r="Z35" s="57" t="s">
        <v>40</v>
      </c>
      <c r="AA35" s="57" t="s">
        <v>69</v>
      </c>
      <c r="AB35" s="57" t="s">
        <v>187</v>
      </c>
    </row>
    <row r="36" spans="1:28" x14ac:dyDescent="0.15">
      <c r="A36" s="57" t="s">
        <v>41</v>
      </c>
      <c r="B36" s="58" t="s">
        <v>157</v>
      </c>
      <c r="C36" s="59">
        <v>2019</v>
      </c>
      <c r="D36" s="60" t="s">
        <v>191</v>
      </c>
      <c r="E36" s="36" t="s">
        <v>197</v>
      </c>
      <c r="F36" s="57" t="s">
        <v>185</v>
      </c>
      <c r="G36" s="57" t="s">
        <v>42</v>
      </c>
      <c r="H36" s="57" t="s">
        <v>162</v>
      </c>
      <c r="I36" s="57" t="s">
        <v>161</v>
      </c>
      <c r="J36" s="57" t="s">
        <v>38</v>
      </c>
      <c r="K36" s="57" t="s">
        <v>163</v>
      </c>
      <c r="L36" s="36">
        <v>2</v>
      </c>
      <c r="N36" s="36">
        <v>4</v>
      </c>
      <c r="O36" s="36">
        <v>0.8</v>
      </c>
      <c r="P36" s="36">
        <v>0.85</v>
      </c>
      <c r="Q36" s="75">
        <f t="shared" si="0"/>
        <v>0.82499999999999996</v>
      </c>
      <c r="R36" s="36">
        <v>12</v>
      </c>
      <c r="S36" s="36">
        <v>120</v>
      </c>
      <c r="T36" s="62">
        <f t="shared" si="1"/>
        <v>30</v>
      </c>
      <c r="U36" s="36">
        <v>753</v>
      </c>
      <c r="V36" s="62">
        <f t="shared" si="2"/>
        <v>5647.5</v>
      </c>
      <c r="W36" s="36">
        <v>3</v>
      </c>
      <c r="X36" s="57" t="s">
        <v>46</v>
      </c>
      <c r="Y36" s="57" t="s">
        <v>55</v>
      </c>
      <c r="Z36" s="57" t="s">
        <v>40</v>
      </c>
      <c r="AA36" s="57" t="s">
        <v>69</v>
      </c>
      <c r="AB36" s="57" t="s">
        <v>187</v>
      </c>
    </row>
    <row r="37" spans="1:28" x14ac:dyDescent="0.15">
      <c r="A37" s="57" t="s">
        <v>41</v>
      </c>
      <c r="B37" s="58" t="s">
        <v>157</v>
      </c>
      <c r="C37" s="59">
        <v>2019</v>
      </c>
      <c r="D37" s="60" t="s">
        <v>191</v>
      </c>
      <c r="E37" s="36" t="s">
        <v>197</v>
      </c>
      <c r="F37" s="57" t="s">
        <v>185</v>
      </c>
      <c r="G37" s="57" t="s">
        <v>42</v>
      </c>
      <c r="H37" s="57" t="s">
        <v>162</v>
      </c>
      <c r="I37" s="57" t="s">
        <v>161</v>
      </c>
      <c r="J37" s="57" t="s">
        <v>38</v>
      </c>
      <c r="K37" s="57" t="s">
        <v>163</v>
      </c>
      <c r="L37" s="36">
        <v>3</v>
      </c>
      <c r="N37" s="36">
        <v>4</v>
      </c>
      <c r="O37" s="36">
        <v>0.8</v>
      </c>
      <c r="P37" s="36">
        <v>0.85</v>
      </c>
      <c r="Q37" s="75">
        <f t="shared" si="0"/>
        <v>0.82499999999999996</v>
      </c>
      <c r="R37" s="36">
        <v>13.8</v>
      </c>
      <c r="S37" s="36">
        <v>114</v>
      </c>
      <c r="T37" s="62">
        <f t="shared" si="1"/>
        <v>30</v>
      </c>
      <c r="U37" s="36">
        <v>753</v>
      </c>
      <c r="V37" s="62">
        <f t="shared" si="2"/>
        <v>5647.5</v>
      </c>
      <c r="W37" s="36">
        <v>3</v>
      </c>
      <c r="X37" s="57" t="s">
        <v>46</v>
      </c>
      <c r="Y37" s="57" t="s">
        <v>55</v>
      </c>
      <c r="Z37" s="57" t="s">
        <v>40</v>
      </c>
      <c r="AA37" s="57" t="s">
        <v>69</v>
      </c>
      <c r="AB37" s="57" t="s">
        <v>187</v>
      </c>
    </row>
    <row r="38" spans="1:28" x14ac:dyDescent="0.15">
      <c r="A38" s="57" t="s">
        <v>41</v>
      </c>
      <c r="B38" s="58" t="s">
        <v>157</v>
      </c>
      <c r="C38" s="59">
        <v>2019</v>
      </c>
      <c r="D38" s="60" t="s">
        <v>191</v>
      </c>
      <c r="E38" s="36" t="s">
        <v>197</v>
      </c>
      <c r="F38" s="57" t="s">
        <v>185</v>
      </c>
      <c r="G38" s="57" t="s">
        <v>42</v>
      </c>
      <c r="H38" s="57" t="s">
        <v>162</v>
      </c>
      <c r="I38" s="57" t="s">
        <v>161</v>
      </c>
      <c r="J38" s="57" t="s">
        <v>38</v>
      </c>
      <c r="K38" s="57" t="s">
        <v>163</v>
      </c>
      <c r="L38" s="36">
        <v>1</v>
      </c>
      <c r="N38" s="36">
        <v>10</v>
      </c>
      <c r="O38" s="36">
        <v>1</v>
      </c>
      <c r="P38" s="36">
        <v>0.9</v>
      </c>
      <c r="Q38" s="75">
        <f t="shared" si="0"/>
        <v>0.95</v>
      </c>
      <c r="R38" s="36">
        <v>14.1</v>
      </c>
      <c r="S38" s="36">
        <v>118</v>
      </c>
      <c r="T38" s="62">
        <f t="shared" si="1"/>
        <v>30</v>
      </c>
      <c r="U38" s="36">
        <v>1490</v>
      </c>
      <c r="V38" s="62">
        <f t="shared" si="2"/>
        <v>4470</v>
      </c>
      <c r="W38" s="36">
        <v>2</v>
      </c>
      <c r="X38" s="57" t="s">
        <v>46</v>
      </c>
      <c r="Y38" s="57" t="s">
        <v>55</v>
      </c>
      <c r="Z38" s="57" t="s">
        <v>40</v>
      </c>
      <c r="AA38" s="57" t="s">
        <v>69</v>
      </c>
      <c r="AB38" s="57" t="s">
        <v>187</v>
      </c>
    </row>
    <row r="39" spans="1:28" x14ac:dyDescent="0.15">
      <c r="A39" s="57" t="s">
        <v>41</v>
      </c>
      <c r="B39" s="58" t="s">
        <v>157</v>
      </c>
      <c r="C39" s="59">
        <v>2019</v>
      </c>
      <c r="D39" s="60" t="s">
        <v>191</v>
      </c>
      <c r="E39" s="36" t="s">
        <v>197</v>
      </c>
      <c r="F39" s="57" t="s">
        <v>185</v>
      </c>
      <c r="G39" s="57" t="s">
        <v>42</v>
      </c>
      <c r="H39" s="57" t="s">
        <v>162</v>
      </c>
      <c r="I39" s="57" t="s">
        <v>161</v>
      </c>
      <c r="J39" s="57" t="s">
        <v>38</v>
      </c>
      <c r="K39" s="57" t="s">
        <v>163</v>
      </c>
      <c r="L39" s="36">
        <v>2</v>
      </c>
      <c r="N39" s="36">
        <v>10</v>
      </c>
      <c r="O39" s="36">
        <v>1</v>
      </c>
      <c r="P39" s="36">
        <v>0.85</v>
      </c>
      <c r="Q39" s="75">
        <f t="shared" si="0"/>
        <v>0.92500000000000004</v>
      </c>
      <c r="R39" s="36">
        <v>12.8</v>
      </c>
      <c r="S39" s="36">
        <v>115</v>
      </c>
      <c r="T39" s="62">
        <f t="shared" si="1"/>
        <v>30</v>
      </c>
      <c r="U39" s="36">
        <v>1490</v>
      </c>
      <c r="V39" s="62">
        <f t="shared" si="2"/>
        <v>4470</v>
      </c>
      <c r="W39" s="36">
        <v>2</v>
      </c>
      <c r="X39" s="57" t="s">
        <v>46</v>
      </c>
      <c r="Y39" s="57" t="s">
        <v>55</v>
      </c>
      <c r="Z39" s="57" t="s">
        <v>40</v>
      </c>
      <c r="AA39" s="57" t="s">
        <v>69</v>
      </c>
      <c r="AB39" s="57" t="s">
        <v>187</v>
      </c>
    </row>
    <row r="40" spans="1:28" x14ac:dyDescent="0.15">
      <c r="A40" s="57" t="s">
        <v>41</v>
      </c>
      <c r="B40" s="58" t="s">
        <v>157</v>
      </c>
      <c r="C40" s="59">
        <v>2019</v>
      </c>
      <c r="D40" s="60" t="s">
        <v>191</v>
      </c>
      <c r="E40" s="36" t="s">
        <v>197</v>
      </c>
      <c r="F40" s="57" t="s">
        <v>185</v>
      </c>
      <c r="G40" s="57" t="s">
        <v>42</v>
      </c>
      <c r="H40" s="57" t="s">
        <v>162</v>
      </c>
      <c r="I40" s="57" t="s">
        <v>161</v>
      </c>
      <c r="J40" s="57" t="s">
        <v>38</v>
      </c>
      <c r="K40" s="57" t="s">
        <v>163</v>
      </c>
      <c r="L40" s="36">
        <v>3</v>
      </c>
      <c r="N40" s="36">
        <v>10</v>
      </c>
      <c r="O40" s="36">
        <v>0.85</v>
      </c>
      <c r="P40" s="36">
        <v>0.8</v>
      </c>
      <c r="Q40" s="75">
        <f t="shared" si="0"/>
        <v>0.82499999999999996</v>
      </c>
      <c r="R40" s="36">
        <v>14.5</v>
      </c>
      <c r="S40" s="36">
        <v>120</v>
      </c>
      <c r="T40" s="62">
        <f t="shared" si="1"/>
        <v>30</v>
      </c>
      <c r="U40" s="36">
        <v>1490</v>
      </c>
      <c r="V40" s="62">
        <f t="shared" si="2"/>
        <v>4470</v>
      </c>
      <c r="W40" s="36">
        <v>2</v>
      </c>
      <c r="X40" s="57" t="s">
        <v>46</v>
      </c>
      <c r="Y40" s="57" t="s">
        <v>55</v>
      </c>
      <c r="Z40" s="57" t="s">
        <v>40</v>
      </c>
      <c r="AA40" s="57" t="s">
        <v>69</v>
      </c>
      <c r="AB40" s="57" t="s">
        <v>187</v>
      </c>
    </row>
    <row r="41" spans="1:28" x14ac:dyDescent="0.15">
      <c r="A41" s="57" t="s">
        <v>41</v>
      </c>
      <c r="B41" s="58" t="s">
        <v>157</v>
      </c>
      <c r="C41" s="59">
        <v>2019</v>
      </c>
      <c r="D41" s="60" t="s">
        <v>191</v>
      </c>
      <c r="E41" s="36" t="s">
        <v>197</v>
      </c>
      <c r="F41" s="57" t="s">
        <v>199</v>
      </c>
      <c r="G41" s="57" t="s">
        <v>42</v>
      </c>
      <c r="H41" s="57" t="s">
        <v>162</v>
      </c>
      <c r="I41" s="57" t="s">
        <v>161</v>
      </c>
      <c r="J41" s="57" t="s">
        <v>38</v>
      </c>
      <c r="K41" s="57" t="s">
        <v>163</v>
      </c>
      <c r="L41" s="36">
        <v>1</v>
      </c>
      <c r="N41" s="36">
        <v>1</v>
      </c>
      <c r="O41" s="36">
        <v>0.55000000000000004</v>
      </c>
      <c r="P41" s="36">
        <v>0.5</v>
      </c>
      <c r="Q41" s="75">
        <f t="shared" si="0"/>
        <v>0.52500000000000002</v>
      </c>
      <c r="R41" s="36">
        <v>15.2</v>
      </c>
      <c r="S41" s="36">
        <v>125</v>
      </c>
      <c r="T41" s="62">
        <f t="shared" si="1"/>
        <v>27</v>
      </c>
      <c r="U41" s="36">
        <v>170</v>
      </c>
      <c r="V41" s="62">
        <f t="shared" si="2"/>
        <v>4590</v>
      </c>
      <c r="W41" s="36">
        <v>2</v>
      </c>
      <c r="X41" s="57" t="s">
        <v>46</v>
      </c>
      <c r="Y41" s="36" t="s">
        <v>69</v>
      </c>
      <c r="Z41" s="36" t="s">
        <v>40</v>
      </c>
      <c r="AA41" s="36" t="s">
        <v>55</v>
      </c>
      <c r="AB41" s="57" t="s">
        <v>187</v>
      </c>
    </row>
    <row r="42" spans="1:28" x14ac:dyDescent="0.15">
      <c r="A42" s="57" t="s">
        <v>41</v>
      </c>
      <c r="B42" s="58" t="s">
        <v>157</v>
      </c>
      <c r="C42" s="59">
        <v>2019</v>
      </c>
      <c r="D42" s="60" t="s">
        <v>191</v>
      </c>
      <c r="E42" s="36" t="s">
        <v>197</v>
      </c>
      <c r="F42" s="57" t="s">
        <v>199</v>
      </c>
      <c r="G42" s="57" t="s">
        <v>42</v>
      </c>
      <c r="H42" s="57" t="s">
        <v>162</v>
      </c>
      <c r="I42" s="57" t="s">
        <v>161</v>
      </c>
      <c r="J42" s="57" t="s">
        <v>38</v>
      </c>
      <c r="K42" s="57" t="s">
        <v>163</v>
      </c>
      <c r="L42" s="36">
        <v>2</v>
      </c>
      <c r="N42" s="36">
        <v>1</v>
      </c>
      <c r="O42" s="57">
        <v>0.75</v>
      </c>
      <c r="P42" s="57">
        <v>0.6</v>
      </c>
      <c r="Q42" s="75">
        <f t="shared" si="0"/>
        <v>0.67500000000000004</v>
      </c>
      <c r="R42" s="36">
        <v>13</v>
      </c>
      <c r="S42" s="36">
        <v>121</v>
      </c>
      <c r="T42" s="62">
        <f t="shared" si="1"/>
        <v>27</v>
      </c>
      <c r="U42" s="36">
        <v>170</v>
      </c>
      <c r="V42" s="62">
        <f t="shared" si="2"/>
        <v>4590</v>
      </c>
      <c r="W42" s="36">
        <v>2</v>
      </c>
      <c r="X42" s="57" t="s">
        <v>46</v>
      </c>
      <c r="Y42" s="36" t="s">
        <v>69</v>
      </c>
      <c r="Z42" s="36" t="s">
        <v>40</v>
      </c>
      <c r="AA42" s="36" t="s">
        <v>55</v>
      </c>
      <c r="AB42" s="57" t="s">
        <v>187</v>
      </c>
    </row>
    <row r="43" spans="1:28" x14ac:dyDescent="0.15">
      <c r="A43" s="57" t="s">
        <v>41</v>
      </c>
      <c r="B43" s="58" t="s">
        <v>157</v>
      </c>
      <c r="C43" s="59">
        <v>2019</v>
      </c>
      <c r="D43" s="60" t="s">
        <v>191</v>
      </c>
      <c r="E43" s="36" t="s">
        <v>197</v>
      </c>
      <c r="F43" s="57" t="s">
        <v>199</v>
      </c>
      <c r="G43" s="57" t="s">
        <v>42</v>
      </c>
      <c r="H43" s="57" t="s">
        <v>162</v>
      </c>
      <c r="I43" s="57" t="s">
        <v>161</v>
      </c>
      <c r="J43" s="57" t="s">
        <v>38</v>
      </c>
      <c r="K43" s="57" t="s">
        <v>163</v>
      </c>
      <c r="L43" s="36">
        <v>3</v>
      </c>
      <c r="N43" s="36">
        <v>1</v>
      </c>
      <c r="O43" s="57">
        <v>0.45</v>
      </c>
      <c r="P43" s="57">
        <v>0.65</v>
      </c>
      <c r="Q43" s="75">
        <f t="shared" si="0"/>
        <v>0.55000000000000004</v>
      </c>
      <c r="R43" s="36">
        <v>17.399999999999999</v>
      </c>
      <c r="S43" s="36">
        <v>124</v>
      </c>
      <c r="T43" s="62">
        <f t="shared" si="1"/>
        <v>27</v>
      </c>
      <c r="U43" s="36">
        <v>170</v>
      </c>
      <c r="V43" s="62">
        <f t="shared" si="2"/>
        <v>4590</v>
      </c>
      <c r="W43" s="36">
        <v>2</v>
      </c>
      <c r="X43" s="57" t="s">
        <v>46</v>
      </c>
      <c r="Y43" s="36" t="s">
        <v>69</v>
      </c>
      <c r="Z43" s="36" t="s">
        <v>40</v>
      </c>
      <c r="AA43" s="36" t="s">
        <v>55</v>
      </c>
      <c r="AB43" s="57" t="s">
        <v>187</v>
      </c>
    </row>
    <row r="44" spans="1:28" x14ac:dyDescent="0.15">
      <c r="A44" s="57" t="s">
        <v>41</v>
      </c>
      <c r="B44" s="58" t="s">
        <v>157</v>
      </c>
      <c r="C44" s="59">
        <v>2019</v>
      </c>
      <c r="D44" s="60" t="s">
        <v>191</v>
      </c>
      <c r="E44" s="36" t="s">
        <v>197</v>
      </c>
      <c r="F44" s="57" t="s">
        <v>199</v>
      </c>
      <c r="G44" s="57" t="s">
        <v>42</v>
      </c>
      <c r="H44" s="57" t="s">
        <v>162</v>
      </c>
      <c r="I44" s="57" t="s">
        <v>161</v>
      </c>
      <c r="J44" s="57" t="s">
        <v>38</v>
      </c>
      <c r="K44" s="57" t="s">
        <v>163</v>
      </c>
      <c r="L44" s="36">
        <v>1</v>
      </c>
      <c r="N44" s="36">
        <v>4</v>
      </c>
      <c r="O44" s="57">
        <v>1.2</v>
      </c>
      <c r="P44" s="57">
        <v>0.35</v>
      </c>
      <c r="Q44" s="75">
        <f t="shared" si="0"/>
        <v>0.77499999999999991</v>
      </c>
      <c r="R44" s="36">
        <v>12.8</v>
      </c>
      <c r="S44" s="36">
        <v>124</v>
      </c>
      <c r="T44" s="62">
        <f t="shared" si="1"/>
        <v>27</v>
      </c>
      <c r="U44" s="36">
        <v>645</v>
      </c>
      <c r="V44" s="62">
        <f t="shared" si="2"/>
        <v>4353.75</v>
      </c>
      <c r="W44" s="36">
        <v>2</v>
      </c>
      <c r="X44" s="57" t="s">
        <v>46</v>
      </c>
      <c r="Y44" s="36" t="s">
        <v>69</v>
      </c>
      <c r="Z44" s="36" t="s">
        <v>40</v>
      </c>
      <c r="AA44" s="36" t="s">
        <v>55</v>
      </c>
      <c r="AB44" s="57" t="s">
        <v>187</v>
      </c>
    </row>
    <row r="45" spans="1:28" x14ac:dyDescent="0.15">
      <c r="A45" s="57" t="s">
        <v>41</v>
      </c>
      <c r="B45" s="58" t="s">
        <v>157</v>
      </c>
      <c r="C45" s="59">
        <v>2019</v>
      </c>
      <c r="D45" s="60" t="s">
        <v>191</v>
      </c>
      <c r="E45" s="36" t="s">
        <v>197</v>
      </c>
      <c r="F45" s="57" t="s">
        <v>199</v>
      </c>
      <c r="G45" s="57" t="s">
        <v>42</v>
      </c>
      <c r="H45" s="57" t="s">
        <v>162</v>
      </c>
      <c r="I45" s="57" t="s">
        <v>161</v>
      </c>
      <c r="J45" s="57" t="s">
        <v>38</v>
      </c>
      <c r="K45" s="57" t="s">
        <v>163</v>
      </c>
      <c r="L45" s="36">
        <v>2</v>
      </c>
      <c r="N45" s="36">
        <v>4</v>
      </c>
      <c r="O45" s="57">
        <v>0.95</v>
      </c>
      <c r="P45" s="57">
        <v>0.25</v>
      </c>
      <c r="Q45" s="75">
        <f t="shared" si="0"/>
        <v>0.6</v>
      </c>
      <c r="R45" s="36">
        <v>11.2</v>
      </c>
      <c r="S45" s="36">
        <v>123</v>
      </c>
      <c r="T45" s="62">
        <f t="shared" si="1"/>
        <v>27</v>
      </c>
      <c r="U45" s="36">
        <v>645</v>
      </c>
      <c r="V45" s="62">
        <f t="shared" si="2"/>
        <v>4353.75</v>
      </c>
      <c r="W45" s="36">
        <v>2</v>
      </c>
      <c r="X45" s="57" t="s">
        <v>46</v>
      </c>
      <c r="Y45" s="36" t="s">
        <v>69</v>
      </c>
      <c r="Z45" s="36" t="s">
        <v>40</v>
      </c>
      <c r="AA45" s="36" t="s">
        <v>55</v>
      </c>
      <c r="AB45" s="57" t="s">
        <v>187</v>
      </c>
    </row>
    <row r="46" spans="1:28" x14ac:dyDescent="0.15">
      <c r="A46" s="57" t="s">
        <v>41</v>
      </c>
      <c r="B46" s="58" t="s">
        <v>157</v>
      </c>
      <c r="C46" s="59">
        <v>2019</v>
      </c>
      <c r="D46" s="60" t="s">
        <v>191</v>
      </c>
      <c r="E46" s="36" t="s">
        <v>197</v>
      </c>
      <c r="F46" s="57" t="s">
        <v>199</v>
      </c>
      <c r="G46" s="57" t="s">
        <v>42</v>
      </c>
      <c r="H46" s="57" t="s">
        <v>162</v>
      </c>
      <c r="I46" s="57" t="s">
        <v>161</v>
      </c>
      <c r="J46" s="57" t="s">
        <v>38</v>
      </c>
      <c r="K46" s="57" t="s">
        <v>163</v>
      </c>
      <c r="L46" s="36">
        <v>3</v>
      </c>
      <c r="N46" s="36">
        <v>4</v>
      </c>
      <c r="O46" s="57">
        <v>0.85</v>
      </c>
      <c r="P46" s="57">
        <v>0.4</v>
      </c>
      <c r="Q46" s="75">
        <f t="shared" si="0"/>
        <v>0.625</v>
      </c>
      <c r="R46" s="36">
        <v>15.9</v>
      </c>
      <c r="S46" s="36">
        <v>120</v>
      </c>
      <c r="T46" s="62">
        <f t="shared" si="1"/>
        <v>30</v>
      </c>
      <c r="U46" s="36">
        <v>645</v>
      </c>
      <c r="V46" s="62">
        <f t="shared" si="2"/>
        <v>4837.5</v>
      </c>
      <c r="W46" s="36">
        <v>2</v>
      </c>
      <c r="X46" s="57" t="s">
        <v>46</v>
      </c>
      <c r="Y46" s="36" t="s">
        <v>69</v>
      </c>
      <c r="Z46" s="36" t="s">
        <v>40</v>
      </c>
      <c r="AA46" s="36" t="s">
        <v>55</v>
      </c>
      <c r="AB46" s="57" t="s">
        <v>187</v>
      </c>
    </row>
    <row r="47" spans="1:28" x14ac:dyDescent="0.15">
      <c r="A47" s="57" t="s">
        <v>41</v>
      </c>
      <c r="B47" s="58" t="s">
        <v>157</v>
      </c>
      <c r="C47" s="59">
        <v>2019</v>
      </c>
      <c r="D47" s="60" t="s">
        <v>191</v>
      </c>
      <c r="E47" s="36" t="s">
        <v>197</v>
      </c>
      <c r="F47" s="57" t="s">
        <v>199</v>
      </c>
      <c r="G47" s="57" t="s">
        <v>42</v>
      </c>
      <c r="H47" s="57" t="s">
        <v>162</v>
      </c>
      <c r="I47" s="57" t="s">
        <v>161</v>
      </c>
      <c r="J47" s="57" t="s">
        <v>38</v>
      </c>
      <c r="K47" s="57" t="s">
        <v>163</v>
      </c>
      <c r="L47" s="36">
        <v>1</v>
      </c>
      <c r="N47" s="57">
        <v>7</v>
      </c>
      <c r="O47" s="57">
        <v>0.35</v>
      </c>
      <c r="P47" s="57">
        <v>0.4</v>
      </c>
      <c r="Q47" s="75">
        <f t="shared" si="0"/>
        <v>0.375</v>
      </c>
      <c r="R47" s="36">
        <v>12.4</v>
      </c>
      <c r="S47" s="36">
        <v>121</v>
      </c>
      <c r="T47" s="62">
        <f t="shared" si="1"/>
        <v>27</v>
      </c>
      <c r="U47" s="36">
        <v>1069</v>
      </c>
      <c r="V47" s="62">
        <f t="shared" si="2"/>
        <v>4123.2857142857147</v>
      </c>
      <c r="W47" s="36">
        <v>2</v>
      </c>
      <c r="X47" s="57" t="s">
        <v>46</v>
      </c>
      <c r="Y47" s="36" t="s">
        <v>69</v>
      </c>
      <c r="Z47" s="36" t="s">
        <v>40</v>
      </c>
      <c r="AA47" s="36" t="s">
        <v>55</v>
      </c>
      <c r="AB47" s="57" t="s">
        <v>187</v>
      </c>
    </row>
    <row r="48" spans="1:28" x14ac:dyDescent="0.15">
      <c r="A48" s="57" t="s">
        <v>41</v>
      </c>
      <c r="B48" s="58" t="s">
        <v>157</v>
      </c>
      <c r="C48" s="59">
        <v>2019</v>
      </c>
      <c r="D48" s="60" t="s">
        <v>191</v>
      </c>
      <c r="E48" s="36" t="s">
        <v>197</v>
      </c>
      <c r="F48" s="57" t="s">
        <v>199</v>
      </c>
      <c r="G48" s="57" t="s">
        <v>42</v>
      </c>
      <c r="H48" s="57" t="s">
        <v>162</v>
      </c>
      <c r="I48" s="57" t="s">
        <v>161</v>
      </c>
      <c r="J48" s="57" t="s">
        <v>38</v>
      </c>
      <c r="K48" s="57" t="s">
        <v>163</v>
      </c>
      <c r="L48" s="36">
        <v>2</v>
      </c>
      <c r="N48" s="57">
        <v>7</v>
      </c>
      <c r="O48" s="57">
        <v>0.4</v>
      </c>
      <c r="P48" s="57">
        <v>0.5</v>
      </c>
      <c r="Q48" s="75">
        <f t="shared" si="0"/>
        <v>0.45</v>
      </c>
      <c r="R48" s="36">
        <v>15.4</v>
      </c>
      <c r="S48" s="36">
        <v>122</v>
      </c>
      <c r="T48" s="62">
        <f t="shared" si="1"/>
        <v>27</v>
      </c>
      <c r="U48" s="36">
        <v>1069</v>
      </c>
      <c r="V48" s="62">
        <f t="shared" si="2"/>
        <v>4123.2857142857147</v>
      </c>
      <c r="W48" s="36">
        <v>2</v>
      </c>
      <c r="X48" s="57" t="s">
        <v>46</v>
      </c>
      <c r="Y48" s="36" t="s">
        <v>69</v>
      </c>
      <c r="Z48" s="36" t="s">
        <v>40</v>
      </c>
      <c r="AA48" s="36" t="s">
        <v>55</v>
      </c>
      <c r="AB48" s="57" t="s">
        <v>187</v>
      </c>
    </row>
    <row r="49" spans="1:28" x14ac:dyDescent="0.15">
      <c r="A49" s="57" t="s">
        <v>41</v>
      </c>
      <c r="B49" s="58" t="s">
        <v>157</v>
      </c>
      <c r="C49" s="59">
        <v>2019</v>
      </c>
      <c r="D49" s="60" t="s">
        <v>191</v>
      </c>
      <c r="E49" s="36" t="s">
        <v>197</v>
      </c>
      <c r="F49" s="57" t="s">
        <v>199</v>
      </c>
      <c r="G49" s="57" t="s">
        <v>42</v>
      </c>
      <c r="H49" s="57" t="s">
        <v>162</v>
      </c>
      <c r="I49" s="57" t="s">
        <v>161</v>
      </c>
      <c r="J49" s="57" t="s">
        <v>38</v>
      </c>
      <c r="K49" s="57" t="s">
        <v>163</v>
      </c>
      <c r="L49" s="36">
        <v>3</v>
      </c>
      <c r="N49" s="57">
        <v>7</v>
      </c>
      <c r="O49" s="57">
        <v>0.5</v>
      </c>
      <c r="P49" s="57">
        <v>0.5</v>
      </c>
      <c r="Q49" s="75">
        <f t="shared" si="0"/>
        <v>0.5</v>
      </c>
      <c r="R49" s="36">
        <v>13.8</v>
      </c>
      <c r="S49" s="36">
        <v>125</v>
      </c>
      <c r="T49" s="62">
        <f t="shared" si="1"/>
        <v>27</v>
      </c>
      <c r="U49" s="36">
        <v>1069</v>
      </c>
      <c r="V49" s="62">
        <f t="shared" si="2"/>
        <v>4123.2857142857147</v>
      </c>
      <c r="W49" s="36">
        <v>2</v>
      </c>
      <c r="X49" s="57" t="s">
        <v>46</v>
      </c>
      <c r="Y49" s="36" t="s">
        <v>69</v>
      </c>
      <c r="Z49" s="36" t="s">
        <v>40</v>
      </c>
      <c r="AA49" s="36" t="s">
        <v>55</v>
      </c>
      <c r="AB49" s="57" t="s">
        <v>187</v>
      </c>
    </row>
    <row r="50" spans="1:28" x14ac:dyDescent="0.15">
      <c r="A50" s="57" t="s">
        <v>41</v>
      </c>
      <c r="B50" s="58" t="s">
        <v>157</v>
      </c>
      <c r="C50" s="59">
        <v>2019</v>
      </c>
      <c r="D50" s="60" t="s">
        <v>191</v>
      </c>
      <c r="E50" s="36" t="s">
        <v>201</v>
      </c>
      <c r="F50" s="36" t="s">
        <v>199</v>
      </c>
      <c r="G50" s="57" t="s">
        <v>42</v>
      </c>
      <c r="H50" s="57" t="s">
        <v>186</v>
      </c>
      <c r="I50" s="57" t="s">
        <v>161</v>
      </c>
      <c r="J50" s="57" t="s">
        <v>38</v>
      </c>
      <c r="K50" s="57" t="s">
        <v>163</v>
      </c>
      <c r="L50" s="36">
        <v>1</v>
      </c>
      <c r="N50" s="57">
        <v>4</v>
      </c>
      <c r="O50" s="57">
        <v>0.9</v>
      </c>
      <c r="P50" s="57">
        <v>0.8</v>
      </c>
      <c r="Q50" s="75">
        <f t="shared" si="0"/>
        <v>0.85000000000000009</v>
      </c>
      <c r="R50" s="36">
        <v>11.5</v>
      </c>
      <c r="S50" s="36">
        <v>115</v>
      </c>
      <c r="T50" s="62">
        <f t="shared" si="1"/>
        <v>30</v>
      </c>
      <c r="U50" s="36">
        <v>320</v>
      </c>
      <c r="V50" s="62">
        <f t="shared" si="2"/>
        <v>2400</v>
      </c>
      <c r="W50" s="36">
        <v>1</v>
      </c>
      <c r="X50" s="57" t="s">
        <v>46</v>
      </c>
      <c r="Y50" s="36" t="s">
        <v>69</v>
      </c>
      <c r="Z50" s="36" t="s">
        <v>47</v>
      </c>
      <c r="AA50" s="36" t="s">
        <v>78</v>
      </c>
      <c r="AB50" s="57" t="s">
        <v>187</v>
      </c>
    </row>
    <row r="51" spans="1:28" x14ac:dyDescent="0.15">
      <c r="A51" s="57" t="s">
        <v>41</v>
      </c>
      <c r="B51" s="58" t="s">
        <v>157</v>
      </c>
      <c r="C51" s="59">
        <v>2019</v>
      </c>
      <c r="D51" s="60" t="s">
        <v>191</v>
      </c>
      <c r="E51" s="36" t="s">
        <v>201</v>
      </c>
      <c r="F51" s="36" t="s">
        <v>199</v>
      </c>
      <c r="G51" s="57" t="s">
        <v>42</v>
      </c>
      <c r="H51" s="57" t="s">
        <v>186</v>
      </c>
      <c r="I51" s="57" t="s">
        <v>161</v>
      </c>
      <c r="J51" s="57" t="s">
        <v>38</v>
      </c>
      <c r="K51" s="57" t="s">
        <v>163</v>
      </c>
      <c r="L51" s="36">
        <v>2</v>
      </c>
      <c r="N51" s="57">
        <v>4</v>
      </c>
      <c r="O51" s="57">
        <v>0.8</v>
      </c>
      <c r="P51" s="57">
        <v>0.7</v>
      </c>
      <c r="Q51" s="75">
        <f t="shared" si="0"/>
        <v>0.75</v>
      </c>
      <c r="R51" s="36">
        <v>12.8</v>
      </c>
      <c r="S51" s="36">
        <v>120</v>
      </c>
      <c r="T51" s="62">
        <f t="shared" si="1"/>
        <v>30</v>
      </c>
      <c r="U51" s="36">
        <v>320</v>
      </c>
      <c r="V51" s="62">
        <f t="shared" si="2"/>
        <v>2400</v>
      </c>
      <c r="W51" s="36">
        <v>1</v>
      </c>
      <c r="X51" s="57" t="s">
        <v>46</v>
      </c>
      <c r="Y51" s="36" t="s">
        <v>69</v>
      </c>
      <c r="Z51" s="36" t="s">
        <v>47</v>
      </c>
      <c r="AA51" s="36" t="s">
        <v>78</v>
      </c>
      <c r="AB51" s="57" t="s">
        <v>187</v>
      </c>
    </row>
    <row r="52" spans="1:28" x14ac:dyDescent="0.15">
      <c r="A52" s="57" t="s">
        <v>41</v>
      </c>
      <c r="B52" s="58" t="s">
        <v>157</v>
      </c>
      <c r="C52" s="59">
        <v>2019</v>
      </c>
      <c r="D52" s="60" t="s">
        <v>191</v>
      </c>
      <c r="E52" s="36" t="s">
        <v>201</v>
      </c>
      <c r="F52" s="36" t="s">
        <v>199</v>
      </c>
      <c r="G52" s="57" t="s">
        <v>42</v>
      </c>
      <c r="H52" s="57" t="s">
        <v>186</v>
      </c>
      <c r="I52" s="57" t="s">
        <v>161</v>
      </c>
      <c r="J52" s="57" t="s">
        <v>38</v>
      </c>
      <c r="K52" s="57" t="s">
        <v>163</v>
      </c>
      <c r="L52" s="36">
        <v>3</v>
      </c>
      <c r="N52" s="57">
        <v>4</v>
      </c>
      <c r="O52" s="57">
        <v>0.85</v>
      </c>
      <c r="P52" s="57">
        <v>0.7</v>
      </c>
      <c r="Q52" s="75">
        <f t="shared" si="0"/>
        <v>0.77499999999999991</v>
      </c>
      <c r="R52" s="36">
        <v>14.2</v>
      </c>
      <c r="S52" s="36">
        <v>114</v>
      </c>
      <c r="T52" s="62">
        <f t="shared" si="1"/>
        <v>30</v>
      </c>
      <c r="U52" s="36">
        <v>320</v>
      </c>
      <c r="V52" s="62">
        <f t="shared" si="2"/>
        <v>2400</v>
      </c>
      <c r="W52" s="36">
        <v>1</v>
      </c>
      <c r="X52" s="57" t="s">
        <v>46</v>
      </c>
      <c r="Y52" s="36" t="s">
        <v>69</v>
      </c>
      <c r="Z52" s="36" t="s">
        <v>47</v>
      </c>
      <c r="AA52" s="36" t="s">
        <v>78</v>
      </c>
      <c r="AB52" s="57" t="s">
        <v>187</v>
      </c>
    </row>
    <row r="53" spans="1:28" x14ac:dyDescent="0.15">
      <c r="A53" s="57" t="s">
        <v>41</v>
      </c>
      <c r="B53" s="58" t="s">
        <v>157</v>
      </c>
      <c r="C53" s="59">
        <v>2019</v>
      </c>
      <c r="D53" s="60" t="s">
        <v>191</v>
      </c>
      <c r="E53" s="36" t="s">
        <v>201</v>
      </c>
      <c r="F53" s="36" t="s">
        <v>199</v>
      </c>
      <c r="G53" s="57" t="s">
        <v>42</v>
      </c>
      <c r="H53" s="57" t="s">
        <v>162</v>
      </c>
      <c r="I53" s="57" t="s">
        <v>161</v>
      </c>
      <c r="J53" s="57" t="s">
        <v>38</v>
      </c>
      <c r="K53" s="57" t="s">
        <v>163</v>
      </c>
      <c r="L53" s="36">
        <v>1</v>
      </c>
      <c r="N53" s="57">
        <v>1</v>
      </c>
      <c r="O53" s="57">
        <v>0.45</v>
      </c>
      <c r="P53" s="57">
        <v>0.5</v>
      </c>
      <c r="Q53" s="75">
        <f t="shared" si="0"/>
        <v>0.47499999999999998</v>
      </c>
      <c r="R53" s="57">
        <v>12.6</v>
      </c>
      <c r="S53" s="57">
        <v>118</v>
      </c>
      <c r="T53" s="62">
        <f t="shared" si="1"/>
        <v>30</v>
      </c>
      <c r="U53" s="57">
        <v>93</v>
      </c>
      <c r="V53" s="62">
        <f t="shared" si="2"/>
        <v>2790</v>
      </c>
      <c r="W53" s="36">
        <v>3</v>
      </c>
      <c r="X53" s="57" t="s">
        <v>46</v>
      </c>
      <c r="Y53" s="57" t="s">
        <v>69</v>
      </c>
      <c r="Z53" s="36" t="s">
        <v>47</v>
      </c>
      <c r="AA53" s="36" t="s">
        <v>78</v>
      </c>
      <c r="AB53" s="57" t="s">
        <v>187</v>
      </c>
    </row>
    <row r="54" spans="1:28" x14ac:dyDescent="0.15">
      <c r="A54" s="57" t="s">
        <v>41</v>
      </c>
      <c r="B54" s="58" t="s">
        <v>157</v>
      </c>
      <c r="C54" s="59">
        <v>2019</v>
      </c>
      <c r="D54" s="60" t="s">
        <v>191</v>
      </c>
      <c r="E54" s="36" t="s">
        <v>201</v>
      </c>
      <c r="F54" s="36" t="s">
        <v>199</v>
      </c>
      <c r="G54" s="57" t="s">
        <v>42</v>
      </c>
      <c r="H54" s="57" t="s">
        <v>162</v>
      </c>
      <c r="I54" s="57" t="s">
        <v>161</v>
      </c>
      <c r="J54" s="57" t="s">
        <v>38</v>
      </c>
      <c r="K54" s="57" t="s">
        <v>163</v>
      </c>
      <c r="L54" s="36">
        <v>2</v>
      </c>
      <c r="N54" s="57">
        <v>1</v>
      </c>
      <c r="O54" s="57">
        <v>0.8</v>
      </c>
      <c r="P54" s="57">
        <v>0.75</v>
      </c>
      <c r="Q54" s="75">
        <f t="shared" si="0"/>
        <v>0.77500000000000002</v>
      </c>
      <c r="R54" s="57">
        <v>13.5</v>
      </c>
      <c r="S54" s="57">
        <v>115</v>
      </c>
      <c r="T54" s="62">
        <f t="shared" si="1"/>
        <v>30</v>
      </c>
      <c r="U54" s="57">
        <v>93</v>
      </c>
      <c r="V54" s="62">
        <f t="shared" si="2"/>
        <v>2790</v>
      </c>
      <c r="W54" s="36">
        <v>3</v>
      </c>
      <c r="X54" s="57" t="s">
        <v>46</v>
      </c>
      <c r="Y54" s="57" t="s">
        <v>69</v>
      </c>
      <c r="Z54" s="36" t="s">
        <v>47</v>
      </c>
      <c r="AA54" s="36" t="s">
        <v>78</v>
      </c>
      <c r="AB54" s="57" t="s">
        <v>187</v>
      </c>
    </row>
    <row r="55" spans="1:28" x14ac:dyDescent="0.15">
      <c r="A55" s="57" t="s">
        <v>41</v>
      </c>
      <c r="B55" s="58" t="s">
        <v>157</v>
      </c>
      <c r="C55" s="59">
        <v>2019</v>
      </c>
      <c r="D55" s="60" t="s">
        <v>191</v>
      </c>
      <c r="E55" s="36" t="s">
        <v>201</v>
      </c>
      <c r="F55" s="36" t="s">
        <v>199</v>
      </c>
      <c r="G55" s="57" t="s">
        <v>42</v>
      </c>
      <c r="H55" s="57" t="s">
        <v>162</v>
      </c>
      <c r="I55" s="57" t="s">
        <v>161</v>
      </c>
      <c r="J55" s="57" t="s">
        <v>38</v>
      </c>
      <c r="K55" s="57" t="s">
        <v>163</v>
      </c>
      <c r="L55" s="36">
        <v>3</v>
      </c>
      <c r="N55" s="57">
        <v>1</v>
      </c>
      <c r="O55" s="57">
        <v>0.65</v>
      </c>
      <c r="P55" s="57">
        <v>0.7</v>
      </c>
      <c r="Q55" s="75">
        <f t="shared" si="0"/>
        <v>0.67500000000000004</v>
      </c>
      <c r="R55" s="57">
        <v>12.8</v>
      </c>
      <c r="S55" s="57">
        <v>117</v>
      </c>
      <c r="T55" s="62">
        <f t="shared" si="1"/>
        <v>30</v>
      </c>
      <c r="U55" s="57">
        <v>93</v>
      </c>
      <c r="V55" s="62">
        <f t="shared" si="2"/>
        <v>2790</v>
      </c>
      <c r="W55" s="36">
        <v>3</v>
      </c>
      <c r="X55" s="57" t="s">
        <v>46</v>
      </c>
      <c r="Y55" s="57" t="s">
        <v>69</v>
      </c>
      <c r="Z55" s="36" t="s">
        <v>47</v>
      </c>
      <c r="AA55" s="36" t="s">
        <v>78</v>
      </c>
      <c r="AB55" s="57" t="s">
        <v>187</v>
      </c>
    </row>
    <row r="56" spans="1:28" x14ac:dyDescent="0.15">
      <c r="A56" s="57" t="s">
        <v>41</v>
      </c>
      <c r="B56" s="58" t="s">
        <v>157</v>
      </c>
      <c r="C56" s="59">
        <v>2019</v>
      </c>
      <c r="D56" s="60" t="s">
        <v>191</v>
      </c>
      <c r="E56" s="57" t="s">
        <v>203</v>
      </c>
      <c r="F56" s="36" t="s">
        <v>204</v>
      </c>
      <c r="G56" s="57" t="s">
        <v>42</v>
      </c>
      <c r="H56" s="57" t="s">
        <v>188</v>
      </c>
      <c r="I56" s="57" t="s">
        <v>161</v>
      </c>
      <c r="J56" s="57" t="s">
        <v>53</v>
      </c>
      <c r="K56" s="57" t="s">
        <v>54</v>
      </c>
      <c r="L56" s="57">
        <v>1</v>
      </c>
      <c r="M56" s="57"/>
      <c r="N56" s="57">
        <v>1</v>
      </c>
      <c r="O56" s="36">
        <v>0.5</v>
      </c>
      <c r="P56" s="36">
        <v>0.45</v>
      </c>
      <c r="Q56" s="75">
        <f t="shared" si="0"/>
        <v>0.47499999999999998</v>
      </c>
      <c r="R56" s="36">
        <v>13.5</v>
      </c>
      <c r="S56" s="36">
        <v>125</v>
      </c>
      <c r="T56" s="62">
        <f t="shared" si="1"/>
        <v>27</v>
      </c>
      <c r="U56" s="57">
        <v>105</v>
      </c>
      <c r="V56" s="62">
        <f t="shared" si="2"/>
        <v>2835</v>
      </c>
      <c r="W56" s="57">
        <v>2</v>
      </c>
      <c r="X56" s="57" t="s">
        <v>46</v>
      </c>
      <c r="Y56" s="57" t="s">
        <v>55</v>
      </c>
      <c r="Z56" s="57" t="s">
        <v>69</v>
      </c>
      <c r="AA56" s="57" t="s">
        <v>40</v>
      </c>
      <c r="AB56" s="57" t="s">
        <v>187</v>
      </c>
    </row>
    <row r="57" spans="1:28" x14ac:dyDescent="0.15">
      <c r="A57" s="57" t="s">
        <v>41</v>
      </c>
      <c r="B57" s="58" t="s">
        <v>157</v>
      </c>
      <c r="C57" s="59">
        <v>2019</v>
      </c>
      <c r="D57" s="60" t="s">
        <v>191</v>
      </c>
      <c r="E57" s="57" t="s">
        <v>203</v>
      </c>
      <c r="F57" s="36" t="s">
        <v>204</v>
      </c>
      <c r="G57" s="57" t="s">
        <v>42</v>
      </c>
      <c r="H57" s="57" t="s">
        <v>188</v>
      </c>
      <c r="I57" s="57" t="s">
        <v>161</v>
      </c>
      <c r="J57" s="57" t="s">
        <v>53</v>
      </c>
      <c r="K57" s="57" t="s">
        <v>54</v>
      </c>
      <c r="L57" s="36">
        <v>2</v>
      </c>
      <c r="N57" s="57">
        <v>1</v>
      </c>
      <c r="O57" s="36">
        <v>0.5</v>
      </c>
      <c r="P57" s="36">
        <v>0.65</v>
      </c>
      <c r="Q57" s="75">
        <f t="shared" si="0"/>
        <v>0.57499999999999996</v>
      </c>
      <c r="R57" s="36">
        <v>13.5</v>
      </c>
      <c r="S57" s="36">
        <v>120</v>
      </c>
      <c r="T57" s="62">
        <f t="shared" si="1"/>
        <v>30</v>
      </c>
      <c r="U57" s="57">
        <v>105</v>
      </c>
      <c r="V57" s="62">
        <f t="shared" si="2"/>
        <v>3150</v>
      </c>
      <c r="W57" s="57">
        <v>2</v>
      </c>
      <c r="X57" s="57" t="s">
        <v>46</v>
      </c>
      <c r="Y57" s="57" t="s">
        <v>55</v>
      </c>
      <c r="Z57" s="57" t="s">
        <v>69</v>
      </c>
      <c r="AA57" s="57" t="s">
        <v>40</v>
      </c>
      <c r="AB57" s="57" t="s">
        <v>187</v>
      </c>
    </row>
    <row r="58" spans="1:28" x14ac:dyDescent="0.15">
      <c r="A58" s="57" t="s">
        <v>41</v>
      </c>
      <c r="B58" s="58" t="s">
        <v>157</v>
      </c>
      <c r="C58" s="59">
        <v>2019</v>
      </c>
      <c r="D58" s="60" t="s">
        <v>191</v>
      </c>
      <c r="E58" s="57" t="s">
        <v>203</v>
      </c>
      <c r="F58" s="36" t="s">
        <v>204</v>
      </c>
      <c r="G58" s="57" t="s">
        <v>42</v>
      </c>
      <c r="H58" s="57" t="s">
        <v>188</v>
      </c>
      <c r="I58" s="57" t="s">
        <v>161</v>
      </c>
      <c r="J58" s="57" t="s">
        <v>53</v>
      </c>
      <c r="K58" s="57" t="s">
        <v>54</v>
      </c>
      <c r="L58" s="36">
        <v>3</v>
      </c>
      <c r="N58" s="57">
        <v>1</v>
      </c>
      <c r="O58" s="36">
        <v>0.65</v>
      </c>
      <c r="P58" s="36">
        <v>0.5</v>
      </c>
      <c r="Q58" s="75">
        <f t="shared" si="0"/>
        <v>0.57499999999999996</v>
      </c>
      <c r="R58" s="36">
        <v>10.5</v>
      </c>
      <c r="S58" s="36">
        <v>124</v>
      </c>
      <c r="T58" s="62">
        <f t="shared" si="1"/>
        <v>27</v>
      </c>
      <c r="U58" s="57">
        <v>105</v>
      </c>
      <c r="V58" s="62">
        <f t="shared" si="2"/>
        <v>2835</v>
      </c>
      <c r="W58" s="36">
        <v>2</v>
      </c>
      <c r="X58" s="57" t="s">
        <v>46</v>
      </c>
      <c r="Y58" s="57" t="s">
        <v>55</v>
      </c>
      <c r="Z58" s="57" t="s">
        <v>69</v>
      </c>
      <c r="AA58" s="57" t="s">
        <v>40</v>
      </c>
      <c r="AB58" s="57" t="s">
        <v>187</v>
      </c>
    </row>
    <row r="59" spans="1:28" x14ac:dyDescent="0.15">
      <c r="A59" s="57" t="s">
        <v>41</v>
      </c>
      <c r="B59" s="58" t="s">
        <v>157</v>
      </c>
      <c r="C59" s="59">
        <v>2019</v>
      </c>
      <c r="D59" s="60" t="s">
        <v>191</v>
      </c>
      <c r="E59" s="57" t="s">
        <v>203</v>
      </c>
      <c r="F59" s="36" t="s">
        <v>204</v>
      </c>
      <c r="G59" s="57" t="s">
        <v>42</v>
      </c>
      <c r="H59" s="57" t="s">
        <v>162</v>
      </c>
      <c r="I59" s="57" t="s">
        <v>161</v>
      </c>
      <c r="J59" s="57" t="s">
        <v>38</v>
      </c>
      <c r="K59" s="57" t="s">
        <v>163</v>
      </c>
      <c r="L59" s="57">
        <v>1</v>
      </c>
      <c r="M59" s="57"/>
      <c r="N59" s="57">
        <v>4</v>
      </c>
      <c r="O59" s="57">
        <v>0.55000000000000004</v>
      </c>
      <c r="P59" s="57">
        <v>0.65</v>
      </c>
      <c r="Q59" s="75">
        <f t="shared" si="0"/>
        <v>0.60000000000000009</v>
      </c>
      <c r="R59" s="36">
        <v>14.8</v>
      </c>
      <c r="S59" s="36">
        <v>122</v>
      </c>
      <c r="T59" s="62">
        <f t="shared" si="1"/>
        <v>27</v>
      </c>
      <c r="U59" s="57">
        <v>410</v>
      </c>
      <c r="V59" s="62">
        <f t="shared" si="2"/>
        <v>2767.5</v>
      </c>
      <c r="W59" s="57">
        <v>1</v>
      </c>
      <c r="X59" s="57" t="s">
        <v>46</v>
      </c>
      <c r="Y59" s="57" t="s">
        <v>55</v>
      </c>
      <c r="Z59" s="57" t="s">
        <v>69</v>
      </c>
      <c r="AA59" s="57" t="s">
        <v>40</v>
      </c>
      <c r="AB59" s="57" t="s">
        <v>187</v>
      </c>
    </row>
    <row r="60" spans="1:28" x14ac:dyDescent="0.15">
      <c r="A60" s="57" t="s">
        <v>41</v>
      </c>
      <c r="B60" s="58" t="s">
        <v>157</v>
      </c>
      <c r="C60" s="59">
        <v>2019</v>
      </c>
      <c r="D60" s="60" t="s">
        <v>191</v>
      </c>
      <c r="E60" s="57" t="s">
        <v>203</v>
      </c>
      <c r="F60" s="36" t="s">
        <v>204</v>
      </c>
      <c r="G60" s="57" t="s">
        <v>42</v>
      </c>
      <c r="H60" s="57" t="s">
        <v>162</v>
      </c>
      <c r="I60" s="57" t="s">
        <v>161</v>
      </c>
      <c r="J60" s="57" t="s">
        <v>38</v>
      </c>
      <c r="K60" s="57" t="s">
        <v>163</v>
      </c>
      <c r="L60" s="36">
        <v>2</v>
      </c>
      <c r="N60" s="57">
        <v>4</v>
      </c>
      <c r="O60" s="57">
        <v>0.45</v>
      </c>
      <c r="P60" s="57">
        <v>0.5</v>
      </c>
      <c r="Q60" s="75">
        <f t="shared" si="0"/>
        <v>0.47499999999999998</v>
      </c>
      <c r="R60" s="36">
        <v>15.7</v>
      </c>
      <c r="S60" s="36">
        <v>122</v>
      </c>
      <c r="T60" s="62">
        <f t="shared" si="1"/>
        <v>27</v>
      </c>
      <c r="U60" s="57">
        <v>410</v>
      </c>
      <c r="V60" s="62">
        <f t="shared" si="2"/>
        <v>2767.5</v>
      </c>
      <c r="W60" s="36">
        <v>1</v>
      </c>
      <c r="X60" s="57" t="s">
        <v>46</v>
      </c>
      <c r="Y60" s="57" t="s">
        <v>55</v>
      </c>
      <c r="Z60" s="57" t="s">
        <v>69</v>
      </c>
      <c r="AA60" s="57" t="s">
        <v>40</v>
      </c>
      <c r="AB60" s="57" t="s">
        <v>187</v>
      </c>
    </row>
    <row r="61" spans="1:28" x14ac:dyDescent="0.15">
      <c r="A61" s="57" t="s">
        <v>41</v>
      </c>
      <c r="B61" s="58" t="s">
        <v>157</v>
      </c>
      <c r="C61" s="59">
        <v>2019</v>
      </c>
      <c r="D61" s="60" t="s">
        <v>191</v>
      </c>
      <c r="E61" s="57" t="s">
        <v>203</v>
      </c>
      <c r="F61" s="36" t="s">
        <v>204</v>
      </c>
      <c r="G61" s="57" t="s">
        <v>42</v>
      </c>
      <c r="H61" s="57" t="s">
        <v>162</v>
      </c>
      <c r="I61" s="57" t="s">
        <v>161</v>
      </c>
      <c r="J61" s="57" t="s">
        <v>38</v>
      </c>
      <c r="K61" s="57" t="s">
        <v>163</v>
      </c>
      <c r="L61" s="36">
        <v>3</v>
      </c>
      <c r="N61" s="57">
        <v>4</v>
      </c>
      <c r="O61" s="57">
        <v>0.45</v>
      </c>
      <c r="P61" s="57">
        <v>0.5</v>
      </c>
      <c r="Q61" s="75">
        <f t="shared" si="0"/>
        <v>0.47499999999999998</v>
      </c>
      <c r="R61" s="36">
        <v>16.5</v>
      </c>
      <c r="S61" s="36">
        <v>121</v>
      </c>
      <c r="T61" s="62">
        <f t="shared" si="1"/>
        <v>27</v>
      </c>
      <c r="U61" s="57">
        <v>410</v>
      </c>
      <c r="V61" s="62">
        <f t="shared" si="2"/>
        <v>2767.5</v>
      </c>
      <c r="W61" s="36">
        <v>1</v>
      </c>
      <c r="X61" s="57" t="s">
        <v>46</v>
      </c>
      <c r="Y61" s="57" t="s">
        <v>55</v>
      </c>
      <c r="Z61" s="57" t="s">
        <v>69</v>
      </c>
      <c r="AA61" s="57" t="s">
        <v>40</v>
      </c>
      <c r="AB61" s="57" t="s">
        <v>187</v>
      </c>
    </row>
    <row r="62" spans="1:28" x14ac:dyDescent="0.15">
      <c r="A62" s="57" t="s">
        <v>41</v>
      </c>
      <c r="B62" s="58" t="s">
        <v>157</v>
      </c>
      <c r="C62" s="59">
        <v>2019</v>
      </c>
      <c r="D62" s="60" t="s">
        <v>191</v>
      </c>
      <c r="E62" s="57" t="s">
        <v>203</v>
      </c>
      <c r="F62" s="36" t="s">
        <v>204</v>
      </c>
      <c r="G62" s="57" t="s">
        <v>42</v>
      </c>
      <c r="H62" s="57" t="s">
        <v>162</v>
      </c>
      <c r="I62" s="57" t="s">
        <v>161</v>
      </c>
      <c r="J62" s="57" t="s">
        <v>38</v>
      </c>
      <c r="K62" s="57" t="s">
        <v>163</v>
      </c>
      <c r="L62" s="57">
        <v>1</v>
      </c>
      <c r="M62" s="57"/>
      <c r="N62" s="57">
        <v>1</v>
      </c>
      <c r="O62" s="36">
        <v>1</v>
      </c>
      <c r="P62" s="36">
        <v>1.1000000000000001</v>
      </c>
      <c r="Q62" s="75">
        <f t="shared" si="0"/>
        <v>1.05</v>
      </c>
      <c r="R62" s="36">
        <v>12</v>
      </c>
      <c r="S62" s="36">
        <v>125</v>
      </c>
      <c r="T62" s="62">
        <f t="shared" si="1"/>
        <v>27</v>
      </c>
      <c r="U62" s="57">
        <v>105</v>
      </c>
      <c r="V62" s="62">
        <f t="shared" si="2"/>
        <v>2835</v>
      </c>
      <c r="W62" s="57">
        <v>3</v>
      </c>
      <c r="X62" s="57" t="s">
        <v>46</v>
      </c>
      <c r="Y62" s="57" t="s">
        <v>55</v>
      </c>
      <c r="Z62" s="57" t="s">
        <v>69</v>
      </c>
      <c r="AA62" s="57" t="s">
        <v>40</v>
      </c>
      <c r="AB62" s="57" t="s">
        <v>187</v>
      </c>
    </row>
    <row r="63" spans="1:28" x14ac:dyDescent="0.15">
      <c r="A63" s="57" t="s">
        <v>41</v>
      </c>
      <c r="B63" s="58" t="s">
        <v>157</v>
      </c>
      <c r="C63" s="59">
        <v>2019</v>
      </c>
      <c r="D63" s="60" t="s">
        <v>191</v>
      </c>
      <c r="E63" s="57" t="s">
        <v>203</v>
      </c>
      <c r="F63" s="36" t="s">
        <v>204</v>
      </c>
      <c r="G63" s="57" t="s">
        <v>42</v>
      </c>
      <c r="H63" s="57" t="s">
        <v>162</v>
      </c>
      <c r="I63" s="57" t="s">
        <v>161</v>
      </c>
      <c r="J63" s="57" t="s">
        <v>38</v>
      </c>
      <c r="K63" s="57" t="s">
        <v>163</v>
      </c>
      <c r="L63" s="36">
        <v>2</v>
      </c>
      <c r="N63" s="57">
        <v>1</v>
      </c>
      <c r="O63" s="36">
        <v>0.9</v>
      </c>
      <c r="P63" s="36">
        <v>1</v>
      </c>
      <c r="Q63" s="75">
        <f t="shared" si="0"/>
        <v>0.95</v>
      </c>
      <c r="R63" s="36">
        <v>12.3</v>
      </c>
      <c r="S63" s="36">
        <v>124</v>
      </c>
      <c r="T63" s="62">
        <f t="shared" si="1"/>
        <v>27</v>
      </c>
      <c r="U63" s="57">
        <v>105</v>
      </c>
      <c r="V63" s="62">
        <f t="shared" si="2"/>
        <v>2835</v>
      </c>
      <c r="W63" s="57">
        <v>3</v>
      </c>
      <c r="X63" s="57" t="s">
        <v>46</v>
      </c>
      <c r="Y63" s="57" t="s">
        <v>55</v>
      </c>
      <c r="Z63" s="57" t="s">
        <v>69</v>
      </c>
      <c r="AA63" s="57" t="s">
        <v>40</v>
      </c>
      <c r="AB63" s="57" t="s">
        <v>187</v>
      </c>
    </row>
    <row r="64" spans="1:28" x14ac:dyDescent="0.15">
      <c r="A64" s="57" t="s">
        <v>41</v>
      </c>
      <c r="B64" s="58" t="s">
        <v>157</v>
      </c>
      <c r="C64" s="59">
        <v>2019</v>
      </c>
      <c r="D64" s="60" t="s">
        <v>191</v>
      </c>
      <c r="E64" s="57" t="s">
        <v>203</v>
      </c>
      <c r="F64" s="36" t="s">
        <v>204</v>
      </c>
      <c r="G64" s="57" t="s">
        <v>42</v>
      </c>
      <c r="H64" s="57" t="s">
        <v>162</v>
      </c>
      <c r="I64" s="57" t="s">
        <v>161</v>
      </c>
      <c r="J64" s="57" t="s">
        <v>38</v>
      </c>
      <c r="K64" s="57" t="s">
        <v>163</v>
      </c>
      <c r="L64" s="36">
        <v>3</v>
      </c>
      <c r="N64" s="57">
        <v>1</v>
      </c>
      <c r="O64" s="36">
        <v>0.95</v>
      </c>
      <c r="P64" s="36">
        <v>0.8</v>
      </c>
      <c r="Q64" s="75">
        <f t="shared" si="0"/>
        <v>0.875</v>
      </c>
      <c r="R64" s="36">
        <v>13.5</v>
      </c>
      <c r="S64" s="36">
        <v>123</v>
      </c>
      <c r="T64" s="62">
        <f t="shared" si="1"/>
        <v>27</v>
      </c>
      <c r="U64" s="57">
        <v>105</v>
      </c>
      <c r="V64" s="62">
        <f t="shared" si="2"/>
        <v>2835</v>
      </c>
      <c r="W64" s="36">
        <v>3</v>
      </c>
      <c r="X64" s="57" t="s">
        <v>46</v>
      </c>
      <c r="Y64" s="57" t="s">
        <v>55</v>
      </c>
      <c r="Z64" s="57" t="s">
        <v>69</v>
      </c>
      <c r="AA64" s="57" t="s">
        <v>40</v>
      </c>
      <c r="AB64" s="57" t="s">
        <v>187</v>
      </c>
    </row>
    <row r="65" spans="1:34" x14ac:dyDescent="0.15">
      <c r="A65" s="57" t="s">
        <v>41</v>
      </c>
      <c r="B65" s="58" t="s">
        <v>157</v>
      </c>
      <c r="C65" s="59">
        <v>2019</v>
      </c>
      <c r="D65" s="60" t="s">
        <v>191</v>
      </c>
      <c r="E65" s="57" t="s">
        <v>203</v>
      </c>
      <c r="F65" s="36" t="s">
        <v>204</v>
      </c>
      <c r="G65" s="57" t="s">
        <v>42</v>
      </c>
      <c r="H65" s="57" t="s">
        <v>162</v>
      </c>
      <c r="I65" s="57" t="s">
        <v>161</v>
      </c>
      <c r="J65" s="57" t="s">
        <v>38</v>
      </c>
      <c r="K65" s="57" t="s">
        <v>163</v>
      </c>
      <c r="L65" s="57">
        <v>1</v>
      </c>
      <c r="M65" s="57"/>
      <c r="N65" s="57">
        <v>3</v>
      </c>
      <c r="O65" s="57">
        <v>0.7</v>
      </c>
      <c r="P65" s="57">
        <v>0.8</v>
      </c>
      <c r="Q65" s="75">
        <f t="shared" si="0"/>
        <v>0.75</v>
      </c>
      <c r="R65" s="36">
        <v>14.2</v>
      </c>
      <c r="S65" s="36">
        <v>150</v>
      </c>
      <c r="T65" s="62">
        <f t="shared" si="1"/>
        <v>22</v>
      </c>
      <c r="U65" s="57">
        <v>429</v>
      </c>
      <c r="V65" s="62">
        <f t="shared" si="2"/>
        <v>3146</v>
      </c>
      <c r="W65" s="57">
        <v>2</v>
      </c>
      <c r="X65" s="57" t="s">
        <v>46</v>
      </c>
      <c r="Y65" s="57" t="s">
        <v>55</v>
      </c>
      <c r="Z65" s="57" t="s">
        <v>69</v>
      </c>
      <c r="AA65" s="57" t="s">
        <v>40</v>
      </c>
      <c r="AB65" s="57" t="s">
        <v>187</v>
      </c>
    </row>
    <row r="66" spans="1:34" x14ac:dyDescent="0.15">
      <c r="A66" s="57" t="s">
        <v>41</v>
      </c>
      <c r="B66" s="58" t="s">
        <v>157</v>
      </c>
      <c r="C66" s="59">
        <v>2019</v>
      </c>
      <c r="D66" s="60" t="s">
        <v>191</v>
      </c>
      <c r="E66" s="57" t="s">
        <v>203</v>
      </c>
      <c r="F66" s="36" t="s">
        <v>204</v>
      </c>
      <c r="G66" s="57" t="s">
        <v>42</v>
      </c>
      <c r="H66" s="57" t="s">
        <v>162</v>
      </c>
      <c r="I66" s="57" t="s">
        <v>161</v>
      </c>
      <c r="J66" s="57" t="s">
        <v>38</v>
      </c>
      <c r="K66" s="57" t="s">
        <v>163</v>
      </c>
      <c r="L66" s="36">
        <v>2</v>
      </c>
      <c r="N66" s="57">
        <v>3</v>
      </c>
      <c r="O66" s="57">
        <v>0.65</v>
      </c>
      <c r="P66" s="57">
        <v>0.5</v>
      </c>
      <c r="Q66" s="75">
        <f t="shared" ref="Q66:Q129" si="3">IF(OR(O66="",P66=""),"",AVERAGE(O66,P66))</f>
        <v>0.57499999999999996</v>
      </c>
      <c r="R66" s="36">
        <v>15.1</v>
      </c>
      <c r="S66" s="36">
        <v>151</v>
      </c>
      <c r="T66" s="62">
        <f t="shared" ref="T66:T129" si="4">IF(H66="","",IF(OR(H66="GREEN",H66="GK"),IF(S66&gt;=$AX$2,VLOOKUP(S66,$AX$2:$AY$10,2,1),""),IF(S66&gt;=$AZ$2,VLOOKUP(S66,$AZ$2:$BA$10,2,1),"")))</f>
        <v>22</v>
      </c>
      <c r="U66" s="57">
        <v>429</v>
      </c>
      <c r="V66" s="62">
        <f t="shared" ref="V66:V129" si="5">IF(OR(N66="",U66="",T66=""),"",U66/N66*T66)</f>
        <v>3146</v>
      </c>
      <c r="W66" s="36">
        <v>2</v>
      </c>
      <c r="X66" s="57" t="s">
        <v>46</v>
      </c>
      <c r="Y66" s="57" t="s">
        <v>55</v>
      </c>
      <c r="Z66" s="57" t="s">
        <v>69</v>
      </c>
      <c r="AA66" s="57" t="s">
        <v>40</v>
      </c>
      <c r="AB66" s="57" t="s">
        <v>187</v>
      </c>
    </row>
    <row r="67" spans="1:34" x14ac:dyDescent="0.15">
      <c r="A67" s="57" t="s">
        <v>41</v>
      </c>
      <c r="B67" s="58" t="s">
        <v>157</v>
      </c>
      <c r="C67" s="59">
        <v>2019</v>
      </c>
      <c r="D67" s="60" t="s">
        <v>191</v>
      </c>
      <c r="E67" s="57" t="s">
        <v>203</v>
      </c>
      <c r="F67" s="36" t="s">
        <v>204</v>
      </c>
      <c r="G67" s="57" t="s">
        <v>42</v>
      </c>
      <c r="H67" s="57" t="s">
        <v>162</v>
      </c>
      <c r="I67" s="57" t="s">
        <v>161</v>
      </c>
      <c r="J67" s="57" t="s">
        <v>38</v>
      </c>
      <c r="K67" s="57" t="s">
        <v>163</v>
      </c>
      <c r="L67" s="36">
        <v>3</v>
      </c>
      <c r="N67" s="57">
        <v>3</v>
      </c>
      <c r="O67" s="57">
        <v>0.85</v>
      </c>
      <c r="P67" s="57">
        <v>0.7</v>
      </c>
      <c r="Q67" s="75">
        <f t="shared" si="3"/>
        <v>0.77499999999999991</v>
      </c>
      <c r="R67" s="36">
        <v>17</v>
      </c>
      <c r="S67" s="36">
        <v>157</v>
      </c>
      <c r="T67" s="62">
        <f t="shared" si="4"/>
        <v>22</v>
      </c>
      <c r="U67" s="57">
        <v>429</v>
      </c>
      <c r="V67" s="62">
        <f t="shared" si="5"/>
        <v>3146</v>
      </c>
      <c r="W67" s="36">
        <v>2</v>
      </c>
      <c r="X67" s="57" t="s">
        <v>46</v>
      </c>
      <c r="Y67" s="57" t="s">
        <v>55</v>
      </c>
      <c r="Z67" s="57" t="s">
        <v>69</v>
      </c>
      <c r="AA67" s="57" t="s">
        <v>40</v>
      </c>
      <c r="AB67" s="57" t="s">
        <v>187</v>
      </c>
    </row>
    <row r="68" spans="1:34" x14ac:dyDescent="0.15">
      <c r="A68" s="57" t="s">
        <v>41</v>
      </c>
      <c r="B68" s="58" t="s">
        <v>157</v>
      </c>
      <c r="C68" s="59">
        <v>2019</v>
      </c>
      <c r="D68" s="60" t="s">
        <v>191</v>
      </c>
      <c r="E68" s="57" t="s">
        <v>203</v>
      </c>
      <c r="F68" s="36" t="s">
        <v>210</v>
      </c>
      <c r="G68" s="57" t="s">
        <v>42</v>
      </c>
      <c r="H68" s="57" t="s">
        <v>188</v>
      </c>
      <c r="I68" s="57" t="s">
        <v>161</v>
      </c>
      <c r="J68" s="57" t="s">
        <v>80</v>
      </c>
      <c r="K68" s="57" t="s">
        <v>68</v>
      </c>
      <c r="L68" s="57">
        <v>1</v>
      </c>
      <c r="M68" s="57"/>
      <c r="N68" s="57">
        <v>1</v>
      </c>
      <c r="O68" s="57">
        <v>1.3</v>
      </c>
      <c r="P68" s="57">
        <v>1.25</v>
      </c>
      <c r="Q68" s="75">
        <f t="shared" si="3"/>
        <v>1.2749999999999999</v>
      </c>
      <c r="R68" s="36">
        <v>12.2</v>
      </c>
      <c r="S68" s="36">
        <v>124</v>
      </c>
      <c r="T68" s="62">
        <f t="shared" si="4"/>
        <v>27</v>
      </c>
      <c r="U68" s="57">
        <v>105</v>
      </c>
      <c r="V68" s="62">
        <f t="shared" si="5"/>
        <v>2835</v>
      </c>
      <c r="W68" s="57">
        <v>1</v>
      </c>
      <c r="X68" s="57" t="s">
        <v>46</v>
      </c>
      <c r="Y68" s="57" t="s">
        <v>40</v>
      </c>
      <c r="Z68" s="57" t="s">
        <v>69</v>
      </c>
      <c r="AA68" s="57" t="s">
        <v>47</v>
      </c>
      <c r="AB68" s="57" t="s">
        <v>187</v>
      </c>
    </row>
    <row r="69" spans="1:34" x14ac:dyDescent="0.15">
      <c r="A69" s="57" t="s">
        <v>41</v>
      </c>
      <c r="B69" s="58" t="s">
        <v>157</v>
      </c>
      <c r="C69" s="59">
        <v>2019</v>
      </c>
      <c r="D69" s="60" t="s">
        <v>191</v>
      </c>
      <c r="E69" s="57" t="s">
        <v>203</v>
      </c>
      <c r="F69" s="36" t="s">
        <v>210</v>
      </c>
      <c r="G69" s="57" t="s">
        <v>42</v>
      </c>
      <c r="H69" s="57" t="s">
        <v>188</v>
      </c>
      <c r="I69" s="57" t="s">
        <v>161</v>
      </c>
      <c r="J69" s="57" t="s">
        <v>80</v>
      </c>
      <c r="K69" s="57" t="s">
        <v>68</v>
      </c>
      <c r="L69" s="36">
        <v>2</v>
      </c>
      <c r="N69" s="57">
        <v>1</v>
      </c>
      <c r="O69" s="57">
        <v>1.1499999999999999</v>
      </c>
      <c r="P69" s="57">
        <v>1.2</v>
      </c>
      <c r="Q69" s="75">
        <f t="shared" si="3"/>
        <v>1.1749999999999998</v>
      </c>
      <c r="R69" s="36">
        <v>12.9</v>
      </c>
      <c r="S69" s="36">
        <v>122</v>
      </c>
      <c r="T69" s="62">
        <f t="shared" si="4"/>
        <v>27</v>
      </c>
      <c r="U69" s="57">
        <v>105</v>
      </c>
      <c r="V69" s="62">
        <f t="shared" si="5"/>
        <v>2835</v>
      </c>
      <c r="W69" s="36">
        <v>1</v>
      </c>
      <c r="X69" s="57" t="s">
        <v>46</v>
      </c>
      <c r="Y69" s="57" t="s">
        <v>40</v>
      </c>
      <c r="Z69" s="57" t="s">
        <v>69</v>
      </c>
      <c r="AA69" s="57" t="s">
        <v>47</v>
      </c>
      <c r="AB69" s="57" t="s">
        <v>187</v>
      </c>
    </row>
    <row r="70" spans="1:34" x14ac:dyDescent="0.15">
      <c r="A70" s="57" t="s">
        <v>41</v>
      </c>
      <c r="B70" s="58" t="s">
        <v>157</v>
      </c>
      <c r="C70" s="59">
        <v>2019</v>
      </c>
      <c r="D70" s="60" t="s">
        <v>191</v>
      </c>
      <c r="E70" s="57" t="s">
        <v>203</v>
      </c>
      <c r="F70" s="36" t="s">
        <v>210</v>
      </c>
      <c r="G70" s="57" t="s">
        <v>42</v>
      </c>
      <c r="H70" s="57" t="s">
        <v>188</v>
      </c>
      <c r="I70" s="57" t="s">
        <v>161</v>
      </c>
      <c r="J70" s="57" t="s">
        <v>80</v>
      </c>
      <c r="K70" s="57" t="s">
        <v>68</v>
      </c>
      <c r="L70" s="36">
        <v>3</v>
      </c>
      <c r="N70" s="57">
        <v>1</v>
      </c>
      <c r="O70" s="57">
        <v>1</v>
      </c>
      <c r="P70" s="57">
        <v>1.05</v>
      </c>
      <c r="Q70" s="75">
        <f t="shared" si="3"/>
        <v>1.0249999999999999</v>
      </c>
      <c r="R70" s="36">
        <v>14.1</v>
      </c>
      <c r="S70" s="36">
        <v>121</v>
      </c>
      <c r="T70" s="62">
        <f t="shared" si="4"/>
        <v>27</v>
      </c>
      <c r="U70" s="57">
        <v>105</v>
      </c>
      <c r="V70" s="62">
        <f t="shared" si="5"/>
        <v>2835</v>
      </c>
      <c r="W70" s="36">
        <v>1</v>
      </c>
      <c r="X70" s="57" t="s">
        <v>46</v>
      </c>
      <c r="Y70" s="57" t="s">
        <v>40</v>
      </c>
      <c r="Z70" s="57" t="s">
        <v>69</v>
      </c>
      <c r="AA70" s="57" t="s">
        <v>47</v>
      </c>
      <c r="AB70" s="57" t="s">
        <v>187</v>
      </c>
    </row>
    <row r="71" spans="1:34" x14ac:dyDescent="0.15">
      <c r="A71" s="57" t="s">
        <v>41</v>
      </c>
      <c r="B71" s="58" t="s">
        <v>157</v>
      </c>
      <c r="C71" s="59">
        <v>2019</v>
      </c>
      <c r="D71" s="60" t="s">
        <v>191</v>
      </c>
      <c r="E71" s="57" t="s">
        <v>203</v>
      </c>
      <c r="F71" s="36" t="s">
        <v>210</v>
      </c>
      <c r="G71" s="57" t="s">
        <v>42</v>
      </c>
      <c r="H71" s="57" t="s">
        <v>162</v>
      </c>
      <c r="I71" s="57" t="s">
        <v>161</v>
      </c>
      <c r="J71" s="57" t="s">
        <v>38</v>
      </c>
      <c r="K71" s="57" t="s">
        <v>163</v>
      </c>
      <c r="L71" s="57">
        <v>1</v>
      </c>
      <c r="M71" s="57"/>
      <c r="N71" s="57">
        <v>1</v>
      </c>
      <c r="O71" s="36">
        <v>1.1499999999999999</v>
      </c>
      <c r="P71" s="36">
        <v>1</v>
      </c>
      <c r="Q71" s="75">
        <f t="shared" si="3"/>
        <v>1.075</v>
      </c>
      <c r="R71" s="36">
        <v>15.1</v>
      </c>
      <c r="S71" s="36">
        <v>124</v>
      </c>
      <c r="T71" s="62">
        <f t="shared" si="4"/>
        <v>27</v>
      </c>
      <c r="U71" s="57">
        <v>138</v>
      </c>
      <c r="V71" s="62">
        <f t="shared" si="5"/>
        <v>3726</v>
      </c>
      <c r="W71" s="57">
        <v>2</v>
      </c>
      <c r="X71" s="57" t="s">
        <v>46</v>
      </c>
      <c r="Y71" s="57" t="s">
        <v>40</v>
      </c>
      <c r="Z71" s="57" t="s">
        <v>69</v>
      </c>
      <c r="AA71" s="57" t="s">
        <v>47</v>
      </c>
      <c r="AB71" s="57" t="s">
        <v>187</v>
      </c>
    </row>
    <row r="72" spans="1:34" x14ac:dyDescent="0.15">
      <c r="A72" s="57" t="s">
        <v>41</v>
      </c>
      <c r="B72" s="58" t="s">
        <v>157</v>
      </c>
      <c r="C72" s="59">
        <v>2019</v>
      </c>
      <c r="D72" s="60" t="s">
        <v>191</v>
      </c>
      <c r="E72" s="57" t="s">
        <v>203</v>
      </c>
      <c r="F72" s="36" t="s">
        <v>210</v>
      </c>
      <c r="G72" s="57" t="s">
        <v>42</v>
      </c>
      <c r="H72" s="57" t="s">
        <v>162</v>
      </c>
      <c r="I72" s="57" t="s">
        <v>161</v>
      </c>
      <c r="J72" s="57" t="s">
        <v>38</v>
      </c>
      <c r="K72" s="57" t="s">
        <v>163</v>
      </c>
      <c r="L72" s="36">
        <v>2</v>
      </c>
      <c r="N72" s="57">
        <v>1</v>
      </c>
      <c r="O72" s="36">
        <v>0.8</v>
      </c>
      <c r="P72" s="36">
        <v>0.9</v>
      </c>
      <c r="Q72" s="75">
        <f t="shared" si="3"/>
        <v>0.85000000000000009</v>
      </c>
      <c r="R72" s="36">
        <v>14.5</v>
      </c>
      <c r="S72" s="36">
        <v>125</v>
      </c>
      <c r="T72" s="62">
        <f t="shared" si="4"/>
        <v>27</v>
      </c>
      <c r="U72" s="57">
        <v>138</v>
      </c>
      <c r="V72" s="62">
        <f t="shared" si="5"/>
        <v>3726</v>
      </c>
      <c r="W72" s="57">
        <v>2</v>
      </c>
      <c r="X72" s="57" t="s">
        <v>46</v>
      </c>
      <c r="Y72" s="57" t="s">
        <v>40</v>
      </c>
      <c r="Z72" s="57" t="s">
        <v>69</v>
      </c>
      <c r="AA72" s="57" t="s">
        <v>47</v>
      </c>
      <c r="AB72" s="57" t="s">
        <v>187</v>
      </c>
    </row>
    <row r="73" spans="1:34" x14ac:dyDescent="0.15">
      <c r="A73" s="57" t="s">
        <v>41</v>
      </c>
      <c r="B73" s="58" t="s">
        <v>157</v>
      </c>
      <c r="C73" s="59">
        <v>2019</v>
      </c>
      <c r="D73" s="60" t="s">
        <v>191</v>
      </c>
      <c r="E73" s="57" t="s">
        <v>203</v>
      </c>
      <c r="F73" s="36" t="s">
        <v>210</v>
      </c>
      <c r="G73" s="57" t="s">
        <v>42</v>
      </c>
      <c r="H73" s="57" t="s">
        <v>162</v>
      </c>
      <c r="I73" s="57" t="s">
        <v>161</v>
      </c>
      <c r="J73" s="57" t="s">
        <v>38</v>
      </c>
      <c r="K73" s="57" t="s">
        <v>163</v>
      </c>
      <c r="L73" s="36">
        <v>3</v>
      </c>
      <c r="N73" s="57">
        <v>1</v>
      </c>
      <c r="O73" s="36">
        <v>0.9</v>
      </c>
      <c r="P73" s="36">
        <v>1</v>
      </c>
      <c r="Q73" s="75">
        <f t="shared" si="3"/>
        <v>0.95</v>
      </c>
      <c r="R73" s="36">
        <v>14.8</v>
      </c>
      <c r="S73" s="36">
        <v>121</v>
      </c>
      <c r="T73" s="62">
        <f t="shared" si="4"/>
        <v>27</v>
      </c>
      <c r="U73" s="57">
        <v>138</v>
      </c>
      <c r="V73" s="62">
        <f t="shared" si="5"/>
        <v>3726</v>
      </c>
      <c r="W73" s="36">
        <v>2</v>
      </c>
      <c r="X73" s="57" t="s">
        <v>46</v>
      </c>
      <c r="Y73" s="57" t="s">
        <v>40</v>
      </c>
      <c r="Z73" s="57" t="s">
        <v>69</v>
      </c>
      <c r="AA73" s="57" t="s">
        <v>47</v>
      </c>
      <c r="AB73" s="57" t="s">
        <v>187</v>
      </c>
    </row>
    <row r="74" spans="1:34" x14ac:dyDescent="0.15">
      <c r="A74" s="57" t="s">
        <v>41</v>
      </c>
      <c r="B74" s="58" t="s">
        <v>157</v>
      </c>
      <c r="C74" s="59">
        <v>2019</v>
      </c>
      <c r="D74" s="60" t="s">
        <v>191</v>
      </c>
      <c r="E74" s="57" t="s">
        <v>203</v>
      </c>
      <c r="F74" s="36" t="s">
        <v>210</v>
      </c>
      <c r="G74" s="57" t="s">
        <v>42</v>
      </c>
      <c r="H74" s="57" t="s">
        <v>162</v>
      </c>
      <c r="I74" s="57" t="s">
        <v>161</v>
      </c>
      <c r="J74" s="57" t="s">
        <v>38</v>
      </c>
      <c r="K74" s="57" t="s">
        <v>163</v>
      </c>
      <c r="L74" s="57">
        <v>1</v>
      </c>
      <c r="M74" s="57"/>
      <c r="N74" s="57">
        <v>3</v>
      </c>
      <c r="O74" s="57">
        <v>1</v>
      </c>
      <c r="P74" s="57">
        <v>1</v>
      </c>
      <c r="Q74" s="75">
        <f t="shared" si="3"/>
        <v>1</v>
      </c>
      <c r="R74" s="36">
        <v>15.4</v>
      </c>
      <c r="S74" s="36">
        <v>154</v>
      </c>
      <c r="T74" s="62">
        <f t="shared" si="4"/>
        <v>22</v>
      </c>
      <c r="U74" s="57">
        <v>429</v>
      </c>
      <c r="V74" s="62">
        <f t="shared" si="5"/>
        <v>3146</v>
      </c>
      <c r="W74" s="57">
        <v>1</v>
      </c>
      <c r="X74" s="57" t="s">
        <v>46</v>
      </c>
      <c r="Y74" s="57" t="s">
        <v>40</v>
      </c>
      <c r="Z74" s="57" t="s">
        <v>69</v>
      </c>
      <c r="AA74" s="57" t="s">
        <v>47</v>
      </c>
      <c r="AB74" s="57" t="s">
        <v>187</v>
      </c>
    </row>
    <row r="75" spans="1:34" x14ac:dyDescent="0.15">
      <c r="A75" s="57" t="s">
        <v>41</v>
      </c>
      <c r="B75" s="58" t="s">
        <v>157</v>
      </c>
      <c r="C75" s="59">
        <v>2019</v>
      </c>
      <c r="D75" s="60" t="s">
        <v>191</v>
      </c>
      <c r="E75" s="57" t="s">
        <v>203</v>
      </c>
      <c r="F75" s="36" t="s">
        <v>210</v>
      </c>
      <c r="G75" s="57" t="s">
        <v>42</v>
      </c>
      <c r="H75" s="57" t="s">
        <v>162</v>
      </c>
      <c r="I75" s="57" t="s">
        <v>161</v>
      </c>
      <c r="J75" s="57" t="s">
        <v>38</v>
      </c>
      <c r="K75" s="57" t="s">
        <v>163</v>
      </c>
      <c r="L75" s="36">
        <v>2</v>
      </c>
      <c r="N75" s="57">
        <v>3</v>
      </c>
      <c r="O75" s="57">
        <v>0.95</v>
      </c>
      <c r="P75" s="57">
        <v>0.9</v>
      </c>
      <c r="Q75" s="75">
        <f t="shared" si="3"/>
        <v>0.92500000000000004</v>
      </c>
      <c r="R75" s="36">
        <v>15.4</v>
      </c>
      <c r="S75" s="36">
        <v>148</v>
      </c>
      <c r="T75" s="62">
        <f t="shared" si="4"/>
        <v>22</v>
      </c>
      <c r="U75" s="57">
        <v>429</v>
      </c>
      <c r="V75" s="62">
        <f t="shared" si="5"/>
        <v>3146</v>
      </c>
      <c r="W75" s="36">
        <v>1</v>
      </c>
      <c r="X75" s="57" t="s">
        <v>46</v>
      </c>
      <c r="Y75" s="57" t="s">
        <v>40</v>
      </c>
      <c r="Z75" s="57" t="s">
        <v>69</v>
      </c>
      <c r="AA75" s="57" t="s">
        <v>47</v>
      </c>
      <c r="AB75" s="57" t="s">
        <v>187</v>
      </c>
    </row>
    <row r="76" spans="1:34" x14ac:dyDescent="0.15">
      <c r="A76" s="57" t="s">
        <v>41</v>
      </c>
      <c r="B76" s="58" t="s">
        <v>157</v>
      </c>
      <c r="C76" s="59">
        <v>2019</v>
      </c>
      <c r="D76" s="60" t="s">
        <v>191</v>
      </c>
      <c r="E76" s="57" t="s">
        <v>203</v>
      </c>
      <c r="F76" s="36" t="s">
        <v>210</v>
      </c>
      <c r="G76" s="57" t="s">
        <v>42</v>
      </c>
      <c r="H76" s="57" t="s">
        <v>162</v>
      </c>
      <c r="I76" s="57" t="s">
        <v>161</v>
      </c>
      <c r="J76" s="57" t="s">
        <v>38</v>
      </c>
      <c r="K76" s="57" t="s">
        <v>163</v>
      </c>
      <c r="L76" s="36">
        <v>3</v>
      </c>
      <c r="N76" s="57">
        <v>3</v>
      </c>
      <c r="O76" s="57">
        <v>0.9</v>
      </c>
      <c r="P76" s="57">
        <v>1</v>
      </c>
      <c r="Q76" s="75">
        <f t="shared" si="3"/>
        <v>0.95</v>
      </c>
      <c r="R76" s="36">
        <v>15.4</v>
      </c>
      <c r="S76" s="36">
        <v>152</v>
      </c>
      <c r="T76" s="62">
        <f t="shared" si="4"/>
        <v>22</v>
      </c>
      <c r="U76" s="57">
        <v>429</v>
      </c>
      <c r="V76" s="62">
        <f t="shared" si="5"/>
        <v>3146</v>
      </c>
      <c r="W76" s="36">
        <v>1</v>
      </c>
      <c r="X76" s="57" t="s">
        <v>46</v>
      </c>
      <c r="Y76" s="57" t="s">
        <v>40</v>
      </c>
      <c r="Z76" s="57" t="s">
        <v>69</v>
      </c>
      <c r="AA76" s="57" t="s">
        <v>47</v>
      </c>
      <c r="AB76" s="57" t="s">
        <v>187</v>
      </c>
    </row>
    <row r="77" spans="1:34" x14ac:dyDescent="0.15">
      <c r="A77" s="57" t="s">
        <v>41</v>
      </c>
      <c r="B77" s="58" t="s">
        <v>157</v>
      </c>
      <c r="C77" s="59">
        <v>2019</v>
      </c>
      <c r="D77" s="60" t="s">
        <v>191</v>
      </c>
      <c r="E77" s="57" t="s">
        <v>203</v>
      </c>
      <c r="F77" s="36" t="s">
        <v>210</v>
      </c>
      <c r="G77" s="57" t="s">
        <v>42</v>
      </c>
      <c r="H77" s="57" t="s">
        <v>162</v>
      </c>
      <c r="I77" s="57" t="s">
        <v>161</v>
      </c>
      <c r="J77" s="57" t="s">
        <v>38</v>
      </c>
      <c r="K77" s="57" t="s">
        <v>163</v>
      </c>
      <c r="L77" s="57">
        <v>1</v>
      </c>
      <c r="M77" s="57"/>
      <c r="N77" s="57">
        <v>4</v>
      </c>
      <c r="O77" s="36">
        <v>0.8</v>
      </c>
      <c r="P77" s="36">
        <v>0.6</v>
      </c>
      <c r="Q77" s="75">
        <f t="shared" si="3"/>
        <v>0.7</v>
      </c>
      <c r="R77" s="36">
        <v>13.8</v>
      </c>
      <c r="S77" s="36">
        <v>124</v>
      </c>
      <c r="T77" s="62">
        <f t="shared" si="4"/>
        <v>27</v>
      </c>
      <c r="U77" s="57">
        <v>410</v>
      </c>
      <c r="V77" s="62">
        <f t="shared" si="5"/>
        <v>2767.5</v>
      </c>
      <c r="W77" s="57">
        <v>1</v>
      </c>
      <c r="X77" s="57" t="s">
        <v>46</v>
      </c>
      <c r="Y77" s="57" t="s">
        <v>40</v>
      </c>
      <c r="Z77" s="57" t="s">
        <v>69</v>
      </c>
      <c r="AA77" s="57" t="s">
        <v>47</v>
      </c>
      <c r="AB77" s="57" t="s">
        <v>187</v>
      </c>
      <c r="AC77" s="88"/>
      <c r="AD77" s="88"/>
      <c r="AE77" s="88"/>
      <c r="AF77" s="88"/>
      <c r="AG77" s="88"/>
      <c r="AH77" s="88"/>
    </row>
    <row r="78" spans="1:34" x14ac:dyDescent="0.15">
      <c r="A78" s="57" t="s">
        <v>41</v>
      </c>
      <c r="B78" s="58" t="s">
        <v>157</v>
      </c>
      <c r="C78" s="59">
        <v>2019</v>
      </c>
      <c r="D78" s="60" t="s">
        <v>191</v>
      </c>
      <c r="E78" s="57" t="s">
        <v>203</v>
      </c>
      <c r="F78" s="36" t="s">
        <v>210</v>
      </c>
      <c r="G78" s="57" t="s">
        <v>42</v>
      </c>
      <c r="H78" s="57" t="s">
        <v>162</v>
      </c>
      <c r="I78" s="57" t="s">
        <v>161</v>
      </c>
      <c r="J78" s="57" t="s">
        <v>38</v>
      </c>
      <c r="K78" s="57" t="s">
        <v>163</v>
      </c>
      <c r="L78" s="36">
        <v>2</v>
      </c>
      <c r="N78" s="57">
        <v>4</v>
      </c>
      <c r="O78" s="36">
        <v>0.7</v>
      </c>
      <c r="P78" s="36">
        <v>0.75</v>
      </c>
      <c r="Q78" s="75">
        <f t="shared" si="3"/>
        <v>0.72499999999999998</v>
      </c>
      <c r="R78" s="36">
        <v>15.8</v>
      </c>
      <c r="S78" s="36">
        <v>125</v>
      </c>
      <c r="T78" s="62">
        <f t="shared" si="4"/>
        <v>27</v>
      </c>
      <c r="U78" s="57">
        <v>410</v>
      </c>
      <c r="V78" s="62">
        <f t="shared" si="5"/>
        <v>2767.5</v>
      </c>
      <c r="W78" s="57">
        <v>1</v>
      </c>
      <c r="X78" s="57" t="s">
        <v>46</v>
      </c>
      <c r="Y78" s="57" t="s">
        <v>40</v>
      </c>
      <c r="Z78" s="57" t="s">
        <v>69</v>
      </c>
      <c r="AA78" s="57" t="s">
        <v>47</v>
      </c>
      <c r="AB78" s="57" t="s">
        <v>187</v>
      </c>
      <c r="AC78" s="88"/>
      <c r="AD78" s="88"/>
      <c r="AE78" s="88"/>
      <c r="AF78" s="88"/>
      <c r="AG78" s="88"/>
      <c r="AH78" s="88"/>
    </row>
    <row r="79" spans="1:34" x14ac:dyDescent="0.15">
      <c r="A79" s="57" t="s">
        <v>41</v>
      </c>
      <c r="B79" s="58" t="s">
        <v>157</v>
      </c>
      <c r="C79" s="59">
        <v>2019</v>
      </c>
      <c r="D79" s="60" t="s">
        <v>191</v>
      </c>
      <c r="E79" s="57" t="s">
        <v>203</v>
      </c>
      <c r="F79" s="36" t="s">
        <v>210</v>
      </c>
      <c r="G79" s="57" t="s">
        <v>42</v>
      </c>
      <c r="H79" s="57" t="s">
        <v>162</v>
      </c>
      <c r="I79" s="57" t="s">
        <v>161</v>
      </c>
      <c r="J79" s="57" t="s">
        <v>38</v>
      </c>
      <c r="K79" s="57" t="s">
        <v>163</v>
      </c>
      <c r="L79" s="36">
        <v>3</v>
      </c>
      <c r="N79" s="57">
        <v>4</v>
      </c>
      <c r="O79" s="36">
        <v>0.5</v>
      </c>
      <c r="P79" s="36">
        <v>0.65</v>
      </c>
      <c r="Q79" s="75">
        <f t="shared" si="3"/>
        <v>0.57499999999999996</v>
      </c>
      <c r="R79" s="36">
        <v>14.7</v>
      </c>
      <c r="S79" s="36">
        <v>122</v>
      </c>
      <c r="T79" s="62">
        <f t="shared" si="4"/>
        <v>27</v>
      </c>
      <c r="U79" s="57">
        <v>410</v>
      </c>
      <c r="V79" s="62">
        <f t="shared" si="5"/>
        <v>2767.5</v>
      </c>
      <c r="W79" s="36">
        <v>1</v>
      </c>
      <c r="X79" s="57" t="s">
        <v>46</v>
      </c>
      <c r="Y79" s="57" t="s">
        <v>40</v>
      </c>
      <c r="Z79" s="57" t="s">
        <v>69</v>
      </c>
      <c r="AA79" s="57" t="s">
        <v>47</v>
      </c>
      <c r="AB79" s="57" t="s">
        <v>187</v>
      </c>
      <c r="AC79" s="88"/>
      <c r="AD79" s="88"/>
      <c r="AE79" s="88"/>
      <c r="AF79" s="88"/>
      <c r="AG79" s="88"/>
      <c r="AH79" s="88"/>
    </row>
    <row r="80" spans="1:34" x14ac:dyDescent="0.15">
      <c r="A80" s="57" t="s">
        <v>41</v>
      </c>
      <c r="B80" s="58" t="s">
        <v>157</v>
      </c>
      <c r="C80" s="59">
        <v>2019</v>
      </c>
      <c r="D80" s="60" t="s">
        <v>191</v>
      </c>
      <c r="E80" s="57" t="s">
        <v>206</v>
      </c>
      <c r="F80" s="36" t="s">
        <v>207</v>
      </c>
      <c r="G80" s="57" t="s">
        <v>42</v>
      </c>
      <c r="H80" s="57" t="s">
        <v>188</v>
      </c>
      <c r="I80" s="57" t="s">
        <v>161</v>
      </c>
      <c r="J80" s="57" t="s">
        <v>53</v>
      </c>
      <c r="K80" s="57" t="s">
        <v>54</v>
      </c>
      <c r="L80" s="57">
        <v>1</v>
      </c>
      <c r="M80" s="57"/>
      <c r="N80" s="57">
        <v>7</v>
      </c>
      <c r="O80" s="57">
        <v>0.75</v>
      </c>
      <c r="P80" s="57">
        <v>0.5</v>
      </c>
      <c r="Q80" s="75">
        <f t="shared" si="3"/>
        <v>0.625</v>
      </c>
      <c r="R80" s="36">
        <v>15.2</v>
      </c>
      <c r="S80" s="36">
        <v>125</v>
      </c>
      <c r="T80" s="62">
        <f t="shared" si="4"/>
        <v>27</v>
      </c>
      <c r="U80" s="57">
        <v>626</v>
      </c>
      <c r="V80" s="62">
        <f t="shared" si="5"/>
        <v>2414.5714285714284</v>
      </c>
      <c r="W80" s="57">
        <v>2</v>
      </c>
      <c r="X80" s="57" t="s">
        <v>46</v>
      </c>
      <c r="Y80" s="57" t="s">
        <v>40</v>
      </c>
      <c r="Z80" s="57" t="s">
        <v>69</v>
      </c>
      <c r="AA80" s="57" t="s">
        <v>47</v>
      </c>
      <c r="AB80" s="57" t="s">
        <v>187</v>
      </c>
      <c r="AC80" s="88"/>
      <c r="AD80" s="88"/>
      <c r="AE80" s="88"/>
      <c r="AF80" s="88"/>
      <c r="AG80" s="88"/>
      <c r="AH80" s="88"/>
    </row>
    <row r="81" spans="1:34" x14ac:dyDescent="0.15">
      <c r="A81" s="57" t="s">
        <v>41</v>
      </c>
      <c r="B81" s="58" t="s">
        <v>157</v>
      </c>
      <c r="C81" s="59">
        <v>2019</v>
      </c>
      <c r="D81" s="60" t="s">
        <v>191</v>
      </c>
      <c r="E81" s="57" t="s">
        <v>206</v>
      </c>
      <c r="F81" s="36" t="s">
        <v>207</v>
      </c>
      <c r="G81" s="57" t="s">
        <v>42</v>
      </c>
      <c r="H81" s="57" t="s">
        <v>188</v>
      </c>
      <c r="I81" s="57" t="s">
        <v>161</v>
      </c>
      <c r="J81" s="57" t="s">
        <v>53</v>
      </c>
      <c r="K81" s="57" t="s">
        <v>54</v>
      </c>
      <c r="L81" s="36">
        <v>2</v>
      </c>
      <c r="N81" s="57">
        <v>7</v>
      </c>
      <c r="O81" s="57">
        <v>0.85</v>
      </c>
      <c r="P81" s="57">
        <v>0.65</v>
      </c>
      <c r="Q81" s="75">
        <f t="shared" si="3"/>
        <v>0.75</v>
      </c>
      <c r="R81" s="36">
        <v>13.5</v>
      </c>
      <c r="S81" s="36">
        <v>124</v>
      </c>
      <c r="T81" s="62">
        <f t="shared" si="4"/>
        <v>27</v>
      </c>
      <c r="U81" s="57">
        <v>626</v>
      </c>
      <c r="V81" s="62">
        <f t="shared" si="5"/>
        <v>2414.5714285714284</v>
      </c>
      <c r="W81" s="36">
        <v>2</v>
      </c>
      <c r="X81" s="57" t="s">
        <v>46</v>
      </c>
      <c r="Y81" s="57" t="s">
        <v>40</v>
      </c>
      <c r="Z81" s="57" t="s">
        <v>69</v>
      </c>
      <c r="AA81" s="57" t="s">
        <v>47</v>
      </c>
      <c r="AB81" s="57" t="s">
        <v>187</v>
      </c>
      <c r="AC81" s="88"/>
      <c r="AD81" s="88"/>
      <c r="AE81" s="88"/>
      <c r="AF81" s="88"/>
      <c r="AG81" s="88"/>
      <c r="AH81" s="88"/>
    </row>
    <row r="82" spans="1:34" x14ac:dyDescent="0.15">
      <c r="A82" s="57" t="s">
        <v>41</v>
      </c>
      <c r="B82" s="58" t="s">
        <v>157</v>
      </c>
      <c r="C82" s="59">
        <v>2019</v>
      </c>
      <c r="D82" s="60" t="s">
        <v>191</v>
      </c>
      <c r="E82" s="57" t="s">
        <v>206</v>
      </c>
      <c r="F82" s="36" t="s">
        <v>207</v>
      </c>
      <c r="G82" s="57" t="s">
        <v>42</v>
      </c>
      <c r="H82" s="57" t="s">
        <v>188</v>
      </c>
      <c r="I82" s="57" t="s">
        <v>161</v>
      </c>
      <c r="J82" s="57" t="s">
        <v>53</v>
      </c>
      <c r="K82" s="57" t="s">
        <v>54</v>
      </c>
      <c r="L82" s="36">
        <v>3</v>
      </c>
      <c r="N82" s="57">
        <v>7</v>
      </c>
      <c r="O82" s="57">
        <v>0.65</v>
      </c>
      <c r="P82" s="57">
        <v>0.5</v>
      </c>
      <c r="Q82" s="75">
        <f t="shared" si="3"/>
        <v>0.57499999999999996</v>
      </c>
      <c r="R82" s="36">
        <v>14.2</v>
      </c>
      <c r="S82" s="36">
        <v>120</v>
      </c>
      <c r="T82" s="62">
        <f t="shared" si="4"/>
        <v>30</v>
      </c>
      <c r="U82" s="57">
        <v>626</v>
      </c>
      <c r="V82" s="62">
        <f t="shared" si="5"/>
        <v>2682.8571428571431</v>
      </c>
      <c r="W82" s="36">
        <v>2</v>
      </c>
      <c r="X82" s="57" t="s">
        <v>46</v>
      </c>
      <c r="Y82" s="57" t="s">
        <v>40</v>
      </c>
      <c r="Z82" s="57" t="s">
        <v>69</v>
      </c>
      <c r="AA82" s="57" t="s">
        <v>47</v>
      </c>
      <c r="AB82" s="57" t="s">
        <v>187</v>
      </c>
      <c r="AC82" s="88"/>
      <c r="AD82" s="88"/>
      <c r="AE82" s="88"/>
      <c r="AF82" s="88"/>
      <c r="AG82" s="88"/>
      <c r="AH82" s="88"/>
    </row>
    <row r="83" spans="1:34" x14ac:dyDescent="0.15">
      <c r="A83" s="57" t="s">
        <v>41</v>
      </c>
      <c r="B83" s="58" t="s">
        <v>157</v>
      </c>
      <c r="C83" s="59">
        <v>2019</v>
      </c>
      <c r="D83" s="60" t="s">
        <v>191</v>
      </c>
      <c r="E83" s="57" t="s">
        <v>206</v>
      </c>
      <c r="F83" s="36" t="s">
        <v>207</v>
      </c>
      <c r="G83" s="57" t="s">
        <v>42</v>
      </c>
      <c r="H83" s="57" t="s">
        <v>188</v>
      </c>
      <c r="I83" s="57" t="s">
        <v>161</v>
      </c>
      <c r="J83" s="57" t="s">
        <v>53</v>
      </c>
      <c r="K83" s="57" t="s">
        <v>54</v>
      </c>
      <c r="L83" s="57">
        <v>1</v>
      </c>
      <c r="M83" s="57"/>
      <c r="N83" s="57">
        <v>1</v>
      </c>
      <c r="O83" s="36">
        <v>1.2</v>
      </c>
      <c r="P83" s="36">
        <v>1.25</v>
      </c>
      <c r="Q83" s="75">
        <f t="shared" si="3"/>
        <v>1.2250000000000001</v>
      </c>
      <c r="R83" s="36">
        <v>12.8</v>
      </c>
      <c r="S83" s="36">
        <v>114</v>
      </c>
      <c r="T83" s="62">
        <f t="shared" si="4"/>
        <v>30</v>
      </c>
      <c r="U83" s="57">
        <v>138</v>
      </c>
      <c r="V83" s="62">
        <f t="shared" si="5"/>
        <v>4140</v>
      </c>
      <c r="W83" s="57">
        <v>2</v>
      </c>
      <c r="X83" s="57" t="s">
        <v>46</v>
      </c>
      <c r="Y83" s="57" t="s">
        <v>40</v>
      </c>
      <c r="Z83" s="57" t="s">
        <v>69</v>
      </c>
      <c r="AA83" s="57" t="s">
        <v>47</v>
      </c>
      <c r="AB83" s="57" t="s">
        <v>187</v>
      </c>
      <c r="AC83" s="88"/>
      <c r="AD83" s="88"/>
      <c r="AE83" s="88"/>
      <c r="AF83" s="88"/>
      <c r="AG83" s="88"/>
      <c r="AH83" s="88"/>
    </row>
    <row r="84" spans="1:34" x14ac:dyDescent="0.15">
      <c r="A84" s="57" t="s">
        <v>41</v>
      </c>
      <c r="B84" s="58" t="s">
        <v>157</v>
      </c>
      <c r="C84" s="59">
        <v>2019</v>
      </c>
      <c r="D84" s="60" t="s">
        <v>191</v>
      </c>
      <c r="E84" s="57" t="s">
        <v>206</v>
      </c>
      <c r="F84" s="36" t="s">
        <v>207</v>
      </c>
      <c r="G84" s="57" t="s">
        <v>42</v>
      </c>
      <c r="H84" s="57" t="s">
        <v>188</v>
      </c>
      <c r="I84" s="57" t="s">
        <v>161</v>
      </c>
      <c r="J84" s="57" t="s">
        <v>53</v>
      </c>
      <c r="K84" s="57" t="s">
        <v>54</v>
      </c>
      <c r="L84" s="36">
        <v>2</v>
      </c>
      <c r="N84" s="57">
        <v>1</v>
      </c>
      <c r="O84" s="36">
        <v>1.3</v>
      </c>
      <c r="P84" s="36">
        <v>1.2</v>
      </c>
      <c r="Q84" s="75">
        <f t="shared" si="3"/>
        <v>1.25</v>
      </c>
      <c r="R84" s="36">
        <v>15.2</v>
      </c>
      <c r="S84" s="36">
        <v>120</v>
      </c>
      <c r="T84" s="62">
        <f t="shared" si="4"/>
        <v>30</v>
      </c>
      <c r="U84" s="57">
        <v>138</v>
      </c>
      <c r="V84" s="62">
        <f t="shared" si="5"/>
        <v>4140</v>
      </c>
      <c r="W84" s="57">
        <v>2</v>
      </c>
      <c r="X84" s="57" t="s">
        <v>46</v>
      </c>
      <c r="Y84" s="57" t="s">
        <v>40</v>
      </c>
      <c r="Z84" s="57" t="s">
        <v>69</v>
      </c>
      <c r="AA84" s="57" t="s">
        <v>47</v>
      </c>
      <c r="AB84" s="57" t="s">
        <v>187</v>
      </c>
      <c r="AC84" s="88"/>
      <c r="AD84" s="88"/>
      <c r="AE84" s="88"/>
      <c r="AF84" s="88"/>
      <c r="AG84" s="88"/>
      <c r="AH84" s="88"/>
    </row>
    <row r="85" spans="1:34" x14ac:dyDescent="0.15">
      <c r="A85" s="57" t="s">
        <v>41</v>
      </c>
      <c r="B85" s="58" t="s">
        <v>157</v>
      </c>
      <c r="C85" s="59">
        <v>2019</v>
      </c>
      <c r="D85" s="60" t="s">
        <v>191</v>
      </c>
      <c r="E85" s="57" t="s">
        <v>206</v>
      </c>
      <c r="F85" s="36" t="s">
        <v>207</v>
      </c>
      <c r="G85" s="57" t="s">
        <v>42</v>
      </c>
      <c r="H85" s="57" t="s">
        <v>188</v>
      </c>
      <c r="I85" s="57" t="s">
        <v>161</v>
      </c>
      <c r="J85" s="57" t="s">
        <v>53</v>
      </c>
      <c r="K85" s="57" t="s">
        <v>54</v>
      </c>
      <c r="L85" s="36">
        <v>3</v>
      </c>
      <c r="N85" s="57">
        <v>1</v>
      </c>
      <c r="O85" s="36">
        <v>1.1000000000000001</v>
      </c>
      <c r="P85" s="36">
        <v>1.3</v>
      </c>
      <c r="Q85" s="75">
        <f t="shared" si="3"/>
        <v>1.2000000000000002</v>
      </c>
      <c r="R85" s="36">
        <v>11.2</v>
      </c>
      <c r="S85" s="36">
        <v>115</v>
      </c>
      <c r="T85" s="62">
        <f t="shared" si="4"/>
        <v>30</v>
      </c>
      <c r="U85" s="57">
        <v>138</v>
      </c>
      <c r="V85" s="62">
        <f t="shared" si="5"/>
        <v>4140</v>
      </c>
      <c r="W85" s="36">
        <v>2</v>
      </c>
      <c r="X85" s="57" t="s">
        <v>46</v>
      </c>
      <c r="Y85" s="57" t="s">
        <v>40</v>
      </c>
      <c r="Z85" s="57" t="s">
        <v>69</v>
      </c>
      <c r="AA85" s="57" t="s">
        <v>47</v>
      </c>
      <c r="AB85" s="57" t="s">
        <v>187</v>
      </c>
      <c r="AC85" s="88"/>
      <c r="AD85" s="88"/>
      <c r="AE85" s="88"/>
      <c r="AF85" s="88"/>
      <c r="AG85" s="88"/>
      <c r="AH85" s="88"/>
    </row>
    <row r="86" spans="1:34" x14ac:dyDescent="0.15">
      <c r="A86" s="57" t="s">
        <v>41</v>
      </c>
      <c r="B86" s="58" t="s">
        <v>157</v>
      </c>
      <c r="C86" s="59">
        <v>2019</v>
      </c>
      <c r="D86" s="60" t="s">
        <v>191</v>
      </c>
      <c r="E86" s="57" t="s">
        <v>206</v>
      </c>
      <c r="F86" s="36" t="s">
        <v>207</v>
      </c>
      <c r="G86" s="57" t="s">
        <v>42</v>
      </c>
      <c r="H86" s="57" t="s">
        <v>162</v>
      </c>
      <c r="I86" s="57" t="s">
        <v>161</v>
      </c>
      <c r="J86" s="57" t="s">
        <v>38</v>
      </c>
      <c r="K86" s="57" t="s">
        <v>163</v>
      </c>
      <c r="L86" s="57">
        <v>1</v>
      </c>
      <c r="M86" s="57"/>
      <c r="N86" s="57">
        <v>1</v>
      </c>
      <c r="O86" s="57">
        <v>0.45</v>
      </c>
      <c r="P86" s="57">
        <v>0.5</v>
      </c>
      <c r="Q86" s="75">
        <f t="shared" si="3"/>
        <v>0.47499999999999998</v>
      </c>
      <c r="R86" s="36">
        <v>14.8</v>
      </c>
      <c r="S86" s="36">
        <v>122</v>
      </c>
      <c r="T86" s="62">
        <f t="shared" si="4"/>
        <v>27</v>
      </c>
      <c r="U86" s="57">
        <v>138</v>
      </c>
      <c r="V86" s="62">
        <f t="shared" si="5"/>
        <v>3726</v>
      </c>
      <c r="W86" s="57">
        <v>1</v>
      </c>
      <c r="X86" s="57" t="s">
        <v>46</v>
      </c>
      <c r="Y86" s="57" t="s">
        <v>40</v>
      </c>
      <c r="Z86" s="57" t="s">
        <v>69</v>
      </c>
      <c r="AA86" s="57" t="s">
        <v>47</v>
      </c>
      <c r="AB86" s="57" t="s">
        <v>187</v>
      </c>
      <c r="AC86" s="88"/>
      <c r="AD86" s="88"/>
      <c r="AE86" s="88"/>
      <c r="AF86" s="88"/>
      <c r="AG86" s="88"/>
      <c r="AH86" s="88"/>
    </row>
    <row r="87" spans="1:34" x14ac:dyDescent="0.15">
      <c r="A87" s="57" t="s">
        <v>41</v>
      </c>
      <c r="B87" s="58" t="s">
        <v>157</v>
      </c>
      <c r="C87" s="59">
        <v>2019</v>
      </c>
      <c r="D87" s="60" t="s">
        <v>191</v>
      </c>
      <c r="E87" s="57" t="s">
        <v>206</v>
      </c>
      <c r="F87" s="36" t="s">
        <v>207</v>
      </c>
      <c r="G87" s="57" t="s">
        <v>42</v>
      </c>
      <c r="H87" s="57" t="s">
        <v>162</v>
      </c>
      <c r="I87" s="57" t="s">
        <v>161</v>
      </c>
      <c r="J87" s="57" t="s">
        <v>38</v>
      </c>
      <c r="K87" s="57" t="s">
        <v>163</v>
      </c>
      <c r="L87" s="36">
        <v>2</v>
      </c>
      <c r="N87" s="57">
        <v>1</v>
      </c>
      <c r="O87" s="57">
        <v>0.5</v>
      </c>
      <c r="P87" s="57">
        <v>0.65</v>
      </c>
      <c r="Q87" s="75">
        <f t="shared" si="3"/>
        <v>0.57499999999999996</v>
      </c>
      <c r="R87" s="36">
        <v>14.7</v>
      </c>
      <c r="S87" s="36">
        <v>123</v>
      </c>
      <c r="T87" s="62">
        <f t="shared" si="4"/>
        <v>27</v>
      </c>
      <c r="U87" s="57">
        <v>138</v>
      </c>
      <c r="V87" s="62">
        <f t="shared" si="5"/>
        <v>3726</v>
      </c>
      <c r="W87" s="36">
        <v>1</v>
      </c>
      <c r="X87" s="57" t="s">
        <v>46</v>
      </c>
      <c r="Y87" s="57" t="s">
        <v>40</v>
      </c>
      <c r="Z87" s="57" t="s">
        <v>69</v>
      </c>
      <c r="AA87" s="57" t="s">
        <v>47</v>
      </c>
      <c r="AB87" s="57" t="s">
        <v>187</v>
      </c>
      <c r="AC87" s="88"/>
      <c r="AD87" s="88"/>
      <c r="AE87" s="88"/>
      <c r="AF87" s="88"/>
      <c r="AG87" s="88"/>
      <c r="AH87" s="88"/>
    </row>
    <row r="88" spans="1:34" x14ac:dyDescent="0.15">
      <c r="A88" s="57" t="s">
        <v>41</v>
      </c>
      <c r="B88" s="58" t="s">
        <v>157</v>
      </c>
      <c r="C88" s="59">
        <v>2019</v>
      </c>
      <c r="D88" s="60" t="s">
        <v>191</v>
      </c>
      <c r="E88" s="57" t="s">
        <v>206</v>
      </c>
      <c r="F88" s="36" t="s">
        <v>207</v>
      </c>
      <c r="G88" s="57" t="s">
        <v>42</v>
      </c>
      <c r="H88" s="57" t="s">
        <v>162</v>
      </c>
      <c r="I88" s="57" t="s">
        <v>161</v>
      </c>
      <c r="J88" s="57" t="s">
        <v>38</v>
      </c>
      <c r="K88" s="57" t="s">
        <v>163</v>
      </c>
      <c r="L88" s="36">
        <v>3</v>
      </c>
      <c r="N88" s="57">
        <v>1</v>
      </c>
      <c r="O88" s="57">
        <v>0.65</v>
      </c>
      <c r="P88" s="57">
        <v>0.5</v>
      </c>
      <c r="Q88" s="75">
        <f t="shared" si="3"/>
        <v>0.57499999999999996</v>
      </c>
      <c r="R88" s="36">
        <v>15.6</v>
      </c>
      <c r="S88" s="36">
        <v>123</v>
      </c>
      <c r="T88" s="62">
        <f t="shared" si="4"/>
        <v>27</v>
      </c>
      <c r="U88" s="57">
        <v>138</v>
      </c>
      <c r="V88" s="62">
        <f t="shared" si="5"/>
        <v>3726</v>
      </c>
      <c r="W88" s="36">
        <v>1</v>
      </c>
      <c r="X88" s="57" t="s">
        <v>46</v>
      </c>
      <c r="Y88" s="57" t="s">
        <v>40</v>
      </c>
      <c r="Z88" s="57" t="s">
        <v>69</v>
      </c>
      <c r="AA88" s="57" t="s">
        <v>47</v>
      </c>
      <c r="AB88" s="57" t="s">
        <v>187</v>
      </c>
      <c r="AC88" s="88"/>
      <c r="AD88" s="88"/>
      <c r="AE88" s="88"/>
      <c r="AF88" s="88"/>
      <c r="AG88" s="88"/>
      <c r="AH88" s="88"/>
    </row>
    <row r="89" spans="1:34" x14ac:dyDescent="0.15">
      <c r="A89" s="57" t="s">
        <v>41</v>
      </c>
      <c r="B89" s="58" t="s">
        <v>157</v>
      </c>
      <c r="C89" s="59">
        <v>2019</v>
      </c>
      <c r="D89" s="60" t="s">
        <v>191</v>
      </c>
      <c r="E89" s="57" t="s">
        <v>206</v>
      </c>
      <c r="F89" s="36" t="s">
        <v>207</v>
      </c>
      <c r="G89" s="57" t="s">
        <v>42</v>
      </c>
      <c r="H89" s="57" t="s">
        <v>162</v>
      </c>
      <c r="I89" s="57" t="s">
        <v>161</v>
      </c>
      <c r="J89" s="57" t="s">
        <v>38</v>
      </c>
      <c r="K89" s="57" t="s">
        <v>163</v>
      </c>
      <c r="L89" s="57">
        <v>1</v>
      </c>
      <c r="M89" s="57"/>
      <c r="N89" s="57">
        <v>4</v>
      </c>
      <c r="O89" s="57">
        <v>0.25</v>
      </c>
      <c r="P89" s="57">
        <v>0.25</v>
      </c>
      <c r="Q89" s="75">
        <f t="shared" si="3"/>
        <v>0.25</v>
      </c>
      <c r="R89" s="36">
        <v>14.5</v>
      </c>
      <c r="S89" s="36">
        <v>120</v>
      </c>
      <c r="T89" s="62">
        <f t="shared" si="4"/>
        <v>30</v>
      </c>
      <c r="U89" s="57">
        <v>626</v>
      </c>
      <c r="V89" s="62">
        <f t="shared" si="5"/>
        <v>4695</v>
      </c>
      <c r="W89" s="57">
        <v>2</v>
      </c>
      <c r="X89" s="57" t="s">
        <v>46</v>
      </c>
      <c r="Y89" s="57" t="s">
        <v>40</v>
      </c>
      <c r="Z89" s="57" t="s">
        <v>69</v>
      </c>
      <c r="AA89" s="57" t="s">
        <v>47</v>
      </c>
      <c r="AB89" s="57" t="s">
        <v>187</v>
      </c>
      <c r="AC89" s="88"/>
      <c r="AD89" s="88"/>
      <c r="AE89" s="88"/>
      <c r="AF89" s="88"/>
      <c r="AG89" s="88"/>
      <c r="AH89" s="88"/>
    </row>
    <row r="90" spans="1:34" x14ac:dyDescent="0.15">
      <c r="A90" s="57" t="s">
        <v>41</v>
      </c>
      <c r="B90" s="58" t="s">
        <v>157</v>
      </c>
      <c r="C90" s="59">
        <v>2019</v>
      </c>
      <c r="D90" s="60" t="s">
        <v>191</v>
      </c>
      <c r="E90" s="57" t="s">
        <v>206</v>
      </c>
      <c r="F90" s="36" t="s">
        <v>207</v>
      </c>
      <c r="G90" s="57" t="s">
        <v>42</v>
      </c>
      <c r="H90" s="57" t="s">
        <v>162</v>
      </c>
      <c r="I90" s="57" t="s">
        <v>161</v>
      </c>
      <c r="J90" s="57" t="s">
        <v>38</v>
      </c>
      <c r="K90" s="57" t="s">
        <v>163</v>
      </c>
      <c r="L90" s="36">
        <v>2</v>
      </c>
      <c r="N90" s="57">
        <v>4</v>
      </c>
      <c r="O90" s="57">
        <v>0.25</v>
      </c>
      <c r="P90" s="57">
        <v>0.25</v>
      </c>
      <c r="Q90" s="89">
        <f t="shared" si="3"/>
        <v>0.25</v>
      </c>
      <c r="R90" s="36">
        <v>15.8</v>
      </c>
      <c r="S90" s="36">
        <v>120</v>
      </c>
      <c r="T90" s="90">
        <f t="shared" si="4"/>
        <v>30</v>
      </c>
      <c r="U90" s="57">
        <v>626</v>
      </c>
      <c r="V90" s="90">
        <f t="shared" si="5"/>
        <v>4695</v>
      </c>
      <c r="W90" s="36">
        <v>2</v>
      </c>
      <c r="X90" s="57" t="s">
        <v>46</v>
      </c>
      <c r="Y90" s="57" t="s">
        <v>40</v>
      </c>
      <c r="Z90" s="57" t="s">
        <v>69</v>
      </c>
      <c r="AA90" s="57" t="s">
        <v>47</v>
      </c>
      <c r="AB90" s="57" t="s">
        <v>187</v>
      </c>
      <c r="AC90" s="88"/>
      <c r="AD90" s="88"/>
      <c r="AE90" s="88"/>
      <c r="AF90" s="88"/>
      <c r="AG90" s="88"/>
      <c r="AH90" s="88"/>
    </row>
    <row r="91" spans="1:34" x14ac:dyDescent="0.15">
      <c r="A91" s="57" t="s">
        <v>41</v>
      </c>
      <c r="B91" s="58" t="s">
        <v>157</v>
      </c>
      <c r="C91" s="59">
        <v>2019</v>
      </c>
      <c r="D91" s="60" t="s">
        <v>191</v>
      </c>
      <c r="E91" s="57" t="s">
        <v>206</v>
      </c>
      <c r="F91" s="36" t="s">
        <v>207</v>
      </c>
      <c r="G91" s="57" t="s">
        <v>42</v>
      </c>
      <c r="H91" s="57" t="s">
        <v>162</v>
      </c>
      <c r="I91" s="57" t="s">
        <v>161</v>
      </c>
      <c r="J91" s="57" t="s">
        <v>38</v>
      </c>
      <c r="K91" s="57" t="s">
        <v>163</v>
      </c>
      <c r="L91" s="36">
        <v>3</v>
      </c>
      <c r="N91" s="57">
        <v>4</v>
      </c>
      <c r="O91" s="57">
        <v>0.25</v>
      </c>
      <c r="P91" s="57">
        <v>0.35</v>
      </c>
      <c r="Q91" s="89">
        <f t="shared" si="3"/>
        <v>0.3</v>
      </c>
      <c r="R91" s="36">
        <v>12.4</v>
      </c>
      <c r="S91" s="36">
        <v>120</v>
      </c>
      <c r="T91" s="90">
        <f t="shared" si="4"/>
        <v>30</v>
      </c>
      <c r="U91" s="57">
        <v>626</v>
      </c>
      <c r="V91" s="90">
        <f t="shared" si="5"/>
        <v>4695</v>
      </c>
      <c r="W91" s="36">
        <v>2</v>
      </c>
      <c r="X91" s="57" t="s">
        <v>46</v>
      </c>
      <c r="Y91" s="57" t="s">
        <v>40</v>
      </c>
      <c r="Z91" s="57" t="s">
        <v>69</v>
      </c>
      <c r="AA91" s="57" t="s">
        <v>47</v>
      </c>
      <c r="AB91" s="57" t="s">
        <v>187</v>
      </c>
      <c r="AC91" s="88"/>
      <c r="AD91" s="88"/>
      <c r="AE91" s="88"/>
      <c r="AF91" s="88"/>
      <c r="AG91" s="88"/>
      <c r="AH91" s="88"/>
    </row>
    <row r="92" spans="1:34" s="57" customFormat="1" x14ac:dyDescent="0.15">
      <c r="A92" s="57" t="s">
        <v>41</v>
      </c>
      <c r="B92" s="58" t="s">
        <v>157</v>
      </c>
      <c r="C92" s="59">
        <v>2019</v>
      </c>
      <c r="D92" s="60" t="s">
        <v>191</v>
      </c>
      <c r="E92" s="57" t="s">
        <v>212</v>
      </c>
      <c r="F92" s="57" t="s">
        <v>213</v>
      </c>
      <c r="G92" s="57" t="s">
        <v>42</v>
      </c>
      <c r="H92" s="57" t="s">
        <v>162</v>
      </c>
      <c r="I92" s="57" t="s">
        <v>161</v>
      </c>
      <c r="J92" s="57" t="s">
        <v>38</v>
      </c>
      <c r="K92" s="57" t="s">
        <v>163</v>
      </c>
      <c r="L92" s="57">
        <v>1</v>
      </c>
      <c r="N92" s="57">
        <v>1</v>
      </c>
      <c r="O92" s="57">
        <v>0.65</v>
      </c>
      <c r="P92" s="57">
        <v>0.45</v>
      </c>
      <c r="Q92" s="89">
        <f t="shared" si="3"/>
        <v>0.55000000000000004</v>
      </c>
      <c r="R92" s="57">
        <v>15.6</v>
      </c>
      <c r="S92" s="57">
        <v>125</v>
      </c>
      <c r="T92" s="90">
        <f t="shared" si="4"/>
        <v>27</v>
      </c>
      <c r="U92" s="57">
        <v>137</v>
      </c>
      <c r="V92" s="90">
        <f t="shared" si="5"/>
        <v>3699</v>
      </c>
      <c r="W92" s="57">
        <v>3</v>
      </c>
      <c r="X92" s="57" t="s">
        <v>46</v>
      </c>
      <c r="Y92" s="57" t="s">
        <v>40</v>
      </c>
      <c r="Z92" s="57" t="s">
        <v>69</v>
      </c>
      <c r="AA92" s="57" t="s">
        <v>55</v>
      </c>
      <c r="AB92" s="57" t="s">
        <v>187</v>
      </c>
      <c r="AC92" s="91"/>
      <c r="AD92" s="91"/>
      <c r="AE92" s="91"/>
      <c r="AF92" s="91"/>
      <c r="AG92" s="91"/>
      <c r="AH92" s="91"/>
    </row>
    <row r="93" spans="1:34" s="57" customFormat="1" x14ac:dyDescent="0.15">
      <c r="A93" s="57" t="s">
        <v>41</v>
      </c>
      <c r="B93" s="58" t="s">
        <v>157</v>
      </c>
      <c r="C93" s="59">
        <v>2019</v>
      </c>
      <c r="D93" s="60" t="s">
        <v>191</v>
      </c>
      <c r="E93" s="57" t="s">
        <v>212</v>
      </c>
      <c r="F93" s="57" t="s">
        <v>213</v>
      </c>
      <c r="G93" s="57" t="s">
        <v>42</v>
      </c>
      <c r="H93" s="57" t="s">
        <v>162</v>
      </c>
      <c r="I93" s="57" t="s">
        <v>161</v>
      </c>
      <c r="J93" s="57" t="s">
        <v>38</v>
      </c>
      <c r="K93" s="57" t="s">
        <v>163</v>
      </c>
      <c r="L93" s="57">
        <v>2</v>
      </c>
      <c r="N93" s="57">
        <v>1</v>
      </c>
      <c r="O93" s="57">
        <v>0.45</v>
      </c>
      <c r="P93" s="57">
        <v>0.7</v>
      </c>
      <c r="Q93" s="89">
        <f t="shared" si="3"/>
        <v>0.57499999999999996</v>
      </c>
      <c r="R93" s="57">
        <v>14</v>
      </c>
      <c r="S93" s="57">
        <v>126</v>
      </c>
      <c r="T93" s="90">
        <f t="shared" si="4"/>
        <v>27</v>
      </c>
      <c r="U93" s="57">
        <v>137</v>
      </c>
      <c r="V93" s="90">
        <f t="shared" si="5"/>
        <v>3699</v>
      </c>
      <c r="W93" s="57">
        <v>3</v>
      </c>
      <c r="X93" s="57" t="s">
        <v>46</v>
      </c>
      <c r="Y93" s="57" t="s">
        <v>40</v>
      </c>
      <c r="Z93" s="57" t="s">
        <v>69</v>
      </c>
      <c r="AA93" s="57" t="s">
        <v>55</v>
      </c>
      <c r="AB93" s="57" t="s">
        <v>187</v>
      </c>
      <c r="AC93" s="91"/>
      <c r="AD93" s="91"/>
      <c r="AE93" s="91"/>
      <c r="AF93" s="91"/>
      <c r="AG93" s="91"/>
      <c r="AH93" s="91"/>
    </row>
    <row r="94" spans="1:34" s="57" customFormat="1" x14ac:dyDescent="0.15">
      <c r="A94" s="57" t="s">
        <v>41</v>
      </c>
      <c r="B94" s="58" t="s">
        <v>157</v>
      </c>
      <c r="C94" s="59">
        <v>2019</v>
      </c>
      <c r="D94" s="60" t="s">
        <v>191</v>
      </c>
      <c r="E94" s="57" t="s">
        <v>212</v>
      </c>
      <c r="F94" s="57" t="s">
        <v>213</v>
      </c>
      <c r="G94" s="57" t="s">
        <v>42</v>
      </c>
      <c r="H94" s="57" t="s">
        <v>162</v>
      </c>
      <c r="I94" s="57" t="s">
        <v>161</v>
      </c>
      <c r="J94" s="57" t="s">
        <v>38</v>
      </c>
      <c r="K94" s="57" t="s">
        <v>163</v>
      </c>
      <c r="L94" s="57">
        <v>3</v>
      </c>
      <c r="N94" s="57">
        <v>1</v>
      </c>
      <c r="O94" s="57">
        <v>0.35</v>
      </c>
      <c r="P94" s="57">
        <v>0.45</v>
      </c>
      <c r="Q94" s="89">
        <f t="shared" si="3"/>
        <v>0.4</v>
      </c>
      <c r="R94" s="57">
        <v>12.5</v>
      </c>
      <c r="S94" s="57">
        <v>124</v>
      </c>
      <c r="T94" s="90">
        <f t="shared" si="4"/>
        <v>27</v>
      </c>
      <c r="U94" s="57">
        <v>137</v>
      </c>
      <c r="V94" s="90">
        <f t="shared" si="5"/>
        <v>3699</v>
      </c>
      <c r="W94" s="57">
        <v>3</v>
      </c>
      <c r="X94" s="57" t="s">
        <v>46</v>
      </c>
      <c r="Y94" s="57" t="s">
        <v>40</v>
      </c>
      <c r="Z94" s="57" t="s">
        <v>69</v>
      </c>
      <c r="AA94" s="57" t="s">
        <v>55</v>
      </c>
      <c r="AB94" s="57" t="s">
        <v>187</v>
      </c>
      <c r="AC94" s="91"/>
      <c r="AD94" s="91"/>
      <c r="AE94" s="91"/>
      <c r="AF94" s="91"/>
      <c r="AG94" s="91"/>
      <c r="AH94" s="91"/>
    </row>
    <row r="95" spans="1:34" s="57" customFormat="1" x14ac:dyDescent="0.15">
      <c r="A95" s="57" t="s">
        <v>41</v>
      </c>
      <c r="B95" s="58" t="s">
        <v>157</v>
      </c>
      <c r="C95" s="59">
        <v>2019</v>
      </c>
      <c r="D95" s="60" t="s">
        <v>191</v>
      </c>
      <c r="E95" s="57" t="s">
        <v>212</v>
      </c>
      <c r="F95" s="57" t="s">
        <v>213</v>
      </c>
      <c r="G95" s="57" t="s">
        <v>42</v>
      </c>
      <c r="H95" s="57" t="s">
        <v>162</v>
      </c>
      <c r="I95" s="57" t="s">
        <v>161</v>
      </c>
      <c r="J95" s="57" t="s">
        <v>38</v>
      </c>
      <c r="K95" s="57" t="s">
        <v>163</v>
      </c>
      <c r="L95" s="57">
        <v>1</v>
      </c>
      <c r="N95" s="57">
        <v>4</v>
      </c>
      <c r="O95" s="57">
        <v>0.45</v>
      </c>
      <c r="P95" s="57">
        <v>0.35</v>
      </c>
      <c r="Q95" s="89">
        <f t="shared" si="3"/>
        <v>0.4</v>
      </c>
      <c r="R95" s="57">
        <v>13.4</v>
      </c>
      <c r="S95" s="57">
        <v>126</v>
      </c>
      <c r="T95" s="90">
        <f t="shared" si="4"/>
        <v>27</v>
      </c>
      <c r="U95" s="57">
        <v>428</v>
      </c>
      <c r="V95" s="90">
        <f t="shared" si="5"/>
        <v>2889</v>
      </c>
      <c r="W95" s="57">
        <v>3</v>
      </c>
      <c r="X95" s="57" t="s">
        <v>46</v>
      </c>
      <c r="Y95" s="57" t="s">
        <v>40</v>
      </c>
      <c r="Z95" s="57" t="s">
        <v>69</v>
      </c>
      <c r="AA95" s="57" t="s">
        <v>55</v>
      </c>
      <c r="AB95" s="57" t="s">
        <v>187</v>
      </c>
      <c r="AC95" s="91"/>
      <c r="AD95" s="91"/>
      <c r="AE95" s="91"/>
      <c r="AF95" s="91"/>
      <c r="AG95" s="91"/>
      <c r="AH95" s="91"/>
    </row>
    <row r="96" spans="1:34" s="57" customFormat="1" x14ac:dyDescent="0.15">
      <c r="A96" s="57" t="s">
        <v>41</v>
      </c>
      <c r="B96" s="58" t="s">
        <v>157</v>
      </c>
      <c r="C96" s="59">
        <v>2019</v>
      </c>
      <c r="D96" s="60" t="s">
        <v>191</v>
      </c>
      <c r="E96" s="57" t="s">
        <v>212</v>
      </c>
      <c r="F96" s="57" t="s">
        <v>213</v>
      </c>
      <c r="G96" s="57" t="s">
        <v>42</v>
      </c>
      <c r="H96" s="57" t="s">
        <v>162</v>
      </c>
      <c r="I96" s="57" t="s">
        <v>161</v>
      </c>
      <c r="J96" s="57" t="s">
        <v>38</v>
      </c>
      <c r="K96" s="57" t="s">
        <v>163</v>
      </c>
      <c r="L96" s="57">
        <v>2</v>
      </c>
      <c r="N96" s="57">
        <v>4</v>
      </c>
      <c r="O96" s="57">
        <v>0.5</v>
      </c>
      <c r="P96" s="57">
        <v>0.65</v>
      </c>
      <c r="Q96" s="89">
        <f t="shared" si="3"/>
        <v>0.57499999999999996</v>
      </c>
      <c r="R96" s="57">
        <v>15.4</v>
      </c>
      <c r="S96" s="57">
        <v>122</v>
      </c>
      <c r="T96" s="90">
        <f t="shared" si="4"/>
        <v>27</v>
      </c>
      <c r="U96" s="57">
        <v>428</v>
      </c>
      <c r="V96" s="90">
        <f t="shared" si="5"/>
        <v>2889</v>
      </c>
      <c r="W96" s="57">
        <v>3</v>
      </c>
      <c r="X96" s="57" t="s">
        <v>46</v>
      </c>
      <c r="Y96" s="57" t="s">
        <v>40</v>
      </c>
      <c r="Z96" s="57" t="s">
        <v>69</v>
      </c>
      <c r="AA96" s="57" t="s">
        <v>55</v>
      </c>
      <c r="AB96" s="57" t="s">
        <v>187</v>
      </c>
      <c r="AC96" s="91"/>
      <c r="AD96" s="91"/>
      <c r="AE96" s="91"/>
      <c r="AF96" s="91"/>
      <c r="AG96" s="91"/>
      <c r="AH96" s="91"/>
    </row>
    <row r="97" spans="1:34" s="57" customFormat="1" x14ac:dyDescent="0.15">
      <c r="A97" s="57" t="s">
        <v>41</v>
      </c>
      <c r="B97" s="58" t="s">
        <v>157</v>
      </c>
      <c r="C97" s="59">
        <v>2019</v>
      </c>
      <c r="D97" s="60" t="s">
        <v>191</v>
      </c>
      <c r="E97" s="57" t="s">
        <v>212</v>
      </c>
      <c r="F97" s="57" t="s">
        <v>213</v>
      </c>
      <c r="G97" s="57" t="s">
        <v>42</v>
      </c>
      <c r="H97" s="57" t="s">
        <v>162</v>
      </c>
      <c r="I97" s="57" t="s">
        <v>161</v>
      </c>
      <c r="J97" s="57" t="s">
        <v>38</v>
      </c>
      <c r="K97" s="57" t="s">
        <v>163</v>
      </c>
      <c r="L97" s="57">
        <v>3</v>
      </c>
      <c r="N97" s="57">
        <v>4</v>
      </c>
      <c r="O97" s="57">
        <v>0.5</v>
      </c>
      <c r="P97" s="57">
        <v>0.65</v>
      </c>
      <c r="Q97" s="89">
        <f t="shared" si="3"/>
        <v>0.57499999999999996</v>
      </c>
      <c r="R97" s="57">
        <v>14.9</v>
      </c>
      <c r="S97" s="57">
        <v>122</v>
      </c>
      <c r="T97" s="90">
        <f t="shared" si="4"/>
        <v>27</v>
      </c>
      <c r="U97" s="57">
        <v>428</v>
      </c>
      <c r="V97" s="90">
        <f t="shared" si="5"/>
        <v>2889</v>
      </c>
      <c r="W97" s="57">
        <v>3</v>
      </c>
      <c r="X97" s="57" t="s">
        <v>46</v>
      </c>
      <c r="Y97" s="57" t="s">
        <v>40</v>
      </c>
      <c r="Z97" s="57" t="s">
        <v>69</v>
      </c>
      <c r="AA97" s="57" t="s">
        <v>55</v>
      </c>
      <c r="AB97" s="57" t="s">
        <v>187</v>
      </c>
      <c r="AC97" s="91"/>
      <c r="AD97" s="91"/>
      <c r="AE97" s="91"/>
      <c r="AF97" s="91"/>
      <c r="AG97" s="91"/>
      <c r="AH97" s="91"/>
    </row>
    <row r="98" spans="1:34" x14ac:dyDescent="0.15">
      <c r="K98" s="57"/>
      <c r="Q98" s="75" t="str">
        <f t="shared" si="3"/>
        <v/>
      </c>
      <c r="T98" s="90" t="str">
        <f t="shared" si="4"/>
        <v/>
      </c>
      <c r="V98" s="90" t="str">
        <f t="shared" si="5"/>
        <v/>
      </c>
      <c r="Y98" s="57"/>
    </row>
    <row r="99" spans="1:34" x14ac:dyDescent="0.15">
      <c r="K99" s="57"/>
      <c r="Q99" s="75" t="str">
        <f t="shared" si="3"/>
        <v/>
      </c>
      <c r="T99" s="90" t="str">
        <f t="shared" si="4"/>
        <v/>
      </c>
      <c r="V99" s="62" t="str">
        <f t="shared" si="5"/>
        <v/>
      </c>
      <c r="Y99" s="57"/>
    </row>
    <row r="100" spans="1:34" x14ac:dyDescent="0.15">
      <c r="K100" s="57"/>
      <c r="Q100" s="75" t="str">
        <f t="shared" si="3"/>
        <v/>
      </c>
      <c r="T100" s="62" t="str">
        <f t="shared" si="4"/>
        <v/>
      </c>
      <c r="V100" s="62" t="str">
        <f t="shared" si="5"/>
        <v/>
      </c>
      <c r="Y100" s="57"/>
    </row>
    <row r="101" spans="1:34" x14ac:dyDescent="0.15">
      <c r="K101" s="57"/>
      <c r="Q101" s="75" t="str">
        <f t="shared" si="3"/>
        <v/>
      </c>
      <c r="T101" s="62" t="str">
        <f t="shared" si="4"/>
        <v/>
      </c>
      <c r="V101" s="62" t="str">
        <f t="shared" si="5"/>
        <v/>
      </c>
      <c r="Y101" s="57"/>
    </row>
    <row r="102" spans="1:34" x14ac:dyDescent="0.15">
      <c r="K102" s="57"/>
      <c r="Q102" s="75" t="str">
        <f t="shared" si="3"/>
        <v/>
      </c>
      <c r="T102" s="62" t="str">
        <f t="shared" si="4"/>
        <v/>
      </c>
      <c r="V102" s="62" t="str">
        <f t="shared" si="5"/>
        <v/>
      </c>
      <c r="Y102" s="57"/>
    </row>
    <row r="103" spans="1:34" x14ac:dyDescent="0.15">
      <c r="K103" s="57"/>
      <c r="Q103" s="75" t="str">
        <f t="shared" si="3"/>
        <v/>
      </c>
      <c r="T103" s="62" t="str">
        <f t="shared" si="4"/>
        <v/>
      </c>
      <c r="V103" s="62" t="str">
        <f t="shared" si="5"/>
        <v/>
      </c>
      <c r="Y103" s="57"/>
    </row>
    <row r="104" spans="1:34" x14ac:dyDescent="0.15">
      <c r="K104" s="57"/>
      <c r="Q104" s="75" t="str">
        <f t="shared" si="3"/>
        <v/>
      </c>
      <c r="T104" s="62" t="str">
        <f t="shared" si="4"/>
        <v/>
      </c>
      <c r="V104" s="62" t="str">
        <f t="shared" si="5"/>
        <v/>
      </c>
      <c r="Y104" s="57"/>
    </row>
    <row r="105" spans="1:34" x14ac:dyDescent="0.15">
      <c r="K105" s="57"/>
      <c r="Q105" s="75" t="str">
        <f t="shared" si="3"/>
        <v/>
      </c>
      <c r="T105" s="62" t="str">
        <f t="shared" si="4"/>
        <v/>
      </c>
      <c r="V105" s="62" t="str">
        <f t="shared" si="5"/>
        <v/>
      </c>
      <c r="Y105" s="57"/>
    </row>
    <row r="106" spans="1:34" x14ac:dyDescent="0.15">
      <c r="K106" s="57"/>
      <c r="Q106" s="75" t="str">
        <f t="shared" si="3"/>
        <v/>
      </c>
      <c r="T106" s="62" t="str">
        <f t="shared" si="4"/>
        <v/>
      </c>
      <c r="V106" s="62" t="str">
        <f t="shared" si="5"/>
        <v/>
      </c>
      <c r="Y106" s="57"/>
    </row>
    <row r="107" spans="1:34" x14ac:dyDescent="0.15">
      <c r="K107" s="57"/>
      <c r="Q107" s="75" t="str">
        <f t="shared" si="3"/>
        <v/>
      </c>
      <c r="T107" s="62" t="str">
        <f t="shared" si="4"/>
        <v/>
      </c>
      <c r="V107" s="62" t="str">
        <f t="shared" si="5"/>
        <v/>
      </c>
      <c r="Y107" s="57"/>
    </row>
    <row r="108" spans="1:34" x14ac:dyDescent="0.15">
      <c r="K108" s="57"/>
      <c r="Q108" s="75" t="str">
        <f t="shared" si="3"/>
        <v/>
      </c>
      <c r="T108" s="62" t="str">
        <f t="shared" si="4"/>
        <v/>
      </c>
      <c r="V108" s="62" t="str">
        <f t="shared" si="5"/>
        <v/>
      </c>
      <c r="Y108" s="57"/>
    </row>
    <row r="109" spans="1:34" x14ac:dyDescent="0.15">
      <c r="K109" s="57"/>
      <c r="Q109" s="75" t="str">
        <f t="shared" si="3"/>
        <v/>
      </c>
      <c r="T109" s="62" t="str">
        <f t="shared" si="4"/>
        <v/>
      </c>
      <c r="V109" s="62" t="str">
        <f t="shared" si="5"/>
        <v/>
      </c>
      <c r="Y109" s="57"/>
    </row>
    <row r="110" spans="1:34" x14ac:dyDescent="0.15">
      <c r="K110" s="57"/>
      <c r="Q110" s="75" t="str">
        <f t="shared" si="3"/>
        <v/>
      </c>
      <c r="T110" s="62" t="str">
        <f t="shared" si="4"/>
        <v/>
      </c>
      <c r="V110" s="62" t="str">
        <f t="shared" si="5"/>
        <v/>
      </c>
      <c r="Y110" s="57"/>
    </row>
    <row r="111" spans="1:34" x14ac:dyDescent="0.15">
      <c r="K111" s="57"/>
      <c r="Q111" s="75" t="str">
        <f t="shared" si="3"/>
        <v/>
      </c>
      <c r="T111" s="62" t="str">
        <f t="shared" si="4"/>
        <v/>
      </c>
      <c r="V111" s="62" t="str">
        <f t="shared" si="5"/>
        <v/>
      </c>
      <c r="Y111" s="57"/>
    </row>
    <row r="112" spans="1:34" x14ac:dyDescent="0.15">
      <c r="K112" s="57"/>
      <c r="Q112" s="75" t="str">
        <f t="shared" si="3"/>
        <v/>
      </c>
      <c r="T112" s="62" t="str">
        <f t="shared" si="4"/>
        <v/>
      </c>
      <c r="V112" s="62" t="str">
        <f t="shared" si="5"/>
        <v/>
      </c>
      <c r="Y112" s="57"/>
    </row>
    <row r="113" spans="11:25" x14ac:dyDescent="0.15">
      <c r="K113" s="57"/>
      <c r="Q113" s="75" t="str">
        <f t="shared" si="3"/>
        <v/>
      </c>
      <c r="T113" s="62" t="str">
        <f t="shared" si="4"/>
        <v/>
      </c>
      <c r="V113" s="62" t="str">
        <f t="shared" si="5"/>
        <v/>
      </c>
      <c r="Y113" s="57"/>
    </row>
    <row r="114" spans="11:25" x14ac:dyDescent="0.15">
      <c r="K114" s="57"/>
      <c r="Q114" s="75" t="str">
        <f t="shared" si="3"/>
        <v/>
      </c>
      <c r="T114" s="62" t="str">
        <f t="shared" si="4"/>
        <v/>
      </c>
      <c r="V114" s="62" t="str">
        <f t="shared" si="5"/>
        <v/>
      </c>
      <c r="Y114" s="57"/>
    </row>
    <row r="115" spans="11:25" x14ac:dyDescent="0.15">
      <c r="K115" s="57"/>
      <c r="Q115" s="75" t="str">
        <f t="shared" si="3"/>
        <v/>
      </c>
      <c r="T115" s="62" t="str">
        <f t="shared" si="4"/>
        <v/>
      </c>
      <c r="V115" s="62" t="str">
        <f t="shared" si="5"/>
        <v/>
      </c>
      <c r="Y115" s="57"/>
    </row>
    <row r="116" spans="11:25" x14ac:dyDescent="0.15">
      <c r="K116" s="57"/>
      <c r="Q116" s="75" t="str">
        <f t="shared" si="3"/>
        <v/>
      </c>
      <c r="T116" s="62" t="str">
        <f t="shared" si="4"/>
        <v/>
      </c>
      <c r="V116" s="62" t="str">
        <f t="shared" si="5"/>
        <v/>
      </c>
      <c r="Y116" s="57"/>
    </row>
    <row r="117" spans="11:25" x14ac:dyDescent="0.15">
      <c r="K117" s="57"/>
      <c r="Q117" s="75" t="str">
        <f t="shared" si="3"/>
        <v/>
      </c>
      <c r="T117" s="62" t="str">
        <f t="shared" si="4"/>
        <v/>
      </c>
      <c r="V117" s="62" t="str">
        <f t="shared" si="5"/>
        <v/>
      </c>
      <c r="Y117" s="57"/>
    </row>
    <row r="118" spans="11:25" x14ac:dyDescent="0.15">
      <c r="K118" s="57"/>
      <c r="Q118" s="75" t="str">
        <f t="shared" si="3"/>
        <v/>
      </c>
      <c r="T118" s="62" t="str">
        <f t="shared" si="4"/>
        <v/>
      </c>
      <c r="V118" s="62" t="str">
        <f t="shared" si="5"/>
        <v/>
      </c>
      <c r="Y118" s="57"/>
    </row>
    <row r="119" spans="11:25" x14ac:dyDescent="0.15">
      <c r="K119" s="57"/>
      <c r="Q119" s="75" t="str">
        <f t="shared" si="3"/>
        <v/>
      </c>
      <c r="T119" s="62" t="str">
        <f t="shared" si="4"/>
        <v/>
      </c>
      <c r="V119" s="62" t="str">
        <f t="shared" si="5"/>
        <v/>
      </c>
      <c r="Y119" s="57"/>
    </row>
    <row r="120" spans="11:25" x14ac:dyDescent="0.15">
      <c r="K120" s="57"/>
      <c r="Q120" s="75" t="str">
        <f t="shared" si="3"/>
        <v/>
      </c>
      <c r="T120" s="62" t="str">
        <f t="shared" si="4"/>
        <v/>
      </c>
      <c r="V120" s="62" t="str">
        <f t="shared" si="5"/>
        <v/>
      </c>
      <c r="Y120" s="57"/>
    </row>
    <row r="121" spans="11:25" x14ac:dyDescent="0.15">
      <c r="K121" s="57"/>
      <c r="Q121" s="75" t="str">
        <f t="shared" si="3"/>
        <v/>
      </c>
      <c r="T121" s="62" t="str">
        <f t="shared" si="4"/>
        <v/>
      </c>
      <c r="V121" s="62" t="str">
        <f t="shared" si="5"/>
        <v/>
      </c>
      <c r="Y121" s="57"/>
    </row>
    <row r="122" spans="11:25" x14ac:dyDescent="0.15">
      <c r="K122" s="57"/>
      <c r="Q122" s="75" t="str">
        <f t="shared" si="3"/>
        <v/>
      </c>
      <c r="T122" s="62" t="str">
        <f t="shared" si="4"/>
        <v/>
      </c>
      <c r="V122" s="62" t="str">
        <f t="shared" si="5"/>
        <v/>
      </c>
      <c r="Y122" s="57"/>
    </row>
    <row r="123" spans="11:25" x14ac:dyDescent="0.15">
      <c r="K123" s="57"/>
      <c r="Q123" s="75" t="str">
        <f t="shared" si="3"/>
        <v/>
      </c>
      <c r="T123" s="62" t="str">
        <f t="shared" si="4"/>
        <v/>
      </c>
      <c r="V123" s="62" t="str">
        <f t="shared" si="5"/>
        <v/>
      </c>
      <c r="Y123" s="57"/>
    </row>
    <row r="124" spans="11:25" x14ac:dyDescent="0.15">
      <c r="K124" s="57"/>
      <c r="Q124" s="75" t="str">
        <f t="shared" si="3"/>
        <v/>
      </c>
      <c r="T124" s="62" t="str">
        <f t="shared" si="4"/>
        <v/>
      </c>
      <c r="V124" s="62" t="str">
        <f t="shared" si="5"/>
        <v/>
      </c>
      <c r="Y124" s="57"/>
    </row>
    <row r="125" spans="11:25" x14ac:dyDescent="0.15">
      <c r="K125" s="57"/>
      <c r="Q125" s="75" t="str">
        <f t="shared" si="3"/>
        <v/>
      </c>
      <c r="T125" s="62" t="str">
        <f t="shared" si="4"/>
        <v/>
      </c>
      <c r="V125" s="62" t="str">
        <f t="shared" si="5"/>
        <v/>
      </c>
      <c r="Y125" s="57"/>
    </row>
    <row r="126" spans="11:25" x14ac:dyDescent="0.15">
      <c r="K126" s="57"/>
      <c r="Q126" s="75" t="str">
        <f t="shared" si="3"/>
        <v/>
      </c>
      <c r="T126" s="62" t="str">
        <f t="shared" si="4"/>
        <v/>
      </c>
      <c r="V126" s="62" t="str">
        <f t="shared" si="5"/>
        <v/>
      </c>
      <c r="Y126" s="57"/>
    </row>
    <row r="127" spans="11:25" x14ac:dyDescent="0.15">
      <c r="Q127" s="75" t="str">
        <f t="shared" si="3"/>
        <v/>
      </c>
      <c r="T127" s="62" t="str">
        <f t="shared" si="4"/>
        <v/>
      </c>
      <c r="V127" s="62" t="str">
        <f t="shared" si="5"/>
        <v/>
      </c>
      <c r="Y127" s="57"/>
    </row>
    <row r="128" spans="11:25" x14ac:dyDescent="0.15">
      <c r="Q128" s="75" t="str">
        <f t="shared" si="3"/>
        <v/>
      </c>
      <c r="T128" s="62" t="str">
        <f t="shared" si="4"/>
        <v/>
      </c>
      <c r="V128" s="62" t="str">
        <f t="shared" si="5"/>
        <v/>
      </c>
    </row>
    <row r="129" spans="17:22" x14ac:dyDescent="0.15">
      <c r="Q129" s="75" t="str">
        <f t="shared" si="3"/>
        <v/>
      </c>
      <c r="T129" s="62" t="str">
        <f t="shared" si="4"/>
        <v/>
      </c>
      <c r="V129" s="62" t="str">
        <f t="shared" si="5"/>
        <v/>
      </c>
    </row>
    <row r="130" spans="17:22" x14ac:dyDescent="0.15">
      <c r="Q130" s="75" t="str">
        <f t="shared" ref="Q130:Q193" si="6">IF(OR(O130="",P130=""),"",AVERAGE(O130,P130))</f>
        <v/>
      </c>
      <c r="T130" s="62" t="str">
        <f t="shared" ref="T130:T193" si="7">IF(H130="","",IF(OR(H130="GREEN",H130="GK"),IF(S130&gt;=$AX$2,VLOOKUP(S130,$AX$2:$AY$10,2,1),""),IF(S130&gt;=$AZ$2,VLOOKUP(S130,$AZ$2:$BA$10,2,1),"")))</f>
        <v/>
      </c>
      <c r="V130" s="62" t="str">
        <f t="shared" ref="V130:V193" si="8">IF(OR(N130="",U130="",T130=""),"",U130/N130*T130)</f>
        <v/>
      </c>
    </row>
    <row r="131" spans="17:22" x14ac:dyDescent="0.15">
      <c r="Q131" s="75" t="str">
        <f t="shared" si="6"/>
        <v/>
      </c>
      <c r="T131" s="62" t="str">
        <f t="shared" si="7"/>
        <v/>
      </c>
      <c r="V131" s="62" t="str">
        <f t="shared" si="8"/>
        <v/>
      </c>
    </row>
    <row r="132" spans="17:22" x14ac:dyDescent="0.15">
      <c r="Q132" s="75" t="str">
        <f t="shared" si="6"/>
        <v/>
      </c>
      <c r="T132" s="62" t="str">
        <f t="shared" si="7"/>
        <v/>
      </c>
      <c r="V132" s="62" t="str">
        <f t="shared" si="8"/>
        <v/>
      </c>
    </row>
    <row r="133" spans="17:22" x14ac:dyDescent="0.15">
      <c r="Q133" s="75" t="str">
        <f t="shared" si="6"/>
        <v/>
      </c>
      <c r="T133" s="62" t="str">
        <f t="shared" si="7"/>
        <v/>
      </c>
      <c r="V133" s="62" t="str">
        <f t="shared" si="8"/>
        <v/>
      </c>
    </row>
    <row r="134" spans="17:22" x14ac:dyDescent="0.15">
      <c r="Q134" s="75" t="str">
        <f t="shared" si="6"/>
        <v/>
      </c>
      <c r="T134" s="62" t="str">
        <f t="shared" si="7"/>
        <v/>
      </c>
      <c r="V134" s="62" t="str">
        <f t="shared" si="8"/>
        <v/>
      </c>
    </row>
    <row r="135" spans="17:22" x14ac:dyDescent="0.15">
      <c r="Q135" s="75" t="str">
        <f t="shared" si="6"/>
        <v/>
      </c>
      <c r="T135" s="62" t="str">
        <f t="shared" si="7"/>
        <v/>
      </c>
      <c r="V135" s="62" t="str">
        <f t="shared" si="8"/>
        <v/>
      </c>
    </row>
    <row r="136" spans="17:22" x14ac:dyDescent="0.15">
      <c r="Q136" s="75" t="str">
        <f t="shared" si="6"/>
        <v/>
      </c>
      <c r="T136" s="62" t="str">
        <f t="shared" si="7"/>
        <v/>
      </c>
      <c r="V136" s="62" t="str">
        <f t="shared" si="8"/>
        <v/>
      </c>
    </row>
    <row r="137" spans="17:22" x14ac:dyDescent="0.15">
      <c r="Q137" s="75" t="str">
        <f t="shared" si="6"/>
        <v/>
      </c>
      <c r="T137" s="62" t="str">
        <f t="shared" si="7"/>
        <v/>
      </c>
      <c r="V137" s="62" t="str">
        <f t="shared" si="8"/>
        <v/>
      </c>
    </row>
    <row r="138" spans="17:22" x14ac:dyDescent="0.15">
      <c r="Q138" s="75" t="str">
        <f t="shared" si="6"/>
        <v/>
      </c>
      <c r="T138" s="62" t="str">
        <f t="shared" si="7"/>
        <v/>
      </c>
      <c r="V138" s="62" t="str">
        <f t="shared" si="8"/>
        <v/>
      </c>
    </row>
    <row r="139" spans="17:22" x14ac:dyDescent="0.15">
      <c r="Q139" s="75" t="str">
        <f t="shared" si="6"/>
        <v/>
      </c>
      <c r="T139" s="62" t="str">
        <f t="shared" si="7"/>
        <v/>
      </c>
      <c r="V139" s="62" t="str">
        <f t="shared" si="8"/>
        <v/>
      </c>
    </row>
    <row r="140" spans="17:22" x14ac:dyDescent="0.15">
      <c r="Q140" s="75" t="str">
        <f t="shared" si="6"/>
        <v/>
      </c>
      <c r="T140" s="62" t="str">
        <f t="shared" si="7"/>
        <v/>
      </c>
      <c r="V140" s="62" t="str">
        <f t="shared" si="8"/>
        <v/>
      </c>
    </row>
    <row r="141" spans="17:22" x14ac:dyDescent="0.15">
      <c r="Q141" s="75" t="str">
        <f t="shared" si="6"/>
        <v/>
      </c>
      <c r="T141" s="62" t="str">
        <f t="shared" si="7"/>
        <v/>
      </c>
      <c r="V141" s="62" t="str">
        <f t="shared" si="8"/>
        <v/>
      </c>
    </row>
    <row r="142" spans="17:22" x14ac:dyDescent="0.15">
      <c r="Q142" s="75" t="str">
        <f t="shared" si="6"/>
        <v/>
      </c>
      <c r="T142" s="62" t="str">
        <f t="shared" si="7"/>
        <v/>
      </c>
      <c r="V142" s="62" t="str">
        <f t="shared" si="8"/>
        <v/>
      </c>
    </row>
    <row r="143" spans="17:22" x14ac:dyDescent="0.15">
      <c r="Q143" s="75" t="str">
        <f t="shared" si="6"/>
        <v/>
      </c>
      <c r="T143" s="62" t="str">
        <f t="shared" si="7"/>
        <v/>
      </c>
      <c r="V143" s="62" t="str">
        <f t="shared" si="8"/>
        <v/>
      </c>
    </row>
    <row r="144" spans="17:22" x14ac:dyDescent="0.15">
      <c r="Q144" s="75" t="str">
        <f t="shared" si="6"/>
        <v/>
      </c>
      <c r="T144" s="62" t="str">
        <f t="shared" si="7"/>
        <v/>
      </c>
      <c r="V144" s="62" t="str">
        <f t="shared" si="8"/>
        <v/>
      </c>
    </row>
    <row r="145" spans="17:22" x14ac:dyDescent="0.15">
      <c r="Q145" s="75" t="str">
        <f t="shared" si="6"/>
        <v/>
      </c>
      <c r="T145" s="62" t="str">
        <f t="shared" si="7"/>
        <v/>
      </c>
      <c r="V145" s="62" t="str">
        <f t="shared" si="8"/>
        <v/>
      </c>
    </row>
    <row r="146" spans="17:22" x14ac:dyDescent="0.15">
      <c r="Q146" s="75" t="str">
        <f t="shared" si="6"/>
        <v/>
      </c>
      <c r="T146" s="62" t="str">
        <f t="shared" si="7"/>
        <v/>
      </c>
      <c r="V146" s="62" t="str">
        <f t="shared" si="8"/>
        <v/>
      </c>
    </row>
    <row r="147" spans="17:22" x14ac:dyDescent="0.15">
      <c r="Q147" s="75" t="str">
        <f t="shared" si="6"/>
        <v/>
      </c>
      <c r="T147" s="62" t="str">
        <f t="shared" si="7"/>
        <v/>
      </c>
      <c r="V147" s="62" t="str">
        <f t="shared" si="8"/>
        <v/>
      </c>
    </row>
    <row r="148" spans="17:22" x14ac:dyDescent="0.15">
      <c r="Q148" s="75" t="str">
        <f t="shared" si="6"/>
        <v/>
      </c>
      <c r="T148" s="62" t="str">
        <f t="shared" si="7"/>
        <v/>
      </c>
      <c r="V148" s="62" t="str">
        <f t="shared" si="8"/>
        <v/>
      </c>
    </row>
    <row r="149" spans="17:22" x14ac:dyDescent="0.15">
      <c r="Q149" s="75" t="str">
        <f t="shared" si="6"/>
        <v/>
      </c>
      <c r="T149" s="62" t="str">
        <f t="shared" si="7"/>
        <v/>
      </c>
      <c r="V149" s="62" t="str">
        <f t="shared" si="8"/>
        <v/>
      </c>
    </row>
    <row r="150" spans="17:22" x14ac:dyDescent="0.15">
      <c r="Q150" s="75" t="str">
        <f t="shared" si="6"/>
        <v/>
      </c>
      <c r="T150" s="62" t="str">
        <f t="shared" si="7"/>
        <v/>
      </c>
      <c r="V150" s="62" t="str">
        <f t="shared" si="8"/>
        <v/>
      </c>
    </row>
    <row r="151" spans="17:22" x14ac:dyDescent="0.15">
      <c r="Q151" s="75" t="str">
        <f t="shared" si="6"/>
        <v/>
      </c>
      <c r="T151" s="62" t="str">
        <f t="shared" si="7"/>
        <v/>
      </c>
      <c r="V151" s="62" t="str">
        <f t="shared" si="8"/>
        <v/>
      </c>
    </row>
    <row r="152" spans="17:22" x14ac:dyDescent="0.15">
      <c r="Q152" s="75" t="str">
        <f t="shared" si="6"/>
        <v/>
      </c>
      <c r="T152" s="62" t="str">
        <f t="shared" si="7"/>
        <v/>
      </c>
      <c r="V152" s="62" t="str">
        <f t="shared" si="8"/>
        <v/>
      </c>
    </row>
    <row r="153" spans="17:22" x14ac:dyDescent="0.15">
      <c r="Q153" s="75" t="str">
        <f t="shared" si="6"/>
        <v/>
      </c>
      <c r="T153" s="62" t="str">
        <f t="shared" si="7"/>
        <v/>
      </c>
      <c r="V153" s="62" t="str">
        <f t="shared" si="8"/>
        <v/>
      </c>
    </row>
    <row r="154" spans="17:22" x14ac:dyDescent="0.15">
      <c r="Q154" s="75" t="str">
        <f t="shared" si="6"/>
        <v/>
      </c>
      <c r="T154" s="62" t="str">
        <f t="shared" si="7"/>
        <v/>
      </c>
      <c r="V154" s="62" t="str">
        <f t="shared" si="8"/>
        <v/>
      </c>
    </row>
    <row r="155" spans="17:22" x14ac:dyDescent="0.15">
      <c r="Q155" s="75" t="str">
        <f t="shared" si="6"/>
        <v/>
      </c>
      <c r="T155" s="62" t="str">
        <f t="shared" si="7"/>
        <v/>
      </c>
      <c r="V155" s="62" t="str">
        <f t="shared" si="8"/>
        <v/>
      </c>
    </row>
    <row r="156" spans="17:22" x14ac:dyDescent="0.15">
      <c r="Q156" s="75" t="str">
        <f t="shared" si="6"/>
        <v/>
      </c>
      <c r="T156" s="62" t="str">
        <f t="shared" si="7"/>
        <v/>
      </c>
      <c r="V156" s="62" t="str">
        <f t="shared" si="8"/>
        <v/>
      </c>
    </row>
    <row r="157" spans="17:22" x14ac:dyDescent="0.15">
      <c r="Q157" s="75" t="str">
        <f t="shared" si="6"/>
        <v/>
      </c>
      <c r="T157" s="62" t="str">
        <f t="shared" si="7"/>
        <v/>
      </c>
      <c r="V157" s="62" t="str">
        <f t="shared" si="8"/>
        <v/>
      </c>
    </row>
    <row r="158" spans="17:22" x14ac:dyDescent="0.15">
      <c r="Q158" s="75" t="str">
        <f t="shared" si="6"/>
        <v/>
      </c>
      <c r="T158" s="62" t="str">
        <f t="shared" si="7"/>
        <v/>
      </c>
      <c r="V158" s="62" t="str">
        <f t="shared" si="8"/>
        <v/>
      </c>
    </row>
    <row r="159" spans="17:22" x14ac:dyDescent="0.15">
      <c r="Q159" s="75" t="str">
        <f t="shared" si="6"/>
        <v/>
      </c>
      <c r="T159" s="62" t="str">
        <f t="shared" si="7"/>
        <v/>
      </c>
      <c r="V159" s="62" t="str">
        <f t="shared" si="8"/>
        <v/>
      </c>
    </row>
    <row r="160" spans="17:22" x14ac:dyDescent="0.15">
      <c r="Q160" s="75" t="str">
        <f t="shared" si="6"/>
        <v/>
      </c>
      <c r="T160" s="62" t="str">
        <f t="shared" si="7"/>
        <v/>
      </c>
      <c r="V160" s="62" t="str">
        <f t="shared" si="8"/>
        <v/>
      </c>
    </row>
    <row r="161" spans="17:22" x14ac:dyDescent="0.15">
      <c r="Q161" s="75" t="str">
        <f t="shared" si="6"/>
        <v/>
      </c>
      <c r="T161" s="62" t="str">
        <f t="shared" si="7"/>
        <v/>
      </c>
      <c r="V161" s="62" t="str">
        <f t="shared" si="8"/>
        <v/>
      </c>
    </row>
    <row r="162" spans="17:22" x14ac:dyDescent="0.15">
      <c r="Q162" s="75" t="str">
        <f t="shared" si="6"/>
        <v/>
      </c>
      <c r="T162" s="62" t="str">
        <f t="shared" si="7"/>
        <v/>
      </c>
      <c r="V162" s="62" t="str">
        <f t="shared" si="8"/>
        <v/>
      </c>
    </row>
    <row r="163" spans="17:22" x14ac:dyDescent="0.15">
      <c r="Q163" s="75" t="str">
        <f t="shared" si="6"/>
        <v/>
      </c>
      <c r="T163" s="62" t="str">
        <f t="shared" si="7"/>
        <v/>
      </c>
      <c r="V163" s="62" t="str">
        <f t="shared" si="8"/>
        <v/>
      </c>
    </row>
    <row r="164" spans="17:22" x14ac:dyDescent="0.15">
      <c r="Q164" s="75" t="str">
        <f t="shared" si="6"/>
        <v/>
      </c>
      <c r="T164" s="62" t="str">
        <f t="shared" si="7"/>
        <v/>
      </c>
      <c r="V164" s="62" t="str">
        <f t="shared" si="8"/>
        <v/>
      </c>
    </row>
    <row r="165" spans="17:22" x14ac:dyDescent="0.15">
      <c r="Q165" s="75" t="str">
        <f t="shared" si="6"/>
        <v/>
      </c>
      <c r="T165" s="62" t="str">
        <f t="shared" si="7"/>
        <v/>
      </c>
      <c r="V165" s="62" t="str">
        <f t="shared" si="8"/>
        <v/>
      </c>
    </row>
    <row r="166" spans="17:22" x14ac:dyDescent="0.15">
      <c r="Q166" s="75" t="str">
        <f t="shared" si="6"/>
        <v/>
      </c>
      <c r="T166" s="62" t="str">
        <f t="shared" si="7"/>
        <v/>
      </c>
      <c r="V166" s="62" t="str">
        <f t="shared" si="8"/>
        <v/>
      </c>
    </row>
    <row r="167" spans="17:22" x14ac:dyDescent="0.15">
      <c r="Q167" s="75" t="str">
        <f t="shared" si="6"/>
        <v/>
      </c>
      <c r="T167" s="62" t="str">
        <f t="shared" si="7"/>
        <v/>
      </c>
      <c r="V167" s="62" t="str">
        <f t="shared" si="8"/>
        <v/>
      </c>
    </row>
    <row r="168" spans="17:22" x14ac:dyDescent="0.15">
      <c r="Q168" s="75" t="str">
        <f t="shared" si="6"/>
        <v/>
      </c>
      <c r="T168" s="62" t="str">
        <f t="shared" si="7"/>
        <v/>
      </c>
      <c r="V168" s="62" t="str">
        <f t="shared" si="8"/>
        <v/>
      </c>
    </row>
    <row r="169" spans="17:22" x14ac:dyDescent="0.15">
      <c r="Q169" s="75" t="str">
        <f t="shared" si="6"/>
        <v/>
      </c>
      <c r="T169" s="62" t="str">
        <f t="shared" si="7"/>
        <v/>
      </c>
      <c r="V169" s="62" t="str">
        <f t="shared" si="8"/>
        <v/>
      </c>
    </row>
    <row r="170" spans="17:22" x14ac:dyDescent="0.15">
      <c r="Q170" s="75" t="str">
        <f t="shared" si="6"/>
        <v/>
      </c>
      <c r="T170" s="62" t="str">
        <f t="shared" si="7"/>
        <v/>
      </c>
      <c r="V170" s="62" t="str">
        <f t="shared" si="8"/>
        <v/>
      </c>
    </row>
    <row r="171" spans="17:22" x14ac:dyDescent="0.15">
      <c r="Q171" s="75" t="str">
        <f t="shared" si="6"/>
        <v/>
      </c>
      <c r="T171" s="62" t="str">
        <f t="shared" si="7"/>
        <v/>
      </c>
      <c r="V171" s="62" t="str">
        <f t="shared" si="8"/>
        <v/>
      </c>
    </row>
    <row r="172" spans="17:22" x14ac:dyDescent="0.15">
      <c r="Q172" s="75" t="str">
        <f t="shared" si="6"/>
        <v/>
      </c>
      <c r="T172" s="62" t="str">
        <f t="shared" si="7"/>
        <v/>
      </c>
      <c r="V172" s="62" t="str">
        <f t="shared" si="8"/>
        <v/>
      </c>
    </row>
    <row r="173" spans="17:22" x14ac:dyDescent="0.15">
      <c r="Q173" s="75" t="str">
        <f t="shared" si="6"/>
        <v/>
      </c>
      <c r="T173" s="62" t="str">
        <f t="shared" si="7"/>
        <v/>
      </c>
      <c r="V173" s="62" t="str">
        <f t="shared" si="8"/>
        <v/>
      </c>
    </row>
    <row r="174" spans="17:22" x14ac:dyDescent="0.15">
      <c r="Q174" s="75" t="str">
        <f t="shared" si="6"/>
        <v/>
      </c>
      <c r="T174" s="62" t="str">
        <f t="shared" si="7"/>
        <v/>
      </c>
      <c r="V174" s="62" t="str">
        <f t="shared" si="8"/>
        <v/>
      </c>
    </row>
    <row r="175" spans="17:22" x14ac:dyDescent="0.15">
      <c r="Q175" s="75" t="str">
        <f t="shared" si="6"/>
        <v/>
      </c>
      <c r="T175" s="62" t="str">
        <f t="shared" si="7"/>
        <v/>
      </c>
      <c r="V175" s="62" t="str">
        <f t="shared" si="8"/>
        <v/>
      </c>
    </row>
    <row r="176" spans="17:22" x14ac:dyDescent="0.15">
      <c r="Q176" s="75" t="str">
        <f t="shared" si="6"/>
        <v/>
      </c>
      <c r="T176" s="62" t="str">
        <f t="shared" si="7"/>
        <v/>
      </c>
      <c r="V176" s="62" t="str">
        <f t="shared" si="8"/>
        <v/>
      </c>
    </row>
    <row r="177" spans="17:22" x14ac:dyDescent="0.15">
      <c r="Q177" s="75" t="str">
        <f t="shared" si="6"/>
        <v/>
      </c>
      <c r="T177" s="62" t="str">
        <f t="shared" si="7"/>
        <v/>
      </c>
      <c r="V177" s="62" t="str">
        <f t="shared" si="8"/>
        <v/>
      </c>
    </row>
    <row r="178" spans="17:22" x14ac:dyDescent="0.15">
      <c r="Q178" s="75" t="str">
        <f t="shared" si="6"/>
        <v/>
      </c>
      <c r="T178" s="62" t="str">
        <f t="shared" si="7"/>
        <v/>
      </c>
      <c r="V178" s="62" t="str">
        <f t="shared" si="8"/>
        <v/>
      </c>
    </row>
    <row r="179" spans="17:22" x14ac:dyDescent="0.15">
      <c r="Q179" s="75" t="str">
        <f t="shared" si="6"/>
        <v/>
      </c>
      <c r="T179" s="62" t="str">
        <f t="shared" si="7"/>
        <v/>
      </c>
      <c r="V179" s="62" t="str">
        <f t="shared" si="8"/>
        <v/>
      </c>
    </row>
    <row r="180" spans="17:22" x14ac:dyDescent="0.15">
      <c r="Q180" s="75" t="str">
        <f t="shared" si="6"/>
        <v/>
      </c>
      <c r="T180" s="62" t="str">
        <f t="shared" si="7"/>
        <v/>
      </c>
      <c r="V180" s="62" t="str">
        <f t="shared" si="8"/>
        <v/>
      </c>
    </row>
    <row r="181" spans="17:22" x14ac:dyDescent="0.15">
      <c r="Q181" s="75" t="str">
        <f t="shared" si="6"/>
        <v/>
      </c>
      <c r="T181" s="62" t="str">
        <f t="shared" si="7"/>
        <v/>
      </c>
      <c r="V181" s="62" t="str">
        <f t="shared" si="8"/>
        <v/>
      </c>
    </row>
    <row r="182" spans="17:22" x14ac:dyDescent="0.15">
      <c r="Q182" s="75" t="str">
        <f t="shared" si="6"/>
        <v/>
      </c>
      <c r="T182" s="62" t="str">
        <f t="shared" si="7"/>
        <v/>
      </c>
      <c r="V182" s="62" t="str">
        <f t="shared" si="8"/>
        <v/>
      </c>
    </row>
    <row r="183" spans="17:22" x14ac:dyDescent="0.15">
      <c r="Q183" s="75" t="str">
        <f t="shared" si="6"/>
        <v/>
      </c>
      <c r="T183" s="62" t="str">
        <f t="shared" si="7"/>
        <v/>
      </c>
      <c r="V183" s="62" t="str">
        <f t="shared" si="8"/>
        <v/>
      </c>
    </row>
    <row r="184" spans="17:22" x14ac:dyDescent="0.15">
      <c r="Q184" s="75" t="str">
        <f t="shared" si="6"/>
        <v/>
      </c>
      <c r="T184" s="62" t="str">
        <f t="shared" si="7"/>
        <v/>
      </c>
      <c r="V184" s="62" t="str">
        <f t="shared" si="8"/>
        <v/>
      </c>
    </row>
    <row r="185" spans="17:22" x14ac:dyDescent="0.15">
      <c r="Q185" s="75" t="str">
        <f t="shared" si="6"/>
        <v/>
      </c>
      <c r="T185" s="62" t="str">
        <f t="shared" si="7"/>
        <v/>
      </c>
      <c r="V185" s="62" t="str">
        <f t="shared" si="8"/>
        <v/>
      </c>
    </row>
    <row r="186" spans="17:22" x14ac:dyDescent="0.15">
      <c r="Q186" s="75" t="str">
        <f t="shared" si="6"/>
        <v/>
      </c>
      <c r="T186" s="62" t="str">
        <f t="shared" si="7"/>
        <v/>
      </c>
      <c r="V186" s="62" t="str">
        <f t="shared" si="8"/>
        <v/>
      </c>
    </row>
    <row r="187" spans="17:22" x14ac:dyDescent="0.15">
      <c r="Q187" s="75" t="str">
        <f t="shared" si="6"/>
        <v/>
      </c>
      <c r="T187" s="62" t="str">
        <f t="shared" si="7"/>
        <v/>
      </c>
      <c r="V187" s="62" t="str">
        <f t="shared" si="8"/>
        <v/>
      </c>
    </row>
    <row r="188" spans="17:22" x14ac:dyDescent="0.15">
      <c r="Q188" s="75" t="str">
        <f t="shared" si="6"/>
        <v/>
      </c>
      <c r="T188" s="62" t="str">
        <f t="shared" si="7"/>
        <v/>
      </c>
      <c r="V188" s="62" t="str">
        <f t="shared" si="8"/>
        <v/>
      </c>
    </row>
    <row r="189" spans="17:22" x14ac:dyDescent="0.15">
      <c r="Q189" s="75" t="str">
        <f t="shared" si="6"/>
        <v/>
      </c>
      <c r="T189" s="62" t="str">
        <f t="shared" si="7"/>
        <v/>
      </c>
      <c r="V189" s="62" t="str">
        <f t="shared" si="8"/>
        <v/>
      </c>
    </row>
    <row r="190" spans="17:22" x14ac:dyDescent="0.15">
      <c r="Q190" s="75" t="str">
        <f t="shared" si="6"/>
        <v/>
      </c>
      <c r="T190" s="62" t="str">
        <f t="shared" si="7"/>
        <v/>
      </c>
      <c r="V190" s="62" t="str">
        <f t="shared" si="8"/>
        <v/>
      </c>
    </row>
    <row r="191" spans="17:22" x14ac:dyDescent="0.15">
      <c r="Q191" s="75" t="str">
        <f t="shared" si="6"/>
        <v/>
      </c>
      <c r="T191" s="62" t="str">
        <f t="shared" si="7"/>
        <v/>
      </c>
      <c r="V191" s="62" t="str">
        <f t="shared" si="8"/>
        <v/>
      </c>
    </row>
    <row r="192" spans="17:22" x14ac:dyDescent="0.15">
      <c r="Q192" s="75" t="str">
        <f t="shared" si="6"/>
        <v/>
      </c>
      <c r="T192" s="62" t="str">
        <f t="shared" si="7"/>
        <v/>
      </c>
      <c r="V192" s="62" t="str">
        <f t="shared" si="8"/>
        <v/>
      </c>
    </row>
    <row r="193" spans="17:22" x14ac:dyDescent="0.15">
      <c r="Q193" s="75" t="str">
        <f t="shared" si="6"/>
        <v/>
      </c>
      <c r="T193" s="62" t="str">
        <f t="shared" si="7"/>
        <v/>
      </c>
      <c r="V193" s="62" t="str">
        <f t="shared" si="8"/>
        <v/>
      </c>
    </row>
    <row r="194" spans="17:22" x14ac:dyDescent="0.15">
      <c r="Q194" s="75" t="str">
        <f t="shared" ref="Q194:Q257" si="9">IF(OR(O194="",P194=""),"",AVERAGE(O194,P194))</f>
        <v/>
      </c>
      <c r="T194" s="62" t="str">
        <f t="shared" ref="T194:T257" si="10">IF(H194="","",IF(OR(H194="GREEN",H194="GK"),IF(S194&gt;=$AX$2,VLOOKUP(S194,$AX$2:$AY$10,2,1),""),IF(S194&gt;=$AZ$2,VLOOKUP(S194,$AZ$2:$BA$10,2,1),"")))</f>
        <v/>
      </c>
      <c r="V194" s="62" t="str">
        <f t="shared" ref="V194:V257" si="11">IF(OR(N194="",U194="",T194=""),"",U194/N194*T194)</f>
        <v/>
      </c>
    </row>
    <row r="195" spans="17:22" x14ac:dyDescent="0.15">
      <c r="Q195" s="75" t="str">
        <f t="shared" si="9"/>
        <v/>
      </c>
      <c r="T195" s="62" t="str">
        <f t="shared" si="10"/>
        <v/>
      </c>
      <c r="V195" s="62" t="str">
        <f t="shared" si="11"/>
        <v/>
      </c>
    </row>
    <row r="196" spans="17:22" x14ac:dyDescent="0.15">
      <c r="Q196" s="75" t="str">
        <f t="shared" si="9"/>
        <v/>
      </c>
      <c r="T196" s="62" t="str">
        <f t="shared" si="10"/>
        <v/>
      </c>
      <c r="V196" s="62" t="str">
        <f t="shared" si="11"/>
        <v/>
      </c>
    </row>
    <row r="197" spans="17:22" x14ac:dyDescent="0.15">
      <c r="Q197" s="75" t="str">
        <f t="shared" si="9"/>
        <v/>
      </c>
      <c r="T197" s="62" t="str">
        <f t="shared" si="10"/>
        <v/>
      </c>
      <c r="V197" s="62" t="str">
        <f t="shared" si="11"/>
        <v/>
      </c>
    </row>
    <row r="198" spans="17:22" x14ac:dyDescent="0.15">
      <c r="Q198" s="75" t="str">
        <f t="shared" si="9"/>
        <v/>
      </c>
      <c r="T198" s="62" t="str">
        <f t="shared" si="10"/>
        <v/>
      </c>
      <c r="V198" s="62" t="str">
        <f t="shared" si="11"/>
        <v/>
      </c>
    </row>
    <row r="199" spans="17:22" x14ac:dyDescent="0.15">
      <c r="Q199" s="75" t="str">
        <f t="shared" si="9"/>
        <v/>
      </c>
      <c r="T199" s="62" t="str">
        <f t="shared" si="10"/>
        <v/>
      </c>
      <c r="V199" s="62" t="str">
        <f t="shared" si="11"/>
        <v/>
      </c>
    </row>
    <row r="200" spans="17:22" x14ac:dyDescent="0.15">
      <c r="Q200" s="75" t="str">
        <f t="shared" si="9"/>
        <v/>
      </c>
      <c r="T200" s="62" t="str">
        <f t="shared" si="10"/>
        <v/>
      </c>
      <c r="V200" s="62" t="str">
        <f t="shared" si="11"/>
        <v/>
      </c>
    </row>
    <row r="201" spans="17:22" x14ac:dyDescent="0.15">
      <c r="Q201" s="75" t="str">
        <f t="shared" si="9"/>
        <v/>
      </c>
      <c r="T201" s="62" t="str">
        <f t="shared" si="10"/>
        <v/>
      </c>
      <c r="V201" s="62" t="str">
        <f t="shared" si="11"/>
        <v/>
      </c>
    </row>
    <row r="202" spans="17:22" x14ac:dyDescent="0.15">
      <c r="Q202" s="75" t="str">
        <f t="shared" si="9"/>
        <v/>
      </c>
      <c r="T202" s="62" t="str">
        <f t="shared" si="10"/>
        <v/>
      </c>
      <c r="V202" s="62" t="str">
        <f t="shared" si="11"/>
        <v/>
      </c>
    </row>
    <row r="203" spans="17:22" x14ac:dyDescent="0.15">
      <c r="Q203" s="75" t="str">
        <f t="shared" si="9"/>
        <v/>
      </c>
      <c r="T203" s="62" t="str">
        <f t="shared" si="10"/>
        <v/>
      </c>
      <c r="V203" s="62" t="str">
        <f t="shared" si="11"/>
        <v/>
      </c>
    </row>
    <row r="204" spans="17:22" x14ac:dyDescent="0.15">
      <c r="Q204" s="75" t="str">
        <f t="shared" si="9"/>
        <v/>
      </c>
      <c r="T204" s="62" t="str">
        <f t="shared" si="10"/>
        <v/>
      </c>
      <c r="V204" s="62" t="str">
        <f t="shared" si="11"/>
        <v/>
      </c>
    </row>
    <row r="205" spans="17:22" x14ac:dyDescent="0.15">
      <c r="Q205" s="75" t="str">
        <f t="shared" si="9"/>
        <v/>
      </c>
      <c r="T205" s="62" t="str">
        <f t="shared" si="10"/>
        <v/>
      </c>
      <c r="V205" s="62" t="str">
        <f t="shared" si="11"/>
        <v/>
      </c>
    </row>
    <row r="206" spans="17:22" x14ac:dyDescent="0.15">
      <c r="Q206" s="75" t="str">
        <f t="shared" si="9"/>
        <v/>
      </c>
      <c r="T206" s="62" t="str">
        <f t="shared" si="10"/>
        <v/>
      </c>
      <c r="V206" s="62" t="str">
        <f t="shared" si="11"/>
        <v/>
      </c>
    </row>
    <row r="207" spans="17:22" x14ac:dyDescent="0.15">
      <c r="Q207" s="75" t="str">
        <f t="shared" si="9"/>
        <v/>
      </c>
      <c r="T207" s="62" t="str">
        <f t="shared" si="10"/>
        <v/>
      </c>
      <c r="V207" s="62" t="str">
        <f t="shared" si="11"/>
        <v/>
      </c>
    </row>
    <row r="208" spans="17:22" x14ac:dyDescent="0.15">
      <c r="Q208" s="75" t="str">
        <f t="shared" si="9"/>
        <v/>
      </c>
      <c r="T208" s="62" t="str">
        <f t="shared" si="10"/>
        <v/>
      </c>
      <c r="V208" s="62" t="str">
        <f t="shared" si="11"/>
        <v/>
      </c>
    </row>
    <row r="209" spans="17:22" x14ac:dyDescent="0.15">
      <c r="Q209" s="75" t="str">
        <f t="shared" si="9"/>
        <v/>
      </c>
      <c r="T209" s="62" t="str">
        <f t="shared" si="10"/>
        <v/>
      </c>
      <c r="V209" s="62" t="str">
        <f t="shared" si="11"/>
        <v/>
      </c>
    </row>
    <row r="210" spans="17:22" x14ac:dyDescent="0.15">
      <c r="Q210" s="75" t="str">
        <f t="shared" si="9"/>
        <v/>
      </c>
      <c r="T210" s="62" t="str">
        <f t="shared" si="10"/>
        <v/>
      </c>
      <c r="V210" s="62" t="str">
        <f t="shared" si="11"/>
        <v/>
      </c>
    </row>
    <row r="211" spans="17:22" x14ac:dyDescent="0.15">
      <c r="Q211" s="75" t="str">
        <f t="shared" si="9"/>
        <v/>
      </c>
      <c r="T211" s="62" t="str">
        <f t="shared" si="10"/>
        <v/>
      </c>
      <c r="V211" s="62" t="str">
        <f t="shared" si="11"/>
        <v/>
      </c>
    </row>
    <row r="212" spans="17:22" x14ac:dyDescent="0.15">
      <c r="Q212" s="75" t="str">
        <f t="shared" si="9"/>
        <v/>
      </c>
      <c r="T212" s="62" t="str">
        <f t="shared" si="10"/>
        <v/>
      </c>
      <c r="V212" s="62" t="str">
        <f t="shared" si="11"/>
        <v/>
      </c>
    </row>
    <row r="213" spans="17:22" x14ac:dyDescent="0.15">
      <c r="Q213" s="75" t="str">
        <f t="shared" si="9"/>
        <v/>
      </c>
      <c r="T213" s="62" t="str">
        <f t="shared" si="10"/>
        <v/>
      </c>
      <c r="V213" s="62" t="str">
        <f t="shared" si="11"/>
        <v/>
      </c>
    </row>
    <row r="214" spans="17:22" x14ac:dyDescent="0.15">
      <c r="Q214" s="75" t="str">
        <f t="shared" si="9"/>
        <v/>
      </c>
      <c r="T214" s="62" t="str">
        <f t="shared" si="10"/>
        <v/>
      </c>
      <c r="V214" s="62" t="str">
        <f t="shared" si="11"/>
        <v/>
      </c>
    </row>
    <row r="215" spans="17:22" x14ac:dyDescent="0.15">
      <c r="Q215" s="75" t="str">
        <f t="shared" si="9"/>
        <v/>
      </c>
      <c r="T215" s="62" t="str">
        <f t="shared" si="10"/>
        <v/>
      </c>
      <c r="V215" s="62" t="str">
        <f t="shared" si="11"/>
        <v/>
      </c>
    </row>
    <row r="216" spans="17:22" x14ac:dyDescent="0.15">
      <c r="Q216" s="75" t="str">
        <f t="shared" si="9"/>
        <v/>
      </c>
      <c r="T216" s="62" t="str">
        <f t="shared" si="10"/>
        <v/>
      </c>
      <c r="V216" s="62" t="str">
        <f t="shared" si="11"/>
        <v/>
      </c>
    </row>
    <row r="217" spans="17:22" x14ac:dyDescent="0.15">
      <c r="Q217" s="75" t="str">
        <f t="shared" si="9"/>
        <v/>
      </c>
      <c r="T217" s="62" t="str">
        <f t="shared" si="10"/>
        <v/>
      </c>
      <c r="V217" s="62" t="str">
        <f t="shared" si="11"/>
        <v/>
      </c>
    </row>
    <row r="218" spans="17:22" x14ac:dyDescent="0.15">
      <c r="Q218" s="75" t="str">
        <f t="shared" si="9"/>
        <v/>
      </c>
      <c r="T218" s="62" t="str">
        <f t="shared" si="10"/>
        <v/>
      </c>
      <c r="V218" s="62" t="str">
        <f t="shared" si="11"/>
        <v/>
      </c>
    </row>
    <row r="219" spans="17:22" x14ac:dyDescent="0.15">
      <c r="Q219" s="75" t="str">
        <f t="shared" si="9"/>
        <v/>
      </c>
      <c r="T219" s="62" t="str">
        <f t="shared" si="10"/>
        <v/>
      </c>
      <c r="V219" s="62" t="str">
        <f t="shared" si="11"/>
        <v/>
      </c>
    </row>
    <row r="220" spans="17:22" x14ac:dyDescent="0.15">
      <c r="Q220" s="75" t="str">
        <f t="shared" si="9"/>
        <v/>
      </c>
      <c r="T220" s="62" t="str">
        <f t="shared" si="10"/>
        <v/>
      </c>
      <c r="V220" s="62" t="str">
        <f t="shared" si="11"/>
        <v/>
      </c>
    </row>
    <row r="221" spans="17:22" x14ac:dyDescent="0.15">
      <c r="Q221" s="75" t="str">
        <f t="shared" si="9"/>
        <v/>
      </c>
      <c r="T221" s="62" t="str">
        <f t="shared" si="10"/>
        <v/>
      </c>
      <c r="V221" s="62" t="str">
        <f t="shared" si="11"/>
        <v/>
      </c>
    </row>
    <row r="222" spans="17:22" x14ac:dyDescent="0.15">
      <c r="Q222" s="75" t="str">
        <f t="shared" si="9"/>
        <v/>
      </c>
      <c r="T222" s="62" t="str">
        <f t="shared" si="10"/>
        <v/>
      </c>
      <c r="V222" s="62" t="str">
        <f t="shared" si="11"/>
        <v/>
      </c>
    </row>
    <row r="223" spans="17:22" x14ac:dyDescent="0.15">
      <c r="Q223" s="75" t="str">
        <f t="shared" si="9"/>
        <v/>
      </c>
      <c r="T223" s="62" t="str">
        <f t="shared" si="10"/>
        <v/>
      </c>
      <c r="V223" s="62" t="str">
        <f t="shared" si="11"/>
        <v/>
      </c>
    </row>
    <row r="224" spans="17:22" x14ac:dyDescent="0.15">
      <c r="Q224" s="75" t="str">
        <f t="shared" si="9"/>
        <v/>
      </c>
      <c r="T224" s="62" t="str">
        <f t="shared" si="10"/>
        <v/>
      </c>
      <c r="V224" s="62" t="str">
        <f t="shared" si="11"/>
        <v/>
      </c>
    </row>
    <row r="225" spans="17:22" x14ac:dyDescent="0.15">
      <c r="Q225" s="75" t="str">
        <f t="shared" si="9"/>
        <v/>
      </c>
      <c r="T225" s="62" t="str">
        <f t="shared" si="10"/>
        <v/>
      </c>
      <c r="V225" s="62" t="str">
        <f t="shared" si="11"/>
        <v/>
      </c>
    </row>
    <row r="226" spans="17:22" x14ac:dyDescent="0.15">
      <c r="Q226" s="75" t="str">
        <f t="shared" si="9"/>
        <v/>
      </c>
      <c r="T226" s="62" t="str">
        <f t="shared" si="10"/>
        <v/>
      </c>
      <c r="V226" s="62" t="str">
        <f t="shared" si="11"/>
        <v/>
      </c>
    </row>
    <row r="227" spans="17:22" x14ac:dyDescent="0.15">
      <c r="Q227" s="75" t="str">
        <f t="shared" si="9"/>
        <v/>
      </c>
      <c r="T227" s="62" t="str">
        <f t="shared" si="10"/>
        <v/>
      </c>
      <c r="V227" s="62" t="str">
        <f t="shared" si="11"/>
        <v/>
      </c>
    </row>
    <row r="228" spans="17:22" x14ac:dyDescent="0.15">
      <c r="Q228" s="75" t="str">
        <f t="shared" si="9"/>
        <v/>
      </c>
      <c r="T228" s="62" t="str">
        <f t="shared" si="10"/>
        <v/>
      </c>
      <c r="V228" s="62" t="str">
        <f t="shared" si="11"/>
        <v/>
      </c>
    </row>
    <row r="229" spans="17:22" x14ac:dyDescent="0.15">
      <c r="Q229" s="75" t="str">
        <f t="shared" si="9"/>
        <v/>
      </c>
      <c r="T229" s="62" t="str">
        <f t="shared" si="10"/>
        <v/>
      </c>
      <c r="V229" s="62" t="str">
        <f t="shared" si="11"/>
        <v/>
      </c>
    </row>
    <row r="230" spans="17:22" x14ac:dyDescent="0.15">
      <c r="Q230" s="75" t="str">
        <f t="shared" si="9"/>
        <v/>
      </c>
      <c r="T230" s="62" t="str">
        <f t="shared" si="10"/>
        <v/>
      </c>
      <c r="V230" s="62" t="str">
        <f t="shared" si="11"/>
        <v/>
      </c>
    </row>
    <row r="231" spans="17:22" x14ac:dyDescent="0.15">
      <c r="Q231" s="75" t="str">
        <f t="shared" si="9"/>
        <v/>
      </c>
      <c r="T231" s="62" t="str">
        <f t="shared" si="10"/>
        <v/>
      </c>
      <c r="V231" s="62" t="str">
        <f t="shared" si="11"/>
        <v/>
      </c>
    </row>
    <row r="232" spans="17:22" x14ac:dyDescent="0.15">
      <c r="Q232" s="75" t="str">
        <f t="shared" si="9"/>
        <v/>
      </c>
      <c r="T232" s="62" t="str">
        <f t="shared" si="10"/>
        <v/>
      </c>
      <c r="V232" s="62" t="str">
        <f t="shared" si="11"/>
        <v/>
      </c>
    </row>
    <row r="233" spans="17:22" x14ac:dyDescent="0.15">
      <c r="Q233" s="75" t="str">
        <f t="shared" si="9"/>
        <v/>
      </c>
      <c r="T233" s="62" t="str">
        <f t="shared" si="10"/>
        <v/>
      </c>
      <c r="V233" s="62" t="str">
        <f t="shared" si="11"/>
        <v/>
      </c>
    </row>
    <row r="234" spans="17:22" x14ac:dyDescent="0.15">
      <c r="Q234" s="75" t="str">
        <f t="shared" si="9"/>
        <v/>
      </c>
      <c r="T234" s="62" t="str">
        <f t="shared" si="10"/>
        <v/>
      </c>
      <c r="V234" s="62" t="str">
        <f t="shared" si="11"/>
        <v/>
      </c>
    </row>
    <row r="235" spans="17:22" x14ac:dyDescent="0.15">
      <c r="Q235" s="75" t="str">
        <f t="shared" si="9"/>
        <v/>
      </c>
      <c r="T235" s="62" t="str">
        <f t="shared" si="10"/>
        <v/>
      </c>
      <c r="V235" s="62" t="str">
        <f t="shared" si="11"/>
        <v/>
      </c>
    </row>
    <row r="236" spans="17:22" x14ac:dyDescent="0.15">
      <c r="Q236" s="75" t="str">
        <f t="shared" si="9"/>
        <v/>
      </c>
      <c r="T236" s="62" t="str">
        <f t="shared" si="10"/>
        <v/>
      </c>
      <c r="V236" s="62" t="str">
        <f t="shared" si="11"/>
        <v/>
      </c>
    </row>
    <row r="237" spans="17:22" x14ac:dyDescent="0.15">
      <c r="Q237" s="75" t="str">
        <f t="shared" si="9"/>
        <v/>
      </c>
      <c r="T237" s="62" t="str">
        <f t="shared" si="10"/>
        <v/>
      </c>
      <c r="V237" s="62" t="str">
        <f t="shared" si="11"/>
        <v/>
      </c>
    </row>
    <row r="238" spans="17:22" x14ac:dyDescent="0.15">
      <c r="Q238" s="75" t="str">
        <f t="shared" si="9"/>
        <v/>
      </c>
      <c r="T238" s="62" t="str">
        <f t="shared" si="10"/>
        <v/>
      </c>
      <c r="V238" s="62" t="str">
        <f t="shared" si="11"/>
        <v/>
      </c>
    </row>
    <row r="239" spans="17:22" x14ac:dyDescent="0.15">
      <c r="Q239" s="75" t="str">
        <f t="shared" si="9"/>
        <v/>
      </c>
      <c r="T239" s="62" t="str">
        <f t="shared" si="10"/>
        <v/>
      </c>
      <c r="V239" s="62" t="str">
        <f t="shared" si="11"/>
        <v/>
      </c>
    </row>
    <row r="240" spans="17:22" x14ac:dyDescent="0.15">
      <c r="Q240" s="75" t="str">
        <f t="shared" si="9"/>
        <v/>
      </c>
      <c r="T240" s="62" t="str">
        <f t="shared" si="10"/>
        <v/>
      </c>
      <c r="V240" s="62" t="str">
        <f t="shared" si="11"/>
        <v/>
      </c>
    </row>
    <row r="241" spans="17:22" x14ac:dyDescent="0.15">
      <c r="Q241" s="75" t="str">
        <f t="shared" si="9"/>
        <v/>
      </c>
      <c r="T241" s="62" t="str">
        <f t="shared" si="10"/>
        <v/>
      </c>
      <c r="V241" s="62" t="str">
        <f t="shared" si="11"/>
        <v/>
      </c>
    </row>
    <row r="242" spans="17:22" x14ac:dyDescent="0.15">
      <c r="Q242" s="75" t="str">
        <f t="shared" si="9"/>
        <v/>
      </c>
      <c r="T242" s="62" t="str">
        <f t="shared" si="10"/>
        <v/>
      </c>
      <c r="V242" s="62" t="str">
        <f t="shared" si="11"/>
        <v/>
      </c>
    </row>
    <row r="243" spans="17:22" x14ac:dyDescent="0.15">
      <c r="Q243" s="75" t="str">
        <f t="shared" si="9"/>
        <v/>
      </c>
      <c r="T243" s="62" t="str">
        <f t="shared" si="10"/>
        <v/>
      </c>
      <c r="V243" s="62" t="str">
        <f t="shared" si="11"/>
        <v/>
      </c>
    </row>
    <row r="244" spans="17:22" x14ac:dyDescent="0.15">
      <c r="Q244" s="75" t="str">
        <f t="shared" si="9"/>
        <v/>
      </c>
      <c r="T244" s="62" t="str">
        <f t="shared" si="10"/>
        <v/>
      </c>
      <c r="V244" s="62" t="str">
        <f t="shared" si="11"/>
        <v/>
      </c>
    </row>
    <row r="245" spans="17:22" x14ac:dyDescent="0.15">
      <c r="Q245" s="75" t="str">
        <f t="shared" si="9"/>
        <v/>
      </c>
      <c r="T245" s="62" t="str">
        <f t="shared" si="10"/>
        <v/>
      </c>
      <c r="V245" s="62" t="str">
        <f t="shared" si="11"/>
        <v/>
      </c>
    </row>
    <row r="246" spans="17:22" x14ac:dyDescent="0.15">
      <c r="Q246" s="75" t="str">
        <f t="shared" si="9"/>
        <v/>
      </c>
      <c r="T246" s="62" t="str">
        <f t="shared" si="10"/>
        <v/>
      </c>
      <c r="V246" s="62" t="str">
        <f t="shared" si="11"/>
        <v/>
      </c>
    </row>
    <row r="247" spans="17:22" x14ac:dyDescent="0.15">
      <c r="Q247" s="75" t="str">
        <f t="shared" si="9"/>
        <v/>
      </c>
      <c r="T247" s="62" t="str">
        <f t="shared" si="10"/>
        <v/>
      </c>
      <c r="V247" s="62" t="str">
        <f t="shared" si="11"/>
        <v/>
      </c>
    </row>
    <row r="248" spans="17:22" x14ac:dyDescent="0.15">
      <c r="Q248" s="75" t="str">
        <f t="shared" si="9"/>
        <v/>
      </c>
      <c r="T248" s="62" t="str">
        <f t="shared" si="10"/>
        <v/>
      </c>
      <c r="V248" s="62" t="str">
        <f t="shared" si="11"/>
        <v/>
      </c>
    </row>
    <row r="249" spans="17:22" x14ac:dyDescent="0.15">
      <c r="Q249" s="75" t="str">
        <f t="shared" si="9"/>
        <v/>
      </c>
      <c r="T249" s="62" t="str">
        <f t="shared" si="10"/>
        <v/>
      </c>
      <c r="V249" s="62" t="str">
        <f t="shared" si="11"/>
        <v/>
      </c>
    </row>
    <row r="250" spans="17:22" x14ac:dyDescent="0.15">
      <c r="Q250" s="75" t="str">
        <f t="shared" si="9"/>
        <v/>
      </c>
      <c r="T250" s="62" t="str">
        <f t="shared" si="10"/>
        <v/>
      </c>
      <c r="V250" s="62" t="str">
        <f t="shared" si="11"/>
        <v/>
      </c>
    </row>
    <row r="251" spans="17:22" x14ac:dyDescent="0.15">
      <c r="Q251" s="75" t="str">
        <f t="shared" si="9"/>
        <v/>
      </c>
      <c r="T251" s="62" t="str">
        <f t="shared" si="10"/>
        <v/>
      </c>
      <c r="V251" s="62" t="str">
        <f t="shared" si="11"/>
        <v/>
      </c>
    </row>
    <row r="252" spans="17:22" x14ac:dyDescent="0.15">
      <c r="Q252" s="75" t="str">
        <f t="shared" si="9"/>
        <v/>
      </c>
      <c r="T252" s="62" t="str">
        <f t="shared" si="10"/>
        <v/>
      </c>
      <c r="V252" s="62" t="str">
        <f t="shared" si="11"/>
        <v/>
      </c>
    </row>
    <row r="253" spans="17:22" x14ac:dyDescent="0.15">
      <c r="Q253" s="75" t="str">
        <f t="shared" si="9"/>
        <v/>
      </c>
      <c r="T253" s="62" t="str">
        <f t="shared" si="10"/>
        <v/>
      </c>
      <c r="V253" s="62" t="str">
        <f t="shared" si="11"/>
        <v/>
      </c>
    </row>
    <row r="254" spans="17:22" x14ac:dyDescent="0.15">
      <c r="Q254" s="75" t="str">
        <f t="shared" si="9"/>
        <v/>
      </c>
      <c r="T254" s="62" t="str">
        <f t="shared" si="10"/>
        <v/>
      </c>
      <c r="V254" s="62" t="str">
        <f t="shared" si="11"/>
        <v/>
      </c>
    </row>
    <row r="255" spans="17:22" x14ac:dyDescent="0.15">
      <c r="Q255" s="75" t="str">
        <f t="shared" si="9"/>
        <v/>
      </c>
      <c r="T255" s="62" t="str">
        <f t="shared" si="10"/>
        <v/>
      </c>
      <c r="V255" s="62" t="str">
        <f t="shared" si="11"/>
        <v/>
      </c>
    </row>
    <row r="256" spans="17:22" x14ac:dyDescent="0.15">
      <c r="Q256" s="75" t="str">
        <f t="shared" si="9"/>
        <v/>
      </c>
      <c r="T256" s="62" t="str">
        <f t="shared" si="10"/>
        <v/>
      </c>
      <c r="V256" s="62" t="str">
        <f t="shared" si="11"/>
        <v/>
      </c>
    </row>
    <row r="257" spans="17:22" x14ac:dyDescent="0.15">
      <c r="Q257" s="75" t="str">
        <f t="shared" si="9"/>
        <v/>
      </c>
      <c r="T257" s="62" t="str">
        <f t="shared" si="10"/>
        <v/>
      </c>
      <c r="V257" s="62" t="str">
        <f t="shared" si="11"/>
        <v/>
      </c>
    </row>
    <row r="258" spans="17:22" x14ac:dyDescent="0.15">
      <c r="Q258" s="75" t="str">
        <f t="shared" ref="Q258:Q321" si="12">IF(OR(O258="",P258=""),"",AVERAGE(O258,P258))</f>
        <v/>
      </c>
      <c r="T258" s="62" t="str">
        <f t="shared" ref="T258:T321" si="13">IF(H258="","",IF(OR(H258="GREEN",H258="GK"),IF(S258&gt;=$AX$2,VLOOKUP(S258,$AX$2:$AY$10,2,1),""),IF(S258&gt;=$AZ$2,VLOOKUP(S258,$AZ$2:$BA$10,2,1),"")))</f>
        <v/>
      </c>
      <c r="V258" s="62" t="str">
        <f t="shared" ref="V258:V321" si="14">IF(OR(N258="",U258="",T258=""),"",U258/N258*T258)</f>
        <v/>
      </c>
    </row>
    <row r="259" spans="17:22" x14ac:dyDescent="0.15">
      <c r="Q259" s="75" t="str">
        <f t="shared" si="12"/>
        <v/>
      </c>
      <c r="T259" s="62" t="str">
        <f t="shared" si="13"/>
        <v/>
      </c>
      <c r="V259" s="62" t="str">
        <f t="shared" si="14"/>
        <v/>
      </c>
    </row>
    <row r="260" spans="17:22" x14ac:dyDescent="0.15">
      <c r="Q260" s="75" t="str">
        <f t="shared" si="12"/>
        <v/>
      </c>
      <c r="T260" s="62" t="str">
        <f t="shared" si="13"/>
        <v/>
      </c>
      <c r="V260" s="62" t="str">
        <f t="shared" si="14"/>
        <v/>
      </c>
    </row>
    <row r="261" spans="17:22" x14ac:dyDescent="0.15">
      <c r="Q261" s="75" t="str">
        <f t="shared" si="12"/>
        <v/>
      </c>
      <c r="T261" s="62" t="str">
        <f t="shared" si="13"/>
        <v/>
      </c>
      <c r="V261" s="62" t="str">
        <f t="shared" si="14"/>
        <v/>
      </c>
    </row>
    <row r="262" spans="17:22" x14ac:dyDescent="0.15">
      <c r="Q262" s="75" t="str">
        <f t="shared" si="12"/>
        <v/>
      </c>
      <c r="T262" s="62" t="str">
        <f t="shared" si="13"/>
        <v/>
      </c>
      <c r="V262" s="62" t="str">
        <f t="shared" si="14"/>
        <v/>
      </c>
    </row>
    <row r="263" spans="17:22" x14ac:dyDescent="0.15">
      <c r="Q263" s="75" t="str">
        <f t="shared" si="12"/>
        <v/>
      </c>
      <c r="T263" s="62" t="str">
        <f t="shared" si="13"/>
        <v/>
      </c>
      <c r="V263" s="62" t="str">
        <f t="shared" si="14"/>
        <v/>
      </c>
    </row>
    <row r="264" spans="17:22" x14ac:dyDescent="0.15">
      <c r="Q264" s="75" t="str">
        <f t="shared" si="12"/>
        <v/>
      </c>
      <c r="T264" s="62" t="str">
        <f t="shared" si="13"/>
        <v/>
      </c>
      <c r="V264" s="62" t="str">
        <f t="shared" si="14"/>
        <v/>
      </c>
    </row>
    <row r="265" spans="17:22" x14ac:dyDescent="0.15">
      <c r="Q265" s="75" t="str">
        <f t="shared" si="12"/>
        <v/>
      </c>
      <c r="T265" s="62" t="str">
        <f t="shared" si="13"/>
        <v/>
      </c>
      <c r="V265" s="62" t="str">
        <f t="shared" si="14"/>
        <v/>
      </c>
    </row>
    <row r="266" spans="17:22" x14ac:dyDescent="0.15">
      <c r="Q266" s="75" t="str">
        <f t="shared" si="12"/>
        <v/>
      </c>
      <c r="T266" s="62" t="str">
        <f t="shared" si="13"/>
        <v/>
      </c>
      <c r="V266" s="62" t="str">
        <f t="shared" si="14"/>
        <v/>
      </c>
    </row>
    <row r="267" spans="17:22" x14ac:dyDescent="0.15">
      <c r="Q267" s="75" t="str">
        <f t="shared" si="12"/>
        <v/>
      </c>
      <c r="T267" s="62" t="str">
        <f t="shared" si="13"/>
        <v/>
      </c>
      <c r="V267" s="62" t="str">
        <f t="shared" si="14"/>
        <v/>
      </c>
    </row>
    <row r="268" spans="17:22" x14ac:dyDescent="0.15">
      <c r="Q268" s="75" t="str">
        <f t="shared" si="12"/>
        <v/>
      </c>
      <c r="T268" s="62" t="str">
        <f t="shared" si="13"/>
        <v/>
      </c>
      <c r="V268" s="62" t="str">
        <f t="shared" si="14"/>
        <v/>
      </c>
    </row>
    <row r="269" spans="17:22" x14ac:dyDescent="0.15">
      <c r="Q269" s="75" t="str">
        <f t="shared" si="12"/>
        <v/>
      </c>
      <c r="T269" s="62" t="str">
        <f t="shared" si="13"/>
        <v/>
      </c>
      <c r="V269" s="62" t="str">
        <f t="shared" si="14"/>
        <v/>
      </c>
    </row>
    <row r="270" spans="17:22" x14ac:dyDescent="0.15">
      <c r="Q270" s="75" t="str">
        <f t="shared" si="12"/>
        <v/>
      </c>
      <c r="T270" s="62" t="str">
        <f t="shared" si="13"/>
        <v/>
      </c>
      <c r="V270" s="62" t="str">
        <f t="shared" si="14"/>
        <v/>
      </c>
    </row>
    <row r="271" spans="17:22" x14ac:dyDescent="0.15">
      <c r="Q271" s="75" t="str">
        <f t="shared" si="12"/>
        <v/>
      </c>
      <c r="T271" s="62" t="str">
        <f t="shared" si="13"/>
        <v/>
      </c>
      <c r="V271" s="62" t="str">
        <f t="shared" si="14"/>
        <v/>
      </c>
    </row>
    <row r="272" spans="17:22" x14ac:dyDescent="0.15">
      <c r="Q272" s="75" t="str">
        <f t="shared" si="12"/>
        <v/>
      </c>
      <c r="T272" s="62" t="str">
        <f t="shared" si="13"/>
        <v/>
      </c>
      <c r="V272" s="62" t="str">
        <f t="shared" si="14"/>
        <v/>
      </c>
    </row>
    <row r="273" spans="17:22" x14ac:dyDescent="0.15">
      <c r="Q273" s="75" t="str">
        <f t="shared" si="12"/>
        <v/>
      </c>
      <c r="T273" s="62" t="str">
        <f t="shared" si="13"/>
        <v/>
      </c>
      <c r="V273" s="62" t="str">
        <f t="shared" si="14"/>
        <v/>
      </c>
    </row>
    <row r="274" spans="17:22" x14ac:dyDescent="0.15">
      <c r="Q274" s="75" t="str">
        <f t="shared" si="12"/>
        <v/>
      </c>
      <c r="T274" s="62" t="str">
        <f t="shared" si="13"/>
        <v/>
      </c>
      <c r="V274" s="62" t="str">
        <f t="shared" si="14"/>
        <v/>
      </c>
    </row>
    <row r="275" spans="17:22" x14ac:dyDescent="0.15">
      <c r="Q275" s="75" t="str">
        <f t="shared" si="12"/>
        <v/>
      </c>
      <c r="T275" s="62" t="str">
        <f t="shared" si="13"/>
        <v/>
      </c>
      <c r="V275" s="62" t="str">
        <f t="shared" si="14"/>
        <v/>
      </c>
    </row>
    <row r="276" spans="17:22" x14ac:dyDescent="0.15">
      <c r="Q276" s="75" t="str">
        <f t="shared" si="12"/>
        <v/>
      </c>
      <c r="T276" s="62" t="str">
        <f t="shared" si="13"/>
        <v/>
      </c>
      <c r="V276" s="62" t="str">
        <f t="shared" si="14"/>
        <v/>
      </c>
    </row>
    <row r="277" spans="17:22" x14ac:dyDescent="0.15">
      <c r="Q277" s="75" t="str">
        <f t="shared" si="12"/>
        <v/>
      </c>
      <c r="T277" s="62" t="str">
        <f t="shared" si="13"/>
        <v/>
      </c>
      <c r="V277" s="62" t="str">
        <f t="shared" si="14"/>
        <v/>
      </c>
    </row>
    <row r="278" spans="17:22" x14ac:dyDescent="0.15">
      <c r="Q278" s="75" t="str">
        <f t="shared" si="12"/>
        <v/>
      </c>
      <c r="T278" s="62" t="str">
        <f t="shared" si="13"/>
        <v/>
      </c>
      <c r="V278" s="62" t="str">
        <f t="shared" si="14"/>
        <v/>
      </c>
    </row>
    <row r="279" spans="17:22" x14ac:dyDescent="0.15">
      <c r="Q279" s="75" t="str">
        <f t="shared" si="12"/>
        <v/>
      </c>
      <c r="T279" s="62" t="str">
        <f t="shared" si="13"/>
        <v/>
      </c>
      <c r="V279" s="62" t="str">
        <f t="shared" si="14"/>
        <v/>
      </c>
    </row>
    <row r="280" spans="17:22" x14ac:dyDescent="0.15">
      <c r="Q280" s="75" t="str">
        <f t="shared" si="12"/>
        <v/>
      </c>
      <c r="T280" s="62" t="str">
        <f t="shared" si="13"/>
        <v/>
      </c>
      <c r="V280" s="62" t="str">
        <f t="shared" si="14"/>
        <v/>
      </c>
    </row>
    <row r="281" spans="17:22" x14ac:dyDescent="0.15">
      <c r="Q281" s="75" t="str">
        <f t="shared" si="12"/>
        <v/>
      </c>
      <c r="T281" s="62" t="str">
        <f t="shared" si="13"/>
        <v/>
      </c>
      <c r="V281" s="62" t="str">
        <f t="shared" si="14"/>
        <v/>
      </c>
    </row>
    <row r="282" spans="17:22" x14ac:dyDescent="0.15">
      <c r="Q282" s="75" t="str">
        <f t="shared" si="12"/>
        <v/>
      </c>
      <c r="T282" s="62" t="str">
        <f t="shared" si="13"/>
        <v/>
      </c>
      <c r="V282" s="62" t="str">
        <f t="shared" si="14"/>
        <v/>
      </c>
    </row>
    <row r="283" spans="17:22" x14ac:dyDescent="0.15">
      <c r="Q283" s="75" t="str">
        <f t="shared" si="12"/>
        <v/>
      </c>
      <c r="T283" s="62" t="str">
        <f t="shared" si="13"/>
        <v/>
      </c>
      <c r="V283" s="62" t="str">
        <f t="shared" si="14"/>
        <v/>
      </c>
    </row>
    <row r="284" spans="17:22" x14ac:dyDescent="0.15">
      <c r="Q284" s="75" t="str">
        <f t="shared" si="12"/>
        <v/>
      </c>
      <c r="T284" s="62" t="str">
        <f t="shared" si="13"/>
        <v/>
      </c>
      <c r="V284" s="62" t="str">
        <f t="shared" si="14"/>
        <v/>
      </c>
    </row>
    <row r="285" spans="17:22" x14ac:dyDescent="0.15">
      <c r="Q285" s="75" t="str">
        <f t="shared" si="12"/>
        <v/>
      </c>
      <c r="T285" s="62" t="str">
        <f t="shared" si="13"/>
        <v/>
      </c>
      <c r="V285" s="62" t="str">
        <f t="shared" si="14"/>
        <v/>
      </c>
    </row>
    <row r="286" spans="17:22" x14ac:dyDescent="0.15">
      <c r="Q286" s="75" t="str">
        <f t="shared" si="12"/>
        <v/>
      </c>
      <c r="T286" s="62" t="str">
        <f t="shared" si="13"/>
        <v/>
      </c>
      <c r="V286" s="62" t="str">
        <f t="shared" si="14"/>
        <v/>
      </c>
    </row>
    <row r="287" spans="17:22" x14ac:dyDescent="0.15">
      <c r="Q287" s="75" t="str">
        <f t="shared" si="12"/>
        <v/>
      </c>
      <c r="T287" s="62" t="str">
        <f t="shared" si="13"/>
        <v/>
      </c>
      <c r="V287" s="62" t="str">
        <f t="shared" si="14"/>
        <v/>
      </c>
    </row>
    <row r="288" spans="17:22" x14ac:dyDescent="0.15">
      <c r="Q288" s="75" t="str">
        <f t="shared" si="12"/>
        <v/>
      </c>
      <c r="T288" s="62" t="str">
        <f t="shared" si="13"/>
        <v/>
      </c>
      <c r="V288" s="62" t="str">
        <f t="shared" si="14"/>
        <v/>
      </c>
    </row>
    <row r="289" spans="17:22" x14ac:dyDescent="0.15">
      <c r="Q289" s="75" t="str">
        <f t="shared" si="12"/>
        <v/>
      </c>
      <c r="T289" s="62" t="str">
        <f t="shared" si="13"/>
        <v/>
      </c>
      <c r="V289" s="62" t="str">
        <f t="shared" si="14"/>
        <v/>
      </c>
    </row>
    <row r="290" spans="17:22" x14ac:dyDescent="0.15">
      <c r="Q290" s="75" t="str">
        <f t="shared" si="12"/>
        <v/>
      </c>
      <c r="T290" s="62" t="str">
        <f t="shared" si="13"/>
        <v/>
      </c>
      <c r="V290" s="62" t="str">
        <f t="shared" si="14"/>
        <v/>
      </c>
    </row>
    <row r="291" spans="17:22" x14ac:dyDescent="0.15">
      <c r="Q291" s="75" t="str">
        <f t="shared" si="12"/>
        <v/>
      </c>
      <c r="T291" s="62" t="str">
        <f t="shared" si="13"/>
        <v/>
      </c>
      <c r="V291" s="62" t="str">
        <f t="shared" si="14"/>
        <v/>
      </c>
    </row>
    <row r="292" spans="17:22" x14ac:dyDescent="0.15">
      <c r="Q292" s="75" t="str">
        <f t="shared" si="12"/>
        <v/>
      </c>
      <c r="T292" s="62" t="str">
        <f t="shared" si="13"/>
        <v/>
      </c>
      <c r="V292" s="62" t="str">
        <f t="shared" si="14"/>
        <v/>
      </c>
    </row>
    <row r="293" spans="17:22" x14ac:dyDescent="0.15">
      <c r="Q293" s="75" t="str">
        <f t="shared" si="12"/>
        <v/>
      </c>
      <c r="T293" s="62" t="str">
        <f t="shared" si="13"/>
        <v/>
      </c>
      <c r="V293" s="62" t="str">
        <f t="shared" si="14"/>
        <v/>
      </c>
    </row>
    <row r="294" spans="17:22" x14ac:dyDescent="0.15">
      <c r="Q294" s="75" t="str">
        <f t="shared" si="12"/>
        <v/>
      </c>
      <c r="T294" s="62" t="str">
        <f t="shared" si="13"/>
        <v/>
      </c>
      <c r="V294" s="62" t="str">
        <f t="shared" si="14"/>
        <v/>
      </c>
    </row>
    <row r="295" spans="17:22" x14ac:dyDescent="0.15">
      <c r="Q295" s="75" t="str">
        <f t="shared" si="12"/>
        <v/>
      </c>
      <c r="T295" s="62" t="str">
        <f t="shared" si="13"/>
        <v/>
      </c>
      <c r="V295" s="62" t="str">
        <f t="shared" si="14"/>
        <v/>
      </c>
    </row>
    <row r="296" spans="17:22" x14ac:dyDescent="0.15">
      <c r="Q296" s="75" t="str">
        <f t="shared" si="12"/>
        <v/>
      </c>
      <c r="T296" s="62" t="str">
        <f t="shared" si="13"/>
        <v/>
      </c>
      <c r="V296" s="62" t="str">
        <f t="shared" si="14"/>
        <v/>
      </c>
    </row>
    <row r="297" spans="17:22" x14ac:dyDescent="0.15">
      <c r="Q297" s="75" t="str">
        <f t="shared" si="12"/>
        <v/>
      </c>
      <c r="T297" s="62" t="str">
        <f t="shared" si="13"/>
        <v/>
      </c>
      <c r="V297" s="62" t="str">
        <f t="shared" si="14"/>
        <v/>
      </c>
    </row>
    <row r="298" spans="17:22" x14ac:dyDescent="0.15">
      <c r="Q298" s="75" t="str">
        <f t="shared" si="12"/>
        <v/>
      </c>
      <c r="T298" s="62" t="str">
        <f t="shared" si="13"/>
        <v/>
      </c>
      <c r="V298" s="62" t="str">
        <f t="shared" si="14"/>
        <v/>
      </c>
    </row>
    <row r="299" spans="17:22" x14ac:dyDescent="0.15">
      <c r="Q299" s="75" t="str">
        <f t="shared" si="12"/>
        <v/>
      </c>
      <c r="T299" s="62" t="str">
        <f t="shared" si="13"/>
        <v/>
      </c>
      <c r="V299" s="62" t="str">
        <f t="shared" si="14"/>
        <v/>
      </c>
    </row>
    <row r="300" spans="17:22" x14ac:dyDescent="0.15">
      <c r="Q300" s="75" t="str">
        <f t="shared" si="12"/>
        <v/>
      </c>
      <c r="T300" s="62" t="str">
        <f t="shared" si="13"/>
        <v/>
      </c>
      <c r="V300" s="62" t="str">
        <f t="shared" si="14"/>
        <v/>
      </c>
    </row>
    <row r="301" spans="17:22" x14ac:dyDescent="0.15">
      <c r="Q301" s="75" t="str">
        <f t="shared" si="12"/>
        <v/>
      </c>
      <c r="T301" s="62" t="str">
        <f t="shared" si="13"/>
        <v/>
      </c>
      <c r="V301" s="62" t="str">
        <f t="shared" si="14"/>
        <v/>
      </c>
    </row>
    <row r="302" spans="17:22" x14ac:dyDescent="0.15">
      <c r="Q302" s="75" t="str">
        <f t="shared" si="12"/>
        <v/>
      </c>
      <c r="T302" s="62" t="str">
        <f t="shared" si="13"/>
        <v/>
      </c>
      <c r="V302" s="62" t="str">
        <f t="shared" si="14"/>
        <v/>
      </c>
    </row>
    <row r="303" spans="17:22" x14ac:dyDescent="0.15">
      <c r="Q303" s="75" t="str">
        <f t="shared" si="12"/>
        <v/>
      </c>
      <c r="T303" s="62" t="str">
        <f t="shared" si="13"/>
        <v/>
      </c>
      <c r="V303" s="62" t="str">
        <f t="shared" si="14"/>
        <v/>
      </c>
    </row>
    <row r="304" spans="17:22" x14ac:dyDescent="0.15">
      <c r="Q304" s="75" t="str">
        <f t="shared" si="12"/>
        <v/>
      </c>
      <c r="T304" s="62" t="str">
        <f t="shared" si="13"/>
        <v/>
      </c>
      <c r="V304" s="62" t="str">
        <f t="shared" si="14"/>
        <v/>
      </c>
    </row>
    <row r="305" spans="17:22" x14ac:dyDescent="0.15">
      <c r="Q305" s="75" t="str">
        <f t="shared" si="12"/>
        <v/>
      </c>
      <c r="T305" s="62" t="str">
        <f t="shared" si="13"/>
        <v/>
      </c>
      <c r="V305" s="62" t="str">
        <f t="shared" si="14"/>
        <v/>
      </c>
    </row>
    <row r="306" spans="17:22" x14ac:dyDescent="0.15">
      <c r="Q306" s="75" t="str">
        <f t="shared" si="12"/>
        <v/>
      </c>
      <c r="T306" s="62" t="str">
        <f t="shared" si="13"/>
        <v/>
      </c>
      <c r="V306" s="62" t="str">
        <f t="shared" si="14"/>
        <v/>
      </c>
    </row>
    <row r="307" spans="17:22" x14ac:dyDescent="0.15">
      <c r="Q307" s="75" t="str">
        <f t="shared" si="12"/>
        <v/>
      </c>
      <c r="T307" s="62" t="str">
        <f t="shared" si="13"/>
        <v/>
      </c>
      <c r="V307" s="62" t="str">
        <f t="shared" si="14"/>
        <v/>
      </c>
    </row>
    <row r="308" spans="17:22" x14ac:dyDescent="0.15">
      <c r="Q308" s="75" t="str">
        <f t="shared" si="12"/>
        <v/>
      </c>
      <c r="T308" s="62" t="str">
        <f t="shared" si="13"/>
        <v/>
      </c>
      <c r="V308" s="62" t="str">
        <f t="shared" si="14"/>
        <v/>
      </c>
    </row>
    <row r="309" spans="17:22" x14ac:dyDescent="0.15">
      <c r="Q309" s="75" t="str">
        <f t="shared" si="12"/>
        <v/>
      </c>
      <c r="T309" s="62" t="str">
        <f t="shared" si="13"/>
        <v/>
      </c>
      <c r="V309" s="62" t="str">
        <f t="shared" si="14"/>
        <v/>
      </c>
    </row>
    <row r="310" spans="17:22" x14ac:dyDescent="0.15">
      <c r="Q310" s="75" t="str">
        <f t="shared" si="12"/>
        <v/>
      </c>
      <c r="T310" s="62" t="str">
        <f t="shared" si="13"/>
        <v/>
      </c>
      <c r="V310" s="62" t="str">
        <f t="shared" si="14"/>
        <v/>
      </c>
    </row>
    <row r="311" spans="17:22" x14ac:dyDescent="0.15">
      <c r="Q311" s="75" t="str">
        <f t="shared" si="12"/>
        <v/>
      </c>
      <c r="T311" s="62" t="str">
        <f t="shared" si="13"/>
        <v/>
      </c>
      <c r="V311" s="62" t="str">
        <f t="shared" si="14"/>
        <v/>
      </c>
    </row>
    <row r="312" spans="17:22" x14ac:dyDescent="0.15">
      <c r="Q312" s="75" t="str">
        <f t="shared" si="12"/>
        <v/>
      </c>
      <c r="T312" s="62" t="str">
        <f t="shared" si="13"/>
        <v/>
      </c>
      <c r="V312" s="62" t="str">
        <f t="shared" si="14"/>
        <v/>
      </c>
    </row>
    <row r="313" spans="17:22" x14ac:dyDescent="0.15">
      <c r="Q313" s="75" t="str">
        <f t="shared" si="12"/>
        <v/>
      </c>
      <c r="T313" s="62" t="str">
        <f t="shared" si="13"/>
        <v/>
      </c>
      <c r="V313" s="62" t="str">
        <f t="shared" si="14"/>
        <v/>
      </c>
    </row>
    <row r="314" spans="17:22" x14ac:dyDescent="0.15">
      <c r="Q314" s="75" t="str">
        <f t="shared" si="12"/>
        <v/>
      </c>
      <c r="T314" s="62" t="str">
        <f t="shared" si="13"/>
        <v/>
      </c>
      <c r="V314" s="62" t="str">
        <f t="shared" si="14"/>
        <v/>
      </c>
    </row>
    <row r="315" spans="17:22" x14ac:dyDescent="0.15">
      <c r="Q315" s="75" t="str">
        <f t="shared" si="12"/>
        <v/>
      </c>
      <c r="T315" s="62" t="str">
        <f t="shared" si="13"/>
        <v/>
      </c>
      <c r="V315" s="62" t="str">
        <f t="shared" si="14"/>
        <v/>
      </c>
    </row>
    <row r="316" spans="17:22" x14ac:dyDescent="0.15">
      <c r="Q316" s="75" t="str">
        <f t="shared" si="12"/>
        <v/>
      </c>
      <c r="T316" s="62" t="str">
        <f t="shared" si="13"/>
        <v/>
      </c>
      <c r="V316" s="62" t="str">
        <f t="shared" si="14"/>
        <v/>
      </c>
    </row>
    <row r="317" spans="17:22" x14ac:dyDescent="0.15">
      <c r="Q317" s="75" t="str">
        <f t="shared" si="12"/>
        <v/>
      </c>
      <c r="T317" s="62" t="str">
        <f t="shared" si="13"/>
        <v/>
      </c>
      <c r="V317" s="62" t="str">
        <f t="shared" si="14"/>
        <v/>
      </c>
    </row>
    <row r="318" spans="17:22" x14ac:dyDescent="0.15">
      <c r="Q318" s="75" t="str">
        <f t="shared" si="12"/>
        <v/>
      </c>
      <c r="T318" s="62" t="str">
        <f t="shared" si="13"/>
        <v/>
      </c>
      <c r="V318" s="62" t="str">
        <f t="shared" si="14"/>
        <v/>
      </c>
    </row>
    <row r="319" spans="17:22" x14ac:dyDescent="0.15">
      <c r="Q319" s="75" t="str">
        <f t="shared" si="12"/>
        <v/>
      </c>
      <c r="T319" s="62" t="str">
        <f t="shared" si="13"/>
        <v/>
      </c>
      <c r="V319" s="62" t="str">
        <f t="shared" si="14"/>
        <v/>
      </c>
    </row>
    <row r="320" spans="17:22" x14ac:dyDescent="0.15">
      <c r="Q320" s="75" t="str">
        <f t="shared" si="12"/>
        <v/>
      </c>
      <c r="T320" s="62" t="str">
        <f t="shared" si="13"/>
        <v/>
      </c>
      <c r="V320" s="62" t="str">
        <f t="shared" si="14"/>
        <v/>
      </c>
    </row>
    <row r="321" spans="17:22" x14ac:dyDescent="0.15">
      <c r="Q321" s="75" t="str">
        <f t="shared" si="12"/>
        <v/>
      </c>
      <c r="T321" s="62" t="str">
        <f t="shared" si="13"/>
        <v/>
      </c>
      <c r="V321" s="62" t="str">
        <f t="shared" si="14"/>
        <v/>
      </c>
    </row>
    <row r="322" spans="17:22" x14ac:dyDescent="0.15">
      <c r="Q322" s="75" t="str">
        <f t="shared" ref="Q322:Q326" si="15">IF(OR(O322="",P322=""),"",AVERAGE(O322,P322))</f>
        <v/>
      </c>
      <c r="T322" s="62" t="str">
        <f t="shared" ref="T322:T354" si="16">IF(H322="","",IF(OR(H322="GREEN",H322="GK"),IF(S322&gt;=$AX$2,VLOOKUP(S322,$AX$2:$AY$10,2,1),""),IF(S322&gt;=$AZ$2,VLOOKUP(S322,$AZ$2:$BA$10,2,1),"")))</f>
        <v/>
      </c>
      <c r="V322" s="62" t="str">
        <f t="shared" ref="V322:V334" si="17">IF(OR(N322="",U322="",T322=""),"",U322/N322*T322)</f>
        <v/>
      </c>
    </row>
    <row r="323" spans="17:22" x14ac:dyDescent="0.15">
      <c r="Q323" s="75" t="str">
        <f t="shared" si="15"/>
        <v/>
      </c>
      <c r="T323" s="62" t="str">
        <f t="shared" si="16"/>
        <v/>
      </c>
      <c r="V323" s="62" t="str">
        <f t="shared" si="17"/>
        <v/>
      </c>
    </row>
    <row r="324" spans="17:22" x14ac:dyDescent="0.15">
      <c r="Q324" s="75" t="str">
        <f t="shared" si="15"/>
        <v/>
      </c>
      <c r="T324" s="62" t="str">
        <f t="shared" si="16"/>
        <v/>
      </c>
      <c r="V324" s="62" t="str">
        <f t="shared" si="17"/>
        <v/>
      </c>
    </row>
    <row r="325" spans="17:22" x14ac:dyDescent="0.15">
      <c r="Q325" s="75" t="str">
        <f t="shared" si="15"/>
        <v/>
      </c>
      <c r="T325" s="62" t="str">
        <f t="shared" si="16"/>
        <v/>
      </c>
      <c r="V325" s="62" t="str">
        <f t="shared" si="17"/>
        <v/>
      </c>
    </row>
    <row r="326" spans="17:22" x14ac:dyDescent="0.15">
      <c r="Q326" s="75" t="str">
        <f t="shared" si="15"/>
        <v/>
      </c>
      <c r="T326" s="62" t="str">
        <f t="shared" si="16"/>
        <v/>
      </c>
      <c r="V326" s="62" t="str">
        <f t="shared" si="17"/>
        <v/>
      </c>
    </row>
    <row r="327" spans="17:22" x14ac:dyDescent="0.15">
      <c r="T327" s="62" t="str">
        <f t="shared" si="16"/>
        <v/>
      </c>
      <c r="V327" s="62" t="str">
        <f t="shared" si="17"/>
        <v/>
      </c>
    </row>
    <row r="328" spans="17:22" x14ac:dyDescent="0.15">
      <c r="T328" s="62" t="str">
        <f t="shared" si="16"/>
        <v/>
      </c>
      <c r="V328" s="62" t="str">
        <f t="shared" si="17"/>
        <v/>
      </c>
    </row>
    <row r="329" spans="17:22" x14ac:dyDescent="0.15">
      <c r="T329" s="62" t="str">
        <f t="shared" si="16"/>
        <v/>
      </c>
      <c r="V329" s="62" t="str">
        <f t="shared" si="17"/>
        <v/>
      </c>
    </row>
    <row r="330" spans="17:22" x14ac:dyDescent="0.15">
      <c r="T330" s="62" t="str">
        <f t="shared" si="16"/>
        <v/>
      </c>
      <c r="V330" s="62" t="str">
        <f t="shared" si="17"/>
        <v/>
      </c>
    </row>
    <row r="331" spans="17:22" x14ac:dyDescent="0.15">
      <c r="T331" s="62" t="str">
        <f t="shared" si="16"/>
        <v/>
      </c>
      <c r="V331" s="62" t="str">
        <f t="shared" si="17"/>
        <v/>
      </c>
    </row>
    <row r="332" spans="17:22" x14ac:dyDescent="0.15">
      <c r="T332" s="62" t="str">
        <f t="shared" si="16"/>
        <v/>
      </c>
      <c r="V332" s="62" t="str">
        <f t="shared" si="17"/>
        <v/>
      </c>
    </row>
    <row r="333" spans="17:22" x14ac:dyDescent="0.15">
      <c r="T333" s="62" t="str">
        <f t="shared" si="16"/>
        <v/>
      </c>
      <c r="V333" s="62" t="str">
        <f t="shared" si="17"/>
        <v/>
      </c>
    </row>
    <row r="334" spans="17:22" x14ac:dyDescent="0.15">
      <c r="T334" s="62" t="str">
        <f t="shared" si="16"/>
        <v/>
      </c>
      <c r="V334" s="62" t="str">
        <f t="shared" si="17"/>
        <v/>
      </c>
    </row>
    <row r="335" spans="17:22" x14ac:dyDescent="0.15">
      <c r="T335" s="62" t="str">
        <f t="shared" si="16"/>
        <v/>
      </c>
    </row>
    <row r="336" spans="17:22" x14ac:dyDescent="0.15">
      <c r="T336" s="62" t="str">
        <f t="shared" si="16"/>
        <v/>
      </c>
    </row>
    <row r="337" spans="20:20" x14ac:dyDescent="0.15">
      <c r="T337" s="62" t="str">
        <f t="shared" si="16"/>
        <v/>
      </c>
    </row>
    <row r="338" spans="20:20" x14ac:dyDescent="0.15">
      <c r="T338" s="62" t="str">
        <f t="shared" si="16"/>
        <v/>
      </c>
    </row>
    <row r="339" spans="20:20" x14ac:dyDescent="0.15">
      <c r="T339" s="62" t="str">
        <f t="shared" si="16"/>
        <v/>
      </c>
    </row>
    <row r="340" spans="20:20" x14ac:dyDescent="0.15">
      <c r="T340" s="62" t="str">
        <f t="shared" si="16"/>
        <v/>
      </c>
    </row>
    <row r="341" spans="20:20" x14ac:dyDescent="0.15">
      <c r="T341" s="62" t="str">
        <f t="shared" si="16"/>
        <v/>
      </c>
    </row>
    <row r="342" spans="20:20" x14ac:dyDescent="0.15">
      <c r="T342" s="62" t="str">
        <f t="shared" si="16"/>
        <v/>
      </c>
    </row>
    <row r="343" spans="20:20" x14ac:dyDescent="0.15">
      <c r="T343" s="62" t="str">
        <f t="shared" si="16"/>
        <v/>
      </c>
    </row>
    <row r="344" spans="20:20" x14ac:dyDescent="0.15">
      <c r="T344" s="62" t="str">
        <f t="shared" si="16"/>
        <v/>
      </c>
    </row>
    <row r="345" spans="20:20" x14ac:dyDescent="0.15">
      <c r="T345" s="62" t="str">
        <f t="shared" si="16"/>
        <v/>
      </c>
    </row>
    <row r="346" spans="20:20" x14ac:dyDescent="0.15">
      <c r="T346" s="62" t="str">
        <f t="shared" si="16"/>
        <v/>
      </c>
    </row>
    <row r="347" spans="20:20" x14ac:dyDescent="0.15">
      <c r="T347" s="62" t="str">
        <f t="shared" si="16"/>
        <v/>
      </c>
    </row>
    <row r="348" spans="20:20" x14ac:dyDescent="0.15">
      <c r="T348" s="62" t="str">
        <f t="shared" si="16"/>
        <v/>
      </c>
    </row>
    <row r="349" spans="20:20" x14ac:dyDescent="0.15">
      <c r="T349" s="62" t="str">
        <f t="shared" si="16"/>
        <v/>
      </c>
    </row>
    <row r="350" spans="20:20" x14ac:dyDescent="0.15">
      <c r="T350" s="62" t="str">
        <f t="shared" si="16"/>
        <v/>
      </c>
    </row>
    <row r="351" spans="20:20" x14ac:dyDescent="0.15">
      <c r="T351" s="62" t="str">
        <f t="shared" si="16"/>
        <v/>
      </c>
    </row>
    <row r="352" spans="20:20" x14ac:dyDescent="0.15">
      <c r="T352" s="62" t="str">
        <f t="shared" si="16"/>
        <v/>
      </c>
    </row>
    <row r="353" spans="20:20" x14ac:dyDescent="0.15">
      <c r="T353" s="62" t="str">
        <f t="shared" si="16"/>
        <v/>
      </c>
    </row>
    <row r="354" spans="20:20" x14ac:dyDescent="0.15">
      <c r="T354" s="62" t="str">
        <f t="shared" si="16"/>
        <v/>
      </c>
    </row>
  </sheetData>
  <autoFilter ref="A1:BA354" xr:uid="{00000000-0009-0000-0000-000001000000}"/>
  <phoneticPr fontId="3"/>
  <dataValidations count="15">
    <dataValidation type="list" allowBlank="1" showInputMessage="1" showErrorMessage="1" sqref="F1:F1048576" xr:uid="{76B6F0C5-2588-4DC0-B9A0-1DA2CF672CF3}">
      <formula1>$AH$2:$AH$11</formula1>
    </dataValidation>
    <dataValidation type="list" allowBlank="1" showInputMessage="1" showErrorMessage="1" sqref="E1:E1048576" xr:uid="{A57113AB-D0B2-442B-90D0-A0CA7BBB3046}">
      <formula1>$AG$2:$AG$11</formula1>
    </dataValidation>
    <dataValidation type="decimal" allowBlank="1" showInputMessage="1" showErrorMessage="1" error="硬度を正しく入力して下さい。" sqref="O2:P310" xr:uid="{9A4CC368-1F32-40A3-A2D9-164082C0B85E}">
      <formula1>0</formula1>
      <formula2>7</formula2>
    </dataValidation>
    <dataValidation type="list" allowBlank="1" showInputMessage="1" showErrorMessage="1" sqref="X2:X310" xr:uid="{B5E30D34-FE5C-4AC4-A746-030B80644360}">
      <formula1>$AT$2:$AT$3</formula1>
    </dataValidation>
    <dataValidation type="list" allowBlank="1" showInputMessage="1" showErrorMessage="1" sqref="G2:G310" xr:uid="{D47E99B3-A4CB-4866-9E87-047755D7971B}">
      <formula1>$AJ$2:$AJ$4</formula1>
    </dataValidation>
    <dataValidation type="list" allowBlank="1" showInputMessage="1" showErrorMessage="1" sqref="I2:I310" xr:uid="{5A2DCF1D-1389-418C-8F9A-503BC2934086}">
      <formula1>$AN$5:$AN$6</formula1>
    </dataValidation>
    <dataValidation type="list" allowBlank="1" showInputMessage="1" showErrorMessage="1" sqref="H2:H310" xr:uid="{5AFB5F81-98AA-4482-A92A-A5A723B14B52}">
      <formula1>$AL$2:$AL$8</formula1>
    </dataValidation>
    <dataValidation allowBlank="1" showInputMessage="1" showErrorMessage="1" sqref="B2:B97" xr:uid="{05BBFAFF-3524-4824-8C97-27A877393971}"/>
    <dataValidation type="list" allowBlank="1" showInputMessage="1" showErrorMessage="1" sqref="A2:A310" xr:uid="{0339A8F8-DE77-4C77-81EB-CA1ABAC30923}">
      <formula1>$AE$2:$AE$16</formula1>
    </dataValidation>
    <dataValidation type="list" allowBlank="1" showInputMessage="1" showErrorMessage="1" sqref="Y2:AA97" xr:uid="{60ED7AD1-6519-41D0-AC65-070950BA00AC}">
      <formula1>$AV$2:$AV$23</formula1>
    </dataValidation>
    <dataValidation type="list" allowBlank="1" showInputMessage="1" showErrorMessage="1" sqref="K2:K126" xr:uid="{1A23663E-536F-4108-8F62-225D9F2E781B}">
      <formula1>$AR$2:$AR$23</formula1>
    </dataValidation>
    <dataValidation type="list" allowBlank="1" showInputMessage="1" showErrorMessage="1" sqref="Y98:AA310" xr:uid="{E3583EE8-F6CB-4C68-A13C-DA6F8C97A6B2}">
      <formula1>$AV$2:$AV$16</formula1>
    </dataValidation>
    <dataValidation type="list" allowBlank="1" showInputMessage="1" showErrorMessage="1" sqref="K127:K310" xr:uid="{2B6A58B0-F4B4-4AD0-919C-8970174A326C}">
      <formula1>$AR$2:$AR$19</formula1>
    </dataValidation>
    <dataValidation type="list" allowBlank="1" showInputMessage="1" showErrorMessage="1" sqref="J38:J40" xr:uid="{F6782340-C53D-45B2-8975-8E6EC6F1A428}">
      <formula1>$AP$2:$AP$25</formula1>
    </dataValidation>
    <dataValidation type="list" allowBlank="1" showInputMessage="1" showErrorMessage="1" sqref="J2:J37 J41:J310" xr:uid="{894C8CF9-5938-445B-B8ED-A3E6A31B1AE0}">
      <formula1>$AP$2:$AP$19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17D1B-B65C-47C3-9A71-DFB23BA0C8D0}">
  <dimension ref="A1:BA447"/>
  <sheetViews>
    <sheetView zoomScale="85" zoomScaleNormal="85" workbookViewId="0">
      <selection activeCell="AB40" sqref="AB40"/>
    </sheetView>
  </sheetViews>
  <sheetFormatPr defaultRowHeight="13.5" x14ac:dyDescent="0.15"/>
  <cols>
    <col min="1" max="1" width="9.140625" style="53"/>
    <col min="2" max="2" width="9.140625" style="54"/>
    <col min="3" max="3" width="9.140625" style="53"/>
    <col min="4" max="4" width="10.42578125" style="53" bestFit="1" customWidth="1"/>
    <col min="5" max="13" width="9.140625" style="53"/>
    <col min="14" max="14" width="9.42578125" style="53" bestFit="1" customWidth="1"/>
    <col min="15" max="16" width="9.140625" style="53"/>
    <col min="17" max="17" width="9.140625" style="16"/>
    <col min="18" max="19" width="9.140625" style="53"/>
    <col min="20" max="20" width="9.140625" style="16"/>
    <col min="21" max="21" width="9.140625" style="53"/>
    <col min="22" max="22" width="9.140625" style="16"/>
    <col min="23" max="27" width="9.140625" style="53"/>
    <col min="28" max="28" width="9.140625" style="54"/>
    <col min="29" max="32" width="9.140625" style="53"/>
    <col min="33" max="33" width="15.85546875" style="53" bestFit="1" customWidth="1"/>
    <col min="34" max="34" width="11.42578125" style="53" bestFit="1" customWidth="1"/>
    <col min="35" max="259" width="9.140625" style="53"/>
    <col min="260" max="260" width="10.42578125" style="53" bestFit="1" customWidth="1"/>
    <col min="261" max="269" width="9.140625" style="53"/>
    <col min="270" max="270" width="9.42578125" style="53" bestFit="1" customWidth="1"/>
    <col min="271" max="288" width="9.140625" style="53"/>
    <col min="289" max="289" width="15.85546875" style="53" bestFit="1" customWidth="1"/>
    <col min="290" max="290" width="11.42578125" style="53" bestFit="1" customWidth="1"/>
    <col min="291" max="515" width="9.140625" style="53"/>
    <col min="516" max="516" width="10.42578125" style="53" bestFit="1" customWidth="1"/>
    <col min="517" max="525" width="9.140625" style="53"/>
    <col min="526" max="526" width="9.42578125" style="53" bestFit="1" customWidth="1"/>
    <col min="527" max="544" width="9.140625" style="53"/>
    <col min="545" max="545" width="15.85546875" style="53" bestFit="1" customWidth="1"/>
    <col min="546" max="546" width="11.42578125" style="53" bestFit="1" customWidth="1"/>
    <col min="547" max="771" width="9.140625" style="53"/>
    <col min="772" max="772" width="10.42578125" style="53" bestFit="1" customWidth="1"/>
    <col min="773" max="781" width="9.140625" style="53"/>
    <col min="782" max="782" width="9.42578125" style="53" bestFit="1" customWidth="1"/>
    <col min="783" max="800" width="9.140625" style="53"/>
    <col min="801" max="801" width="15.85546875" style="53" bestFit="1" customWidth="1"/>
    <col min="802" max="802" width="11.42578125" style="53" bestFit="1" customWidth="1"/>
    <col min="803" max="1027" width="9.140625" style="53"/>
    <col min="1028" max="1028" width="10.42578125" style="53" bestFit="1" customWidth="1"/>
    <col min="1029" max="1037" width="9.140625" style="53"/>
    <col min="1038" max="1038" width="9.42578125" style="53" bestFit="1" customWidth="1"/>
    <col min="1039" max="1056" width="9.140625" style="53"/>
    <col min="1057" max="1057" width="15.85546875" style="53" bestFit="1" customWidth="1"/>
    <col min="1058" max="1058" width="11.42578125" style="53" bestFit="1" customWidth="1"/>
    <col min="1059" max="1283" width="9.140625" style="53"/>
    <col min="1284" max="1284" width="10.42578125" style="53" bestFit="1" customWidth="1"/>
    <col min="1285" max="1293" width="9.140625" style="53"/>
    <col min="1294" max="1294" width="9.42578125" style="53" bestFit="1" customWidth="1"/>
    <col min="1295" max="1312" width="9.140625" style="53"/>
    <col min="1313" max="1313" width="15.85546875" style="53" bestFit="1" customWidth="1"/>
    <col min="1314" max="1314" width="11.42578125" style="53" bestFit="1" customWidth="1"/>
    <col min="1315" max="1539" width="9.140625" style="53"/>
    <col min="1540" max="1540" width="10.42578125" style="53" bestFit="1" customWidth="1"/>
    <col min="1541" max="1549" width="9.140625" style="53"/>
    <col min="1550" max="1550" width="9.42578125" style="53" bestFit="1" customWidth="1"/>
    <col min="1551" max="1568" width="9.140625" style="53"/>
    <col min="1569" max="1569" width="15.85546875" style="53" bestFit="1" customWidth="1"/>
    <col min="1570" max="1570" width="11.42578125" style="53" bestFit="1" customWidth="1"/>
    <col min="1571" max="1795" width="9.140625" style="53"/>
    <col min="1796" max="1796" width="10.42578125" style="53" bestFit="1" customWidth="1"/>
    <col min="1797" max="1805" width="9.140625" style="53"/>
    <col min="1806" max="1806" width="9.42578125" style="53" bestFit="1" customWidth="1"/>
    <col min="1807" max="1824" width="9.140625" style="53"/>
    <col min="1825" max="1825" width="15.85546875" style="53" bestFit="1" customWidth="1"/>
    <col min="1826" max="1826" width="11.42578125" style="53" bestFit="1" customWidth="1"/>
    <col min="1827" max="2051" width="9.140625" style="53"/>
    <col min="2052" max="2052" width="10.42578125" style="53" bestFit="1" customWidth="1"/>
    <col min="2053" max="2061" width="9.140625" style="53"/>
    <col min="2062" max="2062" width="9.42578125" style="53" bestFit="1" customWidth="1"/>
    <col min="2063" max="2080" width="9.140625" style="53"/>
    <col min="2081" max="2081" width="15.85546875" style="53" bestFit="1" customWidth="1"/>
    <col min="2082" max="2082" width="11.42578125" style="53" bestFit="1" customWidth="1"/>
    <col min="2083" max="2307" width="9.140625" style="53"/>
    <col min="2308" max="2308" width="10.42578125" style="53" bestFit="1" customWidth="1"/>
    <col min="2309" max="2317" width="9.140625" style="53"/>
    <col min="2318" max="2318" width="9.42578125" style="53" bestFit="1" customWidth="1"/>
    <col min="2319" max="2336" width="9.140625" style="53"/>
    <col min="2337" max="2337" width="15.85546875" style="53" bestFit="1" customWidth="1"/>
    <col min="2338" max="2338" width="11.42578125" style="53" bestFit="1" customWidth="1"/>
    <col min="2339" max="2563" width="9.140625" style="53"/>
    <col min="2564" max="2564" width="10.42578125" style="53" bestFit="1" customWidth="1"/>
    <col min="2565" max="2573" width="9.140625" style="53"/>
    <col min="2574" max="2574" width="9.42578125" style="53" bestFit="1" customWidth="1"/>
    <col min="2575" max="2592" width="9.140625" style="53"/>
    <col min="2593" max="2593" width="15.85546875" style="53" bestFit="1" customWidth="1"/>
    <col min="2594" max="2594" width="11.42578125" style="53" bestFit="1" customWidth="1"/>
    <col min="2595" max="2819" width="9.140625" style="53"/>
    <col min="2820" max="2820" width="10.42578125" style="53" bestFit="1" customWidth="1"/>
    <col min="2821" max="2829" width="9.140625" style="53"/>
    <col min="2830" max="2830" width="9.42578125" style="53" bestFit="1" customWidth="1"/>
    <col min="2831" max="2848" width="9.140625" style="53"/>
    <col min="2849" max="2849" width="15.85546875" style="53" bestFit="1" customWidth="1"/>
    <col min="2850" max="2850" width="11.42578125" style="53" bestFit="1" customWidth="1"/>
    <col min="2851" max="3075" width="9.140625" style="53"/>
    <col min="3076" max="3076" width="10.42578125" style="53" bestFit="1" customWidth="1"/>
    <col min="3077" max="3085" width="9.140625" style="53"/>
    <col min="3086" max="3086" width="9.42578125" style="53" bestFit="1" customWidth="1"/>
    <col min="3087" max="3104" width="9.140625" style="53"/>
    <col min="3105" max="3105" width="15.85546875" style="53" bestFit="1" customWidth="1"/>
    <col min="3106" max="3106" width="11.42578125" style="53" bestFit="1" customWidth="1"/>
    <col min="3107" max="3331" width="9.140625" style="53"/>
    <col min="3332" max="3332" width="10.42578125" style="53" bestFit="1" customWidth="1"/>
    <col min="3333" max="3341" width="9.140625" style="53"/>
    <col min="3342" max="3342" width="9.42578125" style="53" bestFit="1" customWidth="1"/>
    <col min="3343" max="3360" width="9.140625" style="53"/>
    <col min="3361" max="3361" width="15.85546875" style="53" bestFit="1" customWidth="1"/>
    <col min="3362" max="3362" width="11.42578125" style="53" bestFit="1" customWidth="1"/>
    <col min="3363" max="3587" width="9.140625" style="53"/>
    <col min="3588" max="3588" width="10.42578125" style="53" bestFit="1" customWidth="1"/>
    <col min="3589" max="3597" width="9.140625" style="53"/>
    <col min="3598" max="3598" width="9.42578125" style="53" bestFit="1" customWidth="1"/>
    <col min="3599" max="3616" width="9.140625" style="53"/>
    <col min="3617" max="3617" width="15.85546875" style="53" bestFit="1" customWidth="1"/>
    <col min="3618" max="3618" width="11.42578125" style="53" bestFit="1" customWidth="1"/>
    <col min="3619" max="3843" width="9.140625" style="53"/>
    <col min="3844" max="3844" width="10.42578125" style="53" bestFit="1" customWidth="1"/>
    <col min="3845" max="3853" width="9.140625" style="53"/>
    <col min="3854" max="3854" width="9.42578125" style="53" bestFit="1" customWidth="1"/>
    <col min="3855" max="3872" width="9.140625" style="53"/>
    <col min="3873" max="3873" width="15.85546875" style="53" bestFit="1" customWidth="1"/>
    <col min="3874" max="3874" width="11.42578125" style="53" bestFit="1" customWidth="1"/>
    <col min="3875" max="4099" width="9.140625" style="53"/>
    <col min="4100" max="4100" width="10.42578125" style="53" bestFit="1" customWidth="1"/>
    <col min="4101" max="4109" width="9.140625" style="53"/>
    <col min="4110" max="4110" width="9.42578125" style="53" bestFit="1" customWidth="1"/>
    <col min="4111" max="4128" width="9.140625" style="53"/>
    <col min="4129" max="4129" width="15.85546875" style="53" bestFit="1" customWidth="1"/>
    <col min="4130" max="4130" width="11.42578125" style="53" bestFit="1" customWidth="1"/>
    <col min="4131" max="4355" width="9.140625" style="53"/>
    <col min="4356" max="4356" width="10.42578125" style="53" bestFit="1" customWidth="1"/>
    <col min="4357" max="4365" width="9.140625" style="53"/>
    <col min="4366" max="4366" width="9.42578125" style="53" bestFit="1" customWidth="1"/>
    <col min="4367" max="4384" width="9.140625" style="53"/>
    <col min="4385" max="4385" width="15.85546875" style="53" bestFit="1" customWidth="1"/>
    <col min="4386" max="4386" width="11.42578125" style="53" bestFit="1" customWidth="1"/>
    <col min="4387" max="4611" width="9.140625" style="53"/>
    <col min="4612" max="4612" width="10.42578125" style="53" bestFit="1" customWidth="1"/>
    <col min="4613" max="4621" width="9.140625" style="53"/>
    <col min="4622" max="4622" width="9.42578125" style="53" bestFit="1" customWidth="1"/>
    <col min="4623" max="4640" width="9.140625" style="53"/>
    <col min="4641" max="4641" width="15.85546875" style="53" bestFit="1" customWidth="1"/>
    <col min="4642" max="4642" width="11.42578125" style="53" bestFit="1" customWidth="1"/>
    <col min="4643" max="4867" width="9.140625" style="53"/>
    <col min="4868" max="4868" width="10.42578125" style="53" bestFit="1" customWidth="1"/>
    <col min="4869" max="4877" width="9.140625" style="53"/>
    <col min="4878" max="4878" width="9.42578125" style="53" bestFit="1" customWidth="1"/>
    <col min="4879" max="4896" width="9.140625" style="53"/>
    <col min="4897" max="4897" width="15.85546875" style="53" bestFit="1" customWidth="1"/>
    <col min="4898" max="4898" width="11.42578125" style="53" bestFit="1" customWidth="1"/>
    <col min="4899" max="5123" width="9.140625" style="53"/>
    <col min="5124" max="5124" width="10.42578125" style="53" bestFit="1" customWidth="1"/>
    <col min="5125" max="5133" width="9.140625" style="53"/>
    <col min="5134" max="5134" width="9.42578125" style="53" bestFit="1" customWidth="1"/>
    <col min="5135" max="5152" width="9.140625" style="53"/>
    <col min="5153" max="5153" width="15.85546875" style="53" bestFit="1" customWidth="1"/>
    <col min="5154" max="5154" width="11.42578125" style="53" bestFit="1" customWidth="1"/>
    <col min="5155" max="5379" width="9.140625" style="53"/>
    <col min="5380" max="5380" width="10.42578125" style="53" bestFit="1" customWidth="1"/>
    <col min="5381" max="5389" width="9.140625" style="53"/>
    <col min="5390" max="5390" width="9.42578125" style="53" bestFit="1" customWidth="1"/>
    <col min="5391" max="5408" width="9.140625" style="53"/>
    <col min="5409" max="5409" width="15.85546875" style="53" bestFit="1" customWidth="1"/>
    <col min="5410" max="5410" width="11.42578125" style="53" bestFit="1" customWidth="1"/>
    <col min="5411" max="5635" width="9.140625" style="53"/>
    <col min="5636" max="5636" width="10.42578125" style="53" bestFit="1" customWidth="1"/>
    <col min="5637" max="5645" width="9.140625" style="53"/>
    <col min="5646" max="5646" width="9.42578125" style="53" bestFit="1" customWidth="1"/>
    <col min="5647" max="5664" width="9.140625" style="53"/>
    <col min="5665" max="5665" width="15.85546875" style="53" bestFit="1" customWidth="1"/>
    <col min="5666" max="5666" width="11.42578125" style="53" bestFit="1" customWidth="1"/>
    <col min="5667" max="5891" width="9.140625" style="53"/>
    <col min="5892" max="5892" width="10.42578125" style="53" bestFit="1" customWidth="1"/>
    <col min="5893" max="5901" width="9.140625" style="53"/>
    <col min="5902" max="5902" width="9.42578125" style="53" bestFit="1" customWidth="1"/>
    <col min="5903" max="5920" width="9.140625" style="53"/>
    <col min="5921" max="5921" width="15.85546875" style="53" bestFit="1" customWidth="1"/>
    <col min="5922" max="5922" width="11.42578125" style="53" bestFit="1" customWidth="1"/>
    <col min="5923" max="6147" width="9.140625" style="53"/>
    <col min="6148" max="6148" width="10.42578125" style="53" bestFit="1" customWidth="1"/>
    <col min="6149" max="6157" width="9.140625" style="53"/>
    <col min="6158" max="6158" width="9.42578125" style="53" bestFit="1" customWidth="1"/>
    <col min="6159" max="6176" width="9.140625" style="53"/>
    <col min="6177" max="6177" width="15.85546875" style="53" bestFit="1" customWidth="1"/>
    <col min="6178" max="6178" width="11.42578125" style="53" bestFit="1" customWidth="1"/>
    <col min="6179" max="6403" width="9.140625" style="53"/>
    <col min="6404" max="6404" width="10.42578125" style="53" bestFit="1" customWidth="1"/>
    <col min="6405" max="6413" width="9.140625" style="53"/>
    <col min="6414" max="6414" width="9.42578125" style="53" bestFit="1" customWidth="1"/>
    <col min="6415" max="6432" width="9.140625" style="53"/>
    <col min="6433" max="6433" width="15.85546875" style="53" bestFit="1" customWidth="1"/>
    <col min="6434" max="6434" width="11.42578125" style="53" bestFit="1" customWidth="1"/>
    <col min="6435" max="6659" width="9.140625" style="53"/>
    <col min="6660" max="6660" width="10.42578125" style="53" bestFit="1" customWidth="1"/>
    <col min="6661" max="6669" width="9.140625" style="53"/>
    <col min="6670" max="6670" width="9.42578125" style="53" bestFit="1" customWidth="1"/>
    <col min="6671" max="6688" width="9.140625" style="53"/>
    <col min="6689" max="6689" width="15.85546875" style="53" bestFit="1" customWidth="1"/>
    <col min="6690" max="6690" width="11.42578125" style="53" bestFit="1" customWidth="1"/>
    <col min="6691" max="6915" width="9.140625" style="53"/>
    <col min="6916" max="6916" width="10.42578125" style="53" bestFit="1" customWidth="1"/>
    <col min="6917" max="6925" width="9.140625" style="53"/>
    <col min="6926" max="6926" width="9.42578125" style="53" bestFit="1" customWidth="1"/>
    <col min="6927" max="6944" width="9.140625" style="53"/>
    <col min="6945" max="6945" width="15.85546875" style="53" bestFit="1" customWidth="1"/>
    <col min="6946" max="6946" width="11.42578125" style="53" bestFit="1" customWidth="1"/>
    <col min="6947" max="7171" width="9.140625" style="53"/>
    <col min="7172" max="7172" width="10.42578125" style="53" bestFit="1" customWidth="1"/>
    <col min="7173" max="7181" width="9.140625" style="53"/>
    <col min="7182" max="7182" width="9.42578125" style="53" bestFit="1" customWidth="1"/>
    <col min="7183" max="7200" width="9.140625" style="53"/>
    <col min="7201" max="7201" width="15.85546875" style="53" bestFit="1" customWidth="1"/>
    <col min="7202" max="7202" width="11.42578125" style="53" bestFit="1" customWidth="1"/>
    <col min="7203" max="7427" width="9.140625" style="53"/>
    <col min="7428" max="7428" width="10.42578125" style="53" bestFit="1" customWidth="1"/>
    <col min="7429" max="7437" width="9.140625" style="53"/>
    <col min="7438" max="7438" width="9.42578125" style="53" bestFit="1" customWidth="1"/>
    <col min="7439" max="7456" width="9.140625" style="53"/>
    <col min="7457" max="7457" width="15.85546875" style="53" bestFit="1" customWidth="1"/>
    <col min="7458" max="7458" width="11.42578125" style="53" bestFit="1" customWidth="1"/>
    <col min="7459" max="7683" width="9.140625" style="53"/>
    <col min="7684" max="7684" width="10.42578125" style="53" bestFit="1" customWidth="1"/>
    <col min="7685" max="7693" width="9.140625" style="53"/>
    <col min="7694" max="7694" width="9.42578125" style="53" bestFit="1" customWidth="1"/>
    <col min="7695" max="7712" width="9.140625" style="53"/>
    <col min="7713" max="7713" width="15.85546875" style="53" bestFit="1" customWidth="1"/>
    <col min="7714" max="7714" width="11.42578125" style="53" bestFit="1" customWidth="1"/>
    <col min="7715" max="7939" width="9.140625" style="53"/>
    <col min="7940" max="7940" width="10.42578125" style="53" bestFit="1" customWidth="1"/>
    <col min="7941" max="7949" width="9.140625" style="53"/>
    <col min="7950" max="7950" width="9.42578125" style="53" bestFit="1" customWidth="1"/>
    <col min="7951" max="7968" width="9.140625" style="53"/>
    <col min="7969" max="7969" width="15.85546875" style="53" bestFit="1" customWidth="1"/>
    <col min="7970" max="7970" width="11.42578125" style="53" bestFit="1" customWidth="1"/>
    <col min="7971" max="8195" width="9.140625" style="53"/>
    <col min="8196" max="8196" width="10.42578125" style="53" bestFit="1" customWidth="1"/>
    <col min="8197" max="8205" width="9.140625" style="53"/>
    <col min="8206" max="8206" width="9.42578125" style="53" bestFit="1" customWidth="1"/>
    <col min="8207" max="8224" width="9.140625" style="53"/>
    <col min="8225" max="8225" width="15.85546875" style="53" bestFit="1" customWidth="1"/>
    <col min="8226" max="8226" width="11.42578125" style="53" bestFit="1" customWidth="1"/>
    <col min="8227" max="8451" width="9.140625" style="53"/>
    <col min="8452" max="8452" width="10.42578125" style="53" bestFit="1" customWidth="1"/>
    <col min="8453" max="8461" width="9.140625" style="53"/>
    <col min="8462" max="8462" width="9.42578125" style="53" bestFit="1" customWidth="1"/>
    <col min="8463" max="8480" width="9.140625" style="53"/>
    <col min="8481" max="8481" width="15.85546875" style="53" bestFit="1" customWidth="1"/>
    <col min="8482" max="8482" width="11.42578125" style="53" bestFit="1" customWidth="1"/>
    <col min="8483" max="8707" width="9.140625" style="53"/>
    <col min="8708" max="8708" width="10.42578125" style="53" bestFit="1" customWidth="1"/>
    <col min="8709" max="8717" width="9.140625" style="53"/>
    <col min="8718" max="8718" width="9.42578125" style="53" bestFit="1" customWidth="1"/>
    <col min="8719" max="8736" width="9.140625" style="53"/>
    <col min="8737" max="8737" width="15.85546875" style="53" bestFit="1" customWidth="1"/>
    <col min="8738" max="8738" width="11.42578125" style="53" bestFit="1" customWidth="1"/>
    <col min="8739" max="8963" width="9.140625" style="53"/>
    <col min="8964" max="8964" width="10.42578125" style="53" bestFit="1" customWidth="1"/>
    <col min="8965" max="8973" width="9.140625" style="53"/>
    <col min="8974" max="8974" width="9.42578125" style="53" bestFit="1" customWidth="1"/>
    <col min="8975" max="8992" width="9.140625" style="53"/>
    <col min="8993" max="8993" width="15.85546875" style="53" bestFit="1" customWidth="1"/>
    <col min="8994" max="8994" width="11.42578125" style="53" bestFit="1" customWidth="1"/>
    <col min="8995" max="9219" width="9.140625" style="53"/>
    <col min="9220" max="9220" width="10.42578125" style="53" bestFit="1" customWidth="1"/>
    <col min="9221" max="9229" width="9.140625" style="53"/>
    <col min="9230" max="9230" width="9.42578125" style="53" bestFit="1" customWidth="1"/>
    <col min="9231" max="9248" width="9.140625" style="53"/>
    <col min="9249" max="9249" width="15.85546875" style="53" bestFit="1" customWidth="1"/>
    <col min="9250" max="9250" width="11.42578125" style="53" bestFit="1" customWidth="1"/>
    <col min="9251" max="9475" width="9.140625" style="53"/>
    <col min="9476" max="9476" width="10.42578125" style="53" bestFit="1" customWidth="1"/>
    <col min="9477" max="9485" width="9.140625" style="53"/>
    <col min="9486" max="9486" width="9.42578125" style="53" bestFit="1" customWidth="1"/>
    <col min="9487" max="9504" width="9.140625" style="53"/>
    <col min="9505" max="9505" width="15.85546875" style="53" bestFit="1" customWidth="1"/>
    <col min="9506" max="9506" width="11.42578125" style="53" bestFit="1" customWidth="1"/>
    <col min="9507" max="9731" width="9.140625" style="53"/>
    <col min="9732" max="9732" width="10.42578125" style="53" bestFit="1" customWidth="1"/>
    <col min="9733" max="9741" width="9.140625" style="53"/>
    <col min="9742" max="9742" width="9.42578125" style="53" bestFit="1" customWidth="1"/>
    <col min="9743" max="9760" width="9.140625" style="53"/>
    <col min="9761" max="9761" width="15.85546875" style="53" bestFit="1" customWidth="1"/>
    <col min="9762" max="9762" width="11.42578125" style="53" bestFit="1" customWidth="1"/>
    <col min="9763" max="9987" width="9.140625" style="53"/>
    <col min="9988" max="9988" width="10.42578125" style="53" bestFit="1" customWidth="1"/>
    <col min="9989" max="9997" width="9.140625" style="53"/>
    <col min="9998" max="9998" width="9.42578125" style="53" bestFit="1" customWidth="1"/>
    <col min="9999" max="10016" width="9.140625" style="53"/>
    <col min="10017" max="10017" width="15.85546875" style="53" bestFit="1" customWidth="1"/>
    <col min="10018" max="10018" width="11.42578125" style="53" bestFit="1" customWidth="1"/>
    <col min="10019" max="10243" width="9.140625" style="53"/>
    <col min="10244" max="10244" width="10.42578125" style="53" bestFit="1" customWidth="1"/>
    <col min="10245" max="10253" width="9.140625" style="53"/>
    <col min="10254" max="10254" width="9.42578125" style="53" bestFit="1" customWidth="1"/>
    <col min="10255" max="10272" width="9.140625" style="53"/>
    <col min="10273" max="10273" width="15.85546875" style="53" bestFit="1" customWidth="1"/>
    <col min="10274" max="10274" width="11.42578125" style="53" bestFit="1" customWidth="1"/>
    <col min="10275" max="10499" width="9.140625" style="53"/>
    <col min="10500" max="10500" width="10.42578125" style="53" bestFit="1" customWidth="1"/>
    <col min="10501" max="10509" width="9.140625" style="53"/>
    <col min="10510" max="10510" width="9.42578125" style="53" bestFit="1" customWidth="1"/>
    <col min="10511" max="10528" width="9.140625" style="53"/>
    <col min="10529" max="10529" width="15.85546875" style="53" bestFit="1" customWidth="1"/>
    <col min="10530" max="10530" width="11.42578125" style="53" bestFit="1" customWidth="1"/>
    <col min="10531" max="10755" width="9.140625" style="53"/>
    <col min="10756" max="10756" width="10.42578125" style="53" bestFit="1" customWidth="1"/>
    <col min="10757" max="10765" width="9.140625" style="53"/>
    <col min="10766" max="10766" width="9.42578125" style="53" bestFit="1" customWidth="1"/>
    <col min="10767" max="10784" width="9.140625" style="53"/>
    <col min="10785" max="10785" width="15.85546875" style="53" bestFit="1" customWidth="1"/>
    <col min="10786" max="10786" width="11.42578125" style="53" bestFit="1" customWidth="1"/>
    <col min="10787" max="11011" width="9.140625" style="53"/>
    <col min="11012" max="11012" width="10.42578125" style="53" bestFit="1" customWidth="1"/>
    <col min="11013" max="11021" width="9.140625" style="53"/>
    <col min="11022" max="11022" width="9.42578125" style="53" bestFit="1" customWidth="1"/>
    <col min="11023" max="11040" width="9.140625" style="53"/>
    <col min="11041" max="11041" width="15.85546875" style="53" bestFit="1" customWidth="1"/>
    <col min="11042" max="11042" width="11.42578125" style="53" bestFit="1" customWidth="1"/>
    <col min="11043" max="11267" width="9.140625" style="53"/>
    <col min="11268" max="11268" width="10.42578125" style="53" bestFit="1" customWidth="1"/>
    <col min="11269" max="11277" width="9.140625" style="53"/>
    <col min="11278" max="11278" width="9.42578125" style="53" bestFit="1" customWidth="1"/>
    <col min="11279" max="11296" width="9.140625" style="53"/>
    <col min="11297" max="11297" width="15.85546875" style="53" bestFit="1" customWidth="1"/>
    <col min="11298" max="11298" width="11.42578125" style="53" bestFit="1" customWidth="1"/>
    <col min="11299" max="11523" width="9.140625" style="53"/>
    <col min="11524" max="11524" width="10.42578125" style="53" bestFit="1" customWidth="1"/>
    <col min="11525" max="11533" width="9.140625" style="53"/>
    <col min="11534" max="11534" width="9.42578125" style="53" bestFit="1" customWidth="1"/>
    <col min="11535" max="11552" width="9.140625" style="53"/>
    <col min="11553" max="11553" width="15.85546875" style="53" bestFit="1" customWidth="1"/>
    <col min="11554" max="11554" width="11.42578125" style="53" bestFit="1" customWidth="1"/>
    <col min="11555" max="11779" width="9.140625" style="53"/>
    <col min="11780" max="11780" width="10.42578125" style="53" bestFit="1" customWidth="1"/>
    <col min="11781" max="11789" width="9.140625" style="53"/>
    <col min="11790" max="11790" width="9.42578125" style="53" bestFit="1" customWidth="1"/>
    <col min="11791" max="11808" width="9.140625" style="53"/>
    <col min="11809" max="11809" width="15.85546875" style="53" bestFit="1" customWidth="1"/>
    <col min="11810" max="11810" width="11.42578125" style="53" bestFit="1" customWidth="1"/>
    <col min="11811" max="12035" width="9.140625" style="53"/>
    <col min="12036" max="12036" width="10.42578125" style="53" bestFit="1" customWidth="1"/>
    <col min="12037" max="12045" width="9.140625" style="53"/>
    <col min="12046" max="12046" width="9.42578125" style="53" bestFit="1" customWidth="1"/>
    <col min="12047" max="12064" width="9.140625" style="53"/>
    <col min="12065" max="12065" width="15.85546875" style="53" bestFit="1" customWidth="1"/>
    <col min="12066" max="12066" width="11.42578125" style="53" bestFit="1" customWidth="1"/>
    <col min="12067" max="12291" width="9.140625" style="53"/>
    <col min="12292" max="12292" width="10.42578125" style="53" bestFit="1" customWidth="1"/>
    <col min="12293" max="12301" width="9.140625" style="53"/>
    <col min="12302" max="12302" width="9.42578125" style="53" bestFit="1" customWidth="1"/>
    <col min="12303" max="12320" width="9.140625" style="53"/>
    <col min="12321" max="12321" width="15.85546875" style="53" bestFit="1" customWidth="1"/>
    <col min="12322" max="12322" width="11.42578125" style="53" bestFit="1" customWidth="1"/>
    <col min="12323" max="12547" width="9.140625" style="53"/>
    <col min="12548" max="12548" width="10.42578125" style="53" bestFit="1" customWidth="1"/>
    <col min="12549" max="12557" width="9.140625" style="53"/>
    <col min="12558" max="12558" width="9.42578125" style="53" bestFit="1" customWidth="1"/>
    <col min="12559" max="12576" width="9.140625" style="53"/>
    <col min="12577" max="12577" width="15.85546875" style="53" bestFit="1" customWidth="1"/>
    <col min="12578" max="12578" width="11.42578125" style="53" bestFit="1" customWidth="1"/>
    <col min="12579" max="12803" width="9.140625" style="53"/>
    <col min="12804" max="12804" width="10.42578125" style="53" bestFit="1" customWidth="1"/>
    <col min="12805" max="12813" width="9.140625" style="53"/>
    <col min="12814" max="12814" width="9.42578125" style="53" bestFit="1" customWidth="1"/>
    <col min="12815" max="12832" width="9.140625" style="53"/>
    <col min="12833" max="12833" width="15.85546875" style="53" bestFit="1" customWidth="1"/>
    <col min="12834" max="12834" width="11.42578125" style="53" bestFit="1" customWidth="1"/>
    <col min="12835" max="13059" width="9.140625" style="53"/>
    <col min="13060" max="13060" width="10.42578125" style="53" bestFit="1" customWidth="1"/>
    <col min="13061" max="13069" width="9.140625" style="53"/>
    <col min="13070" max="13070" width="9.42578125" style="53" bestFit="1" customWidth="1"/>
    <col min="13071" max="13088" width="9.140625" style="53"/>
    <col min="13089" max="13089" width="15.85546875" style="53" bestFit="1" customWidth="1"/>
    <col min="13090" max="13090" width="11.42578125" style="53" bestFit="1" customWidth="1"/>
    <col min="13091" max="13315" width="9.140625" style="53"/>
    <col min="13316" max="13316" width="10.42578125" style="53" bestFit="1" customWidth="1"/>
    <col min="13317" max="13325" width="9.140625" style="53"/>
    <col min="13326" max="13326" width="9.42578125" style="53" bestFit="1" customWidth="1"/>
    <col min="13327" max="13344" width="9.140625" style="53"/>
    <col min="13345" max="13345" width="15.85546875" style="53" bestFit="1" customWidth="1"/>
    <col min="13346" max="13346" width="11.42578125" style="53" bestFit="1" customWidth="1"/>
    <col min="13347" max="13571" width="9.140625" style="53"/>
    <col min="13572" max="13572" width="10.42578125" style="53" bestFit="1" customWidth="1"/>
    <col min="13573" max="13581" width="9.140625" style="53"/>
    <col min="13582" max="13582" width="9.42578125" style="53" bestFit="1" customWidth="1"/>
    <col min="13583" max="13600" width="9.140625" style="53"/>
    <col min="13601" max="13601" width="15.85546875" style="53" bestFit="1" customWidth="1"/>
    <col min="13602" max="13602" width="11.42578125" style="53" bestFit="1" customWidth="1"/>
    <col min="13603" max="13827" width="9.140625" style="53"/>
    <col min="13828" max="13828" width="10.42578125" style="53" bestFit="1" customWidth="1"/>
    <col min="13829" max="13837" width="9.140625" style="53"/>
    <col min="13838" max="13838" width="9.42578125" style="53" bestFit="1" customWidth="1"/>
    <col min="13839" max="13856" width="9.140625" style="53"/>
    <col min="13857" max="13857" width="15.85546875" style="53" bestFit="1" customWidth="1"/>
    <col min="13858" max="13858" width="11.42578125" style="53" bestFit="1" customWidth="1"/>
    <col min="13859" max="14083" width="9.140625" style="53"/>
    <col min="14084" max="14084" width="10.42578125" style="53" bestFit="1" customWidth="1"/>
    <col min="14085" max="14093" width="9.140625" style="53"/>
    <col min="14094" max="14094" width="9.42578125" style="53" bestFit="1" customWidth="1"/>
    <col min="14095" max="14112" width="9.140625" style="53"/>
    <col min="14113" max="14113" width="15.85546875" style="53" bestFit="1" customWidth="1"/>
    <col min="14114" max="14114" width="11.42578125" style="53" bestFit="1" customWidth="1"/>
    <col min="14115" max="14339" width="9.140625" style="53"/>
    <col min="14340" max="14340" width="10.42578125" style="53" bestFit="1" customWidth="1"/>
    <col min="14341" max="14349" width="9.140625" style="53"/>
    <col min="14350" max="14350" width="9.42578125" style="53" bestFit="1" customWidth="1"/>
    <col min="14351" max="14368" width="9.140625" style="53"/>
    <col min="14369" max="14369" width="15.85546875" style="53" bestFit="1" customWidth="1"/>
    <col min="14370" max="14370" width="11.42578125" style="53" bestFit="1" customWidth="1"/>
    <col min="14371" max="14595" width="9.140625" style="53"/>
    <col min="14596" max="14596" width="10.42578125" style="53" bestFit="1" customWidth="1"/>
    <col min="14597" max="14605" width="9.140625" style="53"/>
    <col min="14606" max="14606" width="9.42578125" style="53" bestFit="1" customWidth="1"/>
    <col min="14607" max="14624" width="9.140625" style="53"/>
    <col min="14625" max="14625" width="15.85546875" style="53" bestFit="1" customWidth="1"/>
    <col min="14626" max="14626" width="11.42578125" style="53" bestFit="1" customWidth="1"/>
    <col min="14627" max="14851" width="9.140625" style="53"/>
    <col min="14852" max="14852" width="10.42578125" style="53" bestFit="1" customWidth="1"/>
    <col min="14853" max="14861" width="9.140625" style="53"/>
    <col min="14862" max="14862" width="9.42578125" style="53" bestFit="1" customWidth="1"/>
    <col min="14863" max="14880" width="9.140625" style="53"/>
    <col min="14881" max="14881" width="15.85546875" style="53" bestFit="1" customWidth="1"/>
    <col min="14882" max="14882" width="11.42578125" style="53" bestFit="1" customWidth="1"/>
    <col min="14883" max="15107" width="9.140625" style="53"/>
    <col min="15108" max="15108" width="10.42578125" style="53" bestFit="1" customWidth="1"/>
    <col min="15109" max="15117" width="9.140625" style="53"/>
    <col min="15118" max="15118" width="9.42578125" style="53" bestFit="1" customWidth="1"/>
    <col min="15119" max="15136" width="9.140625" style="53"/>
    <col min="15137" max="15137" width="15.85546875" style="53" bestFit="1" customWidth="1"/>
    <col min="15138" max="15138" width="11.42578125" style="53" bestFit="1" customWidth="1"/>
    <col min="15139" max="15363" width="9.140625" style="53"/>
    <col min="15364" max="15364" width="10.42578125" style="53" bestFit="1" customWidth="1"/>
    <col min="15365" max="15373" width="9.140625" style="53"/>
    <col min="15374" max="15374" width="9.42578125" style="53" bestFit="1" customWidth="1"/>
    <col min="15375" max="15392" width="9.140625" style="53"/>
    <col min="15393" max="15393" width="15.85546875" style="53" bestFit="1" customWidth="1"/>
    <col min="15394" max="15394" width="11.42578125" style="53" bestFit="1" customWidth="1"/>
    <col min="15395" max="15619" width="9.140625" style="53"/>
    <col min="15620" max="15620" width="10.42578125" style="53" bestFit="1" customWidth="1"/>
    <col min="15621" max="15629" width="9.140625" style="53"/>
    <col min="15630" max="15630" width="9.42578125" style="53" bestFit="1" customWidth="1"/>
    <col min="15631" max="15648" width="9.140625" style="53"/>
    <col min="15649" max="15649" width="15.85546875" style="53" bestFit="1" customWidth="1"/>
    <col min="15650" max="15650" width="11.42578125" style="53" bestFit="1" customWidth="1"/>
    <col min="15651" max="15875" width="9.140625" style="53"/>
    <col min="15876" max="15876" width="10.42578125" style="53" bestFit="1" customWidth="1"/>
    <col min="15877" max="15885" width="9.140625" style="53"/>
    <col min="15886" max="15886" width="9.42578125" style="53" bestFit="1" customWidth="1"/>
    <col min="15887" max="15904" width="9.140625" style="53"/>
    <col min="15905" max="15905" width="15.85546875" style="53" bestFit="1" customWidth="1"/>
    <col min="15906" max="15906" width="11.42578125" style="53" bestFit="1" customWidth="1"/>
    <col min="15907" max="16131" width="9.140625" style="53"/>
    <col min="16132" max="16132" width="10.42578125" style="53" bestFit="1" customWidth="1"/>
    <col min="16133" max="16141" width="9.140625" style="53"/>
    <col min="16142" max="16142" width="9.42578125" style="53" bestFit="1" customWidth="1"/>
    <col min="16143" max="16160" width="9.140625" style="53"/>
    <col min="16161" max="16161" width="15.85546875" style="53" bestFit="1" customWidth="1"/>
    <col min="16162" max="16162" width="11.42578125" style="53" bestFit="1" customWidth="1"/>
    <col min="16163" max="16384" width="9.140625" style="53"/>
  </cols>
  <sheetData>
    <row r="1" spans="1:53" ht="45" x14ac:dyDescent="0.15">
      <c r="A1" s="93" t="s">
        <v>0</v>
      </c>
      <c r="B1" s="1" t="s">
        <v>1</v>
      </c>
      <c r="C1" s="1" t="s">
        <v>2</v>
      </c>
      <c r="D1" s="2" t="s">
        <v>3</v>
      </c>
      <c r="E1" s="94" t="s">
        <v>4</v>
      </c>
      <c r="F1" s="94" t="s">
        <v>5</v>
      </c>
      <c r="G1" s="94" t="s">
        <v>6</v>
      </c>
      <c r="H1" s="94" t="s">
        <v>7</v>
      </c>
      <c r="I1" s="94" t="s">
        <v>8</v>
      </c>
      <c r="J1" s="94" t="s">
        <v>9</v>
      </c>
      <c r="K1" s="94" t="s">
        <v>10</v>
      </c>
      <c r="L1" s="2" t="s">
        <v>11</v>
      </c>
      <c r="M1" s="2" t="s">
        <v>12</v>
      </c>
      <c r="N1" s="2" t="s">
        <v>13</v>
      </c>
      <c r="O1" s="2" t="s">
        <v>14</v>
      </c>
      <c r="P1" s="2" t="s">
        <v>15</v>
      </c>
      <c r="Q1" s="3" t="s">
        <v>16</v>
      </c>
      <c r="R1" s="2" t="s">
        <v>17</v>
      </c>
      <c r="S1" s="2" t="s">
        <v>18</v>
      </c>
      <c r="T1" s="3" t="s">
        <v>19</v>
      </c>
      <c r="U1" s="4" t="s">
        <v>108</v>
      </c>
      <c r="V1" s="5" t="s">
        <v>20</v>
      </c>
      <c r="W1" s="2" t="s">
        <v>21</v>
      </c>
      <c r="X1" s="94" t="s">
        <v>22</v>
      </c>
      <c r="Y1" s="94" t="s">
        <v>23</v>
      </c>
      <c r="Z1" s="94" t="s">
        <v>24</v>
      </c>
      <c r="AA1" s="95"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7" t="s">
        <v>56</v>
      </c>
      <c r="B2" s="57" t="s">
        <v>234</v>
      </c>
      <c r="C2" s="54">
        <v>2019</v>
      </c>
      <c r="D2" s="96" t="s">
        <v>235</v>
      </c>
      <c r="E2" s="54" t="s">
        <v>240</v>
      </c>
      <c r="F2" s="54" t="s">
        <v>237</v>
      </c>
      <c r="G2" s="57" t="s">
        <v>42</v>
      </c>
      <c r="H2" s="54" t="s">
        <v>162</v>
      </c>
      <c r="I2" s="57" t="s">
        <v>161</v>
      </c>
      <c r="J2" s="54" t="s">
        <v>38</v>
      </c>
      <c r="K2" s="54" t="s">
        <v>163</v>
      </c>
      <c r="L2" s="53">
        <v>1</v>
      </c>
      <c r="N2" s="53">
        <v>1</v>
      </c>
      <c r="O2" s="53">
        <v>0.65</v>
      </c>
      <c r="P2" s="53">
        <v>0.75</v>
      </c>
      <c r="Q2" s="97">
        <f t="shared" ref="Q2:Q40" si="0">IF(OR(O2="",P2=""),"",AVERAGE(O2,P2))</f>
        <v>0.7</v>
      </c>
      <c r="R2" s="53">
        <v>14.2</v>
      </c>
      <c r="S2" s="53">
        <v>146</v>
      </c>
      <c r="T2" s="16" t="e">
        <f>IF(H2="","",IF(OR(H2="GREEN",H2="GK"),IF(S2&gt;=#REF!,VLOOKUP(S2,$AX$2:$AY$7,2,1),""),IF(S2&gt;=#REF!,VLOOKUP(S2,$AZ$2:$BA$7,2,1),"")))</f>
        <v>#REF!</v>
      </c>
      <c r="U2" s="53">
        <v>106</v>
      </c>
      <c r="V2" s="16" t="e">
        <f t="shared" ref="V2:V40" si="1">IF(OR(N2="",U2="",T2=""),"",U2/N2*T2)</f>
        <v>#REF!</v>
      </c>
      <c r="W2" s="53">
        <v>13</v>
      </c>
      <c r="X2" s="57" t="s">
        <v>46</v>
      </c>
      <c r="Y2" s="57" t="s">
        <v>55</v>
      </c>
      <c r="Z2" s="54" t="s">
        <v>47</v>
      </c>
      <c r="AA2" s="57" t="s">
        <v>90</v>
      </c>
      <c r="AB2" s="54" t="s">
        <v>160</v>
      </c>
      <c r="AE2" s="22" t="s">
        <v>51</v>
      </c>
      <c r="AG2" s="30" t="s">
        <v>241</v>
      </c>
      <c r="AH2" s="98" t="s">
        <v>242</v>
      </c>
      <c r="AJ2" s="28"/>
      <c r="AL2" s="29" t="s">
        <v>66</v>
      </c>
      <c r="AN2" s="29" t="s">
        <v>52</v>
      </c>
      <c r="AP2" s="23" t="s">
        <v>243</v>
      </c>
      <c r="AR2" s="41" t="s">
        <v>54</v>
      </c>
      <c r="AV2" s="23" t="s">
        <v>55</v>
      </c>
      <c r="AX2" s="24">
        <v>84</v>
      </c>
      <c r="AY2" s="25">
        <v>39</v>
      </c>
      <c r="AZ2" s="25">
        <v>84</v>
      </c>
      <c r="BA2" s="26">
        <v>36</v>
      </c>
    </row>
    <row r="3" spans="1:53" x14ac:dyDescent="0.15">
      <c r="A3" s="57" t="s">
        <v>56</v>
      </c>
      <c r="B3" s="57" t="s">
        <v>234</v>
      </c>
      <c r="C3" s="54">
        <v>2019</v>
      </c>
      <c r="D3" s="96" t="s">
        <v>235</v>
      </c>
      <c r="E3" s="54" t="s">
        <v>240</v>
      </c>
      <c r="F3" s="54" t="s">
        <v>237</v>
      </c>
      <c r="G3" s="57" t="s">
        <v>42</v>
      </c>
      <c r="H3" s="54" t="s">
        <v>162</v>
      </c>
      <c r="I3" s="57" t="s">
        <v>161</v>
      </c>
      <c r="J3" s="54" t="s">
        <v>38</v>
      </c>
      <c r="K3" s="54" t="s">
        <v>163</v>
      </c>
      <c r="L3" s="53">
        <v>2</v>
      </c>
      <c r="N3" s="53">
        <v>1</v>
      </c>
      <c r="O3" s="53">
        <v>0.65</v>
      </c>
      <c r="P3" s="53">
        <v>0.65</v>
      </c>
      <c r="Q3" s="97">
        <f t="shared" si="0"/>
        <v>0.65</v>
      </c>
      <c r="R3" s="53">
        <v>17.399999999999999</v>
      </c>
      <c r="S3" s="53">
        <v>139</v>
      </c>
      <c r="T3" s="16" t="e">
        <f>IF(H3="","",IF(OR(H3="GREEN",H3="GK"),IF(S3&gt;=#REF!,VLOOKUP(S3,$AX$2:$AY$7,2,1),""),IF(S3&gt;=#REF!,VLOOKUP(S3,$AZ$2:$BA$7,2,1),"")))</f>
        <v>#REF!</v>
      </c>
      <c r="U3" s="53">
        <v>106</v>
      </c>
      <c r="V3" s="16" t="e">
        <f t="shared" si="1"/>
        <v>#REF!</v>
      </c>
      <c r="W3" s="53">
        <v>13</v>
      </c>
      <c r="X3" s="57" t="s">
        <v>46</v>
      </c>
      <c r="Y3" s="57" t="s">
        <v>55</v>
      </c>
      <c r="Z3" s="54" t="s">
        <v>47</v>
      </c>
      <c r="AA3" s="57" t="s">
        <v>90</v>
      </c>
      <c r="AB3" s="54" t="s">
        <v>160</v>
      </c>
      <c r="AE3" s="22" t="s">
        <v>56</v>
      </c>
      <c r="AG3" s="30" t="s">
        <v>244</v>
      </c>
      <c r="AH3" s="98" t="s">
        <v>242</v>
      </c>
      <c r="AL3" s="29" t="s">
        <v>99</v>
      </c>
      <c r="AN3" s="29" t="s">
        <v>57</v>
      </c>
      <c r="AP3" s="23" t="s">
        <v>53</v>
      </c>
      <c r="AR3" s="41" t="s">
        <v>59</v>
      </c>
      <c r="AV3" s="23" t="s">
        <v>60</v>
      </c>
      <c r="AX3" s="24">
        <v>97</v>
      </c>
      <c r="AY3" s="25">
        <v>36</v>
      </c>
      <c r="AZ3" s="25">
        <v>99</v>
      </c>
      <c r="BA3" s="26">
        <v>33</v>
      </c>
    </row>
    <row r="4" spans="1:53" x14ac:dyDescent="0.15">
      <c r="A4" s="57" t="s">
        <v>56</v>
      </c>
      <c r="B4" s="57" t="s">
        <v>234</v>
      </c>
      <c r="C4" s="54">
        <v>2019</v>
      </c>
      <c r="D4" s="96" t="s">
        <v>235</v>
      </c>
      <c r="E4" s="54" t="s">
        <v>240</v>
      </c>
      <c r="F4" s="54" t="s">
        <v>237</v>
      </c>
      <c r="G4" s="57" t="s">
        <v>42</v>
      </c>
      <c r="H4" s="54" t="s">
        <v>162</v>
      </c>
      <c r="I4" s="57" t="s">
        <v>161</v>
      </c>
      <c r="J4" s="54" t="s">
        <v>38</v>
      </c>
      <c r="K4" s="54" t="s">
        <v>163</v>
      </c>
      <c r="L4" s="53">
        <v>3</v>
      </c>
      <c r="N4" s="53">
        <v>1</v>
      </c>
      <c r="O4" s="53">
        <v>0.7</v>
      </c>
      <c r="P4" s="53">
        <v>0.7</v>
      </c>
      <c r="Q4" s="97">
        <f t="shared" si="0"/>
        <v>0.7</v>
      </c>
      <c r="R4" s="36">
        <v>15</v>
      </c>
      <c r="S4" s="53">
        <v>141</v>
      </c>
      <c r="T4" s="16" t="e">
        <f>IF(H4="","",IF(OR(H4="GREEN",H4="GK"),IF(S4&gt;=#REF!,VLOOKUP(S4,$AX$2:$AY$7,2,1),""),IF(S4&gt;=#REF!,VLOOKUP(S4,$AZ$2:$BA$7,2,1),"")))</f>
        <v>#REF!</v>
      </c>
      <c r="U4" s="53">
        <v>106</v>
      </c>
      <c r="V4" s="16" t="e">
        <f t="shared" si="1"/>
        <v>#REF!</v>
      </c>
      <c r="W4" s="53">
        <v>13</v>
      </c>
      <c r="X4" s="57" t="s">
        <v>46</v>
      </c>
      <c r="Y4" s="57" t="s">
        <v>55</v>
      </c>
      <c r="Z4" s="54" t="s">
        <v>47</v>
      </c>
      <c r="AA4" s="57" t="s">
        <v>90</v>
      </c>
      <c r="AB4" s="54" t="s">
        <v>160</v>
      </c>
      <c r="AE4" s="22" t="s">
        <v>61</v>
      </c>
      <c r="AG4" s="30" t="s">
        <v>245</v>
      </c>
      <c r="AH4" s="98" t="s">
        <v>246</v>
      </c>
      <c r="AL4" s="99" t="s">
        <v>109</v>
      </c>
      <c r="AP4" s="23" t="s">
        <v>58</v>
      </c>
      <c r="AR4" s="30" t="s">
        <v>122</v>
      </c>
      <c r="AV4" s="23" t="s">
        <v>64</v>
      </c>
      <c r="AX4" s="24">
        <v>109</v>
      </c>
      <c r="AY4" s="25">
        <v>33</v>
      </c>
      <c r="AZ4" s="25">
        <v>113</v>
      </c>
      <c r="BA4" s="26">
        <v>30</v>
      </c>
    </row>
    <row r="5" spans="1:53" x14ac:dyDescent="0.15">
      <c r="A5" s="57" t="s">
        <v>56</v>
      </c>
      <c r="B5" s="57" t="s">
        <v>234</v>
      </c>
      <c r="C5" s="54">
        <v>2019</v>
      </c>
      <c r="D5" s="96" t="s">
        <v>235</v>
      </c>
      <c r="E5" s="54" t="s">
        <v>165</v>
      </c>
      <c r="F5" s="54" t="s">
        <v>247</v>
      </c>
      <c r="G5" s="57" t="s">
        <v>42</v>
      </c>
      <c r="H5" s="54" t="s">
        <v>127</v>
      </c>
      <c r="I5" s="57" t="s">
        <v>161</v>
      </c>
      <c r="J5" s="54" t="s">
        <v>53</v>
      </c>
      <c r="K5" s="54" t="s">
        <v>54</v>
      </c>
      <c r="L5" s="53">
        <v>1</v>
      </c>
      <c r="N5" s="53">
        <v>1</v>
      </c>
      <c r="O5" s="53">
        <v>1.35</v>
      </c>
      <c r="P5" s="53">
        <v>1.3</v>
      </c>
      <c r="Q5" s="97">
        <f t="shared" si="0"/>
        <v>1.3250000000000002</v>
      </c>
      <c r="R5" s="53">
        <v>13.6</v>
      </c>
      <c r="S5" s="53">
        <v>106</v>
      </c>
      <c r="T5" s="16" t="e">
        <f>IF(H5="","",IF(OR(H5="GREEN",H5="GK"),IF(S5&gt;=#REF!,VLOOKUP(S5,$AX$2:$AY$7,2,1),""),IF(S5&gt;=#REF!,VLOOKUP(S5,$AZ$2:$BA$7,2,1),"")))</f>
        <v>#REF!</v>
      </c>
      <c r="U5" s="53">
        <v>138</v>
      </c>
      <c r="V5" s="16" t="e">
        <f t="shared" si="1"/>
        <v>#REF!</v>
      </c>
      <c r="W5" s="53">
        <v>6</v>
      </c>
      <c r="X5" s="57" t="s">
        <v>46</v>
      </c>
      <c r="Y5" s="57" t="s">
        <v>107</v>
      </c>
      <c r="Z5" s="54" t="s">
        <v>55</v>
      </c>
      <c r="AA5" s="57" t="s">
        <v>47</v>
      </c>
      <c r="AB5" s="54" t="s">
        <v>160</v>
      </c>
      <c r="AE5" s="22" t="s">
        <v>59</v>
      </c>
      <c r="AG5" s="30" t="s">
        <v>248</v>
      </c>
      <c r="AH5" s="98" t="s">
        <v>246</v>
      </c>
      <c r="AL5" s="99" t="s">
        <v>134</v>
      </c>
      <c r="AP5" s="23" t="s">
        <v>62</v>
      </c>
      <c r="AR5" s="41" t="s">
        <v>81</v>
      </c>
      <c r="AV5" s="23" t="s">
        <v>97</v>
      </c>
      <c r="AX5" s="24">
        <v>119</v>
      </c>
      <c r="AY5" s="25">
        <v>30</v>
      </c>
      <c r="AZ5" s="25">
        <v>121</v>
      </c>
      <c r="BA5" s="26">
        <v>27</v>
      </c>
    </row>
    <row r="6" spans="1:53" x14ac:dyDescent="0.15">
      <c r="A6" s="57" t="s">
        <v>56</v>
      </c>
      <c r="B6" s="57" t="s">
        <v>234</v>
      </c>
      <c r="C6" s="54">
        <v>2019</v>
      </c>
      <c r="D6" s="96" t="s">
        <v>235</v>
      </c>
      <c r="E6" s="54" t="s">
        <v>165</v>
      </c>
      <c r="F6" s="54" t="s">
        <v>247</v>
      </c>
      <c r="G6" s="57" t="s">
        <v>42</v>
      </c>
      <c r="H6" s="54" t="s">
        <v>127</v>
      </c>
      <c r="I6" s="57" t="s">
        <v>161</v>
      </c>
      <c r="J6" s="54" t="s">
        <v>53</v>
      </c>
      <c r="K6" s="54" t="s">
        <v>54</v>
      </c>
      <c r="L6" s="53">
        <v>2</v>
      </c>
      <c r="N6" s="53">
        <v>1</v>
      </c>
      <c r="O6" s="53">
        <v>1.6</v>
      </c>
      <c r="P6" s="53">
        <v>1.55</v>
      </c>
      <c r="Q6" s="97">
        <f t="shared" si="0"/>
        <v>1.5750000000000002</v>
      </c>
      <c r="R6" s="53">
        <v>12.2</v>
      </c>
      <c r="S6" s="53">
        <v>103</v>
      </c>
      <c r="T6" s="16" t="e">
        <f>IF(H6="","",IF(OR(H6="GREEN",H6="GK"),IF(S6&gt;=#REF!,VLOOKUP(S6,$AX$2:$AY$7,2,1),""),IF(S6&gt;=#REF!,VLOOKUP(S6,$AZ$2:$BA$7,2,1),"")))</f>
        <v>#REF!</v>
      </c>
      <c r="U6" s="53">
        <v>138</v>
      </c>
      <c r="V6" s="16" t="e">
        <f t="shared" si="1"/>
        <v>#REF!</v>
      </c>
      <c r="W6" s="53">
        <v>6</v>
      </c>
      <c r="X6" s="57" t="s">
        <v>46</v>
      </c>
      <c r="Y6" s="57" t="s">
        <v>107</v>
      </c>
      <c r="Z6" s="54" t="s">
        <v>55</v>
      </c>
      <c r="AA6" s="57" t="s">
        <v>47</v>
      </c>
      <c r="AB6" s="54" t="s">
        <v>160</v>
      </c>
      <c r="AE6" s="22" t="s">
        <v>98</v>
      </c>
      <c r="AG6" s="30" t="s">
        <v>236</v>
      </c>
      <c r="AH6" s="30" t="s">
        <v>237</v>
      </c>
      <c r="AL6" s="29"/>
      <c r="AP6" s="23" t="s">
        <v>95</v>
      </c>
      <c r="AR6" s="30" t="s">
        <v>89</v>
      </c>
      <c r="AV6" s="23" t="s">
        <v>102</v>
      </c>
      <c r="AX6" s="24">
        <v>128</v>
      </c>
      <c r="AY6" s="25">
        <v>27</v>
      </c>
      <c r="AZ6" s="25">
        <v>129</v>
      </c>
      <c r="BA6" s="26">
        <v>25</v>
      </c>
    </row>
    <row r="7" spans="1:53" x14ac:dyDescent="0.15">
      <c r="A7" s="57" t="s">
        <v>56</v>
      </c>
      <c r="B7" s="57" t="s">
        <v>234</v>
      </c>
      <c r="C7" s="54">
        <v>2019</v>
      </c>
      <c r="D7" s="96" t="s">
        <v>235</v>
      </c>
      <c r="E7" s="54" t="s">
        <v>165</v>
      </c>
      <c r="F7" s="54" t="s">
        <v>247</v>
      </c>
      <c r="G7" s="57" t="s">
        <v>42</v>
      </c>
      <c r="H7" s="54" t="s">
        <v>127</v>
      </c>
      <c r="I7" s="57" t="s">
        <v>161</v>
      </c>
      <c r="J7" s="54" t="s">
        <v>53</v>
      </c>
      <c r="K7" s="54" t="s">
        <v>54</v>
      </c>
      <c r="L7" s="53">
        <v>3</v>
      </c>
      <c r="N7" s="53">
        <v>1</v>
      </c>
      <c r="O7" s="53">
        <v>1.75</v>
      </c>
      <c r="P7" s="53">
        <v>2</v>
      </c>
      <c r="Q7" s="97">
        <f t="shared" si="0"/>
        <v>1.875</v>
      </c>
      <c r="R7" s="36">
        <v>11.1</v>
      </c>
      <c r="S7" s="53">
        <v>115</v>
      </c>
      <c r="T7" s="16" t="e">
        <f>IF(H7="","",IF(OR(H7="GREEN",H7="GK"),IF(S7&gt;=#REF!,VLOOKUP(S7,$AX$2:$AY$7,2,1),""),IF(S7&gt;=#REF!,VLOOKUP(S7,$AZ$2:$BA$7,2,1),"")))</f>
        <v>#REF!</v>
      </c>
      <c r="U7" s="53">
        <v>138</v>
      </c>
      <c r="V7" s="16" t="e">
        <f t="shared" si="1"/>
        <v>#REF!</v>
      </c>
      <c r="W7" s="53">
        <v>6</v>
      </c>
      <c r="X7" s="57" t="s">
        <v>46</v>
      </c>
      <c r="Y7" s="57" t="s">
        <v>107</v>
      </c>
      <c r="Z7" s="54" t="s">
        <v>55</v>
      </c>
      <c r="AA7" s="57" t="s">
        <v>47</v>
      </c>
      <c r="AB7" s="54" t="s">
        <v>160</v>
      </c>
      <c r="AE7" s="22" t="s">
        <v>103</v>
      </c>
      <c r="AG7" s="30" t="s">
        <v>245</v>
      </c>
      <c r="AH7" s="98" t="s">
        <v>242</v>
      </c>
      <c r="AL7" s="99"/>
      <c r="AP7" s="23" t="s">
        <v>100</v>
      </c>
      <c r="AR7" s="30" t="s">
        <v>123</v>
      </c>
      <c r="AV7" s="23" t="s">
        <v>106</v>
      </c>
      <c r="AX7" s="24">
        <v>138</v>
      </c>
      <c r="AY7" s="25">
        <v>25</v>
      </c>
      <c r="AZ7" s="25">
        <v>138</v>
      </c>
      <c r="BA7" s="26">
        <v>22</v>
      </c>
    </row>
    <row r="8" spans="1:53" x14ac:dyDescent="0.15">
      <c r="A8" s="57" t="s">
        <v>56</v>
      </c>
      <c r="B8" s="57" t="s">
        <v>234</v>
      </c>
      <c r="C8" s="54">
        <v>2019</v>
      </c>
      <c r="D8" s="96" t="s">
        <v>235</v>
      </c>
      <c r="E8" s="54" t="s">
        <v>165</v>
      </c>
      <c r="F8" s="54" t="s">
        <v>247</v>
      </c>
      <c r="G8" s="57" t="s">
        <v>42</v>
      </c>
      <c r="H8" s="54" t="s">
        <v>162</v>
      </c>
      <c r="I8" s="57" t="s">
        <v>161</v>
      </c>
      <c r="J8" s="54" t="s">
        <v>38</v>
      </c>
      <c r="K8" s="54" t="s">
        <v>163</v>
      </c>
      <c r="L8" s="53">
        <v>1</v>
      </c>
      <c r="N8" s="53">
        <v>1</v>
      </c>
      <c r="O8" s="53">
        <v>0.9</v>
      </c>
      <c r="P8" s="53">
        <v>0.85</v>
      </c>
      <c r="Q8" s="97">
        <f t="shared" si="0"/>
        <v>0.875</v>
      </c>
      <c r="R8" s="53">
        <v>14.5</v>
      </c>
      <c r="S8" s="53">
        <v>125</v>
      </c>
      <c r="T8" s="16" t="e">
        <f>IF(H8="","",IF(OR(H8="GREEN",H8="GK"),IF(S8&gt;=#REF!,VLOOKUP(S8,$AX$2:$AY$7,2,1),""),IF(S8&gt;=#REF!,VLOOKUP(S8,$AZ$2:$BA$7,2,1),"")))</f>
        <v>#REF!</v>
      </c>
      <c r="U8" s="53">
        <v>138</v>
      </c>
      <c r="V8" s="16" t="e">
        <f t="shared" si="1"/>
        <v>#REF!</v>
      </c>
      <c r="W8" s="53">
        <v>1</v>
      </c>
      <c r="X8" s="57" t="s">
        <v>46</v>
      </c>
      <c r="Y8" s="57" t="s">
        <v>107</v>
      </c>
      <c r="Z8" s="54" t="s">
        <v>55</v>
      </c>
      <c r="AA8" s="57" t="s">
        <v>47</v>
      </c>
      <c r="AB8" s="54" t="s">
        <v>160</v>
      </c>
      <c r="AE8" s="22" t="s">
        <v>65</v>
      </c>
      <c r="AG8" s="30" t="s">
        <v>244</v>
      </c>
      <c r="AH8" s="98" t="s">
        <v>242</v>
      </c>
      <c r="AJ8" s="99"/>
      <c r="AP8" s="23" t="s">
        <v>104</v>
      </c>
      <c r="AR8" s="30" t="s">
        <v>87</v>
      </c>
      <c r="AV8" s="23" t="s">
        <v>69</v>
      </c>
    </row>
    <row r="9" spans="1:53" x14ac:dyDescent="0.15">
      <c r="A9" s="57" t="s">
        <v>56</v>
      </c>
      <c r="B9" s="57" t="s">
        <v>234</v>
      </c>
      <c r="C9" s="54">
        <v>2019</v>
      </c>
      <c r="D9" s="96" t="s">
        <v>235</v>
      </c>
      <c r="E9" s="54" t="s">
        <v>165</v>
      </c>
      <c r="F9" s="54" t="s">
        <v>247</v>
      </c>
      <c r="G9" s="57" t="s">
        <v>42</v>
      </c>
      <c r="H9" s="54" t="s">
        <v>162</v>
      </c>
      <c r="I9" s="57" t="s">
        <v>161</v>
      </c>
      <c r="J9" s="54" t="s">
        <v>38</v>
      </c>
      <c r="K9" s="54" t="s">
        <v>163</v>
      </c>
      <c r="L9" s="53">
        <v>2</v>
      </c>
      <c r="N9" s="53">
        <v>1</v>
      </c>
      <c r="O9" s="53">
        <v>0.75</v>
      </c>
      <c r="P9" s="53">
        <v>0.75</v>
      </c>
      <c r="Q9" s="97">
        <f t="shared" si="0"/>
        <v>0.75</v>
      </c>
      <c r="R9" s="53">
        <v>15.2</v>
      </c>
      <c r="S9" s="53">
        <v>117</v>
      </c>
      <c r="T9" s="16" t="e">
        <f>IF(H9="","",IF(OR(H9="GREEN",H9="GK"),IF(S9&gt;=#REF!,VLOOKUP(S9,$AX$2:$AY$7,2,1),""),IF(S9&gt;=#REF!,VLOOKUP(S9,$AZ$2:$BA$7,2,1),"")))</f>
        <v>#REF!</v>
      </c>
      <c r="U9" s="53">
        <v>138</v>
      </c>
      <c r="V9" s="16" t="e">
        <f t="shared" si="1"/>
        <v>#REF!</v>
      </c>
      <c r="W9" s="53">
        <v>1</v>
      </c>
      <c r="X9" s="57" t="s">
        <v>46</v>
      </c>
      <c r="Y9" s="57" t="s">
        <v>107</v>
      </c>
      <c r="Z9" s="54" t="s">
        <v>55</v>
      </c>
      <c r="AA9" s="57" t="s">
        <v>47</v>
      </c>
      <c r="AB9" s="54" t="s">
        <v>160</v>
      </c>
      <c r="AE9" s="22" t="s">
        <v>70</v>
      </c>
      <c r="AG9" s="30" t="s">
        <v>239</v>
      </c>
      <c r="AH9" s="98" t="s">
        <v>242</v>
      </c>
      <c r="AJ9" s="99"/>
      <c r="AP9" s="23" t="s">
        <v>67</v>
      </c>
      <c r="AR9" s="30" t="s">
        <v>124</v>
      </c>
      <c r="AV9" s="23" t="s">
        <v>72</v>
      </c>
    </row>
    <row r="10" spans="1:53" x14ac:dyDescent="0.15">
      <c r="A10" s="57" t="s">
        <v>56</v>
      </c>
      <c r="B10" s="57" t="s">
        <v>234</v>
      </c>
      <c r="C10" s="54">
        <v>2019</v>
      </c>
      <c r="D10" s="96" t="s">
        <v>235</v>
      </c>
      <c r="E10" s="54" t="s">
        <v>165</v>
      </c>
      <c r="F10" s="54" t="s">
        <v>247</v>
      </c>
      <c r="G10" s="57" t="s">
        <v>42</v>
      </c>
      <c r="H10" s="54" t="s">
        <v>162</v>
      </c>
      <c r="I10" s="57" t="s">
        <v>161</v>
      </c>
      <c r="J10" s="54" t="s">
        <v>38</v>
      </c>
      <c r="K10" s="54" t="s">
        <v>163</v>
      </c>
      <c r="L10" s="53">
        <v>3</v>
      </c>
      <c r="N10" s="53">
        <v>1</v>
      </c>
      <c r="O10" s="53">
        <v>0.7</v>
      </c>
      <c r="P10" s="53">
        <v>0.7</v>
      </c>
      <c r="Q10" s="97">
        <f t="shared" si="0"/>
        <v>0.7</v>
      </c>
      <c r="R10" s="36">
        <v>14.9</v>
      </c>
      <c r="S10" s="53">
        <v>122</v>
      </c>
      <c r="T10" s="16" t="e">
        <f>IF(H10="","",IF(OR(H10="GREEN",H10="GK"),IF(S10&gt;=#REF!,VLOOKUP(S10,$AX$2:$AY$7,2,1),""),IF(S10&gt;=#REF!,VLOOKUP(S10,$AZ$2:$BA$7,2,1),"")))</f>
        <v>#REF!</v>
      </c>
      <c r="U10" s="53">
        <v>138</v>
      </c>
      <c r="V10" s="16" t="e">
        <f t="shared" si="1"/>
        <v>#REF!</v>
      </c>
      <c r="W10" s="53">
        <v>1</v>
      </c>
      <c r="X10" s="57" t="s">
        <v>46</v>
      </c>
      <c r="Y10" s="57" t="s">
        <v>107</v>
      </c>
      <c r="Z10" s="54" t="s">
        <v>55</v>
      </c>
      <c r="AA10" s="57" t="s">
        <v>47</v>
      </c>
      <c r="AB10" s="54" t="s">
        <v>160</v>
      </c>
      <c r="AE10" s="22" t="s">
        <v>73</v>
      </c>
      <c r="AP10" s="23" t="s">
        <v>71</v>
      </c>
      <c r="AR10" s="30" t="s">
        <v>103</v>
      </c>
      <c r="AV10" s="23" t="s">
        <v>75</v>
      </c>
    </row>
    <row r="11" spans="1:53" x14ac:dyDescent="0.15">
      <c r="A11" s="57" t="s">
        <v>56</v>
      </c>
      <c r="B11" s="57" t="s">
        <v>234</v>
      </c>
      <c r="C11" s="54">
        <v>2019</v>
      </c>
      <c r="D11" s="96" t="s">
        <v>235</v>
      </c>
      <c r="E11" s="54" t="s">
        <v>249</v>
      </c>
      <c r="F11" s="54" t="s">
        <v>250</v>
      </c>
      <c r="G11" s="57" t="s">
        <v>42</v>
      </c>
      <c r="H11" s="54" t="s">
        <v>162</v>
      </c>
      <c r="I11" s="57" t="s">
        <v>161</v>
      </c>
      <c r="J11" s="54" t="s">
        <v>38</v>
      </c>
      <c r="K11" s="54" t="s">
        <v>163</v>
      </c>
      <c r="L11" s="53">
        <v>1</v>
      </c>
      <c r="N11" s="53">
        <v>5</v>
      </c>
      <c r="O11" s="53">
        <v>0.6</v>
      </c>
      <c r="P11" s="53">
        <v>0.65</v>
      </c>
      <c r="Q11" s="97">
        <f t="shared" si="0"/>
        <v>0.625</v>
      </c>
      <c r="R11" s="53">
        <v>17.8</v>
      </c>
      <c r="S11" s="53">
        <v>111</v>
      </c>
      <c r="T11" s="16" t="e">
        <f>IF(H11="","",IF(OR(H11="GREEN",H11="GK"),IF(S11&gt;=#REF!,VLOOKUP(S11,$AX$2:$AY$7,2,1),""),IF(S11&gt;=#REF!,VLOOKUP(S11,$AZ$2:$BA$7,2,1),"")))</f>
        <v>#REF!</v>
      </c>
      <c r="U11" s="53">
        <v>645</v>
      </c>
      <c r="V11" s="16" t="e">
        <f t="shared" si="1"/>
        <v>#REF!</v>
      </c>
      <c r="W11" s="53">
        <v>2</v>
      </c>
      <c r="X11" s="57" t="s">
        <v>46</v>
      </c>
      <c r="Y11" s="57" t="s">
        <v>55</v>
      </c>
      <c r="Z11" s="54" t="s">
        <v>47</v>
      </c>
      <c r="AA11" s="57" t="s">
        <v>78</v>
      </c>
      <c r="AB11" s="54" t="s">
        <v>160</v>
      </c>
      <c r="AE11" s="22" t="s">
        <v>76</v>
      </c>
      <c r="AP11" s="23" t="s">
        <v>74</v>
      </c>
      <c r="AR11" s="30" t="s">
        <v>125</v>
      </c>
      <c r="AV11" s="23" t="s">
        <v>78</v>
      </c>
    </row>
    <row r="12" spans="1:53" x14ac:dyDescent="0.15">
      <c r="A12" s="57" t="s">
        <v>56</v>
      </c>
      <c r="B12" s="57" t="s">
        <v>234</v>
      </c>
      <c r="C12" s="54">
        <v>2019</v>
      </c>
      <c r="D12" s="96" t="s">
        <v>235</v>
      </c>
      <c r="E12" s="54" t="s">
        <v>249</v>
      </c>
      <c r="F12" s="54" t="s">
        <v>250</v>
      </c>
      <c r="G12" s="57" t="s">
        <v>42</v>
      </c>
      <c r="H12" s="54" t="s">
        <v>162</v>
      </c>
      <c r="I12" s="57" t="s">
        <v>161</v>
      </c>
      <c r="J12" s="54" t="s">
        <v>38</v>
      </c>
      <c r="K12" s="54" t="s">
        <v>163</v>
      </c>
      <c r="L12" s="53">
        <v>2</v>
      </c>
      <c r="N12" s="53">
        <v>5</v>
      </c>
      <c r="O12" s="53">
        <v>0.7</v>
      </c>
      <c r="P12" s="53">
        <v>0.75</v>
      </c>
      <c r="Q12" s="97">
        <f t="shared" si="0"/>
        <v>0.72499999999999998</v>
      </c>
      <c r="R12" s="53">
        <v>12</v>
      </c>
      <c r="S12" s="53">
        <v>111</v>
      </c>
      <c r="T12" s="16" t="e">
        <f>IF(H12="","",IF(OR(H12="GREEN",H12="GK"),IF(S12&gt;=#REF!,VLOOKUP(S12,$AX$2:$AY$7,2,1),""),IF(S12&gt;=#REF!,VLOOKUP(S12,$AZ$2:$BA$7,2,1),"")))</f>
        <v>#REF!</v>
      </c>
      <c r="U12" s="53">
        <v>645</v>
      </c>
      <c r="V12" s="16" t="e">
        <f t="shared" si="1"/>
        <v>#REF!</v>
      </c>
      <c r="W12" s="53">
        <v>2</v>
      </c>
      <c r="X12" s="57" t="s">
        <v>46</v>
      </c>
      <c r="Y12" s="57" t="s">
        <v>55</v>
      </c>
      <c r="Z12" s="54" t="s">
        <v>47</v>
      </c>
      <c r="AA12" s="57" t="s">
        <v>78</v>
      </c>
      <c r="AB12" s="54" t="s">
        <v>160</v>
      </c>
      <c r="AE12" s="22" t="s">
        <v>79</v>
      </c>
      <c r="AP12" s="23" t="s">
        <v>77</v>
      </c>
      <c r="AR12" s="30" t="s">
        <v>94</v>
      </c>
      <c r="AV12" s="23" t="s">
        <v>107</v>
      </c>
    </row>
    <row r="13" spans="1:53" x14ac:dyDescent="0.15">
      <c r="A13" s="57" t="s">
        <v>56</v>
      </c>
      <c r="B13" s="57" t="s">
        <v>234</v>
      </c>
      <c r="C13" s="54">
        <v>2019</v>
      </c>
      <c r="D13" s="96" t="s">
        <v>235</v>
      </c>
      <c r="E13" s="54" t="s">
        <v>249</v>
      </c>
      <c r="F13" s="54" t="s">
        <v>250</v>
      </c>
      <c r="G13" s="57" t="s">
        <v>42</v>
      </c>
      <c r="H13" s="54" t="s">
        <v>162</v>
      </c>
      <c r="I13" s="57" t="s">
        <v>161</v>
      </c>
      <c r="J13" s="54" t="s">
        <v>38</v>
      </c>
      <c r="K13" s="54" t="s">
        <v>163</v>
      </c>
      <c r="L13" s="53">
        <v>3</v>
      </c>
      <c r="N13" s="53">
        <v>5</v>
      </c>
      <c r="O13" s="53">
        <v>0.7</v>
      </c>
      <c r="P13" s="53">
        <v>0.75</v>
      </c>
      <c r="Q13" s="97">
        <f t="shared" si="0"/>
        <v>0.72499999999999998</v>
      </c>
      <c r="R13" s="53">
        <v>16.8</v>
      </c>
      <c r="S13" s="53">
        <v>106</v>
      </c>
      <c r="T13" s="16" t="e">
        <f>IF(H13="","",IF(OR(H13="GREEN",H13="GK"),IF(S13&gt;=#REF!,VLOOKUP(S13,$AX$2:$AY$7,2,1),""),IF(S13&gt;=#REF!,VLOOKUP(S13,$AZ$2:$BA$7,2,1),"")))</f>
        <v>#REF!</v>
      </c>
      <c r="U13" s="53">
        <v>645</v>
      </c>
      <c r="V13" s="16" t="e">
        <f t="shared" si="1"/>
        <v>#REF!</v>
      </c>
      <c r="W13" s="53">
        <v>2</v>
      </c>
      <c r="X13" s="57" t="s">
        <v>46</v>
      </c>
      <c r="Y13" s="57" t="s">
        <v>55</v>
      </c>
      <c r="Z13" s="54" t="s">
        <v>47</v>
      </c>
      <c r="AA13" s="57" t="s">
        <v>78</v>
      </c>
      <c r="AB13" s="54" t="s">
        <v>160</v>
      </c>
      <c r="AE13" s="22" t="s">
        <v>82</v>
      </c>
      <c r="AP13" s="23" t="s">
        <v>80</v>
      </c>
      <c r="AR13" s="41" t="s">
        <v>63</v>
      </c>
      <c r="AV13" s="23" t="s">
        <v>84</v>
      </c>
    </row>
    <row r="14" spans="1:53" x14ac:dyDescent="0.15">
      <c r="A14" s="57" t="s">
        <v>56</v>
      </c>
      <c r="B14" s="57" t="s">
        <v>234</v>
      </c>
      <c r="C14" s="54">
        <v>2019</v>
      </c>
      <c r="D14" s="96" t="s">
        <v>235</v>
      </c>
      <c r="E14" s="54" t="s">
        <v>251</v>
      </c>
      <c r="F14" s="54" t="s">
        <v>247</v>
      </c>
      <c r="G14" s="57" t="s">
        <v>42</v>
      </c>
      <c r="H14" s="54" t="s">
        <v>127</v>
      </c>
      <c r="I14" s="57" t="s">
        <v>164</v>
      </c>
      <c r="J14" s="54" t="s">
        <v>80</v>
      </c>
      <c r="K14" s="54" t="s">
        <v>63</v>
      </c>
      <c r="L14" s="53">
        <v>1</v>
      </c>
      <c r="N14" s="53">
        <v>1</v>
      </c>
      <c r="O14" s="53">
        <v>1.25</v>
      </c>
      <c r="P14" s="53">
        <v>1.2</v>
      </c>
      <c r="Q14" s="97">
        <f t="shared" si="0"/>
        <v>1.2250000000000001</v>
      </c>
      <c r="R14" s="53">
        <v>14</v>
      </c>
      <c r="S14" s="53">
        <v>126</v>
      </c>
      <c r="T14" s="16" t="e">
        <f>IF(H14="","",IF(OR(H14="GREEN",H14="GK"),IF(S14&gt;=#REF!,VLOOKUP(S14,$AX$2:$AY$7,2,1),""),IF(S14&gt;=#REF!,VLOOKUP(S14,$AZ$2:$BA$7,2,1),"")))</f>
        <v>#REF!</v>
      </c>
      <c r="U14" s="53">
        <v>83</v>
      </c>
      <c r="V14" s="16" t="e">
        <f t="shared" si="1"/>
        <v>#REF!</v>
      </c>
      <c r="W14" s="53">
        <v>2</v>
      </c>
      <c r="X14" s="57" t="s">
        <v>39</v>
      </c>
      <c r="Y14" s="57" t="s">
        <v>55</v>
      </c>
      <c r="Z14" s="54" t="s">
        <v>40</v>
      </c>
      <c r="AA14" s="57" t="s">
        <v>47</v>
      </c>
      <c r="AB14" s="54" t="s">
        <v>160</v>
      </c>
      <c r="AE14" s="22" t="s">
        <v>85</v>
      </c>
      <c r="AP14" s="43" t="s">
        <v>110</v>
      </c>
      <c r="AR14" s="41" t="s">
        <v>96</v>
      </c>
      <c r="AV14" s="23" t="s">
        <v>86</v>
      </c>
    </row>
    <row r="15" spans="1:53" x14ac:dyDescent="0.15">
      <c r="A15" s="57" t="s">
        <v>56</v>
      </c>
      <c r="B15" s="57" t="s">
        <v>234</v>
      </c>
      <c r="C15" s="54">
        <v>2019</v>
      </c>
      <c r="D15" s="96" t="s">
        <v>235</v>
      </c>
      <c r="E15" s="54" t="s">
        <v>251</v>
      </c>
      <c r="F15" s="54" t="s">
        <v>247</v>
      </c>
      <c r="G15" s="57" t="s">
        <v>42</v>
      </c>
      <c r="H15" s="54" t="s">
        <v>127</v>
      </c>
      <c r="I15" s="57" t="s">
        <v>164</v>
      </c>
      <c r="J15" s="54" t="s">
        <v>80</v>
      </c>
      <c r="K15" s="54" t="s">
        <v>63</v>
      </c>
      <c r="L15" s="53">
        <v>2</v>
      </c>
      <c r="N15" s="53">
        <v>1</v>
      </c>
      <c r="O15" s="53">
        <v>0.9</v>
      </c>
      <c r="P15" s="53">
        <v>0.85</v>
      </c>
      <c r="Q15" s="97">
        <f t="shared" si="0"/>
        <v>0.875</v>
      </c>
      <c r="R15" s="53">
        <v>12.1</v>
      </c>
      <c r="S15" s="53">
        <v>120</v>
      </c>
      <c r="T15" s="16" t="e">
        <f>IF(H15="","",IF(OR(H15="GREEN",H15="GK"),IF(S15&gt;=#REF!,VLOOKUP(S15,$AX$2:$AY$7,2,1),""),IF(S15&gt;=#REF!,VLOOKUP(S15,$AZ$2:$BA$7,2,1),"")))</f>
        <v>#REF!</v>
      </c>
      <c r="U15" s="53">
        <v>83</v>
      </c>
      <c r="V15" s="16" t="e">
        <f t="shared" si="1"/>
        <v>#REF!</v>
      </c>
      <c r="W15" s="53">
        <v>2</v>
      </c>
      <c r="X15" s="57" t="s">
        <v>39</v>
      </c>
      <c r="Y15" s="57" t="s">
        <v>55</v>
      </c>
      <c r="Z15" s="54" t="s">
        <v>40</v>
      </c>
      <c r="AA15" s="57" t="s">
        <v>47</v>
      </c>
      <c r="AB15" s="54" t="s">
        <v>160</v>
      </c>
      <c r="AE15" s="22" t="s">
        <v>87</v>
      </c>
      <c r="AP15" s="43" t="s">
        <v>111</v>
      </c>
      <c r="AR15" s="41" t="s">
        <v>101</v>
      </c>
      <c r="AV15" s="23" t="s">
        <v>88</v>
      </c>
    </row>
    <row r="16" spans="1:53" x14ac:dyDescent="0.15">
      <c r="A16" s="57" t="s">
        <v>56</v>
      </c>
      <c r="B16" s="57" t="s">
        <v>234</v>
      </c>
      <c r="C16" s="54">
        <v>2019</v>
      </c>
      <c r="D16" s="96" t="s">
        <v>235</v>
      </c>
      <c r="E16" s="54" t="s">
        <v>251</v>
      </c>
      <c r="F16" s="54" t="s">
        <v>247</v>
      </c>
      <c r="G16" s="57" t="s">
        <v>42</v>
      </c>
      <c r="H16" s="54" t="s">
        <v>127</v>
      </c>
      <c r="I16" s="57" t="s">
        <v>164</v>
      </c>
      <c r="J16" s="54" t="s">
        <v>80</v>
      </c>
      <c r="K16" s="54" t="s">
        <v>63</v>
      </c>
      <c r="L16" s="53">
        <v>3</v>
      </c>
      <c r="N16" s="53">
        <v>1</v>
      </c>
      <c r="O16" s="53">
        <v>0.95</v>
      </c>
      <c r="P16" s="53">
        <v>0.85</v>
      </c>
      <c r="Q16" s="97">
        <f t="shared" si="0"/>
        <v>0.89999999999999991</v>
      </c>
      <c r="R16" s="53">
        <v>13.6</v>
      </c>
      <c r="S16" s="53">
        <v>136</v>
      </c>
      <c r="T16" s="16" t="e">
        <f>IF(H16="","",IF(OR(H16="GREEN",H16="GK"),IF(S16&gt;=#REF!,VLOOKUP(S16,$AX$2:$AY$7,2,1),""),IF(S16&gt;=#REF!,VLOOKUP(S16,$AZ$2:$BA$7,2,1),"")))</f>
        <v>#REF!</v>
      </c>
      <c r="U16" s="53">
        <v>83</v>
      </c>
      <c r="V16" s="16" t="e">
        <f t="shared" si="1"/>
        <v>#REF!</v>
      </c>
      <c r="W16" s="53">
        <v>2</v>
      </c>
      <c r="X16" s="57" t="s">
        <v>39</v>
      </c>
      <c r="Y16" s="57" t="s">
        <v>55</v>
      </c>
      <c r="Z16" s="54" t="s">
        <v>40</v>
      </c>
      <c r="AA16" s="57" t="s">
        <v>47</v>
      </c>
      <c r="AB16" s="54" t="s">
        <v>160</v>
      </c>
      <c r="AE16" s="35" t="s">
        <v>89</v>
      </c>
      <c r="AP16" s="43" t="s">
        <v>112</v>
      </c>
      <c r="AR16" s="30" t="s">
        <v>126</v>
      </c>
      <c r="AV16" s="23" t="s">
        <v>90</v>
      </c>
    </row>
    <row r="17" spans="1:48" x14ac:dyDescent="0.15">
      <c r="A17" s="57" t="s">
        <v>56</v>
      </c>
      <c r="B17" s="57" t="s">
        <v>234</v>
      </c>
      <c r="C17" s="54">
        <v>2019</v>
      </c>
      <c r="D17" s="96" t="s">
        <v>235</v>
      </c>
      <c r="E17" s="54" t="s">
        <v>251</v>
      </c>
      <c r="F17" s="54" t="s">
        <v>247</v>
      </c>
      <c r="G17" s="57" t="s">
        <v>42</v>
      </c>
      <c r="H17" s="54" t="s">
        <v>162</v>
      </c>
      <c r="I17" s="57" t="s">
        <v>161</v>
      </c>
      <c r="J17" s="54" t="s">
        <v>38</v>
      </c>
      <c r="K17" s="54" t="s">
        <v>163</v>
      </c>
      <c r="L17" s="53">
        <v>1</v>
      </c>
      <c r="N17" s="53">
        <v>4</v>
      </c>
      <c r="O17" s="53">
        <v>0.65</v>
      </c>
      <c r="P17" s="53">
        <v>0.65</v>
      </c>
      <c r="Q17" s="16">
        <f t="shared" si="0"/>
        <v>0.65</v>
      </c>
      <c r="R17" s="53">
        <v>15.8</v>
      </c>
      <c r="S17" s="53">
        <v>97</v>
      </c>
      <c r="T17" s="16" t="e">
        <f>IF(H17="","",IF(OR(H17="GREEN",H17="GK"),IF(S17&gt;=#REF!,VLOOKUP(S17,$AX$2:$AY$7,2,1),""),IF(S17&gt;=#REF!,VLOOKUP(S17,$AZ$2:$BA$7,2,1),"")))</f>
        <v>#REF!</v>
      </c>
      <c r="U17" s="53">
        <v>250</v>
      </c>
      <c r="V17" s="16" t="e">
        <f t="shared" si="1"/>
        <v>#REF!</v>
      </c>
      <c r="W17" s="53">
        <v>2</v>
      </c>
      <c r="X17" s="57" t="s">
        <v>39</v>
      </c>
      <c r="Y17" s="57" t="s">
        <v>55</v>
      </c>
      <c r="Z17" s="54" t="s">
        <v>40</v>
      </c>
      <c r="AA17" s="57" t="s">
        <v>47</v>
      </c>
      <c r="AB17" s="54" t="s">
        <v>160</v>
      </c>
      <c r="AP17" s="43" t="s">
        <v>113</v>
      </c>
      <c r="AR17" s="41" t="s">
        <v>105</v>
      </c>
      <c r="AV17" s="27" t="s">
        <v>135</v>
      </c>
    </row>
    <row r="18" spans="1:48" x14ac:dyDescent="0.15">
      <c r="A18" s="57" t="s">
        <v>56</v>
      </c>
      <c r="B18" s="57" t="s">
        <v>234</v>
      </c>
      <c r="C18" s="54">
        <v>2019</v>
      </c>
      <c r="D18" s="96" t="s">
        <v>235</v>
      </c>
      <c r="E18" s="54" t="s">
        <v>251</v>
      </c>
      <c r="F18" s="54" t="s">
        <v>247</v>
      </c>
      <c r="G18" s="57" t="s">
        <v>42</v>
      </c>
      <c r="H18" s="54" t="s">
        <v>162</v>
      </c>
      <c r="I18" s="57" t="s">
        <v>161</v>
      </c>
      <c r="J18" s="54" t="s">
        <v>38</v>
      </c>
      <c r="K18" s="54" t="s">
        <v>163</v>
      </c>
      <c r="L18" s="53">
        <v>2</v>
      </c>
      <c r="N18" s="53">
        <v>4</v>
      </c>
      <c r="O18" s="53">
        <v>0.7</v>
      </c>
      <c r="P18" s="53">
        <v>0.7</v>
      </c>
      <c r="Q18" s="16">
        <f t="shared" si="0"/>
        <v>0.7</v>
      </c>
      <c r="R18" s="53">
        <v>16.3</v>
      </c>
      <c r="S18" s="53">
        <v>97</v>
      </c>
      <c r="T18" s="16" t="e">
        <f>IF(H18="","",IF(OR(H18="GREEN",H18="GK"),IF(S18&gt;=#REF!,VLOOKUP(S18,$AX$2:$AY$7,2,1),""),IF(S18&gt;=#REF!,VLOOKUP(S18,$AZ$2:$BA$7,2,1),"")))</f>
        <v>#REF!</v>
      </c>
      <c r="U18" s="53">
        <v>250</v>
      </c>
      <c r="V18" s="16" t="e">
        <f t="shared" si="1"/>
        <v>#REF!</v>
      </c>
      <c r="W18" s="53">
        <v>2</v>
      </c>
      <c r="X18" s="57" t="s">
        <v>39</v>
      </c>
      <c r="Y18" s="57" t="s">
        <v>55</v>
      </c>
      <c r="Z18" s="54" t="s">
        <v>40</v>
      </c>
      <c r="AA18" s="57" t="s">
        <v>47</v>
      </c>
      <c r="AB18" s="54" t="s">
        <v>160</v>
      </c>
      <c r="AP18" s="43" t="s">
        <v>114</v>
      </c>
      <c r="AR18" s="41" t="s">
        <v>68</v>
      </c>
      <c r="AV18" s="28" t="s">
        <v>252</v>
      </c>
    </row>
    <row r="19" spans="1:48" x14ac:dyDescent="0.15">
      <c r="A19" s="57" t="s">
        <v>56</v>
      </c>
      <c r="B19" s="57" t="s">
        <v>234</v>
      </c>
      <c r="C19" s="54">
        <v>2019</v>
      </c>
      <c r="D19" s="96" t="s">
        <v>235</v>
      </c>
      <c r="E19" s="54" t="s">
        <v>251</v>
      </c>
      <c r="F19" s="54" t="s">
        <v>247</v>
      </c>
      <c r="G19" s="57" t="s">
        <v>42</v>
      </c>
      <c r="H19" s="54" t="s">
        <v>162</v>
      </c>
      <c r="I19" s="57" t="s">
        <v>161</v>
      </c>
      <c r="J19" s="54" t="s">
        <v>38</v>
      </c>
      <c r="K19" s="54" t="s">
        <v>163</v>
      </c>
      <c r="L19" s="53">
        <v>3</v>
      </c>
      <c r="N19" s="53">
        <v>4</v>
      </c>
      <c r="O19" s="53">
        <v>0.75</v>
      </c>
      <c r="P19" s="53">
        <v>0.7</v>
      </c>
      <c r="Q19" s="16">
        <f t="shared" si="0"/>
        <v>0.72499999999999998</v>
      </c>
      <c r="R19" s="53">
        <v>16.399999999999999</v>
      </c>
      <c r="S19" s="53">
        <v>100</v>
      </c>
      <c r="T19" s="16" t="e">
        <f>IF(H19="","",IF(OR(H19="GREEN",H19="GK"),IF(S19&gt;=#REF!,VLOOKUP(S19,$AX$2:$AY$7,2,1),""),IF(S19&gt;=#REF!,VLOOKUP(S19,$AZ$2:$BA$7,2,1),"")))</f>
        <v>#REF!</v>
      </c>
      <c r="U19" s="53">
        <v>250</v>
      </c>
      <c r="V19" s="16" t="e">
        <f t="shared" si="1"/>
        <v>#REF!</v>
      </c>
      <c r="W19" s="53">
        <v>2</v>
      </c>
      <c r="X19" s="57" t="s">
        <v>39</v>
      </c>
      <c r="Y19" s="57" t="s">
        <v>55</v>
      </c>
      <c r="Z19" s="54" t="s">
        <v>40</v>
      </c>
      <c r="AA19" s="57" t="s">
        <v>47</v>
      </c>
      <c r="AB19" s="54" t="s">
        <v>160</v>
      </c>
      <c r="AP19" s="43" t="s">
        <v>115</v>
      </c>
      <c r="AR19" s="41" t="s">
        <v>83</v>
      </c>
    </row>
    <row r="20" spans="1:48" x14ac:dyDescent="0.15">
      <c r="A20" s="57" t="s">
        <v>56</v>
      </c>
      <c r="B20" s="57" t="s">
        <v>234</v>
      </c>
      <c r="C20" s="54">
        <v>2019</v>
      </c>
      <c r="D20" s="96" t="s">
        <v>235</v>
      </c>
      <c r="E20" s="54" t="s">
        <v>165</v>
      </c>
      <c r="F20" s="54" t="s">
        <v>246</v>
      </c>
      <c r="G20" s="57" t="s">
        <v>42</v>
      </c>
      <c r="H20" s="54" t="s">
        <v>127</v>
      </c>
      <c r="I20" s="57" t="s">
        <v>161</v>
      </c>
      <c r="J20" s="54" t="s">
        <v>53</v>
      </c>
      <c r="K20" s="54" t="s">
        <v>54</v>
      </c>
      <c r="L20" s="53">
        <v>1</v>
      </c>
      <c r="N20" s="53">
        <v>1</v>
      </c>
      <c r="O20" s="53">
        <v>0.6</v>
      </c>
      <c r="P20" s="53">
        <v>0.6</v>
      </c>
      <c r="Q20" s="16">
        <f t="shared" si="0"/>
        <v>0.6</v>
      </c>
      <c r="R20" s="53">
        <v>15.5</v>
      </c>
      <c r="S20" s="53">
        <v>104</v>
      </c>
      <c r="T20" s="16" t="e">
        <f>IF(H20="","",IF(OR(H20="GREEN",H20="GK"),IF(S20&gt;=#REF!,VLOOKUP(S20,$AX$2:$AY$7,2,1),""),IF(S20&gt;=#REF!,VLOOKUP(S20,$AZ$2:$BA$7,2,1),"")))</f>
        <v>#REF!</v>
      </c>
      <c r="U20" s="53">
        <v>138</v>
      </c>
      <c r="V20" s="16" t="e">
        <f t="shared" si="1"/>
        <v>#REF!</v>
      </c>
      <c r="W20" s="53">
        <v>4</v>
      </c>
      <c r="X20" s="57" t="s">
        <v>46</v>
      </c>
      <c r="Y20" s="57" t="s">
        <v>47</v>
      </c>
      <c r="Z20" s="54" t="s">
        <v>55</v>
      </c>
      <c r="AA20" s="57" t="s">
        <v>69</v>
      </c>
      <c r="AB20" s="54" t="s">
        <v>160</v>
      </c>
      <c r="AP20" s="43" t="s">
        <v>137</v>
      </c>
      <c r="AR20" s="41" t="s">
        <v>61</v>
      </c>
    </row>
    <row r="21" spans="1:48" x14ac:dyDescent="0.15">
      <c r="A21" s="57" t="s">
        <v>56</v>
      </c>
      <c r="B21" s="57" t="s">
        <v>234</v>
      </c>
      <c r="C21" s="54">
        <v>2019</v>
      </c>
      <c r="D21" s="96" t="s">
        <v>235</v>
      </c>
      <c r="E21" s="54" t="s">
        <v>165</v>
      </c>
      <c r="F21" s="54" t="s">
        <v>246</v>
      </c>
      <c r="G21" s="57" t="s">
        <v>42</v>
      </c>
      <c r="H21" s="54" t="s">
        <v>127</v>
      </c>
      <c r="I21" s="57" t="s">
        <v>161</v>
      </c>
      <c r="J21" s="54" t="s">
        <v>53</v>
      </c>
      <c r="K21" s="54" t="s">
        <v>54</v>
      </c>
      <c r="L21" s="53">
        <v>2</v>
      </c>
      <c r="N21" s="53">
        <v>1</v>
      </c>
      <c r="O21" s="53">
        <v>0.85</v>
      </c>
      <c r="P21" s="53">
        <v>0.85</v>
      </c>
      <c r="Q21" s="16">
        <f t="shared" si="0"/>
        <v>0.85</v>
      </c>
      <c r="R21" s="53">
        <v>14.3</v>
      </c>
      <c r="S21" s="53">
        <v>99</v>
      </c>
      <c r="T21" s="16" t="e">
        <f>IF(H21="","",IF(OR(H21="GREEN",H21="GK"),IF(S21&gt;=#REF!,VLOOKUP(S21,$AX$2:$AY$7,2,1),""),IF(S21&gt;=#REF!,VLOOKUP(S21,$AZ$2:$BA$7,2,1),"")))</f>
        <v>#REF!</v>
      </c>
      <c r="U21" s="53">
        <v>138</v>
      </c>
      <c r="V21" s="16" t="e">
        <f t="shared" si="1"/>
        <v>#REF!</v>
      </c>
      <c r="W21" s="53">
        <v>4</v>
      </c>
      <c r="X21" s="57" t="s">
        <v>46</v>
      </c>
      <c r="Y21" s="57" t="s">
        <v>47</v>
      </c>
      <c r="Z21" s="54" t="s">
        <v>55</v>
      </c>
      <c r="AA21" s="57" t="s">
        <v>69</v>
      </c>
      <c r="AB21" s="54" t="s">
        <v>160</v>
      </c>
      <c r="AP21" s="43" t="s">
        <v>138</v>
      </c>
      <c r="AR21" s="41" t="s">
        <v>91</v>
      </c>
    </row>
    <row r="22" spans="1:48" x14ac:dyDescent="0.15">
      <c r="A22" s="57" t="s">
        <v>56</v>
      </c>
      <c r="B22" s="57" t="s">
        <v>234</v>
      </c>
      <c r="C22" s="54">
        <v>2019</v>
      </c>
      <c r="D22" s="96" t="s">
        <v>235</v>
      </c>
      <c r="E22" s="54" t="s">
        <v>165</v>
      </c>
      <c r="F22" s="54" t="s">
        <v>246</v>
      </c>
      <c r="G22" s="57" t="s">
        <v>42</v>
      </c>
      <c r="H22" s="54" t="s">
        <v>127</v>
      </c>
      <c r="I22" s="57" t="s">
        <v>161</v>
      </c>
      <c r="J22" s="54" t="s">
        <v>53</v>
      </c>
      <c r="K22" s="54" t="s">
        <v>54</v>
      </c>
      <c r="L22" s="53">
        <v>3</v>
      </c>
      <c r="N22" s="53">
        <v>1</v>
      </c>
      <c r="O22" s="53">
        <v>0.9</v>
      </c>
      <c r="P22" s="53">
        <v>1</v>
      </c>
      <c r="Q22" s="16">
        <f t="shared" si="0"/>
        <v>0.95</v>
      </c>
      <c r="R22" s="53">
        <v>14</v>
      </c>
      <c r="S22" s="53">
        <v>110</v>
      </c>
      <c r="T22" s="16" t="e">
        <f>IF(H22="","",IF(OR(H22="GREEN",H22="GK"),IF(S22&gt;=#REF!,VLOOKUP(S22,$AX$2:$AY$7,2,1),""),IF(S22&gt;=#REF!,VLOOKUP(S22,$AZ$2:$BA$7,2,1),"")))</f>
        <v>#REF!</v>
      </c>
      <c r="U22" s="53">
        <v>138</v>
      </c>
      <c r="V22" s="16" t="e">
        <f t="shared" si="1"/>
        <v>#REF!</v>
      </c>
      <c r="W22" s="53">
        <v>4</v>
      </c>
      <c r="X22" s="57" t="s">
        <v>46</v>
      </c>
      <c r="Y22" s="57" t="s">
        <v>47</v>
      </c>
      <c r="Z22" s="54" t="s">
        <v>55</v>
      </c>
      <c r="AA22" s="57" t="s">
        <v>69</v>
      </c>
      <c r="AB22" s="54" t="s">
        <v>160</v>
      </c>
      <c r="AP22" s="43" t="s">
        <v>116</v>
      </c>
      <c r="AR22" s="42" t="s">
        <v>92</v>
      </c>
    </row>
    <row r="23" spans="1:48" x14ac:dyDescent="0.15">
      <c r="A23" s="57" t="s">
        <v>56</v>
      </c>
      <c r="B23" s="57" t="s">
        <v>234</v>
      </c>
      <c r="C23" s="54">
        <v>2019</v>
      </c>
      <c r="D23" s="96" t="s">
        <v>235</v>
      </c>
      <c r="E23" s="54" t="s">
        <v>165</v>
      </c>
      <c r="F23" s="54" t="s">
        <v>246</v>
      </c>
      <c r="G23" s="57" t="s">
        <v>42</v>
      </c>
      <c r="H23" s="54" t="s">
        <v>162</v>
      </c>
      <c r="I23" s="57" t="s">
        <v>161</v>
      </c>
      <c r="J23" s="54" t="s">
        <v>38</v>
      </c>
      <c r="K23" s="54" t="s">
        <v>163</v>
      </c>
      <c r="L23" s="53">
        <v>1</v>
      </c>
      <c r="N23" s="53">
        <v>1</v>
      </c>
      <c r="O23" s="53">
        <v>0.7</v>
      </c>
      <c r="P23" s="53">
        <v>0.7</v>
      </c>
      <c r="Q23" s="16">
        <f t="shared" si="0"/>
        <v>0.7</v>
      </c>
      <c r="R23" s="53">
        <v>16.600000000000001</v>
      </c>
      <c r="S23" s="53">
        <v>120</v>
      </c>
      <c r="T23" s="16" t="e">
        <f>IF(H23="","",IF(OR(H23="GREEN",H23="GK"),IF(S23&gt;=#REF!,VLOOKUP(S23,$AX$2:$AY$7,2,1),""),IF(S23&gt;=#REF!,VLOOKUP(S23,$AZ$2:$BA$7,2,1),"")))</f>
        <v>#REF!</v>
      </c>
      <c r="U23" s="53">
        <v>138</v>
      </c>
      <c r="V23" s="16" t="e">
        <f t="shared" si="1"/>
        <v>#REF!</v>
      </c>
      <c r="W23" s="53">
        <v>2</v>
      </c>
      <c r="X23" s="57" t="s">
        <v>46</v>
      </c>
      <c r="Y23" s="57" t="s">
        <v>47</v>
      </c>
      <c r="Z23" s="54" t="s">
        <v>55</v>
      </c>
      <c r="AA23" s="57" t="s">
        <v>69</v>
      </c>
      <c r="AB23" s="54" t="s">
        <v>160</v>
      </c>
      <c r="AP23" s="43" t="s">
        <v>117</v>
      </c>
      <c r="AR23" s="53" t="s">
        <v>153</v>
      </c>
    </row>
    <row r="24" spans="1:48" x14ac:dyDescent="0.15">
      <c r="A24" s="57" t="s">
        <v>56</v>
      </c>
      <c r="B24" s="57" t="s">
        <v>234</v>
      </c>
      <c r="C24" s="54">
        <v>2019</v>
      </c>
      <c r="D24" s="96" t="s">
        <v>235</v>
      </c>
      <c r="E24" s="54" t="s">
        <v>165</v>
      </c>
      <c r="F24" s="54" t="s">
        <v>246</v>
      </c>
      <c r="G24" s="57" t="s">
        <v>42</v>
      </c>
      <c r="H24" s="54" t="s">
        <v>162</v>
      </c>
      <c r="I24" s="57" t="s">
        <v>161</v>
      </c>
      <c r="J24" s="54" t="s">
        <v>38</v>
      </c>
      <c r="K24" s="54" t="s">
        <v>163</v>
      </c>
      <c r="L24" s="53">
        <v>2</v>
      </c>
      <c r="N24" s="53">
        <v>1</v>
      </c>
      <c r="O24" s="53">
        <v>1</v>
      </c>
      <c r="P24" s="53">
        <v>1</v>
      </c>
      <c r="Q24" s="16">
        <f t="shared" si="0"/>
        <v>1</v>
      </c>
      <c r="R24" s="53">
        <v>14.4</v>
      </c>
      <c r="S24" s="53">
        <v>118</v>
      </c>
      <c r="T24" s="16" t="e">
        <f>IF(H24="","",IF(OR(H24="GREEN",H24="GK"),IF(S24&gt;=#REF!,VLOOKUP(S24,$AX$2:$AY$7,2,1),""),IF(S24&gt;=#REF!,VLOOKUP(S24,$AZ$2:$BA$7,2,1),"")))</f>
        <v>#REF!</v>
      </c>
      <c r="U24" s="53">
        <v>138</v>
      </c>
      <c r="V24" s="16" t="e">
        <f t="shared" si="1"/>
        <v>#REF!</v>
      </c>
      <c r="W24" s="53">
        <v>2</v>
      </c>
      <c r="X24" s="57" t="s">
        <v>46</v>
      </c>
      <c r="Y24" s="57" t="s">
        <v>47</v>
      </c>
      <c r="Z24" s="54" t="s">
        <v>55</v>
      </c>
      <c r="AA24" s="57" t="s">
        <v>69</v>
      </c>
      <c r="AB24" s="54" t="s">
        <v>160</v>
      </c>
      <c r="AP24" s="43" t="s">
        <v>118</v>
      </c>
    </row>
    <row r="25" spans="1:48" x14ac:dyDescent="0.15">
      <c r="A25" s="57" t="s">
        <v>56</v>
      </c>
      <c r="B25" s="57" t="s">
        <v>234</v>
      </c>
      <c r="C25" s="54">
        <v>2019</v>
      </c>
      <c r="D25" s="96" t="s">
        <v>235</v>
      </c>
      <c r="E25" s="54" t="s">
        <v>165</v>
      </c>
      <c r="F25" s="54" t="s">
        <v>246</v>
      </c>
      <c r="G25" s="57" t="s">
        <v>42</v>
      </c>
      <c r="H25" s="54" t="s">
        <v>162</v>
      </c>
      <c r="I25" s="57" t="s">
        <v>161</v>
      </c>
      <c r="J25" s="54" t="s">
        <v>38</v>
      </c>
      <c r="K25" s="54" t="s">
        <v>163</v>
      </c>
      <c r="L25" s="53">
        <v>3</v>
      </c>
      <c r="N25" s="53">
        <v>1</v>
      </c>
      <c r="O25" s="53">
        <v>0.85</v>
      </c>
      <c r="P25" s="53">
        <v>0.8</v>
      </c>
      <c r="Q25" s="16">
        <f t="shared" si="0"/>
        <v>0.82499999999999996</v>
      </c>
      <c r="R25" s="53">
        <v>16</v>
      </c>
      <c r="S25" s="53">
        <v>121</v>
      </c>
      <c r="T25" s="16" t="e">
        <f>IF(H25="","",IF(OR(H25="GREEN",H25="GK"),IF(S25&gt;=#REF!,VLOOKUP(S25,$AX$2:$AY$7,2,1),""),IF(S25&gt;=#REF!,VLOOKUP(S25,$AZ$2:$BA$7,2,1),"")))</f>
        <v>#REF!</v>
      </c>
      <c r="U25" s="53">
        <v>138</v>
      </c>
      <c r="V25" s="16" t="e">
        <f t="shared" si="1"/>
        <v>#REF!</v>
      </c>
      <c r="W25" s="53">
        <v>2</v>
      </c>
      <c r="X25" s="57" t="s">
        <v>46</v>
      </c>
      <c r="Y25" s="57" t="s">
        <v>47</v>
      </c>
      <c r="Z25" s="54" t="s">
        <v>55</v>
      </c>
      <c r="AA25" s="57" t="s">
        <v>69</v>
      </c>
      <c r="AB25" s="54" t="s">
        <v>160</v>
      </c>
    </row>
    <row r="26" spans="1:48" x14ac:dyDescent="0.15">
      <c r="A26" s="57" t="s">
        <v>56</v>
      </c>
      <c r="B26" s="57" t="s">
        <v>234</v>
      </c>
      <c r="C26" s="54">
        <v>2019</v>
      </c>
      <c r="D26" s="96" t="s">
        <v>235</v>
      </c>
      <c r="E26" s="54" t="s">
        <v>253</v>
      </c>
      <c r="F26" s="54" t="s">
        <v>246</v>
      </c>
      <c r="G26" s="57" t="s">
        <v>42</v>
      </c>
      <c r="H26" s="54" t="s">
        <v>127</v>
      </c>
      <c r="I26" s="57" t="s">
        <v>161</v>
      </c>
      <c r="J26" s="54" t="s">
        <v>53</v>
      </c>
      <c r="K26" s="54" t="s">
        <v>54</v>
      </c>
      <c r="L26" s="53">
        <v>1</v>
      </c>
      <c r="N26" s="53">
        <v>1</v>
      </c>
      <c r="O26" s="53">
        <v>1.1499999999999999</v>
      </c>
      <c r="P26" s="53">
        <v>1.25</v>
      </c>
      <c r="Q26" s="16">
        <f t="shared" si="0"/>
        <v>1.2</v>
      </c>
      <c r="R26" s="53">
        <v>15.3</v>
      </c>
      <c r="S26" s="53">
        <v>139</v>
      </c>
      <c r="T26" s="16" t="e">
        <f>IF(H26="","",IF(OR(H26="GREEN",H26="GK"),IF(S26&gt;=#REF!,VLOOKUP(S26,$AX$2:$AY$7,2,1),""),IF(S26&gt;=#REF!,VLOOKUP(S26,$AZ$2:$BA$7,2,1),"")))</f>
        <v>#REF!</v>
      </c>
      <c r="U26" s="53">
        <v>138</v>
      </c>
      <c r="V26" s="16" t="e">
        <f t="shared" si="1"/>
        <v>#REF!</v>
      </c>
      <c r="W26" s="53">
        <v>1</v>
      </c>
      <c r="X26" s="57" t="s">
        <v>39</v>
      </c>
      <c r="Y26" s="57" t="s">
        <v>40</v>
      </c>
      <c r="Z26" s="54" t="s">
        <v>47</v>
      </c>
      <c r="AA26" s="57" t="s">
        <v>69</v>
      </c>
      <c r="AB26" s="54" t="s">
        <v>160</v>
      </c>
    </row>
    <row r="27" spans="1:48" x14ac:dyDescent="0.15">
      <c r="A27" s="57" t="s">
        <v>56</v>
      </c>
      <c r="B27" s="57" t="s">
        <v>234</v>
      </c>
      <c r="C27" s="54">
        <v>2019</v>
      </c>
      <c r="D27" s="96" t="s">
        <v>235</v>
      </c>
      <c r="E27" s="54" t="s">
        <v>253</v>
      </c>
      <c r="F27" s="54" t="s">
        <v>246</v>
      </c>
      <c r="G27" s="57" t="s">
        <v>42</v>
      </c>
      <c r="H27" s="54" t="s">
        <v>127</v>
      </c>
      <c r="I27" s="57" t="s">
        <v>161</v>
      </c>
      <c r="J27" s="54" t="s">
        <v>53</v>
      </c>
      <c r="K27" s="54" t="s">
        <v>54</v>
      </c>
      <c r="L27" s="53">
        <v>2</v>
      </c>
      <c r="N27" s="53">
        <v>1</v>
      </c>
      <c r="O27" s="53">
        <v>1.1000000000000001</v>
      </c>
      <c r="P27" s="53">
        <v>1.05</v>
      </c>
      <c r="Q27" s="16">
        <f t="shared" si="0"/>
        <v>1.0750000000000002</v>
      </c>
      <c r="R27" s="53">
        <v>13.1</v>
      </c>
      <c r="S27" s="53">
        <v>131</v>
      </c>
      <c r="T27" s="16" t="e">
        <f>IF(H27="","",IF(OR(H27="GREEN",H27="GK"),IF(S27&gt;=#REF!,VLOOKUP(S27,$AX$2:$AY$7,2,1),""),IF(S27&gt;=#REF!,VLOOKUP(S27,$AZ$2:$BA$7,2,1),"")))</f>
        <v>#REF!</v>
      </c>
      <c r="U27" s="53">
        <v>138</v>
      </c>
      <c r="V27" s="16" t="e">
        <f t="shared" si="1"/>
        <v>#REF!</v>
      </c>
      <c r="W27" s="53">
        <v>1</v>
      </c>
      <c r="X27" s="57" t="s">
        <v>39</v>
      </c>
      <c r="Y27" s="57" t="s">
        <v>40</v>
      </c>
      <c r="Z27" s="54" t="s">
        <v>47</v>
      </c>
      <c r="AA27" s="57" t="s">
        <v>69</v>
      </c>
      <c r="AB27" s="54" t="s">
        <v>160</v>
      </c>
    </row>
    <row r="28" spans="1:48" x14ac:dyDescent="0.15">
      <c r="A28" s="57" t="s">
        <v>56</v>
      </c>
      <c r="B28" s="57" t="s">
        <v>234</v>
      </c>
      <c r="C28" s="54">
        <v>2019</v>
      </c>
      <c r="D28" s="96" t="s">
        <v>235</v>
      </c>
      <c r="E28" s="54" t="s">
        <v>253</v>
      </c>
      <c r="F28" s="54" t="s">
        <v>246</v>
      </c>
      <c r="G28" s="57" t="s">
        <v>42</v>
      </c>
      <c r="H28" s="54" t="s">
        <v>127</v>
      </c>
      <c r="I28" s="57" t="s">
        <v>161</v>
      </c>
      <c r="J28" s="54" t="s">
        <v>53</v>
      </c>
      <c r="K28" s="54" t="s">
        <v>54</v>
      </c>
      <c r="L28" s="53">
        <v>3</v>
      </c>
      <c r="N28" s="53">
        <v>1</v>
      </c>
      <c r="O28" s="53">
        <v>1.2</v>
      </c>
      <c r="P28" s="53">
        <v>1.1000000000000001</v>
      </c>
      <c r="Q28" s="16">
        <f t="shared" si="0"/>
        <v>1.1499999999999999</v>
      </c>
      <c r="R28" s="53">
        <v>10.8</v>
      </c>
      <c r="S28" s="53">
        <v>130</v>
      </c>
      <c r="T28" s="16" t="e">
        <f>IF(H28="","",IF(OR(H28="GREEN",H28="GK"),IF(S28&gt;=#REF!,VLOOKUP(S28,$AX$2:$AY$7,2,1),""),IF(S28&gt;=#REF!,VLOOKUP(S28,$AZ$2:$BA$7,2,1),"")))</f>
        <v>#REF!</v>
      </c>
      <c r="U28" s="53">
        <v>138</v>
      </c>
      <c r="V28" s="16" t="e">
        <f t="shared" si="1"/>
        <v>#REF!</v>
      </c>
      <c r="W28" s="53">
        <v>1</v>
      </c>
      <c r="X28" s="57" t="s">
        <v>39</v>
      </c>
      <c r="Y28" s="57" t="s">
        <v>40</v>
      </c>
      <c r="Z28" s="54" t="s">
        <v>47</v>
      </c>
      <c r="AA28" s="57" t="s">
        <v>69</v>
      </c>
      <c r="AB28" s="54" t="s">
        <v>160</v>
      </c>
    </row>
    <row r="29" spans="1:48" x14ac:dyDescent="0.15">
      <c r="A29" s="57" t="s">
        <v>56</v>
      </c>
      <c r="B29" s="57" t="s">
        <v>234</v>
      </c>
      <c r="C29" s="54">
        <v>2019</v>
      </c>
      <c r="D29" s="96" t="s">
        <v>235</v>
      </c>
      <c r="E29" s="54" t="s">
        <v>253</v>
      </c>
      <c r="F29" s="54" t="s">
        <v>246</v>
      </c>
      <c r="G29" s="57" t="s">
        <v>42</v>
      </c>
      <c r="H29" s="54" t="s">
        <v>162</v>
      </c>
      <c r="I29" s="57" t="s">
        <v>161</v>
      </c>
      <c r="J29" s="54" t="s">
        <v>38</v>
      </c>
      <c r="K29" s="54" t="s">
        <v>163</v>
      </c>
      <c r="L29" s="53">
        <v>1</v>
      </c>
      <c r="N29" s="53">
        <v>1</v>
      </c>
      <c r="O29" s="53">
        <v>0.8</v>
      </c>
      <c r="P29" s="53">
        <v>0.8</v>
      </c>
      <c r="Q29" s="16">
        <f t="shared" si="0"/>
        <v>0.8</v>
      </c>
      <c r="R29" s="53">
        <v>17.600000000000001</v>
      </c>
      <c r="S29" s="53">
        <v>131</v>
      </c>
      <c r="T29" s="16" t="e">
        <f>IF(H29="","",IF(OR(H29="GREEN",H29="GK"),IF(S29&gt;=#REF!,VLOOKUP(S29,$AX$2:$AY$7,2,1),""),IF(S29&gt;=#REF!,VLOOKUP(S29,$AZ$2:$BA$7,2,1),"")))</f>
        <v>#REF!</v>
      </c>
      <c r="U29" s="53">
        <v>150</v>
      </c>
      <c r="V29" s="16" t="e">
        <f t="shared" si="1"/>
        <v>#REF!</v>
      </c>
      <c r="W29" s="53">
        <v>1</v>
      </c>
      <c r="X29" s="57" t="s">
        <v>39</v>
      </c>
      <c r="Y29" s="57" t="s">
        <v>40</v>
      </c>
      <c r="Z29" s="54" t="s">
        <v>47</v>
      </c>
      <c r="AA29" s="57" t="s">
        <v>69</v>
      </c>
      <c r="AB29" s="54" t="s">
        <v>160</v>
      </c>
    </row>
    <row r="30" spans="1:48" x14ac:dyDescent="0.15">
      <c r="A30" s="57" t="s">
        <v>56</v>
      </c>
      <c r="B30" s="57" t="s">
        <v>234</v>
      </c>
      <c r="C30" s="54">
        <v>2019</v>
      </c>
      <c r="D30" s="96" t="s">
        <v>235</v>
      </c>
      <c r="E30" s="54" t="s">
        <v>253</v>
      </c>
      <c r="F30" s="54" t="s">
        <v>246</v>
      </c>
      <c r="G30" s="57" t="s">
        <v>42</v>
      </c>
      <c r="H30" s="54" t="s">
        <v>162</v>
      </c>
      <c r="I30" s="57" t="s">
        <v>161</v>
      </c>
      <c r="J30" s="54" t="s">
        <v>38</v>
      </c>
      <c r="K30" s="54" t="s">
        <v>163</v>
      </c>
      <c r="L30" s="53">
        <v>2</v>
      </c>
      <c r="N30" s="53">
        <v>1</v>
      </c>
      <c r="O30" s="53">
        <v>0.65</v>
      </c>
      <c r="P30" s="53">
        <v>0.65</v>
      </c>
      <c r="Q30" s="16">
        <f t="shared" si="0"/>
        <v>0.65</v>
      </c>
      <c r="R30" s="53">
        <v>17.399999999999999</v>
      </c>
      <c r="S30" s="53">
        <v>133</v>
      </c>
      <c r="T30" s="16" t="e">
        <f>IF(H30="","",IF(OR(H30="GREEN",H30="GK"),IF(S30&gt;=#REF!,VLOOKUP(S30,$AX$2:$AY$7,2,1),""),IF(S30&gt;=#REF!,VLOOKUP(S30,$AZ$2:$BA$7,2,1),"")))</f>
        <v>#REF!</v>
      </c>
      <c r="U30" s="53">
        <v>150</v>
      </c>
      <c r="V30" s="16" t="e">
        <f t="shared" si="1"/>
        <v>#REF!</v>
      </c>
      <c r="W30" s="53">
        <v>1</v>
      </c>
      <c r="X30" s="57" t="s">
        <v>39</v>
      </c>
      <c r="Y30" s="57" t="s">
        <v>40</v>
      </c>
      <c r="Z30" s="54" t="s">
        <v>47</v>
      </c>
      <c r="AA30" s="57" t="s">
        <v>69</v>
      </c>
      <c r="AB30" s="54" t="s">
        <v>160</v>
      </c>
    </row>
    <row r="31" spans="1:48" x14ac:dyDescent="0.15">
      <c r="A31" s="57" t="s">
        <v>56</v>
      </c>
      <c r="B31" s="57" t="s">
        <v>234</v>
      </c>
      <c r="C31" s="54">
        <v>2019</v>
      </c>
      <c r="D31" s="96" t="s">
        <v>235</v>
      </c>
      <c r="E31" s="54" t="s">
        <v>253</v>
      </c>
      <c r="F31" s="54" t="s">
        <v>246</v>
      </c>
      <c r="G31" s="57" t="s">
        <v>42</v>
      </c>
      <c r="H31" s="54" t="s">
        <v>162</v>
      </c>
      <c r="I31" s="57" t="s">
        <v>161</v>
      </c>
      <c r="J31" s="54" t="s">
        <v>38</v>
      </c>
      <c r="K31" s="54" t="s">
        <v>163</v>
      </c>
      <c r="L31" s="53">
        <v>3</v>
      </c>
      <c r="N31" s="53">
        <v>1</v>
      </c>
      <c r="O31" s="53">
        <v>0.7</v>
      </c>
      <c r="P31" s="53">
        <v>0.65</v>
      </c>
      <c r="Q31" s="16">
        <f t="shared" si="0"/>
        <v>0.67500000000000004</v>
      </c>
      <c r="R31" s="53">
        <v>15.7</v>
      </c>
      <c r="S31" s="53">
        <v>125</v>
      </c>
      <c r="T31" s="16" t="e">
        <f>IF(H31="","",IF(OR(H31="GREEN",H31="GK"),IF(S31&gt;=#REF!,VLOOKUP(S31,$AX$2:$AY$7,2,1),""),IF(S31&gt;=#REF!,VLOOKUP(S31,$AZ$2:$BA$7,2,1),"")))</f>
        <v>#REF!</v>
      </c>
      <c r="U31" s="53">
        <v>150</v>
      </c>
      <c r="V31" s="16" t="e">
        <f t="shared" si="1"/>
        <v>#REF!</v>
      </c>
      <c r="W31" s="53">
        <v>1</v>
      </c>
      <c r="X31" s="57" t="s">
        <v>39</v>
      </c>
      <c r="Y31" s="57" t="s">
        <v>40</v>
      </c>
      <c r="Z31" s="54" t="s">
        <v>47</v>
      </c>
      <c r="AA31" s="57" t="s">
        <v>69</v>
      </c>
      <c r="AB31" s="54" t="s">
        <v>160</v>
      </c>
    </row>
    <row r="32" spans="1:48" x14ac:dyDescent="0.15">
      <c r="A32" s="57" t="s">
        <v>56</v>
      </c>
      <c r="B32" s="57" t="s">
        <v>234</v>
      </c>
      <c r="C32" s="54">
        <v>2019</v>
      </c>
      <c r="D32" s="96" t="s">
        <v>235</v>
      </c>
      <c r="E32" s="54" t="s">
        <v>254</v>
      </c>
      <c r="F32" s="54" t="s">
        <v>238</v>
      </c>
      <c r="G32" s="57" t="s">
        <v>42</v>
      </c>
      <c r="H32" s="54" t="s">
        <v>162</v>
      </c>
      <c r="I32" s="57" t="s">
        <v>161</v>
      </c>
      <c r="J32" s="54" t="s">
        <v>38</v>
      </c>
      <c r="K32" s="54" t="s">
        <v>163</v>
      </c>
      <c r="L32" s="53">
        <v>1</v>
      </c>
      <c r="N32" s="53">
        <v>4</v>
      </c>
      <c r="O32" s="53">
        <v>0.55000000000000004</v>
      </c>
      <c r="P32" s="53">
        <v>0.55000000000000004</v>
      </c>
      <c r="Q32" s="16">
        <f t="shared" si="0"/>
        <v>0.55000000000000004</v>
      </c>
      <c r="R32" s="53">
        <v>16.2</v>
      </c>
      <c r="S32" s="53">
        <v>108</v>
      </c>
      <c r="T32" s="16" t="e">
        <f>IF(H32="","",IF(OR(H32="GREEN",H32="GK"),IF(S32&gt;=#REF!,VLOOKUP(S32,$AX$2:$AY$7,2,1),""),IF(S32&gt;=#REF!,VLOOKUP(S32,$AZ$2:$BA$7,2,1),"")))</f>
        <v>#REF!</v>
      </c>
      <c r="U32" s="53">
        <v>418</v>
      </c>
      <c r="V32" s="16" t="e">
        <f t="shared" si="1"/>
        <v>#REF!</v>
      </c>
      <c r="W32" s="53">
        <v>2</v>
      </c>
      <c r="X32" s="57" t="s">
        <v>39</v>
      </c>
      <c r="Y32" s="57" t="s">
        <v>47</v>
      </c>
      <c r="Z32" s="53" t="s">
        <v>55</v>
      </c>
      <c r="AA32" s="57" t="s">
        <v>90</v>
      </c>
      <c r="AB32" s="54" t="s">
        <v>160</v>
      </c>
    </row>
    <row r="33" spans="1:28" x14ac:dyDescent="0.15">
      <c r="A33" s="57" t="s">
        <v>56</v>
      </c>
      <c r="B33" s="57" t="s">
        <v>234</v>
      </c>
      <c r="C33" s="54">
        <v>2019</v>
      </c>
      <c r="D33" s="96" t="s">
        <v>235</v>
      </c>
      <c r="E33" s="54" t="s">
        <v>254</v>
      </c>
      <c r="F33" s="54" t="s">
        <v>238</v>
      </c>
      <c r="G33" s="57" t="s">
        <v>42</v>
      </c>
      <c r="H33" s="54" t="s">
        <v>162</v>
      </c>
      <c r="I33" s="57" t="s">
        <v>161</v>
      </c>
      <c r="J33" s="54" t="s">
        <v>38</v>
      </c>
      <c r="K33" s="54" t="s">
        <v>163</v>
      </c>
      <c r="L33" s="53">
        <v>2</v>
      </c>
      <c r="N33" s="53">
        <v>4</v>
      </c>
      <c r="O33" s="53">
        <v>0.6</v>
      </c>
      <c r="P33" s="53">
        <v>0.55000000000000004</v>
      </c>
      <c r="Q33" s="16">
        <f t="shared" si="0"/>
        <v>0.57499999999999996</v>
      </c>
      <c r="R33" s="53">
        <v>14.7</v>
      </c>
      <c r="S33" s="53">
        <v>105</v>
      </c>
      <c r="T33" s="16" t="e">
        <f>IF(H33="","",IF(OR(H33="GREEN",H33="GK"),IF(S33&gt;=#REF!,VLOOKUP(S33,$AX$2:$AY$7,2,1),""),IF(S33&gt;=#REF!,VLOOKUP(S33,$AZ$2:$BA$7,2,1),"")))</f>
        <v>#REF!</v>
      </c>
      <c r="U33" s="53">
        <v>418</v>
      </c>
      <c r="V33" s="16" t="e">
        <f t="shared" si="1"/>
        <v>#REF!</v>
      </c>
      <c r="W33" s="53">
        <v>2</v>
      </c>
      <c r="X33" s="57" t="s">
        <v>39</v>
      </c>
      <c r="Y33" s="57" t="s">
        <v>47</v>
      </c>
      <c r="Z33" s="53" t="s">
        <v>55</v>
      </c>
      <c r="AA33" s="57" t="s">
        <v>90</v>
      </c>
      <c r="AB33" s="54" t="s">
        <v>160</v>
      </c>
    </row>
    <row r="34" spans="1:28" x14ac:dyDescent="0.15">
      <c r="A34" s="57" t="s">
        <v>56</v>
      </c>
      <c r="B34" s="57" t="s">
        <v>234</v>
      </c>
      <c r="C34" s="54">
        <v>2019</v>
      </c>
      <c r="D34" s="96" t="s">
        <v>235</v>
      </c>
      <c r="E34" s="54" t="s">
        <v>254</v>
      </c>
      <c r="F34" s="54" t="s">
        <v>238</v>
      </c>
      <c r="G34" s="57" t="s">
        <v>42</v>
      </c>
      <c r="H34" s="54" t="s">
        <v>162</v>
      </c>
      <c r="I34" s="57" t="s">
        <v>161</v>
      </c>
      <c r="J34" s="54" t="s">
        <v>38</v>
      </c>
      <c r="K34" s="54" t="s">
        <v>163</v>
      </c>
      <c r="L34" s="53">
        <v>3</v>
      </c>
      <c r="N34" s="53">
        <v>4</v>
      </c>
      <c r="O34" s="53">
        <v>0.5</v>
      </c>
      <c r="P34" s="53">
        <v>0.5</v>
      </c>
      <c r="Q34" s="16">
        <f t="shared" si="0"/>
        <v>0.5</v>
      </c>
      <c r="R34" s="53">
        <v>15.5</v>
      </c>
      <c r="S34" s="53">
        <v>107</v>
      </c>
      <c r="T34" s="16" t="e">
        <f>IF(H34="","",IF(OR(H34="GREEN",H34="GK"),IF(S34&gt;=#REF!,VLOOKUP(S34,$AX$2:$AY$7,2,1),""),IF(S34&gt;=#REF!,VLOOKUP(S34,$AZ$2:$BA$7,2,1),"")))</f>
        <v>#REF!</v>
      </c>
      <c r="U34" s="53">
        <v>418</v>
      </c>
      <c r="V34" s="16" t="e">
        <f t="shared" si="1"/>
        <v>#REF!</v>
      </c>
      <c r="W34" s="53">
        <v>2</v>
      </c>
      <c r="X34" s="57" t="s">
        <v>39</v>
      </c>
      <c r="Y34" s="57" t="s">
        <v>47</v>
      </c>
      <c r="Z34" s="53" t="s">
        <v>55</v>
      </c>
      <c r="AA34" s="57" t="s">
        <v>90</v>
      </c>
      <c r="AB34" s="54" t="s">
        <v>160</v>
      </c>
    </row>
    <row r="35" spans="1:28" x14ac:dyDescent="0.15">
      <c r="A35" s="57" t="s">
        <v>56</v>
      </c>
      <c r="B35" s="57" t="s">
        <v>234</v>
      </c>
      <c r="C35" s="54">
        <v>2019</v>
      </c>
      <c r="D35" s="96" t="s">
        <v>235</v>
      </c>
      <c r="E35" s="54" t="s">
        <v>240</v>
      </c>
      <c r="F35" s="54" t="s">
        <v>247</v>
      </c>
      <c r="G35" s="57" t="s">
        <v>42</v>
      </c>
      <c r="H35" s="54" t="s">
        <v>162</v>
      </c>
      <c r="I35" s="57" t="s">
        <v>161</v>
      </c>
      <c r="J35" s="54" t="s">
        <v>38</v>
      </c>
      <c r="K35" s="54" t="s">
        <v>163</v>
      </c>
      <c r="L35" s="53">
        <v>1</v>
      </c>
      <c r="N35" s="53">
        <v>1</v>
      </c>
      <c r="O35" s="53">
        <v>0.95</v>
      </c>
      <c r="P35" s="53">
        <v>0.9</v>
      </c>
      <c r="Q35" s="16">
        <f t="shared" si="0"/>
        <v>0.92500000000000004</v>
      </c>
      <c r="R35" s="53">
        <v>16.100000000000001</v>
      </c>
      <c r="S35" s="53">
        <v>138</v>
      </c>
      <c r="T35" s="16" t="e">
        <f>IF(H35="","",IF(OR(H35="GREEN",H35="GK"),IF(S35&gt;=#REF!,VLOOKUP(S35,$AX$2:$AY$7,2,1),""),IF(S35&gt;=#REF!,VLOOKUP(S35,$AZ$2:$BA$7,2,1),"")))</f>
        <v>#REF!</v>
      </c>
      <c r="U35" s="53">
        <v>106</v>
      </c>
      <c r="V35" s="16" t="e">
        <f t="shared" si="1"/>
        <v>#REF!</v>
      </c>
      <c r="W35" s="53">
        <v>6</v>
      </c>
      <c r="X35" s="57" t="s">
        <v>46</v>
      </c>
      <c r="Y35" s="57" t="s">
        <v>40</v>
      </c>
      <c r="Z35" s="53" t="s">
        <v>55</v>
      </c>
      <c r="AA35" s="57" t="s">
        <v>47</v>
      </c>
      <c r="AB35" s="54" t="s">
        <v>160</v>
      </c>
    </row>
    <row r="36" spans="1:28" x14ac:dyDescent="0.15">
      <c r="A36" s="57" t="s">
        <v>56</v>
      </c>
      <c r="B36" s="57" t="s">
        <v>234</v>
      </c>
      <c r="C36" s="54">
        <v>2019</v>
      </c>
      <c r="D36" s="96" t="s">
        <v>235</v>
      </c>
      <c r="E36" s="54" t="s">
        <v>240</v>
      </c>
      <c r="F36" s="54" t="s">
        <v>247</v>
      </c>
      <c r="G36" s="57" t="s">
        <v>42</v>
      </c>
      <c r="H36" s="54" t="s">
        <v>162</v>
      </c>
      <c r="I36" s="57" t="s">
        <v>161</v>
      </c>
      <c r="J36" s="54" t="s">
        <v>38</v>
      </c>
      <c r="K36" s="54" t="s">
        <v>163</v>
      </c>
      <c r="L36" s="53">
        <v>2</v>
      </c>
      <c r="N36" s="53">
        <v>1</v>
      </c>
      <c r="O36" s="53">
        <v>0.95</v>
      </c>
      <c r="P36" s="53">
        <v>1</v>
      </c>
      <c r="Q36" s="16">
        <f t="shared" si="0"/>
        <v>0.97499999999999998</v>
      </c>
      <c r="R36" s="53">
        <v>16</v>
      </c>
      <c r="S36" s="53">
        <v>138</v>
      </c>
      <c r="T36" s="16" t="e">
        <f>IF(H36="","",IF(OR(H36="GREEN",H36="GK"),IF(S36&gt;=#REF!,VLOOKUP(S36,$AX$2:$AY$7,2,1),""),IF(S36&gt;=#REF!,VLOOKUP(S36,$AZ$2:$BA$7,2,1),"")))</f>
        <v>#REF!</v>
      </c>
      <c r="U36" s="53">
        <v>106</v>
      </c>
      <c r="V36" s="16" t="e">
        <f t="shared" si="1"/>
        <v>#REF!</v>
      </c>
      <c r="W36" s="53">
        <v>6</v>
      </c>
      <c r="X36" s="57" t="s">
        <v>46</v>
      </c>
      <c r="Y36" s="57" t="s">
        <v>40</v>
      </c>
      <c r="Z36" s="53" t="s">
        <v>55</v>
      </c>
      <c r="AA36" s="57" t="s">
        <v>47</v>
      </c>
      <c r="AB36" s="54" t="s">
        <v>160</v>
      </c>
    </row>
    <row r="37" spans="1:28" x14ac:dyDescent="0.15">
      <c r="A37" s="57" t="s">
        <v>56</v>
      </c>
      <c r="B37" s="57" t="s">
        <v>234</v>
      </c>
      <c r="C37" s="54">
        <v>2019</v>
      </c>
      <c r="D37" s="96" t="s">
        <v>235</v>
      </c>
      <c r="E37" s="54" t="s">
        <v>240</v>
      </c>
      <c r="F37" s="54" t="s">
        <v>247</v>
      </c>
      <c r="G37" s="57" t="s">
        <v>42</v>
      </c>
      <c r="H37" s="54" t="s">
        <v>162</v>
      </c>
      <c r="I37" s="57" t="s">
        <v>161</v>
      </c>
      <c r="J37" s="54" t="s">
        <v>38</v>
      </c>
      <c r="K37" s="54" t="s">
        <v>163</v>
      </c>
      <c r="L37" s="53">
        <v>3</v>
      </c>
      <c r="N37" s="53">
        <v>1</v>
      </c>
      <c r="O37" s="53">
        <v>0.85</v>
      </c>
      <c r="P37" s="53">
        <v>0.8</v>
      </c>
      <c r="Q37" s="16">
        <f t="shared" si="0"/>
        <v>0.82499999999999996</v>
      </c>
      <c r="R37" s="53">
        <v>17</v>
      </c>
      <c r="S37" s="53">
        <v>147</v>
      </c>
      <c r="T37" s="16" t="e">
        <f>IF(H37="","",IF(OR(H37="GREEN",H37="GK"),IF(S37&gt;=#REF!,VLOOKUP(S37,$AX$2:$AY$7,2,1),""),IF(S37&gt;=#REF!,VLOOKUP(S37,$AZ$2:$BA$7,2,1),"")))</f>
        <v>#REF!</v>
      </c>
      <c r="U37" s="53">
        <v>106</v>
      </c>
      <c r="V37" s="16" t="e">
        <f t="shared" si="1"/>
        <v>#REF!</v>
      </c>
      <c r="W37" s="53">
        <v>6</v>
      </c>
      <c r="X37" s="57" t="s">
        <v>46</v>
      </c>
      <c r="Y37" s="57" t="s">
        <v>40</v>
      </c>
      <c r="Z37" s="53" t="s">
        <v>55</v>
      </c>
      <c r="AA37" s="57" t="s">
        <v>47</v>
      </c>
      <c r="AB37" s="54" t="s">
        <v>160</v>
      </c>
    </row>
    <row r="38" spans="1:28" x14ac:dyDescent="0.15">
      <c r="A38" s="57" t="s">
        <v>56</v>
      </c>
      <c r="B38" s="57" t="s">
        <v>234</v>
      </c>
      <c r="C38" s="54">
        <v>2019</v>
      </c>
      <c r="D38" s="96" t="s">
        <v>235</v>
      </c>
      <c r="E38" s="54" t="s">
        <v>255</v>
      </c>
      <c r="F38" s="54" t="s">
        <v>247</v>
      </c>
      <c r="G38" s="57" t="s">
        <v>42</v>
      </c>
      <c r="H38" s="54" t="s">
        <v>162</v>
      </c>
      <c r="I38" s="57" t="s">
        <v>161</v>
      </c>
      <c r="J38" s="54" t="s">
        <v>38</v>
      </c>
      <c r="K38" s="54" t="s">
        <v>163</v>
      </c>
      <c r="L38" s="53">
        <v>1</v>
      </c>
      <c r="N38" s="53">
        <v>1</v>
      </c>
      <c r="O38" s="53">
        <v>0.75</v>
      </c>
      <c r="P38" s="53">
        <v>0.75</v>
      </c>
      <c r="Q38" s="16">
        <f t="shared" si="0"/>
        <v>0.75</v>
      </c>
      <c r="R38" s="53">
        <v>17.100000000000001</v>
      </c>
      <c r="S38" s="53">
        <v>133</v>
      </c>
      <c r="T38" s="16" t="e">
        <f>IF(H38="","",IF(OR(H38="GREEN",H38="GK"),IF(S38&gt;=#REF!,VLOOKUP(S38,$AX$2:$AY$7,2,1),""),IF(S38&gt;=#REF!,VLOOKUP(S38,$AZ$2:$BA$7,2,1),"")))</f>
        <v>#REF!</v>
      </c>
      <c r="U38" s="53">
        <v>138</v>
      </c>
      <c r="V38" s="16" t="e">
        <f t="shared" si="1"/>
        <v>#REF!</v>
      </c>
      <c r="W38" s="53">
        <v>12</v>
      </c>
      <c r="X38" s="57" t="s">
        <v>46</v>
      </c>
      <c r="Y38" s="57" t="s">
        <v>55</v>
      </c>
      <c r="Z38" s="53" t="s">
        <v>47</v>
      </c>
      <c r="AA38" s="57" t="s">
        <v>78</v>
      </c>
      <c r="AB38" s="54" t="s">
        <v>160</v>
      </c>
    </row>
    <row r="39" spans="1:28" x14ac:dyDescent="0.15">
      <c r="A39" s="57" t="s">
        <v>56</v>
      </c>
      <c r="B39" s="57" t="s">
        <v>234</v>
      </c>
      <c r="C39" s="54">
        <v>2019</v>
      </c>
      <c r="D39" s="96" t="s">
        <v>235</v>
      </c>
      <c r="E39" s="54" t="s">
        <v>255</v>
      </c>
      <c r="F39" s="54" t="s">
        <v>247</v>
      </c>
      <c r="G39" s="57" t="s">
        <v>42</v>
      </c>
      <c r="H39" s="54" t="s">
        <v>162</v>
      </c>
      <c r="I39" s="57" t="s">
        <v>161</v>
      </c>
      <c r="J39" s="54" t="s">
        <v>38</v>
      </c>
      <c r="K39" s="54" t="s">
        <v>163</v>
      </c>
      <c r="L39" s="53">
        <v>2</v>
      </c>
      <c r="N39" s="53">
        <v>1</v>
      </c>
      <c r="O39" s="53">
        <v>0.7</v>
      </c>
      <c r="P39" s="53">
        <v>0.7</v>
      </c>
      <c r="Q39" s="16">
        <f t="shared" si="0"/>
        <v>0.7</v>
      </c>
      <c r="R39" s="53">
        <v>17.899999999999999</v>
      </c>
      <c r="S39" s="53">
        <v>135</v>
      </c>
      <c r="T39" s="16" t="e">
        <f>IF(H39="","",IF(OR(H39="GREEN",H39="GK"),IF(S39&gt;=#REF!,VLOOKUP(S39,$AX$2:$AY$7,2,1),""),IF(S39&gt;=#REF!,VLOOKUP(S39,$AZ$2:$BA$7,2,1),"")))</f>
        <v>#REF!</v>
      </c>
      <c r="U39" s="53">
        <v>138</v>
      </c>
      <c r="V39" s="16" t="e">
        <f t="shared" si="1"/>
        <v>#REF!</v>
      </c>
      <c r="W39" s="53">
        <v>12</v>
      </c>
      <c r="X39" s="57" t="s">
        <v>46</v>
      </c>
      <c r="Y39" s="57" t="s">
        <v>55</v>
      </c>
      <c r="Z39" s="53" t="s">
        <v>47</v>
      </c>
      <c r="AA39" s="57" t="s">
        <v>78</v>
      </c>
      <c r="AB39" s="54" t="s">
        <v>160</v>
      </c>
    </row>
    <row r="40" spans="1:28" x14ac:dyDescent="0.15">
      <c r="A40" s="57" t="s">
        <v>56</v>
      </c>
      <c r="B40" s="57" t="s">
        <v>234</v>
      </c>
      <c r="C40" s="54">
        <v>2019</v>
      </c>
      <c r="D40" s="96" t="s">
        <v>235</v>
      </c>
      <c r="E40" s="54" t="s">
        <v>255</v>
      </c>
      <c r="F40" s="54" t="s">
        <v>247</v>
      </c>
      <c r="G40" s="57" t="s">
        <v>42</v>
      </c>
      <c r="H40" s="54" t="s">
        <v>162</v>
      </c>
      <c r="I40" s="57" t="s">
        <v>161</v>
      </c>
      <c r="J40" s="54" t="s">
        <v>38</v>
      </c>
      <c r="K40" s="54" t="s">
        <v>163</v>
      </c>
      <c r="L40" s="53">
        <v>3</v>
      </c>
      <c r="N40" s="53">
        <v>1</v>
      </c>
      <c r="O40" s="53">
        <v>0.7</v>
      </c>
      <c r="P40" s="53">
        <v>0.7</v>
      </c>
      <c r="Q40" s="16">
        <f t="shared" si="0"/>
        <v>0.7</v>
      </c>
      <c r="R40" s="53">
        <v>17.2</v>
      </c>
      <c r="S40" s="53">
        <v>134</v>
      </c>
      <c r="T40" s="16" t="e">
        <f>IF(H40="","",IF(OR(H40="GREEN",H40="GK"),IF(S40&gt;=#REF!,VLOOKUP(S40,$AX$2:$AY$7,2,1),""),IF(S40&gt;=#REF!,VLOOKUP(S40,$AZ$2:$BA$7,2,1),"")))</f>
        <v>#REF!</v>
      </c>
      <c r="U40" s="53">
        <v>138</v>
      </c>
      <c r="V40" s="16" t="e">
        <f t="shared" si="1"/>
        <v>#REF!</v>
      </c>
      <c r="W40" s="53">
        <v>12</v>
      </c>
      <c r="X40" s="57" t="s">
        <v>46</v>
      </c>
      <c r="Y40" s="57" t="s">
        <v>55</v>
      </c>
      <c r="Z40" s="53" t="s">
        <v>47</v>
      </c>
      <c r="AA40" s="57" t="s">
        <v>78</v>
      </c>
      <c r="AB40" s="54" t="s">
        <v>160</v>
      </c>
    </row>
    <row r="41" spans="1:28" x14ac:dyDescent="0.15">
      <c r="A41" s="57"/>
      <c r="B41" s="57"/>
      <c r="C41" s="54"/>
      <c r="D41" s="96"/>
      <c r="E41" s="54"/>
      <c r="F41" s="54"/>
      <c r="G41" s="57"/>
      <c r="H41" s="54"/>
      <c r="I41" s="57"/>
      <c r="J41" s="54"/>
      <c r="K41" s="54"/>
      <c r="X41" s="57"/>
      <c r="Y41" s="57"/>
      <c r="AA41" s="57"/>
    </row>
    <row r="42" spans="1:28" x14ac:dyDescent="0.15">
      <c r="A42" s="57"/>
      <c r="B42" s="57"/>
      <c r="C42" s="54"/>
      <c r="D42" s="96"/>
      <c r="E42" s="54"/>
      <c r="F42" s="54"/>
      <c r="G42" s="57"/>
      <c r="H42" s="54"/>
      <c r="I42" s="57"/>
      <c r="J42" s="54"/>
      <c r="K42" s="54"/>
      <c r="X42" s="57"/>
      <c r="Y42" s="57"/>
      <c r="AA42" s="57"/>
    </row>
    <row r="43" spans="1:28" x14ac:dyDescent="0.15">
      <c r="A43" s="57"/>
      <c r="B43" s="57"/>
      <c r="C43" s="54"/>
      <c r="D43" s="96"/>
      <c r="E43" s="54"/>
      <c r="F43" s="54"/>
      <c r="G43" s="57"/>
      <c r="H43" s="54"/>
      <c r="I43" s="57"/>
      <c r="J43" s="54"/>
      <c r="K43" s="54"/>
      <c r="X43" s="57"/>
      <c r="Y43" s="57"/>
      <c r="AA43" s="57"/>
    </row>
    <row r="44" spans="1:28" x14ac:dyDescent="0.15">
      <c r="A44" s="57"/>
      <c r="B44" s="57"/>
      <c r="C44" s="54"/>
      <c r="D44" s="96"/>
      <c r="E44" s="54"/>
      <c r="F44" s="54"/>
      <c r="G44" s="57"/>
      <c r="H44" s="54"/>
      <c r="I44" s="57"/>
      <c r="J44" s="54"/>
      <c r="K44" s="54"/>
      <c r="X44" s="57"/>
      <c r="Y44" s="57"/>
      <c r="AA44" s="57"/>
    </row>
    <row r="45" spans="1:28" x14ac:dyDescent="0.15">
      <c r="A45" s="57"/>
      <c r="B45" s="57"/>
      <c r="C45" s="54"/>
      <c r="D45" s="96"/>
      <c r="E45" s="54"/>
      <c r="F45" s="54"/>
      <c r="G45" s="57"/>
      <c r="H45" s="54"/>
      <c r="I45" s="57"/>
      <c r="J45" s="54"/>
      <c r="K45" s="54"/>
      <c r="X45" s="57"/>
      <c r="Y45" s="57"/>
      <c r="AA45" s="57"/>
    </row>
    <row r="46" spans="1:28" x14ac:dyDescent="0.15">
      <c r="A46" s="57"/>
      <c r="B46" s="57"/>
      <c r="C46" s="54"/>
      <c r="D46" s="96"/>
      <c r="E46" s="54"/>
      <c r="F46" s="54"/>
      <c r="G46" s="57"/>
      <c r="H46" s="54"/>
      <c r="I46" s="57"/>
      <c r="J46" s="54"/>
      <c r="K46" s="54"/>
      <c r="X46" s="57"/>
      <c r="Y46" s="57"/>
      <c r="AA46" s="57"/>
    </row>
    <row r="47" spans="1:28" x14ac:dyDescent="0.15">
      <c r="A47" s="57"/>
      <c r="B47" s="57"/>
      <c r="C47" s="54"/>
      <c r="D47" s="96"/>
      <c r="E47" s="54"/>
      <c r="F47" s="54"/>
      <c r="G47" s="57"/>
      <c r="H47" s="54"/>
      <c r="I47" s="57"/>
      <c r="J47" s="54"/>
      <c r="K47" s="54"/>
      <c r="X47" s="57"/>
      <c r="Y47" s="57"/>
      <c r="AA47" s="57"/>
    </row>
    <row r="48" spans="1:28" x14ac:dyDescent="0.15">
      <c r="A48" s="57"/>
      <c r="B48" s="57"/>
      <c r="C48" s="54"/>
      <c r="D48" s="96"/>
      <c r="E48" s="54"/>
      <c r="F48" s="54"/>
      <c r="G48" s="57"/>
      <c r="H48" s="54"/>
      <c r="I48" s="57"/>
      <c r="J48" s="54"/>
      <c r="K48" s="54"/>
      <c r="X48" s="57"/>
      <c r="Y48" s="57"/>
      <c r="AA48" s="57"/>
    </row>
    <row r="49" spans="1:27" x14ac:dyDescent="0.15">
      <c r="A49" s="57"/>
      <c r="B49" s="57"/>
      <c r="C49" s="54"/>
      <c r="D49" s="96"/>
      <c r="E49" s="54"/>
      <c r="F49" s="54"/>
      <c r="G49" s="57"/>
      <c r="H49" s="54"/>
      <c r="I49" s="57"/>
      <c r="J49" s="54"/>
      <c r="K49" s="54"/>
      <c r="X49" s="57"/>
      <c r="Y49" s="57"/>
      <c r="AA49" s="57"/>
    </row>
    <row r="50" spans="1:27" x14ac:dyDescent="0.15">
      <c r="A50" s="57"/>
      <c r="B50" s="57"/>
      <c r="C50" s="54"/>
      <c r="D50" s="96"/>
      <c r="E50" s="54"/>
      <c r="F50" s="54"/>
      <c r="G50" s="57"/>
      <c r="H50" s="54"/>
      <c r="I50" s="57"/>
      <c r="J50" s="54"/>
      <c r="K50" s="54"/>
      <c r="X50" s="57"/>
      <c r="Y50" s="57"/>
      <c r="AA50" s="57"/>
    </row>
    <row r="51" spans="1:27" x14ac:dyDescent="0.15">
      <c r="A51" s="57"/>
      <c r="B51" s="57"/>
      <c r="C51" s="54"/>
      <c r="D51" s="96"/>
      <c r="E51" s="54"/>
      <c r="F51" s="54"/>
      <c r="G51" s="57"/>
      <c r="H51" s="54"/>
      <c r="I51" s="57"/>
      <c r="J51" s="54"/>
      <c r="K51" s="54"/>
      <c r="X51" s="57"/>
      <c r="Y51" s="57"/>
      <c r="AA51" s="57"/>
    </row>
    <row r="52" spans="1:27" x14ac:dyDescent="0.15">
      <c r="A52" s="57"/>
      <c r="B52" s="57"/>
      <c r="C52" s="54"/>
      <c r="D52" s="96"/>
      <c r="E52" s="54"/>
      <c r="F52" s="54"/>
      <c r="G52" s="57"/>
      <c r="H52" s="54"/>
      <c r="I52" s="57"/>
      <c r="J52" s="54"/>
      <c r="K52" s="54"/>
      <c r="X52" s="57"/>
      <c r="Y52" s="57"/>
      <c r="AA52" s="57"/>
    </row>
    <row r="53" spans="1:27" x14ac:dyDescent="0.15">
      <c r="A53" s="57"/>
      <c r="B53" s="57"/>
      <c r="C53" s="54"/>
      <c r="D53" s="96"/>
      <c r="E53" s="54"/>
      <c r="F53" s="54"/>
      <c r="G53" s="57"/>
      <c r="H53" s="54"/>
      <c r="I53" s="57"/>
      <c r="J53" s="54"/>
      <c r="K53" s="54"/>
      <c r="X53" s="57"/>
      <c r="Y53" s="57"/>
      <c r="AA53" s="57"/>
    </row>
    <row r="54" spans="1:27" x14ac:dyDescent="0.15">
      <c r="A54" s="57"/>
      <c r="B54" s="57"/>
      <c r="C54" s="54"/>
      <c r="D54" s="96"/>
      <c r="E54" s="54"/>
      <c r="F54" s="54"/>
      <c r="G54" s="57"/>
      <c r="H54" s="54"/>
      <c r="I54" s="57"/>
      <c r="J54" s="54"/>
      <c r="K54" s="54"/>
      <c r="X54" s="57"/>
      <c r="Y54" s="57"/>
      <c r="AA54" s="57"/>
    </row>
    <row r="55" spans="1:27" x14ac:dyDescent="0.15">
      <c r="A55" s="57"/>
      <c r="B55" s="57"/>
      <c r="C55" s="54"/>
      <c r="D55" s="96"/>
      <c r="E55" s="54"/>
      <c r="F55" s="54"/>
      <c r="G55" s="57"/>
      <c r="H55" s="54"/>
      <c r="I55" s="57"/>
      <c r="J55" s="54"/>
      <c r="K55" s="54"/>
      <c r="X55" s="57"/>
      <c r="Y55" s="57"/>
      <c r="AA55" s="57"/>
    </row>
    <row r="56" spans="1:27" x14ac:dyDescent="0.15">
      <c r="A56" s="57"/>
      <c r="B56" s="57"/>
      <c r="C56" s="54"/>
      <c r="D56" s="96"/>
      <c r="E56" s="54"/>
      <c r="F56" s="54"/>
      <c r="G56" s="57"/>
      <c r="H56" s="54"/>
      <c r="I56" s="57"/>
      <c r="J56" s="54"/>
      <c r="K56" s="54"/>
      <c r="X56" s="57"/>
      <c r="Y56" s="57"/>
      <c r="AA56" s="57"/>
    </row>
    <row r="57" spans="1:27" x14ac:dyDescent="0.15">
      <c r="A57" s="57"/>
      <c r="B57" s="57"/>
      <c r="C57" s="54"/>
      <c r="D57" s="96"/>
      <c r="E57" s="54"/>
      <c r="F57" s="54"/>
      <c r="G57" s="57"/>
      <c r="H57" s="54"/>
      <c r="I57" s="57"/>
      <c r="J57" s="54"/>
      <c r="K57" s="54"/>
      <c r="X57" s="57"/>
      <c r="Y57" s="57"/>
      <c r="AA57" s="57"/>
    </row>
    <row r="58" spans="1:27" x14ac:dyDescent="0.15">
      <c r="A58" s="57"/>
      <c r="B58" s="57"/>
      <c r="C58" s="54"/>
      <c r="D58" s="96"/>
      <c r="E58" s="54"/>
      <c r="F58" s="54"/>
      <c r="G58" s="57"/>
      <c r="H58" s="54"/>
      <c r="I58" s="57"/>
      <c r="J58" s="54"/>
      <c r="K58" s="54"/>
      <c r="X58" s="57"/>
      <c r="Y58" s="57"/>
      <c r="AA58" s="57"/>
    </row>
    <row r="59" spans="1:27" x14ac:dyDescent="0.15">
      <c r="A59" s="57"/>
      <c r="B59" s="57"/>
      <c r="C59" s="54"/>
      <c r="D59" s="96"/>
      <c r="E59" s="54"/>
      <c r="F59" s="54"/>
      <c r="G59" s="57"/>
      <c r="H59" s="54"/>
      <c r="I59" s="57"/>
      <c r="J59" s="54"/>
      <c r="K59" s="54"/>
      <c r="X59" s="57"/>
      <c r="Y59" s="57"/>
      <c r="AA59" s="57"/>
    </row>
    <row r="60" spans="1:27" x14ac:dyDescent="0.15">
      <c r="A60" s="57"/>
      <c r="B60" s="57"/>
      <c r="C60" s="54"/>
      <c r="D60" s="96"/>
      <c r="E60" s="54"/>
      <c r="F60" s="54"/>
      <c r="G60" s="57"/>
      <c r="H60" s="54"/>
      <c r="I60" s="57"/>
      <c r="J60" s="54"/>
      <c r="K60" s="54"/>
      <c r="X60" s="57"/>
      <c r="Y60" s="57"/>
      <c r="AA60" s="57"/>
    </row>
    <row r="61" spans="1:27" x14ac:dyDescent="0.15">
      <c r="A61" s="57"/>
      <c r="B61" s="57"/>
      <c r="C61" s="54"/>
      <c r="D61" s="96"/>
      <c r="E61" s="54"/>
      <c r="F61" s="54"/>
      <c r="G61" s="57"/>
      <c r="H61" s="54"/>
      <c r="I61" s="57"/>
      <c r="J61" s="54"/>
      <c r="K61" s="54"/>
      <c r="X61" s="57"/>
      <c r="Y61" s="57"/>
      <c r="AA61" s="57"/>
    </row>
    <row r="62" spans="1:27" x14ac:dyDescent="0.15">
      <c r="A62" s="57"/>
      <c r="B62" s="57"/>
      <c r="C62" s="54"/>
      <c r="D62" s="96"/>
      <c r="E62" s="54"/>
      <c r="F62" s="54"/>
      <c r="G62" s="57"/>
      <c r="H62" s="54"/>
      <c r="I62" s="57"/>
      <c r="J62" s="54"/>
      <c r="K62" s="54"/>
      <c r="X62" s="57"/>
      <c r="Y62" s="57"/>
      <c r="AA62" s="57"/>
    </row>
    <row r="63" spans="1:27" x14ac:dyDescent="0.15">
      <c r="A63" s="57"/>
      <c r="B63" s="57"/>
      <c r="C63" s="54"/>
      <c r="D63" s="96"/>
      <c r="E63" s="54"/>
      <c r="F63" s="54"/>
      <c r="G63" s="57"/>
      <c r="H63" s="54"/>
      <c r="I63" s="57"/>
      <c r="J63" s="54"/>
      <c r="K63" s="54"/>
      <c r="X63" s="57"/>
      <c r="Y63" s="57"/>
      <c r="AA63" s="57"/>
    </row>
    <row r="64" spans="1:27" x14ac:dyDescent="0.15">
      <c r="A64" s="57"/>
      <c r="B64" s="57"/>
      <c r="C64" s="54"/>
      <c r="D64" s="96"/>
      <c r="E64" s="54"/>
      <c r="F64" s="54"/>
      <c r="G64" s="57"/>
      <c r="H64" s="54"/>
      <c r="I64" s="57"/>
      <c r="J64" s="54"/>
      <c r="K64" s="54"/>
      <c r="X64" s="57"/>
      <c r="Y64" s="57"/>
      <c r="AA64" s="57"/>
    </row>
    <row r="65" spans="1:27" x14ac:dyDescent="0.15">
      <c r="A65" s="57"/>
      <c r="B65" s="57"/>
      <c r="C65" s="54"/>
      <c r="D65" s="96"/>
      <c r="E65" s="54"/>
      <c r="F65" s="54"/>
      <c r="G65" s="57"/>
      <c r="H65" s="54"/>
      <c r="I65" s="57"/>
      <c r="J65" s="54"/>
      <c r="K65" s="54"/>
      <c r="X65" s="57"/>
      <c r="Y65" s="57"/>
      <c r="AA65" s="57"/>
    </row>
    <row r="66" spans="1:27" x14ac:dyDescent="0.15">
      <c r="A66" s="57"/>
      <c r="B66" s="57"/>
      <c r="C66" s="54"/>
      <c r="D66" s="96"/>
      <c r="E66" s="54"/>
      <c r="F66" s="54"/>
      <c r="G66" s="57"/>
      <c r="H66" s="54"/>
      <c r="I66" s="57"/>
      <c r="J66" s="54"/>
      <c r="K66" s="54"/>
      <c r="X66" s="57"/>
      <c r="Y66" s="57"/>
      <c r="AA66" s="57"/>
    </row>
    <row r="67" spans="1:27" x14ac:dyDescent="0.15">
      <c r="A67" s="57"/>
      <c r="B67" s="57"/>
      <c r="C67" s="54"/>
      <c r="D67" s="96"/>
      <c r="E67" s="54"/>
      <c r="F67" s="54"/>
      <c r="G67" s="57"/>
      <c r="H67" s="54"/>
      <c r="I67" s="57"/>
      <c r="J67" s="54"/>
      <c r="K67" s="54"/>
      <c r="X67" s="57"/>
      <c r="Y67" s="57"/>
      <c r="AA67" s="57"/>
    </row>
    <row r="68" spans="1:27" x14ac:dyDescent="0.15">
      <c r="A68" s="57"/>
      <c r="B68" s="57"/>
      <c r="C68" s="54"/>
      <c r="D68" s="96"/>
      <c r="E68" s="54"/>
      <c r="F68" s="54"/>
      <c r="G68" s="57"/>
      <c r="H68" s="54"/>
      <c r="I68" s="57"/>
      <c r="J68" s="54"/>
      <c r="K68" s="54"/>
      <c r="X68" s="57"/>
      <c r="Y68" s="57"/>
      <c r="AA68" s="57"/>
    </row>
    <row r="69" spans="1:27" x14ac:dyDescent="0.15">
      <c r="A69" s="57"/>
      <c r="B69" s="57"/>
      <c r="C69" s="54"/>
      <c r="D69" s="96"/>
      <c r="E69" s="54"/>
      <c r="F69" s="54"/>
      <c r="G69" s="57"/>
      <c r="H69" s="54"/>
      <c r="I69" s="57"/>
      <c r="J69" s="54"/>
      <c r="K69" s="54"/>
      <c r="X69" s="57"/>
      <c r="Y69" s="57"/>
      <c r="AA69" s="57"/>
    </row>
    <row r="70" spans="1:27" x14ac:dyDescent="0.15">
      <c r="A70" s="57"/>
      <c r="B70" s="57"/>
      <c r="C70" s="54"/>
      <c r="D70" s="96"/>
      <c r="E70" s="54"/>
      <c r="F70" s="54"/>
      <c r="G70" s="57"/>
      <c r="H70" s="54"/>
      <c r="I70" s="57"/>
      <c r="J70" s="54"/>
      <c r="K70" s="54"/>
      <c r="X70" s="57"/>
      <c r="Y70" s="57"/>
      <c r="AA70" s="57"/>
    </row>
    <row r="71" spans="1:27" x14ac:dyDescent="0.15">
      <c r="A71" s="57"/>
      <c r="B71" s="57"/>
      <c r="C71" s="54"/>
      <c r="D71" s="96"/>
      <c r="E71" s="54"/>
      <c r="F71" s="54"/>
      <c r="G71" s="57"/>
      <c r="H71" s="54"/>
      <c r="I71" s="57"/>
      <c r="J71" s="54"/>
      <c r="K71" s="54"/>
      <c r="X71" s="57"/>
      <c r="Y71" s="57"/>
      <c r="AA71" s="57"/>
    </row>
    <row r="72" spans="1:27" x14ac:dyDescent="0.15">
      <c r="A72" s="57"/>
      <c r="B72" s="57"/>
      <c r="C72" s="54"/>
      <c r="D72" s="96"/>
      <c r="E72" s="54"/>
      <c r="F72" s="54"/>
      <c r="G72" s="57"/>
      <c r="H72" s="54"/>
      <c r="I72" s="57"/>
      <c r="J72" s="54"/>
      <c r="K72" s="54"/>
      <c r="X72" s="57"/>
      <c r="Y72" s="57"/>
      <c r="AA72" s="57"/>
    </row>
    <row r="73" spans="1:27" x14ac:dyDescent="0.15">
      <c r="A73" s="57"/>
      <c r="B73" s="57"/>
      <c r="C73" s="54"/>
      <c r="D73" s="96"/>
      <c r="E73" s="54"/>
      <c r="F73" s="54"/>
      <c r="G73" s="57"/>
      <c r="H73" s="54"/>
      <c r="I73" s="57"/>
      <c r="J73" s="54"/>
      <c r="K73" s="54"/>
      <c r="X73" s="57"/>
      <c r="Y73" s="57"/>
      <c r="AA73" s="57"/>
    </row>
    <row r="74" spans="1:27" x14ac:dyDescent="0.15">
      <c r="A74" s="57"/>
      <c r="B74" s="57"/>
      <c r="C74" s="54"/>
      <c r="D74" s="96"/>
      <c r="E74" s="54"/>
      <c r="F74" s="54"/>
      <c r="G74" s="57"/>
      <c r="H74" s="54"/>
      <c r="I74" s="57"/>
      <c r="J74" s="54"/>
      <c r="K74" s="54"/>
      <c r="X74" s="57"/>
      <c r="Y74" s="57"/>
      <c r="AA74" s="57"/>
    </row>
    <row r="75" spans="1:27" x14ac:dyDescent="0.15">
      <c r="A75" s="57"/>
      <c r="B75" s="57"/>
      <c r="C75" s="54"/>
      <c r="D75" s="96"/>
      <c r="E75" s="54"/>
      <c r="F75" s="54"/>
      <c r="G75" s="57"/>
      <c r="H75" s="54"/>
      <c r="I75" s="57"/>
      <c r="J75" s="54"/>
      <c r="K75" s="54"/>
      <c r="X75" s="57"/>
      <c r="Y75" s="57"/>
      <c r="AA75" s="57"/>
    </row>
    <row r="76" spans="1:27" x14ac:dyDescent="0.15">
      <c r="A76" s="57"/>
      <c r="B76" s="57"/>
      <c r="C76" s="54"/>
      <c r="D76" s="96"/>
      <c r="E76" s="54"/>
      <c r="F76" s="54"/>
      <c r="G76" s="57"/>
      <c r="H76" s="54"/>
      <c r="I76" s="57"/>
      <c r="J76" s="54"/>
      <c r="K76" s="54"/>
      <c r="X76" s="57"/>
      <c r="Y76" s="57"/>
      <c r="AA76" s="57"/>
    </row>
    <row r="77" spans="1:27" x14ac:dyDescent="0.15">
      <c r="A77" s="57"/>
      <c r="B77" s="57"/>
      <c r="C77" s="54"/>
      <c r="D77" s="96"/>
      <c r="E77" s="54"/>
      <c r="F77" s="54"/>
      <c r="G77" s="57"/>
      <c r="H77" s="54"/>
      <c r="I77" s="57"/>
      <c r="J77" s="54"/>
      <c r="K77" s="54"/>
      <c r="X77" s="57"/>
      <c r="Y77" s="57"/>
      <c r="AA77" s="57"/>
    </row>
    <row r="78" spans="1:27" x14ac:dyDescent="0.15">
      <c r="A78" s="57"/>
      <c r="B78" s="57"/>
      <c r="C78" s="54"/>
      <c r="D78" s="96"/>
      <c r="E78" s="54"/>
      <c r="F78" s="54"/>
      <c r="G78" s="57"/>
      <c r="H78" s="54"/>
      <c r="I78" s="57"/>
      <c r="J78" s="54"/>
      <c r="K78" s="54"/>
      <c r="X78" s="57"/>
      <c r="Y78" s="57"/>
      <c r="AA78" s="57"/>
    </row>
    <row r="79" spans="1:27" x14ac:dyDescent="0.15">
      <c r="A79" s="57"/>
      <c r="B79" s="57"/>
      <c r="C79" s="54"/>
      <c r="D79" s="96"/>
      <c r="E79" s="54"/>
      <c r="F79" s="54"/>
      <c r="G79" s="57"/>
      <c r="H79" s="54"/>
      <c r="I79" s="57"/>
      <c r="J79" s="54"/>
      <c r="K79" s="54"/>
      <c r="X79" s="57"/>
      <c r="Y79" s="57"/>
      <c r="AA79" s="57"/>
    </row>
    <row r="80" spans="1:27" x14ac:dyDescent="0.15">
      <c r="E80" s="54"/>
      <c r="F80" s="54"/>
      <c r="G80" s="57"/>
      <c r="H80" s="54"/>
      <c r="I80" s="57"/>
      <c r="J80" s="54"/>
      <c r="K80" s="54"/>
      <c r="X80" s="57"/>
      <c r="Y80" s="57"/>
      <c r="AA80" s="57"/>
    </row>
    <row r="81" spans="5:27" x14ac:dyDescent="0.15">
      <c r="E81" s="54"/>
      <c r="F81" s="54"/>
      <c r="G81" s="57"/>
      <c r="H81" s="54"/>
      <c r="I81" s="57"/>
      <c r="J81" s="54"/>
      <c r="K81" s="54"/>
      <c r="X81" s="57"/>
      <c r="Y81" s="57"/>
      <c r="AA81" s="57"/>
    </row>
    <row r="82" spans="5:27" x14ac:dyDescent="0.15">
      <c r="E82" s="54"/>
      <c r="F82" s="54"/>
      <c r="G82" s="57"/>
      <c r="H82" s="54"/>
      <c r="I82" s="57"/>
      <c r="J82" s="54"/>
      <c r="K82" s="54"/>
      <c r="X82" s="57"/>
      <c r="Y82" s="57"/>
      <c r="AA82" s="57"/>
    </row>
    <row r="83" spans="5:27" x14ac:dyDescent="0.15">
      <c r="J83" s="54"/>
      <c r="K83" s="54"/>
    </row>
    <row r="84" spans="5:27" x14ac:dyDescent="0.15">
      <c r="J84" s="54"/>
      <c r="K84" s="54"/>
    </row>
    <row r="85" spans="5:27" x14ac:dyDescent="0.15">
      <c r="J85" s="54"/>
      <c r="K85" s="54"/>
    </row>
    <row r="86" spans="5:27" x14ac:dyDescent="0.15">
      <c r="J86" s="54"/>
      <c r="K86" s="54"/>
    </row>
    <row r="87" spans="5:27" x14ac:dyDescent="0.15">
      <c r="J87" s="54"/>
      <c r="K87" s="54"/>
    </row>
    <row r="88" spans="5:27" x14ac:dyDescent="0.15">
      <c r="J88" s="54"/>
      <c r="K88" s="54"/>
    </row>
    <row r="89" spans="5:27" x14ac:dyDescent="0.15">
      <c r="J89" s="54"/>
      <c r="K89" s="54"/>
    </row>
    <row r="90" spans="5:27" x14ac:dyDescent="0.15">
      <c r="J90" s="54"/>
      <c r="K90" s="54"/>
    </row>
    <row r="91" spans="5:27" x14ac:dyDescent="0.15">
      <c r="J91" s="54"/>
      <c r="K91" s="54"/>
    </row>
    <row r="92" spans="5:27" x14ac:dyDescent="0.15">
      <c r="J92" s="54"/>
      <c r="K92" s="54"/>
    </row>
    <row r="93" spans="5:27" x14ac:dyDescent="0.15">
      <c r="J93" s="54"/>
      <c r="K93" s="54"/>
    </row>
    <row r="94" spans="5:27" x14ac:dyDescent="0.15">
      <c r="J94" s="54"/>
      <c r="K94" s="54"/>
    </row>
    <row r="95" spans="5:27" x14ac:dyDescent="0.15">
      <c r="J95" s="54"/>
      <c r="K95" s="54"/>
    </row>
    <row r="96" spans="5:27" x14ac:dyDescent="0.15">
      <c r="J96" s="54"/>
      <c r="K96" s="54"/>
    </row>
    <row r="97" spans="10:11" x14ac:dyDescent="0.15">
      <c r="J97" s="54"/>
      <c r="K97" s="54"/>
    </row>
    <row r="98" spans="10:11" x14ac:dyDescent="0.15">
      <c r="K98" s="54"/>
    </row>
    <row r="99" spans="10:11" x14ac:dyDescent="0.15">
      <c r="K99" s="54"/>
    </row>
    <row r="100" spans="10:11" x14ac:dyDescent="0.15">
      <c r="K100" s="54"/>
    </row>
    <row r="101" spans="10:11" x14ac:dyDescent="0.15">
      <c r="K101" s="54"/>
    </row>
    <row r="102" spans="10:11" x14ac:dyDescent="0.15">
      <c r="K102" s="54"/>
    </row>
    <row r="103" spans="10:11" x14ac:dyDescent="0.15">
      <c r="K103" s="54"/>
    </row>
    <row r="104" spans="10:11" x14ac:dyDescent="0.15">
      <c r="K104" s="54"/>
    </row>
    <row r="105" spans="10:11" x14ac:dyDescent="0.15">
      <c r="K105" s="54"/>
    </row>
    <row r="106" spans="10:11" x14ac:dyDescent="0.15">
      <c r="K106" s="54"/>
    </row>
    <row r="107" spans="10:11" x14ac:dyDescent="0.15">
      <c r="K107" s="54"/>
    </row>
    <row r="108" spans="10:11" x14ac:dyDescent="0.15">
      <c r="K108" s="54"/>
    </row>
    <row r="109" spans="10:11" x14ac:dyDescent="0.15">
      <c r="K109" s="54"/>
    </row>
    <row r="110" spans="10:11" x14ac:dyDescent="0.15">
      <c r="K110" s="54"/>
    </row>
    <row r="111" spans="10:11" x14ac:dyDescent="0.15">
      <c r="K111" s="54"/>
    </row>
    <row r="112" spans="10: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sheetData>
  <autoFilter ref="A1:BA49" xr:uid="{00000000-0009-0000-0000-000002000000}"/>
  <phoneticPr fontId="3"/>
  <dataValidations count="17">
    <dataValidation type="list" allowBlank="1" showInputMessage="1" showErrorMessage="1" sqref="IU8:IU18 WVI983538:WVI1048576 WLM983538:WLM1048576 WBQ983538:WBQ1048576 VRU983538:VRU1048576 VHY983538:VHY1048576 UYC983538:UYC1048576 UOG983538:UOG1048576 UEK983538:UEK1048576 TUO983538:TUO1048576 TKS983538:TKS1048576 TAW983538:TAW1048576 SRA983538:SRA1048576 SHE983538:SHE1048576 RXI983538:RXI1048576 RNM983538:RNM1048576 RDQ983538:RDQ1048576 QTU983538:QTU1048576 QJY983538:QJY1048576 QAC983538:QAC1048576 PQG983538:PQG1048576 PGK983538:PGK1048576 OWO983538:OWO1048576 OMS983538:OMS1048576 OCW983538:OCW1048576 NTA983538:NTA1048576 NJE983538:NJE1048576 MZI983538:MZI1048576 MPM983538:MPM1048576 MFQ983538:MFQ1048576 LVU983538:LVU1048576 LLY983538:LLY1048576 LCC983538:LCC1048576 KSG983538:KSG1048576 KIK983538:KIK1048576 JYO983538:JYO1048576 JOS983538:JOS1048576 JEW983538:JEW1048576 IVA983538:IVA1048576 ILE983538:ILE1048576 IBI983538:IBI1048576 HRM983538:HRM1048576 HHQ983538:HHQ1048576 GXU983538:GXU1048576 GNY983538:GNY1048576 GEC983538:GEC1048576 FUG983538:FUG1048576 FKK983538:FKK1048576 FAO983538:FAO1048576 EQS983538:EQS1048576 EGW983538:EGW1048576 DXA983538:DXA1048576 DNE983538:DNE1048576 DDI983538:DDI1048576 CTM983538:CTM1048576 CJQ983538:CJQ1048576 BZU983538:BZU1048576 BPY983538:BPY1048576 BGC983538:BGC1048576 AWG983538:AWG1048576 AMK983538:AMK1048576 ACO983538:ACO1048576 SS983538:SS1048576 IW983538:IW1048576 A983538:A1048576 WVI918002:WVI983038 WLM918002:WLM983038 WBQ918002:WBQ983038 VRU918002:VRU983038 VHY918002:VHY983038 UYC918002:UYC983038 UOG918002:UOG983038 UEK918002:UEK983038 TUO918002:TUO983038 TKS918002:TKS983038 TAW918002:TAW983038 SRA918002:SRA983038 SHE918002:SHE983038 RXI918002:RXI983038 RNM918002:RNM983038 RDQ918002:RDQ983038 QTU918002:QTU983038 QJY918002:QJY983038 QAC918002:QAC983038 PQG918002:PQG983038 PGK918002:PGK983038 OWO918002:OWO983038 OMS918002:OMS983038 OCW918002:OCW983038 NTA918002:NTA983038 NJE918002:NJE983038 MZI918002:MZI983038 MPM918002:MPM983038 MFQ918002:MFQ983038 LVU918002:LVU983038 LLY918002:LLY983038 LCC918002:LCC983038 KSG918002:KSG983038 KIK918002:KIK983038 JYO918002:JYO983038 JOS918002:JOS983038 JEW918002:JEW983038 IVA918002:IVA983038 ILE918002:ILE983038 IBI918002:IBI983038 HRM918002:HRM983038 HHQ918002:HHQ983038 GXU918002:GXU983038 GNY918002:GNY983038 GEC918002:GEC983038 FUG918002:FUG983038 FKK918002:FKK983038 FAO918002:FAO983038 EQS918002:EQS983038 EGW918002:EGW983038 DXA918002:DXA983038 DNE918002:DNE983038 DDI918002:DDI983038 CTM918002:CTM983038 CJQ918002:CJQ983038 BZU918002:BZU983038 BPY918002:BPY983038 BGC918002:BGC983038 AWG918002:AWG983038 AMK918002:AMK983038 ACO918002:ACO983038 SS918002:SS983038 IW918002:IW983038 A918002:A983038 WVI852466:WVI917502 WLM852466:WLM917502 WBQ852466:WBQ917502 VRU852466:VRU917502 VHY852466:VHY917502 UYC852466:UYC917502 UOG852466:UOG917502 UEK852466:UEK917502 TUO852466:TUO917502 TKS852466:TKS917502 TAW852466:TAW917502 SRA852466:SRA917502 SHE852466:SHE917502 RXI852466:RXI917502 RNM852466:RNM917502 RDQ852466:RDQ917502 QTU852466:QTU917502 QJY852466:QJY917502 QAC852466:QAC917502 PQG852466:PQG917502 PGK852466:PGK917502 OWO852466:OWO917502 OMS852466:OMS917502 OCW852466:OCW917502 NTA852466:NTA917502 NJE852466:NJE917502 MZI852466:MZI917502 MPM852466:MPM917502 MFQ852466:MFQ917502 LVU852466:LVU917502 LLY852466:LLY917502 LCC852466:LCC917502 KSG852466:KSG917502 KIK852466:KIK917502 JYO852466:JYO917502 JOS852466:JOS917502 JEW852466:JEW917502 IVA852466:IVA917502 ILE852466:ILE917502 IBI852466:IBI917502 HRM852466:HRM917502 HHQ852466:HHQ917502 GXU852466:GXU917502 GNY852466:GNY917502 GEC852466:GEC917502 FUG852466:FUG917502 FKK852466:FKK917502 FAO852466:FAO917502 EQS852466:EQS917502 EGW852466:EGW917502 DXA852466:DXA917502 DNE852466:DNE917502 DDI852466:DDI917502 CTM852466:CTM917502 CJQ852466:CJQ917502 BZU852466:BZU917502 BPY852466:BPY917502 BGC852466:BGC917502 AWG852466:AWG917502 AMK852466:AMK917502 ACO852466:ACO917502 SS852466:SS917502 IW852466:IW917502 A852466:A917502 WVI786930:WVI851966 WLM786930:WLM851966 WBQ786930:WBQ851966 VRU786930:VRU851966 VHY786930:VHY851966 UYC786930:UYC851966 UOG786930:UOG851966 UEK786930:UEK851966 TUO786930:TUO851966 TKS786930:TKS851966 TAW786930:TAW851966 SRA786930:SRA851966 SHE786930:SHE851966 RXI786930:RXI851966 RNM786930:RNM851966 RDQ786930:RDQ851966 QTU786930:QTU851966 QJY786930:QJY851966 QAC786930:QAC851966 PQG786930:PQG851966 PGK786930:PGK851966 OWO786930:OWO851966 OMS786930:OMS851966 OCW786930:OCW851966 NTA786930:NTA851966 NJE786930:NJE851966 MZI786930:MZI851966 MPM786930:MPM851966 MFQ786930:MFQ851966 LVU786930:LVU851966 LLY786930:LLY851966 LCC786930:LCC851966 KSG786930:KSG851966 KIK786930:KIK851966 JYO786930:JYO851966 JOS786930:JOS851966 JEW786930:JEW851966 IVA786930:IVA851966 ILE786930:ILE851966 IBI786930:IBI851966 HRM786930:HRM851966 HHQ786930:HHQ851966 GXU786930:GXU851966 GNY786930:GNY851966 GEC786930:GEC851966 FUG786930:FUG851966 FKK786930:FKK851966 FAO786930:FAO851966 EQS786930:EQS851966 EGW786930:EGW851966 DXA786930:DXA851966 DNE786930:DNE851966 DDI786930:DDI851966 CTM786930:CTM851966 CJQ786930:CJQ851966 BZU786930:BZU851966 BPY786930:BPY851966 BGC786930:BGC851966 AWG786930:AWG851966 AMK786930:AMK851966 ACO786930:ACO851966 SS786930:SS851966 IW786930:IW851966 A786930:A851966 WVI721394:WVI786430 WLM721394:WLM786430 WBQ721394:WBQ786430 VRU721394:VRU786430 VHY721394:VHY786430 UYC721394:UYC786430 UOG721394:UOG786430 UEK721394:UEK786430 TUO721394:TUO786430 TKS721394:TKS786430 TAW721394:TAW786430 SRA721394:SRA786430 SHE721394:SHE786430 RXI721394:RXI786430 RNM721394:RNM786430 RDQ721394:RDQ786430 QTU721394:QTU786430 QJY721394:QJY786430 QAC721394:QAC786430 PQG721394:PQG786430 PGK721394:PGK786430 OWO721394:OWO786430 OMS721394:OMS786430 OCW721394:OCW786430 NTA721394:NTA786430 NJE721394:NJE786430 MZI721394:MZI786430 MPM721394:MPM786430 MFQ721394:MFQ786430 LVU721394:LVU786430 LLY721394:LLY786430 LCC721394:LCC786430 KSG721394:KSG786430 KIK721394:KIK786430 JYO721394:JYO786430 JOS721394:JOS786430 JEW721394:JEW786430 IVA721394:IVA786430 ILE721394:ILE786430 IBI721394:IBI786430 HRM721394:HRM786430 HHQ721394:HHQ786430 GXU721394:GXU786430 GNY721394:GNY786430 GEC721394:GEC786430 FUG721394:FUG786430 FKK721394:FKK786430 FAO721394:FAO786430 EQS721394:EQS786430 EGW721394:EGW786430 DXA721394:DXA786430 DNE721394:DNE786430 DDI721394:DDI786430 CTM721394:CTM786430 CJQ721394:CJQ786430 BZU721394:BZU786430 BPY721394:BPY786430 BGC721394:BGC786430 AWG721394:AWG786430 AMK721394:AMK786430 ACO721394:ACO786430 SS721394:SS786430 IW721394:IW786430 A721394:A786430 WVI655858:WVI720894 WLM655858:WLM720894 WBQ655858:WBQ720894 VRU655858:VRU720894 VHY655858:VHY720894 UYC655858:UYC720894 UOG655858:UOG720894 UEK655858:UEK720894 TUO655858:TUO720894 TKS655858:TKS720894 TAW655858:TAW720894 SRA655858:SRA720894 SHE655858:SHE720894 RXI655858:RXI720894 RNM655858:RNM720894 RDQ655858:RDQ720894 QTU655858:QTU720894 QJY655858:QJY720894 QAC655858:QAC720894 PQG655858:PQG720894 PGK655858:PGK720894 OWO655858:OWO720894 OMS655858:OMS720894 OCW655858:OCW720894 NTA655858:NTA720894 NJE655858:NJE720894 MZI655858:MZI720894 MPM655858:MPM720894 MFQ655858:MFQ720894 LVU655858:LVU720894 LLY655858:LLY720894 LCC655858:LCC720894 KSG655858:KSG720894 KIK655858:KIK720894 JYO655858:JYO720894 JOS655858:JOS720894 JEW655858:JEW720894 IVA655858:IVA720894 ILE655858:ILE720894 IBI655858:IBI720894 HRM655858:HRM720894 HHQ655858:HHQ720894 GXU655858:GXU720894 GNY655858:GNY720894 GEC655858:GEC720894 FUG655858:FUG720894 FKK655858:FKK720894 FAO655858:FAO720894 EQS655858:EQS720894 EGW655858:EGW720894 DXA655858:DXA720894 DNE655858:DNE720894 DDI655858:DDI720894 CTM655858:CTM720894 CJQ655858:CJQ720894 BZU655858:BZU720894 BPY655858:BPY720894 BGC655858:BGC720894 AWG655858:AWG720894 AMK655858:AMK720894 ACO655858:ACO720894 SS655858:SS720894 IW655858:IW720894 A655858:A720894 WVI590322:WVI655358 WLM590322:WLM655358 WBQ590322:WBQ655358 VRU590322:VRU655358 VHY590322:VHY655358 UYC590322:UYC655358 UOG590322:UOG655358 UEK590322:UEK655358 TUO590322:TUO655358 TKS590322:TKS655358 TAW590322:TAW655358 SRA590322:SRA655358 SHE590322:SHE655358 RXI590322:RXI655358 RNM590322:RNM655358 RDQ590322:RDQ655358 QTU590322:QTU655358 QJY590322:QJY655358 QAC590322:QAC655358 PQG590322:PQG655358 PGK590322:PGK655358 OWO590322:OWO655358 OMS590322:OMS655358 OCW590322:OCW655358 NTA590322:NTA655358 NJE590322:NJE655358 MZI590322:MZI655358 MPM590322:MPM655358 MFQ590322:MFQ655358 LVU590322:LVU655358 LLY590322:LLY655358 LCC590322:LCC655358 KSG590322:KSG655358 KIK590322:KIK655358 JYO590322:JYO655358 JOS590322:JOS655358 JEW590322:JEW655358 IVA590322:IVA655358 ILE590322:ILE655358 IBI590322:IBI655358 HRM590322:HRM655358 HHQ590322:HHQ655358 GXU590322:GXU655358 GNY590322:GNY655358 GEC590322:GEC655358 FUG590322:FUG655358 FKK590322:FKK655358 FAO590322:FAO655358 EQS590322:EQS655358 EGW590322:EGW655358 DXA590322:DXA655358 DNE590322:DNE655358 DDI590322:DDI655358 CTM590322:CTM655358 CJQ590322:CJQ655358 BZU590322:BZU655358 BPY590322:BPY655358 BGC590322:BGC655358 AWG590322:AWG655358 AMK590322:AMK655358 ACO590322:ACO655358 SS590322:SS655358 IW590322:IW655358 A590322:A655358 WVI524786:WVI589822 WLM524786:WLM589822 WBQ524786:WBQ589822 VRU524786:VRU589822 VHY524786:VHY589822 UYC524786:UYC589822 UOG524786:UOG589822 UEK524786:UEK589822 TUO524786:TUO589822 TKS524786:TKS589822 TAW524786:TAW589822 SRA524786:SRA589822 SHE524786:SHE589822 RXI524786:RXI589822 RNM524786:RNM589822 RDQ524786:RDQ589822 QTU524786:QTU589822 QJY524786:QJY589822 QAC524786:QAC589822 PQG524786:PQG589822 PGK524786:PGK589822 OWO524786:OWO589822 OMS524786:OMS589822 OCW524786:OCW589822 NTA524786:NTA589822 NJE524786:NJE589822 MZI524786:MZI589822 MPM524786:MPM589822 MFQ524786:MFQ589822 LVU524786:LVU589822 LLY524786:LLY589822 LCC524786:LCC589822 KSG524786:KSG589822 KIK524786:KIK589822 JYO524786:JYO589822 JOS524786:JOS589822 JEW524786:JEW589822 IVA524786:IVA589822 ILE524786:ILE589822 IBI524786:IBI589822 HRM524786:HRM589822 HHQ524786:HHQ589822 GXU524786:GXU589822 GNY524786:GNY589822 GEC524786:GEC589822 FUG524786:FUG589822 FKK524786:FKK589822 FAO524786:FAO589822 EQS524786:EQS589822 EGW524786:EGW589822 DXA524786:DXA589822 DNE524786:DNE589822 DDI524786:DDI589822 CTM524786:CTM589822 CJQ524786:CJQ589822 BZU524786:BZU589822 BPY524786:BPY589822 BGC524786:BGC589822 AWG524786:AWG589822 AMK524786:AMK589822 ACO524786:ACO589822 SS524786:SS589822 IW524786:IW589822 A524786:A589822 WVI459250:WVI524286 WLM459250:WLM524286 WBQ459250:WBQ524286 VRU459250:VRU524286 VHY459250:VHY524286 UYC459250:UYC524286 UOG459250:UOG524286 UEK459250:UEK524286 TUO459250:TUO524286 TKS459250:TKS524286 TAW459250:TAW524286 SRA459250:SRA524286 SHE459250:SHE524286 RXI459250:RXI524286 RNM459250:RNM524286 RDQ459250:RDQ524286 QTU459250:QTU524286 QJY459250:QJY524286 QAC459250:QAC524286 PQG459250:PQG524286 PGK459250:PGK524286 OWO459250:OWO524286 OMS459250:OMS524286 OCW459250:OCW524286 NTA459250:NTA524286 NJE459250:NJE524286 MZI459250:MZI524286 MPM459250:MPM524286 MFQ459250:MFQ524286 LVU459250:LVU524286 LLY459250:LLY524286 LCC459250:LCC524286 KSG459250:KSG524286 KIK459250:KIK524286 JYO459250:JYO524286 JOS459250:JOS524286 JEW459250:JEW524286 IVA459250:IVA524286 ILE459250:ILE524286 IBI459250:IBI524286 HRM459250:HRM524286 HHQ459250:HHQ524286 GXU459250:GXU524286 GNY459250:GNY524286 GEC459250:GEC524286 FUG459250:FUG524286 FKK459250:FKK524286 FAO459250:FAO524286 EQS459250:EQS524286 EGW459250:EGW524286 DXA459250:DXA524286 DNE459250:DNE524286 DDI459250:DDI524286 CTM459250:CTM524286 CJQ459250:CJQ524286 BZU459250:BZU524286 BPY459250:BPY524286 BGC459250:BGC524286 AWG459250:AWG524286 AMK459250:AMK524286 ACO459250:ACO524286 SS459250:SS524286 IW459250:IW524286 A459250:A524286 WVI393714:WVI458750 WLM393714:WLM458750 WBQ393714:WBQ458750 VRU393714:VRU458750 VHY393714:VHY458750 UYC393714:UYC458750 UOG393714:UOG458750 UEK393714:UEK458750 TUO393714:TUO458750 TKS393714:TKS458750 TAW393714:TAW458750 SRA393714:SRA458750 SHE393714:SHE458750 RXI393714:RXI458750 RNM393714:RNM458750 RDQ393714:RDQ458750 QTU393714:QTU458750 QJY393714:QJY458750 QAC393714:QAC458750 PQG393714:PQG458750 PGK393714:PGK458750 OWO393714:OWO458750 OMS393714:OMS458750 OCW393714:OCW458750 NTA393714:NTA458750 NJE393714:NJE458750 MZI393714:MZI458750 MPM393714:MPM458750 MFQ393714:MFQ458750 LVU393714:LVU458750 LLY393714:LLY458750 LCC393714:LCC458750 KSG393714:KSG458750 KIK393714:KIK458750 JYO393714:JYO458750 JOS393714:JOS458750 JEW393714:JEW458750 IVA393714:IVA458750 ILE393714:ILE458750 IBI393714:IBI458750 HRM393714:HRM458750 HHQ393714:HHQ458750 GXU393714:GXU458750 GNY393714:GNY458750 GEC393714:GEC458750 FUG393714:FUG458750 FKK393714:FKK458750 FAO393714:FAO458750 EQS393714:EQS458750 EGW393714:EGW458750 DXA393714:DXA458750 DNE393714:DNE458750 DDI393714:DDI458750 CTM393714:CTM458750 CJQ393714:CJQ458750 BZU393714:BZU458750 BPY393714:BPY458750 BGC393714:BGC458750 AWG393714:AWG458750 AMK393714:AMK458750 ACO393714:ACO458750 SS393714:SS458750 IW393714:IW458750 A393714:A458750 WVI328178:WVI393214 WLM328178:WLM393214 WBQ328178:WBQ393214 VRU328178:VRU393214 VHY328178:VHY393214 UYC328178:UYC393214 UOG328178:UOG393214 UEK328178:UEK393214 TUO328178:TUO393214 TKS328178:TKS393214 TAW328178:TAW393214 SRA328178:SRA393214 SHE328178:SHE393214 RXI328178:RXI393214 RNM328178:RNM393214 RDQ328178:RDQ393214 QTU328178:QTU393214 QJY328178:QJY393214 QAC328178:QAC393214 PQG328178:PQG393214 PGK328178:PGK393214 OWO328178:OWO393214 OMS328178:OMS393214 OCW328178:OCW393214 NTA328178:NTA393214 NJE328178:NJE393214 MZI328178:MZI393214 MPM328178:MPM393214 MFQ328178:MFQ393214 LVU328178:LVU393214 LLY328178:LLY393214 LCC328178:LCC393214 KSG328178:KSG393214 KIK328178:KIK393214 JYO328178:JYO393214 JOS328178:JOS393214 JEW328178:JEW393214 IVA328178:IVA393214 ILE328178:ILE393214 IBI328178:IBI393214 HRM328178:HRM393214 HHQ328178:HHQ393214 GXU328178:GXU393214 GNY328178:GNY393214 GEC328178:GEC393214 FUG328178:FUG393214 FKK328178:FKK393214 FAO328178:FAO393214 EQS328178:EQS393214 EGW328178:EGW393214 DXA328178:DXA393214 DNE328178:DNE393214 DDI328178:DDI393214 CTM328178:CTM393214 CJQ328178:CJQ393214 BZU328178:BZU393214 BPY328178:BPY393214 BGC328178:BGC393214 AWG328178:AWG393214 AMK328178:AMK393214 ACO328178:ACO393214 SS328178:SS393214 IW328178:IW393214 A328178:A393214 WVI262642:WVI327678 WLM262642:WLM327678 WBQ262642:WBQ327678 VRU262642:VRU327678 VHY262642:VHY327678 UYC262642:UYC327678 UOG262642:UOG327678 UEK262642:UEK327678 TUO262642:TUO327678 TKS262642:TKS327678 TAW262642:TAW327678 SRA262642:SRA327678 SHE262642:SHE327678 RXI262642:RXI327678 RNM262642:RNM327678 RDQ262642:RDQ327678 QTU262642:QTU327678 QJY262642:QJY327678 QAC262642:QAC327678 PQG262642:PQG327678 PGK262642:PGK327678 OWO262642:OWO327678 OMS262642:OMS327678 OCW262642:OCW327678 NTA262642:NTA327678 NJE262642:NJE327678 MZI262642:MZI327678 MPM262642:MPM327678 MFQ262642:MFQ327678 LVU262642:LVU327678 LLY262642:LLY327678 LCC262642:LCC327678 KSG262642:KSG327678 KIK262642:KIK327678 JYO262642:JYO327678 JOS262642:JOS327678 JEW262642:JEW327678 IVA262642:IVA327678 ILE262642:ILE327678 IBI262642:IBI327678 HRM262642:HRM327678 HHQ262642:HHQ327678 GXU262642:GXU327678 GNY262642:GNY327678 GEC262642:GEC327678 FUG262642:FUG327678 FKK262642:FKK327678 FAO262642:FAO327678 EQS262642:EQS327678 EGW262642:EGW327678 DXA262642:DXA327678 DNE262642:DNE327678 DDI262642:DDI327678 CTM262642:CTM327678 CJQ262642:CJQ327678 BZU262642:BZU327678 BPY262642:BPY327678 BGC262642:BGC327678 AWG262642:AWG327678 AMK262642:AMK327678 ACO262642:ACO327678 SS262642:SS327678 IW262642:IW327678 A262642:A327678 WVI197106:WVI262142 WLM197106:WLM262142 WBQ197106:WBQ262142 VRU197106:VRU262142 VHY197106:VHY262142 UYC197106:UYC262142 UOG197106:UOG262142 UEK197106:UEK262142 TUO197106:TUO262142 TKS197106:TKS262142 TAW197106:TAW262142 SRA197106:SRA262142 SHE197106:SHE262142 RXI197106:RXI262142 RNM197106:RNM262142 RDQ197106:RDQ262142 QTU197106:QTU262142 QJY197106:QJY262142 QAC197106:QAC262142 PQG197106:PQG262142 PGK197106:PGK262142 OWO197106:OWO262142 OMS197106:OMS262142 OCW197106:OCW262142 NTA197106:NTA262142 NJE197106:NJE262142 MZI197106:MZI262142 MPM197106:MPM262142 MFQ197106:MFQ262142 LVU197106:LVU262142 LLY197106:LLY262142 LCC197106:LCC262142 KSG197106:KSG262142 KIK197106:KIK262142 JYO197106:JYO262142 JOS197106:JOS262142 JEW197106:JEW262142 IVA197106:IVA262142 ILE197106:ILE262142 IBI197106:IBI262142 HRM197106:HRM262142 HHQ197106:HHQ262142 GXU197106:GXU262142 GNY197106:GNY262142 GEC197106:GEC262142 FUG197106:FUG262142 FKK197106:FKK262142 FAO197106:FAO262142 EQS197106:EQS262142 EGW197106:EGW262142 DXA197106:DXA262142 DNE197106:DNE262142 DDI197106:DDI262142 CTM197106:CTM262142 CJQ197106:CJQ262142 BZU197106:BZU262142 BPY197106:BPY262142 BGC197106:BGC262142 AWG197106:AWG262142 AMK197106:AMK262142 ACO197106:ACO262142 SS197106:SS262142 IW197106:IW262142 A197106:A262142 WVI131570:WVI196606 WLM131570:WLM196606 WBQ131570:WBQ196606 VRU131570:VRU196606 VHY131570:VHY196606 UYC131570:UYC196606 UOG131570:UOG196606 UEK131570:UEK196606 TUO131570:TUO196606 TKS131570:TKS196606 TAW131570:TAW196606 SRA131570:SRA196606 SHE131570:SHE196606 RXI131570:RXI196606 RNM131570:RNM196606 RDQ131570:RDQ196606 QTU131570:QTU196606 QJY131570:QJY196606 QAC131570:QAC196606 PQG131570:PQG196606 PGK131570:PGK196606 OWO131570:OWO196606 OMS131570:OMS196606 OCW131570:OCW196606 NTA131570:NTA196606 NJE131570:NJE196606 MZI131570:MZI196606 MPM131570:MPM196606 MFQ131570:MFQ196606 LVU131570:LVU196606 LLY131570:LLY196606 LCC131570:LCC196606 KSG131570:KSG196606 KIK131570:KIK196606 JYO131570:JYO196606 JOS131570:JOS196606 JEW131570:JEW196606 IVA131570:IVA196606 ILE131570:ILE196606 IBI131570:IBI196606 HRM131570:HRM196606 HHQ131570:HHQ196606 GXU131570:GXU196606 GNY131570:GNY196606 GEC131570:GEC196606 FUG131570:FUG196606 FKK131570:FKK196606 FAO131570:FAO196606 EQS131570:EQS196606 EGW131570:EGW196606 DXA131570:DXA196606 DNE131570:DNE196606 DDI131570:DDI196606 CTM131570:CTM196606 CJQ131570:CJQ196606 BZU131570:BZU196606 BPY131570:BPY196606 BGC131570:BGC196606 AWG131570:AWG196606 AMK131570:AMK196606 ACO131570:ACO196606 SS131570:SS196606 IW131570:IW196606 A131570:A196606 WVI66034:WVI131070 WLM66034:WLM131070 WBQ66034:WBQ131070 VRU66034:VRU131070 VHY66034:VHY131070 UYC66034:UYC131070 UOG66034:UOG131070 UEK66034:UEK131070 TUO66034:TUO131070 TKS66034:TKS131070 TAW66034:TAW131070 SRA66034:SRA131070 SHE66034:SHE131070 RXI66034:RXI131070 RNM66034:RNM131070 RDQ66034:RDQ131070 QTU66034:QTU131070 QJY66034:QJY131070 QAC66034:QAC131070 PQG66034:PQG131070 PGK66034:PGK131070 OWO66034:OWO131070 OMS66034:OMS131070 OCW66034:OCW131070 NTA66034:NTA131070 NJE66034:NJE131070 MZI66034:MZI131070 MPM66034:MPM131070 MFQ66034:MFQ131070 LVU66034:LVU131070 LLY66034:LLY131070 LCC66034:LCC131070 KSG66034:KSG131070 KIK66034:KIK131070 JYO66034:JYO131070 JOS66034:JOS131070 JEW66034:JEW131070 IVA66034:IVA131070 ILE66034:ILE131070 IBI66034:IBI131070 HRM66034:HRM131070 HHQ66034:HHQ131070 GXU66034:GXU131070 GNY66034:GNY131070 GEC66034:GEC131070 FUG66034:FUG131070 FKK66034:FKK131070 FAO66034:FAO131070 EQS66034:EQS131070 EGW66034:EGW131070 DXA66034:DXA131070 DNE66034:DNE131070 DDI66034:DDI131070 CTM66034:CTM131070 CJQ66034:CJQ131070 BZU66034:BZU131070 BPY66034:BPY131070 BGC66034:BGC131070 AWG66034:AWG131070 AMK66034:AMK131070 ACO66034:ACO131070 SS66034:SS131070 IW66034:IW131070 A66034:A131070 WVI498:WVI65534 WLM498:WLM65534 WBQ498:WBQ65534 VRU498:VRU65534 VHY498:VHY65534 UYC498:UYC65534 UOG498:UOG65534 UEK498:UEK65534 TUO498:TUO65534 TKS498:TKS65534 TAW498:TAW65534 SRA498:SRA65534 SHE498:SHE65534 RXI498:RXI65534 RNM498:RNM65534 RDQ498:RDQ65534 QTU498:QTU65534 QJY498:QJY65534 QAC498:QAC65534 PQG498:PQG65534 PGK498:PGK65534 OWO498:OWO65534 OMS498:OMS65534 OCW498:OCW65534 NTA498:NTA65534 NJE498:NJE65534 MZI498:MZI65534 MPM498:MPM65534 MFQ498:MFQ65534 LVU498:LVU65534 LLY498:LLY65534 LCC498:LCC65534 KSG498:KSG65534 KIK498:KIK65534 JYO498:JYO65534 JOS498:JOS65534 JEW498:JEW65534 IVA498:IVA65534 ILE498:ILE65534 IBI498:IBI65534 HRM498:HRM65534 HHQ498:HHQ65534 GXU498:GXU65534 GNY498:GNY65534 GEC498:GEC65534 FUG498:FUG65534 FKK498:FKK65534 FAO498:FAO65534 EQS498:EQS65534 EGW498:EGW65534 DXA498:DXA65534 DNE498:DNE65534 DDI498:DDI65534 CTM498:CTM65534 CJQ498:CJQ65534 BZU498:BZU65534 BPY498:BPY65534 BGC498:BGC65534 AWG498:AWG65534 AMK498:AMK65534 ACO498:ACO65534 SS498:SS65534 IW498:IW65534 A498:A65534 WVI1 WLM1 WBQ1 VRU1 VHY1 UYC1 UOG1 UEK1 TUO1 TKS1 TAW1 SRA1 SHE1 RXI1 RNM1 RDQ1 QTU1 QJY1 QAC1 PQG1 PGK1 OWO1 OMS1 OCW1 NTA1 NJE1 MZI1 MPM1 MFQ1 LVU1 LLY1 LCC1 KSG1 KIK1 JYO1 JOS1 JEW1 IVA1 ILE1 IBI1 HRM1 HHQ1 GXU1 GNY1 GEC1 FUG1 FKK1 FAO1 EQS1 EGW1 DXA1 DNE1 DDI1 CTM1 CJQ1 BZU1 BPY1 BGC1 AWG1 AMK1 ACO1 SS1 IW1 A1 XFC983048:XFC983058 WVG983048:WVG983058 WLK983048:WLK983058 WBO983048:WBO983058 VRS983048:VRS983058 VHW983048:VHW983058 UYA983048:UYA983058 UOE983048:UOE983058 UEI983048:UEI983058 TUM983048:TUM983058 TKQ983048:TKQ983058 TAU983048:TAU983058 SQY983048:SQY983058 SHC983048:SHC983058 RXG983048:RXG983058 RNK983048:RNK983058 RDO983048:RDO983058 QTS983048:QTS983058 QJW983048:QJW983058 QAA983048:QAA983058 PQE983048:PQE983058 PGI983048:PGI983058 OWM983048:OWM983058 OMQ983048:OMQ983058 OCU983048:OCU983058 NSY983048:NSY983058 NJC983048:NJC983058 MZG983048:MZG983058 MPK983048:MPK983058 MFO983048:MFO983058 LVS983048:LVS983058 LLW983048:LLW983058 LCA983048:LCA983058 KSE983048:KSE983058 KII983048:KII983058 JYM983048:JYM983058 JOQ983048:JOQ983058 JEU983048:JEU983058 IUY983048:IUY983058 ILC983048:ILC983058 IBG983048:IBG983058 HRK983048:HRK983058 HHO983048:HHO983058 GXS983048:GXS983058 GNW983048:GNW983058 GEA983048:GEA983058 FUE983048:FUE983058 FKI983048:FKI983058 FAM983048:FAM983058 EQQ983048:EQQ983058 EGU983048:EGU983058 DWY983048:DWY983058 DNC983048:DNC983058 DDG983048:DDG983058 CTK983048:CTK983058 CJO983048:CJO983058 BZS983048:BZS983058 BPW983048:BPW983058 BGA983048:BGA983058 AWE983048:AWE983058 AMI983048:AMI983058 ACM983048:ACM983058 SQ983048:SQ983058 IU983048:IU983058 XFC917512:XFC917522 WVG917512:WVG917522 WLK917512:WLK917522 WBO917512:WBO917522 VRS917512:VRS917522 VHW917512:VHW917522 UYA917512:UYA917522 UOE917512:UOE917522 UEI917512:UEI917522 TUM917512:TUM917522 TKQ917512:TKQ917522 TAU917512:TAU917522 SQY917512:SQY917522 SHC917512:SHC917522 RXG917512:RXG917522 RNK917512:RNK917522 RDO917512:RDO917522 QTS917512:QTS917522 QJW917512:QJW917522 QAA917512:QAA917522 PQE917512:PQE917522 PGI917512:PGI917522 OWM917512:OWM917522 OMQ917512:OMQ917522 OCU917512:OCU917522 NSY917512:NSY917522 NJC917512:NJC917522 MZG917512:MZG917522 MPK917512:MPK917522 MFO917512:MFO917522 LVS917512:LVS917522 LLW917512:LLW917522 LCA917512:LCA917522 KSE917512:KSE917522 KII917512:KII917522 JYM917512:JYM917522 JOQ917512:JOQ917522 JEU917512:JEU917522 IUY917512:IUY917522 ILC917512:ILC917522 IBG917512:IBG917522 HRK917512:HRK917522 HHO917512:HHO917522 GXS917512:GXS917522 GNW917512:GNW917522 GEA917512:GEA917522 FUE917512:FUE917522 FKI917512:FKI917522 FAM917512:FAM917522 EQQ917512:EQQ917522 EGU917512:EGU917522 DWY917512:DWY917522 DNC917512:DNC917522 DDG917512:DDG917522 CTK917512:CTK917522 CJO917512:CJO917522 BZS917512:BZS917522 BPW917512:BPW917522 BGA917512:BGA917522 AWE917512:AWE917522 AMI917512:AMI917522 ACM917512:ACM917522 SQ917512:SQ917522 IU917512:IU917522 XFC851976:XFC851986 WVG851976:WVG851986 WLK851976:WLK851986 WBO851976:WBO851986 VRS851976:VRS851986 VHW851976:VHW851986 UYA851976:UYA851986 UOE851976:UOE851986 UEI851976:UEI851986 TUM851976:TUM851986 TKQ851976:TKQ851986 TAU851976:TAU851986 SQY851976:SQY851986 SHC851976:SHC851986 RXG851976:RXG851986 RNK851976:RNK851986 RDO851976:RDO851986 QTS851976:QTS851986 QJW851976:QJW851986 QAA851976:QAA851986 PQE851976:PQE851986 PGI851976:PGI851986 OWM851976:OWM851986 OMQ851976:OMQ851986 OCU851976:OCU851986 NSY851976:NSY851986 NJC851976:NJC851986 MZG851976:MZG851986 MPK851976:MPK851986 MFO851976:MFO851986 LVS851976:LVS851986 LLW851976:LLW851986 LCA851976:LCA851986 KSE851976:KSE851986 KII851976:KII851986 JYM851976:JYM851986 JOQ851976:JOQ851986 JEU851976:JEU851986 IUY851976:IUY851986 ILC851976:ILC851986 IBG851976:IBG851986 HRK851976:HRK851986 HHO851976:HHO851986 GXS851976:GXS851986 GNW851976:GNW851986 GEA851976:GEA851986 FUE851976:FUE851986 FKI851976:FKI851986 FAM851976:FAM851986 EQQ851976:EQQ851986 EGU851976:EGU851986 DWY851976:DWY851986 DNC851976:DNC851986 DDG851976:DDG851986 CTK851976:CTK851986 CJO851976:CJO851986 BZS851976:BZS851986 BPW851976:BPW851986 BGA851976:BGA851986 AWE851976:AWE851986 AMI851976:AMI851986 ACM851976:ACM851986 SQ851976:SQ851986 IU851976:IU851986 XFC786440:XFC786450 WVG786440:WVG786450 WLK786440:WLK786450 WBO786440:WBO786450 VRS786440:VRS786450 VHW786440:VHW786450 UYA786440:UYA786450 UOE786440:UOE786450 UEI786440:UEI786450 TUM786440:TUM786450 TKQ786440:TKQ786450 TAU786440:TAU786450 SQY786440:SQY786450 SHC786440:SHC786450 RXG786440:RXG786450 RNK786440:RNK786450 RDO786440:RDO786450 QTS786440:QTS786450 QJW786440:QJW786450 QAA786440:QAA786450 PQE786440:PQE786450 PGI786440:PGI786450 OWM786440:OWM786450 OMQ786440:OMQ786450 OCU786440:OCU786450 NSY786440:NSY786450 NJC786440:NJC786450 MZG786440:MZG786450 MPK786440:MPK786450 MFO786440:MFO786450 LVS786440:LVS786450 LLW786440:LLW786450 LCA786440:LCA786450 KSE786440:KSE786450 KII786440:KII786450 JYM786440:JYM786450 JOQ786440:JOQ786450 JEU786440:JEU786450 IUY786440:IUY786450 ILC786440:ILC786450 IBG786440:IBG786450 HRK786440:HRK786450 HHO786440:HHO786450 GXS786440:GXS786450 GNW786440:GNW786450 GEA786440:GEA786450 FUE786440:FUE786450 FKI786440:FKI786450 FAM786440:FAM786450 EQQ786440:EQQ786450 EGU786440:EGU786450 DWY786440:DWY786450 DNC786440:DNC786450 DDG786440:DDG786450 CTK786440:CTK786450 CJO786440:CJO786450 BZS786440:BZS786450 BPW786440:BPW786450 BGA786440:BGA786450 AWE786440:AWE786450 AMI786440:AMI786450 ACM786440:ACM786450 SQ786440:SQ786450 IU786440:IU786450 XFC720904:XFC720914 WVG720904:WVG720914 WLK720904:WLK720914 WBO720904:WBO720914 VRS720904:VRS720914 VHW720904:VHW720914 UYA720904:UYA720914 UOE720904:UOE720914 UEI720904:UEI720914 TUM720904:TUM720914 TKQ720904:TKQ720914 TAU720904:TAU720914 SQY720904:SQY720914 SHC720904:SHC720914 RXG720904:RXG720914 RNK720904:RNK720914 RDO720904:RDO720914 QTS720904:QTS720914 QJW720904:QJW720914 QAA720904:QAA720914 PQE720904:PQE720914 PGI720904:PGI720914 OWM720904:OWM720914 OMQ720904:OMQ720914 OCU720904:OCU720914 NSY720904:NSY720914 NJC720904:NJC720914 MZG720904:MZG720914 MPK720904:MPK720914 MFO720904:MFO720914 LVS720904:LVS720914 LLW720904:LLW720914 LCA720904:LCA720914 KSE720904:KSE720914 KII720904:KII720914 JYM720904:JYM720914 JOQ720904:JOQ720914 JEU720904:JEU720914 IUY720904:IUY720914 ILC720904:ILC720914 IBG720904:IBG720914 HRK720904:HRK720914 HHO720904:HHO720914 GXS720904:GXS720914 GNW720904:GNW720914 GEA720904:GEA720914 FUE720904:FUE720914 FKI720904:FKI720914 FAM720904:FAM720914 EQQ720904:EQQ720914 EGU720904:EGU720914 DWY720904:DWY720914 DNC720904:DNC720914 DDG720904:DDG720914 CTK720904:CTK720914 CJO720904:CJO720914 BZS720904:BZS720914 BPW720904:BPW720914 BGA720904:BGA720914 AWE720904:AWE720914 AMI720904:AMI720914 ACM720904:ACM720914 SQ720904:SQ720914 IU720904:IU720914 XFC655368:XFC655378 WVG655368:WVG655378 WLK655368:WLK655378 WBO655368:WBO655378 VRS655368:VRS655378 VHW655368:VHW655378 UYA655368:UYA655378 UOE655368:UOE655378 UEI655368:UEI655378 TUM655368:TUM655378 TKQ655368:TKQ655378 TAU655368:TAU655378 SQY655368:SQY655378 SHC655368:SHC655378 RXG655368:RXG655378 RNK655368:RNK655378 RDO655368:RDO655378 QTS655368:QTS655378 QJW655368:QJW655378 QAA655368:QAA655378 PQE655368:PQE655378 PGI655368:PGI655378 OWM655368:OWM655378 OMQ655368:OMQ655378 OCU655368:OCU655378 NSY655368:NSY655378 NJC655368:NJC655378 MZG655368:MZG655378 MPK655368:MPK655378 MFO655368:MFO655378 LVS655368:LVS655378 LLW655368:LLW655378 LCA655368:LCA655378 KSE655368:KSE655378 KII655368:KII655378 JYM655368:JYM655378 JOQ655368:JOQ655378 JEU655368:JEU655378 IUY655368:IUY655378 ILC655368:ILC655378 IBG655368:IBG655378 HRK655368:HRK655378 HHO655368:HHO655378 GXS655368:GXS655378 GNW655368:GNW655378 GEA655368:GEA655378 FUE655368:FUE655378 FKI655368:FKI655378 FAM655368:FAM655378 EQQ655368:EQQ655378 EGU655368:EGU655378 DWY655368:DWY655378 DNC655368:DNC655378 DDG655368:DDG655378 CTK655368:CTK655378 CJO655368:CJO655378 BZS655368:BZS655378 BPW655368:BPW655378 BGA655368:BGA655378 AWE655368:AWE655378 AMI655368:AMI655378 ACM655368:ACM655378 SQ655368:SQ655378 IU655368:IU655378 XFC589832:XFC589842 WVG589832:WVG589842 WLK589832:WLK589842 WBO589832:WBO589842 VRS589832:VRS589842 VHW589832:VHW589842 UYA589832:UYA589842 UOE589832:UOE589842 UEI589832:UEI589842 TUM589832:TUM589842 TKQ589832:TKQ589842 TAU589832:TAU589842 SQY589832:SQY589842 SHC589832:SHC589842 RXG589832:RXG589842 RNK589832:RNK589842 RDO589832:RDO589842 QTS589832:QTS589842 QJW589832:QJW589842 QAA589832:QAA589842 PQE589832:PQE589842 PGI589832:PGI589842 OWM589832:OWM589842 OMQ589832:OMQ589842 OCU589832:OCU589842 NSY589832:NSY589842 NJC589832:NJC589842 MZG589832:MZG589842 MPK589832:MPK589842 MFO589832:MFO589842 LVS589832:LVS589842 LLW589832:LLW589842 LCA589832:LCA589842 KSE589832:KSE589842 KII589832:KII589842 JYM589832:JYM589842 JOQ589832:JOQ589842 JEU589832:JEU589842 IUY589832:IUY589842 ILC589832:ILC589842 IBG589832:IBG589842 HRK589832:HRK589842 HHO589832:HHO589842 GXS589832:GXS589842 GNW589832:GNW589842 GEA589832:GEA589842 FUE589832:FUE589842 FKI589832:FKI589842 FAM589832:FAM589842 EQQ589832:EQQ589842 EGU589832:EGU589842 DWY589832:DWY589842 DNC589832:DNC589842 DDG589832:DDG589842 CTK589832:CTK589842 CJO589832:CJO589842 BZS589832:BZS589842 BPW589832:BPW589842 BGA589832:BGA589842 AWE589832:AWE589842 AMI589832:AMI589842 ACM589832:ACM589842 SQ589832:SQ589842 IU589832:IU589842 XFC524296:XFC524306 WVG524296:WVG524306 WLK524296:WLK524306 WBO524296:WBO524306 VRS524296:VRS524306 VHW524296:VHW524306 UYA524296:UYA524306 UOE524296:UOE524306 UEI524296:UEI524306 TUM524296:TUM524306 TKQ524296:TKQ524306 TAU524296:TAU524306 SQY524296:SQY524306 SHC524296:SHC524306 RXG524296:RXG524306 RNK524296:RNK524306 RDO524296:RDO524306 QTS524296:QTS524306 QJW524296:QJW524306 QAA524296:QAA524306 PQE524296:PQE524306 PGI524296:PGI524306 OWM524296:OWM524306 OMQ524296:OMQ524306 OCU524296:OCU524306 NSY524296:NSY524306 NJC524296:NJC524306 MZG524296:MZG524306 MPK524296:MPK524306 MFO524296:MFO524306 LVS524296:LVS524306 LLW524296:LLW524306 LCA524296:LCA524306 KSE524296:KSE524306 KII524296:KII524306 JYM524296:JYM524306 JOQ524296:JOQ524306 JEU524296:JEU524306 IUY524296:IUY524306 ILC524296:ILC524306 IBG524296:IBG524306 HRK524296:HRK524306 HHO524296:HHO524306 GXS524296:GXS524306 GNW524296:GNW524306 GEA524296:GEA524306 FUE524296:FUE524306 FKI524296:FKI524306 FAM524296:FAM524306 EQQ524296:EQQ524306 EGU524296:EGU524306 DWY524296:DWY524306 DNC524296:DNC524306 DDG524296:DDG524306 CTK524296:CTK524306 CJO524296:CJO524306 BZS524296:BZS524306 BPW524296:BPW524306 BGA524296:BGA524306 AWE524296:AWE524306 AMI524296:AMI524306 ACM524296:ACM524306 SQ524296:SQ524306 IU524296:IU524306 XFC458760:XFC458770 WVG458760:WVG458770 WLK458760:WLK458770 WBO458760:WBO458770 VRS458760:VRS458770 VHW458760:VHW458770 UYA458760:UYA458770 UOE458760:UOE458770 UEI458760:UEI458770 TUM458760:TUM458770 TKQ458760:TKQ458770 TAU458760:TAU458770 SQY458760:SQY458770 SHC458760:SHC458770 RXG458760:RXG458770 RNK458760:RNK458770 RDO458760:RDO458770 QTS458760:QTS458770 QJW458760:QJW458770 QAA458760:QAA458770 PQE458760:PQE458770 PGI458760:PGI458770 OWM458760:OWM458770 OMQ458760:OMQ458770 OCU458760:OCU458770 NSY458760:NSY458770 NJC458760:NJC458770 MZG458760:MZG458770 MPK458760:MPK458770 MFO458760:MFO458770 LVS458760:LVS458770 LLW458760:LLW458770 LCA458760:LCA458770 KSE458760:KSE458770 KII458760:KII458770 JYM458760:JYM458770 JOQ458760:JOQ458770 JEU458760:JEU458770 IUY458760:IUY458770 ILC458760:ILC458770 IBG458760:IBG458770 HRK458760:HRK458770 HHO458760:HHO458770 GXS458760:GXS458770 GNW458760:GNW458770 GEA458760:GEA458770 FUE458760:FUE458770 FKI458760:FKI458770 FAM458760:FAM458770 EQQ458760:EQQ458770 EGU458760:EGU458770 DWY458760:DWY458770 DNC458760:DNC458770 DDG458760:DDG458770 CTK458760:CTK458770 CJO458760:CJO458770 BZS458760:BZS458770 BPW458760:BPW458770 BGA458760:BGA458770 AWE458760:AWE458770 AMI458760:AMI458770 ACM458760:ACM458770 SQ458760:SQ458770 IU458760:IU458770 XFC393224:XFC393234 WVG393224:WVG393234 WLK393224:WLK393234 WBO393224:WBO393234 VRS393224:VRS393234 VHW393224:VHW393234 UYA393224:UYA393234 UOE393224:UOE393234 UEI393224:UEI393234 TUM393224:TUM393234 TKQ393224:TKQ393234 TAU393224:TAU393234 SQY393224:SQY393234 SHC393224:SHC393234 RXG393224:RXG393234 RNK393224:RNK393234 RDO393224:RDO393234 QTS393224:QTS393234 QJW393224:QJW393234 QAA393224:QAA393234 PQE393224:PQE393234 PGI393224:PGI393234 OWM393224:OWM393234 OMQ393224:OMQ393234 OCU393224:OCU393234 NSY393224:NSY393234 NJC393224:NJC393234 MZG393224:MZG393234 MPK393224:MPK393234 MFO393224:MFO393234 LVS393224:LVS393234 LLW393224:LLW393234 LCA393224:LCA393234 KSE393224:KSE393234 KII393224:KII393234 JYM393224:JYM393234 JOQ393224:JOQ393234 JEU393224:JEU393234 IUY393224:IUY393234 ILC393224:ILC393234 IBG393224:IBG393234 HRK393224:HRK393234 HHO393224:HHO393234 GXS393224:GXS393234 GNW393224:GNW393234 GEA393224:GEA393234 FUE393224:FUE393234 FKI393224:FKI393234 FAM393224:FAM393234 EQQ393224:EQQ393234 EGU393224:EGU393234 DWY393224:DWY393234 DNC393224:DNC393234 DDG393224:DDG393234 CTK393224:CTK393234 CJO393224:CJO393234 BZS393224:BZS393234 BPW393224:BPW393234 BGA393224:BGA393234 AWE393224:AWE393234 AMI393224:AMI393234 ACM393224:ACM393234 SQ393224:SQ393234 IU393224:IU393234 XFC327688:XFC327698 WVG327688:WVG327698 WLK327688:WLK327698 WBO327688:WBO327698 VRS327688:VRS327698 VHW327688:VHW327698 UYA327688:UYA327698 UOE327688:UOE327698 UEI327688:UEI327698 TUM327688:TUM327698 TKQ327688:TKQ327698 TAU327688:TAU327698 SQY327688:SQY327698 SHC327688:SHC327698 RXG327688:RXG327698 RNK327688:RNK327698 RDO327688:RDO327698 QTS327688:QTS327698 QJW327688:QJW327698 QAA327688:QAA327698 PQE327688:PQE327698 PGI327688:PGI327698 OWM327688:OWM327698 OMQ327688:OMQ327698 OCU327688:OCU327698 NSY327688:NSY327698 NJC327688:NJC327698 MZG327688:MZG327698 MPK327688:MPK327698 MFO327688:MFO327698 LVS327688:LVS327698 LLW327688:LLW327698 LCA327688:LCA327698 KSE327688:KSE327698 KII327688:KII327698 JYM327688:JYM327698 JOQ327688:JOQ327698 JEU327688:JEU327698 IUY327688:IUY327698 ILC327688:ILC327698 IBG327688:IBG327698 HRK327688:HRK327698 HHO327688:HHO327698 GXS327688:GXS327698 GNW327688:GNW327698 GEA327688:GEA327698 FUE327688:FUE327698 FKI327688:FKI327698 FAM327688:FAM327698 EQQ327688:EQQ327698 EGU327688:EGU327698 DWY327688:DWY327698 DNC327688:DNC327698 DDG327688:DDG327698 CTK327688:CTK327698 CJO327688:CJO327698 BZS327688:BZS327698 BPW327688:BPW327698 BGA327688:BGA327698 AWE327688:AWE327698 AMI327688:AMI327698 ACM327688:ACM327698 SQ327688:SQ327698 IU327688:IU327698 XFC262152:XFC262162 WVG262152:WVG262162 WLK262152:WLK262162 WBO262152:WBO262162 VRS262152:VRS262162 VHW262152:VHW262162 UYA262152:UYA262162 UOE262152:UOE262162 UEI262152:UEI262162 TUM262152:TUM262162 TKQ262152:TKQ262162 TAU262152:TAU262162 SQY262152:SQY262162 SHC262152:SHC262162 RXG262152:RXG262162 RNK262152:RNK262162 RDO262152:RDO262162 QTS262152:QTS262162 QJW262152:QJW262162 QAA262152:QAA262162 PQE262152:PQE262162 PGI262152:PGI262162 OWM262152:OWM262162 OMQ262152:OMQ262162 OCU262152:OCU262162 NSY262152:NSY262162 NJC262152:NJC262162 MZG262152:MZG262162 MPK262152:MPK262162 MFO262152:MFO262162 LVS262152:LVS262162 LLW262152:LLW262162 LCA262152:LCA262162 KSE262152:KSE262162 KII262152:KII262162 JYM262152:JYM262162 JOQ262152:JOQ262162 JEU262152:JEU262162 IUY262152:IUY262162 ILC262152:ILC262162 IBG262152:IBG262162 HRK262152:HRK262162 HHO262152:HHO262162 GXS262152:GXS262162 GNW262152:GNW262162 GEA262152:GEA262162 FUE262152:FUE262162 FKI262152:FKI262162 FAM262152:FAM262162 EQQ262152:EQQ262162 EGU262152:EGU262162 DWY262152:DWY262162 DNC262152:DNC262162 DDG262152:DDG262162 CTK262152:CTK262162 CJO262152:CJO262162 BZS262152:BZS262162 BPW262152:BPW262162 BGA262152:BGA262162 AWE262152:AWE262162 AMI262152:AMI262162 ACM262152:ACM262162 SQ262152:SQ262162 IU262152:IU262162 XFC196616:XFC196626 WVG196616:WVG196626 WLK196616:WLK196626 WBO196616:WBO196626 VRS196616:VRS196626 VHW196616:VHW196626 UYA196616:UYA196626 UOE196616:UOE196626 UEI196616:UEI196626 TUM196616:TUM196626 TKQ196616:TKQ196626 TAU196616:TAU196626 SQY196616:SQY196626 SHC196616:SHC196626 RXG196616:RXG196626 RNK196616:RNK196626 RDO196616:RDO196626 QTS196616:QTS196626 QJW196616:QJW196626 QAA196616:QAA196626 PQE196616:PQE196626 PGI196616:PGI196626 OWM196616:OWM196626 OMQ196616:OMQ196626 OCU196616:OCU196626 NSY196616:NSY196626 NJC196616:NJC196626 MZG196616:MZG196626 MPK196616:MPK196626 MFO196616:MFO196626 LVS196616:LVS196626 LLW196616:LLW196626 LCA196616:LCA196626 KSE196616:KSE196626 KII196616:KII196626 JYM196616:JYM196626 JOQ196616:JOQ196626 JEU196616:JEU196626 IUY196616:IUY196626 ILC196616:ILC196626 IBG196616:IBG196626 HRK196616:HRK196626 HHO196616:HHO196626 GXS196616:GXS196626 GNW196616:GNW196626 GEA196616:GEA196626 FUE196616:FUE196626 FKI196616:FKI196626 FAM196616:FAM196626 EQQ196616:EQQ196626 EGU196616:EGU196626 DWY196616:DWY196626 DNC196616:DNC196626 DDG196616:DDG196626 CTK196616:CTK196626 CJO196616:CJO196626 BZS196616:BZS196626 BPW196616:BPW196626 BGA196616:BGA196626 AWE196616:AWE196626 AMI196616:AMI196626 ACM196616:ACM196626 SQ196616:SQ196626 IU196616:IU196626 XFC131080:XFC131090 WVG131080:WVG131090 WLK131080:WLK131090 WBO131080:WBO131090 VRS131080:VRS131090 VHW131080:VHW131090 UYA131080:UYA131090 UOE131080:UOE131090 UEI131080:UEI131090 TUM131080:TUM131090 TKQ131080:TKQ131090 TAU131080:TAU131090 SQY131080:SQY131090 SHC131080:SHC131090 RXG131080:RXG131090 RNK131080:RNK131090 RDO131080:RDO131090 QTS131080:QTS131090 QJW131080:QJW131090 QAA131080:QAA131090 PQE131080:PQE131090 PGI131080:PGI131090 OWM131080:OWM131090 OMQ131080:OMQ131090 OCU131080:OCU131090 NSY131080:NSY131090 NJC131080:NJC131090 MZG131080:MZG131090 MPK131080:MPK131090 MFO131080:MFO131090 LVS131080:LVS131090 LLW131080:LLW131090 LCA131080:LCA131090 KSE131080:KSE131090 KII131080:KII131090 JYM131080:JYM131090 JOQ131080:JOQ131090 JEU131080:JEU131090 IUY131080:IUY131090 ILC131080:ILC131090 IBG131080:IBG131090 HRK131080:HRK131090 HHO131080:HHO131090 GXS131080:GXS131090 GNW131080:GNW131090 GEA131080:GEA131090 FUE131080:FUE131090 FKI131080:FKI131090 FAM131080:FAM131090 EQQ131080:EQQ131090 EGU131080:EGU131090 DWY131080:DWY131090 DNC131080:DNC131090 DDG131080:DDG131090 CTK131080:CTK131090 CJO131080:CJO131090 BZS131080:BZS131090 BPW131080:BPW131090 BGA131080:BGA131090 AWE131080:AWE131090 AMI131080:AMI131090 ACM131080:ACM131090 SQ131080:SQ131090 IU131080:IU131090 XFC65544:XFC65554 WVG65544:WVG65554 WLK65544:WLK65554 WBO65544:WBO65554 VRS65544:VRS65554 VHW65544:VHW65554 UYA65544:UYA65554 UOE65544:UOE65554 UEI65544:UEI65554 TUM65544:TUM65554 TKQ65544:TKQ65554 TAU65544:TAU65554 SQY65544:SQY65554 SHC65544:SHC65554 RXG65544:RXG65554 RNK65544:RNK65554 RDO65544:RDO65554 QTS65544:QTS65554 QJW65544:QJW65554 QAA65544:QAA65554 PQE65544:PQE65554 PGI65544:PGI65554 OWM65544:OWM65554 OMQ65544:OMQ65554 OCU65544:OCU65554 NSY65544:NSY65554 NJC65544:NJC65554 MZG65544:MZG65554 MPK65544:MPK65554 MFO65544:MFO65554 LVS65544:LVS65554 LLW65544:LLW65554 LCA65544:LCA65554 KSE65544:KSE65554 KII65544:KII65554 JYM65544:JYM65554 JOQ65544:JOQ65554 JEU65544:JEU65554 IUY65544:IUY65554 ILC65544:ILC65554 IBG65544:IBG65554 HRK65544:HRK65554 HHO65544:HHO65554 GXS65544:GXS65554 GNW65544:GNW65554 GEA65544:GEA65554 FUE65544:FUE65554 FKI65544:FKI65554 FAM65544:FAM65554 EQQ65544:EQQ65554 EGU65544:EGU65554 DWY65544:DWY65554 DNC65544:DNC65554 DDG65544:DDG65554 CTK65544:CTK65554 CJO65544:CJO65554 BZS65544:BZS65554 BPW65544:BPW65554 BGA65544:BGA65554 AWE65544:AWE65554 AMI65544:AMI65554 ACM65544:ACM65554 SQ65544:SQ65554 IU65544:IU65554 XFC8:XFC18 WVG8:WVG18 WLK8:WLK18 WBO8:WBO18 VRS8:VRS18 VHW8:VHW18 UYA8:UYA18 UOE8:UOE18 UEI8:UEI18 TUM8:TUM18 TKQ8:TKQ18 TAU8:TAU18 SQY8:SQY18 SHC8:SHC18 RXG8:RXG18 RNK8:RNK18 RDO8:RDO18 QTS8:QTS18 QJW8:QJW18 QAA8:QAA18 PQE8:PQE18 PGI8:PGI18 OWM8:OWM18 OMQ8:OMQ18 OCU8:OCU18 NSY8:NSY18 NJC8:NJC18 MZG8:MZG18 MPK8:MPK18 MFO8:MFO18 LVS8:LVS18 LLW8:LLW18 LCA8:LCA18 KSE8:KSE18 KII8:KII18 JYM8:JYM18 JOQ8:JOQ18 JEU8:JEU18 IUY8:IUY18 ILC8:ILC18 IBG8:IBG18 HRK8:HRK18 HHO8:HHO18 GXS8:GXS18 GNW8:GNW18 GEA8:GEA18 FUE8:FUE18 FKI8:FKI18 FAM8:FAM18 EQQ8:EQQ18 EGU8:EGU18 DWY8:DWY18 DNC8:DNC18 DDG8:DDG18 CTK8:CTK18 CJO8:CJO18 BZS8:BZS18 BPW8:BPW18 BGA8:BGA18 AWE8:AWE18 AMI8:AMI18 ACM8:ACM18 SQ8:SQ18" xr:uid="{CE615AE2-EC42-43BD-97ED-ED7542730CA0}">
      <formula1>$AE$2:$AE$13</formula1>
    </dataValidation>
    <dataValidation operator="equal" allowBlank="1" showInputMessage="1" showErrorMessage="1" sqref="B64420:B64473 IX64420:IX64473 ST64420:ST64473 ACP64420:ACP64473 AML64420:AML64473 AWH64420:AWH64473 BGD64420:BGD64473 BPZ64420:BPZ64473 BZV64420:BZV64473 CJR64420:CJR64473 CTN64420:CTN64473 DDJ64420:DDJ64473 DNF64420:DNF64473 DXB64420:DXB64473 EGX64420:EGX64473 EQT64420:EQT64473 FAP64420:FAP64473 FKL64420:FKL64473 FUH64420:FUH64473 GED64420:GED64473 GNZ64420:GNZ64473 GXV64420:GXV64473 HHR64420:HHR64473 HRN64420:HRN64473 IBJ64420:IBJ64473 ILF64420:ILF64473 IVB64420:IVB64473 JEX64420:JEX64473 JOT64420:JOT64473 JYP64420:JYP64473 KIL64420:KIL64473 KSH64420:KSH64473 LCD64420:LCD64473 LLZ64420:LLZ64473 LVV64420:LVV64473 MFR64420:MFR64473 MPN64420:MPN64473 MZJ64420:MZJ64473 NJF64420:NJF64473 NTB64420:NTB64473 OCX64420:OCX64473 OMT64420:OMT64473 OWP64420:OWP64473 PGL64420:PGL64473 PQH64420:PQH64473 QAD64420:QAD64473 QJZ64420:QJZ64473 QTV64420:QTV64473 RDR64420:RDR64473 RNN64420:RNN64473 RXJ64420:RXJ64473 SHF64420:SHF64473 SRB64420:SRB64473 TAX64420:TAX64473 TKT64420:TKT64473 TUP64420:TUP64473 UEL64420:UEL64473 UOH64420:UOH64473 UYD64420:UYD64473 VHZ64420:VHZ64473 VRV64420:VRV64473 WBR64420:WBR64473 WLN64420:WLN64473 WVJ64420:WVJ64473 B129956:B130009 IX129956:IX130009 ST129956:ST130009 ACP129956:ACP130009 AML129956:AML130009 AWH129956:AWH130009 BGD129956:BGD130009 BPZ129956:BPZ130009 BZV129956:BZV130009 CJR129956:CJR130009 CTN129956:CTN130009 DDJ129956:DDJ130009 DNF129956:DNF130009 DXB129956:DXB130009 EGX129956:EGX130009 EQT129956:EQT130009 FAP129956:FAP130009 FKL129956:FKL130009 FUH129956:FUH130009 GED129956:GED130009 GNZ129956:GNZ130009 GXV129956:GXV130009 HHR129956:HHR130009 HRN129956:HRN130009 IBJ129956:IBJ130009 ILF129956:ILF130009 IVB129956:IVB130009 JEX129956:JEX130009 JOT129956:JOT130009 JYP129956:JYP130009 KIL129956:KIL130009 KSH129956:KSH130009 LCD129956:LCD130009 LLZ129956:LLZ130009 LVV129956:LVV130009 MFR129956:MFR130009 MPN129956:MPN130009 MZJ129956:MZJ130009 NJF129956:NJF130009 NTB129956:NTB130009 OCX129956:OCX130009 OMT129956:OMT130009 OWP129956:OWP130009 PGL129956:PGL130009 PQH129956:PQH130009 QAD129956:QAD130009 QJZ129956:QJZ130009 QTV129956:QTV130009 RDR129956:RDR130009 RNN129956:RNN130009 RXJ129956:RXJ130009 SHF129956:SHF130009 SRB129956:SRB130009 TAX129956:TAX130009 TKT129956:TKT130009 TUP129956:TUP130009 UEL129956:UEL130009 UOH129956:UOH130009 UYD129956:UYD130009 VHZ129956:VHZ130009 VRV129956:VRV130009 WBR129956:WBR130009 WLN129956:WLN130009 WVJ129956:WVJ130009 B195492:B195545 IX195492:IX195545 ST195492:ST195545 ACP195492:ACP195545 AML195492:AML195545 AWH195492:AWH195545 BGD195492:BGD195545 BPZ195492:BPZ195545 BZV195492:BZV195545 CJR195492:CJR195545 CTN195492:CTN195545 DDJ195492:DDJ195545 DNF195492:DNF195545 DXB195492:DXB195545 EGX195492:EGX195545 EQT195492:EQT195545 FAP195492:FAP195545 FKL195492:FKL195545 FUH195492:FUH195545 GED195492:GED195545 GNZ195492:GNZ195545 GXV195492:GXV195545 HHR195492:HHR195545 HRN195492:HRN195545 IBJ195492:IBJ195545 ILF195492:ILF195545 IVB195492:IVB195545 JEX195492:JEX195545 JOT195492:JOT195545 JYP195492:JYP195545 KIL195492:KIL195545 KSH195492:KSH195545 LCD195492:LCD195545 LLZ195492:LLZ195545 LVV195492:LVV195545 MFR195492:MFR195545 MPN195492:MPN195545 MZJ195492:MZJ195545 NJF195492:NJF195545 NTB195492:NTB195545 OCX195492:OCX195545 OMT195492:OMT195545 OWP195492:OWP195545 PGL195492:PGL195545 PQH195492:PQH195545 QAD195492:QAD195545 QJZ195492:QJZ195545 QTV195492:QTV195545 RDR195492:RDR195545 RNN195492:RNN195545 RXJ195492:RXJ195545 SHF195492:SHF195545 SRB195492:SRB195545 TAX195492:TAX195545 TKT195492:TKT195545 TUP195492:TUP195545 UEL195492:UEL195545 UOH195492:UOH195545 UYD195492:UYD195545 VHZ195492:VHZ195545 VRV195492:VRV195545 WBR195492:WBR195545 WLN195492:WLN195545 WVJ195492:WVJ195545 B261028:B261081 IX261028:IX261081 ST261028:ST261081 ACP261028:ACP261081 AML261028:AML261081 AWH261028:AWH261081 BGD261028:BGD261081 BPZ261028:BPZ261081 BZV261028:BZV261081 CJR261028:CJR261081 CTN261028:CTN261081 DDJ261028:DDJ261081 DNF261028:DNF261081 DXB261028:DXB261081 EGX261028:EGX261081 EQT261028:EQT261081 FAP261028:FAP261081 FKL261028:FKL261081 FUH261028:FUH261081 GED261028:GED261081 GNZ261028:GNZ261081 GXV261028:GXV261081 HHR261028:HHR261081 HRN261028:HRN261081 IBJ261028:IBJ261081 ILF261028:ILF261081 IVB261028:IVB261081 JEX261028:JEX261081 JOT261028:JOT261081 JYP261028:JYP261081 KIL261028:KIL261081 KSH261028:KSH261081 LCD261028:LCD261081 LLZ261028:LLZ261081 LVV261028:LVV261081 MFR261028:MFR261081 MPN261028:MPN261081 MZJ261028:MZJ261081 NJF261028:NJF261081 NTB261028:NTB261081 OCX261028:OCX261081 OMT261028:OMT261081 OWP261028:OWP261081 PGL261028:PGL261081 PQH261028:PQH261081 QAD261028:QAD261081 QJZ261028:QJZ261081 QTV261028:QTV261081 RDR261028:RDR261081 RNN261028:RNN261081 RXJ261028:RXJ261081 SHF261028:SHF261081 SRB261028:SRB261081 TAX261028:TAX261081 TKT261028:TKT261081 TUP261028:TUP261081 UEL261028:UEL261081 UOH261028:UOH261081 UYD261028:UYD261081 VHZ261028:VHZ261081 VRV261028:VRV261081 WBR261028:WBR261081 WLN261028:WLN261081 WVJ261028:WVJ261081 B326564:B326617 IX326564:IX326617 ST326564:ST326617 ACP326564:ACP326617 AML326564:AML326617 AWH326564:AWH326617 BGD326564:BGD326617 BPZ326564:BPZ326617 BZV326564:BZV326617 CJR326564:CJR326617 CTN326564:CTN326617 DDJ326564:DDJ326617 DNF326564:DNF326617 DXB326564:DXB326617 EGX326564:EGX326617 EQT326564:EQT326617 FAP326564:FAP326617 FKL326564:FKL326617 FUH326564:FUH326617 GED326564:GED326617 GNZ326564:GNZ326617 GXV326564:GXV326617 HHR326564:HHR326617 HRN326564:HRN326617 IBJ326564:IBJ326617 ILF326564:ILF326617 IVB326564:IVB326617 JEX326564:JEX326617 JOT326564:JOT326617 JYP326564:JYP326617 KIL326564:KIL326617 KSH326564:KSH326617 LCD326564:LCD326617 LLZ326564:LLZ326617 LVV326564:LVV326617 MFR326564:MFR326617 MPN326564:MPN326617 MZJ326564:MZJ326617 NJF326564:NJF326617 NTB326564:NTB326617 OCX326564:OCX326617 OMT326564:OMT326617 OWP326564:OWP326617 PGL326564:PGL326617 PQH326564:PQH326617 QAD326564:QAD326617 QJZ326564:QJZ326617 QTV326564:QTV326617 RDR326564:RDR326617 RNN326564:RNN326617 RXJ326564:RXJ326617 SHF326564:SHF326617 SRB326564:SRB326617 TAX326564:TAX326617 TKT326564:TKT326617 TUP326564:TUP326617 UEL326564:UEL326617 UOH326564:UOH326617 UYD326564:UYD326617 VHZ326564:VHZ326617 VRV326564:VRV326617 WBR326564:WBR326617 WLN326564:WLN326617 WVJ326564:WVJ326617 B392100:B392153 IX392100:IX392153 ST392100:ST392153 ACP392100:ACP392153 AML392100:AML392153 AWH392100:AWH392153 BGD392100:BGD392153 BPZ392100:BPZ392153 BZV392100:BZV392153 CJR392100:CJR392153 CTN392100:CTN392153 DDJ392100:DDJ392153 DNF392100:DNF392153 DXB392100:DXB392153 EGX392100:EGX392153 EQT392100:EQT392153 FAP392100:FAP392153 FKL392100:FKL392153 FUH392100:FUH392153 GED392100:GED392153 GNZ392100:GNZ392153 GXV392100:GXV392153 HHR392100:HHR392153 HRN392100:HRN392153 IBJ392100:IBJ392153 ILF392100:ILF392153 IVB392100:IVB392153 JEX392100:JEX392153 JOT392100:JOT392153 JYP392100:JYP392153 KIL392100:KIL392153 KSH392100:KSH392153 LCD392100:LCD392153 LLZ392100:LLZ392153 LVV392100:LVV392153 MFR392100:MFR392153 MPN392100:MPN392153 MZJ392100:MZJ392153 NJF392100:NJF392153 NTB392100:NTB392153 OCX392100:OCX392153 OMT392100:OMT392153 OWP392100:OWP392153 PGL392100:PGL392153 PQH392100:PQH392153 QAD392100:QAD392153 QJZ392100:QJZ392153 QTV392100:QTV392153 RDR392100:RDR392153 RNN392100:RNN392153 RXJ392100:RXJ392153 SHF392100:SHF392153 SRB392100:SRB392153 TAX392100:TAX392153 TKT392100:TKT392153 TUP392100:TUP392153 UEL392100:UEL392153 UOH392100:UOH392153 UYD392100:UYD392153 VHZ392100:VHZ392153 VRV392100:VRV392153 WBR392100:WBR392153 WLN392100:WLN392153 WVJ392100:WVJ392153 B457636:B457689 IX457636:IX457689 ST457636:ST457689 ACP457636:ACP457689 AML457636:AML457689 AWH457636:AWH457689 BGD457636:BGD457689 BPZ457636:BPZ457689 BZV457636:BZV457689 CJR457636:CJR457689 CTN457636:CTN457689 DDJ457636:DDJ457689 DNF457636:DNF457689 DXB457636:DXB457689 EGX457636:EGX457689 EQT457636:EQT457689 FAP457636:FAP457689 FKL457636:FKL457689 FUH457636:FUH457689 GED457636:GED457689 GNZ457636:GNZ457689 GXV457636:GXV457689 HHR457636:HHR457689 HRN457636:HRN457689 IBJ457636:IBJ457689 ILF457636:ILF457689 IVB457636:IVB457689 JEX457636:JEX457689 JOT457636:JOT457689 JYP457636:JYP457689 KIL457636:KIL457689 KSH457636:KSH457689 LCD457636:LCD457689 LLZ457636:LLZ457689 LVV457636:LVV457689 MFR457636:MFR457689 MPN457636:MPN457689 MZJ457636:MZJ457689 NJF457636:NJF457689 NTB457636:NTB457689 OCX457636:OCX457689 OMT457636:OMT457689 OWP457636:OWP457689 PGL457636:PGL457689 PQH457636:PQH457689 QAD457636:QAD457689 QJZ457636:QJZ457689 QTV457636:QTV457689 RDR457636:RDR457689 RNN457636:RNN457689 RXJ457636:RXJ457689 SHF457636:SHF457689 SRB457636:SRB457689 TAX457636:TAX457689 TKT457636:TKT457689 TUP457636:TUP457689 UEL457636:UEL457689 UOH457636:UOH457689 UYD457636:UYD457689 VHZ457636:VHZ457689 VRV457636:VRV457689 WBR457636:WBR457689 WLN457636:WLN457689 WVJ457636:WVJ457689 B523172:B523225 IX523172:IX523225 ST523172:ST523225 ACP523172:ACP523225 AML523172:AML523225 AWH523172:AWH523225 BGD523172:BGD523225 BPZ523172:BPZ523225 BZV523172:BZV523225 CJR523172:CJR523225 CTN523172:CTN523225 DDJ523172:DDJ523225 DNF523172:DNF523225 DXB523172:DXB523225 EGX523172:EGX523225 EQT523172:EQT523225 FAP523172:FAP523225 FKL523172:FKL523225 FUH523172:FUH523225 GED523172:GED523225 GNZ523172:GNZ523225 GXV523172:GXV523225 HHR523172:HHR523225 HRN523172:HRN523225 IBJ523172:IBJ523225 ILF523172:ILF523225 IVB523172:IVB523225 JEX523172:JEX523225 JOT523172:JOT523225 JYP523172:JYP523225 KIL523172:KIL523225 KSH523172:KSH523225 LCD523172:LCD523225 LLZ523172:LLZ523225 LVV523172:LVV523225 MFR523172:MFR523225 MPN523172:MPN523225 MZJ523172:MZJ523225 NJF523172:NJF523225 NTB523172:NTB523225 OCX523172:OCX523225 OMT523172:OMT523225 OWP523172:OWP523225 PGL523172:PGL523225 PQH523172:PQH523225 QAD523172:QAD523225 QJZ523172:QJZ523225 QTV523172:QTV523225 RDR523172:RDR523225 RNN523172:RNN523225 RXJ523172:RXJ523225 SHF523172:SHF523225 SRB523172:SRB523225 TAX523172:TAX523225 TKT523172:TKT523225 TUP523172:TUP523225 UEL523172:UEL523225 UOH523172:UOH523225 UYD523172:UYD523225 VHZ523172:VHZ523225 VRV523172:VRV523225 WBR523172:WBR523225 WLN523172:WLN523225 WVJ523172:WVJ523225 B588708:B588761 IX588708:IX588761 ST588708:ST588761 ACP588708:ACP588761 AML588708:AML588761 AWH588708:AWH588761 BGD588708:BGD588761 BPZ588708:BPZ588761 BZV588708:BZV588761 CJR588708:CJR588761 CTN588708:CTN588761 DDJ588708:DDJ588761 DNF588708:DNF588761 DXB588708:DXB588761 EGX588708:EGX588761 EQT588708:EQT588761 FAP588708:FAP588761 FKL588708:FKL588761 FUH588708:FUH588761 GED588708:GED588761 GNZ588708:GNZ588761 GXV588708:GXV588761 HHR588708:HHR588761 HRN588708:HRN588761 IBJ588708:IBJ588761 ILF588708:ILF588761 IVB588708:IVB588761 JEX588708:JEX588761 JOT588708:JOT588761 JYP588708:JYP588761 KIL588708:KIL588761 KSH588708:KSH588761 LCD588708:LCD588761 LLZ588708:LLZ588761 LVV588708:LVV588761 MFR588708:MFR588761 MPN588708:MPN588761 MZJ588708:MZJ588761 NJF588708:NJF588761 NTB588708:NTB588761 OCX588708:OCX588761 OMT588708:OMT588761 OWP588708:OWP588761 PGL588708:PGL588761 PQH588708:PQH588761 QAD588708:QAD588761 QJZ588708:QJZ588761 QTV588708:QTV588761 RDR588708:RDR588761 RNN588708:RNN588761 RXJ588708:RXJ588761 SHF588708:SHF588761 SRB588708:SRB588761 TAX588708:TAX588761 TKT588708:TKT588761 TUP588708:TUP588761 UEL588708:UEL588761 UOH588708:UOH588761 UYD588708:UYD588761 VHZ588708:VHZ588761 VRV588708:VRV588761 WBR588708:WBR588761 WLN588708:WLN588761 WVJ588708:WVJ588761 B654244:B654297 IX654244:IX654297 ST654244:ST654297 ACP654244:ACP654297 AML654244:AML654297 AWH654244:AWH654297 BGD654244:BGD654297 BPZ654244:BPZ654297 BZV654244:BZV654297 CJR654244:CJR654297 CTN654244:CTN654297 DDJ654244:DDJ654297 DNF654244:DNF654297 DXB654244:DXB654297 EGX654244:EGX654297 EQT654244:EQT654297 FAP654244:FAP654297 FKL654244:FKL654297 FUH654244:FUH654297 GED654244:GED654297 GNZ654244:GNZ654297 GXV654244:GXV654297 HHR654244:HHR654297 HRN654244:HRN654297 IBJ654244:IBJ654297 ILF654244:ILF654297 IVB654244:IVB654297 JEX654244:JEX654297 JOT654244:JOT654297 JYP654244:JYP654297 KIL654244:KIL654297 KSH654244:KSH654297 LCD654244:LCD654297 LLZ654244:LLZ654297 LVV654244:LVV654297 MFR654244:MFR654297 MPN654244:MPN654297 MZJ654244:MZJ654297 NJF654244:NJF654297 NTB654244:NTB654297 OCX654244:OCX654297 OMT654244:OMT654297 OWP654244:OWP654297 PGL654244:PGL654297 PQH654244:PQH654297 QAD654244:QAD654297 QJZ654244:QJZ654297 QTV654244:QTV654297 RDR654244:RDR654297 RNN654244:RNN654297 RXJ654244:RXJ654297 SHF654244:SHF654297 SRB654244:SRB654297 TAX654244:TAX654297 TKT654244:TKT654297 TUP654244:TUP654297 UEL654244:UEL654297 UOH654244:UOH654297 UYD654244:UYD654297 VHZ654244:VHZ654297 VRV654244:VRV654297 WBR654244:WBR654297 WLN654244:WLN654297 WVJ654244:WVJ654297 B719780:B719833 IX719780:IX719833 ST719780:ST719833 ACP719780:ACP719833 AML719780:AML719833 AWH719780:AWH719833 BGD719780:BGD719833 BPZ719780:BPZ719833 BZV719780:BZV719833 CJR719780:CJR719833 CTN719780:CTN719833 DDJ719780:DDJ719833 DNF719780:DNF719833 DXB719780:DXB719833 EGX719780:EGX719833 EQT719780:EQT719833 FAP719780:FAP719833 FKL719780:FKL719833 FUH719780:FUH719833 GED719780:GED719833 GNZ719780:GNZ719833 GXV719780:GXV719833 HHR719780:HHR719833 HRN719780:HRN719833 IBJ719780:IBJ719833 ILF719780:ILF719833 IVB719780:IVB719833 JEX719780:JEX719833 JOT719780:JOT719833 JYP719780:JYP719833 KIL719780:KIL719833 KSH719780:KSH719833 LCD719780:LCD719833 LLZ719780:LLZ719833 LVV719780:LVV719833 MFR719780:MFR719833 MPN719780:MPN719833 MZJ719780:MZJ719833 NJF719780:NJF719833 NTB719780:NTB719833 OCX719780:OCX719833 OMT719780:OMT719833 OWP719780:OWP719833 PGL719780:PGL719833 PQH719780:PQH719833 QAD719780:QAD719833 QJZ719780:QJZ719833 QTV719780:QTV719833 RDR719780:RDR719833 RNN719780:RNN719833 RXJ719780:RXJ719833 SHF719780:SHF719833 SRB719780:SRB719833 TAX719780:TAX719833 TKT719780:TKT719833 TUP719780:TUP719833 UEL719780:UEL719833 UOH719780:UOH719833 UYD719780:UYD719833 VHZ719780:VHZ719833 VRV719780:VRV719833 WBR719780:WBR719833 WLN719780:WLN719833 WVJ719780:WVJ719833 B785316:B785369 IX785316:IX785369 ST785316:ST785369 ACP785316:ACP785369 AML785316:AML785369 AWH785316:AWH785369 BGD785316:BGD785369 BPZ785316:BPZ785369 BZV785316:BZV785369 CJR785316:CJR785369 CTN785316:CTN785369 DDJ785316:DDJ785369 DNF785316:DNF785369 DXB785316:DXB785369 EGX785316:EGX785369 EQT785316:EQT785369 FAP785316:FAP785369 FKL785316:FKL785369 FUH785316:FUH785369 GED785316:GED785369 GNZ785316:GNZ785369 GXV785316:GXV785369 HHR785316:HHR785369 HRN785316:HRN785369 IBJ785316:IBJ785369 ILF785316:ILF785369 IVB785316:IVB785369 JEX785316:JEX785369 JOT785316:JOT785369 JYP785316:JYP785369 KIL785316:KIL785369 KSH785316:KSH785369 LCD785316:LCD785369 LLZ785316:LLZ785369 LVV785316:LVV785369 MFR785316:MFR785369 MPN785316:MPN785369 MZJ785316:MZJ785369 NJF785316:NJF785369 NTB785316:NTB785369 OCX785316:OCX785369 OMT785316:OMT785369 OWP785316:OWP785369 PGL785316:PGL785369 PQH785316:PQH785369 QAD785316:QAD785369 QJZ785316:QJZ785369 QTV785316:QTV785369 RDR785316:RDR785369 RNN785316:RNN785369 RXJ785316:RXJ785369 SHF785316:SHF785369 SRB785316:SRB785369 TAX785316:TAX785369 TKT785316:TKT785369 TUP785316:TUP785369 UEL785316:UEL785369 UOH785316:UOH785369 UYD785316:UYD785369 VHZ785316:VHZ785369 VRV785316:VRV785369 WBR785316:WBR785369 WLN785316:WLN785369 WVJ785316:WVJ785369 B850852:B850905 IX850852:IX850905 ST850852:ST850905 ACP850852:ACP850905 AML850852:AML850905 AWH850852:AWH850905 BGD850852:BGD850905 BPZ850852:BPZ850905 BZV850852:BZV850905 CJR850852:CJR850905 CTN850852:CTN850905 DDJ850852:DDJ850905 DNF850852:DNF850905 DXB850852:DXB850905 EGX850852:EGX850905 EQT850852:EQT850905 FAP850852:FAP850905 FKL850852:FKL850905 FUH850852:FUH850905 GED850852:GED850905 GNZ850852:GNZ850905 GXV850852:GXV850905 HHR850852:HHR850905 HRN850852:HRN850905 IBJ850852:IBJ850905 ILF850852:ILF850905 IVB850852:IVB850905 JEX850852:JEX850905 JOT850852:JOT850905 JYP850852:JYP850905 KIL850852:KIL850905 KSH850852:KSH850905 LCD850852:LCD850905 LLZ850852:LLZ850905 LVV850852:LVV850905 MFR850852:MFR850905 MPN850852:MPN850905 MZJ850852:MZJ850905 NJF850852:NJF850905 NTB850852:NTB850905 OCX850852:OCX850905 OMT850852:OMT850905 OWP850852:OWP850905 PGL850852:PGL850905 PQH850852:PQH850905 QAD850852:QAD850905 QJZ850852:QJZ850905 QTV850852:QTV850905 RDR850852:RDR850905 RNN850852:RNN850905 RXJ850852:RXJ850905 SHF850852:SHF850905 SRB850852:SRB850905 TAX850852:TAX850905 TKT850852:TKT850905 TUP850852:TUP850905 UEL850852:UEL850905 UOH850852:UOH850905 UYD850852:UYD850905 VHZ850852:VHZ850905 VRV850852:VRV850905 WBR850852:WBR850905 WLN850852:WLN850905 WVJ850852:WVJ850905 B916388:B916441 IX916388:IX916441 ST916388:ST916441 ACP916388:ACP916441 AML916388:AML916441 AWH916388:AWH916441 BGD916388:BGD916441 BPZ916388:BPZ916441 BZV916388:BZV916441 CJR916388:CJR916441 CTN916388:CTN916441 DDJ916388:DDJ916441 DNF916388:DNF916441 DXB916388:DXB916441 EGX916388:EGX916441 EQT916388:EQT916441 FAP916388:FAP916441 FKL916388:FKL916441 FUH916388:FUH916441 GED916388:GED916441 GNZ916388:GNZ916441 GXV916388:GXV916441 HHR916388:HHR916441 HRN916388:HRN916441 IBJ916388:IBJ916441 ILF916388:ILF916441 IVB916388:IVB916441 JEX916388:JEX916441 JOT916388:JOT916441 JYP916388:JYP916441 KIL916388:KIL916441 KSH916388:KSH916441 LCD916388:LCD916441 LLZ916388:LLZ916441 LVV916388:LVV916441 MFR916388:MFR916441 MPN916388:MPN916441 MZJ916388:MZJ916441 NJF916388:NJF916441 NTB916388:NTB916441 OCX916388:OCX916441 OMT916388:OMT916441 OWP916388:OWP916441 PGL916388:PGL916441 PQH916388:PQH916441 QAD916388:QAD916441 QJZ916388:QJZ916441 QTV916388:QTV916441 RDR916388:RDR916441 RNN916388:RNN916441 RXJ916388:RXJ916441 SHF916388:SHF916441 SRB916388:SRB916441 TAX916388:TAX916441 TKT916388:TKT916441 TUP916388:TUP916441 UEL916388:UEL916441 UOH916388:UOH916441 UYD916388:UYD916441 VHZ916388:VHZ916441 VRV916388:VRV916441 WBR916388:WBR916441 WLN916388:WLN916441 WVJ916388:WVJ916441 B981924:B981977 IX981924:IX981977 ST981924:ST981977 ACP981924:ACP981977 AML981924:AML981977 AWH981924:AWH981977 BGD981924:BGD981977 BPZ981924:BPZ981977 BZV981924:BZV981977 CJR981924:CJR981977 CTN981924:CTN981977 DDJ981924:DDJ981977 DNF981924:DNF981977 DXB981924:DXB981977 EGX981924:EGX981977 EQT981924:EQT981977 FAP981924:FAP981977 FKL981924:FKL981977 FUH981924:FUH981977 GED981924:GED981977 GNZ981924:GNZ981977 GXV981924:GXV981977 HHR981924:HHR981977 HRN981924:HRN981977 IBJ981924:IBJ981977 ILF981924:ILF981977 IVB981924:IVB981977 JEX981924:JEX981977 JOT981924:JOT981977 JYP981924:JYP981977 KIL981924:KIL981977 KSH981924:KSH981977 LCD981924:LCD981977 LLZ981924:LLZ981977 LVV981924:LVV981977 MFR981924:MFR981977 MPN981924:MPN981977 MZJ981924:MZJ981977 NJF981924:NJF981977 NTB981924:NTB981977 OCX981924:OCX981977 OMT981924:OMT981977 OWP981924:OWP981977 PGL981924:PGL981977 PQH981924:PQH981977 QAD981924:QAD981977 QJZ981924:QJZ981977 QTV981924:QTV981977 RDR981924:RDR981977 RNN981924:RNN981977 RXJ981924:RXJ981977 SHF981924:SHF981977 SRB981924:SRB981977 TAX981924:TAX981977 TKT981924:TKT981977 TUP981924:TUP981977 UEL981924:UEL981977 UOH981924:UOH981977 UYD981924:UYD981977 VHZ981924:VHZ981977 VRV981924:VRV981977 WBR981924:WBR981977 WLN981924:WLN981977 WVJ981924:WVJ981977 B1047460:B1047513 IX1047460:IX1047513 ST1047460:ST1047513 ACP1047460:ACP1047513 AML1047460:AML1047513 AWH1047460:AWH1047513 BGD1047460:BGD1047513 BPZ1047460:BPZ1047513 BZV1047460:BZV1047513 CJR1047460:CJR1047513 CTN1047460:CTN1047513 DDJ1047460:DDJ1047513 DNF1047460:DNF1047513 DXB1047460:DXB1047513 EGX1047460:EGX1047513 EQT1047460:EQT1047513 FAP1047460:FAP1047513 FKL1047460:FKL1047513 FUH1047460:FUH1047513 GED1047460:GED1047513 GNZ1047460:GNZ1047513 GXV1047460:GXV1047513 HHR1047460:HHR1047513 HRN1047460:HRN1047513 IBJ1047460:IBJ1047513 ILF1047460:ILF1047513 IVB1047460:IVB1047513 JEX1047460:JEX1047513 JOT1047460:JOT1047513 JYP1047460:JYP1047513 KIL1047460:KIL1047513 KSH1047460:KSH1047513 LCD1047460:LCD1047513 LLZ1047460:LLZ1047513 LVV1047460:LVV1047513 MFR1047460:MFR1047513 MPN1047460:MPN1047513 MZJ1047460:MZJ1047513 NJF1047460:NJF1047513 NTB1047460:NTB1047513 OCX1047460:OCX1047513 OMT1047460:OMT1047513 OWP1047460:OWP1047513 PGL1047460:PGL1047513 PQH1047460:PQH1047513 QAD1047460:QAD1047513 QJZ1047460:QJZ1047513 QTV1047460:QTV1047513 RDR1047460:RDR1047513 RNN1047460:RNN1047513 RXJ1047460:RXJ1047513 SHF1047460:SHF1047513 SRB1047460:SRB1047513 TAX1047460:TAX1047513 TKT1047460:TKT1047513 TUP1047460:TUP1047513 UEL1047460:UEL1047513 UOH1047460:UOH1047513 UYD1047460:UYD1047513 VHZ1047460:VHZ1047513 VRV1047460:VRV1047513 WBR1047460:WBR1047513 WLN1047460:WLN1047513 WVJ1047460:WVJ1047513" xr:uid="{A37585BA-8BDE-4379-BA77-EE8380507BF7}"/>
    <dataValidation type="list" allowBlank="1" showInputMessage="1" showErrorMessage="1" sqref="H64420:H64473 WVP1047460:WVP1047513 WLT1047460:WLT1047513 WBX1047460:WBX1047513 VSB1047460:VSB1047513 VIF1047460:VIF1047513 UYJ1047460:UYJ1047513 UON1047460:UON1047513 UER1047460:UER1047513 TUV1047460:TUV1047513 TKZ1047460:TKZ1047513 TBD1047460:TBD1047513 SRH1047460:SRH1047513 SHL1047460:SHL1047513 RXP1047460:RXP1047513 RNT1047460:RNT1047513 RDX1047460:RDX1047513 QUB1047460:QUB1047513 QKF1047460:QKF1047513 QAJ1047460:QAJ1047513 PQN1047460:PQN1047513 PGR1047460:PGR1047513 OWV1047460:OWV1047513 OMZ1047460:OMZ1047513 ODD1047460:ODD1047513 NTH1047460:NTH1047513 NJL1047460:NJL1047513 MZP1047460:MZP1047513 MPT1047460:MPT1047513 MFX1047460:MFX1047513 LWB1047460:LWB1047513 LMF1047460:LMF1047513 LCJ1047460:LCJ1047513 KSN1047460:KSN1047513 KIR1047460:KIR1047513 JYV1047460:JYV1047513 JOZ1047460:JOZ1047513 JFD1047460:JFD1047513 IVH1047460:IVH1047513 ILL1047460:ILL1047513 IBP1047460:IBP1047513 HRT1047460:HRT1047513 HHX1047460:HHX1047513 GYB1047460:GYB1047513 GOF1047460:GOF1047513 GEJ1047460:GEJ1047513 FUN1047460:FUN1047513 FKR1047460:FKR1047513 FAV1047460:FAV1047513 EQZ1047460:EQZ1047513 EHD1047460:EHD1047513 DXH1047460:DXH1047513 DNL1047460:DNL1047513 DDP1047460:DDP1047513 CTT1047460:CTT1047513 CJX1047460:CJX1047513 CAB1047460:CAB1047513 BQF1047460:BQF1047513 BGJ1047460:BGJ1047513 AWN1047460:AWN1047513 AMR1047460:AMR1047513 ACV1047460:ACV1047513 SZ1047460:SZ1047513 JD1047460:JD1047513 H1047460:H1047513 WVP981924:WVP981977 WLT981924:WLT981977 WBX981924:WBX981977 VSB981924:VSB981977 VIF981924:VIF981977 UYJ981924:UYJ981977 UON981924:UON981977 UER981924:UER981977 TUV981924:TUV981977 TKZ981924:TKZ981977 TBD981924:TBD981977 SRH981924:SRH981977 SHL981924:SHL981977 RXP981924:RXP981977 RNT981924:RNT981977 RDX981924:RDX981977 QUB981924:QUB981977 QKF981924:QKF981977 QAJ981924:QAJ981977 PQN981924:PQN981977 PGR981924:PGR981977 OWV981924:OWV981977 OMZ981924:OMZ981977 ODD981924:ODD981977 NTH981924:NTH981977 NJL981924:NJL981977 MZP981924:MZP981977 MPT981924:MPT981977 MFX981924:MFX981977 LWB981924:LWB981977 LMF981924:LMF981977 LCJ981924:LCJ981977 KSN981924:KSN981977 KIR981924:KIR981977 JYV981924:JYV981977 JOZ981924:JOZ981977 JFD981924:JFD981977 IVH981924:IVH981977 ILL981924:ILL981977 IBP981924:IBP981977 HRT981924:HRT981977 HHX981924:HHX981977 GYB981924:GYB981977 GOF981924:GOF981977 GEJ981924:GEJ981977 FUN981924:FUN981977 FKR981924:FKR981977 FAV981924:FAV981977 EQZ981924:EQZ981977 EHD981924:EHD981977 DXH981924:DXH981977 DNL981924:DNL981977 DDP981924:DDP981977 CTT981924:CTT981977 CJX981924:CJX981977 CAB981924:CAB981977 BQF981924:BQF981977 BGJ981924:BGJ981977 AWN981924:AWN981977 AMR981924:AMR981977 ACV981924:ACV981977 SZ981924:SZ981977 JD981924:JD981977 H981924:H981977 WVP916388:WVP916441 WLT916388:WLT916441 WBX916388:WBX916441 VSB916388:VSB916441 VIF916388:VIF916441 UYJ916388:UYJ916441 UON916388:UON916441 UER916388:UER916441 TUV916388:TUV916441 TKZ916388:TKZ916441 TBD916388:TBD916441 SRH916388:SRH916441 SHL916388:SHL916441 RXP916388:RXP916441 RNT916388:RNT916441 RDX916388:RDX916441 QUB916388:QUB916441 QKF916388:QKF916441 QAJ916388:QAJ916441 PQN916388:PQN916441 PGR916388:PGR916441 OWV916388:OWV916441 OMZ916388:OMZ916441 ODD916388:ODD916441 NTH916388:NTH916441 NJL916388:NJL916441 MZP916388:MZP916441 MPT916388:MPT916441 MFX916388:MFX916441 LWB916388:LWB916441 LMF916388:LMF916441 LCJ916388:LCJ916441 KSN916388:KSN916441 KIR916388:KIR916441 JYV916388:JYV916441 JOZ916388:JOZ916441 JFD916388:JFD916441 IVH916388:IVH916441 ILL916388:ILL916441 IBP916388:IBP916441 HRT916388:HRT916441 HHX916388:HHX916441 GYB916388:GYB916441 GOF916388:GOF916441 GEJ916388:GEJ916441 FUN916388:FUN916441 FKR916388:FKR916441 FAV916388:FAV916441 EQZ916388:EQZ916441 EHD916388:EHD916441 DXH916388:DXH916441 DNL916388:DNL916441 DDP916388:DDP916441 CTT916388:CTT916441 CJX916388:CJX916441 CAB916388:CAB916441 BQF916388:BQF916441 BGJ916388:BGJ916441 AWN916388:AWN916441 AMR916388:AMR916441 ACV916388:ACV916441 SZ916388:SZ916441 JD916388:JD916441 H916388:H916441 WVP850852:WVP850905 WLT850852:WLT850905 WBX850852:WBX850905 VSB850852:VSB850905 VIF850852:VIF850905 UYJ850852:UYJ850905 UON850852:UON850905 UER850852:UER850905 TUV850852:TUV850905 TKZ850852:TKZ850905 TBD850852:TBD850905 SRH850852:SRH850905 SHL850852:SHL850905 RXP850852:RXP850905 RNT850852:RNT850905 RDX850852:RDX850905 QUB850852:QUB850905 QKF850852:QKF850905 QAJ850852:QAJ850905 PQN850852:PQN850905 PGR850852:PGR850905 OWV850852:OWV850905 OMZ850852:OMZ850905 ODD850852:ODD850905 NTH850852:NTH850905 NJL850852:NJL850905 MZP850852:MZP850905 MPT850852:MPT850905 MFX850852:MFX850905 LWB850852:LWB850905 LMF850852:LMF850905 LCJ850852:LCJ850905 KSN850852:KSN850905 KIR850852:KIR850905 JYV850852:JYV850905 JOZ850852:JOZ850905 JFD850852:JFD850905 IVH850852:IVH850905 ILL850852:ILL850905 IBP850852:IBP850905 HRT850852:HRT850905 HHX850852:HHX850905 GYB850852:GYB850905 GOF850852:GOF850905 GEJ850852:GEJ850905 FUN850852:FUN850905 FKR850852:FKR850905 FAV850852:FAV850905 EQZ850852:EQZ850905 EHD850852:EHD850905 DXH850852:DXH850905 DNL850852:DNL850905 DDP850852:DDP850905 CTT850852:CTT850905 CJX850852:CJX850905 CAB850852:CAB850905 BQF850852:BQF850905 BGJ850852:BGJ850905 AWN850852:AWN850905 AMR850852:AMR850905 ACV850852:ACV850905 SZ850852:SZ850905 JD850852:JD850905 H850852:H850905 WVP785316:WVP785369 WLT785316:WLT785369 WBX785316:WBX785369 VSB785316:VSB785369 VIF785316:VIF785369 UYJ785316:UYJ785369 UON785316:UON785369 UER785316:UER785369 TUV785316:TUV785369 TKZ785316:TKZ785369 TBD785316:TBD785369 SRH785316:SRH785369 SHL785316:SHL785369 RXP785316:RXP785369 RNT785316:RNT785369 RDX785316:RDX785369 QUB785316:QUB785369 QKF785316:QKF785369 QAJ785316:QAJ785369 PQN785316:PQN785369 PGR785316:PGR785369 OWV785316:OWV785369 OMZ785316:OMZ785369 ODD785316:ODD785369 NTH785316:NTH785369 NJL785316:NJL785369 MZP785316:MZP785369 MPT785316:MPT785369 MFX785316:MFX785369 LWB785316:LWB785369 LMF785316:LMF785369 LCJ785316:LCJ785369 KSN785316:KSN785369 KIR785316:KIR785369 JYV785316:JYV785369 JOZ785316:JOZ785369 JFD785316:JFD785369 IVH785316:IVH785369 ILL785316:ILL785369 IBP785316:IBP785369 HRT785316:HRT785369 HHX785316:HHX785369 GYB785316:GYB785369 GOF785316:GOF785369 GEJ785316:GEJ785369 FUN785316:FUN785369 FKR785316:FKR785369 FAV785316:FAV785369 EQZ785316:EQZ785369 EHD785316:EHD785369 DXH785316:DXH785369 DNL785316:DNL785369 DDP785316:DDP785369 CTT785316:CTT785369 CJX785316:CJX785369 CAB785316:CAB785369 BQF785316:BQF785369 BGJ785316:BGJ785369 AWN785316:AWN785369 AMR785316:AMR785369 ACV785316:ACV785369 SZ785316:SZ785369 JD785316:JD785369 H785316:H785369 WVP719780:WVP719833 WLT719780:WLT719833 WBX719780:WBX719833 VSB719780:VSB719833 VIF719780:VIF719833 UYJ719780:UYJ719833 UON719780:UON719833 UER719780:UER719833 TUV719780:TUV719833 TKZ719780:TKZ719833 TBD719780:TBD719833 SRH719780:SRH719833 SHL719780:SHL719833 RXP719780:RXP719833 RNT719780:RNT719833 RDX719780:RDX719833 QUB719780:QUB719833 QKF719780:QKF719833 QAJ719780:QAJ719833 PQN719780:PQN719833 PGR719780:PGR719833 OWV719780:OWV719833 OMZ719780:OMZ719833 ODD719780:ODD719833 NTH719780:NTH719833 NJL719780:NJL719833 MZP719780:MZP719833 MPT719780:MPT719833 MFX719780:MFX719833 LWB719780:LWB719833 LMF719780:LMF719833 LCJ719780:LCJ719833 KSN719780:KSN719833 KIR719780:KIR719833 JYV719780:JYV719833 JOZ719780:JOZ719833 JFD719780:JFD719833 IVH719780:IVH719833 ILL719780:ILL719833 IBP719780:IBP719833 HRT719780:HRT719833 HHX719780:HHX719833 GYB719780:GYB719833 GOF719780:GOF719833 GEJ719780:GEJ719833 FUN719780:FUN719833 FKR719780:FKR719833 FAV719780:FAV719833 EQZ719780:EQZ719833 EHD719780:EHD719833 DXH719780:DXH719833 DNL719780:DNL719833 DDP719780:DDP719833 CTT719780:CTT719833 CJX719780:CJX719833 CAB719780:CAB719833 BQF719780:BQF719833 BGJ719780:BGJ719833 AWN719780:AWN719833 AMR719780:AMR719833 ACV719780:ACV719833 SZ719780:SZ719833 JD719780:JD719833 H719780:H719833 WVP654244:WVP654297 WLT654244:WLT654297 WBX654244:WBX654297 VSB654244:VSB654297 VIF654244:VIF654297 UYJ654244:UYJ654297 UON654244:UON654297 UER654244:UER654297 TUV654244:TUV654297 TKZ654244:TKZ654297 TBD654244:TBD654297 SRH654244:SRH654297 SHL654244:SHL654297 RXP654244:RXP654297 RNT654244:RNT654297 RDX654244:RDX654297 QUB654244:QUB654297 QKF654244:QKF654297 QAJ654244:QAJ654297 PQN654244:PQN654297 PGR654244:PGR654297 OWV654244:OWV654297 OMZ654244:OMZ654297 ODD654244:ODD654297 NTH654244:NTH654297 NJL654244:NJL654297 MZP654244:MZP654297 MPT654244:MPT654297 MFX654244:MFX654297 LWB654244:LWB654297 LMF654244:LMF654297 LCJ654244:LCJ654297 KSN654244:KSN654297 KIR654244:KIR654297 JYV654244:JYV654297 JOZ654244:JOZ654297 JFD654244:JFD654297 IVH654244:IVH654297 ILL654244:ILL654297 IBP654244:IBP654297 HRT654244:HRT654297 HHX654244:HHX654297 GYB654244:GYB654297 GOF654244:GOF654297 GEJ654244:GEJ654297 FUN654244:FUN654297 FKR654244:FKR654297 FAV654244:FAV654297 EQZ654244:EQZ654297 EHD654244:EHD654297 DXH654244:DXH654297 DNL654244:DNL654297 DDP654244:DDP654297 CTT654244:CTT654297 CJX654244:CJX654297 CAB654244:CAB654297 BQF654244:BQF654297 BGJ654244:BGJ654297 AWN654244:AWN654297 AMR654244:AMR654297 ACV654244:ACV654297 SZ654244:SZ654297 JD654244:JD654297 H654244:H654297 WVP588708:WVP588761 WLT588708:WLT588761 WBX588708:WBX588761 VSB588708:VSB588761 VIF588708:VIF588761 UYJ588708:UYJ588761 UON588708:UON588761 UER588708:UER588761 TUV588708:TUV588761 TKZ588708:TKZ588761 TBD588708:TBD588761 SRH588708:SRH588761 SHL588708:SHL588761 RXP588708:RXP588761 RNT588708:RNT588761 RDX588708:RDX588761 QUB588708:QUB588761 QKF588708:QKF588761 QAJ588708:QAJ588761 PQN588708:PQN588761 PGR588708:PGR588761 OWV588708:OWV588761 OMZ588708:OMZ588761 ODD588708:ODD588761 NTH588708:NTH588761 NJL588708:NJL588761 MZP588708:MZP588761 MPT588708:MPT588761 MFX588708:MFX588761 LWB588708:LWB588761 LMF588708:LMF588761 LCJ588708:LCJ588761 KSN588708:KSN588761 KIR588708:KIR588761 JYV588708:JYV588761 JOZ588708:JOZ588761 JFD588708:JFD588761 IVH588708:IVH588761 ILL588708:ILL588761 IBP588708:IBP588761 HRT588708:HRT588761 HHX588708:HHX588761 GYB588708:GYB588761 GOF588708:GOF588761 GEJ588708:GEJ588761 FUN588708:FUN588761 FKR588708:FKR588761 FAV588708:FAV588761 EQZ588708:EQZ588761 EHD588708:EHD588761 DXH588708:DXH588761 DNL588708:DNL588761 DDP588708:DDP588761 CTT588708:CTT588761 CJX588708:CJX588761 CAB588708:CAB588761 BQF588708:BQF588761 BGJ588708:BGJ588761 AWN588708:AWN588761 AMR588708:AMR588761 ACV588708:ACV588761 SZ588708:SZ588761 JD588708:JD588761 H588708:H588761 WVP523172:WVP523225 WLT523172:WLT523225 WBX523172:WBX523225 VSB523172:VSB523225 VIF523172:VIF523225 UYJ523172:UYJ523225 UON523172:UON523225 UER523172:UER523225 TUV523172:TUV523225 TKZ523172:TKZ523225 TBD523172:TBD523225 SRH523172:SRH523225 SHL523172:SHL523225 RXP523172:RXP523225 RNT523172:RNT523225 RDX523172:RDX523225 QUB523172:QUB523225 QKF523172:QKF523225 QAJ523172:QAJ523225 PQN523172:PQN523225 PGR523172:PGR523225 OWV523172:OWV523225 OMZ523172:OMZ523225 ODD523172:ODD523225 NTH523172:NTH523225 NJL523172:NJL523225 MZP523172:MZP523225 MPT523172:MPT523225 MFX523172:MFX523225 LWB523172:LWB523225 LMF523172:LMF523225 LCJ523172:LCJ523225 KSN523172:KSN523225 KIR523172:KIR523225 JYV523172:JYV523225 JOZ523172:JOZ523225 JFD523172:JFD523225 IVH523172:IVH523225 ILL523172:ILL523225 IBP523172:IBP523225 HRT523172:HRT523225 HHX523172:HHX523225 GYB523172:GYB523225 GOF523172:GOF523225 GEJ523172:GEJ523225 FUN523172:FUN523225 FKR523172:FKR523225 FAV523172:FAV523225 EQZ523172:EQZ523225 EHD523172:EHD523225 DXH523172:DXH523225 DNL523172:DNL523225 DDP523172:DDP523225 CTT523172:CTT523225 CJX523172:CJX523225 CAB523172:CAB523225 BQF523172:BQF523225 BGJ523172:BGJ523225 AWN523172:AWN523225 AMR523172:AMR523225 ACV523172:ACV523225 SZ523172:SZ523225 JD523172:JD523225 H523172:H523225 WVP457636:WVP457689 WLT457636:WLT457689 WBX457636:WBX457689 VSB457636:VSB457689 VIF457636:VIF457689 UYJ457636:UYJ457689 UON457636:UON457689 UER457636:UER457689 TUV457636:TUV457689 TKZ457636:TKZ457689 TBD457636:TBD457689 SRH457636:SRH457689 SHL457636:SHL457689 RXP457636:RXP457689 RNT457636:RNT457689 RDX457636:RDX457689 QUB457636:QUB457689 QKF457636:QKF457689 QAJ457636:QAJ457689 PQN457636:PQN457689 PGR457636:PGR457689 OWV457636:OWV457689 OMZ457636:OMZ457689 ODD457636:ODD457689 NTH457636:NTH457689 NJL457636:NJL457689 MZP457636:MZP457689 MPT457636:MPT457689 MFX457636:MFX457689 LWB457636:LWB457689 LMF457636:LMF457689 LCJ457636:LCJ457689 KSN457636:KSN457689 KIR457636:KIR457689 JYV457636:JYV457689 JOZ457636:JOZ457689 JFD457636:JFD457689 IVH457636:IVH457689 ILL457636:ILL457689 IBP457636:IBP457689 HRT457636:HRT457689 HHX457636:HHX457689 GYB457636:GYB457689 GOF457636:GOF457689 GEJ457636:GEJ457689 FUN457636:FUN457689 FKR457636:FKR457689 FAV457636:FAV457689 EQZ457636:EQZ457689 EHD457636:EHD457689 DXH457636:DXH457689 DNL457636:DNL457689 DDP457636:DDP457689 CTT457636:CTT457689 CJX457636:CJX457689 CAB457636:CAB457689 BQF457636:BQF457689 BGJ457636:BGJ457689 AWN457636:AWN457689 AMR457636:AMR457689 ACV457636:ACV457689 SZ457636:SZ457689 JD457636:JD457689 H457636:H457689 WVP392100:WVP392153 WLT392100:WLT392153 WBX392100:WBX392153 VSB392100:VSB392153 VIF392100:VIF392153 UYJ392100:UYJ392153 UON392100:UON392153 UER392100:UER392153 TUV392100:TUV392153 TKZ392100:TKZ392153 TBD392100:TBD392153 SRH392100:SRH392153 SHL392100:SHL392153 RXP392100:RXP392153 RNT392100:RNT392153 RDX392100:RDX392153 QUB392100:QUB392153 QKF392100:QKF392153 QAJ392100:QAJ392153 PQN392100:PQN392153 PGR392100:PGR392153 OWV392100:OWV392153 OMZ392100:OMZ392153 ODD392100:ODD392153 NTH392100:NTH392153 NJL392100:NJL392153 MZP392100:MZP392153 MPT392100:MPT392153 MFX392100:MFX392153 LWB392100:LWB392153 LMF392100:LMF392153 LCJ392100:LCJ392153 KSN392100:KSN392153 KIR392100:KIR392153 JYV392100:JYV392153 JOZ392100:JOZ392153 JFD392100:JFD392153 IVH392100:IVH392153 ILL392100:ILL392153 IBP392100:IBP392153 HRT392100:HRT392153 HHX392100:HHX392153 GYB392100:GYB392153 GOF392100:GOF392153 GEJ392100:GEJ392153 FUN392100:FUN392153 FKR392100:FKR392153 FAV392100:FAV392153 EQZ392100:EQZ392153 EHD392100:EHD392153 DXH392100:DXH392153 DNL392100:DNL392153 DDP392100:DDP392153 CTT392100:CTT392153 CJX392100:CJX392153 CAB392100:CAB392153 BQF392100:BQF392153 BGJ392100:BGJ392153 AWN392100:AWN392153 AMR392100:AMR392153 ACV392100:ACV392153 SZ392100:SZ392153 JD392100:JD392153 H392100:H392153 WVP326564:WVP326617 WLT326564:WLT326617 WBX326564:WBX326617 VSB326564:VSB326617 VIF326564:VIF326617 UYJ326564:UYJ326617 UON326564:UON326617 UER326564:UER326617 TUV326564:TUV326617 TKZ326564:TKZ326617 TBD326564:TBD326617 SRH326564:SRH326617 SHL326564:SHL326617 RXP326564:RXP326617 RNT326564:RNT326617 RDX326564:RDX326617 QUB326564:QUB326617 QKF326564:QKF326617 QAJ326564:QAJ326617 PQN326564:PQN326617 PGR326564:PGR326617 OWV326564:OWV326617 OMZ326564:OMZ326617 ODD326564:ODD326617 NTH326564:NTH326617 NJL326564:NJL326617 MZP326564:MZP326617 MPT326564:MPT326617 MFX326564:MFX326617 LWB326564:LWB326617 LMF326564:LMF326617 LCJ326564:LCJ326617 KSN326564:KSN326617 KIR326564:KIR326617 JYV326564:JYV326617 JOZ326564:JOZ326617 JFD326564:JFD326617 IVH326564:IVH326617 ILL326564:ILL326617 IBP326564:IBP326617 HRT326564:HRT326617 HHX326564:HHX326617 GYB326564:GYB326617 GOF326564:GOF326617 GEJ326564:GEJ326617 FUN326564:FUN326617 FKR326564:FKR326617 FAV326564:FAV326617 EQZ326564:EQZ326617 EHD326564:EHD326617 DXH326564:DXH326617 DNL326564:DNL326617 DDP326564:DDP326617 CTT326564:CTT326617 CJX326564:CJX326617 CAB326564:CAB326617 BQF326564:BQF326617 BGJ326564:BGJ326617 AWN326564:AWN326617 AMR326564:AMR326617 ACV326564:ACV326617 SZ326564:SZ326617 JD326564:JD326617 H326564:H326617 WVP261028:WVP261081 WLT261028:WLT261081 WBX261028:WBX261081 VSB261028:VSB261081 VIF261028:VIF261081 UYJ261028:UYJ261081 UON261028:UON261081 UER261028:UER261081 TUV261028:TUV261081 TKZ261028:TKZ261081 TBD261028:TBD261081 SRH261028:SRH261081 SHL261028:SHL261081 RXP261028:RXP261081 RNT261028:RNT261081 RDX261028:RDX261081 QUB261028:QUB261081 QKF261028:QKF261081 QAJ261028:QAJ261081 PQN261028:PQN261081 PGR261028:PGR261081 OWV261028:OWV261081 OMZ261028:OMZ261081 ODD261028:ODD261081 NTH261028:NTH261081 NJL261028:NJL261081 MZP261028:MZP261081 MPT261028:MPT261081 MFX261028:MFX261081 LWB261028:LWB261081 LMF261028:LMF261081 LCJ261028:LCJ261081 KSN261028:KSN261081 KIR261028:KIR261081 JYV261028:JYV261081 JOZ261028:JOZ261081 JFD261028:JFD261081 IVH261028:IVH261081 ILL261028:ILL261081 IBP261028:IBP261081 HRT261028:HRT261081 HHX261028:HHX261081 GYB261028:GYB261081 GOF261028:GOF261081 GEJ261028:GEJ261081 FUN261028:FUN261081 FKR261028:FKR261081 FAV261028:FAV261081 EQZ261028:EQZ261081 EHD261028:EHD261081 DXH261028:DXH261081 DNL261028:DNL261081 DDP261028:DDP261081 CTT261028:CTT261081 CJX261028:CJX261081 CAB261028:CAB261081 BQF261028:BQF261081 BGJ261028:BGJ261081 AWN261028:AWN261081 AMR261028:AMR261081 ACV261028:ACV261081 SZ261028:SZ261081 JD261028:JD261081 H261028:H261081 WVP195492:WVP195545 WLT195492:WLT195545 WBX195492:WBX195545 VSB195492:VSB195545 VIF195492:VIF195545 UYJ195492:UYJ195545 UON195492:UON195545 UER195492:UER195545 TUV195492:TUV195545 TKZ195492:TKZ195545 TBD195492:TBD195545 SRH195492:SRH195545 SHL195492:SHL195545 RXP195492:RXP195545 RNT195492:RNT195545 RDX195492:RDX195545 QUB195492:QUB195545 QKF195492:QKF195545 QAJ195492:QAJ195545 PQN195492:PQN195545 PGR195492:PGR195545 OWV195492:OWV195545 OMZ195492:OMZ195545 ODD195492:ODD195545 NTH195492:NTH195545 NJL195492:NJL195545 MZP195492:MZP195545 MPT195492:MPT195545 MFX195492:MFX195545 LWB195492:LWB195545 LMF195492:LMF195545 LCJ195492:LCJ195545 KSN195492:KSN195545 KIR195492:KIR195545 JYV195492:JYV195545 JOZ195492:JOZ195545 JFD195492:JFD195545 IVH195492:IVH195545 ILL195492:ILL195545 IBP195492:IBP195545 HRT195492:HRT195545 HHX195492:HHX195545 GYB195492:GYB195545 GOF195492:GOF195545 GEJ195492:GEJ195545 FUN195492:FUN195545 FKR195492:FKR195545 FAV195492:FAV195545 EQZ195492:EQZ195545 EHD195492:EHD195545 DXH195492:DXH195545 DNL195492:DNL195545 DDP195492:DDP195545 CTT195492:CTT195545 CJX195492:CJX195545 CAB195492:CAB195545 BQF195492:BQF195545 BGJ195492:BGJ195545 AWN195492:AWN195545 AMR195492:AMR195545 ACV195492:ACV195545 SZ195492:SZ195545 JD195492:JD195545 H195492:H195545 WVP129956:WVP130009 WLT129956:WLT130009 WBX129956:WBX130009 VSB129956:VSB130009 VIF129956:VIF130009 UYJ129956:UYJ130009 UON129956:UON130009 UER129956:UER130009 TUV129956:TUV130009 TKZ129956:TKZ130009 TBD129956:TBD130009 SRH129956:SRH130009 SHL129956:SHL130009 RXP129956:RXP130009 RNT129956:RNT130009 RDX129956:RDX130009 QUB129956:QUB130009 QKF129956:QKF130009 QAJ129956:QAJ130009 PQN129956:PQN130009 PGR129956:PGR130009 OWV129956:OWV130009 OMZ129956:OMZ130009 ODD129956:ODD130009 NTH129956:NTH130009 NJL129956:NJL130009 MZP129956:MZP130009 MPT129956:MPT130009 MFX129956:MFX130009 LWB129956:LWB130009 LMF129956:LMF130009 LCJ129956:LCJ130009 KSN129956:KSN130009 KIR129956:KIR130009 JYV129956:JYV130009 JOZ129956:JOZ130009 JFD129956:JFD130009 IVH129956:IVH130009 ILL129956:ILL130009 IBP129956:IBP130009 HRT129956:HRT130009 HHX129956:HHX130009 GYB129956:GYB130009 GOF129956:GOF130009 GEJ129956:GEJ130009 FUN129956:FUN130009 FKR129956:FKR130009 FAV129956:FAV130009 EQZ129956:EQZ130009 EHD129956:EHD130009 DXH129956:DXH130009 DNL129956:DNL130009 DDP129956:DDP130009 CTT129956:CTT130009 CJX129956:CJX130009 CAB129956:CAB130009 BQF129956:BQF130009 BGJ129956:BGJ130009 AWN129956:AWN130009 AMR129956:AMR130009 ACV129956:ACV130009 SZ129956:SZ130009 JD129956:JD130009 H129956:H130009 WVP64420:WVP64473 WLT64420:WLT64473 WBX64420:WBX64473 VSB64420:VSB64473 VIF64420:VIF64473 UYJ64420:UYJ64473 UON64420:UON64473 UER64420:UER64473 TUV64420:TUV64473 TKZ64420:TKZ64473 TBD64420:TBD64473 SRH64420:SRH64473 SHL64420:SHL64473 RXP64420:RXP64473 RNT64420:RNT64473 RDX64420:RDX64473 QUB64420:QUB64473 QKF64420:QKF64473 QAJ64420:QAJ64473 PQN64420:PQN64473 PGR64420:PGR64473 OWV64420:OWV64473 OMZ64420:OMZ64473 ODD64420:ODD64473 NTH64420:NTH64473 NJL64420:NJL64473 MZP64420:MZP64473 MPT64420:MPT64473 MFX64420:MFX64473 LWB64420:LWB64473 LMF64420:LMF64473 LCJ64420:LCJ64473 KSN64420:KSN64473 KIR64420:KIR64473 JYV64420:JYV64473 JOZ64420:JOZ64473 JFD64420:JFD64473 IVH64420:IVH64473 ILL64420:ILL64473 IBP64420:IBP64473 HRT64420:HRT64473 HHX64420:HHX64473 GYB64420:GYB64473 GOF64420:GOF64473 GEJ64420:GEJ64473 FUN64420:FUN64473 FKR64420:FKR64473 FAV64420:FAV64473 EQZ64420:EQZ64473 EHD64420:EHD64473 DXH64420:DXH64473 DNL64420:DNL64473 DDP64420:DDP64473 CTT64420:CTT64473 CJX64420:CJX64473 CAB64420:CAB64473 BQF64420:BQF64473 BGJ64420:BGJ64473 AWN64420:AWN64473 AMR64420:AMR64473 ACV64420:ACV64473 SZ64420:SZ64473 JD64420:JD64473" xr:uid="{B11BA48E-AF87-4543-AB40-214992AD3BDF}">
      <formula1>$AL$2:$AL$9</formula1>
    </dataValidation>
    <dataValidation type="list" allowBlank="1" showInputMessage="1" showErrorMessage="1" sqref="WVS983039:WVS983137 WLW983039:WLW983137 WCA983039:WCA983137 VSE983039:VSE983137 VII983039:VII983137 UYM983039:UYM983137 UOQ983039:UOQ983137 UEU983039:UEU983137 TUY983039:TUY983137 TLC983039:TLC983137 TBG983039:TBG983137 SRK983039:SRK983137 SHO983039:SHO983137 RXS983039:RXS983137 RNW983039:RNW983137 REA983039:REA983137 QUE983039:QUE983137 QKI983039:QKI983137 QAM983039:QAM983137 PQQ983039:PQQ983137 PGU983039:PGU983137 OWY983039:OWY983137 ONC983039:ONC983137 ODG983039:ODG983137 NTK983039:NTK983137 NJO983039:NJO983137 MZS983039:MZS983137 MPW983039:MPW983137 MGA983039:MGA983137 LWE983039:LWE983137 LMI983039:LMI983137 LCM983039:LCM983137 KSQ983039:KSQ983137 KIU983039:KIU983137 JYY983039:JYY983137 JPC983039:JPC983137 JFG983039:JFG983137 IVK983039:IVK983137 ILO983039:ILO983137 IBS983039:IBS983137 HRW983039:HRW983137 HIA983039:HIA983137 GYE983039:GYE983137 GOI983039:GOI983137 GEM983039:GEM983137 FUQ983039:FUQ983137 FKU983039:FKU983137 FAY983039:FAY983137 ERC983039:ERC983137 EHG983039:EHG983137 DXK983039:DXK983137 DNO983039:DNO983137 DDS983039:DDS983137 CTW983039:CTW983137 CKA983039:CKA983137 CAE983039:CAE983137 BQI983039:BQI983137 BGM983039:BGM983137 AWQ983039:AWQ983137 AMU983039:AMU983137 ACY983039:ACY983137 TC983039:TC983137 JG983039:JG983137 K983039:K983137 WVS917503:WVS917601 WLW917503:WLW917601 WCA917503:WCA917601 VSE917503:VSE917601 VII917503:VII917601 UYM917503:UYM917601 UOQ917503:UOQ917601 UEU917503:UEU917601 TUY917503:TUY917601 TLC917503:TLC917601 TBG917503:TBG917601 SRK917503:SRK917601 SHO917503:SHO917601 RXS917503:RXS917601 RNW917503:RNW917601 REA917503:REA917601 QUE917503:QUE917601 QKI917503:QKI917601 QAM917503:QAM917601 PQQ917503:PQQ917601 PGU917503:PGU917601 OWY917503:OWY917601 ONC917503:ONC917601 ODG917503:ODG917601 NTK917503:NTK917601 NJO917503:NJO917601 MZS917503:MZS917601 MPW917503:MPW917601 MGA917503:MGA917601 LWE917503:LWE917601 LMI917503:LMI917601 LCM917503:LCM917601 KSQ917503:KSQ917601 KIU917503:KIU917601 JYY917503:JYY917601 JPC917503:JPC917601 JFG917503:JFG917601 IVK917503:IVK917601 ILO917503:ILO917601 IBS917503:IBS917601 HRW917503:HRW917601 HIA917503:HIA917601 GYE917503:GYE917601 GOI917503:GOI917601 GEM917503:GEM917601 FUQ917503:FUQ917601 FKU917503:FKU917601 FAY917503:FAY917601 ERC917503:ERC917601 EHG917503:EHG917601 DXK917503:DXK917601 DNO917503:DNO917601 DDS917503:DDS917601 CTW917503:CTW917601 CKA917503:CKA917601 CAE917503:CAE917601 BQI917503:BQI917601 BGM917503:BGM917601 AWQ917503:AWQ917601 AMU917503:AMU917601 ACY917503:ACY917601 TC917503:TC917601 JG917503:JG917601 K917503:K917601 WVS851967:WVS852065 WLW851967:WLW852065 WCA851967:WCA852065 VSE851967:VSE852065 VII851967:VII852065 UYM851967:UYM852065 UOQ851967:UOQ852065 UEU851967:UEU852065 TUY851967:TUY852065 TLC851967:TLC852065 TBG851967:TBG852065 SRK851967:SRK852065 SHO851967:SHO852065 RXS851967:RXS852065 RNW851967:RNW852065 REA851967:REA852065 QUE851967:QUE852065 QKI851967:QKI852065 QAM851967:QAM852065 PQQ851967:PQQ852065 PGU851967:PGU852065 OWY851967:OWY852065 ONC851967:ONC852065 ODG851967:ODG852065 NTK851967:NTK852065 NJO851967:NJO852065 MZS851967:MZS852065 MPW851967:MPW852065 MGA851967:MGA852065 LWE851967:LWE852065 LMI851967:LMI852065 LCM851967:LCM852065 KSQ851967:KSQ852065 KIU851967:KIU852065 JYY851967:JYY852065 JPC851967:JPC852065 JFG851967:JFG852065 IVK851967:IVK852065 ILO851967:ILO852065 IBS851967:IBS852065 HRW851967:HRW852065 HIA851967:HIA852065 GYE851967:GYE852065 GOI851967:GOI852065 GEM851967:GEM852065 FUQ851967:FUQ852065 FKU851967:FKU852065 FAY851967:FAY852065 ERC851967:ERC852065 EHG851967:EHG852065 DXK851967:DXK852065 DNO851967:DNO852065 DDS851967:DDS852065 CTW851967:CTW852065 CKA851967:CKA852065 CAE851967:CAE852065 BQI851967:BQI852065 BGM851967:BGM852065 AWQ851967:AWQ852065 AMU851967:AMU852065 ACY851967:ACY852065 TC851967:TC852065 JG851967:JG852065 K851967:K852065 WVS786431:WVS786529 WLW786431:WLW786529 WCA786431:WCA786529 VSE786431:VSE786529 VII786431:VII786529 UYM786431:UYM786529 UOQ786431:UOQ786529 UEU786431:UEU786529 TUY786431:TUY786529 TLC786431:TLC786529 TBG786431:TBG786529 SRK786431:SRK786529 SHO786431:SHO786529 RXS786431:RXS786529 RNW786431:RNW786529 REA786431:REA786529 QUE786431:QUE786529 QKI786431:QKI786529 QAM786431:QAM786529 PQQ786431:PQQ786529 PGU786431:PGU786529 OWY786431:OWY786529 ONC786431:ONC786529 ODG786431:ODG786529 NTK786431:NTK786529 NJO786431:NJO786529 MZS786431:MZS786529 MPW786431:MPW786529 MGA786431:MGA786529 LWE786431:LWE786529 LMI786431:LMI786529 LCM786431:LCM786529 KSQ786431:KSQ786529 KIU786431:KIU786529 JYY786431:JYY786529 JPC786431:JPC786529 JFG786431:JFG786529 IVK786431:IVK786529 ILO786431:ILO786529 IBS786431:IBS786529 HRW786431:HRW786529 HIA786431:HIA786529 GYE786431:GYE786529 GOI786431:GOI786529 GEM786431:GEM786529 FUQ786431:FUQ786529 FKU786431:FKU786529 FAY786431:FAY786529 ERC786431:ERC786529 EHG786431:EHG786529 DXK786431:DXK786529 DNO786431:DNO786529 DDS786431:DDS786529 CTW786431:CTW786529 CKA786431:CKA786529 CAE786431:CAE786529 BQI786431:BQI786529 BGM786431:BGM786529 AWQ786431:AWQ786529 AMU786431:AMU786529 ACY786431:ACY786529 TC786431:TC786529 JG786431:JG786529 K786431:K786529 WVS720895:WVS720993 WLW720895:WLW720993 WCA720895:WCA720993 VSE720895:VSE720993 VII720895:VII720993 UYM720895:UYM720993 UOQ720895:UOQ720993 UEU720895:UEU720993 TUY720895:TUY720993 TLC720895:TLC720993 TBG720895:TBG720993 SRK720895:SRK720993 SHO720895:SHO720993 RXS720895:RXS720993 RNW720895:RNW720993 REA720895:REA720993 QUE720895:QUE720993 QKI720895:QKI720993 QAM720895:QAM720993 PQQ720895:PQQ720993 PGU720895:PGU720993 OWY720895:OWY720993 ONC720895:ONC720993 ODG720895:ODG720993 NTK720895:NTK720993 NJO720895:NJO720993 MZS720895:MZS720993 MPW720895:MPW720993 MGA720895:MGA720993 LWE720895:LWE720993 LMI720895:LMI720993 LCM720895:LCM720993 KSQ720895:KSQ720993 KIU720895:KIU720993 JYY720895:JYY720993 JPC720895:JPC720993 JFG720895:JFG720993 IVK720895:IVK720993 ILO720895:ILO720993 IBS720895:IBS720993 HRW720895:HRW720993 HIA720895:HIA720993 GYE720895:GYE720993 GOI720895:GOI720993 GEM720895:GEM720993 FUQ720895:FUQ720993 FKU720895:FKU720993 FAY720895:FAY720993 ERC720895:ERC720993 EHG720895:EHG720993 DXK720895:DXK720993 DNO720895:DNO720993 DDS720895:DDS720993 CTW720895:CTW720993 CKA720895:CKA720993 CAE720895:CAE720993 BQI720895:BQI720993 BGM720895:BGM720993 AWQ720895:AWQ720993 AMU720895:AMU720993 ACY720895:ACY720993 TC720895:TC720993 JG720895:JG720993 K720895:K720993 WVS655359:WVS655457 WLW655359:WLW655457 WCA655359:WCA655457 VSE655359:VSE655457 VII655359:VII655457 UYM655359:UYM655457 UOQ655359:UOQ655457 UEU655359:UEU655457 TUY655359:TUY655457 TLC655359:TLC655457 TBG655359:TBG655457 SRK655359:SRK655457 SHO655359:SHO655457 RXS655359:RXS655457 RNW655359:RNW655457 REA655359:REA655457 QUE655359:QUE655457 QKI655359:QKI655457 QAM655359:QAM655457 PQQ655359:PQQ655457 PGU655359:PGU655457 OWY655359:OWY655457 ONC655359:ONC655457 ODG655359:ODG655457 NTK655359:NTK655457 NJO655359:NJO655457 MZS655359:MZS655457 MPW655359:MPW655457 MGA655359:MGA655457 LWE655359:LWE655457 LMI655359:LMI655457 LCM655359:LCM655457 KSQ655359:KSQ655457 KIU655359:KIU655457 JYY655359:JYY655457 JPC655359:JPC655457 JFG655359:JFG655457 IVK655359:IVK655457 ILO655359:ILO655457 IBS655359:IBS655457 HRW655359:HRW655457 HIA655359:HIA655457 GYE655359:GYE655457 GOI655359:GOI655457 GEM655359:GEM655457 FUQ655359:FUQ655457 FKU655359:FKU655457 FAY655359:FAY655457 ERC655359:ERC655457 EHG655359:EHG655457 DXK655359:DXK655457 DNO655359:DNO655457 DDS655359:DDS655457 CTW655359:CTW655457 CKA655359:CKA655457 CAE655359:CAE655457 BQI655359:BQI655457 BGM655359:BGM655457 AWQ655359:AWQ655457 AMU655359:AMU655457 ACY655359:ACY655457 TC655359:TC655457 JG655359:JG655457 K655359:K655457 WVS589823:WVS589921 WLW589823:WLW589921 WCA589823:WCA589921 VSE589823:VSE589921 VII589823:VII589921 UYM589823:UYM589921 UOQ589823:UOQ589921 UEU589823:UEU589921 TUY589823:TUY589921 TLC589823:TLC589921 TBG589823:TBG589921 SRK589823:SRK589921 SHO589823:SHO589921 RXS589823:RXS589921 RNW589823:RNW589921 REA589823:REA589921 QUE589823:QUE589921 QKI589823:QKI589921 QAM589823:QAM589921 PQQ589823:PQQ589921 PGU589823:PGU589921 OWY589823:OWY589921 ONC589823:ONC589921 ODG589823:ODG589921 NTK589823:NTK589921 NJO589823:NJO589921 MZS589823:MZS589921 MPW589823:MPW589921 MGA589823:MGA589921 LWE589823:LWE589921 LMI589823:LMI589921 LCM589823:LCM589921 KSQ589823:KSQ589921 KIU589823:KIU589921 JYY589823:JYY589921 JPC589823:JPC589921 JFG589823:JFG589921 IVK589823:IVK589921 ILO589823:ILO589921 IBS589823:IBS589921 HRW589823:HRW589921 HIA589823:HIA589921 GYE589823:GYE589921 GOI589823:GOI589921 GEM589823:GEM589921 FUQ589823:FUQ589921 FKU589823:FKU589921 FAY589823:FAY589921 ERC589823:ERC589921 EHG589823:EHG589921 DXK589823:DXK589921 DNO589823:DNO589921 DDS589823:DDS589921 CTW589823:CTW589921 CKA589823:CKA589921 CAE589823:CAE589921 BQI589823:BQI589921 BGM589823:BGM589921 AWQ589823:AWQ589921 AMU589823:AMU589921 ACY589823:ACY589921 TC589823:TC589921 JG589823:JG589921 K589823:K589921 WVS524287:WVS524385 WLW524287:WLW524385 WCA524287:WCA524385 VSE524287:VSE524385 VII524287:VII524385 UYM524287:UYM524385 UOQ524287:UOQ524385 UEU524287:UEU524385 TUY524287:TUY524385 TLC524287:TLC524385 TBG524287:TBG524385 SRK524287:SRK524385 SHO524287:SHO524385 RXS524287:RXS524385 RNW524287:RNW524385 REA524287:REA524385 QUE524287:QUE524385 QKI524287:QKI524385 QAM524287:QAM524385 PQQ524287:PQQ524385 PGU524287:PGU524385 OWY524287:OWY524385 ONC524287:ONC524385 ODG524287:ODG524385 NTK524287:NTK524385 NJO524287:NJO524385 MZS524287:MZS524385 MPW524287:MPW524385 MGA524287:MGA524385 LWE524287:LWE524385 LMI524287:LMI524385 LCM524287:LCM524385 KSQ524287:KSQ524385 KIU524287:KIU524385 JYY524287:JYY524385 JPC524287:JPC524385 JFG524287:JFG524385 IVK524287:IVK524385 ILO524287:ILO524385 IBS524287:IBS524385 HRW524287:HRW524385 HIA524287:HIA524385 GYE524287:GYE524385 GOI524287:GOI524385 GEM524287:GEM524385 FUQ524287:FUQ524385 FKU524287:FKU524385 FAY524287:FAY524385 ERC524287:ERC524385 EHG524287:EHG524385 DXK524287:DXK524385 DNO524287:DNO524385 DDS524287:DDS524385 CTW524287:CTW524385 CKA524287:CKA524385 CAE524287:CAE524385 BQI524287:BQI524385 BGM524287:BGM524385 AWQ524287:AWQ524385 AMU524287:AMU524385 ACY524287:ACY524385 TC524287:TC524385 JG524287:JG524385 K524287:K524385 WVS458751:WVS458849 WLW458751:WLW458849 WCA458751:WCA458849 VSE458751:VSE458849 VII458751:VII458849 UYM458751:UYM458849 UOQ458751:UOQ458849 UEU458751:UEU458849 TUY458751:TUY458849 TLC458751:TLC458849 TBG458751:TBG458849 SRK458751:SRK458849 SHO458751:SHO458849 RXS458751:RXS458849 RNW458751:RNW458849 REA458751:REA458849 QUE458751:QUE458849 QKI458751:QKI458849 QAM458751:QAM458849 PQQ458751:PQQ458849 PGU458751:PGU458849 OWY458751:OWY458849 ONC458751:ONC458849 ODG458751:ODG458849 NTK458751:NTK458849 NJO458751:NJO458849 MZS458751:MZS458849 MPW458751:MPW458849 MGA458751:MGA458849 LWE458751:LWE458849 LMI458751:LMI458849 LCM458751:LCM458849 KSQ458751:KSQ458849 KIU458751:KIU458849 JYY458751:JYY458849 JPC458751:JPC458849 JFG458751:JFG458849 IVK458751:IVK458849 ILO458751:ILO458849 IBS458751:IBS458849 HRW458751:HRW458849 HIA458751:HIA458849 GYE458751:GYE458849 GOI458751:GOI458849 GEM458751:GEM458849 FUQ458751:FUQ458849 FKU458751:FKU458849 FAY458751:FAY458849 ERC458751:ERC458849 EHG458751:EHG458849 DXK458751:DXK458849 DNO458751:DNO458849 DDS458751:DDS458849 CTW458751:CTW458849 CKA458751:CKA458849 CAE458751:CAE458849 BQI458751:BQI458849 BGM458751:BGM458849 AWQ458751:AWQ458849 AMU458751:AMU458849 ACY458751:ACY458849 TC458751:TC458849 JG458751:JG458849 K458751:K458849 WVS393215:WVS393313 WLW393215:WLW393313 WCA393215:WCA393313 VSE393215:VSE393313 VII393215:VII393313 UYM393215:UYM393313 UOQ393215:UOQ393313 UEU393215:UEU393313 TUY393215:TUY393313 TLC393215:TLC393313 TBG393215:TBG393313 SRK393215:SRK393313 SHO393215:SHO393313 RXS393215:RXS393313 RNW393215:RNW393313 REA393215:REA393313 QUE393215:QUE393313 QKI393215:QKI393313 QAM393215:QAM393313 PQQ393215:PQQ393313 PGU393215:PGU393313 OWY393215:OWY393313 ONC393215:ONC393313 ODG393215:ODG393313 NTK393215:NTK393313 NJO393215:NJO393313 MZS393215:MZS393313 MPW393215:MPW393313 MGA393215:MGA393313 LWE393215:LWE393313 LMI393215:LMI393313 LCM393215:LCM393313 KSQ393215:KSQ393313 KIU393215:KIU393313 JYY393215:JYY393313 JPC393215:JPC393313 JFG393215:JFG393313 IVK393215:IVK393313 ILO393215:ILO393313 IBS393215:IBS393313 HRW393215:HRW393313 HIA393215:HIA393313 GYE393215:GYE393313 GOI393215:GOI393313 GEM393215:GEM393313 FUQ393215:FUQ393313 FKU393215:FKU393313 FAY393215:FAY393313 ERC393215:ERC393313 EHG393215:EHG393313 DXK393215:DXK393313 DNO393215:DNO393313 DDS393215:DDS393313 CTW393215:CTW393313 CKA393215:CKA393313 CAE393215:CAE393313 BQI393215:BQI393313 BGM393215:BGM393313 AWQ393215:AWQ393313 AMU393215:AMU393313 ACY393215:ACY393313 TC393215:TC393313 JG393215:JG393313 K393215:K393313 WVS327679:WVS327777 WLW327679:WLW327777 WCA327679:WCA327777 VSE327679:VSE327777 VII327679:VII327777 UYM327679:UYM327777 UOQ327679:UOQ327777 UEU327679:UEU327777 TUY327679:TUY327777 TLC327679:TLC327777 TBG327679:TBG327777 SRK327679:SRK327777 SHO327679:SHO327777 RXS327679:RXS327777 RNW327679:RNW327777 REA327679:REA327777 QUE327679:QUE327777 QKI327679:QKI327777 QAM327679:QAM327777 PQQ327679:PQQ327777 PGU327679:PGU327777 OWY327679:OWY327777 ONC327679:ONC327777 ODG327679:ODG327777 NTK327679:NTK327777 NJO327679:NJO327777 MZS327679:MZS327777 MPW327679:MPW327777 MGA327679:MGA327777 LWE327679:LWE327777 LMI327679:LMI327777 LCM327679:LCM327777 KSQ327679:KSQ327777 KIU327679:KIU327777 JYY327679:JYY327777 JPC327679:JPC327777 JFG327679:JFG327777 IVK327679:IVK327777 ILO327679:ILO327777 IBS327679:IBS327777 HRW327679:HRW327777 HIA327679:HIA327777 GYE327679:GYE327777 GOI327679:GOI327777 GEM327679:GEM327777 FUQ327679:FUQ327777 FKU327679:FKU327777 FAY327679:FAY327777 ERC327679:ERC327777 EHG327679:EHG327777 DXK327679:DXK327777 DNO327679:DNO327777 DDS327679:DDS327777 CTW327679:CTW327777 CKA327679:CKA327777 CAE327679:CAE327777 BQI327679:BQI327777 BGM327679:BGM327777 AWQ327679:AWQ327777 AMU327679:AMU327777 ACY327679:ACY327777 TC327679:TC327777 JG327679:JG327777 K327679:K327777 WVS262143:WVS262241 WLW262143:WLW262241 WCA262143:WCA262241 VSE262143:VSE262241 VII262143:VII262241 UYM262143:UYM262241 UOQ262143:UOQ262241 UEU262143:UEU262241 TUY262143:TUY262241 TLC262143:TLC262241 TBG262143:TBG262241 SRK262143:SRK262241 SHO262143:SHO262241 RXS262143:RXS262241 RNW262143:RNW262241 REA262143:REA262241 QUE262143:QUE262241 QKI262143:QKI262241 QAM262143:QAM262241 PQQ262143:PQQ262241 PGU262143:PGU262241 OWY262143:OWY262241 ONC262143:ONC262241 ODG262143:ODG262241 NTK262143:NTK262241 NJO262143:NJO262241 MZS262143:MZS262241 MPW262143:MPW262241 MGA262143:MGA262241 LWE262143:LWE262241 LMI262143:LMI262241 LCM262143:LCM262241 KSQ262143:KSQ262241 KIU262143:KIU262241 JYY262143:JYY262241 JPC262143:JPC262241 JFG262143:JFG262241 IVK262143:IVK262241 ILO262143:ILO262241 IBS262143:IBS262241 HRW262143:HRW262241 HIA262143:HIA262241 GYE262143:GYE262241 GOI262143:GOI262241 GEM262143:GEM262241 FUQ262143:FUQ262241 FKU262143:FKU262241 FAY262143:FAY262241 ERC262143:ERC262241 EHG262143:EHG262241 DXK262143:DXK262241 DNO262143:DNO262241 DDS262143:DDS262241 CTW262143:CTW262241 CKA262143:CKA262241 CAE262143:CAE262241 BQI262143:BQI262241 BGM262143:BGM262241 AWQ262143:AWQ262241 AMU262143:AMU262241 ACY262143:ACY262241 TC262143:TC262241 JG262143:JG262241 K262143:K262241 WVS196607:WVS196705 WLW196607:WLW196705 WCA196607:WCA196705 VSE196607:VSE196705 VII196607:VII196705 UYM196607:UYM196705 UOQ196607:UOQ196705 UEU196607:UEU196705 TUY196607:TUY196705 TLC196607:TLC196705 TBG196607:TBG196705 SRK196607:SRK196705 SHO196607:SHO196705 RXS196607:RXS196705 RNW196607:RNW196705 REA196607:REA196705 QUE196607:QUE196705 QKI196607:QKI196705 QAM196607:QAM196705 PQQ196607:PQQ196705 PGU196607:PGU196705 OWY196607:OWY196705 ONC196607:ONC196705 ODG196607:ODG196705 NTK196607:NTK196705 NJO196607:NJO196705 MZS196607:MZS196705 MPW196607:MPW196705 MGA196607:MGA196705 LWE196607:LWE196705 LMI196607:LMI196705 LCM196607:LCM196705 KSQ196607:KSQ196705 KIU196607:KIU196705 JYY196607:JYY196705 JPC196607:JPC196705 JFG196607:JFG196705 IVK196607:IVK196705 ILO196607:ILO196705 IBS196607:IBS196705 HRW196607:HRW196705 HIA196607:HIA196705 GYE196607:GYE196705 GOI196607:GOI196705 GEM196607:GEM196705 FUQ196607:FUQ196705 FKU196607:FKU196705 FAY196607:FAY196705 ERC196607:ERC196705 EHG196607:EHG196705 DXK196607:DXK196705 DNO196607:DNO196705 DDS196607:DDS196705 CTW196607:CTW196705 CKA196607:CKA196705 CAE196607:CAE196705 BQI196607:BQI196705 BGM196607:BGM196705 AWQ196607:AWQ196705 AMU196607:AMU196705 ACY196607:ACY196705 TC196607:TC196705 JG196607:JG196705 K196607:K196705 WVS131071:WVS131169 WLW131071:WLW131169 WCA131071:WCA131169 VSE131071:VSE131169 VII131071:VII131169 UYM131071:UYM131169 UOQ131071:UOQ131169 UEU131071:UEU131169 TUY131071:TUY131169 TLC131071:TLC131169 TBG131071:TBG131169 SRK131071:SRK131169 SHO131071:SHO131169 RXS131071:RXS131169 RNW131071:RNW131169 REA131071:REA131169 QUE131071:QUE131169 QKI131071:QKI131169 QAM131071:QAM131169 PQQ131071:PQQ131169 PGU131071:PGU131169 OWY131071:OWY131169 ONC131071:ONC131169 ODG131071:ODG131169 NTK131071:NTK131169 NJO131071:NJO131169 MZS131071:MZS131169 MPW131071:MPW131169 MGA131071:MGA131169 LWE131071:LWE131169 LMI131071:LMI131169 LCM131071:LCM131169 KSQ131071:KSQ131169 KIU131071:KIU131169 JYY131071:JYY131169 JPC131071:JPC131169 JFG131071:JFG131169 IVK131071:IVK131169 ILO131071:ILO131169 IBS131071:IBS131169 HRW131071:HRW131169 HIA131071:HIA131169 GYE131071:GYE131169 GOI131071:GOI131169 GEM131071:GEM131169 FUQ131071:FUQ131169 FKU131071:FKU131169 FAY131071:FAY131169 ERC131071:ERC131169 EHG131071:EHG131169 DXK131071:DXK131169 DNO131071:DNO131169 DDS131071:DDS131169 CTW131071:CTW131169 CKA131071:CKA131169 CAE131071:CAE131169 BQI131071:BQI131169 BGM131071:BGM131169 AWQ131071:AWQ131169 AMU131071:AMU131169 ACY131071:ACY131169 TC131071:TC131169 JG131071:JG131169 K131071:K131169 WVS65535:WVS65633 WLW65535:WLW65633 WCA65535:WCA65633 VSE65535:VSE65633 VII65535:VII65633 UYM65535:UYM65633 UOQ65535:UOQ65633 UEU65535:UEU65633 TUY65535:TUY65633 TLC65535:TLC65633 TBG65535:TBG65633 SRK65535:SRK65633 SHO65535:SHO65633 RXS65535:RXS65633 RNW65535:RNW65633 REA65535:REA65633 QUE65535:QUE65633 QKI65535:QKI65633 QAM65535:QAM65633 PQQ65535:PQQ65633 PGU65535:PGU65633 OWY65535:OWY65633 ONC65535:ONC65633 ODG65535:ODG65633 NTK65535:NTK65633 NJO65535:NJO65633 MZS65535:MZS65633 MPW65535:MPW65633 MGA65535:MGA65633 LWE65535:LWE65633 LMI65535:LMI65633 LCM65535:LCM65633 KSQ65535:KSQ65633 KIU65535:KIU65633 JYY65535:JYY65633 JPC65535:JPC65633 JFG65535:JFG65633 IVK65535:IVK65633 ILO65535:ILO65633 IBS65535:IBS65633 HRW65535:HRW65633 HIA65535:HIA65633 GYE65535:GYE65633 GOI65535:GOI65633 GEM65535:GEM65633 FUQ65535:FUQ65633 FKU65535:FKU65633 FAY65535:FAY65633 ERC65535:ERC65633 EHG65535:EHG65633 DXK65535:DXK65633 DNO65535:DNO65633 DDS65535:DDS65633 CTW65535:CTW65633 CKA65535:CKA65633 CAE65535:CAE65633 BQI65535:BQI65633 BGM65535:BGM65633 AWQ65535:AWQ65633 AMU65535:AMU65633 ACY65535:ACY65633 TC65535:TC65633 JG65535:JG65633 K65535:K65633 WVS2:WVS97 WLW2:WLW97 WCA2:WCA97 VSE2:VSE97 VII2:VII97 UYM2:UYM97 UOQ2:UOQ97 UEU2:UEU97 TUY2:TUY97 TLC2:TLC97 TBG2:TBG97 SRK2:SRK97 SHO2:SHO97 RXS2:RXS97 RNW2:RNW97 REA2:REA97 QUE2:QUE97 QKI2:QKI97 QAM2:QAM97 PQQ2:PQQ97 PGU2:PGU97 OWY2:OWY97 ONC2:ONC97 ODG2:ODG97 NTK2:NTK97 NJO2:NJO97 MZS2:MZS97 MPW2:MPW97 MGA2:MGA97 LWE2:LWE97 LMI2:LMI97 LCM2:LCM97 KSQ2:KSQ97 KIU2:KIU97 JYY2:JYY97 JPC2:JPC97 JFG2:JFG97 IVK2:IVK97 ILO2:ILO97 IBS2:IBS97 HRW2:HRW97 HIA2:HIA97 GYE2:GYE97 GOI2:GOI97 GEM2:GEM97 FUQ2:FUQ97 FKU2:FKU97 FAY2:FAY97 ERC2:ERC97 EHG2:EHG97 DXK2:DXK97 DNO2:DNO97 DDS2:DDS97 CTW2:CTW97 CKA2:CKA97 CAE2:CAE97 BQI2:BQI97 BGM2:BGM97 AWQ2:AWQ97 AMU2:AMU97 ACY2:ACY97 TC2:TC97 JG2:JG97" xr:uid="{0C5024EC-9B09-4D00-A375-70483C00A7FC}">
      <formula1>$AR$2:$AR$22</formula1>
    </dataValidation>
    <dataValidation type="list" allowBlank="1" showInputMessage="1" showErrorMessage="1" sqref="WVR983039:WVR983137 J2:J97 WLV983039:WLV983137 WBZ983039:WBZ983137 VSD983039:VSD983137 VIH983039:VIH983137 UYL983039:UYL983137 UOP983039:UOP983137 UET983039:UET983137 TUX983039:TUX983137 TLB983039:TLB983137 TBF983039:TBF983137 SRJ983039:SRJ983137 SHN983039:SHN983137 RXR983039:RXR983137 RNV983039:RNV983137 RDZ983039:RDZ983137 QUD983039:QUD983137 QKH983039:QKH983137 QAL983039:QAL983137 PQP983039:PQP983137 PGT983039:PGT983137 OWX983039:OWX983137 ONB983039:ONB983137 ODF983039:ODF983137 NTJ983039:NTJ983137 NJN983039:NJN983137 MZR983039:MZR983137 MPV983039:MPV983137 MFZ983039:MFZ983137 LWD983039:LWD983137 LMH983039:LMH983137 LCL983039:LCL983137 KSP983039:KSP983137 KIT983039:KIT983137 JYX983039:JYX983137 JPB983039:JPB983137 JFF983039:JFF983137 IVJ983039:IVJ983137 ILN983039:ILN983137 IBR983039:IBR983137 HRV983039:HRV983137 HHZ983039:HHZ983137 GYD983039:GYD983137 GOH983039:GOH983137 GEL983039:GEL983137 FUP983039:FUP983137 FKT983039:FKT983137 FAX983039:FAX983137 ERB983039:ERB983137 EHF983039:EHF983137 DXJ983039:DXJ983137 DNN983039:DNN983137 DDR983039:DDR983137 CTV983039:CTV983137 CJZ983039:CJZ983137 CAD983039:CAD983137 BQH983039:BQH983137 BGL983039:BGL983137 AWP983039:AWP983137 AMT983039:AMT983137 ACX983039:ACX983137 TB983039:TB983137 JF983039:JF983137 J983039:J983137 WVR917503:WVR917601 WLV917503:WLV917601 WBZ917503:WBZ917601 VSD917503:VSD917601 VIH917503:VIH917601 UYL917503:UYL917601 UOP917503:UOP917601 UET917503:UET917601 TUX917503:TUX917601 TLB917503:TLB917601 TBF917503:TBF917601 SRJ917503:SRJ917601 SHN917503:SHN917601 RXR917503:RXR917601 RNV917503:RNV917601 RDZ917503:RDZ917601 QUD917503:QUD917601 QKH917503:QKH917601 QAL917503:QAL917601 PQP917503:PQP917601 PGT917503:PGT917601 OWX917503:OWX917601 ONB917503:ONB917601 ODF917503:ODF917601 NTJ917503:NTJ917601 NJN917503:NJN917601 MZR917503:MZR917601 MPV917503:MPV917601 MFZ917503:MFZ917601 LWD917503:LWD917601 LMH917503:LMH917601 LCL917503:LCL917601 KSP917503:KSP917601 KIT917503:KIT917601 JYX917503:JYX917601 JPB917503:JPB917601 JFF917503:JFF917601 IVJ917503:IVJ917601 ILN917503:ILN917601 IBR917503:IBR917601 HRV917503:HRV917601 HHZ917503:HHZ917601 GYD917503:GYD917601 GOH917503:GOH917601 GEL917503:GEL917601 FUP917503:FUP917601 FKT917503:FKT917601 FAX917503:FAX917601 ERB917503:ERB917601 EHF917503:EHF917601 DXJ917503:DXJ917601 DNN917503:DNN917601 DDR917503:DDR917601 CTV917503:CTV917601 CJZ917503:CJZ917601 CAD917503:CAD917601 BQH917503:BQH917601 BGL917503:BGL917601 AWP917503:AWP917601 AMT917503:AMT917601 ACX917503:ACX917601 TB917503:TB917601 JF917503:JF917601 J917503:J917601 WVR851967:WVR852065 WLV851967:WLV852065 WBZ851967:WBZ852065 VSD851967:VSD852065 VIH851967:VIH852065 UYL851967:UYL852065 UOP851967:UOP852065 UET851967:UET852065 TUX851967:TUX852065 TLB851967:TLB852065 TBF851967:TBF852065 SRJ851967:SRJ852065 SHN851967:SHN852065 RXR851967:RXR852065 RNV851967:RNV852065 RDZ851967:RDZ852065 QUD851967:QUD852065 QKH851967:QKH852065 QAL851967:QAL852065 PQP851967:PQP852065 PGT851967:PGT852065 OWX851967:OWX852065 ONB851967:ONB852065 ODF851967:ODF852065 NTJ851967:NTJ852065 NJN851967:NJN852065 MZR851967:MZR852065 MPV851967:MPV852065 MFZ851967:MFZ852065 LWD851967:LWD852065 LMH851967:LMH852065 LCL851967:LCL852065 KSP851967:KSP852065 KIT851967:KIT852065 JYX851967:JYX852065 JPB851967:JPB852065 JFF851967:JFF852065 IVJ851967:IVJ852065 ILN851967:ILN852065 IBR851967:IBR852065 HRV851967:HRV852065 HHZ851967:HHZ852065 GYD851967:GYD852065 GOH851967:GOH852065 GEL851967:GEL852065 FUP851967:FUP852065 FKT851967:FKT852065 FAX851967:FAX852065 ERB851967:ERB852065 EHF851967:EHF852065 DXJ851967:DXJ852065 DNN851967:DNN852065 DDR851967:DDR852065 CTV851967:CTV852065 CJZ851967:CJZ852065 CAD851967:CAD852065 BQH851967:BQH852065 BGL851967:BGL852065 AWP851967:AWP852065 AMT851967:AMT852065 ACX851967:ACX852065 TB851967:TB852065 JF851967:JF852065 J851967:J852065 WVR786431:WVR786529 WLV786431:WLV786529 WBZ786431:WBZ786529 VSD786431:VSD786529 VIH786431:VIH786529 UYL786431:UYL786529 UOP786431:UOP786529 UET786431:UET786529 TUX786431:TUX786529 TLB786431:TLB786529 TBF786431:TBF786529 SRJ786431:SRJ786529 SHN786431:SHN786529 RXR786431:RXR786529 RNV786431:RNV786529 RDZ786431:RDZ786529 QUD786431:QUD786529 QKH786431:QKH786529 QAL786431:QAL786529 PQP786431:PQP786529 PGT786431:PGT786529 OWX786431:OWX786529 ONB786431:ONB786529 ODF786431:ODF786529 NTJ786431:NTJ786529 NJN786431:NJN786529 MZR786431:MZR786529 MPV786431:MPV786529 MFZ786431:MFZ786529 LWD786431:LWD786529 LMH786431:LMH786529 LCL786431:LCL786529 KSP786431:KSP786529 KIT786431:KIT786529 JYX786431:JYX786529 JPB786431:JPB786529 JFF786431:JFF786529 IVJ786431:IVJ786529 ILN786431:ILN786529 IBR786431:IBR786529 HRV786431:HRV786529 HHZ786431:HHZ786529 GYD786431:GYD786529 GOH786431:GOH786529 GEL786431:GEL786529 FUP786431:FUP786529 FKT786431:FKT786529 FAX786431:FAX786529 ERB786431:ERB786529 EHF786431:EHF786529 DXJ786431:DXJ786529 DNN786431:DNN786529 DDR786431:DDR786529 CTV786431:CTV786529 CJZ786431:CJZ786529 CAD786431:CAD786529 BQH786431:BQH786529 BGL786431:BGL786529 AWP786431:AWP786529 AMT786431:AMT786529 ACX786431:ACX786529 TB786431:TB786529 JF786431:JF786529 J786431:J786529 WVR720895:WVR720993 WLV720895:WLV720993 WBZ720895:WBZ720993 VSD720895:VSD720993 VIH720895:VIH720993 UYL720895:UYL720993 UOP720895:UOP720993 UET720895:UET720993 TUX720895:TUX720993 TLB720895:TLB720993 TBF720895:TBF720993 SRJ720895:SRJ720993 SHN720895:SHN720993 RXR720895:RXR720993 RNV720895:RNV720993 RDZ720895:RDZ720993 QUD720895:QUD720993 QKH720895:QKH720993 QAL720895:QAL720993 PQP720895:PQP720993 PGT720895:PGT720993 OWX720895:OWX720993 ONB720895:ONB720993 ODF720895:ODF720993 NTJ720895:NTJ720993 NJN720895:NJN720993 MZR720895:MZR720993 MPV720895:MPV720993 MFZ720895:MFZ720993 LWD720895:LWD720993 LMH720895:LMH720993 LCL720895:LCL720993 KSP720895:KSP720993 KIT720895:KIT720993 JYX720895:JYX720993 JPB720895:JPB720993 JFF720895:JFF720993 IVJ720895:IVJ720993 ILN720895:ILN720993 IBR720895:IBR720993 HRV720895:HRV720993 HHZ720895:HHZ720993 GYD720895:GYD720993 GOH720895:GOH720993 GEL720895:GEL720993 FUP720895:FUP720993 FKT720895:FKT720993 FAX720895:FAX720993 ERB720895:ERB720993 EHF720895:EHF720993 DXJ720895:DXJ720993 DNN720895:DNN720993 DDR720895:DDR720993 CTV720895:CTV720993 CJZ720895:CJZ720993 CAD720895:CAD720993 BQH720895:BQH720993 BGL720895:BGL720993 AWP720895:AWP720993 AMT720895:AMT720993 ACX720895:ACX720993 TB720895:TB720993 JF720895:JF720993 J720895:J720993 WVR655359:WVR655457 WLV655359:WLV655457 WBZ655359:WBZ655457 VSD655359:VSD655457 VIH655359:VIH655457 UYL655359:UYL655457 UOP655359:UOP655457 UET655359:UET655457 TUX655359:TUX655457 TLB655359:TLB655457 TBF655359:TBF655457 SRJ655359:SRJ655457 SHN655359:SHN655457 RXR655359:RXR655457 RNV655359:RNV655457 RDZ655359:RDZ655457 QUD655359:QUD655457 QKH655359:QKH655457 QAL655359:QAL655457 PQP655359:PQP655457 PGT655359:PGT655457 OWX655359:OWX655457 ONB655359:ONB655457 ODF655359:ODF655457 NTJ655359:NTJ655457 NJN655359:NJN655457 MZR655359:MZR655457 MPV655359:MPV655457 MFZ655359:MFZ655457 LWD655359:LWD655457 LMH655359:LMH655457 LCL655359:LCL655457 KSP655359:KSP655457 KIT655359:KIT655457 JYX655359:JYX655457 JPB655359:JPB655457 JFF655359:JFF655457 IVJ655359:IVJ655457 ILN655359:ILN655457 IBR655359:IBR655457 HRV655359:HRV655457 HHZ655359:HHZ655457 GYD655359:GYD655457 GOH655359:GOH655457 GEL655359:GEL655457 FUP655359:FUP655457 FKT655359:FKT655457 FAX655359:FAX655457 ERB655359:ERB655457 EHF655359:EHF655457 DXJ655359:DXJ655457 DNN655359:DNN655457 DDR655359:DDR655457 CTV655359:CTV655457 CJZ655359:CJZ655457 CAD655359:CAD655457 BQH655359:BQH655457 BGL655359:BGL655457 AWP655359:AWP655457 AMT655359:AMT655457 ACX655359:ACX655457 TB655359:TB655457 JF655359:JF655457 J655359:J655457 WVR589823:WVR589921 WLV589823:WLV589921 WBZ589823:WBZ589921 VSD589823:VSD589921 VIH589823:VIH589921 UYL589823:UYL589921 UOP589823:UOP589921 UET589823:UET589921 TUX589823:TUX589921 TLB589823:TLB589921 TBF589823:TBF589921 SRJ589823:SRJ589921 SHN589823:SHN589921 RXR589823:RXR589921 RNV589823:RNV589921 RDZ589823:RDZ589921 QUD589823:QUD589921 QKH589823:QKH589921 QAL589823:QAL589921 PQP589823:PQP589921 PGT589823:PGT589921 OWX589823:OWX589921 ONB589823:ONB589921 ODF589823:ODF589921 NTJ589823:NTJ589921 NJN589823:NJN589921 MZR589823:MZR589921 MPV589823:MPV589921 MFZ589823:MFZ589921 LWD589823:LWD589921 LMH589823:LMH589921 LCL589823:LCL589921 KSP589823:KSP589921 KIT589823:KIT589921 JYX589823:JYX589921 JPB589823:JPB589921 JFF589823:JFF589921 IVJ589823:IVJ589921 ILN589823:ILN589921 IBR589823:IBR589921 HRV589823:HRV589921 HHZ589823:HHZ589921 GYD589823:GYD589921 GOH589823:GOH589921 GEL589823:GEL589921 FUP589823:FUP589921 FKT589823:FKT589921 FAX589823:FAX589921 ERB589823:ERB589921 EHF589823:EHF589921 DXJ589823:DXJ589921 DNN589823:DNN589921 DDR589823:DDR589921 CTV589823:CTV589921 CJZ589823:CJZ589921 CAD589823:CAD589921 BQH589823:BQH589921 BGL589823:BGL589921 AWP589823:AWP589921 AMT589823:AMT589921 ACX589823:ACX589921 TB589823:TB589921 JF589823:JF589921 J589823:J589921 WVR524287:WVR524385 WLV524287:WLV524385 WBZ524287:WBZ524385 VSD524287:VSD524385 VIH524287:VIH524385 UYL524287:UYL524385 UOP524287:UOP524385 UET524287:UET524385 TUX524287:TUX524385 TLB524287:TLB524385 TBF524287:TBF524385 SRJ524287:SRJ524385 SHN524287:SHN524385 RXR524287:RXR524385 RNV524287:RNV524385 RDZ524287:RDZ524385 QUD524287:QUD524385 QKH524287:QKH524385 QAL524287:QAL524385 PQP524287:PQP524385 PGT524287:PGT524385 OWX524287:OWX524385 ONB524287:ONB524385 ODF524287:ODF524385 NTJ524287:NTJ524385 NJN524287:NJN524385 MZR524287:MZR524385 MPV524287:MPV524385 MFZ524287:MFZ524385 LWD524287:LWD524385 LMH524287:LMH524385 LCL524287:LCL524385 KSP524287:KSP524385 KIT524287:KIT524385 JYX524287:JYX524385 JPB524287:JPB524385 JFF524287:JFF524385 IVJ524287:IVJ524385 ILN524287:ILN524385 IBR524287:IBR524385 HRV524287:HRV524385 HHZ524287:HHZ524385 GYD524287:GYD524385 GOH524287:GOH524385 GEL524287:GEL524385 FUP524287:FUP524385 FKT524287:FKT524385 FAX524287:FAX524385 ERB524287:ERB524385 EHF524287:EHF524385 DXJ524287:DXJ524385 DNN524287:DNN524385 DDR524287:DDR524385 CTV524287:CTV524385 CJZ524287:CJZ524385 CAD524287:CAD524385 BQH524287:BQH524385 BGL524287:BGL524385 AWP524287:AWP524385 AMT524287:AMT524385 ACX524287:ACX524385 TB524287:TB524385 JF524287:JF524385 J524287:J524385 WVR458751:WVR458849 WLV458751:WLV458849 WBZ458751:WBZ458849 VSD458751:VSD458849 VIH458751:VIH458849 UYL458751:UYL458849 UOP458751:UOP458849 UET458751:UET458849 TUX458751:TUX458849 TLB458751:TLB458849 TBF458751:TBF458849 SRJ458751:SRJ458849 SHN458751:SHN458849 RXR458751:RXR458849 RNV458751:RNV458849 RDZ458751:RDZ458849 QUD458751:QUD458849 QKH458751:QKH458849 QAL458751:QAL458849 PQP458751:PQP458849 PGT458751:PGT458849 OWX458751:OWX458849 ONB458751:ONB458849 ODF458751:ODF458849 NTJ458751:NTJ458849 NJN458751:NJN458849 MZR458751:MZR458849 MPV458751:MPV458849 MFZ458751:MFZ458849 LWD458751:LWD458849 LMH458751:LMH458849 LCL458751:LCL458849 KSP458751:KSP458849 KIT458751:KIT458849 JYX458751:JYX458849 JPB458751:JPB458849 JFF458751:JFF458849 IVJ458751:IVJ458849 ILN458751:ILN458849 IBR458751:IBR458849 HRV458751:HRV458849 HHZ458751:HHZ458849 GYD458751:GYD458849 GOH458751:GOH458849 GEL458751:GEL458849 FUP458751:FUP458849 FKT458751:FKT458849 FAX458751:FAX458849 ERB458751:ERB458849 EHF458751:EHF458849 DXJ458751:DXJ458849 DNN458751:DNN458849 DDR458751:DDR458849 CTV458751:CTV458849 CJZ458751:CJZ458849 CAD458751:CAD458849 BQH458751:BQH458849 BGL458751:BGL458849 AWP458751:AWP458849 AMT458751:AMT458849 ACX458751:ACX458849 TB458751:TB458849 JF458751:JF458849 J458751:J458849 WVR393215:WVR393313 WLV393215:WLV393313 WBZ393215:WBZ393313 VSD393215:VSD393313 VIH393215:VIH393313 UYL393215:UYL393313 UOP393215:UOP393313 UET393215:UET393313 TUX393215:TUX393313 TLB393215:TLB393313 TBF393215:TBF393313 SRJ393215:SRJ393313 SHN393215:SHN393313 RXR393215:RXR393313 RNV393215:RNV393313 RDZ393215:RDZ393313 QUD393215:QUD393313 QKH393215:QKH393313 QAL393215:QAL393313 PQP393215:PQP393313 PGT393215:PGT393313 OWX393215:OWX393313 ONB393215:ONB393313 ODF393215:ODF393313 NTJ393215:NTJ393313 NJN393215:NJN393313 MZR393215:MZR393313 MPV393215:MPV393313 MFZ393215:MFZ393313 LWD393215:LWD393313 LMH393215:LMH393313 LCL393215:LCL393313 KSP393215:KSP393313 KIT393215:KIT393313 JYX393215:JYX393313 JPB393215:JPB393313 JFF393215:JFF393313 IVJ393215:IVJ393313 ILN393215:ILN393313 IBR393215:IBR393313 HRV393215:HRV393313 HHZ393215:HHZ393313 GYD393215:GYD393313 GOH393215:GOH393313 GEL393215:GEL393313 FUP393215:FUP393313 FKT393215:FKT393313 FAX393215:FAX393313 ERB393215:ERB393313 EHF393215:EHF393313 DXJ393215:DXJ393313 DNN393215:DNN393313 DDR393215:DDR393313 CTV393215:CTV393313 CJZ393215:CJZ393313 CAD393215:CAD393313 BQH393215:BQH393313 BGL393215:BGL393313 AWP393215:AWP393313 AMT393215:AMT393313 ACX393215:ACX393313 TB393215:TB393313 JF393215:JF393313 J393215:J393313 WVR327679:WVR327777 WLV327679:WLV327777 WBZ327679:WBZ327777 VSD327679:VSD327777 VIH327679:VIH327777 UYL327679:UYL327777 UOP327679:UOP327777 UET327679:UET327777 TUX327679:TUX327777 TLB327679:TLB327777 TBF327679:TBF327777 SRJ327679:SRJ327777 SHN327679:SHN327777 RXR327679:RXR327777 RNV327679:RNV327777 RDZ327679:RDZ327777 QUD327679:QUD327777 QKH327679:QKH327777 QAL327679:QAL327777 PQP327679:PQP327777 PGT327679:PGT327777 OWX327679:OWX327777 ONB327679:ONB327777 ODF327679:ODF327777 NTJ327679:NTJ327777 NJN327679:NJN327777 MZR327679:MZR327777 MPV327679:MPV327777 MFZ327679:MFZ327777 LWD327679:LWD327777 LMH327679:LMH327777 LCL327679:LCL327777 KSP327679:KSP327777 KIT327679:KIT327777 JYX327679:JYX327777 JPB327679:JPB327777 JFF327679:JFF327777 IVJ327679:IVJ327777 ILN327679:ILN327777 IBR327679:IBR327777 HRV327679:HRV327777 HHZ327679:HHZ327777 GYD327679:GYD327777 GOH327679:GOH327777 GEL327679:GEL327777 FUP327679:FUP327777 FKT327679:FKT327777 FAX327679:FAX327777 ERB327679:ERB327777 EHF327679:EHF327777 DXJ327679:DXJ327777 DNN327679:DNN327777 DDR327679:DDR327777 CTV327679:CTV327777 CJZ327679:CJZ327777 CAD327679:CAD327777 BQH327679:BQH327777 BGL327679:BGL327777 AWP327679:AWP327777 AMT327679:AMT327777 ACX327679:ACX327777 TB327679:TB327777 JF327679:JF327777 J327679:J327777 WVR262143:WVR262241 WLV262143:WLV262241 WBZ262143:WBZ262241 VSD262143:VSD262241 VIH262143:VIH262241 UYL262143:UYL262241 UOP262143:UOP262241 UET262143:UET262241 TUX262143:TUX262241 TLB262143:TLB262241 TBF262143:TBF262241 SRJ262143:SRJ262241 SHN262143:SHN262241 RXR262143:RXR262241 RNV262143:RNV262241 RDZ262143:RDZ262241 QUD262143:QUD262241 QKH262143:QKH262241 QAL262143:QAL262241 PQP262143:PQP262241 PGT262143:PGT262241 OWX262143:OWX262241 ONB262143:ONB262241 ODF262143:ODF262241 NTJ262143:NTJ262241 NJN262143:NJN262241 MZR262143:MZR262241 MPV262143:MPV262241 MFZ262143:MFZ262241 LWD262143:LWD262241 LMH262143:LMH262241 LCL262143:LCL262241 KSP262143:KSP262241 KIT262143:KIT262241 JYX262143:JYX262241 JPB262143:JPB262241 JFF262143:JFF262241 IVJ262143:IVJ262241 ILN262143:ILN262241 IBR262143:IBR262241 HRV262143:HRV262241 HHZ262143:HHZ262241 GYD262143:GYD262241 GOH262143:GOH262241 GEL262143:GEL262241 FUP262143:FUP262241 FKT262143:FKT262241 FAX262143:FAX262241 ERB262143:ERB262241 EHF262143:EHF262241 DXJ262143:DXJ262241 DNN262143:DNN262241 DDR262143:DDR262241 CTV262143:CTV262241 CJZ262143:CJZ262241 CAD262143:CAD262241 BQH262143:BQH262241 BGL262143:BGL262241 AWP262143:AWP262241 AMT262143:AMT262241 ACX262143:ACX262241 TB262143:TB262241 JF262143:JF262241 J262143:J262241 WVR196607:WVR196705 WLV196607:WLV196705 WBZ196607:WBZ196705 VSD196607:VSD196705 VIH196607:VIH196705 UYL196607:UYL196705 UOP196607:UOP196705 UET196607:UET196705 TUX196607:TUX196705 TLB196607:TLB196705 TBF196607:TBF196705 SRJ196607:SRJ196705 SHN196607:SHN196705 RXR196607:RXR196705 RNV196607:RNV196705 RDZ196607:RDZ196705 QUD196607:QUD196705 QKH196607:QKH196705 QAL196607:QAL196705 PQP196607:PQP196705 PGT196607:PGT196705 OWX196607:OWX196705 ONB196607:ONB196705 ODF196607:ODF196705 NTJ196607:NTJ196705 NJN196607:NJN196705 MZR196607:MZR196705 MPV196607:MPV196705 MFZ196607:MFZ196705 LWD196607:LWD196705 LMH196607:LMH196705 LCL196607:LCL196705 KSP196607:KSP196705 KIT196607:KIT196705 JYX196607:JYX196705 JPB196607:JPB196705 JFF196607:JFF196705 IVJ196607:IVJ196705 ILN196607:ILN196705 IBR196607:IBR196705 HRV196607:HRV196705 HHZ196607:HHZ196705 GYD196607:GYD196705 GOH196607:GOH196705 GEL196607:GEL196705 FUP196607:FUP196705 FKT196607:FKT196705 FAX196607:FAX196705 ERB196607:ERB196705 EHF196607:EHF196705 DXJ196607:DXJ196705 DNN196607:DNN196705 DDR196607:DDR196705 CTV196607:CTV196705 CJZ196607:CJZ196705 CAD196607:CAD196705 BQH196607:BQH196705 BGL196607:BGL196705 AWP196607:AWP196705 AMT196607:AMT196705 ACX196607:ACX196705 TB196607:TB196705 JF196607:JF196705 J196607:J196705 WVR131071:WVR131169 WLV131071:WLV131169 WBZ131071:WBZ131169 VSD131071:VSD131169 VIH131071:VIH131169 UYL131071:UYL131169 UOP131071:UOP131169 UET131071:UET131169 TUX131071:TUX131169 TLB131071:TLB131169 TBF131071:TBF131169 SRJ131071:SRJ131169 SHN131071:SHN131169 RXR131071:RXR131169 RNV131071:RNV131169 RDZ131071:RDZ131169 QUD131071:QUD131169 QKH131071:QKH131169 QAL131071:QAL131169 PQP131071:PQP131169 PGT131071:PGT131169 OWX131071:OWX131169 ONB131071:ONB131169 ODF131071:ODF131169 NTJ131071:NTJ131169 NJN131071:NJN131169 MZR131071:MZR131169 MPV131071:MPV131169 MFZ131071:MFZ131169 LWD131071:LWD131169 LMH131071:LMH131169 LCL131071:LCL131169 KSP131071:KSP131169 KIT131071:KIT131169 JYX131071:JYX131169 JPB131071:JPB131169 JFF131071:JFF131169 IVJ131071:IVJ131169 ILN131071:ILN131169 IBR131071:IBR131169 HRV131071:HRV131169 HHZ131071:HHZ131169 GYD131071:GYD131169 GOH131071:GOH131169 GEL131071:GEL131169 FUP131071:FUP131169 FKT131071:FKT131169 FAX131071:FAX131169 ERB131071:ERB131169 EHF131071:EHF131169 DXJ131071:DXJ131169 DNN131071:DNN131169 DDR131071:DDR131169 CTV131071:CTV131169 CJZ131071:CJZ131169 CAD131071:CAD131169 BQH131071:BQH131169 BGL131071:BGL131169 AWP131071:AWP131169 AMT131071:AMT131169 ACX131071:ACX131169 TB131071:TB131169 JF131071:JF131169 J131071:J131169 WVR65535:WVR65633 WLV65535:WLV65633 WBZ65535:WBZ65633 VSD65535:VSD65633 VIH65535:VIH65633 UYL65535:UYL65633 UOP65535:UOP65633 UET65535:UET65633 TUX65535:TUX65633 TLB65535:TLB65633 TBF65535:TBF65633 SRJ65535:SRJ65633 SHN65535:SHN65633 RXR65535:RXR65633 RNV65535:RNV65633 RDZ65535:RDZ65633 QUD65535:QUD65633 QKH65535:QKH65633 QAL65535:QAL65633 PQP65535:PQP65633 PGT65535:PGT65633 OWX65535:OWX65633 ONB65535:ONB65633 ODF65535:ODF65633 NTJ65535:NTJ65633 NJN65535:NJN65633 MZR65535:MZR65633 MPV65535:MPV65633 MFZ65535:MFZ65633 LWD65535:LWD65633 LMH65535:LMH65633 LCL65535:LCL65633 KSP65535:KSP65633 KIT65535:KIT65633 JYX65535:JYX65633 JPB65535:JPB65633 JFF65535:JFF65633 IVJ65535:IVJ65633 ILN65535:ILN65633 IBR65535:IBR65633 HRV65535:HRV65633 HHZ65535:HHZ65633 GYD65535:GYD65633 GOH65535:GOH65633 GEL65535:GEL65633 FUP65535:FUP65633 FKT65535:FKT65633 FAX65535:FAX65633 ERB65535:ERB65633 EHF65535:EHF65633 DXJ65535:DXJ65633 DNN65535:DNN65633 DDR65535:DDR65633 CTV65535:CTV65633 CJZ65535:CJZ65633 CAD65535:CAD65633 BQH65535:BQH65633 BGL65535:BGL65633 AWP65535:AWP65633 AMT65535:AMT65633 ACX65535:ACX65633 TB65535:TB65633 JF65535:JF65633 J65535:J65633 WVR2:WVR97 WLV2:WLV97 WBZ2:WBZ97 VSD2:VSD97 VIH2:VIH97 UYL2:UYL97 UOP2:UOP97 UET2:UET97 TUX2:TUX97 TLB2:TLB97 TBF2:TBF97 SRJ2:SRJ97 SHN2:SHN97 RXR2:RXR97 RNV2:RNV97 RDZ2:RDZ97 QUD2:QUD97 QKH2:QKH97 QAL2:QAL97 PQP2:PQP97 PGT2:PGT97 OWX2:OWX97 ONB2:ONB97 ODF2:ODF97 NTJ2:NTJ97 NJN2:NJN97 MZR2:MZR97 MPV2:MPV97 MFZ2:MFZ97 LWD2:LWD97 LMH2:LMH97 LCL2:LCL97 KSP2:KSP97 KIT2:KIT97 JYX2:JYX97 JPB2:JPB97 JFF2:JFF97 IVJ2:IVJ97 ILN2:ILN97 IBR2:IBR97 HRV2:HRV97 HHZ2:HHZ97 GYD2:GYD97 GOH2:GOH97 GEL2:GEL97 FUP2:FUP97 FKT2:FKT97 FAX2:FAX97 ERB2:ERB97 EHF2:EHF97 DXJ2:DXJ97 DNN2:DNN97 DDR2:DDR97 CTV2:CTV97 CJZ2:CJZ97 CAD2:CAD97 BQH2:BQH97 BGL2:BGL97 AWP2:AWP97 AMT2:AMT97 ACX2:ACX97 TB2:TB97 JF2:JF97" xr:uid="{62D4996D-9105-446D-B1FA-D609D4C61B3D}">
      <formula1>$AP$2:$AP$24</formula1>
    </dataValidation>
    <dataValidation type="list" allowBlank="1" showInputMessage="1" showErrorMessage="1" sqref="Y498:AA65534 WWG983538:WWI1048576 WMK983538:WMM1048576 WCO983538:WCQ1048576 VSS983538:VSU1048576 VIW983538:VIY1048576 UZA983538:UZC1048576 UPE983538:UPG1048576 UFI983538:UFK1048576 TVM983538:TVO1048576 TLQ983538:TLS1048576 TBU983538:TBW1048576 SRY983538:SSA1048576 SIC983538:SIE1048576 RYG983538:RYI1048576 ROK983538:ROM1048576 REO983538:REQ1048576 QUS983538:QUU1048576 QKW983538:QKY1048576 QBA983538:QBC1048576 PRE983538:PRG1048576 PHI983538:PHK1048576 OXM983538:OXO1048576 ONQ983538:ONS1048576 ODU983538:ODW1048576 NTY983538:NUA1048576 NKC983538:NKE1048576 NAG983538:NAI1048576 MQK983538:MQM1048576 MGO983538:MGQ1048576 LWS983538:LWU1048576 LMW983538:LMY1048576 LDA983538:LDC1048576 KTE983538:KTG1048576 KJI983538:KJK1048576 JZM983538:JZO1048576 JPQ983538:JPS1048576 JFU983538:JFW1048576 IVY983538:IWA1048576 IMC983538:IME1048576 ICG983538:ICI1048576 HSK983538:HSM1048576 HIO983538:HIQ1048576 GYS983538:GYU1048576 GOW983538:GOY1048576 GFA983538:GFC1048576 FVE983538:FVG1048576 FLI983538:FLK1048576 FBM983538:FBO1048576 ERQ983538:ERS1048576 EHU983538:EHW1048576 DXY983538:DYA1048576 DOC983538:DOE1048576 DEG983538:DEI1048576 CUK983538:CUM1048576 CKO983538:CKQ1048576 CAS983538:CAU1048576 BQW983538:BQY1048576 BHA983538:BHC1048576 AXE983538:AXG1048576 ANI983538:ANK1048576 ADM983538:ADO1048576 TQ983538:TS1048576 JU983538:JW1048576 Y983538:AA1048576 WWG918002:WWI983038 WMK918002:WMM983038 WCO918002:WCQ983038 VSS918002:VSU983038 VIW918002:VIY983038 UZA918002:UZC983038 UPE918002:UPG983038 UFI918002:UFK983038 TVM918002:TVO983038 TLQ918002:TLS983038 TBU918002:TBW983038 SRY918002:SSA983038 SIC918002:SIE983038 RYG918002:RYI983038 ROK918002:ROM983038 REO918002:REQ983038 QUS918002:QUU983038 QKW918002:QKY983038 QBA918002:QBC983038 PRE918002:PRG983038 PHI918002:PHK983038 OXM918002:OXO983038 ONQ918002:ONS983038 ODU918002:ODW983038 NTY918002:NUA983038 NKC918002:NKE983038 NAG918002:NAI983038 MQK918002:MQM983038 MGO918002:MGQ983038 LWS918002:LWU983038 LMW918002:LMY983038 LDA918002:LDC983038 KTE918002:KTG983038 KJI918002:KJK983038 JZM918002:JZO983038 JPQ918002:JPS983038 JFU918002:JFW983038 IVY918002:IWA983038 IMC918002:IME983038 ICG918002:ICI983038 HSK918002:HSM983038 HIO918002:HIQ983038 GYS918002:GYU983038 GOW918002:GOY983038 GFA918002:GFC983038 FVE918002:FVG983038 FLI918002:FLK983038 FBM918002:FBO983038 ERQ918002:ERS983038 EHU918002:EHW983038 DXY918002:DYA983038 DOC918002:DOE983038 DEG918002:DEI983038 CUK918002:CUM983038 CKO918002:CKQ983038 CAS918002:CAU983038 BQW918002:BQY983038 BHA918002:BHC983038 AXE918002:AXG983038 ANI918002:ANK983038 ADM918002:ADO983038 TQ918002:TS983038 JU918002:JW983038 Y918002:AA983038 WWG852466:WWI917502 WMK852466:WMM917502 WCO852466:WCQ917502 VSS852466:VSU917502 VIW852466:VIY917502 UZA852466:UZC917502 UPE852466:UPG917502 UFI852466:UFK917502 TVM852466:TVO917502 TLQ852466:TLS917502 TBU852466:TBW917502 SRY852466:SSA917502 SIC852466:SIE917502 RYG852466:RYI917502 ROK852466:ROM917502 REO852466:REQ917502 QUS852466:QUU917502 QKW852466:QKY917502 QBA852466:QBC917502 PRE852466:PRG917502 PHI852466:PHK917502 OXM852466:OXO917502 ONQ852466:ONS917502 ODU852466:ODW917502 NTY852466:NUA917502 NKC852466:NKE917502 NAG852466:NAI917502 MQK852466:MQM917502 MGO852466:MGQ917502 LWS852466:LWU917502 LMW852466:LMY917502 LDA852466:LDC917502 KTE852466:KTG917502 KJI852466:KJK917502 JZM852466:JZO917502 JPQ852466:JPS917502 JFU852466:JFW917502 IVY852466:IWA917502 IMC852466:IME917502 ICG852466:ICI917502 HSK852466:HSM917502 HIO852466:HIQ917502 GYS852466:GYU917502 GOW852466:GOY917502 GFA852466:GFC917502 FVE852466:FVG917502 FLI852466:FLK917502 FBM852466:FBO917502 ERQ852466:ERS917502 EHU852466:EHW917502 DXY852466:DYA917502 DOC852466:DOE917502 DEG852466:DEI917502 CUK852466:CUM917502 CKO852466:CKQ917502 CAS852466:CAU917502 BQW852466:BQY917502 BHA852466:BHC917502 AXE852466:AXG917502 ANI852466:ANK917502 ADM852466:ADO917502 TQ852466:TS917502 JU852466:JW917502 Y852466:AA917502 WWG786930:WWI851966 WMK786930:WMM851966 WCO786930:WCQ851966 VSS786930:VSU851966 VIW786930:VIY851966 UZA786930:UZC851966 UPE786930:UPG851966 UFI786930:UFK851966 TVM786930:TVO851966 TLQ786930:TLS851966 TBU786930:TBW851966 SRY786930:SSA851966 SIC786930:SIE851966 RYG786930:RYI851966 ROK786930:ROM851966 REO786930:REQ851966 QUS786930:QUU851966 QKW786930:QKY851966 QBA786930:QBC851966 PRE786930:PRG851966 PHI786930:PHK851966 OXM786930:OXO851966 ONQ786930:ONS851966 ODU786930:ODW851966 NTY786930:NUA851966 NKC786930:NKE851966 NAG786930:NAI851966 MQK786930:MQM851966 MGO786930:MGQ851966 LWS786930:LWU851966 LMW786930:LMY851966 LDA786930:LDC851966 KTE786930:KTG851966 KJI786930:KJK851966 JZM786930:JZO851966 JPQ786930:JPS851966 JFU786930:JFW851966 IVY786930:IWA851966 IMC786930:IME851966 ICG786930:ICI851966 HSK786930:HSM851966 HIO786930:HIQ851966 GYS786930:GYU851966 GOW786930:GOY851966 GFA786930:GFC851966 FVE786930:FVG851966 FLI786930:FLK851966 FBM786930:FBO851966 ERQ786930:ERS851966 EHU786930:EHW851966 DXY786930:DYA851966 DOC786930:DOE851966 DEG786930:DEI851966 CUK786930:CUM851966 CKO786930:CKQ851966 CAS786930:CAU851966 BQW786930:BQY851966 BHA786930:BHC851966 AXE786930:AXG851966 ANI786930:ANK851966 ADM786930:ADO851966 TQ786930:TS851966 JU786930:JW851966 Y786930:AA851966 WWG721394:WWI786430 WMK721394:WMM786430 WCO721394:WCQ786430 VSS721394:VSU786430 VIW721394:VIY786430 UZA721394:UZC786430 UPE721394:UPG786430 UFI721394:UFK786430 TVM721394:TVO786430 TLQ721394:TLS786430 TBU721394:TBW786430 SRY721394:SSA786430 SIC721394:SIE786430 RYG721394:RYI786430 ROK721394:ROM786430 REO721394:REQ786430 QUS721394:QUU786430 QKW721394:QKY786430 QBA721394:QBC786430 PRE721394:PRG786430 PHI721394:PHK786430 OXM721394:OXO786430 ONQ721394:ONS786430 ODU721394:ODW786430 NTY721394:NUA786430 NKC721394:NKE786430 NAG721394:NAI786430 MQK721394:MQM786430 MGO721394:MGQ786430 LWS721394:LWU786430 LMW721394:LMY786430 LDA721394:LDC786430 KTE721394:KTG786430 KJI721394:KJK786430 JZM721394:JZO786430 JPQ721394:JPS786430 JFU721394:JFW786430 IVY721394:IWA786430 IMC721394:IME786430 ICG721394:ICI786430 HSK721394:HSM786430 HIO721394:HIQ786430 GYS721394:GYU786430 GOW721394:GOY786430 GFA721394:GFC786430 FVE721394:FVG786430 FLI721394:FLK786430 FBM721394:FBO786430 ERQ721394:ERS786430 EHU721394:EHW786430 DXY721394:DYA786430 DOC721394:DOE786430 DEG721394:DEI786430 CUK721394:CUM786430 CKO721394:CKQ786430 CAS721394:CAU786430 BQW721394:BQY786430 BHA721394:BHC786430 AXE721394:AXG786430 ANI721394:ANK786430 ADM721394:ADO786430 TQ721394:TS786430 JU721394:JW786430 Y721394:AA786430 WWG655858:WWI720894 WMK655858:WMM720894 WCO655858:WCQ720894 VSS655858:VSU720894 VIW655858:VIY720894 UZA655858:UZC720894 UPE655858:UPG720894 UFI655858:UFK720894 TVM655858:TVO720894 TLQ655858:TLS720894 TBU655858:TBW720894 SRY655858:SSA720894 SIC655858:SIE720894 RYG655858:RYI720894 ROK655858:ROM720894 REO655858:REQ720894 QUS655858:QUU720894 QKW655858:QKY720894 QBA655858:QBC720894 PRE655858:PRG720894 PHI655858:PHK720894 OXM655858:OXO720894 ONQ655858:ONS720894 ODU655858:ODW720894 NTY655858:NUA720894 NKC655858:NKE720894 NAG655858:NAI720894 MQK655858:MQM720894 MGO655858:MGQ720894 LWS655858:LWU720894 LMW655858:LMY720894 LDA655858:LDC720894 KTE655858:KTG720894 KJI655858:KJK720894 JZM655858:JZO720894 JPQ655858:JPS720894 JFU655858:JFW720894 IVY655858:IWA720894 IMC655858:IME720894 ICG655858:ICI720894 HSK655858:HSM720894 HIO655858:HIQ720894 GYS655858:GYU720894 GOW655858:GOY720894 GFA655858:GFC720894 FVE655858:FVG720894 FLI655858:FLK720894 FBM655858:FBO720894 ERQ655858:ERS720894 EHU655858:EHW720894 DXY655858:DYA720894 DOC655858:DOE720894 DEG655858:DEI720894 CUK655858:CUM720894 CKO655858:CKQ720894 CAS655858:CAU720894 BQW655858:BQY720894 BHA655858:BHC720894 AXE655858:AXG720894 ANI655858:ANK720894 ADM655858:ADO720894 TQ655858:TS720894 JU655858:JW720894 Y655858:AA720894 WWG590322:WWI655358 WMK590322:WMM655358 WCO590322:WCQ655358 VSS590322:VSU655358 VIW590322:VIY655358 UZA590322:UZC655358 UPE590322:UPG655358 UFI590322:UFK655358 TVM590322:TVO655358 TLQ590322:TLS655358 TBU590322:TBW655358 SRY590322:SSA655358 SIC590322:SIE655358 RYG590322:RYI655358 ROK590322:ROM655358 REO590322:REQ655358 QUS590322:QUU655358 QKW590322:QKY655358 QBA590322:QBC655358 PRE590322:PRG655358 PHI590322:PHK655358 OXM590322:OXO655358 ONQ590322:ONS655358 ODU590322:ODW655358 NTY590322:NUA655358 NKC590322:NKE655358 NAG590322:NAI655358 MQK590322:MQM655358 MGO590322:MGQ655358 LWS590322:LWU655358 LMW590322:LMY655358 LDA590322:LDC655358 KTE590322:KTG655358 KJI590322:KJK655358 JZM590322:JZO655358 JPQ590322:JPS655358 JFU590322:JFW655358 IVY590322:IWA655358 IMC590322:IME655358 ICG590322:ICI655358 HSK590322:HSM655358 HIO590322:HIQ655358 GYS590322:GYU655358 GOW590322:GOY655358 GFA590322:GFC655358 FVE590322:FVG655358 FLI590322:FLK655358 FBM590322:FBO655358 ERQ590322:ERS655358 EHU590322:EHW655358 DXY590322:DYA655358 DOC590322:DOE655358 DEG590322:DEI655358 CUK590322:CUM655358 CKO590322:CKQ655358 CAS590322:CAU655358 BQW590322:BQY655358 BHA590322:BHC655358 AXE590322:AXG655358 ANI590322:ANK655358 ADM590322:ADO655358 TQ590322:TS655358 JU590322:JW655358 Y590322:AA655358 WWG524786:WWI589822 WMK524786:WMM589822 WCO524786:WCQ589822 VSS524786:VSU589822 VIW524786:VIY589822 UZA524786:UZC589822 UPE524786:UPG589822 UFI524786:UFK589822 TVM524786:TVO589822 TLQ524786:TLS589822 TBU524786:TBW589822 SRY524786:SSA589822 SIC524786:SIE589822 RYG524786:RYI589822 ROK524786:ROM589822 REO524786:REQ589822 QUS524786:QUU589822 QKW524786:QKY589822 QBA524786:QBC589822 PRE524786:PRG589822 PHI524786:PHK589822 OXM524786:OXO589822 ONQ524786:ONS589822 ODU524786:ODW589822 NTY524786:NUA589822 NKC524786:NKE589822 NAG524786:NAI589822 MQK524786:MQM589822 MGO524786:MGQ589822 LWS524786:LWU589822 LMW524786:LMY589822 LDA524786:LDC589822 KTE524786:KTG589822 KJI524786:KJK589822 JZM524786:JZO589822 JPQ524786:JPS589822 JFU524786:JFW589822 IVY524786:IWA589822 IMC524786:IME589822 ICG524786:ICI589822 HSK524786:HSM589822 HIO524786:HIQ589822 GYS524786:GYU589822 GOW524786:GOY589822 GFA524786:GFC589822 FVE524786:FVG589822 FLI524786:FLK589822 FBM524786:FBO589822 ERQ524786:ERS589822 EHU524786:EHW589822 DXY524786:DYA589822 DOC524786:DOE589822 DEG524786:DEI589822 CUK524786:CUM589822 CKO524786:CKQ589822 CAS524786:CAU589822 BQW524786:BQY589822 BHA524786:BHC589822 AXE524786:AXG589822 ANI524786:ANK589822 ADM524786:ADO589822 TQ524786:TS589822 JU524786:JW589822 Y524786:AA589822 WWG459250:WWI524286 WMK459250:WMM524286 WCO459250:WCQ524286 VSS459250:VSU524286 VIW459250:VIY524286 UZA459250:UZC524286 UPE459250:UPG524286 UFI459250:UFK524286 TVM459250:TVO524286 TLQ459250:TLS524286 TBU459250:TBW524286 SRY459250:SSA524286 SIC459250:SIE524286 RYG459250:RYI524286 ROK459250:ROM524286 REO459250:REQ524286 QUS459250:QUU524286 QKW459250:QKY524286 QBA459250:QBC524286 PRE459250:PRG524286 PHI459250:PHK524286 OXM459250:OXO524286 ONQ459250:ONS524286 ODU459250:ODW524286 NTY459250:NUA524286 NKC459250:NKE524286 NAG459250:NAI524286 MQK459250:MQM524286 MGO459250:MGQ524286 LWS459250:LWU524286 LMW459250:LMY524286 LDA459250:LDC524286 KTE459250:KTG524286 KJI459250:KJK524286 JZM459250:JZO524286 JPQ459250:JPS524286 JFU459250:JFW524286 IVY459250:IWA524286 IMC459250:IME524286 ICG459250:ICI524286 HSK459250:HSM524286 HIO459250:HIQ524286 GYS459250:GYU524286 GOW459250:GOY524286 GFA459250:GFC524286 FVE459250:FVG524286 FLI459250:FLK524286 FBM459250:FBO524286 ERQ459250:ERS524286 EHU459250:EHW524286 DXY459250:DYA524286 DOC459250:DOE524286 DEG459250:DEI524286 CUK459250:CUM524286 CKO459250:CKQ524286 CAS459250:CAU524286 BQW459250:BQY524286 BHA459250:BHC524286 AXE459250:AXG524286 ANI459250:ANK524286 ADM459250:ADO524286 TQ459250:TS524286 JU459250:JW524286 Y459250:AA524286 WWG393714:WWI458750 WMK393714:WMM458750 WCO393714:WCQ458750 VSS393714:VSU458750 VIW393714:VIY458750 UZA393714:UZC458750 UPE393714:UPG458750 UFI393714:UFK458750 TVM393714:TVO458750 TLQ393714:TLS458750 TBU393714:TBW458750 SRY393714:SSA458750 SIC393714:SIE458750 RYG393714:RYI458750 ROK393714:ROM458750 REO393714:REQ458750 QUS393714:QUU458750 QKW393714:QKY458750 QBA393714:QBC458750 PRE393714:PRG458750 PHI393714:PHK458750 OXM393714:OXO458750 ONQ393714:ONS458750 ODU393714:ODW458750 NTY393714:NUA458750 NKC393714:NKE458750 NAG393714:NAI458750 MQK393714:MQM458750 MGO393714:MGQ458750 LWS393714:LWU458750 LMW393714:LMY458750 LDA393714:LDC458750 KTE393714:KTG458750 KJI393714:KJK458750 JZM393714:JZO458750 JPQ393714:JPS458750 JFU393714:JFW458750 IVY393714:IWA458750 IMC393714:IME458750 ICG393714:ICI458750 HSK393714:HSM458750 HIO393714:HIQ458750 GYS393714:GYU458750 GOW393714:GOY458750 GFA393714:GFC458750 FVE393714:FVG458750 FLI393714:FLK458750 FBM393714:FBO458750 ERQ393714:ERS458750 EHU393714:EHW458750 DXY393714:DYA458750 DOC393714:DOE458750 DEG393714:DEI458750 CUK393714:CUM458750 CKO393714:CKQ458750 CAS393714:CAU458750 BQW393714:BQY458750 BHA393714:BHC458750 AXE393714:AXG458750 ANI393714:ANK458750 ADM393714:ADO458750 TQ393714:TS458750 JU393714:JW458750 Y393714:AA458750 WWG328178:WWI393214 WMK328178:WMM393214 WCO328178:WCQ393214 VSS328178:VSU393214 VIW328178:VIY393214 UZA328178:UZC393214 UPE328178:UPG393214 UFI328178:UFK393214 TVM328178:TVO393214 TLQ328178:TLS393214 TBU328178:TBW393214 SRY328178:SSA393214 SIC328178:SIE393214 RYG328178:RYI393214 ROK328178:ROM393214 REO328178:REQ393214 QUS328178:QUU393214 QKW328178:QKY393214 QBA328178:QBC393214 PRE328178:PRG393214 PHI328178:PHK393214 OXM328178:OXO393214 ONQ328178:ONS393214 ODU328178:ODW393214 NTY328178:NUA393214 NKC328178:NKE393214 NAG328178:NAI393214 MQK328178:MQM393214 MGO328178:MGQ393214 LWS328178:LWU393214 LMW328178:LMY393214 LDA328178:LDC393214 KTE328178:KTG393214 KJI328178:KJK393214 JZM328178:JZO393214 JPQ328178:JPS393214 JFU328178:JFW393214 IVY328178:IWA393214 IMC328178:IME393214 ICG328178:ICI393214 HSK328178:HSM393214 HIO328178:HIQ393214 GYS328178:GYU393214 GOW328178:GOY393214 GFA328178:GFC393214 FVE328178:FVG393214 FLI328178:FLK393214 FBM328178:FBO393214 ERQ328178:ERS393214 EHU328178:EHW393214 DXY328178:DYA393214 DOC328178:DOE393214 DEG328178:DEI393214 CUK328178:CUM393214 CKO328178:CKQ393214 CAS328178:CAU393214 BQW328178:BQY393214 BHA328178:BHC393214 AXE328178:AXG393214 ANI328178:ANK393214 ADM328178:ADO393214 TQ328178:TS393214 JU328178:JW393214 Y328178:AA393214 WWG262642:WWI327678 WMK262642:WMM327678 WCO262642:WCQ327678 VSS262642:VSU327678 VIW262642:VIY327678 UZA262642:UZC327678 UPE262642:UPG327678 UFI262642:UFK327678 TVM262642:TVO327678 TLQ262642:TLS327678 TBU262642:TBW327678 SRY262642:SSA327678 SIC262642:SIE327678 RYG262642:RYI327678 ROK262642:ROM327678 REO262642:REQ327678 QUS262642:QUU327678 QKW262642:QKY327678 QBA262642:QBC327678 PRE262642:PRG327678 PHI262642:PHK327678 OXM262642:OXO327678 ONQ262642:ONS327678 ODU262642:ODW327678 NTY262642:NUA327678 NKC262642:NKE327678 NAG262642:NAI327678 MQK262642:MQM327678 MGO262642:MGQ327678 LWS262642:LWU327678 LMW262642:LMY327678 LDA262642:LDC327678 KTE262642:KTG327678 KJI262642:KJK327678 JZM262642:JZO327678 JPQ262642:JPS327678 JFU262642:JFW327678 IVY262642:IWA327678 IMC262642:IME327678 ICG262642:ICI327678 HSK262642:HSM327678 HIO262642:HIQ327678 GYS262642:GYU327678 GOW262642:GOY327678 GFA262642:GFC327678 FVE262642:FVG327678 FLI262642:FLK327678 FBM262642:FBO327678 ERQ262642:ERS327678 EHU262642:EHW327678 DXY262642:DYA327678 DOC262642:DOE327678 DEG262642:DEI327678 CUK262642:CUM327678 CKO262642:CKQ327678 CAS262642:CAU327678 BQW262642:BQY327678 BHA262642:BHC327678 AXE262642:AXG327678 ANI262642:ANK327678 ADM262642:ADO327678 TQ262642:TS327678 JU262642:JW327678 Y262642:AA327678 WWG197106:WWI262142 WMK197106:WMM262142 WCO197106:WCQ262142 VSS197106:VSU262142 VIW197106:VIY262142 UZA197106:UZC262142 UPE197106:UPG262142 UFI197106:UFK262142 TVM197106:TVO262142 TLQ197106:TLS262142 TBU197106:TBW262142 SRY197106:SSA262142 SIC197106:SIE262142 RYG197106:RYI262142 ROK197106:ROM262142 REO197106:REQ262142 QUS197106:QUU262142 QKW197106:QKY262142 QBA197106:QBC262142 PRE197106:PRG262142 PHI197106:PHK262142 OXM197106:OXO262142 ONQ197106:ONS262142 ODU197106:ODW262142 NTY197106:NUA262142 NKC197106:NKE262142 NAG197106:NAI262142 MQK197106:MQM262142 MGO197106:MGQ262142 LWS197106:LWU262142 LMW197106:LMY262142 LDA197106:LDC262142 KTE197106:KTG262142 KJI197106:KJK262142 JZM197106:JZO262142 JPQ197106:JPS262142 JFU197106:JFW262142 IVY197106:IWA262142 IMC197106:IME262142 ICG197106:ICI262142 HSK197106:HSM262142 HIO197106:HIQ262142 GYS197106:GYU262142 GOW197106:GOY262142 GFA197106:GFC262142 FVE197106:FVG262142 FLI197106:FLK262142 FBM197106:FBO262142 ERQ197106:ERS262142 EHU197106:EHW262142 DXY197106:DYA262142 DOC197106:DOE262142 DEG197106:DEI262142 CUK197106:CUM262142 CKO197106:CKQ262142 CAS197106:CAU262142 BQW197106:BQY262142 BHA197106:BHC262142 AXE197106:AXG262142 ANI197106:ANK262142 ADM197106:ADO262142 TQ197106:TS262142 JU197106:JW262142 Y197106:AA262142 WWG131570:WWI196606 WMK131570:WMM196606 WCO131570:WCQ196606 VSS131570:VSU196606 VIW131570:VIY196606 UZA131570:UZC196606 UPE131570:UPG196606 UFI131570:UFK196606 TVM131570:TVO196606 TLQ131570:TLS196606 TBU131570:TBW196606 SRY131570:SSA196606 SIC131570:SIE196606 RYG131570:RYI196606 ROK131570:ROM196606 REO131570:REQ196606 QUS131570:QUU196606 QKW131570:QKY196606 QBA131570:QBC196606 PRE131570:PRG196606 PHI131570:PHK196606 OXM131570:OXO196606 ONQ131570:ONS196606 ODU131570:ODW196606 NTY131570:NUA196606 NKC131570:NKE196606 NAG131570:NAI196606 MQK131570:MQM196606 MGO131570:MGQ196606 LWS131570:LWU196606 LMW131570:LMY196606 LDA131570:LDC196606 KTE131570:KTG196606 KJI131570:KJK196606 JZM131570:JZO196606 JPQ131570:JPS196606 JFU131570:JFW196606 IVY131570:IWA196606 IMC131570:IME196606 ICG131570:ICI196606 HSK131570:HSM196606 HIO131570:HIQ196606 GYS131570:GYU196606 GOW131570:GOY196606 GFA131570:GFC196606 FVE131570:FVG196606 FLI131570:FLK196606 FBM131570:FBO196606 ERQ131570:ERS196606 EHU131570:EHW196606 DXY131570:DYA196606 DOC131570:DOE196606 DEG131570:DEI196606 CUK131570:CUM196606 CKO131570:CKQ196606 CAS131570:CAU196606 BQW131570:BQY196606 BHA131570:BHC196606 AXE131570:AXG196606 ANI131570:ANK196606 ADM131570:ADO196606 TQ131570:TS196606 JU131570:JW196606 Y131570:AA196606 WWG66034:WWI131070 WMK66034:WMM131070 WCO66034:WCQ131070 VSS66034:VSU131070 VIW66034:VIY131070 UZA66034:UZC131070 UPE66034:UPG131070 UFI66034:UFK131070 TVM66034:TVO131070 TLQ66034:TLS131070 TBU66034:TBW131070 SRY66034:SSA131070 SIC66034:SIE131070 RYG66034:RYI131070 ROK66034:ROM131070 REO66034:REQ131070 QUS66034:QUU131070 QKW66034:QKY131070 QBA66034:QBC131070 PRE66034:PRG131070 PHI66034:PHK131070 OXM66034:OXO131070 ONQ66034:ONS131070 ODU66034:ODW131070 NTY66034:NUA131070 NKC66034:NKE131070 NAG66034:NAI131070 MQK66034:MQM131070 MGO66034:MGQ131070 LWS66034:LWU131070 LMW66034:LMY131070 LDA66034:LDC131070 KTE66034:KTG131070 KJI66034:KJK131070 JZM66034:JZO131070 JPQ66034:JPS131070 JFU66034:JFW131070 IVY66034:IWA131070 IMC66034:IME131070 ICG66034:ICI131070 HSK66034:HSM131070 HIO66034:HIQ131070 GYS66034:GYU131070 GOW66034:GOY131070 GFA66034:GFC131070 FVE66034:FVG131070 FLI66034:FLK131070 FBM66034:FBO131070 ERQ66034:ERS131070 EHU66034:EHW131070 DXY66034:DYA131070 DOC66034:DOE131070 DEG66034:DEI131070 CUK66034:CUM131070 CKO66034:CKQ131070 CAS66034:CAU131070 BQW66034:BQY131070 BHA66034:BHC131070 AXE66034:AXG131070 ANI66034:ANK131070 ADM66034:ADO131070 TQ66034:TS131070 JU66034:JW131070 Y66034:AA131070 WWG498:WWI65534 WMK498:WMM65534 WCO498:WCQ65534 VSS498:VSU65534 VIW498:VIY65534 UZA498:UZC65534 UPE498:UPG65534 UFI498:UFK65534 TVM498:TVO65534 TLQ498:TLS65534 TBU498:TBW65534 SRY498:SSA65534 SIC498:SIE65534 RYG498:RYI65534 ROK498:ROM65534 REO498:REQ65534 QUS498:QUU65534 QKW498:QKY65534 QBA498:QBC65534 PRE498:PRG65534 PHI498:PHK65534 OXM498:OXO65534 ONQ498:ONS65534 ODU498:ODW65534 NTY498:NUA65534 NKC498:NKE65534 NAG498:NAI65534 MQK498:MQM65534 MGO498:MGQ65534 LWS498:LWU65534 LMW498:LMY65534 LDA498:LDC65534 KTE498:KTG65534 KJI498:KJK65534 JZM498:JZO65534 JPQ498:JPS65534 JFU498:JFW65534 IVY498:IWA65534 IMC498:IME65534 ICG498:ICI65534 HSK498:HSM65534 HIO498:HIQ65534 GYS498:GYU65534 GOW498:GOY65534 GFA498:GFC65534 FVE498:FVG65534 FLI498:FLK65534 FBM498:FBO65534 ERQ498:ERS65534 EHU498:EHW65534 DXY498:DYA65534 DOC498:DOE65534 DEG498:DEI65534 CUK498:CUM65534 CKO498:CKQ65534 CAS498:CAU65534 BQW498:BQY65534 BHA498:BHC65534 AXE498:AXG65534 ANI498:ANK65534 ADM498:ADO65534 TQ498:TS65534 JU498:JW65534 WWG1:WWI1 WMK1:WMM1 WCO1:WCQ1 VSS1:VSU1 VIW1:VIY1 UZA1:UZC1 UPE1:UPG1 UFI1:UFK1 TVM1:TVO1 TLQ1:TLS1 TBU1:TBW1 SRY1:SSA1 SIC1:SIE1 RYG1:RYI1 ROK1:ROM1 REO1:REQ1 QUS1:QUU1 QKW1:QKY1 QBA1:QBC1 PRE1:PRG1 PHI1:PHK1 OXM1:OXO1 ONQ1:ONS1 ODU1:ODW1 NTY1:NUA1 NKC1:NKE1 NAG1:NAI1 MQK1:MQM1 MGO1:MGQ1 LWS1:LWU1 LMW1:LMY1 LDA1:LDC1 KTE1:KTG1 KJI1:KJK1 JZM1:JZO1 JPQ1:JPS1 JFU1:JFW1 IVY1:IWA1 IMC1:IME1 ICG1:ICI1 HSK1:HSM1 HIO1:HIQ1 GYS1:GYU1 GOW1:GOY1 GFA1:GFC1 FVE1:FVG1 FLI1:FLK1 FBM1:FBO1 ERQ1:ERS1 EHU1:EHW1 DXY1:DYA1 DOC1:DOE1 DEG1:DEI1 CUK1:CUM1 CKO1:CKQ1 CAS1:CAU1 BQW1:BQY1 BHA1:BHC1 AXE1:AXG1 ANI1:ANK1 ADM1:ADO1 TQ1:TS1 JU1:JW1 Y1:AA1" xr:uid="{E74AAE71-3C90-4517-A970-0A11BC49B8E7}">
      <formula1>$AV$2:$AV$7</formula1>
    </dataValidation>
    <dataValidation type="list" allowBlank="1" showInputMessage="1" showErrorMessage="1" sqref="K64420:K64473 WVS1047460:WVS1047513 WLW1047460:WLW1047513 WCA1047460:WCA1047513 VSE1047460:VSE1047513 VII1047460:VII1047513 UYM1047460:UYM1047513 UOQ1047460:UOQ1047513 UEU1047460:UEU1047513 TUY1047460:TUY1047513 TLC1047460:TLC1047513 TBG1047460:TBG1047513 SRK1047460:SRK1047513 SHO1047460:SHO1047513 RXS1047460:RXS1047513 RNW1047460:RNW1047513 REA1047460:REA1047513 QUE1047460:QUE1047513 QKI1047460:QKI1047513 QAM1047460:QAM1047513 PQQ1047460:PQQ1047513 PGU1047460:PGU1047513 OWY1047460:OWY1047513 ONC1047460:ONC1047513 ODG1047460:ODG1047513 NTK1047460:NTK1047513 NJO1047460:NJO1047513 MZS1047460:MZS1047513 MPW1047460:MPW1047513 MGA1047460:MGA1047513 LWE1047460:LWE1047513 LMI1047460:LMI1047513 LCM1047460:LCM1047513 KSQ1047460:KSQ1047513 KIU1047460:KIU1047513 JYY1047460:JYY1047513 JPC1047460:JPC1047513 JFG1047460:JFG1047513 IVK1047460:IVK1047513 ILO1047460:ILO1047513 IBS1047460:IBS1047513 HRW1047460:HRW1047513 HIA1047460:HIA1047513 GYE1047460:GYE1047513 GOI1047460:GOI1047513 GEM1047460:GEM1047513 FUQ1047460:FUQ1047513 FKU1047460:FKU1047513 FAY1047460:FAY1047513 ERC1047460:ERC1047513 EHG1047460:EHG1047513 DXK1047460:DXK1047513 DNO1047460:DNO1047513 DDS1047460:DDS1047513 CTW1047460:CTW1047513 CKA1047460:CKA1047513 CAE1047460:CAE1047513 BQI1047460:BQI1047513 BGM1047460:BGM1047513 AWQ1047460:AWQ1047513 AMU1047460:AMU1047513 ACY1047460:ACY1047513 TC1047460:TC1047513 JG1047460:JG1047513 K1047460:K1047513 WVS981924:WVS981977 WLW981924:WLW981977 WCA981924:WCA981977 VSE981924:VSE981977 VII981924:VII981977 UYM981924:UYM981977 UOQ981924:UOQ981977 UEU981924:UEU981977 TUY981924:TUY981977 TLC981924:TLC981977 TBG981924:TBG981977 SRK981924:SRK981977 SHO981924:SHO981977 RXS981924:RXS981977 RNW981924:RNW981977 REA981924:REA981977 QUE981924:QUE981977 QKI981924:QKI981977 QAM981924:QAM981977 PQQ981924:PQQ981977 PGU981924:PGU981977 OWY981924:OWY981977 ONC981924:ONC981977 ODG981924:ODG981977 NTK981924:NTK981977 NJO981924:NJO981977 MZS981924:MZS981977 MPW981924:MPW981977 MGA981924:MGA981977 LWE981924:LWE981977 LMI981924:LMI981977 LCM981924:LCM981977 KSQ981924:KSQ981977 KIU981924:KIU981977 JYY981924:JYY981977 JPC981924:JPC981977 JFG981924:JFG981977 IVK981924:IVK981977 ILO981924:ILO981977 IBS981924:IBS981977 HRW981924:HRW981977 HIA981924:HIA981977 GYE981924:GYE981977 GOI981924:GOI981977 GEM981924:GEM981977 FUQ981924:FUQ981977 FKU981924:FKU981977 FAY981924:FAY981977 ERC981924:ERC981977 EHG981924:EHG981977 DXK981924:DXK981977 DNO981924:DNO981977 DDS981924:DDS981977 CTW981924:CTW981977 CKA981924:CKA981977 CAE981924:CAE981977 BQI981924:BQI981977 BGM981924:BGM981977 AWQ981924:AWQ981977 AMU981924:AMU981977 ACY981924:ACY981977 TC981924:TC981977 JG981924:JG981977 K981924:K981977 WVS916388:WVS916441 WLW916388:WLW916441 WCA916388:WCA916441 VSE916388:VSE916441 VII916388:VII916441 UYM916388:UYM916441 UOQ916388:UOQ916441 UEU916388:UEU916441 TUY916388:TUY916441 TLC916388:TLC916441 TBG916388:TBG916441 SRK916388:SRK916441 SHO916388:SHO916441 RXS916388:RXS916441 RNW916388:RNW916441 REA916388:REA916441 QUE916388:QUE916441 QKI916388:QKI916441 QAM916388:QAM916441 PQQ916388:PQQ916441 PGU916388:PGU916441 OWY916388:OWY916441 ONC916388:ONC916441 ODG916388:ODG916441 NTK916388:NTK916441 NJO916388:NJO916441 MZS916388:MZS916441 MPW916388:MPW916441 MGA916388:MGA916441 LWE916388:LWE916441 LMI916388:LMI916441 LCM916388:LCM916441 KSQ916388:KSQ916441 KIU916388:KIU916441 JYY916388:JYY916441 JPC916388:JPC916441 JFG916388:JFG916441 IVK916388:IVK916441 ILO916388:ILO916441 IBS916388:IBS916441 HRW916388:HRW916441 HIA916388:HIA916441 GYE916388:GYE916441 GOI916388:GOI916441 GEM916388:GEM916441 FUQ916388:FUQ916441 FKU916388:FKU916441 FAY916388:FAY916441 ERC916388:ERC916441 EHG916388:EHG916441 DXK916388:DXK916441 DNO916388:DNO916441 DDS916388:DDS916441 CTW916388:CTW916441 CKA916388:CKA916441 CAE916388:CAE916441 BQI916388:BQI916441 BGM916388:BGM916441 AWQ916388:AWQ916441 AMU916388:AMU916441 ACY916388:ACY916441 TC916388:TC916441 JG916388:JG916441 K916388:K916441 WVS850852:WVS850905 WLW850852:WLW850905 WCA850852:WCA850905 VSE850852:VSE850905 VII850852:VII850905 UYM850852:UYM850905 UOQ850852:UOQ850905 UEU850852:UEU850905 TUY850852:TUY850905 TLC850852:TLC850905 TBG850852:TBG850905 SRK850852:SRK850905 SHO850852:SHO850905 RXS850852:RXS850905 RNW850852:RNW850905 REA850852:REA850905 QUE850852:QUE850905 QKI850852:QKI850905 QAM850852:QAM850905 PQQ850852:PQQ850905 PGU850852:PGU850905 OWY850852:OWY850905 ONC850852:ONC850905 ODG850852:ODG850905 NTK850852:NTK850905 NJO850852:NJO850905 MZS850852:MZS850905 MPW850852:MPW850905 MGA850852:MGA850905 LWE850852:LWE850905 LMI850852:LMI850905 LCM850852:LCM850905 KSQ850852:KSQ850905 KIU850852:KIU850905 JYY850852:JYY850905 JPC850852:JPC850905 JFG850852:JFG850905 IVK850852:IVK850905 ILO850852:ILO850905 IBS850852:IBS850905 HRW850852:HRW850905 HIA850852:HIA850905 GYE850852:GYE850905 GOI850852:GOI850905 GEM850852:GEM850905 FUQ850852:FUQ850905 FKU850852:FKU850905 FAY850852:FAY850905 ERC850852:ERC850905 EHG850852:EHG850905 DXK850852:DXK850905 DNO850852:DNO850905 DDS850852:DDS850905 CTW850852:CTW850905 CKA850852:CKA850905 CAE850852:CAE850905 BQI850852:BQI850905 BGM850852:BGM850905 AWQ850852:AWQ850905 AMU850852:AMU850905 ACY850852:ACY850905 TC850852:TC850905 JG850852:JG850905 K850852:K850905 WVS785316:WVS785369 WLW785316:WLW785369 WCA785316:WCA785369 VSE785316:VSE785369 VII785316:VII785369 UYM785316:UYM785369 UOQ785316:UOQ785369 UEU785316:UEU785369 TUY785316:TUY785369 TLC785316:TLC785369 TBG785316:TBG785369 SRK785316:SRK785369 SHO785316:SHO785369 RXS785316:RXS785369 RNW785316:RNW785369 REA785316:REA785369 QUE785316:QUE785369 QKI785316:QKI785369 QAM785316:QAM785369 PQQ785316:PQQ785369 PGU785316:PGU785369 OWY785316:OWY785369 ONC785316:ONC785369 ODG785316:ODG785369 NTK785316:NTK785369 NJO785316:NJO785369 MZS785316:MZS785369 MPW785316:MPW785369 MGA785316:MGA785369 LWE785316:LWE785369 LMI785316:LMI785369 LCM785316:LCM785369 KSQ785316:KSQ785369 KIU785316:KIU785369 JYY785316:JYY785369 JPC785316:JPC785369 JFG785316:JFG785369 IVK785316:IVK785369 ILO785316:ILO785369 IBS785316:IBS785369 HRW785316:HRW785369 HIA785316:HIA785369 GYE785316:GYE785369 GOI785316:GOI785369 GEM785316:GEM785369 FUQ785316:FUQ785369 FKU785316:FKU785369 FAY785316:FAY785369 ERC785316:ERC785369 EHG785316:EHG785369 DXK785316:DXK785369 DNO785316:DNO785369 DDS785316:DDS785369 CTW785316:CTW785369 CKA785316:CKA785369 CAE785316:CAE785369 BQI785316:BQI785369 BGM785316:BGM785369 AWQ785316:AWQ785369 AMU785316:AMU785369 ACY785316:ACY785369 TC785316:TC785369 JG785316:JG785369 K785316:K785369 WVS719780:WVS719833 WLW719780:WLW719833 WCA719780:WCA719833 VSE719780:VSE719833 VII719780:VII719833 UYM719780:UYM719833 UOQ719780:UOQ719833 UEU719780:UEU719833 TUY719780:TUY719833 TLC719780:TLC719833 TBG719780:TBG719833 SRK719780:SRK719833 SHO719780:SHO719833 RXS719780:RXS719833 RNW719780:RNW719833 REA719780:REA719833 QUE719780:QUE719833 QKI719780:QKI719833 QAM719780:QAM719833 PQQ719780:PQQ719833 PGU719780:PGU719833 OWY719780:OWY719833 ONC719780:ONC719833 ODG719780:ODG719833 NTK719780:NTK719833 NJO719780:NJO719833 MZS719780:MZS719833 MPW719780:MPW719833 MGA719780:MGA719833 LWE719780:LWE719833 LMI719780:LMI719833 LCM719780:LCM719833 KSQ719780:KSQ719833 KIU719780:KIU719833 JYY719780:JYY719833 JPC719780:JPC719833 JFG719780:JFG719833 IVK719780:IVK719833 ILO719780:ILO719833 IBS719780:IBS719833 HRW719780:HRW719833 HIA719780:HIA719833 GYE719780:GYE719833 GOI719780:GOI719833 GEM719780:GEM719833 FUQ719780:FUQ719833 FKU719780:FKU719833 FAY719780:FAY719833 ERC719780:ERC719833 EHG719780:EHG719833 DXK719780:DXK719833 DNO719780:DNO719833 DDS719780:DDS719833 CTW719780:CTW719833 CKA719780:CKA719833 CAE719780:CAE719833 BQI719780:BQI719833 BGM719780:BGM719833 AWQ719780:AWQ719833 AMU719780:AMU719833 ACY719780:ACY719833 TC719780:TC719833 JG719780:JG719833 K719780:K719833 WVS654244:WVS654297 WLW654244:WLW654297 WCA654244:WCA654297 VSE654244:VSE654297 VII654244:VII654297 UYM654244:UYM654297 UOQ654244:UOQ654297 UEU654244:UEU654297 TUY654244:TUY654297 TLC654244:TLC654297 TBG654244:TBG654297 SRK654244:SRK654297 SHO654244:SHO654297 RXS654244:RXS654297 RNW654244:RNW654297 REA654244:REA654297 QUE654244:QUE654297 QKI654244:QKI654297 QAM654244:QAM654297 PQQ654244:PQQ654297 PGU654244:PGU654297 OWY654244:OWY654297 ONC654244:ONC654297 ODG654244:ODG654297 NTK654244:NTK654297 NJO654244:NJO654297 MZS654244:MZS654297 MPW654244:MPW654297 MGA654244:MGA654297 LWE654244:LWE654297 LMI654244:LMI654297 LCM654244:LCM654297 KSQ654244:KSQ654297 KIU654244:KIU654297 JYY654244:JYY654297 JPC654244:JPC654297 JFG654244:JFG654297 IVK654244:IVK654297 ILO654244:ILO654297 IBS654244:IBS654297 HRW654244:HRW654297 HIA654244:HIA654297 GYE654244:GYE654297 GOI654244:GOI654297 GEM654244:GEM654297 FUQ654244:FUQ654297 FKU654244:FKU654297 FAY654244:FAY654297 ERC654244:ERC654297 EHG654244:EHG654297 DXK654244:DXK654297 DNO654244:DNO654297 DDS654244:DDS654297 CTW654244:CTW654297 CKA654244:CKA654297 CAE654244:CAE654297 BQI654244:BQI654297 BGM654244:BGM654297 AWQ654244:AWQ654297 AMU654244:AMU654297 ACY654244:ACY654297 TC654244:TC654297 JG654244:JG654297 K654244:K654297 WVS588708:WVS588761 WLW588708:WLW588761 WCA588708:WCA588761 VSE588708:VSE588761 VII588708:VII588761 UYM588708:UYM588761 UOQ588708:UOQ588761 UEU588708:UEU588761 TUY588708:TUY588761 TLC588708:TLC588761 TBG588708:TBG588761 SRK588708:SRK588761 SHO588708:SHO588761 RXS588708:RXS588761 RNW588708:RNW588761 REA588708:REA588761 QUE588708:QUE588761 QKI588708:QKI588761 QAM588708:QAM588761 PQQ588708:PQQ588761 PGU588708:PGU588761 OWY588708:OWY588761 ONC588708:ONC588761 ODG588708:ODG588761 NTK588708:NTK588761 NJO588708:NJO588761 MZS588708:MZS588761 MPW588708:MPW588761 MGA588708:MGA588761 LWE588708:LWE588761 LMI588708:LMI588761 LCM588708:LCM588761 KSQ588708:KSQ588761 KIU588708:KIU588761 JYY588708:JYY588761 JPC588708:JPC588761 JFG588708:JFG588761 IVK588708:IVK588761 ILO588708:ILO588761 IBS588708:IBS588761 HRW588708:HRW588761 HIA588708:HIA588761 GYE588708:GYE588761 GOI588708:GOI588761 GEM588708:GEM588761 FUQ588708:FUQ588761 FKU588708:FKU588761 FAY588708:FAY588761 ERC588708:ERC588761 EHG588708:EHG588761 DXK588708:DXK588761 DNO588708:DNO588761 DDS588708:DDS588761 CTW588708:CTW588761 CKA588708:CKA588761 CAE588708:CAE588761 BQI588708:BQI588761 BGM588708:BGM588761 AWQ588708:AWQ588761 AMU588708:AMU588761 ACY588708:ACY588761 TC588708:TC588761 JG588708:JG588761 K588708:K588761 WVS523172:WVS523225 WLW523172:WLW523225 WCA523172:WCA523225 VSE523172:VSE523225 VII523172:VII523225 UYM523172:UYM523225 UOQ523172:UOQ523225 UEU523172:UEU523225 TUY523172:TUY523225 TLC523172:TLC523225 TBG523172:TBG523225 SRK523172:SRK523225 SHO523172:SHO523225 RXS523172:RXS523225 RNW523172:RNW523225 REA523172:REA523225 QUE523172:QUE523225 QKI523172:QKI523225 QAM523172:QAM523225 PQQ523172:PQQ523225 PGU523172:PGU523225 OWY523172:OWY523225 ONC523172:ONC523225 ODG523172:ODG523225 NTK523172:NTK523225 NJO523172:NJO523225 MZS523172:MZS523225 MPW523172:MPW523225 MGA523172:MGA523225 LWE523172:LWE523225 LMI523172:LMI523225 LCM523172:LCM523225 KSQ523172:KSQ523225 KIU523172:KIU523225 JYY523172:JYY523225 JPC523172:JPC523225 JFG523172:JFG523225 IVK523172:IVK523225 ILO523172:ILO523225 IBS523172:IBS523225 HRW523172:HRW523225 HIA523172:HIA523225 GYE523172:GYE523225 GOI523172:GOI523225 GEM523172:GEM523225 FUQ523172:FUQ523225 FKU523172:FKU523225 FAY523172:FAY523225 ERC523172:ERC523225 EHG523172:EHG523225 DXK523172:DXK523225 DNO523172:DNO523225 DDS523172:DDS523225 CTW523172:CTW523225 CKA523172:CKA523225 CAE523172:CAE523225 BQI523172:BQI523225 BGM523172:BGM523225 AWQ523172:AWQ523225 AMU523172:AMU523225 ACY523172:ACY523225 TC523172:TC523225 JG523172:JG523225 K523172:K523225 WVS457636:WVS457689 WLW457636:WLW457689 WCA457636:WCA457689 VSE457636:VSE457689 VII457636:VII457689 UYM457636:UYM457689 UOQ457636:UOQ457689 UEU457636:UEU457689 TUY457636:TUY457689 TLC457636:TLC457689 TBG457636:TBG457689 SRK457636:SRK457689 SHO457636:SHO457689 RXS457636:RXS457689 RNW457636:RNW457689 REA457636:REA457689 QUE457636:QUE457689 QKI457636:QKI457689 QAM457636:QAM457689 PQQ457636:PQQ457689 PGU457636:PGU457689 OWY457636:OWY457689 ONC457636:ONC457689 ODG457636:ODG457689 NTK457636:NTK457689 NJO457636:NJO457689 MZS457636:MZS457689 MPW457636:MPW457689 MGA457636:MGA457689 LWE457636:LWE457689 LMI457636:LMI457689 LCM457636:LCM457689 KSQ457636:KSQ457689 KIU457636:KIU457689 JYY457636:JYY457689 JPC457636:JPC457689 JFG457636:JFG457689 IVK457636:IVK457689 ILO457636:ILO457689 IBS457636:IBS457689 HRW457636:HRW457689 HIA457636:HIA457689 GYE457636:GYE457689 GOI457636:GOI457689 GEM457636:GEM457689 FUQ457636:FUQ457689 FKU457636:FKU457689 FAY457636:FAY457689 ERC457636:ERC457689 EHG457636:EHG457689 DXK457636:DXK457689 DNO457636:DNO457689 DDS457636:DDS457689 CTW457636:CTW457689 CKA457636:CKA457689 CAE457636:CAE457689 BQI457636:BQI457689 BGM457636:BGM457689 AWQ457636:AWQ457689 AMU457636:AMU457689 ACY457636:ACY457689 TC457636:TC457689 JG457636:JG457689 K457636:K457689 WVS392100:WVS392153 WLW392100:WLW392153 WCA392100:WCA392153 VSE392100:VSE392153 VII392100:VII392153 UYM392100:UYM392153 UOQ392100:UOQ392153 UEU392100:UEU392153 TUY392100:TUY392153 TLC392100:TLC392153 TBG392100:TBG392153 SRK392100:SRK392153 SHO392100:SHO392153 RXS392100:RXS392153 RNW392100:RNW392153 REA392100:REA392153 QUE392100:QUE392153 QKI392100:QKI392153 QAM392100:QAM392153 PQQ392100:PQQ392153 PGU392100:PGU392153 OWY392100:OWY392153 ONC392100:ONC392153 ODG392100:ODG392153 NTK392100:NTK392153 NJO392100:NJO392153 MZS392100:MZS392153 MPW392100:MPW392153 MGA392100:MGA392153 LWE392100:LWE392153 LMI392100:LMI392153 LCM392100:LCM392153 KSQ392100:KSQ392153 KIU392100:KIU392153 JYY392100:JYY392153 JPC392100:JPC392153 JFG392100:JFG392153 IVK392100:IVK392153 ILO392100:ILO392153 IBS392100:IBS392153 HRW392100:HRW392153 HIA392100:HIA392153 GYE392100:GYE392153 GOI392100:GOI392153 GEM392100:GEM392153 FUQ392100:FUQ392153 FKU392100:FKU392153 FAY392100:FAY392153 ERC392100:ERC392153 EHG392100:EHG392153 DXK392100:DXK392153 DNO392100:DNO392153 DDS392100:DDS392153 CTW392100:CTW392153 CKA392100:CKA392153 CAE392100:CAE392153 BQI392100:BQI392153 BGM392100:BGM392153 AWQ392100:AWQ392153 AMU392100:AMU392153 ACY392100:ACY392153 TC392100:TC392153 JG392100:JG392153 K392100:K392153 WVS326564:WVS326617 WLW326564:WLW326617 WCA326564:WCA326617 VSE326564:VSE326617 VII326564:VII326617 UYM326564:UYM326617 UOQ326564:UOQ326617 UEU326564:UEU326617 TUY326564:TUY326617 TLC326564:TLC326617 TBG326564:TBG326617 SRK326564:SRK326617 SHO326564:SHO326617 RXS326564:RXS326617 RNW326564:RNW326617 REA326564:REA326617 QUE326564:QUE326617 QKI326564:QKI326617 QAM326564:QAM326617 PQQ326564:PQQ326617 PGU326564:PGU326617 OWY326564:OWY326617 ONC326564:ONC326617 ODG326564:ODG326617 NTK326564:NTK326617 NJO326564:NJO326617 MZS326564:MZS326617 MPW326564:MPW326617 MGA326564:MGA326617 LWE326564:LWE326617 LMI326564:LMI326617 LCM326564:LCM326617 KSQ326564:KSQ326617 KIU326564:KIU326617 JYY326564:JYY326617 JPC326564:JPC326617 JFG326564:JFG326617 IVK326564:IVK326617 ILO326564:ILO326617 IBS326564:IBS326617 HRW326564:HRW326617 HIA326564:HIA326617 GYE326564:GYE326617 GOI326564:GOI326617 GEM326564:GEM326617 FUQ326564:FUQ326617 FKU326564:FKU326617 FAY326564:FAY326617 ERC326564:ERC326617 EHG326564:EHG326617 DXK326564:DXK326617 DNO326564:DNO326617 DDS326564:DDS326617 CTW326564:CTW326617 CKA326564:CKA326617 CAE326564:CAE326617 BQI326564:BQI326617 BGM326564:BGM326617 AWQ326564:AWQ326617 AMU326564:AMU326617 ACY326564:ACY326617 TC326564:TC326617 JG326564:JG326617 K326564:K326617 WVS261028:WVS261081 WLW261028:WLW261081 WCA261028:WCA261081 VSE261028:VSE261081 VII261028:VII261081 UYM261028:UYM261081 UOQ261028:UOQ261081 UEU261028:UEU261081 TUY261028:TUY261081 TLC261028:TLC261081 TBG261028:TBG261081 SRK261028:SRK261081 SHO261028:SHO261081 RXS261028:RXS261081 RNW261028:RNW261081 REA261028:REA261081 QUE261028:QUE261081 QKI261028:QKI261081 QAM261028:QAM261081 PQQ261028:PQQ261081 PGU261028:PGU261081 OWY261028:OWY261081 ONC261028:ONC261081 ODG261028:ODG261081 NTK261028:NTK261081 NJO261028:NJO261081 MZS261028:MZS261081 MPW261028:MPW261081 MGA261028:MGA261081 LWE261028:LWE261081 LMI261028:LMI261081 LCM261028:LCM261081 KSQ261028:KSQ261081 KIU261028:KIU261081 JYY261028:JYY261081 JPC261028:JPC261081 JFG261028:JFG261081 IVK261028:IVK261081 ILO261028:ILO261081 IBS261028:IBS261081 HRW261028:HRW261081 HIA261028:HIA261081 GYE261028:GYE261081 GOI261028:GOI261081 GEM261028:GEM261081 FUQ261028:FUQ261081 FKU261028:FKU261081 FAY261028:FAY261081 ERC261028:ERC261081 EHG261028:EHG261081 DXK261028:DXK261081 DNO261028:DNO261081 DDS261028:DDS261081 CTW261028:CTW261081 CKA261028:CKA261081 CAE261028:CAE261081 BQI261028:BQI261081 BGM261028:BGM261081 AWQ261028:AWQ261081 AMU261028:AMU261081 ACY261028:ACY261081 TC261028:TC261081 JG261028:JG261081 K261028:K261081 WVS195492:WVS195545 WLW195492:WLW195545 WCA195492:WCA195545 VSE195492:VSE195545 VII195492:VII195545 UYM195492:UYM195545 UOQ195492:UOQ195545 UEU195492:UEU195545 TUY195492:TUY195545 TLC195492:TLC195545 TBG195492:TBG195545 SRK195492:SRK195545 SHO195492:SHO195545 RXS195492:RXS195545 RNW195492:RNW195545 REA195492:REA195545 QUE195492:QUE195545 QKI195492:QKI195545 QAM195492:QAM195545 PQQ195492:PQQ195545 PGU195492:PGU195545 OWY195492:OWY195545 ONC195492:ONC195545 ODG195492:ODG195545 NTK195492:NTK195545 NJO195492:NJO195545 MZS195492:MZS195545 MPW195492:MPW195545 MGA195492:MGA195545 LWE195492:LWE195545 LMI195492:LMI195545 LCM195492:LCM195545 KSQ195492:KSQ195545 KIU195492:KIU195545 JYY195492:JYY195545 JPC195492:JPC195545 JFG195492:JFG195545 IVK195492:IVK195545 ILO195492:ILO195545 IBS195492:IBS195545 HRW195492:HRW195545 HIA195492:HIA195545 GYE195492:GYE195545 GOI195492:GOI195545 GEM195492:GEM195545 FUQ195492:FUQ195545 FKU195492:FKU195545 FAY195492:FAY195545 ERC195492:ERC195545 EHG195492:EHG195545 DXK195492:DXK195545 DNO195492:DNO195545 DDS195492:DDS195545 CTW195492:CTW195545 CKA195492:CKA195545 CAE195492:CAE195545 BQI195492:BQI195545 BGM195492:BGM195545 AWQ195492:AWQ195545 AMU195492:AMU195545 ACY195492:ACY195545 TC195492:TC195545 JG195492:JG195545 K195492:K195545 WVS129956:WVS130009 WLW129956:WLW130009 WCA129956:WCA130009 VSE129956:VSE130009 VII129956:VII130009 UYM129956:UYM130009 UOQ129956:UOQ130009 UEU129956:UEU130009 TUY129956:TUY130009 TLC129956:TLC130009 TBG129956:TBG130009 SRK129956:SRK130009 SHO129956:SHO130009 RXS129956:RXS130009 RNW129956:RNW130009 REA129956:REA130009 QUE129956:QUE130009 QKI129956:QKI130009 QAM129956:QAM130009 PQQ129956:PQQ130009 PGU129956:PGU130009 OWY129956:OWY130009 ONC129956:ONC130009 ODG129956:ODG130009 NTK129956:NTK130009 NJO129956:NJO130009 MZS129956:MZS130009 MPW129956:MPW130009 MGA129956:MGA130009 LWE129956:LWE130009 LMI129956:LMI130009 LCM129956:LCM130009 KSQ129956:KSQ130009 KIU129956:KIU130009 JYY129956:JYY130009 JPC129956:JPC130009 JFG129956:JFG130009 IVK129956:IVK130009 ILO129956:ILO130009 IBS129956:IBS130009 HRW129956:HRW130009 HIA129956:HIA130009 GYE129956:GYE130009 GOI129956:GOI130009 GEM129956:GEM130009 FUQ129956:FUQ130009 FKU129956:FKU130009 FAY129956:FAY130009 ERC129956:ERC130009 EHG129956:EHG130009 DXK129956:DXK130009 DNO129956:DNO130009 DDS129956:DDS130009 CTW129956:CTW130009 CKA129956:CKA130009 CAE129956:CAE130009 BQI129956:BQI130009 BGM129956:BGM130009 AWQ129956:AWQ130009 AMU129956:AMU130009 ACY129956:ACY130009 TC129956:TC130009 JG129956:JG130009 K129956:K130009 WVS64420:WVS64473 WLW64420:WLW64473 WCA64420:WCA64473 VSE64420:VSE64473 VII64420:VII64473 UYM64420:UYM64473 UOQ64420:UOQ64473 UEU64420:UEU64473 TUY64420:TUY64473 TLC64420:TLC64473 TBG64420:TBG64473 SRK64420:SRK64473 SHO64420:SHO64473 RXS64420:RXS64473 RNW64420:RNW64473 REA64420:REA64473 QUE64420:QUE64473 QKI64420:QKI64473 QAM64420:QAM64473 PQQ64420:PQQ64473 PGU64420:PGU64473 OWY64420:OWY64473 ONC64420:ONC64473 ODG64420:ODG64473 NTK64420:NTK64473 NJO64420:NJO64473 MZS64420:MZS64473 MPW64420:MPW64473 MGA64420:MGA64473 LWE64420:LWE64473 LMI64420:LMI64473 LCM64420:LCM64473 KSQ64420:KSQ64473 KIU64420:KIU64473 JYY64420:JYY64473 JPC64420:JPC64473 JFG64420:JFG64473 IVK64420:IVK64473 ILO64420:ILO64473 IBS64420:IBS64473 HRW64420:HRW64473 HIA64420:HIA64473 GYE64420:GYE64473 GOI64420:GOI64473 GEM64420:GEM64473 FUQ64420:FUQ64473 FKU64420:FKU64473 FAY64420:FAY64473 ERC64420:ERC64473 EHG64420:EHG64473 DXK64420:DXK64473 DNO64420:DNO64473 DDS64420:DDS64473 CTW64420:CTW64473 CKA64420:CKA64473 CAE64420:CAE64473 BQI64420:BQI64473 BGM64420:BGM64473 AWQ64420:AWQ64473 AMU64420:AMU64473 ACY64420:ACY64473 TC64420:TC64473 JG64420:JG64473" xr:uid="{30E09279-1772-46D5-A2DF-1F41F31780B1}">
      <formula1>$AR$2:$AR$18</formula1>
    </dataValidation>
    <dataValidation type="list" allowBlank="1" showInputMessage="1" showErrorMessage="1" sqref="J64420:J64473 WVR1047460:WVR1047513 WLV1047460:WLV1047513 WBZ1047460:WBZ1047513 VSD1047460:VSD1047513 VIH1047460:VIH1047513 UYL1047460:UYL1047513 UOP1047460:UOP1047513 UET1047460:UET1047513 TUX1047460:TUX1047513 TLB1047460:TLB1047513 TBF1047460:TBF1047513 SRJ1047460:SRJ1047513 SHN1047460:SHN1047513 RXR1047460:RXR1047513 RNV1047460:RNV1047513 RDZ1047460:RDZ1047513 QUD1047460:QUD1047513 QKH1047460:QKH1047513 QAL1047460:QAL1047513 PQP1047460:PQP1047513 PGT1047460:PGT1047513 OWX1047460:OWX1047513 ONB1047460:ONB1047513 ODF1047460:ODF1047513 NTJ1047460:NTJ1047513 NJN1047460:NJN1047513 MZR1047460:MZR1047513 MPV1047460:MPV1047513 MFZ1047460:MFZ1047513 LWD1047460:LWD1047513 LMH1047460:LMH1047513 LCL1047460:LCL1047513 KSP1047460:KSP1047513 KIT1047460:KIT1047513 JYX1047460:JYX1047513 JPB1047460:JPB1047513 JFF1047460:JFF1047513 IVJ1047460:IVJ1047513 ILN1047460:ILN1047513 IBR1047460:IBR1047513 HRV1047460:HRV1047513 HHZ1047460:HHZ1047513 GYD1047460:GYD1047513 GOH1047460:GOH1047513 GEL1047460:GEL1047513 FUP1047460:FUP1047513 FKT1047460:FKT1047513 FAX1047460:FAX1047513 ERB1047460:ERB1047513 EHF1047460:EHF1047513 DXJ1047460:DXJ1047513 DNN1047460:DNN1047513 DDR1047460:DDR1047513 CTV1047460:CTV1047513 CJZ1047460:CJZ1047513 CAD1047460:CAD1047513 BQH1047460:BQH1047513 BGL1047460:BGL1047513 AWP1047460:AWP1047513 AMT1047460:AMT1047513 ACX1047460:ACX1047513 TB1047460:TB1047513 JF1047460:JF1047513 J1047460:J1047513 WVR981924:WVR981977 WLV981924:WLV981977 WBZ981924:WBZ981977 VSD981924:VSD981977 VIH981924:VIH981977 UYL981924:UYL981977 UOP981924:UOP981977 UET981924:UET981977 TUX981924:TUX981977 TLB981924:TLB981977 TBF981924:TBF981977 SRJ981924:SRJ981977 SHN981924:SHN981977 RXR981924:RXR981977 RNV981924:RNV981977 RDZ981924:RDZ981977 QUD981924:QUD981977 QKH981924:QKH981977 QAL981924:QAL981977 PQP981924:PQP981977 PGT981924:PGT981977 OWX981924:OWX981977 ONB981924:ONB981977 ODF981924:ODF981977 NTJ981924:NTJ981977 NJN981924:NJN981977 MZR981924:MZR981977 MPV981924:MPV981977 MFZ981924:MFZ981977 LWD981924:LWD981977 LMH981924:LMH981977 LCL981924:LCL981977 KSP981924:KSP981977 KIT981924:KIT981977 JYX981924:JYX981977 JPB981924:JPB981977 JFF981924:JFF981977 IVJ981924:IVJ981977 ILN981924:ILN981977 IBR981924:IBR981977 HRV981924:HRV981977 HHZ981924:HHZ981977 GYD981924:GYD981977 GOH981924:GOH981977 GEL981924:GEL981977 FUP981924:FUP981977 FKT981924:FKT981977 FAX981924:FAX981977 ERB981924:ERB981977 EHF981924:EHF981977 DXJ981924:DXJ981977 DNN981924:DNN981977 DDR981924:DDR981977 CTV981924:CTV981977 CJZ981924:CJZ981977 CAD981924:CAD981977 BQH981924:BQH981977 BGL981924:BGL981977 AWP981924:AWP981977 AMT981924:AMT981977 ACX981924:ACX981977 TB981924:TB981977 JF981924:JF981977 J981924:J981977 WVR916388:WVR916441 WLV916388:WLV916441 WBZ916388:WBZ916441 VSD916388:VSD916441 VIH916388:VIH916441 UYL916388:UYL916441 UOP916388:UOP916441 UET916388:UET916441 TUX916388:TUX916441 TLB916388:TLB916441 TBF916388:TBF916441 SRJ916388:SRJ916441 SHN916388:SHN916441 RXR916388:RXR916441 RNV916388:RNV916441 RDZ916388:RDZ916441 QUD916388:QUD916441 QKH916388:QKH916441 QAL916388:QAL916441 PQP916388:PQP916441 PGT916388:PGT916441 OWX916388:OWX916441 ONB916388:ONB916441 ODF916388:ODF916441 NTJ916388:NTJ916441 NJN916388:NJN916441 MZR916388:MZR916441 MPV916388:MPV916441 MFZ916388:MFZ916441 LWD916388:LWD916441 LMH916388:LMH916441 LCL916388:LCL916441 KSP916388:KSP916441 KIT916388:KIT916441 JYX916388:JYX916441 JPB916388:JPB916441 JFF916388:JFF916441 IVJ916388:IVJ916441 ILN916388:ILN916441 IBR916388:IBR916441 HRV916388:HRV916441 HHZ916388:HHZ916441 GYD916388:GYD916441 GOH916388:GOH916441 GEL916388:GEL916441 FUP916388:FUP916441 FKT916388:FKT916441 FAX916388:FAX916441 ERB916388:ERB916441 EHF916388:EHF916441 DXJ916388:DXJ916441 DNN916388:DNN916441 DDR916388:DDR916441 CTV916388:CTV916441 CJZ916388:CJZ916441 CAD916388:CAD916441 BQH916388:BQH916441 BGL916388:BGL916441 AWP916388:AWP916441 AMT916388:AMT916441 ACX916388:ACX916441 TB916388:TB916441 JF916388:JF916441 J916388:J916441 WVR850852:WVR850905 WLV850852:WLV850905 WBZ850852:WBZ850905 VSD850852:VSD850905 VIH850852:VIH850905 UYL850852:UYL850905 UOP850852:UOP850905 UET850852:UET850905 TUX850852:TUX850905 TLB850852:TLB850905 TBF850852:TBF850905 SRJ850852:SRJ850905 SHN850852:SHN850905 RXR850852:RXR850905 RNV850852:RNV850905 RDZ850852:RDZ850905 QUD850852:QUD850905 QKH850852:QKH850905 QAL850852:QAL850905 PQP850852:PQP850905 PGT850852:PGT850905 OWX850852:OWX850905 ONB850852:ONB850905 ODF850852:ODF850905 NTJ850852:NTJ850905 NJN850852:NJN850905 MZR850852:MZR850905 MPV850852:MPV850905 MFZ850852:MFZ850905 LWD850852:LWD850905 LMH850852:LMH850905 LCL850852:LCL850905 KSP850852:KSP850905 KIT850852:KIT850905 JYX850852:JYX850905 JPB850852:JPB850905 JFF850852:JFF850905 IVJ850852:IVJ850905 ILN850852:ILN850905 IBR850852:IBR850905 HRV850852:HRV850905 HHZ850852:HHZ850905 GYD850852:GYD850905 GOH850852:GOH850905 GEL850852:GEL850905 FUP850852:FUP850905 FKT850852:FKT850905 FAX850852:FAX850905 ERB850852:ERB850905 EHF850852:EHF850905 DXJ850852:DXJ850905 DNN850852:DNN850905 DDR850852:DDR850905 CTV850852:CTV850905 CJZ850852:CJZ850905 CAD850852:CAD850905 BQH850852:BQH850905 BGL850852:BGL850905 AWP850852:AWP850905 AMT850852:AMT850905 ACX850852:ACX850905 TB850852:TB850905 JF850852:JF850905 J850852:J850905 WVR785316:WVR785369 WLV785316:WLV785369 WBZ785316:WBZ785369 VSD785316:VSD785369 VIH785316:VIH785369 UYL785316:UYL785369 UOP785316:UOP785369 UET785316:UET785369 TUX785316:TUX785369 TLB785316:TLB785369 TBF785316:TBF785369 SRJ785316:SRJ785369 SHN785316:SHN785369 RXR785316:RXR785369 RNV785316:RNV785369 RDZ785316:RDZ785369 QUD785316:QUD785369 QKH785316:QKH785369 QAL785316:QAL785369 PQP785316:PQP785369 PGT785316:PGT785369 OWX785316:OWX785369 ONB785316:ONB785369 ODF785316:ODF785369 NTJ785316:NTJ785369 NJN785316:NJN785369 MZR785316:MZR785369 MPV785316:MPV785369 MFZ785316:MFZ785369 LWD785316:LWD785369 LMH785316:LMH785369 LCL785316:LCL785369 KSP785316:KSP785369 KIT785316:KIT785369 JYX785316:JYX785369 JPB785316:JPB785369 JFF785316:JFF785369 IVJ785316:IVJ785369 ILN785316:ILN785369 IBR785316:IBR785369 HRV785316:HRV785369 HHZ785316:HHZ785369 GYD785316:GYD785369 GOH785316:GOH785369 GEL785316:GEL785369 FUP785316:FUP785369 FKT785316:FKT785369 FAX785316:FAX785369 ERB785316:ERB785369 EHF785316:EHF785369 DXJ785316:DXJ785369 DNN785316:DNN785369 DDR785316:DDR785369 CTV785316:CTV785369 CJZ785316:CJZ785369 CAD785316:CAD785369 BQH785316:BQH785369 BGL785316:BGL785369 AWP785316:AWP785369 AMT785316:AMT785369 ACX785316:ACX785369 TB785316:TB785369 JF785316:JF785369 J785316:J785369 WVR719780:WVR719833 WLV719780:WLV719833 WBZ719780:WBZ719833 VSD719780:VSD719833 VIH719780:VIH719833 UYL719780:UYL719833 UOP719780:UOP719833 UET719780:UET719833 TUX719780:TUX719833 TLB719780:TLB719833 TBF719780:TBF719833 SRJ719780:SRJ719833 SHN719780:SHN719833 RXR719780:RXR719833 RNV719780:RNV719833 RDZ719780:RDZ719833 QUD719780:QUD719833 QKH719780:QKH719833 QAL719780:QAL719833 PQP719780:PQP719833 PGT719780:PGT719833 OWX719780:OWX719833 ONB719780:ONB719833 ODF719780:ODF719833 NTJ719780:NTJ719833 NJN719780:NJN719833 MZR719780:MZR719833 MPV719780:MPV719833 MFZ719780:MFZ719833 LWD719780:LWD719833 LMH719780:LMH719833 LCL719780:LCL719833 KSP719780:KSP719833 KIT719780:KIT719833 JYX719780:JYX719833 JPB719780:JPB719833 JFF719780:JFF719833 IVJ719780:IVJ719833 ILN719780:ILN719833 IBR719780:IBR719833 HRV719780:HRV719833 HHZ719780:HHZ719833 GYD719780:GYD719833 GOH719780:GOH719833 GEL719780:GEL719833 FUP719780:FUP719833 FKT719780:FKT719833 FAX719780:FAX719833 ERB719780:ERB719833 EHF719780:EHF719833 DXJ719780:DXJ719833 DNN719780:DNN719833 DDR719780:DDR719833 CTV719780:CTV719833 CJZ719780:CJZ719833 CAD719780:CAD719833 BQH719780:BQH719833 BGL719780:BGL719833 AWP719780:AWP719833 AMT719780:AMT719833 ACX719780:ACX719833 TB719780:TB719833 JF719780:JF719833 J719780:J719833 WVR654244:WVR654297 WLV654244:WLV654297 WBZ654244:WBZ654297 VSD654244:VSD654297 VIH654244:VIH654297 UYL654244:UYL654297 UOP654244:UOP654297 UET654244:UET654297 TUX654244:TUX654297 TLB654244:TLB654297 TBF654244:TBF654297 SRJ654244:SRJ654297 SHN654244:SHN654297 RXR654244:RXR654297 RNV654244:RNV654297 RDZ654244:RDZ654297 QUD654244:QUD654297 QKH654244:QKH654297 QAL654244:QAL654297 PQP654244:PQP654297 PGT654244:PGT654297 OWX654244:OWX654297 ONB654244:ONB654297 ODF654244:ODF654297 NTJ654244:NTJ654297 NJN654244:NJN654297 MZR654244:MZR654297 MPV654244:MPV654297 MFZ654244:MFZ654297 LWD654244:LWD654297 LMH654244:LMH654297 LCL654244:LCL654297 KSP654244:KSP654297 KIT654244:KIT654297 JYX654244:JYX654297 JPB654244:JPB654297 JFF654244:JFF654297 IVJ654244:IVJ654297 ILN654244:ILN654297 IBR654244:IBR654297 HRV654244:HRV654297 HHZ654244:HHZ654297 GYD654244:GYD654297 GOH654244:GOH654297 GEL654244:GEL654297 FUP654244:FUP654297 FKT654244:FKT654297 FAX654244:FAX654297 ERB654244:ERB654297 EHF654244:EHF654297 DXJ654244:DXJ654297 DNN654244:DNN654297 DDR654244:DDR654297 CTV654244:CTV654297 CJZ654244:CJZ654297 CAD654244:CAD654297 BQH654244:BQH654297 BGL654244:BGL654297 AWP654244:AWP654297 AMT654244:AMT654297 ACX654244:ACX654297 TB654244:TB654297 JF654244:JF654297 J654244:J654297 WVR588708:WVR588761 WLV588708:WLV588761 WBZ588708:WBZ588761 VSD588708:VSD588761 VIH588708:VIH588761 UYL588708:UYL588761 UOP588708:UOP588761 UET588708:UET588761 TUX588708:TUX588761 TLB588708:TLB588761 TBF588708:TBF588761 SRJ588708:SRJ588761 SHN588708:SHN588761 RXR588708:RXR588761 RNV588708:RNV588761 RDZ588708:RDZ588761 QUD588708:QUD588761 QKH588708:QKH588761 QAL588708:QAL588761 PQP588708:PQP588761 PGT588708:PGT588761 OWX588708:OWX588761 ONB588708:ONB588761 ODF588708:ODF588761 NTJ588708:NTJ588761 NJN588708:NJN588761 MZR588708:MZR588761 MPV588708:MPV588761 MFZ588708:MFZ588761 LWD588708:LWD588761 LMH588708:LMH588761 LCL588708:LCL588761 KSP588708:KSP588761 KIT588708:KIT588761 JYX588708:JYX588761 JPB588708:JPB588761 JFF588708:JFF588761 IVJ588708:IVJ588761 ILN588708:ILN588761 IBR588708:IBR588761 HRV588708:HRV588761 HHZ588708:HHZ588761 GYD588708:GYD588761 GOH588708:GOH588761 GEL588708:GEL588761 FUP588708:FUP588761 FKT588708:FKT588761 FAX588708:FAX588761 ERB588708:ERB588761 EHF588708:EHF588761 DXJ588708:DXJ588761 DNN588708:DNN588761 DDR588708:DDR588761 CTV588708:CTV588761 CJZ588708:CJZ588761 CAD588708:CAD588761 BQH588708:BQH588761 BGL588708:BGL588761 AWP588708:AWP588761 AMT588708:AMT588761 ACX588708:ACX588761 TB588708:TB588761 JF588708:JF588761 J588708:J588761 WVR523172:WVR523225 WLV523172:WLV523225 WBZ523172:WBZ523225 VSD523172:VSD523225 VIH523172:VIH523225 UYL523172:UYL523225 UOP523172:UOP523225 UET523172:UET523225 TUX523172:TUX523225 TLB523172:TLB523225 TBF523172:TBF523225 SRJ523172:SRJ523225 SHN523172:SHN523225 RXR523172:RXR523225 RNV523172:RNV523225 RDZ523172:RDZ523225 QUD523172:QUD523225 QKH523172:QKH523225 QAL523172:QAL523225 PQP523172:PQP523225 PGT523172:PGT523225 OWX523172:OWX523225 ONB523172:ONB523225 ODF523172:ODF523225 NTJ523172:NTJ523225 NJN523172:NJN523225 MZR523172:MZR523225 MPV523172:MPV523225 MFZ523172:MFZ523225 LWD523172:LWD523225 LMH523172:LMH523225 LCL523172:LCL523225 KSP523172:KSP523225 KIT523172:KIT523225 JYX523172:JYX523225 JPB523172:JPB523225 JFF523172:JFF523225 IVJ523172:IVJ523225 ILN523172:ILN523225 IBR523172:IBR523225 HRV523172:HRV523225 HHZ523172:HHZ523225 GYD523172:GYD523225 GOH523172:GOH523225 GEL523172:GEL523225 FUP523172:FUP523225 FKT523172:FKT523225 FAX523172:FAX523225 ERB523172:ERB523225 EHF523172:EHF523225 DXJ523172:DXJ523225 DNN523172:DNN523225 DDR523172:DDR523225 CTV523172:CTV523225 CJZ523172:CJZ523225 CAD523172:CAD523225 BQH523172:BQH523225 BGL523172:BGL523225 AWP523172:AWP523225 AMT523172:AMT523225 ACX523172:ACX523225 TB523172:TB523225 JF523172:JF523225 J523172:J523225 WVR457636:WVR457689 WLV457636:WLV457689 WBZ457636:WBZ457689 VSD457636:VSD457689 VIH457636:VIH457689 UYL457636:UYL457689 UOP457636:UOP457689 UET457636:UET457689 TUX457636:TUX457689 TLB457636:TLB457689 TBF457636:TBF457689 SRJ457636:SRJ457689 SHN457636:SHN457689 RXR457636:RXR457689 RNV457636:RNV457689 RDZ457636:RDZ457689 QUD457636:QUD457689 QKH457636:QKH457689 QAL457636:QAL457689 PQP457636:PQP457689 PGT457636:PGT457689 OWX457636:OWX457689 ONB457636:ONB457689 ODF457636:ODF457689 NTJ457636:NTJ457689 NJN457636:NJN457689 MZR457636:MZR457689 MPV457636:MPV457689 MFZ457636:MFZ457689 LWD457636:LWD457689 LMH457636:LMH457689 LCL457636:LCL457689 KSP457636:KSP457689 KIT457636:KIT457689 JYX457636:JYX457689 JPB457636:JPB457689 JFF457636:JFF457689 IVJ457636:IVJ457689 ILN457636:ILN457689 IBR457636:IBR457689 HRV457636:HRV457689 HHZ457636:HHZ457689 GYD457636:GYD457689 GOH457636:GOH457689 GEL457636:GEL457689 FUP457636:FUP457689 FKT457636:FKT457689 FAX457636:FAX457689 ERB457636:ERB457689 EHF457636:EHF457689 DXJ457636:DXJ457689 DNN457636:DNN457689 DDR457636:DDR457689 CTV457636:CTV457689 CJZ457636:CJZ457689 CAD457636:CAD457689 BQH457636:BQH457689 BGL457636:BGL457689 AWP457636:AWP457689 AMT457636:AMT457689 ACX457636:ACX457689 TB457636:TB457689 JF457636:JF457689 J457636:J457689 WVR392100:WVR392153 WLV392100:WLV392153 WBZ392100:WBZ392153 VSD392100:VSD392153 VIH392100:VIH392153 UYL392100:UYL392153 UOP392100:UOP392153 UET392100:UET392153 TUX392100:TUX392153 TLB392100:TLB392153 TBF392100:TBF392153 SRJ392100:SRJ392153 SHN392100:SHN392153 RXR392100:RXR392153 RNV392100:RNV392153 RDZ392100:RDZ392153 QUD392100:QUD392153 QKH392100:QKH392153 QAL392100:QAL392153 PQP392100:PQP392153 PGT392100:PGT392153 OWX392100:OWX392153 ONB392100:ONB392153 ODF392100:ODF392153 NTJ392100:NTJ392153 NJN392100:NJN392153 MZR392100:MZR392153 MPV392100:MPV392153 MFZ392100:MFZ392153 LWD392100:LWD392153 LMH392100:LMH392153 LCL392100:LCL392153 KSP392100:KSP392153 KIT392100:KIT392153 JYX392100:JYX392153 JPB392100:JPB392153 JFF392100:JFF392153 IVJ392100:IVJ392153 ILN392100:ILN392153 IBR392100:IBR392153 HRV392100:HRV392153 HHZ392100:HHZ392153 GYD392100:GYD392153 GOH392100:GOH392153 GEL392100:GEL392153 FUP392100:FUP392153 FKT392100:FKT392153 FAX392100:FAX392153 ERB392100:ERB392153 EHF392100:EHF392153 DXJ392100:DXJ392153 DNN392100:DNN392153 DDR392100:DDR392153 CTV392100:CTV392153 CJZ392100:CJZ392153 CAD392100:CAD392153 BQH392100:BQH392153 BGL392100:BGL392153 AWP392100:AWP392153 AMT392100:AMT392153 ACX392100:ACX392153 TB392100:TB392153 JF392100:JF392153 J392100:J392153 WVR326564:WVR326617 WLV326564:WLV326617 WBZ326564:WBZ326617 VSD326564:VSD326617 VIH326564:VIH326617 UYL326564:UYL326617 UOP326564:UOP326617 UET326564:UET326617 TUX326564:TUX326617 TLB326564:TLB326617 TBF326564:TBF326617 SRJ326564:SRJ326617 SHN326564:SHN326617 RXR326564:RXR326617 RNV326564:RNV326617 RDZ326564:RDZ326617 QUD326564:QUD326617 QKH326564:QKH326617 QAL326564:QAL326617 PQP326564:PQP326617 PGT326564:PGT326617 OWX326564:OWX326617 ONB326564:ONB326617 ODF326564:ODF326617 NTJ326564:NTJ326617 NJN326564:NJN326617 MZR326564:MZR326617 MPV326564:MPV326617 MFZ326564:MFZ326617 LWD326564:LWD326617 LMH326564:LMH326617 LCL326564:LCL326617 KSP326564:KSP326617 KIT326564:KIT326617 JYX326564:JYX326617 JPB326564:JPB326617 JFF326564:JFF326617 IVJ326564:IVJ326617 ILN326564:ILN326617 IBR326564:IBR326617 HRV326564:HRV326617 HHZ326564:HHZ326617 GYD326564:GYD326617 GOH326564:GOH326617 GEL326564:GEL326617 FUP326564:FUP326617 FKT326564:FKT326617 FAX326564:FAX326617 ERB326564:ERB326617 EHF326564:EHF326617 DXJ326564:DXJ326617 DNN326564:DNN326617 DDR326564:DDR326617 CTV326564:CTV326617 CJZ326564:CJZ326617 CAD326564:CAD326617 BQH326564:BQH326617 BGL326564:BGL326617 AWP326564:AWP326617 AMT326564:AMT326617 ACX326564:ACX326617 TB326564:TB326617 JF326564:JF326617 J326564:J326617 WVR261028:WVR261081 WLV261028:WLV261081 WBZ261028:WBZ261081 VSD261028:VSD261081 VIH261028:VIH261081 UYL261028:UYL261081 UOP261028:UOP261081 UET261028:UET261081 TUX261028:TUX261081 TLB261028:TLB261081 TBF261028:TBF261081 SRJ261028:SRJ261081 SHN261028:SHN261081 RXR261028:RXR261081 RNV261028:RNV261081 RDZ261028:RDZ261081 QUD261028:QUD261081 QKH261028:QKH261081 QAL261028:QAL261081 PQP261028:PQP261081 PGT261028:PGT261081 OWX261028:OWX261081 ONB261028:ONB261081 ODF261028:ODF261081 NTJ261028:NTJ261081 NJN261028:NJN261081 MZR261028:MZR261081 MPV261028:MPV261081 MFZ261028:MFZ261081 LWD261028:LWD261081 LMH261028:LMH261081 LCL261028:LCL261081 KSP261028:KSP261081 KIT261028:KIT261081 JYX261028:JYX261081 JPB261028:JPB261081 JFF261028:JFF261081 IVJ261028:IVJ261081 ILN261028:ILN261081 IBR261028:IBR261081 HRV261028:HRV261081 HHZ261028:HHZ261081 GYD261028:GYD261081 GOH261028:GOH261081 GEL261028:GEL261081 FUP261028:FUP261081 FKT261028:FKT261081 FAX261028:FAX261081 ERB261028:ERB261081 EHF261028:EHF261081 DXJ261028:DXJ261081 DNN261028:DNN261081 DDR261028:DDR261081 CTV261028:CTV261081 CJZ261028:CJZ261081 CAD261028:CAD261081 BQH261028:BQH261081 BGL261028:BGL261081 AWP261028:AWP261081 AMT261028:AMT261081 ACX261028:ACX261081 TB261028:TB261081 JF261028:JF261081 J261028:J261081 WVR195492:WVR195545 WLV195492:WLV195545 WBZ195492:WBZ195545 VSD195492:VSD195545 VIH195492:VIH195545 UYL195492:UYL195545 UOP195492:UOP195545 UET195492:UET195545 TUX195492:TUX195545 TLB195492:TLB195545 TBF195492:TBF195545 SRJ195492:SRJ195545 SHN195492:SHN195545 RXR195492:RXR195545 RNV195492:RNV195545 RDZ195492:RDZ195545 QUD195492:QUD195545 QKH195492:QKH195545 QAL195492:QAL195545 PQP195492:PQP195545 PGT195492:PGT195545 OWX195492:OWX195545 ONB195492:ONB195545 ODF195492:ODF195545 NTJ195492:NTJ195545 NJN195492:NJN195545 MZR195492:MZR195545 MPV195492:MPV195545 MFZ195492:MFZ195545 LWD195492:LWD195545 LMH195492:LMH195545 LCL195492:LCL195545 KSP195492:KSP195545 KIT195492:KIT195545 JYX195492:JYX195545 JPB195492:JPB195545 JFF195492:JFF195545 IVJ195492:IVJ195545 ILN195492:ILN195545 IBR195492:IBR195545 HRV195492:HRV195545 HHZ195492:HHZ195545 GYD195492:GYD195545 GOH195492:GOH195545 GEL195492:GEL195545 FUP195492:FUP195545 FKT195492:FKT195545 FAX195492:FAX195545 ERB195492:ERB195545 EHF195492:EHF195545 DXJ195492:DXJ195545 DNN195492:DNN195545 DDR195492:DDR195545 CTV195492:CTV195545 CJZ195492:CJZ195545 CAD195492:CAD195545 BQH195492:BQH195545 BGL195492:BGL195545 AWP195492:AWP195545 AMT195492:AMT195545 ACX195492:ACX195545 TB195492:TB195545 JF195492:JF195545 J195492:J195545 WVR129956:WVR130009 WLV129956:WLV130009 WBZ129956:WBZ130009 VSD129956:VSD130009 VIH129956:VIH130009 UYL129956:UYL130009 UOP129956:UOP130009 UET129956:UET130009 TUX129956:TUX130009 TLB129956:TLB130009 TBF129956:TBF130009 SRJ129956:SRJ130009 SHN129956:SHN130009 RXR129956:RXR130009 RNV129956:RNV130009 RDZ129956:RDZ130009 QUD129956:QUD130009 QKH129956:QKH130009 QAL129956:QAL130009 PQP129956:PQP130009 PGT129956:PGT130009 OWX129956:OWX130009 ONB129956:ONB130009 ODF129956:ODF130009 NTJ129956:NTJ130009 NJN129956:NJN130009 MZR129956:MZR130009 MPV129956:MPV130009 MFZ129956:MFZ130009 LWD129956:LWD130009 LMH129956:LMH130009 LCL129956:LCL130009 KSP129956:KSP130009 KIT129956:KIT130009 JYX129956:JYX130009 JPB129956:JPB130009 JFF129956:JFF130009 IVJ129956:IVJ130009 ILN129956:ILN130009 IBR129956:IBR130009 HRV129956:HRV130009 HHZ129956:HHZ130009 GYD129956:GYD130009 GOH129956:GOH130009 GEL129956:GEL130009 FUP129956:FUP130009 FKT129956:FKT130009 FAX129956:FAX130009 ERB129956:ERB130009 EHF129956:EHF130009 DXJ129956:DXJ130009 DNN129956:DNN130009 DDR129956:DDR130009 CTV129956:CTV130009 CJZ129956:CJZ130009 CAD129956:CAD130009 BQH129956:BQH130009 BGL129956:BGL130009 AWP129956:AWP130009 AMT129956:AMT130009 ACX129956:ACX130009 TB129956:TB130009 JF129956:JF130009 J129956:J130009 WVR64420:WVR64473 WLV64420:WLV64473 WBZ64420:WBZ64473 VSD64420:VSD64473 VIH64420:VIH64473 UYL64420:UYL64473 UOP64420:UOP64473 UET64420:UET64473 TUX64420:TUX64473 TLB64420:TLB64473 TBF64420:TBF64473 SRJ64420:SRJ64473 SHN64420:SHN64473 RXR64420:RXR64473 RNV64420:RNV64473 RDZ64420:RDZ64473 QUD64420:QUD64473 QKH64420:QKH64473 QAL64420:QAL64473 PQP64420:PQP64473 PGT64420:PGT64473 OWX64420:OWX64473 ONB64420:ONB64473 ODF64420:ODF64473 NTJ64420:NTJ64473 NJN64420:NJN64473 MZR64420:MZR64473 MPV64420:MPV64473 MFZ64420:MFZ64473 LWD64420:LWD64473 LMH64420:LMH64473 LCL64420:LCL64473 KSP64420:KSP64473 KIT64420:KIT64473 JYX64420:JYX64473 JPB64420:JPB64473 JFF64420:JFF64473 IVJ64420:IVJ64473 ILN64420:ILN64473 IBR64420:IBR64473 HRV64420:HRV64473 HHZ64420:HHZ64473 GYD64420:GYD64473 GOH64420:GOH64473 GEL64420:GEL64473 FUP64420:FUP64473 FKT64420:FKT64473 FAX64420:FAX64473 ERB64420:ERB64473 EHF64420:EHF64473 DXJ64420:DXJ64473 DNN64420:DNN64473 DDR64420:DDR64473 CTV64420:CTV64473 CJZ64420:CJZ64473 CAD64420:CAD64473 BQH64420:BQH64473 BGL64420:BGL64473 AWP64420:AWP64473 AMT64420:AMT64473 ACX64420:ACX64473 TB64420:TB64473 JF64420:JF64473" xr:uid="{2B05A576-B0D8-45DC-A344-CFF0AD7AA021}">
      <formula1>$AP$2:$AP$9</formula1>
    </dataValidation>
    <dataValidation type="list" allowBlank="1" showInputMessage="1" showErrorMessage="1" sqref="WVI983039:WVI983537 A2:A497 WLM983039:WLM983537 WBQ983039:WBQ983537 VRU983039:VRU983537 VHY983039:VHY983537 UYC983039:UYC983537 UOG983039:UOG983537 UEK983039:UEK983537 TUO983039:TUO983537 TKS983039:TKS983537 TAW983039:TAW983537 SRA983039:SRA983537 SHE983039:SHE983537 RXI983039:RXI983537 RNM983039:RNM983537 RDQ983039:RDQ983537 QTU983039:QTU983537 QJY983039:QJY983537 QAC983039:QAC983537 PQG983039:PQG983537 PGK983039:PGK983537 OWO983039:OWO983537 OMS983039:OMS983537 OCW983039:OCW983537 NTA983039:NTA983537 NJE983039:NJE983537 MZI983039:MZI983537 MPM983039:MPM983537 MFQ983039:MFQ983537 LVU983039:LVU983537 LLY983039:LLY983537 LCC983039:LCC983537 KSG983039:KSG983537 KIK983039:KIK983537 JYO983039:JYO983537 JOS983039:JOS983537 JEW983039:JEW983537 IVA983039:IVA983537 ILE983039:ILE983537 IBI983039:IBI983537 HRM983039:HRM983537 HHQ983039:HHQ983537 GXU983039:GXU983537 GNY983039:GNY983537 GEC983039:GEC983537 FUG983039:FUG983537 FKK983039:FKK983537 FAO983039:FAO983537 EQS983039:EQS983537 EGW983039:EGW983537 DXA983039:DXA983537 DNE983039:DNE983537 DDI983039:DDI983537 CTM983039:CTM983537 CJQ983039:CJQ983537 BZU983039:BZU983537 BPY983039:BPY983537 BGC983039:BGC983537 AWG983039:AWG983537 AMK983039:AMK983537 ACO983039:ACO983537 SS983039:SS983537 IW983039:IW983537 A983039:A983537 WVI917503:WVI918001 WLM917503:WLM918001 WBQ917503:WBQ918001 VRU917503:VRU918001 VHY917503:VHY918001 UYC917503:UYC918001 UOG917503:UOG918001 UEK917503:UEK918001 TUO917503:TUO918001 TKS917503:TKS918001 TAW917503:TAW918001 SRA917503:SRA918001 SHE917503:SHE918001 RXI917503:RXI918001 RNM917503:RNM918001 RDQ917503:RDQ918001 QTU917503:QTU918001 QJY917503:QJY918001 QAC917503:QAC918001 PQG917503:PQG918001 PGK917503:PGK918001 OWO917503:OWO918001 OMS917503:OMS918001 OCW917503:OCW918001 NTA917503:NTA918001 NJE917503:NJE918001 MZI917503:MZI918001 MPM917503:MPM918001 MFQ917503:MFQ918001 LVU917503:LVU918001 LLY917503:LLY918001 LCC917503:LCC918001 KSG917503:KSG918001 KIK917503:KIK918001 JYO917503:JYO918001 JOS917503:JOS918001 JEW917503:JEW918001 IVA917503:IVA918001 ILE917503:ILE918001 IBI917503:IBI918001 HRM917503:HRM918001 HHQ917503:HHQ918001 GXU917503:GXU918001 GNY917503:GNY918001 GEC917503:GEC918001 FUG917503:FUG918001 FKK917503:FKK918001 FAO917503:FAO918001 EQS917503:EQS918001 EGW917503:EGW918001 DXA917503:DXA918001 DNE917503:DNE918001 DDI917503:DDI918001 CTM917503:CTM918001 CJQ917503:CJQ918001 BZU917503:BZU918001 BPY917503:BPY918001 BGC917503:BGC918001 AWG917503:AWG918001 AMK917503:AMK918001 ACO917503:ACO918001 SS917503:SS918001 IW917503:IW918001 A917503:A918001 WVI851967:WVI852465 WLM851967:WLM852465 WBQ851967:WBQ852465 VRU851967:VRU852465 VHY851967:VHY852465 UYC851967:UYC852465 UOG851967:UOG852465 UEK851967:UEK852465 TUO851967:TUO852465 TKS851967:TKS852465 TAW851967:TAW852465 SRA851967:SRA852465 SHE851967:SHE852465 RXI851967:RXI852465 RNM851967:RNM852465 RDQ851967:RDQ852465 QTU851967:QTU852465 QJY851967:QJY852465 QAC851967:QAC852465 PQG851967:PQG852465 PGK851967:PGK852465 OWO851967:OWO852465 OMS851967:OMS852465 OCW851967:OCW852465 NTA851967:NTA852465 NJE851967:NJE852465 MZI851967:MZI852465 MPM851967:MPM852465 MFQ851967:MFQ852465 LVU851967:LVU852465 LLY851967:LLY852465 LCC851967:LCC852465 KSG851967:KSG852465 KIK851967:KIK852465 JYO851967:JYO852465 JOS851967:JOS852465 JEW851967:JEW852465 IVA851967:IVA852465 ILE851967:ILE852465 IBI851967:IBI852465 HRM851967:HRM852465 HHQ851967:HHQ852465 GXU851967:GXU852465 GNY851967:GNY852465 GEC851967:GEC852465 FUG851967:FUG852465 FKK851967:FKK852465 FAO851967:FAO852465 EQS851967:EQS852465 EGW851967:EGW852465 DXA851967:DXA852465 DNE851967:DNE852465 DDI851967:DDI852465 CTM851967:CTM852465 CJQ851967:CJQ852465 BZU851967:BZU852465 BPY851967:BPY852465 BGC851967:BGC852465 AWG851967:AWG852465 AMK851967:AMK852465 ACO851967:ACO852465 SS851967:SS852465 IW851967:IW852465 A851967:A852465 WVI786431:WVI786929 WLM786431:WLM786929 WBQ786431:WBQ786929 VRU786431:VRU786929 VHY786431:VHY786929 UYC786431:UYC786929 UOG786431:UOG786929 UEK786431:UEK786929 TUO786431:TUO786929 TKS786431:TKS786929 TAW786431:TAW786929 SRA786431:SRA786929 SHE786431:SHE786929 RXI786431:RXI786929 RNM786431:RNM786929 RDQ786431:RDQ786929 QTU786431:QTU786929 QJY786431:QJY786929 QAC786431:QAC786929 PQG786431:PQG786929 PGK786431:PGK786929 OWO786431:OWO786929 OMS786431:OMS786929 OCW786431:OCW786929 NTA786431:NTA786929 NJE786431:NJE786929 MZI786431:MZI786929 MPM786431:MPM786929 MFQ786431:MFQ786929 LVU786431:LVU786929 LLY786431:LLY786929 LCC786431:LCC786929 KSG786431:KSG786929 KIK786431:KIK786929 JYO786431:JYO786929 JOS786431:JOS786929 JEW786431:JEW786929 IVA786431:IVA786929 ILE786431:ILE786929 IBI786431:IBI786929 HRM786431:HRM786929 HHQ786431:HHQ786929 GXU786431:GXU786929 GNY786431:GNY786929 GEC786431:GEC786929 FUG786431:FUG786929 FKK786431:FKK786929 FAO786431:FAO786929 EQS786431:EQS786929 EGW786431:EGW786929 DXA786431:DXA786929 DNE786431:DNE786929 DDI786431:DDI786929 CTM786431:CTM786929 CJQ786431:CJQ786929 BZU786431:BZU786929 BPY786431:BPY786929 BGC786431:BGC786929 AWG786431:AWG786929 AMK786431:AMK786929 ACO786431:ACO786929 SS786431:SS786929 IW786431:IW786929 A786431:A786929 WVI720895:WVI721393 WLM720895:WLM721393 WBQ720895:WBQ721393 VRU720895:VRU721393 VHY720895:VHY721393 UYC720895:UYC721393 UOG720895:UOG721393 UEK720895:UEK721393 TUO720895:TUO721393 TKS720895:TKS721393 TAW720895:TAW721393 SRA720895:SRA721393 SHE720895:SHE721393 RXI720895:RXI721393 RNM720895:RNM721393 RDQ720895:RDQ721393 QTU720895:QTU721393 QJY720895:QJY721393 QAC720895:QAC721393 PQG720895:PQG721393 PGK720895:PGK721393 OWO720895:OWO721393 OMS720895:OMS721393 OCW720895:OCW721393 NTA720895:NTA721393 NJE720895:NJE721393 MZI720895:MZI721393 MPM720895:MPM721393 MFQ720895:MFQ721393 LVU720895:LVU721393 LLY720895:LLY721393 LCC720895:LCC721393 KSG720895:KSG721393 KIK720895:KIK721393 JYO720895:JYO721393 JOS720895:JOS721393 JEW720895:JEW721393 IVA720895:IVA721393 ILE720895:ILE721393 IBI720895:IBI721393 HRM720895:HRM721393 HHQ720895:HHQ721393 GXU720895:GXU721393 GNY720895:GNY721393 GEC720895:GEC721393 FUG720895:FUG721393 FKK720895:FKK721393 FAO720895:FAO721393 EQS720895:EQS721393 EGW720895:EGW721393 DXA720895:DXA721393 DNE720895:DNE721393 DDI720895:DDI721393 CTM720895:CTM721393 CJQ720895:CJQ721393 BZU720895:BZU721393 BPY720895:BPY721393 BGC720895:BGC721393 AWG720895:AWG721393 AMK720895:AMK721393 ACO720895:ACO721393 SS720895:SS721393 IW720895:IW721393 A720895:A721393 WVI655359:WVI655857 WLM655359:WLM655857 WBQ655359:WBQ655857 VRU655359:VRU655857 VHY655359:VHY655857 UYC655359:UYC655857 UOG655359:UOG655857 UEK655359:UEK655857 TUO655359:TUO655857 TKS655359:TKS655857 TAW655359:TAW655857 SRA655359:SRA655857 SHE655359:SHE655857 RXI655359:RXI655857 RNM655359:RNM655857 RDQ655359:RDQ655857 QTU655359:QTU655857 QJY655359:QJY655857 QAC655359:QAC655857 PQG655359:PQG655857 PGK655359:PGK655857 OWO655359:OWO655857 OMS655359:OMS655857 OCW655359:OCW655857 NTA655359:NTA655857 NJE655359:NJE655857 MZI655359:MZI655857 MPM655359:MPM655857 MFQ655359:MFQ655857 LVU655359:LVU655857 LLY655359:LLY655857 LCC655359:LCC655857 KSG655359:KSG655857 KIK655359:KIK655857 JYO655359:JYO655857 JOS655359:JOS655857 JEW655359:JEW655857 IVA655359:IVA655857 ILE655359:ILE655857 IBI655359:IBI655857 HRM655359:HRM655857 HHQ655359:HHQ655857 GXU655359:GXU655857 GNY655359:GNY655857 GEC655359:GEC655857 FUG655359:FUG655857 FKK655359:FKK655857 FAO655359:FAO655857 EQS655359:EQS655857 EGW655359:EGW655857 DXA655359:DXA655857 DNE655359:DNE655857 DDI655359:DDI655857 CTM655359:CTM655857 CJQ655359:CJQ655857 BZU655359:BZU655857 BPY655359:BPY655857 BGC655359:BGC655857 AWG655359:AWG655857 AMK655359:AMK655857 ACO655359:ACO655857 SS655359:SS655857 IW655359:IW655857 A655359:A655857 WVI589823:WVI590321 WLM589823:WLM590321 WBQ589823:WBQ590321 VRU589823:VRU590321 VHY589823:VHY590321 UYC589823:UYC590321 UOG589823:UOG590321 UEK589823:UEK590321 TUO589823:TUO590321 TKS589823:TKS590321 TAW589823:TAW590321 SRA589823:SRA590321 SHE589823:SHE590321 RXI589823:RXI590321 RNM589823:RNM590321 RDQ589823:RDQ590321 QTU589823:QTU590321 QJY589823:QJY590321 QAC589823:QAC590321 PQG589823:PQG590321 PGK589823:PGK590321 OWO589823:OWO590321 OMS589823:OMS590321 OCW589823:OCW590321 NTA589823:NTA590321 NJE589823:NJE590321 MZI589823:MZI590321 MPM589823:MPM590321 MFQ589823:MFQ590321 LVU589823:LVU590321 LLY589823:LLY590321 LCC589823:LCC590321 KSG589823:KSG590321 KIK589823:KIK590321 JYO589823:JYO590321 JOS589823:JOS590321 JEW589823:JEW590321 IVA589823:IVA590321 ILE589823:ILE590321 IBI589823:IBI590321 HRM589823:HRM590321 HHQ589823:HHQ590321 GXU589823:GXU590321 GNY589823:GNY590321 GEC589823:GEC590321 FUG589823:FUG590321 FKK589823:FKK590321 FAO589823:FAO590321 EQS589823:EQS590321 EGW589823:EGW590321 DXA589823:DXA590321 DNE589823:DNE590321 DDI589823:DDI590321 CTM589823:CTM590321 CJQ589823:CJQ590321 BZU589823:BZU590321 BPY589823:BPY590321 BGC589823:BGC590321 AWG589823:AWG590321 AMK589823:AMK590321 ACO589823:ACO590321 SS589823:SS590321 IW589823:IW590321 A589823:A590321 WVI524287:WVI524785 WLM524287:WLM524785 WBQ524287:WBQ524785 VRU524287:VRU524785 VHY524287:VHY524785 UYC524287:UYC524785 UOG524287:UOG524785 UEK524287:UEK524785 TUO524287:TUO524785 TKS524287:TKS524785 TAW524287:TAW524785 SRA524287:SRA524785 SHE524287:SHE524785 RXI524287:RXI524785 RNM524287:RNM524785 RDQ524287:RDQ524785 QTU524287:QTU524785 QJY524287:QJY524785 QAC524287:QAC524785 PQG524287:PQG524785 PGK524287:PGK524785 OWO524287:OWO524785 OMS524287:OMS524785 OCW524287:OCW524785 NTA524287:NTA524785 NJE524287:NJE524785 MZI524287:MZI524785 MPM524287:MPM524785 MFQ524287:MFQ524785 LVU524287:LVU524785 LLY524287:LLY524785 LCC524287:LCC524785 KSG524287:KSG524785 KIK524287:KIK524785 JYO524287:JYO524785 JOS524287:JOS524785 JEW524287:JEW524785 IVA524287:IVA524785 ILE524287:ILE524785 IBI524287:IBI524785 HRM524287:HRM524785 HHQ524287:HHQ524785 GXU524287:GXU524785 GNY524287:GNY524785 GEC524287:GEC524785 FUG524287:FUG524785 FKK524287:FKK524785 FAO524287:FAO524785 EQS524287:EQS524785 EGW524287:EGW524785 DXA524287:DXA524785 DNE524287:DNE524785 DDI524287:DDI524785 CTM524287:CTM524785 CJQ524287:CJQ524785 BZU524287:BZU524785 BPY524287:BPY524785 BGC524287:BGC524785 AWG524287:AWG524785 AMK524287:AMK524785 ACO524287:ACO524785 SS524287:SS524785 IW524287:IW524785 A524287:A524785 WVI458751:WVI459249 WLM458751:WLM459249 WBQ458751:WBQ459249 VRU458751:VRU459249 VHY458751:VHY459249 UYC458751:UYC459249 UOG458751:UOG459249 UEK458751:UEK459249 TUO458751:TUO459249 TKS458751:TKS459249 TAW458751:TAW459249 SRA458751:SRA459249 SHE458751:SHE459249 RXI458751:RXI459249 RNM458751:RNM459249 RDQ458751:RDQ459249 QTU458751:QTU459249 QJY458751:QJY459249 QAC458751:QAC459249 PQG458751:PQG459249 PGK458751:PGK459249 OWO458751:OWO459249 OMS458751:OMS459249 OCW458751:OCW459249 NTA458751:NTA459249 NJE458751:NJE459249 MZI458751:MZI459249 MPM458751:MPM459249 MFQ458751:MFQ459249 LVU458751:LVU459249 LLY458751:LLY459249 LCC458751:LCC459249 KSG458751:KSG459249 KIK458751:KIK459249 JYO458751:JYO459249 JOS458751:JOS459249 JEW458751:JEW459249 IVA458751:IVA459249 ILE458751:ILE459249 IBI458751:IBI459249 HRM458751:HRM459249 HHQ458751:HHQ459249 GXU458751:GXU459249 GNY458751:GNY459249 GEC458751:GEC459249 FUG458751:FUG459249 FKK458751:FKK459249 FAO458751:FAO459249 EQS458751:EQS459249 EGW458751:EGW459249 DXA458751:DXA459249 DNE458751:DNE459249 DDI458751:DDI459249 CTM458751:CTM459249 CJQ458751:CJQ459249 BZU458751:BZU459249 BPY458751:BPY459249 BGC458751:BGC459249 AWG458751:AWG459249 AMK458751:AMK459249 ACO458751:ACO459249 SS458751:SS459249 IW458751:IW459249 A458751:A459249 WVI393215:WVI393713 WLM393215:WLM393713 WBQ393215:WBQ393713 VRU393215:VRU393713 VHY393215:VHY393713 UYC393215:UYC393713 UOG393215:UOG393713 UEK393215:UEK393713 TUO393215:TUO393713 TKS393215:TKS393713 TAW393215:TAW393713 SRA393215:SRA393713 SHE393215:SHE393713 RXI393215:RXI393713 RNM393215:RNM393713 RDQ393215:RDQ393713 QTU393215:QTU393713 QJY393215:QJY393713 QAC393215:QAC393713 PQG393215:PQG393713 PGK393215:PGK393713 OWO393215:OWO393713 OMS393215:OMS393713 OCW393215:OCW393713 NTA393215:NTA393713 NJE393215:NJE393713 MZI393215:MZI393713 MPM393215:MPM393713 MFQ393215:MFQ393713 LVU393215:LVU393713 LLY393215:LLY393713 LCC393215:LCC393713 KSG393215:KSG393713 KIK393215:KIK393713 JYO393215:JYO393713 JOS393215:JOS393713 JEW393215:JEW393713 IVA393215:IVA393713 ILE393215:ILE393713 IBI393215:IBI393713 HRM393215:HRM393713 HHQ393215:HHQ393713 GXU393215:GXU393713 GNY393215:GNY393713 GEC393215:GEC393713 FUG393215:FUG393713 FKK393215:FKK393713 FAO393215:FAO393713 EQS393215:EQS393713 EGW393215:EGW393713 DXA393215:DXA393713 DNE393215:DNE393713 DDI393215:DDI393713 CTM393215:CTM393713 CJQ393215:CJQ393713 BZU393215:BZU393713 BPY393215:BPY393713 BGC393215:BGC393713 AWG393215:AWG393713 AMK393215:AMK393713 ACO393215:ACO393713 SS393215:SS393713 IW393215:IW393713 A393215:A393713 WVI327679:WVI328177 WLM327679:WLM328177 WBQ327679:WBQ328177 VRU327679:VRU328177 VHY327679:VHY328177 UYC327679:UYC328177 UOG327679:UOG328177 UEK327679:UEK328177 TUO327679:TUO328177 TKS327679:TKS328177 TAW327679:TAW328177 SRA327679:SRA328177 SHE327679:SHE328177 RXI327679:RXI328177 RNM327679:RNM328177 RDQ327679:RDQ328177 QTU327679:QTU328177 QJY327679:QJY328177 QAC327679:QAC328177 PQG327679:PQG328177 PGK327679:PGK328177 OWO327679:OWO328177 OMS327679:OMS328177 OCW327679:OCW328177 NTA327679:NTA328177 NJE327679:NJE328177 MZI327679:MZI328177 MPM327679:MPM328177 MFQ327679:MFQ328177 LVU327679:LVU328177 LLY327679:LLY328177 LCC327679:LCC328177 KSG327679:KSG328177 KIK327679:KIK328177 JYO327679:JYO328177 JOS327679:JOS328177 JEW327679:JEW328177 IVA327679:IVA328177 ILE327679:ILE328177 IBI327679:IBI328177 HRM327679:HRM328177 HHQ327679:HHQ328177 GXU327679:GXU328177 GNY327679:GNY328177 GEC327679:GEC328177 FUG327679:FUG328177 FKK327679:FKK328177 FAO327679:FAO328177 EQS327679:EQS328177 EGW327679:EGW328177 DXA327679:DXA328177 DNE327679:DNE328177 DDI327679:DDI328177 CTM327679:CTM328177 CJQ327679:CJQ328177 BZU327679:BZU328177 BPY327679:BPY328177 BGC327679:BGC328177 AWG327679:AWG328177 AMK327679:AMK328177 ACO327679:ACO328177 SS327679:SS328177 IW327679:IW328177 A327679:A328177 WVI262143:WVI262641 WLM262143:WLM262641 WBQ262143:WBQ262641 VRU262143:VRU262641 VHY262143:VHY262641 UYC262143:UYC262641 UOG262143:UOG262641 UEK262143:UEK262641 TUO262143:TUO262641 TKS262143:TKS262641 TAW262143:TAW262641 SRA262143:SRA262641 SHE262143:SHE262641 RXI262143:RXI262641 RNM262143:RNM262641 RDQ262143:RDQ262641 QTU262143:QTU262641 QJY262143:QJY262641 QAC262143:QAC262641 PQG262143:PQG262641 PGK262143:PGK262641 OWO262143:OWO262641 OMS262143:OMS262641 OCW262143:OCW262641 NTA262143:NTA262641 NJE262143:NJE262641 MZI262143:MZI262641 MPM262143:MPM262641 MFQ262143:MFQ262641 LVU262143:LVU262641 LLY262143:LLY262641 LCC262143:LCC262641 KSG262143:KSG262641 KIK262143:KIK262641 JYO262143:JYO262641 JOS262143:JOS262641 JEW262143:JEW262641 IVA262143:IVA262641 ILE262143:ILE262641 IBI262143:IBI262641 HRM262143:HRM262641 HHQ262143:HHQ262641 GXU262143:GXU262641 GNY262143:GNY262641 GEC262143:GEC262641 FUG262143:FUG262641 FKK262143:FKK262641 FAO262143:FAO262641 EQS262143:EQS262641 EGW262143:EGW262641 DXA262143:DXA262641 DNE262143:DNE262641 DDI262143:DDI262641 CTM262143:CTM262641 CJQ262143:CJQ262641 BZU262143:BZU262641 BPY262143:BPY262641 BGC262143:BGC262641 AWG262143:AWG262641 AMK262143:AMK262641 ACO262143:ACO262641 SS262143:SS262641 IW262143:IW262641 A262143:A262641 WVI196607:WVI197105 WLM196607:WLM197105 WBQ196607:WBQ197105 VRU196607:VRU197105 VHY196607:VHY197105 UYC196607:UYC197105 UOG196607:UOG197105 UEK196607:UEK197105 TUO196607:TUO197105 TKS196607:TKS197105 TAW196607:TAW197105 SRA196607:SRA197105 SHE196607:SHE197105 RXI196607:RXI197105 RNM196607:RNM197105 RDQ196607:RDQ197105 QTU196607:QTU197105 QJY196607:QJY197105 QAC196607:QAC197105 PQG196607:PQG197105 PGK196607:PGK197105 OWO196607:OWO197105 OMS196607:OMS197105 OCW196607:OCW197105 NTA196607:NTA197105 NJE196607:NJE197105 MZI196607:MZI197105 MPM196607:MPM197105 MFQ196607:MFQ197105 LVU196607:LVU197105 LLY196607:LLY197105 LCC196607:LCC197105 KSG196607:KSG197105 KIK196607:KIK197105 JYO196607:JYO197105 JOS196607:JOS197105 JEW196607:JEW197105 IVA196607:IVA197105 ILE196607:ILE197105 IBI196607:IBI197105 HRM196607:HRM197105 HHQ196607:HHQ197105 GXU196607:GXU197105 GNY196607:GNY197105 GEC196607:GEC197105 FUG196607:FUG197105 FKK196607:FKK197105 FAO196607:FAO197105 EQS196607:EQS197105 EGW196607:EGW197105 DXA196607:DXA197105 DNE196607:DNE197105 DDI196607:DDI197105 CTM196607:CTM197105 CJQ196607:CJQ197105 BZU196607:BZU197105 BPY196607:BPY197105 BGC196607:BGC197105 AWG196607:AWG197105 AMK196607:AMK197105 ACO196607:ACO197105 SS196607:SS197105 IW196607:IW197105 A196607:A197105 WVI131071:WVI131569 WLM131071:WLM131569 WBQ131071:WBQ131569 VRU131071:VRU131569 VHY131071:VHY131569 UYC131071:UYC131569 UOG131071:UOG131569 UEK131071:UEK131569 TUO131071:TUO131569 TKS131071:TKS131569 TAW131071:TAW131569 SRA131071:SRA131569 SHE131071:SHE131569 RXI131071:RXI131569 RNM131071:RNM131569 RDQ131071:RDQ131569 QTU131071:QTU131569 QJY131071:QJY131569 QAC131071:QAC131569 PQG131071:PQG131569 PGK131071:PGK131569 OWO131071:OWO131569 OMS131071:OMS131569 OCW131071:OCW131569 NTA131071:NTA131569 NJE131071:NJE131569 MZI131071:MZI131569 MPM131071:MPM131569 MFQ131071:MFQ131569 LVU131071:LVU131569 LLY131071:LLY131569 LCC131071:LCC131569 KSG131071:KSG131569 KIK131071:KIK131569 JYO131071:JYO131569 JOS131071:JOS131569 JEW131071:JEW131569 IVA131071:IVA131569 ILE131071:ILE131569 IBI131071:IBI131569 HRM131071:HRM131569 HHQ131071:HHQ131569 GXU131071:GXU131569 GNY131071:GNY131569 GEC131071:GEC131569 FUG131071:FUG131569 FKK131071:FKK131569 FAO131071:FAO131569 EQS131071:EQS131569 EGW131071:EGW131569 DXA131071:DXA131569 DNE131071:DNE131569 DDI131071:DDI131569 CTM131071:CTM131569 CJQ131071:CJQ131569 BZU131071:BZU131569 BPY131071:BPY131569 BGC131071:BGC131569 AWG131071:AWG131569 AMK131071:AMK131569 ACO131071:ACO131569 SS131071:SS131569 IW131071:IW131569 A131071:A131569 WVI65535:WVI66033 WLM65535:WLM66033 WBQ65535:WBQ66033 VRU65535:VRU66033 VHY65535:VHY66033 UYC65535:UYC66033 UOG65535:UOG66033 UEK65535:UEK66033 TUO65535:TUO66033 TKS65535:TKS66033 TAW65535:TAW66033 SRA65535:SRA66033 SHE65535:SHE66033 RXI65535:RXI66033 RNM65535:RNM66033 RDQ65535:RDQ66033 QTU65535:QTU66033 QJY65535:QJY66033 QAC65535:QAC66033 PQG65535:PQG66033 PGK65535:PGK66033 OWO65535:OWO66033 OMS65535:OMS66033 OCW65535:OCW66033 NTA65535:NTA66033 NJE65535:NJE66033 MZI65535:MZI66033 MPM65535:MPM66033 MFQ65535:MFQ66033 LVU65535:LVU66033 LLY65535:LLY66033 LCC65535:LCC66033 KSG65535:KSG66033 KIK65535:KIK66033 JYO65535:JYO66033 JOS65535:JOS66033 JEW65535:JEW66033 IVA65535:IVA66033 ILE65535:ILE66033 IBI65535:IBI66033 HRM65535:HRM66033 HHQ65535:HHQ66033 GXU65535:GXU66033 GNY65535:GNY66033 GEC65535:GEC66033 FUG65535:FUG66033 FKK65535:FKK66033 FAO65535:FAO66033 EQS65535:EQS66033 EGW65535:EGW66033 DXA65535:DXA66033 DNE65535:DNE66033 DDI65535:DDI66033 CTM65535:CTM66033 CJQ65535:CJQ66033 BZU65535:BZU66033 BPY65535:BPY66033 BGC65535:BGC66033 AWG65535:AWG66033 AMK65535:AMK66033 ACO65535:ACO66033 SS65535:SS66033 IW65535:IW66033 A65535:A66033 WVI2:WVI497 WLM2:WLM497 WBQ2:WBQ497 VRU2:VRU497 VHY2:VHY497 UYC2:UYC497 UOG2:UOG497 UEK2:UEK497 TUO2:TUO497 TKS2:TKS497 TAW2:TAW497 SRA2:SRA497 SHE2:SHE497 RXI2:RXI497 RNM2:RNM497 RDQ2:RDQ497 QTU2:QTU497 QJY2:QJY497 QAC2:QAC497 PQG2:PQG497 PGK2:PGK497 OWO2:OWO497 OMS2:OMS497 OCW2:OCW497 NTA2:NTA497 NJE2:NJE497 MZI2:MZI497 MPM2:MPM497 MFQ2:MFQ497 LVU2:LVU497 LLY2:LLY497 LCC2:LCC497 KSG2:KSG497 KIK2:KIK497 JYO2:JYO497 JOS2:JOS497 JEW2:JEW497 IVA2:IVA497 ILE2:ILE497 IBI2:IBI497 HRM2:HRM497 HHQ2:HHQ497 GXU2:GXU497 GNY2:GNY497 GEC2:GEC497 FUG2:FUG497 FKK2:FKK497 FAO2:FAO497 EQS2:EQS497 EGW2:EGW497 DXA2:DXA497 DNE2:DNE497 DDI2:DDI497 CTM2:CTM497 CJQ2:CJQ497 BZU2:BZU497 BPY2:BPY497 BGC2:BGC497 AWG2:AWG497 AMK2:AMK497 ACO2:ACO497 SS2:SS497 IW2:IW497" xr:uid="{488A008D-8B3F-4506-BA57-E2077A37C77C}">
      <formula1>$AE$2:$AE$16</formula1>
    </dataValidation>
    <dataValidation type="list" allowBlank="1" showInputMessage="1" showErrorMessage="1" sqref="WVP983039:WVP983537 H2:H497 WLT983039:WLT983537 WBX983039:WBX983537 VSB983039:VSB983537 VIF983039:VIF983537 UYJ983039:UYJ983537 UON983039:UON983537 UER983039:UER983537 TUV983039:TUV983537 TKZ983039:TKZ983537 TBD983039:TBD983537 SRH983039:SRH983537 SHL983039:SHL983537 RXP983039:RXP983537 RNT983039:RNT983537 RDX983039:RDX983537 QUB983039:QUB983537 QKF983039:QKF983537 QAJ983039:QAJ983537 PQN983039:PQN983537 PGR983039:PGR983537 OWV983039:OWV983537 OMZ983039:OMZ983537 ODD983039:ODD983537 NTH983039:NTH983537 NJL983039:NJL983537 MZP983039:MZP983537 MPT983039:MPT983537 MFX983039:MFX983537 LWB983039:LWB983537 LMF983039:LMF983537 LCJ983039:LCJ983537 KSN983039:KSN983537 KIR983039:KIR983537 JYV983039:JYV983537 JOZ983039:JOZ983537 JFD983039:JFD983537 IVH983039:IVH983537 ILL983039:ILL983537 IBP983039:IBP983537 HRT983039:HRT983537 HHX983039:HHX983537 GYB983039:GYB983537 GOF983039:GOF983537 GEJ983039:GEJ983537 FUN983039:FUN983537 FKR983039:FKR983537 FAV983039:FAV983537 EQZ983039:EQZ983537 EHD983039:EHD983537 DXH983039:DXH983537 DNL983039:DNL983537 DDP983039:DDP983537 CTT983039:CTT983537 CJX983039:CJX983537 CAB983039:CAB983537 BQF983039:BQF983537 BGJ983039:BGJ983537 AWN983039:AWN983537 AMR983039:AMR983537 ACV983039:ACV983537 SZ983039:SZ983537 JD983039:JD983537 H983039:H983537 WVP917503:WVP918001 WLT917503:WLT918001 WBX917503:WBX918001 VSB917503:VSB918001 VIF917503:VIF918001 UYJ917503:UYJ918001 UON917503:UON918001 UER917503:UER918001 TUV917503:TUV918001 TKZ917503:TKZ918001 TBD917503:TBD918001 SRH917503:SRH918001 SHL917503:SHL918001 RXP917503:RXP918001 RNT917503:RNT918001 RDX917503:RDX918001 QUB917503:QUB918001 QKF917503:QKF918001 QAJ917503:QAJ918001 PQN917503:PQN918001 PGR917503:PGR918001 OWV917503:OWV918001 OMZ917503:OMZ918001 ODD917503:ODD918001 NTH917503:NTH918001 NJL917503:NJL918001 MZP917503:MZP918001 MPT917503:MPT918001 MFX917503:MFX918001 LWB917503:LWB918001 LMF917503:LMF918001 LCJ917503:LCJ918001 KSN917503:KSN918001 KIR917503:KIR918001 JYV917503:JYV918001 JOZ917503:JOZ918001 JFD917503:JFD918001 IVH917503:IVH918001 ILL917503:ILL918001 IBP917503:IBP918001 HRT917503:HRT918001 HHX917503:HHX918001 GYB917503:GYB918001 GOF917503:GOF918001 GEJ917503:GEJ918001 FUN917503:FUN918001 FKR917503:FKR918001 FAV917503:FAV918001 EQZ917503:EQZ918001 EHD917503:EHD918001 DXH917503:DXH918001 DNL917503:DNL918001 DDP917503:DDP918001 CTT917503:CTT918001 CJX917503:CJX918001 CAB917503:CAB918001 BQF917503:BQF918001 BGJ917503:BGJ918001 AWN917503:AWN918001 AMR917503:AMR918001 ACV917503:ACV918001 SZ917503:SZ918001 JD917503:JD918001 H917503:H918001 WVP851967:WVP852465 WLT851967:WLT852465 WBX851967:WBX852465 VSB851967:VSB852465 VIF851967:VIF852465 UYJ851967:UYJ852465 UON851967:UON852465 UER851967:UER852465 TUV851967:TUV852465 TKZ851967:TKZ852465 TBD851967:TBD852465 SRH851967:SRH852465 SHL851967:SHL852465 RXP851967:RXP852465 RNT851967:RNT852465 RDX851967:RDX852465 QUB851967:QUB852465 QKF851967:QKF852465 QAJ851967:QAJ852465 PQN851967:PQN852465 PGR851967:PGR852465 OWV851967:OWV852465 OMZ851967:OMZ852465 ODD851967:ODD852465 NTH851967:NTH852465 NJL851967:NJL852465 MZP851967:MZP852465 MPT851967:MPT852465 MFX851967:MFX852465 LWB851967:LWB852465 LMF851967:LMF852465 LCJ851967:LCJ852465 KSN851967:KSN852465 KIR851967:KIR852465 JYV851967:JYV852465 JOZ851967:JOZ852465 JFD851967:JFD852465 IVH851967:IVH852465 ILL851967:ILL852465 IBP851967:IBP852465 HRT851967:HRT852465 HHX851967:HHX852465 GYB851967:GYB852465 GOF851967:GOF852465 GEJ851967:GEJ852465 FUN851967:FUN852465 FKR851967:FKR852465 FAV851967:FAV852465 EQZ851967:EQZ852465 EHD851967:EHD852465 DXH851967:DXH852465 DNL851967:DNL852465 DDP851967:DDP852465 CTT851967:CTT852465 CJX851967:CJX852465 CAB851967:CAB852465 BQF851967:BQF852465 BGJ851967:BGJ852465 AWN851967:AWN852465 AMR851967:AMR852465 ACV851967:ACV852465 SZ851967:SZ852465 JD851967:JD852465 H851967:H852465 WVP786431:WVP786929 WLT786431:WLT786929 WBX786431:WBX786929 VSB786431:VSB786929 VIF786431:VIF786929 UYJ786431:UYJ786929 UON786431:UON786929 UER786431:UER786929 TUV786431:TUV786929 TKZ786431:TKZ786929 TBD786431:TBD786929 SRH786431:SRH786929 SHL786431:SHL786929 RXP786431:RXP786929 RNT786431:RNT786929 RDX786431:RDX786929 QUB786431:QUB786929 QKF786431:QKF786929 QAJ786431:QAJ786929 PQN786431:PQN786929 PGR786431:PGR786929 OWV786431:OWV786929 OMZ786431:OMZ786929 ODD786431:ODD786929 NTH786431:NTH786929 NJL786431:NJL786929 MZP786431:MZP786929 MPT786431:MPT786929 MFX786431:MFX786929 LWB786431:LWB786929 LMF786431:LMF786929 LCJ786431:LCJ786929 KSN786431:KSN786929 KIR786431:KIR786929 JYV786431:JYV786929 JOZ786431:JOZ786929 JFD786431:JFD786929 IVH786431:IVH786929 ILL786431:ILL786929 IBP786431:IBP786929 HRT786431:HRT786929 HHX786431:HHX786929 GYB786431:GYB786929 GOF786431:GOF786929 GEJ786431:GEJ786929 FUN786431:FUN786929 FKR786431:FKR786929 FAV786431:FAV786929 EQZ786431:EQZ786929 EHD786431:EHD786929 DXH786431:DXH786929 DNL786431:DNL786929 DDP786431:DDP786929 CTT786431:CTT786929 CJX786431:CJX786929 CAB786431:CAB786929 BQF786431:BQF786929 BGJ786431:BGJ786929 AWN786431:AWN786929 AMR786431:AMR786929 ACV786431:ACV786929 SZ786431:SZ786929 JD786431:JD786929 H786431:H786929 WVP720895:WVP721393 WLT720895:WLT721393 WBX720895:WBX721393 VSB720895:VSB721393 VIF720895:VIF721393 UYJ720895:UYJ721393 UON720895:UON721393 UER720895:UER721393 TUV720895:TUV721393 TKZ720895:TKZ721393 TBD720895:TBD721393 SRH720895:SRH721393 SHL720895:SHL721393 RXP720895:RXP721393 RNT720895:RNT721393 RDX720895:RDX721393 QUB720895:QUB721393 QKF720895:QKF721393 QAJ720895:QAJ721393 PQN720895:PQN721393 PGR720895:PGR721393 OWV720895:OWV721393 OMZ720895:OMZ721393 ODD720895:ODD721393 NTH720895:NTH721393 NJL720895:NJL721393 MZP720895:MZP721393 MPT720895:MPT721393 MFX720895:MFX721393 LWB720895:LWB721393 LMF720895:LMF721393 LCJ720895:LCJ721393 KSN720895:KSN721393 KIR720895:KIR721393 JYV720895:JYV721393 JOZ720895:JOZ721393 JFD720895:JFD721393 IVH720895:IVH721393 ILL720895:ILL721393 IBP720895:IBP721393 HRT720895:HRT721393 HHX720895:HHX721393 GYB720895:GYB721393 GOF720895:GOF721393 GEJ720895:GEJ721393 FUN720895:FUN721393 FKR720895:FKR721393 FAV720895:FAV721393 EQZ720895:EQZ721393 EHD720895:EHD721393 DXH720895:DXH721393 DNL720895:DNL721393 DDP720895:DDP721393 CTT720895:CTT721393 CJX720895:CJX721393 CAB720895:CAB721393 BQF720895:BQF721393 BGJ720895:BGJ721393 AWN720895:AWN721393 AMR720895:AMR721393 ACV720895:ACV721393 SZ720895:SZ721393 JD720895:JD721393 H720895:H721393 WVP655359:WVP655857 WLT655359:WLT655857 WBX655359:WBX655857 VSB655359:VSB655857 VIF655359:VIF655857 UYJ655359:UYJ655857 UON655359:UON655857 UER655359:UER655857 TUV655359:TUV655857 TKZ655359:TKZ655857 TBD655359:TBD655857 SRH655359:SRH655857 SHL655359:SHL655857 RXP655359:RXP655857 RNT655359:RNT655857 RDX655359:RDX655857 QUB655359:QUB655857 QKF655359:QKF655857 QAJ655359:QAJ655857 PQN655359:PQN655857 PGR655359:PGR655857 OWV655359:OWV655857 OMZ655359:OMZ655857 ODD655359:ODD655857 NTH655359:NTH655857 NJL655359:NJL655857 MZP655359:MZP655857 MPT655359:MPT655857 MFX655359:MFX655857 LWB655359:LWB655857 LMF655359:LMF655857 LCJ655359:LCJ655857 KSN655359:KSN655857 KIR655359:KIR655857 JYV655359:JYV655857 JOZ655359:JOZ655857 JFD655359:JFD655857 IVH655359:IVH655857 ILL655359:ILL655857 IBP655359:IBP655857 HRT655359:HRT655857 HHX655359:HHX655857 GYB655359:GYB655857 GOF655359:GOF655857 GEJ655359:GEJ655857 FUN655359:FUN655857 FKR655359:FKR655857 FAV655359:FAV655857 EQZ655359:EQZ655857 EHD655359:EHD655857 DXH655359:DXH655857 DNL655359:DNL655857 DDP655359:DDP655857 CTT655359:CTT655857 CJX655359:CJX655857 CAB655359:CAB655857 BQF655359:BQF655857 BGJ655359:BGJ655857 AWN655359:AWN655857 AMR655359:AMR655857 ACV655359:ACV655857 SZ655359:SZ655857 JD655359:JD655857 H655359:H655857 WVP589823:WVP590321 WLT589823:WLT590321 WBX589823:WBX590321 VSB589823:VSB590321 VIF589823:VIF590321 UYJ589823:UYJ590321 UON589823:UON590321 UER589823:UER590321 TUV589823:TUV590321 TKZ589823:TKZ590321 TBD589823:TBD590321 SRH589823:SRH590321 SHL589823:SHL590321 RXP589823:RXP590321 RNT589823:RNT590321 RDX589823:RDX590321 QUB589823:QUB590321 QKF589823:QKF590321 QAJ589823:QAJ590321 PQN589823:PQN590321 PGR589823:PGR590321 OWV589823:OWV590321 OMZ589823:OMZ590321 ODD589823:ODD590321 NTH589823:NTH590321 NJL589823:NJL590321 MZP589823:MZP590321 MPT589823:MPT590321 MFX589823:MFX590321 LWB589823:LWB590321 LMF589823:LMF590321 LCJ589823:LCJ590321 KSN589823:KSN590321 KIR589823:KIR590321 JYV589823:JYV590321 JOZ589823:JOZ590321 JFD589823:JFD590321 IVH589823:IVH590321 ILL589823:ILL590321 IBP589823:IBP590321 HRT589823:HRT590321 HHX589823:HHX590321 GYB589823:GYB590321 GOF589823:GOF590321 GEJ589823:GEJ590321 FUN589823:FUN590321 FKR589823:FKR590321 FAV589823:FAV590321 EQZ589823:EQZ590321 EHD589823:EHD590321 DXH589823:DXH590321 DNL589823:DNL590321 DDP589823:DDP590321 CTT589823:CTT590321 CJX589823:CJX590321 CAB589823:CAB590321 BQF589823:BQF590321 BGJ589823:BGJ590321 AWN589823:AWN590321 AMR589823:AMR590321 ACV589823:ACV590321 SZ589823:SZ590321 JD589823:JD590321 H589823:H590321 WVP524287:WVP524785 WLT524287:WLT524785 WBX524287:WBX524785 VSB524287:VSB524785 VIF524287:VIF524785 UYJ524287:UYJ524785 UON524287:UON524785 UER524287:UER524785 TUV524287:TUV524785 TKZ524287:TKZ524785 TBD524287:TBD524785 SRH524287:SRH524785 SHL524287:SHL524785 RXP524287:RXP524785 RNT524287:RNT524785 RDX524287:RDX524785 QUB524287:QUB524785 QKF524287:QKF524785 QAJ524287:QAJ524785 PQN524287:PQN524785 PGR524287:PGR524785 OWV524287:OWV524785 OMZ524287:OMZ524785 ODD524287:ODD524785 NTH524287:NTH524785 NJL524287:NJL524785 MZP524287:MZP524785 MPT524287:MPT524785 MFX524287:MFX524785 LWB524287:LWB524785 LMF524287:LMF524785 LCJ524287:LCJ524785 KSN524287:KSN524785 KIR524287:KIR524785 JYV524287:JYV524785 JOZ524287:JOZ524785 JFD524287:JFD524785 IVH524287:IVH524785 ILL524287:ILL524785 IBP524287:IBP524785 HRT524287:HRT524785 HHX524287:HHX524785 GYB524287:GYB524785 GOF524287:GOF524785 GEJ524287:GEJ524785 FUN524287:FUN524785 FKR524287:FKR524785 FAV524287:FAV524785 EQZ524287:EQZ524785 EHD524287:EHD524785 DXH524287:DXH524785 DNL524287:DNL524785 DDP524287:DDP524785 CTT524287:CTT524785 CJX524287:CJX524785 CAB524287:CAB524785 BQF524287:BQF524785 BGJ524287:BGJ524785 AWN524287:AWN524785 AMR524287:AMR524785 ACV524287:ACV524785 SZ524287:SZ524785 JD524287:JD524785 H524287:H524785 WVP458751:WVP459249 WLT458751:WLT459249 WBX458751:WBX459249 VSB458751:VSB459249 VIF458751:VIF459249 UYJ458751:UYJ459249 UON458751:UON459249 UER458751:UER459249 TUV458751:TUV459249 TKZ458751:TKZ459249 TBD458751:TBD459249 SRH458751:SRH459249 SHL458751:SHL459249 RXP458751:RXP459249 RNT458751:RNT459249 RDX458751:RDX459249 QUB458751:QUB459249 QKF458751:QKF459249 QAJ458751:QAJ459249 PQN458751:PQN459249 PGR458751:PGR459249 OWV458751:OWV459249 OMZ458751:OMZ459249 ODD458751:ODD459249 NTH458751:NTH459249 NJL458751:NJL459249 MZP458751:MZP459249 MPT458751:MPT459249 MFX458751:MFX459249 LWB458751:LWB459249 LMF458751:LMF459249 LCJ458751:LCJ459249 KSN458751:KSN459249 KIR458751:KIR459249 JYV458751:JYV459249 JOZ458751:JOZ459249 JFD458751:JFD459249 IVH458751:IVH459249 ILL458751:ILL459249 IBP458751:IBP459249 HRT458751:HRT459249 HHX458751:HHX459249 GYB458751:GYB459249 GOF458751:GOF459249 GEJ458751:GEJ459249 FUN458751:FUN459249 FKR458751:FKR459249 FAV458751:FAV459249 EQZ458751:EQZ459249 EHD458751:EHD459249 DXH458751:DXH459249 DNL458751:DNL459249 DDP458751:DDP459249 CTT458751:CTT459249 CJX458751:CJX459249 CAB458751:CAB459249 BQF458751:BQF459249 BGJ458751:BGJ459249 AWN458751:AWN459249 AMR458751:AMR459249 ACV458751:ACV459249 SZ458751:SZ459249 JD458751:JD459249 H458751:H459249 WVP393215:WVP393713 WLT393215:WLT393713 WBX393215:WBX393713 VSB393215:VSB393713 VIF393215:VIF393713 UYJ393215:UYJ393713 UON393215:UON393713 UER393215:UER393713 TUV393215:TUV393713 TKZ393215:TKZ393713 TBD393215:TBD393713 SRH393215:SRH393713 SHL393215:SHL393713 RXP393215:RXP393713 RNT393215:RNT393713 RDX393215:RDX393713 QUB393215:QUB393713 QKF393215:QKF393713 QAJ393215:QAJ393713 PQN393215:PQN393713 PGR393215:PGR393713 OWV393215:OWV393713 OMZ393215:OMZ393713 ODD393215:ODD393713 NTH393215:NTH393713 NJL393215:NJL393713 MZP393215:MZP393713 MPT393215:MPT393713 MFX393215:MFX393713 LWB393215:LWB393713 LMF393215:LMF393713 LCJ393215:LCJ393713 KSN393215:KSN393713 KIR393215:KIR393713 JYV393215:JYV393713 JOZ393215:JOZ393713 JFD393215:JFD393713 IVH393215:IVH393713 ILL393215:ILL393713 IBP393215:IBP393713 HRT393215:HRT393713 HHX393215:HHX393713 GYB393215:GYB393713 GOF393215:GOF393713 GEJ393215:GEJ393713 FUN393215:FUN393713 FKR393215:FKR393713 FAV393215:FAV393713 EQZ393215:EQZ393713 EHD393215:EHD393713 DXH393215:DXH393713 DNL393215:DNL393713 DDP393215:DDP393713 CTT393215:CTT393713 CJX393215:CJX393713 CAB393215:CAB393713 BQF393215:BQF393713 BGJ393215:BGJ393713 AWN393215:AWN393713 AMR393215:AMR393713 ACV393215:ACV393713 SZ393215:SZ393713 JD393215:JD393713 H393215:H393713 WVP327679:WVP328177 WLT327679:WLT328177 WBX327679:WBX328177 VSB327679:VSB328177 VIF327679:VIF328177 UYJ327679:UYJ328177 UON327679:UON328177 UER327679:UER328177 TUV327679:TUV328177 TKZ327679:TKZ328177 TBD327679:TBD328177 SRH327679:SRH328177 SHL327679:SHL328177 RXP327679:RXP328177 RNT327679:RNT328177 RDX327679:RDX328177 QUB327679:QUB328177 QKF327679:QKF328177 QAJ327679:QAJ328177 PQN327679:PQN328177 PGR327679:PGR328177 OWV327679:OWV328177 OMZ327679:OMZ328177 ODD327679:ODD328177 NTH327679:NTH328177 NJL327679:NJL328177 MZP327679:MZP328177 MPT327679:MPT328177 MFX327679:MFX328177 LWB327679:LWB328177 LMF327679:LMF328177 LCJ327679:LCJ328177 KSN327679:KSN328177 KIR327679:KIR328177 JYV327679:JYV328177 JOZ327679:JOZ328177 JFD327679:JFD328177 IVH327679:IVH328177 ILL327679:ILL328177 IBP327679:IBP328177 HRT327679:HRT328177 HHX327679:HHX328177 GYB327679:GYB328177 GOF327679:GOF328177 GEJ327679:GEJ328177 FUN327679:FUN328177 FKR327679:FKR328177 FAV327679:FAV328177 EQZ327679:EQZ328177 EHD327679:EHD328177 DXH327679:DXH328177 DNL327679:DNL328177 DDP327679:DDP328177 CTT327679:CTT328177 CJX327679:CJX328177 CAB327679:CAB328177 BQF327679:BQF328177 BGJ327679:BGJ328177 AWN327679:AWN328177 AMR327679:AMR328177 ACV327679:ACV328177 SZ327679:SZ328177 JD327679:JD328177 H327679:H328177 WVP262143:WVP262641 WLT262143:WLT262641 WBX262143:WBX262641 VSB262143:VSB262641 VIF262143:VIF262641 UYJ262143:UYJ262641 UON262143:UON262641 UER262143:UER262641 TUV262143:TUV262641 TKZ262143:TKZ262641 TBD262143:TBD262641 SRH262143:SRH262641 SHL262143:SHL262641 RXP262143:RXP262641 RNT262143:RNT262641 RDX262143:RDX262641 QUB262143:QUB262641 QKF262143:QKF262641 QAJ262143:QAJ262641 PQN262143:PQN262641 PGR262143:PGR262641 OWV262143:OWV262641 OMZ262143:OMZ262641 ODD262143:ODD262641 NTH262143:NTH262641 NJL262143:NJL262641 MZP262143:MZP262641 MPT262143:MPT262641 MFX262143:MFX262641 LWB262143:LWB262641 LMF262143:LMF262641 LCJ262143:LCJ262641 KSN262143:KSN262641 KIR262143:KIR262641 JYV262143:JYV262641 JOZ262143:JOZ262641 JFD262143:JFD262641 IVH262143:IVH262641 ILL262143:ILL262641 IBP262143:IBP262641 HRT262143:HRT262641 HHX262143:HHX262641 GYB262143:GYB262641 GOF262143:GOF262641 GEJ262143:GEJ262641 FUN262143:FUN262641 FKR262143:FKR262641 FAV262143:FAV262641 EQZ262143:EQZ262641 EHD262143:EHD262641 DXH262143:DXH262641 DNL262143:DNL262641 DDP262143:DDP262641 CTT262143:CTT262641 CJX262143:CJX262641 CAB262143:CAB262641 BQF262143:BQF262641 BGJ262143:BGJ262641 AWN262143:AWN262641 AMR262143:AMR262641 ACV262143:ACV262641 SZ262143:SZ262641 JD262143:JD262641 H262143:H262641 WVP196607:WVP197105 WLT196607:WLT197105 WBX196607:WBX197105 VSB196607:VSB197105 VIF196607:VIF197105 UYJ196607:UYJ197105 UON196607:UON197105 UER196607:UER197105 TUV196607:TUV197105 TKZ196607:TKZ197105 TBD196607:TBD197105 SRH196607:SRH197105 SHL196607:SHL197105 RXP196607:RXP197105 RNT196607:RNT197105 RDX196607:RDX197105 QUB196607:QUB197105 QKF196607:QKF197105 QAJ196607:QAJ197105 PQN196607:PQN197105 PGR196607:PGR197105 OWV196607:OWV197105 OMZ196607:OMZ197105 ODD196607:ODD197105 NTH196607:NTH197105 NJL196607:NJL197105 MZP196607:MZP197105 MPT196607:MPT197105 MFX196607:MFX197105 LWB196607:LWB197105 LMF196607:LMF197105 LCJ196607:LCJ197105 KSN196607:KSN197105 KIR196607:KIR197105 JYV196607:JYV197105 JOZ196607:JOZ197105 JFD196607:JFD197105 IVH196607:IVH197105 ILL196607:ILL197105 IBP196607:IBP197105 HRT196607:HRT197105 HHX196607:HHX197105 GYB196607:GYB197105 GOF196607:GOF197105 GEJ196607:GEJ197105 FUN196607:FUN197105 FKR196607:FKR197105 FAV196607:FAV197105 EQZ196607:EQZ197105 EHD196607:EHD197105 DXH196607:DXH197105 DNL196607:DNL197105 DDP196607:DDP197105 CTT196607:CTT197105 CJX196607:CJX197105 CAB196607:CAB197105 BQF196607:BQF197105 BGJ196607:BGJ197105 AWN196607:AWN197105 AMR196607:AMR197105 ACV196607:ACV197105 SZ196607:SZ197105 JD196607:JD197105 H196607:H197105 WVP131071:WVP131569 WLT131071:WLT131569 WBX131071:WBX131569 VSB131071:VSB131569 VIF131071:VIF131569 UYJ131071:UYJ131569 UON131071:UON131569 UER131071:UER131569 TUV131071:TUV131569 TKZ131071:TKZ131569 TBD131071:TBD131569 SRH131071:SRH131569 SHL131071:SHL131569 RXP131071:RXP131569 RNT131071:RNT131569 RDX131071:RDX131569 QUB131071:QUB131569 QKF131071:QKF131569 QAJ131071:QAJ131569 PQN131071:PQN131569 PGR131071:PGR131569 OWV131071:OWV131569 OMZ131071:OMZ131569 ODD131071:ODD131569 NTH131071:NTH131569 NJL131071:NJL131569 MZP131071:MZP131569 MPT131071:MPT131569 MFX131071:MFX131569 LWB131071:LWB131569 LMF131071:LMF131569 LCJ131071:LCJ131569 KSN131071:KSN131569 KIR131071:KIR131569 JYV131071:JYV131569 JOZ131071:JOZ131569 JFD131071:JFD131569 IVH131071:IVH131569 ILL131071:ILL131569 IBP131071:IBP131569 HRT131071:HRT131569 HHX131071:HHX131569 GYB131071:GYB131569 GOF131071:GOF131569 GEJ131071:GEJ131569 FUN131071:FUN131569 FKR131071:FKR131569 FAV131071:FAV131569 EQZ131071:EQZ131569 EHD131071:EHD131569 DXH131071:DXH131569 DNL131071:DNL131569 DDP131071:DDP131569 CTT131071:CTT131569 CJX131071:CJX131569 CAB131071:CAB131569 BQF131071:BQF131569 BGJ131071:BGJ131569 AWN131071:AWN131569 AMR131071:AMR131569 ACV131071:ACV131569 SZ131071:SZ131569 JD131071:JD131569 H131071:H131569 WVP65535:WVP66033 WLT65535:WLT66033 WBX65535:WBX66033 VSB65535:VSB66033 VIF65535:VIF66033 UYJ65535:UYJ66033 UON65535:UON66033 UER65535:UER66033 TUV65535:TUV66033 TKZ65535:TKZ66033 TBD65535:TBD66033 SRH65535:SRH66033 SHL65535:SHL66033 RXP65535:RXP66033 RNT65535:RNT66033 RDX65535:RDX66033 QUB65535:QUB66033 QKF65535:QKF66033 QAJ65535:QAJ66033 PQN65535:PQN66033 PGR65535:PGR66033 OWV65535:OWV66033 OMZ65535:OMZ66033 ODD65535:ODD66033 NTH65535:NTH66033 NJL65535:NJL66033 MZP65535:MZP66033 MPT65535:MPT66033 MFX65535:MFX66033 LWB65535:LWB66033 LMF65535:LMF66033 LCJ65535:LCJ66033 KSN65535:KSN66033 KIR65535:KIR66033 JYV65535:JYV66033 JOZ65535:JOZ66033 JFD65535:JFD66033 IVH65535:IVH66033 ILL65535:ILL66033 IBP65535:IBP66033 HRT65535:HRT66033 HHX65535:HHX66033 GYB65535:GYB66033 GOF65535:GOF66033 GEJ65535:GEJ66033 FUN65535:FUN66033 FKR65535:FKR66033 FAV65535:FAV66033 EQZ65535:EQZ66033 EHD65535:EHD66033 DXH65535:DXH66033 DNL65535:DNL66033 DDP65535:DDP66033 CTT65535:CTT66033 CJX65535:CJX66033 CAB65535:CAB66033 BQF65535:BQF66033 BGJ65535:BGJ66033 AWN65535:AWN66033 AMR65535:AMR66033 ACV65535:ACV66033 SZ65535:SZ66033 JD65535:JD66033 H65535:H66033 WVP2:WVP497 WLT2:WLT497 WBX2:WBX497 VSB2:VSB497 VIF2:VIF497 UYJ2:UYJ497 UON2:UON497 UER2:UER497 TUV2:TUV497 TKZ2:TKZ497 TBD2:TBD497 SRH2:SRH497 SHL2:SHL497 RXP2:RXP497 RNT2:RNT497 RDX2:RDX497 QUB2:QUB497 QKF2:QKF497 QAJ2:QAJ497 PQN2:PQN497 PGR2:PGR497 OWV2:OWV497 OMZ2:OMZ497 ODD2:ODD497 NTH2:NTH497 NJL2:NJL497 MZP2:MZP497 MPT2:MPT497 MFX2:MFX497 LWB2:LWB497 LMF2:LMF497 LCJ2:LCJ497 KSN2:KSN497 KIR2:KIR497 JYV2:JYV497 JOZ2:JOZ497 JFD2:JFD497 IVH2:IVH497 ILL2:ILL497 IBP2:IBP497 HRT2:HRT497 HHX2:HHX497 GYB2:GYB497 GOF2:GOF497 GEJ2:GEJ497 FUN2:FUN497 FKR2:FKR497 FAV2:FAV497 EQZ2:EQZ497 EHD2:EHD497 DXH2:DXH497 DNL2:DNL497 DDP2:DDP497 CTT2:CTT497 CJX2:CJX497 CAB2:CAB497 BQF2:BQF497 BGJ2:BGJ497 AWN2:AWN497 AMR2:AMR497 ACV2:ACV497 SZ2:SZ497 JD2:JD497" xr:uid="{F4138BFD-1322-44F7-96C1-16DB7C2EF168}">
      <formula1>$AL$2:$AL$5</formula1>
    </dataValidation>
    <dataValidation type="list" allowBlank="1" showInputMessage="1" showErrorMessage="1" sqref="WWG983039:WWI983537 Y2:AA497 WMK983039:WMM983537 WCO983039:WCQ983537 VSS983039:VSU983537 VIW983039:VIY983537 UZA983039:UZC983537 UPE983039:UPG983537 UFI983039:UFK983537 TVM983039:TVO983537 TLQ983039:TLS983537 TBU983039:TBW983537 SRY983039:SSA983537 SIC983039:SIE983537 RYG983039:RYI983537 ROK983039:ROM983537 REO983039:REQ983537 QUS983039:QUU983537 QKW983039:QKY983537 QBA983039:QBC983537 PRE983039:PRG983537 PHI983039:PHK983537 OXM983039:OXO983537 ONQ983039:ONS983537 ODU983039:ODW983537 NTY983039:NUA983537 NKC983039:NKE983537 NAG983039:NAI983537 MQK983039:MQM983537 MGO983039:MGQ983537 LWS983039:LWU983537 LMW983039:LMY983537 LDA983039:LDC983537 KTE983039:KTG983537 KJI983039:KJK983537 JZM983039:JZO983537 JPQ983039:JPS983537 JFU983039:JFW983537 IVY983039:IWA983537 IMC983039:IME983537 ICG983039:ICI983537 HSK983039:HSM983537 HIO983039:HIQ983537 GYS983039:GYU983537 GOW983039:GOY983537 GFA983039:GFC983537 FVE983039:FVG983537 FLI983039:FLK983537 FBM983039:FBO983537 ERQ983039:ERS983537 EHU983039:EHW983537 DXY983039:DYA983537 DOC983039:DOE983537 DEG983039:DEI983537 CUK983039:CUM983537 CKO983039:CKQ983537 CAS983039:CAU983537 BQW983039:BQY983537 BHA983039:BHC983537 AXE983039:AXG983537 ANI983039:ANK983537 ADM983039:ADO983537 TQ983039:TS983537 JU983039:JW983537 Y983039:AA983537 WWG917503:WWI918001 WMK917503:WMM918001 WCO917503:WCQ918001 VSS917503:VSU918001 VIW917503:VIY918001 UZA917503:UZC918001 UPE917503:UPG918001 UFI917503:UFK918001 TVM917503:TVO918001 TLQ917503:TLS918001 TBU917503:TBW918001 SRY917503:SSA918001 SIC917503:SIE918001 RYG917503:RYI918001 ROK917503:ROM918001 REO917503:REQ918001 QUS917503:QUU918001 QKW917503:QKY918001 QBA917503:QBC918001 PRE917503:PRG918001 PHI917503:PHK918001 OXM917503:OXO918001 ONQ917503:ONS918001 ODU917503:ODW918001 NTY917503:NUA918001 NKC917503:NKE918001 NAG917503:NAI918001 MQK917503:MQM918001 MGO917503:MGQ918001 LWS917503:LWU918001 LMW917503:LMY918001 LDA917503:LDC918001 KTE917503:KTG918001 KJI917503:KJK918001 JZM917503:JZO918001 JPQ917503:JPS918001 JFU917503:JFW918001 IVY917503:IWA918001 IMC917503:IME918001 ICG917503:ICI918001 HSK917503:HSM918001 HIO917503:HIQ918001 GYS917503:GYU918001 GOW917503:GOY918001 GFA917503:GFC918001 FVE917503:FVG918001 FLI917503:FLK918001 FBM917503:FBO918001 ERQ917503:ERS918001 EHU917503:EHW918001 DXY917503:DYA918001 DOC917503:DOE918001 DEG917503:DEI918001 CUK917503:CUM918001 CKO917503:CKQ918001 CAS917503:CAU918001 BQW917503:BQY918001 BHA917503:BHC918001 AXE917503:AXG918001 ANI917503:ANK918001 ADM917503:ADO918001 TQ917503:TS918001 JU917503:JW918001 Y917503:AA918001 WWG851967:WWI852465 WMK851967:WMM852465 WCO851967:WCQ852465 VSS851967:VSU852465 VIW851967:VIY852465 UZA851967:UZC852465 UPE851967:UPG852465 UFI851967:UFK852465 TVM851967:TVO852465 TLQ851967:TLS852465 TBU851967:TBW852465 SRY851967:SSA852465 SIC851967:SIE852465 RYG851967:RYI852465 ROK851967:ROM852465 REO851967:REQ852465 QUS851967:QUU852465 QKW851967:QKY852465 QBA851967:QBC852465 PRE851967:PRG852465 PHI851967:PHK852465 OXM851967:OXO852465 ONQ851967:ONS852465 ODU851967:ODW852465 NTY851967:NUA852465 NKC851967:NKE852465 NAG851967:NAI852465 MQK851967:MQM852465 MGO851967:MGQ852465 LWS851967:LWU852465 LMW851967:LMY852465 LDA851967:LDC852465 KTE851967:KTG852465 KJI851967:KJK852465 JZM851967:JZO852465 JPQ851967:JPS852465 JFU851967:JFW852465 IVY851967:IWA852465 IMC851967:IME852465 ICG851967:ICI852465 HSK851967:HSM852465 HIO851967:HIQ852465 GYS851967:GYU852465 GOW851967:GOY852465 GFA851967:GFC852465 FVE851967:FVG852465 FLI851967:FLK852465 FBM851967:FBO852465 ERQ851967:ERS852465 EHU851967:EHW852465 DXY851967:DYA852465 DOC851967:DOE852465 DEG851967:DEI852465 CUK851967:CUM852465 CKO851967:CKQ852465 CAS851967:CAU852465 BQW851967:BQY852465 BHA851967:BHC852465 AXE851967:AXG852465 ANI851967:ANK852465 ADM851967:ADO852465 TQ851967:TS852465 JU851967:JW852465 Y851967:AA852465 WWG786431:WWI786929 WMK786431:WMM786929 WCO786431:WCQ786929 VSS786431:VSU786929 VIW786431:VIY786929 UZA786431:UZC786929 UPE786431:UPG786929 UFI786431:UFK786929 TVM786431:TVO786929 TLQ786431:TLS786929 TBU786431:TBW786929 SRY786431:SSA786929 SIC786431:SIE786929 RYG786431:RYI786929 ROK786431:ROM786929 REO786431:REQ786929 QUS786431:QUU786929 QKW786431:QKY786929 QBA786431:QBC786929 PRE786431:PRG786929 PHI786431:PHK786929 OXM786431:OXO786929 ONQ786431:ONS786929 ODU786431:ODW786929 NTY786431:NUA786929 NKC786431:NKE786929 NAG786431:NAI786929 MQK786431:MQM786929 MGO786431:MGQ786929 LWS786431:LWU786929 LMW786431:LMY786929 LDA786431:LDC786929 KTE786431:KTG786929 KJI786431:KJK786929 JZM786431:JZO786929 JPQ786431:JPS786929 JFU786431:JFW786929 IVY786431:IWA786929 IMC786431:IME786929 ICG786431:ICI786929 HSK786431:HSM786929 HIO786431:HIQ786929 GYS786431:GYU786929 GOW786431:GOY786929 GFA786431:GFC786929 FVE786431:FVG786929 FLI786431:FLK786929 FBM786431:FBO786929 ERQ786431:ERS786929 EHU786431:EHW786929 DXY786431:DYA786929 DOC786431:DOE786929 DEG786431:DEI786929 CUK786431:CUM786929 CKO786431:CKQ786929 CAS786431:CAU786929 BQW786431:BQY786929 BHA786431:BHC786929 AXE786431:AXG786929 ANI786431:ANK786929 ADM786431:ADO786929 TQ786431:TS786929 JU786431:JW786929 Y786431:AA786929 WWG720895:WWI721393 WMK720895:WMM721393 WCO720895:WCQ721393 VSS720895:VSU721393 VIW720895:VIY721393 UZA720895:UZC721393 UPE720895:UPG721393 UFI720895:UFK721393 TVM720895:TVO721393 TLQ720895:TLS721393 TBU720895:TBW721393 SRY720895:SSA721393 SIC720895:SIE721393 RYG720895:RYI721393 ROK720895:ROM721393 REO720895:REQ721393 QUS720895:QUU721393 QKW720895:QKY721393 QBA720895:QBC721393 PRE720895:PRG721393 PHI720895:PHK721393 OXM720895:OXO721393 ONQ720895:ONS721393 ODU720895:ODW721393 NTY720895:NUA721393 NKC720895:NKE721393 NAG720895:NAI721393 MQK720895:MQM721393 MGO720895:MGQ721393 LWS720895:LWU721393 LMW720895:LMY721393 LDA720895:LDC721393 KTE720895:KTG721393 KJI720895:KJK721393 JZM720895:JZO721393 JPQ720895:JPS721393 JFU720895:JFW721393 IVY720895:IWA721393 IMC720895:IME721393 ICG720895:ICI721393 HSK720895:HSM721393 HIO720895:HIQ721393 GYS720895:GYU721393 GOW720895:GOY721393 GFA720895:GFC721393 FVE720895:FVG721393 FLI720895:FLK721393 FBM720895:FBO721393 ERQ720895:ERS721393 EHU720895:EHW721393 DXY720895:DYA721393 DOC720895:DOE721393 DEG720895:DEI721393 CUK720895:CUM721393 CKO720895:CKQ721393 CAS720895:CAU721393 BQW720895:BQY721393 BHA720895:BHC721393 AXE720895:AXG721393 ANI720895:ANK721393 ADM720895:ADO721393 TQ720895:TS721393 JU720895:JW721393 Y720895:AA721393 WWG655359:WWI655857 WMK655359:WMM655857 WCO655359:WCQ655857 VSS655359:VSU655857 VIW655359:VIY655857 UZA655359:UZC655857 UPE655359:UPG655857 UFI655359:UFK655857 TVM655359:TVO655857 TLQ655359:TLS655857 TBU655359:TBW655857 SRY655359:SSA655857 SIC655359:SIE655857 RYG655359:RYI655857 ROK655359:ROM655857 REO655359:REQ655857 QUS655359:QUU655857 QKW655359:QKY655857 QBA655359:QBC655857 PRE655359:PRG655857 PHI655359:PHK655857 OXM655359:OXO655857 ONQ655359:ONS655857 ODU655359:ODW655857 NTY655359:NUA655857 NKC655359:NKE655857 NAG655359:NAI655857 MQK655359:MQM655857 MGO655359:MGQ655857 LWS655359:LWU655857 LMW655359:LMY655857 LDA655359:LDC655857 KTE655359:KTG655857 KJI655359:KJK655857 JZM655359:JZO655857 JPQ655359:JPS655857 JFU655359:JFW655857 IVY655359:IWA655857 IMC655359:IME655857 ICG655359:ICI655857 HSK655359:HSM655857 HIO655359:HIQ655857 GYS655359:GYU655857 GOW655359:GOY655857 GFA655359:GFC655857 FVE655359:FVG655857 FLI655359:FLK655857 FBM655359:FBO655857 ERQ655359:ERS655857 EHU655359:EHW655857 DXY655359:DYA655857 DOC655359:DOE655857 DEG655359:DEI655857 CUK655359:CUM655857 CKO655359:CKQ655857 CAS655359:CAU655857 BQW655359:BQY655857 BHA655359:BHC655857 AXE655359:AXG655857 ANI655359:ANK655857 ADM655359:ADO655857 TQ655359:TS655857 JU655359:JW655857 Y655359:AA655857 WWG589823:WWI590321 WMK589823:WMM590321 WCO589823:WCQ590321 VSS589823:VSU590321 VIW589823:VIY590321 UZA589823:UZC590321 UPE589823:UPG590321 UFI589823:UFK590321 TVM589823:TVO590321 TLQ589823:TLS590321 TBU589823:TBW590321 SRY589823:SSA590321 SIC589823:SIE590321 RYG589823:RYI590321 ROK589823:ROM590321 REO589823:REQ590321 QUS589823:QUU590321 QKW589823:QKY590321 QBA589823:QBC590321 PRE589823:PRG590321 PHI589823:PHK590321 OXM589823:OXO590321 ONQ589823:ONS590321 ODU589823:ODW590321 NTY589823:NUA590321 NKC589823:NKE590321 NAG589823:NAI590321 MQK589823:MQM590321 MGO589823:MGQ590321 LWS589823:LWU590321 LMW589823:LMY590321 LDA589823:LDC590321 KTE589823:KTG590321 KJI589823:KJK590321 JZM589823:JZO590321 JPQ589823:JPS590321 JFU589823:JFW590321 IVY589823:IWA590321 IMC589823:IME590321 ICG589823:ICI590321 HSK589823:HSM590321 HIO589823:HIQ590321 GYS589823:GYU590321 GOW589823:GOY590321 GFA589823:GFC590321 FVE589823:FVG590321 FLI589823:FLK590321 FBM589823:FBO590321 ERQ589823:ERS590321 EHU589823:EHW590321 DXY589823:DYA590321 DOC589823:DOE590321 DEG589823:DEI590321 CUK589823:CUM590321 CKO589823:CKQ590321 CAS589823:CAU590321 BQW589823:BQY590321 BHA589823:BHC590321 AXE589823:AXG590321 ANI589823:ANK590321 ADM589823:ADO590321 TQ589823:TS590321 JU589823:JW590321 Y589823:AA590321 WWG524287:WWI524785 WMK524287:WMM524785 WCO524287:WCQ524785 VSS524287:VSU524785 VIW524287:VIY524785 UZA524287:UZC524785 UPE524287:UPG524785 UFI524287:UFK524785 TVM524287:TVO524785 TLQ524287:TLS524785 TBU524287:TBW524785 SRY524287:SSA524785 SIC524287:SIE524785 RYG524287:RYI524785 ROK524287:ROM524785 REO524287:REQ524785 QUS524287:QUU524785 QKW524287:QKY524785 QBA524287:QBC524785 PRE524287:PRG524785 PHI524287:PHK524785 OXM524287:OXO524785 ONQ524287:ONS524785 ODU524287:ODW524785 NTY524287:NUA524785 NKC524287:NKE524785 NAG524287:NAI524785 MQK524287:MQM524785 MGO524287:MGQ524785 LWS524287:LWU524785 LMW524287:LMY524785 LDA524287:LDC524785 KTE524287:KTG524785 KJI524287:KJK524785 JZM524287:JZO524785 JPQ524287:JPS524785 JFU524287:JFW524785 IVY524287:IWA524785 IMC524287:IME524785 ICG524287:ICI524785 HSK524287:HSM524785 HIO524287:HIQ524785 GYS524287:GYU524785 GOW524287:GOY524785 GFA524287:GFC524785 FVE524287:FVG524785 FLI524287:FLK524785 FBM524287:FBO524785 ERQ524287:ERS524785 EHU524287:EHW524785 DXY524287:DYA524785 DOC524287:DOE524785 DEG524287:DEI524785 CUK524287:CUM524785 CKO524287:CKQ524785 CAS524287:CAU524785 BQW524287:BQY524785 BHA524287:BHC524785 AXE524287:AXG524785 ANI524287:ANK524785 ADM524287:ADO524785 TQ524287:TS524785 JU524287:JW524785 Y524287:AA524785 WWG458751:WWI459249 WMK458751:WMM459249 WCO458751:WCQ459249 VSS458751:VSU459249 VIW458751:VIY459249 UZA458751:UZC459249 UPE458751:UPG459249 UFI458751:UFK459249 TVM458751:TVO459249 TLQ458751:TLS459249 TBU458751:TBW459249 SRY458751:SSA459249 SIC458751:SIE459249 RYG458751:RYI459249 ROK458751:ROM459249 REO458751:REQ459249 QUS458751:QUU459249 QKW458751:QKY459249 QBA458751:QBC459249 PRE458751:PRG459249 PHI458751:PHK459249 OXM458751:OXO459249 ONQ458751:ONS459249 ODU458751:ODW459249 NTY458751:NUA459249 NKC458751:NKE459249 NAG458751:NAI459249 MQK458751:MQM459249 MGO458751:MGQ459249 LWS458751:LWU459249 LMW458751:LMY459249 LDA458751:LDC459249 KTE458751:KTG459249 KJI458751:KJK459249 JZM458751:JZO459249 JPQ458751:JPS459249 JFU458751:JFW459249 IVY458751:IWA459249 IMC458751:IME459249 ICG458751:ICI459249 HSK458751:HSM459249 HIO458751:HIQ459249 GYS458751:GYU459249 GOW458751:GOY459249 GFA458751:GFC459249 FVE458751:FVG459249 FLI458751:FLK459249 FBM458751:FBO459249 ERQ458751:ERS459249 EHU458751:EHW459249 DXY458751:DYA459249 DOC458751:DOE459249 DEG458751:DEI459249 CUK458751:CUM459249 CKO458751:CKQ459249 CAS458751:CAU459249 BQW458751:BQY459249 BHA458751:BHC459249 AXE458751:AXG459249 ANI458751:ANK459249 ADM458751:ADO459249 TQ458751:TS459249 JU458751:JW459249 Y458751:AA459249 WWG393215:WWI393713 WMK393215:WMM393713 WCO393215:WCQ393713 VSS393215:VSU393713 VIW393215:VIY393713 UZA393215:UZC393713 UPE393215:UPG393713 UFI393215:UFK393713 TVM393215:TVO393713 TLQ393215:TLS393713 TBU393215:TBW393713 SRY393215:SSA393713 SIC393215:SIE393713 RYG393215:RYI393713 ROK393215:ROM393713 REO393215:REQ393713 QUS393215:QUU393713 QKW393215:QKY393713 QBA393215:QBC393713 PRE393215:PRG393713 PHI393215:PHK393713 OXM393215:OXO393713 ONQ393215:ONS393713 ODU393215:ODW393713 NTY393215:NUA393713 NKC393215:NKE393713 NAG393215:NAI393713 MQK393215:MQM393713 MGO393215:MGQ393713 LWS393215:LWU393713 LMW393215:LMY393713 LDA393215:LDC393713 KTE393215:KTG393713 KJI393215:KJK393713 JZM393215:JZO393713 JPQ393215:JPS393713 JFU393215:JFW393713 IVY393215:IWA393713 IMC393215:IME393713 ICG393215:ICI393713 HSK393215:HSM393713 HIO393215:HIQ393713 GYS393215:GYU393713 GOW393215:GOY393713 GFA393215:GFC393713 FVE393215:FVG393713 FLI393215:FLK393713 FBM393215:FBO393713 ERQ393215:ERS393713 EHU393215:EHW393713 DXY393215:DYA393713 DOC393215:DOE393713 DEG393215:DEI393713 CUK393215:CUM393713 CKO393215:CKQ393713 CAS393215:CAU393713 BQW393215:BQY393713 BHA393215:BHC393713 AXE393215:AXG393713 ANI393215:ANK393713 ADM393215:ADO393713 TQ393215:TS393713 JU393215:JW393713 Y393215:AA393713 WWG327679:WWI328177 WMK327679:WMM328177 WCO327679:WCQ328177 VSS327679:VSU328177 VIW327679:VIY328177 UZA327679:UZC328177 UPE327679:UPG328177 UFI327679:UFK328177 TVM327679:TVO328177 TLQ327679:TLS328177 TBU327679:TBW328177 SRY327679:SSA328177 SIC327679:SIE328177 RYG327679:RYI328177 ROK327679:ROM328177 REO327679:REQ328177 QUS327679:QUU328177 QKW327679:QKY328177 QBA327679:QBC328177 PRE327679:PRG328177 PHI327679:PHK328177 OXM327679:OXO328177 ONQ327679:ONS328177 ODU327679:ODW328177 NTY327679:NUA328177 NKC327679:NKE328177 NAG327679:NAI328177 MQK327679:MQM328177 MGO327679:MGQ328177 LWS327679:LWU328177 LMW327679:LMY328177 LDA327679:LDC328177 KTE327679:KTG328177 KJI327679:KJK328177 JZM327679:JZO328177 JPQ327679:JPS328177 JFU327679:JFW328177 IVY327679:IWA328177 IMC327679:IME328177 ICG327679:ICI328177 HSK327679:HSM328177 HIO327679:HIQ328177 GYS327679:GYU328177 GOW327679:GOY328177 GFA327679:GFC328177 FVE327679:FVG328177 FLI327679:FLK328177 FBM327679:FBO328177 ERQ327679:ERS328177 EHU327679:EHW328177 DXY327679:DYA328177 DOC327679:DOE328177 DEG327679:DEI328177 CUK327679:CUM328177 CKO327679:CKQ328177 CAS327679:CAU328177 BQW327679:BQY328177 BHA327679:BHC328177 AXE327679:AXG328177 ANI327679:ANK328177 ADM327679:ADO328177 TQ327679:TS328177 JU327679:JW328177 Y327679:AA328177 WWG262143:WWI262641 WMK262143:WMM262641 WCO262143:WCQ262641 VSS262143:VSU262641 VIW262143:VIY262641 UZA262143:UZC262641 UPE262143:UPG262641 UFI262143:UFK262641 TVM262143:TVO262641 TLQ262143:TLS262641 TBU262143:TBW262641 SRY262143:SSA262641 SIC262143:SIE262641 RYG262143:RYI262641 ROK262143:ROM262641 REO262143:REQ262641 QUS262143:QUU262641 QKW262143:QKY262641 QBA262143:QBC262641 PRE262143:PRG262641 PHI262143:PHK262641 OXM262143:OXO262641 ONQ262143:ONS262641 ODU262143:ODW262641 NTY262143:NUA262641 NKC262143:NKE262641 NAG262143:NAI262641 MQK262143:MQM262641 MGO262143:MGQ262641 LWS262143:LWU262641 LMW262143:LMY262641 LDA262143:LDC262641 KTE262143:KTG262641 KJI262143:KJK262641 JZM262143:JZO262641 JPQ262143:JPS262641 JFU262143:JFW262641 IVY262143:IWA262641 IMC262143:IME262641 ICG262143:ICI262641 HSK262143:HSM262641 HIO262143:HIQ262641 GYS262143:GYU262641 GOW262143:GOY262641 GFA262143:GFC262641 FVE262143:FVG262641 FLI262143:FLK262641 FBM262143:FBO262641 ERQ262143:ERS262641 EHU262143:EHW262641 DXY262143:DYA262641 DOC262143:DOE262641 DEG262143:DEI262641 CUK262143:CUM262641 CKO262143:CKQ262641 CAS262143:CAU262641 BQW262143:BQY262641 BHA262143:BHC262641 AXE262143:AXG262641 ANI262143:ANK262641 ADM262143:ADO262641 TQ262143:TS262641 JU262143:JW262641 Y262143:AA262641 WWG196607:WWI197105 WMK196607:WMM197105 WCO196607:WCQ197105 VSS196607:VSU197105 VIW196607:VIY197105 UZA196607:UZC197105 UPE196607:UPG197105 UFI196607:UFK197105 TVM196607:TVO197105 TLQ196607:TLS197105 TBU196607:TBW197105 SRY196607:SSA197105 SIC196607:SIE197105 RYG196607:RYI197105 ROK196607:ROM197105 REO196607:REQ197105 QUS196607:QUU197105 QKW196607:QKY197105 QBA196607:QBC197105 PRE196607:PRG197105 PHI196607:PHK197105 OXM196607:OXO197105 ONQ196607:ONS197105 ODU196607:ODW197105 NTY196607:NUA197105 NKC196607:NKE197105 NAG196607:NAI197105 MQK196607:MQM197105 MGO196607:MGQ197105 LWS196607:LWU197105 LMW196607:LMY197105 LDA196607:LDC197105 KTE196607:KTG197105 KJI196607:KJK197105 JZM196607:JZO197105 JPQ196607:JPS197105 JFU196607:JFW197105 IVY196607:IWA197105 IMC196607:IME197105 ICG196607:ICI197105 HSK196607:HSM197105 HIO196607:HIQ197105 GYS196607:GYU197105 GOW196607:GOY197105 GFA196607:GFC197105 FVE196607:FVG197105 FLI196607:FLK197105 FBM196607:FBO197105 ERQ196607:ERS197105 EHU196607:EHW197105 DXY196607:DYA197105 DOC196607:DOE197105 DEG196607:DEI197105 CUK196607:CUM197105 CKO196607:CKQ197105 CAS196607:CAU197105 BQW196607:BQY197105 BHA196607:BHC197105 AXE196607:AXG197105 ANI196607:ANK197105 ADM196607:ADO197105 TQ196607:TS197105 JU196607:JW197105 Y196607:AA197105 WWG131071:WWI131569 WMK131071:WMM131569 WCO131071:WCQ131569 VSS131071:VSU131569 VIW131071:VIY131569 UZA131071:UZC131569 UPE131071:UPG131569 UFI131071:UFK131569 TVM131071:TVO131569 TLQ131071:TLS131569 TBU131071:TBW131569 SRY131071:SSA131569 SIC131071:SIE131569 RYG131071:RYI131569 ROK131071:ROM131569 REO131071:REQ131569 QUS131071:QUU131569 QKW131071:QKY131569 QBA131071:QBC131569 PRE131071:PRG131569 PHI131071:PHK131569 OXM131071:OXO131569 ONQ131071:ONS131569 ODU131071:ODW131569 NTY131071:NUA131569 NKC131071:NKE131569 NAG131071:NAI131569 MQK131071:MQM131569 MGO131071:MGQ131569 LWS131071:LWU131569 LMW131071:LMY131569 LDA131071:LDC131569 KTE131071:KTG131569 KJI131071:KJK131569 JZM131071:JZO131569 JPQ131071:JPS131569 JFU131071:JFW131569 IVY131071:IWA131569 IMC131071:IME131569 ICG131071:ICI131569 HSK131071:HSM131569 HIO131071:HIQ131569 GYS131071:GYU131569 GOW131071:GOY131569 GFA131071:GFC131569 FVE131071:FVG131569 FLI131071:FLK131569 FBM131071:FBO131569 ERQ131071:ERS131569 EHU131071:EHW131569 DXY131071:DYA131569 DOC131071:DOE131569 DEG131071:DEI131569 CUK131071:CUM131569 CKO131071:CKQ131569 CAS131071:CAU131569 BQW131071:BQY131569 BHA131071:BHC131569 AXE131071:AXG131569 ANI131071:ANK131569 ADM131071:ADO131569 TQ131071:TS131569 JU131071:JW131569 Y131071:AA131569 WWG65535:WWI66033 WMK65535:WMM66033 WCO65535:WCQ66033 VSS65535:VSU66033 VIW65535:VIY66033 UZA65535:UZC66033 UPE65535:UPG66033 UFI65535:UFK66033 TVM65535:TVO66033 TLQ65535:TLS66033 TBU65535:TBW66033 SRY65535:SSA66033 SIC65535:SIE66033 RYG65535:RYI66033 ROK65535:ROM66033 REO65535:REQ66033 QUS65535:QUU66033 QKW65535:QKY66033 QBA65535:QBC66033 PRE65535:PRG66033 PHI65535:PHK66033 OXM65535:OXO66033 ONQ65535:ONS66033 ODU65535:ODW66033 NTY65535:NUA66033 NKC65535:NKE66033 NAG65535:NAI66033 MQK65535:MQM66033 MGO65535:MGQ66033 LWS65535:LWU66033 LMW65535:LMY66033 LDA65535:LDC66033 KTE65535:KTG66033 KJI65535:KJK66033 JZM65535:JZO66033 JPQ65535:JPS66033 JFU65535:JFW66033 IVY65535:IWA66033 IMC65535:IME66033 ICG65535:ICI66033 HSK65535:HSM66033 HIO65535:HIQ66033 GYS65535:GYU66033 GOW65535:GOY66033 GFA65535:GFC66033 FVE65535:FVG66033 FLI65535:FLK66033 FBM65535:FBO66033 ERQ65535:ERS66033 EHU65535:EHW66033 DXY65535:DYA66033 DOC65535:DOE66033 DEG65535:DEI66033 CUK65535:CUM66033 CKO65535:CKQ66033 CAS65535:CAU66033 BQW65535:BQY66033 BHA65535:BHC66033 AXE65535:AXG66033 ANI65535:ANK66033 ADM65535:ADO66033 TQ65535:TS66033 JU65535:JW66033 Y65535:AA66033 WWG2:WWI497 WMK2:WMM497 WCO2:WCQ497 VSS2:VSU497 VIW2:VIY497 UZA2:UZC497 UPE2:UPG497 UFI2:UFK497 TVM2:TVO497 TLQ2:TLS497 TBU2:TBW497 SRY2:SSA497 SIC2:SIE497 RYG2:RYI497 ROK2:ROM497 REO2:REQ497 QUS2:QUU497 QKW2:QKY497 QBA2:QBC497 PRE2:PRG497 PHI2:PHK497 OXM2:OXO497 ONQ2:ONS497 ODU2:ODW497 NTY2:NUA497 NKC2:NKE497 NAG2:NAI497 MQK2:MQM497 MGO2:MGQ497 LWS2:LWU497 LMW2:LMY497 LDA2:LDC497 KTE2:KTG497 KJI2:KJK497 JZM2:JZO497 JPQ2:JPS497 JFU2:JFW497 IVY2:IWA497 IMC2:IME497 ICG2:ICI497 HSK2:HSM497 HIO2:HIQ497 GYS2:GYU497 GOW2:GOY497 GFA2:GFC497 FVE2:FVG497 FLI2:FLK497 FBM2:FBO497 ERQ2:ERS497 EHU2:EHW497 DXY2:DYA497 DOC2:DOE497 DEG2:DEI497 CUK2:CUM497 CKO2:CKQ497 CAS2:CAU497 BQW2:BQY497 BHA2:BHC497 AXE2:AXG497 ANI2:ANK497 ADM2:ADO497 TQ2:TS497 JU2:JW497" xr:uid="{FABFBD6A-96C2-489A-A427-94D825C7B2DA}">
      <formula1>$AV$2:$AV$18</formula1>
    </dataValidation>
    <dataValidation type="decimal" allowBlank="1" showInputMessage="1" showErrorMessage="1" error="硬度を正しく入力して下さい。" sqref="WVW983039:WVX983537 O65535:P66033 JK65535:JL66033 TG65535:TH66033 ADC65535:ADD66033 AMY65535:AMZ66033 AWU65535:AWV66033 BGQ65535:BGR66033 BQM65535:BQN66033 CAI65535:CAJ66033 CKE65535:CKF66033 CUA65535:CUB66033 DDW65535:DDX66033 DNS65535:DNT66033 DXO65535:DXP66033 EHK65535:EHL66033 ERG65535:ERH66033 FBC65535:FBD66033 FKY65535:FKZ66033 FUU65535:FUV66033 GEQ65535:GER66033 GOM65535:GON66033 GYI65535:GYJ66033 HIE65535:HIF66033 HSA65535:HSB66033 IBW65535:IBX66033 ILS65535:ILT66033 IVO65535:IVP66033 JFK65535:JFL66033 JPG65535:JPH66033 JZC65535:JZD66033 KIY65535:KIZ66033 KSU65535:KSV66033 LCQ65535:LCR66033 LMM65535:LMN66033 LWI65535:LWJ66033 MGE65535:MGF66033 MQA65535:MQB66033 MZW65535:MZX66033 NJS65535:NJT66033 NTO65535:NTP66033 ODK65535:ODL66033 ONG65535:ONH66033 OXC65535:OXD66033 PGY65535:PGZ66033 PQU65535:PQV66033 QAQ65535:QAR66033 QKM65535:QKN66033 QUI65535:QUJ66033 REE65535:REF66033 ROA65535:ROB66033 RXW65535:RXX66033 SHS65535:SHT66033 SRO65535:SRP66033 TBK65535:TBL66033 TLG65535:TLH66033 TVC65535:TVD66033 UEY65535:UEZ66033 UOU65535:UOV66033 UYQ65535:UYR66033 VIM65535:VIN66033 VSI65535:VSJ66033 WCE65535:WCF66033 WMA65535:WMB66033 WVW65535:WVX66033 O131071:P131569 JK131071:JL131569 TG131071:TH131569 ADC131071:ADD131569 AMY131071:AMZ131569 AWU131071:AWV131569 BGQ131071:BGR131569 BQM131071:BQN131569 CAI131071:CAJ131569 CKE131071:CKF131569 CUA131071:CUB131569 DDW131071:DDX131569 DNS131071:DNT131569 DXO131071:DXP131569 EHK131071:EHL131569 ERG131071:ERH131569 FBC131071:FBD131569 FKY131071:FKZ131569 FUU131071:FUV131569 GEQ131071:GER131569 GOM131071:GON131569 GYI131071:GYJ131569 HIE131071:HIF131569 HSA131071:HSB131569 IBW131071:IBX131569 ILS131071:ILT131569 IVO131071:IVP131569 JFK131071:JFL131569 JPG131071:JPH131569 JZC131071:JZD131569 KIY131071:KIZ131569 KSU131071:KSV131569 LCQ131071:LCR131569 LMM131071:LMN131569 LWI131071:LWJ131569 MGE131071:MGF131569 MQA131071:MQB131569 MZW131071:MZX131569 NJS131071:NJT131569 NTO131071:NTP131569 ODK131071:ODL131569 ONG131071:ONH131569 OXC131071:OXD131569 PGY131071:PGZ131569 PQU131071:PQV131569 QAQ131071:QAR131569 QKM131071:QKN131569 QUI131071:QUJ131569 REE131071:REF131569 ROA131071:ROB131569 RXW131071:RXX131569 SHS131071:SHT131569 SRO131071:SRP131569 TBK131071:TBL131569 TLG131071:TLH131569 TVC131071:TVD131569 UEY131071:UEZ131569 UOU131071:UOV131569 UYQ131071:UYR131569 VIM131071:VIN131569 VSI131071:VSJ131569 WCE131071:WCF131569 WMA131071:WMB131569 WVW131071:WVX131569 O196607:P197105 JK196607:JL197105 TG196607:TH197105 ADC196607:ADD197105 AMY196607:AMZ197105 AWU196607:AWV197105 BGQ196607:BGR197105 BQM196607:BQN197105 CAI196607:CAJ197105 CKE196607:CKF197105 CUA196607:CUB197105 DDW196607:DDX197105 DNS196607:DNT197105 DXO196607:DXP197105 EHK196607:EHL197105 ERG196607:ERH197105 FBC196607:FBD197105 FKY196607:FKZ197105 FUU196607:FUV197105 GEQ196607:GER197105 GOM196607:GON197105 GYI196607:GYJ197105 HIE196607:HIF197105 HSA196607:HSB197105 IBW196607:IBX197105 ILS196607:ILT197105 IVO196607:IVP197105 JFK196607:JFL197105 JPG196607:JPH197105 JZC196607:JZD197105 KIY196607:KIZ197105 KSU196607:KSV197105 LCQ196607:LCR197105 LMM196607:LMN197105 LWI196607:LWJ197105 MGE196607:MGF197105 MQA196607:MQB197105 MZW196607:MZX197105 NJS196607:NJT197105 NTO196607:NTP197105 ODK196607:ODL197105 ONG196607:ONH197105 OXC196607:OXD197105 PGY196607:PGZ197105 PQU196607:PQV197105 QAQ196607:QAR197105 QKM196607:QKN197105 QUI196607:QUJ197105 REE196607:REF197105 ROA196607:ROB197105 RXW196607:RXX197105 SHS196607:SHT197105 SRO196607:SRP197105 TBK196607:TBL197105 TLG196607:TLH197105 TVC196607:TVD197105 UEY196607:UEZ197105 UOU196607:UOV197105 UYQ196607:UYR197105 VIM196607:VIN197105 VSI196607:VSJ197105 WCE196607:WCF197105 WMA196607:WMB197105 WVW196607:WVX197105 O262143:P262641 JK262143:JL262641 TG262143:TH262641 ADC262143:ADD262641 AMY262143:AMZ262641 AWU262143:AWV262641 BGQ262143:BGR262641 BQM262143:BQN262641 CAI262143:CAJ262641 CKE262143:CKF262641 CUA262143:CUB262641 DDW262143:DDX262641 DNS262143:DNT262641 DXO262143:DXP262641 EHK262143:EHL262641 ERG262143:ERH262641 FBC262143:FBD262641 FKY262143:FKZ262641 FUU262143:FUV262641 GEQ262143:GER262641 GOM262143:GON262641 GYI262143:GYJ262641 HIE262143:HIF262641 HSA262143:HSB262641 IBW262143:IBX262641 ILS262143:ILT262641 IVO262143:IVP262641 JFK262143:JFL262641 JPG262143:JPH262641 JZC262143:JZD262641 KIY262143:KIZ262641 KSU262143:KSV262641 LCQ262143:LCR262641 LMM262143:LMN262641 LWI262143:LWJ262641 MGE262143:MGF262641 MQA262143:MQB262641 MZW262143:MZX262641 NJS262143:NJT262641 NTO262143:NTP262641 ODK262143:ODL262641 ONG262143:ONH262641 OXC262143:OXD262641 PGY262143:PGZ262641 PQU262143:PQV262641 QAQ262143:QAR262641 QKM262143:QKN262641 QUI262143:QUJ262641 REE262143:REF262641 ROA262143:ROB262641 RXW262143:RXX262641 SHS262143:SHT262641 SRO262143:SRP262641 TBK262143:TBL262641 TLG262143:TLH262641 TVC262143:TVD262641 UEY262143:UEZ262641 UOU262143:UOV262641 UYQ262143:UYR262641 VIM262143:VIN262641 VSI262143:VSJ262641 WCE262143:WCF262641 WMA262143:WMB262641 WVW262143:WVX262641 O327679:P328177 JK327679:JL328177 TG327679:TH328177 ADC327679:ADD328177 AMY327679:AMZ328177 AWU327679:AWV328177 BGQ327679:BGR328177 BQM327679:BQN328177 CAI327679:CAJ328177 CKE327679:CKF328177 CUA327679:CUB328177 DDW327679:DDX328177 DNS327679:DNT328177 DXO327679:DXP328177 EHK327679:EHL328177 ERG327679:ERH328177 FBC327679:FBD328177 FKY327679:FKZ328177 FUU327679:FUV328177 GEQ327679:GER328177 GOM327679:GON328177 GYI327679:GYJ328177 HIE327679:HIF328177 HSA327679:HSB328177 IBW327679:IBX328177 ILS327679:ILT328177 IVO327679:IVP328177 JFK327679:JFL328177 JPG327679:JPH328177 JZC327679:JZD328177 KIY327679:KIZ328177 KSU327679:KSV328177 LCQ327679:LCR328177 LMM327679:LMN328177 LWI327679:LWJ328177 MGE327679:MGF328177 MQA327679:MQB328177 MZW327679:MZX328177 NJS327679:NJT328177 NTO327679:NTP328177 ODK327679:ODL328177 ONG327679:ONH328177 OXC327679:OXD328177 PGY327679:PGZ328177 PQU327679:PQV328177 QAQ327679:QAR328177 QKM327679:QKN328177 QUI327679:QUJ328177 REE327679:REF328177 ROA327679:ROB328177 RXW327679:RXX328177 SHS327679:SHT328177 SRO327679:SRP328177 TBK327679:TBL328177 TLG327679:TLH328177 TVC327679:TVD328177 UEY327679:UEZ328177 UOU327679:UOV328177 UYQ327679:UYR328177 VIM327679:VIN328177 VSI327679:VSJ328177 WCE327679:WCF328177 WMA327679:WMB328177 WVW327679:WVX328177 O393215:P393713 JK393215:JL393713 TG393215:TH393713 ADC393215:ADD393713 AMY393215:AMZ393713 AWU393215:AWV393713 BGQ393215:BGR393713 BQM393215:BQN393713 CAI393215:CAJ393713 CKE393215:CKF393713 CUA393215:CUB393713 DDW393215:DDX393713 DNS393215:DNT393713 DXO393215:DXP393713 EHK393215:EHL393713 ERG393215:ERH393713 FBC393215:FBD393713 FKY393215:FKZ393713 FUU393215:FUV393713 GEQ393215:GER393713 GOM393215:GON393713 GYI393215:GYJ393713 HIE393215:HIF393713 HSA393215:HSB393713 IBW393215:IBX393713 ILS393215:ILT393713 IVO393215:IVP393713 JFK393215:JFL393713 JPG393215:JPH393713 JZC393215:JZD393713 KIY393215:KIZ393713 KSU393215:KSV393713 LCQ393215:LCR393713 LMM393215:LMN393713 LWI393215:LWJ393713 MGE393215:MGF393713 MQA393215:MQB393713 MZW393215:MZX393713 NJS393215:NJT393713 NTO393215:NTP393713 ODK393215:ODL393713 ONG393215:ONH393713 OXC393215:OXD393713 PGY393215:PGZ393713 PQU393215:PQV393713 QAQ393215:QAR393713 QKM393215:QKN393713 QUI393215:QUJ393713 REE393215:REF393713 ROA393215:ROB393713 RXW393215:RXX393713 SHS393215:SHT393713 SRO393215:SRP393713 TBK393215:TBL393713 TLG393215:TLH393713 TVC393215:TVD393713 UEY393215:UEZ393713 UOU393215:UOV393713 UYQ393215:UYR393713 VIM393215:VIN393713 VSI393215:VSJ393713 WCE393215:WCF393713 WMA393215:WMB393713 WVW393215:WVX393713 O458751:P459249 JK458751:JL459249 TG458751:TH459249 ADC458751:ADD459249 AMY458751:AMZ459249 AWU458751:AWV459249 BGQ458751:BGR459249 BQM458751:BQN459249 CAI458751:CAJ459249 CKE458751:CKF459249 CUA458751:CUB459249 DDW458751:DDX459249 DNS458751:DNT459249 DXO458751:DXP459249 EHK458751:EHL459249 ERG458751:ERH459249 FBC458751:FBD459249 FKY458751:FKZ459249 FUU458751:FUV459249 GEQ458751:GER459249 GOM458751:GON459249 GYI458751:GYJ459249 HIE458751:HIF459249 HSA458751:HSB459249 IBW458751:IBX459249 ILS458751:ILT459249 IVO458751:IVP459249 JFK458751:JFL459249 JPG458751:JPH459249 JZC458751:JZD459249 KIY458751:KIZ459249 KSU458751:KSV459249 LCQ458751:LCR459249 LMM458751:LMN459249 LWI458751:LWJ459249 MGE458751:MGF459249 MQA458751:MQB459249 MZW458751:MZX459249 NJS458751:NJT459249 NTO458751:NTP459249 ODK458751:ODL459249 ONG458751:ONH459249 OXC458751:OXD459249 PGY458751:PGZ459249 PQU458751:PQV459249 QAQ458751:QAR459249 QKM458751:QKN459249 QUI458751:QUJ459249 REE458751:REF459249 ROA458751:ROB459249 RXW458751:RXX459249 SHS458751:SHT459249 SRO458751:SRP459249 TBK458751:TBL459249 TLG458751:TLH459249 TVC458751:TVD459249 UEY458751:UEZ459249 UOU458751:UOV459249 UYQ458751:UYR459249 VIM458751:VIN459249 VSI458751:VSJ459249 WCE458751:WCF459249 WMA458751:WMB459249 WVW458751:WVX459249 O524287:P524785 JK524287:JL524785 TG524287:TH524785 ADC524287:ADD524785 AMY524287:AMZ524785 AWU524287:AWV524785 BGQ524287:BGR524785 BQM524287:BQN524785 CAI524287:CAJ524785 CKE524287:CKF524785 CUA524287:CUB524785 DDW524287:DDX524785 DNS524287:DNT524785 DXO524287:DXP524785 EHK524287:EHL524785 ERG524287:ERH524785 FBC524287:FBD524785 FKY524287:FKZ524785 FUU524287:FUV524785 GEQ524287:GER524785 GOM524287:GON524785 GYI524287:GYJ524785 HIE524287:HIF524785 HSA524287:HSB524785 IBW524287:IBX524785 ILS524287:ILT524785 IVO524287:IVP524785 JFK524287:JFL524785 JPG524287:JPH524785 JZC524287:JZD524785 KIY524287:KIZ524785 KSU524287:KSV524785 LCQ524287:LCR524785 LMM524287:LMN524785 LWI524287:LWJ524785 MGE524287:MGF524785 MQA524287:MQB524785 MZW524287:MZX524785 NJS524287:NJT524785 NTO524287:NTP524785 ODK524287:ODL524785 ONG524287:ONH524785 OXC524287:OXD524785 PGY524287:PGZ524785 PQU524287:PQV524785 QAQ524287:QAR524785 QKM524287:QKN524785 QUI524287:QUJ524785 REE524287:REF524785 ROA524287:ROB524785 RXW524287:RXX524785 SHS524287:SHT524785 SRO524287:SRP524785 TBK524287:TBL524785 TLG524287:TLH524785 TVC524287:TVD524785 UEY524287:UEZ524785 UOU524287:UOV524785 UYQ524287:UYR524785 VIM524287:VIN524785 VSI524287:VSJ524785 WCE524287:WCF524785 WMA524287:WMB524785 WVW524287:WVX524785 O589823:P590321 JK589823:JL590321 TG589823:TH590321 ADC589823:ADD590321 AMY589823:AMZ590321 AWU589823:AWV590321 BGQ589823:BGR590321 BQM589823:BQN590321 CAI589823:CAJ590321 CKE589823:CKF590321 CUA589823:CUB590321 DDW589823:DDX590321 DNS589823:DNT590321 DXO589823:DXP590321 EHK589823:EHL590321 ERG589823:ERH590321 FBC589823:FBD590321 FKY589823:FKZ590321 FUU589823:FUV590321 GEQ589823:GER590321 GOM589823:GON590321 GYI589823:GYJ590321 HIE589823:HIF590321 HSA589823:HSB590321 IBW589823:IBX590321 ILS589823:ILT590321 IVO589823:IVP590321 JFK589823:JFL590321 JPG589823:JPH590321 JZC589823:JZD590321 KIY589823:KIZ590321 KSU589823:KSV590321 LCQ589823:LCR590321 LMM589823:LMN590321 LWI589823:LWJ590321 MGE589823:MGF590321 MQA589823:MQB590321 MZW589823:MZX590321 NJS589823:NJT590321 NTO589823:NTP590321 ODK589823:ODL590321 ONG589823:ONH590321 OXC589823:OXD590321 PGY589823:PGZ590321 PQU589823:PQV590321 QAQ589823:QAR590321 QKM589823:QKN590321 QUI589823:QUJ590321 REE589823:REF590321 ROA589823:ROB590321 RXW589823:RXX590321 SHS589823:SHT590321 SRO589823:SRP590321 TBK589823:TBL590321 TLG589823:TLH590321 TVC589823:TVD590321 UEY589823:UEZ590321 UOU589823:UOV590321 UYQ589823:UYR590321 VIM589823:VIN590321 VSI589823:VSJ590321 WCE589823:WCF590321 WMA589823:WMB590321 WVW589823:WVX590321 O655359:P655857 JK655359:JL655857 TG655359:TH655857 ADC655359:ADD655857 AMY655359:AMZ655857 AWU655359:AWV655857 BGQ655359:BGR655857 BQM655359:BQN655857 CAI655359:CAJ655857 CKE655359:CKF655857 CUA655359:CUB655857 DDW655359:DDX655857 DNS655359:DNT655857 DXO655359:DXP655857 EHK655359:EHL655857 ERG655359:ERH655857 FBC655359:FBD655857 FKY655359:FKZ655857 FUU655359:FUV655857 GEQ655359:GER655857 GOM655359:GON655857 GYI655359:GYJ655857 HIE655359:HIF655857 HSA655359:HSB655857 IBW655359:IBX655857 ILS655359:ILT655857 IVO655359:IVP655857 JFK655359:JFL655857 JPG655359:JPH655857 JZC655359:JZD655857 KIY655359:KIZ655857 KSU655359:KSV655857 LCQ655359:LCR655857 LMM655359:LMN655857 LWI655359:LWJ655857 MGE655359:MGF655857 MQA655359:MQB655857 MZW655359:MZX655857 NJS655359:NJT655857 NTO655359:NTP655857 ODK655359:ODL655857 ONG655359:ONH655857 OXC655359:OXD655857 PGY655359:PGZ655857 PQU655359:PQV655857 QAQ655359:QAR655857 QKM655359:QKN655857 QUI655359:QUJ655857 REE655359:REF655857 ROA655359:ROB655857 RXW655359:RXX655857 SHS655359:SHT655857 SRO655359:SRP655857 TBK655359:TBL655857 TLG655359:TLH655857 TVC655359:TVD655857 UEY655359:UEZ655857 UOU655359:UOV655857 UYQ655359:UYR655857 VIM655359:VIN655857 VSI655359:VSJ655857 WCE655359:WCF655857 WMA655359:WMB655857 WVW655359:WVX655857 O720895:P721393 JK720895:JL721393 TG720895:TH721393 ADC720895:ADD721393 AMY720895:AMZ721393 AWU720895:AWV721393 BGQ720895:BGR721393 BQM720895:BQN721393 CAI720895:CAJ721393 CKE720895:CKF721393 CUA720895:CUB721393 DDW720895:DDX721393 DNS720895:DNT721393 DXO720895:DXP721393 EHK720895:EHL721393 ERG720895:ERH721393 FBC720895:FBD721393 FKY720895:FKZ721393 FUU720895:FUV721393 GEQ720895:GER721393 GOM720895:GON721393 GYI720895:GYJ721393 HIE720895:HIF721393 HSA720895:HSB721393 IBW720895:IBX721393 ILS720895:ILT721393 IVO720895:IVP721393 JFK720895:JFL721393 JPG720895:JPH721393 JZC720895:JZD721393 KIY720895:KIZ721393 KSU720895:KSV721393 LCQ720895:LCR721393 LMM720895:LMN721393 LWI720895:LWJ721393 MGE720895:MGF721393 MQA720895:MQB721393 MZW720895:MZX721393 NJS720895:NJT721393 NTO720895:NTP721393 ODK720895:ODL721393 ONG720895:ONH721393 OXC720895:OXD721393 PGY720895:PGZ721393 PQU720895:PQV721393 QAQ720895:QAR721393 QKM720895:QKN721393 QUI720895:QUJ721393 REE720895:REF721393 ROA720895:ROB721393 RXW720895:RXX721393 SHS720895:SHT721393 SRO720895:SRP721393 TBK720895:TBL721393 TLG720895:TLH721393 TVC720895:TVD721393 UEY720895:UEZ721393 UOU720895:UOV721393 UYQ720895:UYR721393 VIM720895:VIN721393 VSI720895:VSJ721393 WCE720895:WCF721393 WMA720895:WMB721393 WVW720895:WVX721393 O786431:P786929 JK786431:JL786929 TG786431:TH786929 ADC786431:ADD786929 AMY786431:AMZ786929 AWU786431:AWV786929 BGQ786431:BGR786929 BQM786431:BQN786929 CAI786431:CAJ786929 CKE786431:CKF786929 CUA786431:CUB786929 DDW786431:DDX786929 DNS786431:DNT786929 DXO786431:DXP786929 EHK786431:EHL786929 ERG786431:ERH786929 FBC786431:FBD786929 FKY786431:FKZ786929 FUU786431:FUV786929 GEQ786431:GER786929 GOM786431:GON786929 GYI786431:GYJ786929 HIE786431:HIF786929 HSA786431:HSB786929 IBW786431:IBX786929 ILS786431:ILT786929 IVO786431:IVP786929 JFK786431:JFL786929 JPG786431:JPH786929 JZC786431:JZD786929 KIY786431:KIZ786929 KSU786431:KSV786929 LCQ786431:LCR786929 LMM786431:LMN786929 LWI786431:LWJ786929 MGE786431:MGF786929 MQA786431:MQB786929 MZW786431:MZX786929 NJS786431:NJT786929 NTO786431:NTP786929 ODK786431:ODL786929 ONG786431:ONH786929 OXC786431:OXD786929 PGY786431:PGZ786929 PQU786431:PQV786929 QAQ786431:QAR786929 QKM786431:QKN786929 QUI786431:QUJ786929 REE786431:REF786929 ROA786431:ROB786929 RXW786431:RXX786929 SHS786431:SHT786929 SRO786431:SRP786929 TBK786431:TBL786929 TLG786431:TLH786929 TVC786431:TVD786929 UEY786431:UEZ786929 UOU786431:UOV786929 UYQ786431:UYR786929 VIM786431:VIN786929 VSI786431:VSJ786929 WCE786431:WCF786929 WMA786431:WMB786929 WVW786431:WVX786929 O851967:P852465 JK851967:JL852465 TG851967:TH852465 ADC851967:ADD852465 AMY851967:AMZ852465 AWU851967:AWV852465 BGQ851967:BGR852465 BQM851967:BQN852465 CAI851967:CAJ852465 CKE851967:CKF852465 CUA851967:CUB852465 DDW851967:DDX852465 DNS851967:DNT852465 DXO851967:DXP852465 EHK851967:EHL852465 ERG851967:ERH852465 FBC851967:FBD852465 FKY851967:FKZ852465 FUU851967:FUV852465 GEQ851967:GER852465 GOM851967:GON852465 GYI851967:GYJ852465 HIE851967:HIF852465 HSA851967:HSB852465 IBW851967:IBX852465 ILS851967:ILT852465 IVO851967:IVP852465 JFK851967:JFL852465 JPG851967:JPH852465 JZC851967:JZD852465 KIY851967:KIZ852465 KSU851967:KSV852465 LCQ851967:LCR852465 LMM851967:LMN852465 LWI851967:LWJ852465 MGE851967:MGF852465 MQA851967:MQB852465 MZW851967:MZX852465 NJS851967:NJT852465 NTO851967:NTP852465 ODK851967:ODL852465 ONG851967:ONH852465 OXC851967:OXD852465 PGY851967:PGZ852465 PQU851967:PQV852465 QAQ851967:QAR852465 QKM851967:QKN852465 QUI851967:QUJ852465 REE851967:REF852465 ROA851967:ROB852465 RXW851967:RXX852465 SHS851967:SHT852465 SRO851967:SRP852465 TBK851967:TBL852465 TLG851967:TLH852465 TVC851967:TVD852465 UEY851967:UEZ852465 UOU851967:UOV852465 UYQ851967:UYR852465 VIM851967:VIN852465 VSI851967:VSJ852465 WCE851967:WCF852465 WMA851967:WMB852465 WVW851967:WVX852465 O917503:P918001 JK917503:JL918001 TG917503:TH918001 ADC917503:ADD918001 AMY917503:AMZ918001 AWU917503:AWV918001 BGQ917503:BGR918001 BQM917503:BQN918001 CAI917503:CAJ918001 CKE917503:CKF918001 CUA917503:CUB918001 DDW917503:DDX918001 DNS917503:DNT918001 DXO917503:DXP918001 EHK917503:EHL918001 ERG917503:ERH918001 FBC917503:FBD918001 FKY917503:FKZ918001 FUU917503:FUV918001 GEQ917503:GER918001 GOM917503:GON918001 GYI917503:GYJ918001 HIE917503:HIF918001 HSA917503:HSB918001 IBW917503:IBX918001 ILS917503:ILT918001 IVO917503:IVP918001 JFK917503:JFL918001 JPG917503:JPH918001 JZC917503:JZD918001 KIY917503:KIZ918001 KSU917503:KSV918001 LCQ917503:LCR918001 LMM917503:LMN918001 LWI917503:LWJ918001 MGE917503:MGF918001 MQA917503:MQB918001 MZW917503:MZX918001 NJS917503:NJT918001 NTO917503:NTP918001 ODK917503:ODL918001 ONG917503:ONH918001 OXC917503:OXD918001 PGY917503:PGZ918001 PQU917503:PQV918001 QAQ917503:QAR918001 QKM917503:QKN918001 QUI917503:QUJ918001 REE917503:REF918001 ROA917503:ROB918001 RXW917503:RXX918001 SHS917503:SHT918001 SRO917503:SRP918001 TBK917503:TBL918001 TLG917503:TLH918001 TVC917503:TVD918001 UEY917503:UEZ918001 UOU917503:UOV918001 UYQ917503:UYR918001 VIM917503:VIN918001 VSI917503:VSJ918001 WCE917503:WCF918001 WMA917503:WMB918001 WVW917503:WVX918001 O983039:P983537 JK983039:JL983537 TG983039:TH983537 ADC983039:ADD983537 AMY983039:AMZ983537 AWU983039:AWV983537 BGQ983039:BGR983537 BQM983039:BQN983537 CAI983039:CAJ983537 CKE983039:CKF983537 CUA983039:CUB983537 DDW983039:DDX983537 DNS983039:DNT983537 DXO983039:DXP983537 EHK983039:EHL983537 ERG983039:ERH983537 FBC983039:FBD983537 FKY983039:FKZ983537 FUU983039:FUV983537 GEQ983039:GER983537 GOM983039:GON983537 GYI983039:GYJ983537 HIE983039:HIF983537 HSA983039:HSB983537 IBW983039:IBX983537 ILS983039:ILT983537 IVO983039:IVP983537 JFK983039:JFL983537 JPG983039:JPH983537 JZC983039:JZD983537 KIY983039:KIZ983537 KSU983039:KSV983537 LCQ983039:LCR983537 LMM983039:LMN983537 LWI983039:LWJ983537 MGE983039:MGF983537 MQA983039:MQB983537 MZW983039:MZX983537 NJS983039:NJT983537 NTO983039:NTP983537 ODK983039:ODL983537 ONG983039:ONH983537 OXC983039:OXD983537 PGY983039:PGZ983537 PQU983039:PQV983537 QAQ983039:QAR983537 QKM983039:QKN983537 QUI983039:QUJ983537 REE983039:REF983537 ROA983039:ROB983537 RXW983039:RXX983537 SHS983039:SHT983537 SRO983039:SRP983537 TBK983039:TBL983537 TLG983039:TLH983537 TVC983039:TVD983537 UEY983039:UEZ983537 UOU983039:UOV983537 UYQ983039:UYR983537 VIM983039:VIN983537 VSI983039:VSJ983537 WCE983039:WCF983537 WMA983039:WMB983537 O2:P497 WVW2:WVX497 WMA2:WMB497 WCE2:WCF497 VSI2:VSJ497 VIM2:VIN497 UYQ2:UYR497 UOU2:UOV497 UEY2:UEZ497 TVC2:TVD497 TLG2:TLH497 TBK2:TBL497 SRO2:SRP497 SHS2:SHT497 RXW2:RXX497 ROA2:ROB497 REE2:REF497 QUI2:QUJ497 QKM2:QKN497 QAQ2:QAR497 PQU2:PQV497 PGY2:PGZ497 OXC2:OXD497 ONG2:ONH497 ODK2:ODL497 NTO2:NTP497 NJS2:NJT497 MZW2:MZX497 MQA2:MQB497 MGE2:MGF497 LWI2:LWJ497 LMM2:LMN497 LCQ2:LCR497 KSU2:KSV497 KIY2:KIZ497 JZC2:JZD497 JPG2:JPH497 JFK2:JFL497 IVO2:IVP497 ILS2:ILT497 IBW2:IBX497 HSA2:HSB497 HIE2:HIF497 GYI2:GYJ497 GOM2:GON497 GEQ2:GER497 FUU2:FUV497 FKY2:FKZ497 FBC2:FBD497 ERG2:ERH497 EHK2:EHL497 DXO2:DXP497 DNS2:DNT497 DDW2:DDX497 CUA2:CUB497 CKE2:CKF497 CAI2:CAJ497 BQM2:BQN497 BGQ2:BGR497 AWU2:AWV497 AMY2:AMZ497 ADC2:ADD497 TG2:TH497 JK2:JL497" xr:uid="{FA0380E2-7AC5-46A5-B2B5-C1C6519AF350}">
      <formula1>0</formula1>
      <formula2>7</formula2>
    </dataValidation>
    <dataValidation type="list" allowBlank="1" showInputMessage="1" showErrorMessage="1" sqref="WVM983039:WVM1048576 E2:E65533 WLQ983039:WLQ1048576 WBU983039:WBU1048576 VRY983039:VRY1048576 VIC983039:VIC1048576 UYG983039:UYG1048576 UOK983039:UOK1048576 UEO983039:UEO1048576 TUS983039:TUS1048576 TKW983039:TKW1048576 TBA983039:TBA1048576 SRE983039:SRE1048576 SHI983039:SHI1048576 RXM983039:RXM1048576 RNQ983039:RNQ1048576 RDU983039:RDU1048576 QTY983039:QTY1048576 QKC983039:QKC1048576 QAG983039:QAG1048576 PQK983039:PQK1048576 PGO983039:PGO1048576 OWS983039:OWS1048576 OMW983039:OMW1048576 ODA983039:ODA1048576 NTE983039:NTE1048576 NJI983039:NJI1048576 MZM983039:MZM1048576 MPQ983039:MPQ1048576 MFU983039:MFU1048576 LVY983039:LVY1048576 LMC983039:LMC1048576 LCG983039:LCG1048576 KSK983039:KSK1048576 KIO983039:KIO1048576 JYS983039:JYS1048576 JOW983039:JOW1048576 JFA983039:JFA1048576 IVE983039:IVE1048576 ILI983039:ILI1048576 IBM983039:IBM1048576 HRQ983039:HRQ1048576 HHU983039:HHU1048576 GXY983039:GXY1048576 GOC983039:GOC1048576 GEG983039:GEG1048576 FUK983039:FUK1048576 FKO983039:FKO1048576 FAS983039:FAS1048576 EQW983039:EQW1048576 EHA983039:EHA1048576 DXE983039:DXE1048576 DNI983039:DNI1048576 DDM983039:DDM1048576 CTQ983039:CTQ1048576 CJU983039:CJU1048576 BZY983039:BZY1048576 BQC983039:BQC1048576 BGG983039:BGG1048576 AWK983039:AWK1048576 AMO983039:AMO1048576 ACS983039:ACS1048576 SW983039:SW1048576 JA983039:JA1048576 E983039:E1048576 WVM917503:WVM983037 WLQ917503:WLQ983037 WBU917503:WBU983037 VRY917503:VRY983037 VIC917503:VIC983037 UYG917503:UYG983037 UOK917503:UOK983037 UEO917503:UEO983037 TUS917503:TUS983037 TKW917503:TKW983037 TBA917503:TBA983037 SRE917503:SRE983037 SHI917503:SHI983037 RXM917503:RXM983037 RNQ917503:RNQ983037 RDU917503:RDU983037 QTY917503:QTY983037 QKC917503:QKC983037 QAG917503:QAG983037 PQK917503:PQK983037 PGO917503:PGO983037 OWS917503:OWS983037 OMW917503:OMW983037 ODA917503:ODA983037 NTE917503:NTE983037 NJI917503:NJI983037 MZM917503:MZM983037 MPQ917503:MPQ983037 MFU917503:MFU983037 LVY917503:LVY983037 LMC917503:LMC983037 LCG917503:LCG983037 KSK917503:KSK983037 KIO917503:KIO983037 JYS917503:JYS983037 JOW917503:JOW983037 JFA917503:JFA983037 IVE917503:IVE983037 ILI917503:ILI983037 IBM917503:IBM983037 HRQ917503:HRQ983037 HHU917503:HHU983037 GXY917503:GXY983037 GOC917503:GOC983037 GEG917503:GEG983037 FUK917503:FUK983037 FKO917503:FKO983037 FAS917503:FAS983037 EQW917503:EQW983037 EHA917503:EHA983037 DXE917503:DXE983037 DNI917503:DNI983037 DDM917503:DDM983037 CTQ917503:CTQ983037 CJU917503:CJU983037 BZY917503:BZY983037 BQC917503:BQC983037 BGG917503:BGG983037 AWK917503:AWK983037 AMO917503:AMO983037 ACS917503:ACS983037 SW917503:SW983037 JA917503:JA983037 E917503:E983037 WVM851967:WVM917501 WLQ851967:WLQ917501 WBU851967:WBU917501 VRY851967:VRY917501 VIC851967:VIC917501 UYG851967:UYG917501 UOK851967:UOK917501 UEO851967:UEO917501 TUS851967:TUS917501 TKW851967:TKW917501 TBA851967:TBA917501 SRE851967:SRE917501 SHI851967:SHI917501 RXM851967:RXM917501 RNQ851967:RNQ917501 RDU851967:RDU917501 QTY851967:QTY917501 QKC851967:QKC917501 QAG851967:QAG917501 PQK851967:PQK917501 PGO851967:PGO917501 OWS851967:OWS917501 OMW851967:OMW917501 ODA851967:ODA917501 NTE851967:NTE917501 NJI851967:NJI917501 MZM851967:MZM917501 MPQ851967:MPQ917501 MFU851967:MFU917501 LVY851967:LVY917501 LMC851967:LMC917501 LCG851967:LCG917501 KSK851967:KSK917501 KIO851967:KIO917501 JYS851967:JYS917501 JOW851967:JOW917501 JFA851967:JFA917501 IVE851967:IVE917501 ILI851967:ILI917501 IBM851967:IBM917501 HRQ851967:HRQ917501 HHU851967:HHU917501 GXY851967:GXY917501 GOC851967:GOC917501 GEG851967:GEG917501 FUK851967:FUK917501 FKO851967:FKO917501 FAS851967:FAS917501 EQW851967:EQW917501 EHA851967:EHA917501 DXE851967:DXE917501 DNI851967:DNI917501 DDM851967:DDM917501 CTQ851967:CTQ917501 CJU851967:CJU917501 BZY851967:BZY917501 BQC851967:BQC917501 BGG851967:BGG917501 AWK851967:AWK917501 AMO851967:AMO917501 ACS851967:ACS917501 SW851967:SW917501 JA851967:JA917501 E851967:E917501 WVM786431:WVM851965 WLQ786431:WLQ851965 WBU786431:WBU851965 VRY786431:VRY851965 VIC786431:VIC851965 UYG786431:UYG851965 UOK786431:UOK851965 UEO786431:UEO851965 TUS786431:TUS851965 TKW786431:TKW851965 TBA786431:TBA851965 SRE786431:SRE851965 SHI786431:SHI851965 RXM786431:RXM851965 RNQ786431:RNQ851965 RDU786431:RDU851965 QTY786431:QTY851965 QKC786431:QKC851965 QAG786431:QAG851965 PQK786431:PQK851965 PGO786431:PGO851965 OWS786431:OWS851965 OMW786431:OMW851965 ODA786431:ODA851965 NTE786431:NTE851965 NJI786431:NJI851965 MZM786431:MZM851965 MPQ786431:MPQ851965 MFU786431:MFU851965 LVY786431:LVY851965 LMC786431:LMC851965 LCG786431:LCG851965 KSK786431:KSK851965 KIO786431:KIO851965 JYS786431:JYS851965 JOW786431:JOW851965 JFA786431:JFA851965 IVE786431:IVE851965 ILI786431:ILI851965 IBM786431:IBM851965 HRQ786431:HRQ851965 HHU786431:HHU851965 GXY786431:GXY851965 GOC786431:GOC851965 GEG786431:GEG851965 FUK786431:FUK851965 FKO786431:FKO851965 FAS786431:FAS851965 EQW786431:EQW851965 EHA786431:EHA851965 DXE786431:DXE851965 DNI786431:DNI851965 DDM786431:DDM851965 CTQ786431:CTQ851965 CJU786431:CJU851965 BZY786431:BZY851965 BQC786431:BQC851965 BGG786431:BGG851965 AWK786431:AWK851965 AMO786431:AMO851965 ACS786431:ACS851965 SW786431:SW851965 JA786431:JA851965 E786431:E851965 WVM720895:WVM786429 WLQ720895:WLQ786429 WBU720895:WBU786429 VRY720895:VRY786429 VIC720895:VIC786429 UYG720895:UYG786429 UOK720895:UOK786429 UEO720895:UEO786429 TUS720895:TUS786429 TKW720895:TKW786429 TBA720895:TBA786429 SRE720895:SRE786429 SHI720895:SHI786429 RXM720895:RXM786429 RNQ720895:RNQ786429 RDU720895:RDU786429 QTY720895:QTY786429 QKC720895:QKC786429 QAG720895:QAG786429 PQK720895:PQK786429 PGO720895:PGO786429 OWS720895:OWS786429 OMW720895:OMW786429 ODA720895:ODA786429 NTE720895:NTE786429 NJI720895:NJI786429 MZM720895:MZM786429 MPQ720895:MPQ786429 MFU720895:MFU786429 LVY720895:LVY786429 LMC720895:LMC786429 LCG720895:LCG786429 KSK720895:KSK786429 KIO720895:KIO786429 JYS720895:JYS786429 JOW720895:JOW786429 JFA720895:JFA786429 IVE720895:IVE786429 ILI720895:ILI786429 IBM720895:IBM786429 HRQ720895:HRQ786429 HHU720895:HHU786429 GXY720895:GXY786429 GOC720895:GOC786429 GEG720895:GEG786429 FUK720895:FUK786429 FKO720895:FKO786429 FAS720895:FAS786429 EQW720895:EQW786429 EHA720895:EHA786429 DXE720895:DXE786429 DNI720895:DNI786429 DDM720895:DDM786429 CTQ720895:CTQ786429 CJU720895:CJU786429 BZY720895:BZY786429 BQC720895:BQC786429 BGG720895:BGG786429 AWK720895:AWK786429 AMO720895:AMO786429 ACS720895:ACS786429 SW720895:SW786429 JA720895:JA786429 E720895:E786429 WVM655359:WVM720893 WLQ655359:WLQ720893 WBU655359:WBU720893 VRY655359:VRY720893 VIC655359:VIC720893 UYG655359:UYG720893 UOK655359:UOK720893 UEO655359:UEO720893 TUS655359:TUS720893 TKW655359:TKW720893 TBA655359:TBA720893 SRE655359:SRE720893 SHI655359:SHI720893 RXM655359:RXM720893 RNQ655359:RNQ720893 RDU655359:RDU720893 QTY655359:QTY720893 QKC655359:QKC720893 QAG655359:QAG720893 PQK655359:PQK720893 PGO655359:PGO720893 OWS655359:OWS720893 OMW655359:OMW720893 ODA655359:ODA720893 NTE655359:NTE720893 NJI655359:NJI720893 MZM655359:MZM720893 MPQ655359:MPQ720893 MFU655359:MFU720893 LVY655359:LVY720893 LMC655359:LMC720893 LCG655359:LCG720893 KSK655359:KSK720893 KIO655359:KIO720893 JYS655359:JYS720893 JOW655359:JOW720893 JFA655359:JFA720893 IVE655359:IVE720893 ILI655359:ILI720893 IBM655359:IBM720893 HRQ655359:HRQ720893 HHU655359:HHU720893 GXY655359:GXY720893 GOC655359:GOC720893 GEG655359:GEG720893 FUK655359:FUK720893 FKO655359:FKO720893 FAS655359:FAS720893 EQW655359:EQW720893 EHA655359:EHA720893 DXE655359:DXE720893 DNI655359:DNI720893 DDM655359:DDM720893 CTQ655359:CTQ720893 CJU655359:CJU720893 BZY655359:BZY720893 BQC655359:BQC720893 BGG655359:BGG720893 AWK655359:AWK720893 AMO655359:AMO720893 ACS655359:ACS720893 SW655359:SW720893 JA655359:JA720893 E655359:E720893 WVM589823:WVM655357 WLQ589823:WLQ655357 WBU589823:WBU655357 VRY589823:VRY655357 VIC589823:VIC655357 UYG589823:UYG655357 UOK589823:UOK655357 UEO589823:UEO655357 TUS589823:TUS655357 TKW589823:TKW655357 TBA589823:TBA655357 SRE589823:SRE655357 SHI589823:SHI655357 RXM589823:RXM655357 RNQ589823:RNQ655357 RDU589823:RDU655357 QTY589823:QTY655357 QKC589823:QKC655357 QAG589823:QAG655357 PQK589823:PQK655357 PGO589823:PGO655357 OWS589823:OWS655357 OMW589823:OMW655357 ODA589823:ODA655357 NTE589823:NTE655357 NJI589823:NJI655357 MZM589823:MZM655357 MPQ589823:MPQ655357 MFU589823:MFU655357 LVY589823:LVY655357 LMC589823:LMC655357 LCG589823:LCG655357 KSK589823:KSK655357 KIO589823:KIO655357 JYS589823:JYS655357 JOW589823:JOW655357 JFA589823:JFA655357 IVE589823:IVE655357 ILI589823:ILI655357 IBM589823:IBM655357 HRQ589823:HRQ655357 HHU589823:HHU655357 GXY589823:GXY655357 GOC589823:GOC655357 GEG589823:GEG655357 FUK589823:FUK655357 FKO589823:FKO655357 FAS589823:FAS655357 EQW589823:EQW655357 EHA589823:EHA655357 DXE589823:DXE655357 DNI589823:DNI655357 DDM589823:DDM655357 CTQ589823:CTQ655357 CJU589823:CJU655357 BZY589823:BZY655357 BQC589823:BQC655357 BGG589823:BGG655357 AWK589823:AWK655357 AMO589823:AMO655357 ACS589823:ACS655357 SW589823:SW655357 JA589823:JA655357 E589823:E655357 WVM524287:WVM589821 WLQ524287:WLQ589821 WBU524287:WBU589821 VRY524287:VRY589821 VIC524287:VIC589821 UYG524287:UYG589821 UOK524287:UOK589821 UEO524287:UEO589821 TUS524287:TUS589821 TKW524287:TKW589821 TBA524287:TBA589821 SRE524287:SRE589821 SHI524287:SHI589821 RXM524287:RXM589821 RNQ524287:RNQ589821 RDU524287:RDU589821 QTY524287:QTY589821 QKC524287:QKC589821 QAG524287:QAG589821 PQK524287:PQK589821 PGO524287:PGO589821 OWS524287:OWS589821 OMW524287:OMW589821 ODA524287:ODA589821 NTE524287:NTE589821 NJI524287:NJI589821 MZM524287:MZM589821 MPQ524287:MPQ589821 MFU524287:MFU589821 LVY524287:LVY589821 LMC524287:LMC589821 LCG524287:LCG589821 KSK524287:KSK589821 KIO524287:KIO589821 JYS524287:JYS589821 JOW524287:JOW589821 JFA524287:JFA589821 IVE524287:IVE589821 ILI524287:ILI589821 IBM524287:IBM589821 HRQ524287:HRQ589821 HHU524287:HHU589821 GXY524287:GXY589821 GOC524287:GOC589821 GEG524287:GEG589821 FUK524287:FUK589821 FKO524287:FKO589821 FAS524287:FAS589821 EQW524287:EQW589821 EHA524287:EHA589821 DXE524287:DXE589821 DNI524287:DNI589821 DDM524287:DDM589821 CTQ524287:CTQ589821 CJU524287:CJU589821 BZY524287:BZY589821 BQC524287:BQC589821 BGG524287:BGG589821 AWK524287:AWK589821 AMO524287:AMO589821 ACS524287:ACS589821 SW524287:SW589821 JA524287:JA589821 E524287:E589821 WVM458751:WVM524285 WLQ458751:WLQ524285 WBU458751:WBU524285 VRY458751:VRY524285 VIC458751:VIC524285 UYG458751:UYG524285 UOK458751:UOK524285 UEO458751:UEO524285 TUS458751:TUS524285 TKW458751:TKW524285 TBA458751:TBA524285 SRE458751:SRE524285 SHI458751:SHI524285 RXM458751:RXM524285 RNQ458751:RNQ524285 RDU458751:RDU524285 QTY458751:QTY524285 QKC458751:QKC524285 QAG458751:QAG524285 PQK458751:PQK524285 PGO458751:PGO524285 OWS458751:OWS524285 OMW458751:OMW524285 ODA458751:ODA524285 NTE458751:NTE524285 NJI458751:NJI524285 MZM458751:MZM524285 MPQ458751:MPQ524285 MFU458751:MFU524285 LVY458751:LVY524285 LMC458751:LMC524285 LCG458751:LCG524285 KSK458751:KSK524285 KIO458751:KIO524285 JYS458751:JYS524285 JOW458751:JOW524285 JFA458751:JFA524285 IVE458751:IVE524285 ILI458751:ILI524285 IBM458751:IBM524285 HRQ458751:HRQ524285 HHU458751:HHU524285 GXY458751:GXY524285 GOC458751:GOC524285 GEG458751:GEG524285 FUK458751:FUK524285 FKO458751:FKO524285 FAS458751:FAS524285 EQW458751:EQW524285 EHA458751:EHA524285 DXE458751:DXE524285 DNI458751:DNI524285 DDM458751:DDM524285 CTQ458751:CTQ524285 CJU458751:CJU524285 BZY458751:BZY524285 BQC458751:BQC524285 BGG458751:BGG524285 AWK458751:AWK524285 AMO458751:AMO524285 ACS458751:ACS524285 SW458751:SW524285 JA458751:JA524285 E458751:E524285 WVM393215:WVM458749 WLQ393215:WLQ458749 WBU393215:WBU458749 VRY393215:VRY458749 VIC393215:VIC458749 UYG393215:UYG458749 UOK393215:UOK458749 UEO393215:UEO458749 TUS393215:TUS458749 TKW393215:TKW458749 TBA393215:TBA458749 SRE393215:SRE458749 SHI393215:SHI458749 RXM393215:RXM458749 RNQ393215:RNQ458749 RDU393215:RDU458749 QTY393215:QTY458749 QKC393215:QKC458749 QAG393215:QAG458749 PQK393215:PQK458749 PGO393215:PGO458749 OWS393215:OWS458749 OMW393215:OMW458749 ODA393215:ODA458749 NTE393215:NTE458749 NJI393215:NJI458749 MZM393215:MZM458749 MPQ393215:MPQ458749 MFU393215:MFU458749 LVY393215:LVY458749 LMC393215:LMC458749 LCG393215:LCG458749 KSK393215:KSK458749 KIO393215:KIO458749 JYS393215:JYS458749 JOW393215:JOW458749 JFA393215:JFA458749 IVE393215:IVE458749 ILI393215:ILI458749 IBM393215:IBM458749 HRQ393215:HRQ458749 HHU393215:HHU458749 GXY393215:GXY458749 GOC393215:GOC458749 GEG393215:GEG458749 FUK393215:FUK458749 FKO393215:FKO458749 FAS393215:FAS458749 EQW393215:EQW458749 EHA393215:EHA458749 DXE393215:DXE458749 DNI393215:DNI458749 DDM393215:DDM458749 CTQ393215:CTQ458749 CJU393215:CJU458749 BZY393215:BZY458749 BQC393215:BQC458749 BGG393215:BGG458749 AWK393215:AWK458749 AMO393215:AMO458749 ACS393215:ACS458749 SW393215:SW458749 JA393215:JA458749 E393215:E458749 WVM327679:WVM393213 WLQ327679:WLQ393213 WBU327679:WBU393213 VRY327679:VRY393213 VIC327679:VIC393213 UYG327679:UYG393213 UOK327679:UOK393213 UEO327679:UEO393213 TUS327679:TUS393213 TKW327679:TKW393213 TBA327679:TBA393213 SRE327679:SRE393213 SHI327679:SHI393213 RXM327679:RXM393213 RNQ327679:RNQ393213 RDU327679:RDU393213 QTY327679:QTY393213 QKC327679:QKC393213 QAG327679:QAG393213 PQK327679:PQK393213 PGO327679:PGO393213 OWS327679:OWS393213 OMW327679:OMW393213 ODA327679:ODA393213 NTE327679:NTE393213 NJI327679:NJI393213 MZM327679:MZM393213 MPQ327679:MPQ393213 MFU327679:MFU393213 LVY327679:LVY393213 LMC327679:LMC393213 LCG327679:LCG393213 KSK327679:KSK393213 KIO327679:KIO393213 JYS327679:JYS393213 JOW327679:JOW393213 JFA327679:JFA393213 IVE327679:IVE393213 ILI327679:ILI393213 IBM327679:IBM393213 HRQ327679:HRQ393213 HHU327679:HHU393213 GXY327679:GXY393213 GOC327679:GOC393213 GEG327679:GEG393213 FUK327679:FUK393213 FKO327679:FKO393213 FAS327679:FAS393213 EQW327679:EQW393213 EHA327679:EHA393213 DXE327679:DXE393213 DNI327679:DNI393213 DDM327679:DDM393213 CTQ327679:CTQ393213 CJU327679:CJU393213 BZY327679:BZY393213 BQC327679:BQC393213 BGG327679:BGG393213 AWK327679:AWK393213 AMO327679:AMO393213 ACS327679:ACS393213 SW327679:SW393213 JA327679:JA393213 E327679:E393213 WVM262143:WVM327677 WLQ262143:WLQ327677 WBU262143:WBU327677 VRY262143:VRY327677 VIC262143:VIC327677 UYG262143:UYG327677 UOK262143:UOK327677 UEO262143:UEO327677 TUS262143:TUS327677 TKW262143:TKW327677 TBA262143:TBA327677 SRE262143:SRE327677 SHI262143:SHI327677 RXM262143:RXM327677 RNQ262143:RNQ327677 RDU262143:RDU327677 QTY262143:QTY327677 QKC262143:QKC327677 QAG262143:QAG327677 PQK262143:PQK327677 PGO262143:PGO327677 OWS262143:OWS327677 OMW262143:OMW327677 ODA262143:ODA327677 NTE262143:NTE327677 NJI262143:NJI327677 MZM262143:MZM327677 MPQ262143:MPQ327677 MFU262143:MFU327677 LVY262143:LVY327677 LMC262143:LMC327677 LCG262143:LCG327677 KSK262143:KSK327677 KIO262143:KIO327677 JYS262143:JYS327677 JOW262143:JOW327677 JFA262143:JFA327677 IVE262143:IVE327677 ILI262143:ILI327677 IBM262143:IBM327677 HRQ262143:HRQ327677 HHU262143:HHU327677 GXY262143:GXY327677 GOC262143:GOC327677 GEG262143:GEG327677 FUK262143:FUK327677 FKO262143:FKO327677 FAS262143:FAS327677 EQW262143:EQW327677 EHA262143:EHA327677 DXE262143:DXE327677 DNI262143:DNI327677 DDM262143:DDM327677 CTQ262143:CTQ327677 CJU262143:CJU327677 BZY262143:BZY327677 BQC262143:BQC327677 BGG262143:BGG327677 AWK262143:AWK327677 AMO262143:AMO327677 ACS262143:ACS327677 SW262143:SW327677 JA262143:JA327677 E262143:E327677 WVM196607:WVM262141 WLQ196607:WLQ262141 WBU196607:WBU262141 VRY196607:VRY262141 VIC196607:VIC262141 UYG196607:UYG262141 UOK196607:UOK262141 UEO196607:UEO262141 TUS196607:TUS262141 TKW196607:TKW262141 TBA196607:TBA262141 SRE196607:SRE262141 SHI196607:SHI262141 RXM196607:RXM262141 RNQ196607:RNQ262141 RDU196607:RDU262141 QTY196607:QTY262141 QKC196607:QKC262141 QAG196607:QAG262141 PQK196607:PQK262141 PGO196607:PGO262141 OWS196607:OWS262141 OMW196607:OMW262141 ODA196607:ODA262141 NTE196607:NTE262141 NJI196607:NJI262141 MZM196607:MZM262141 MPQ196607:MPQ262141 MFU196607:MFU262141 LVY196607:LVY262141 LMC196607:LMC262141 LCG196607:LCG262141 KSK196607:KSK262141 KIO196607:KIO262141 JYS196607:JYS262141 JOW196607:JOW262141 JFA196607:JFA262141 IVE196607:IVE262141 ILI196607:ILI262141 IBM196607:IBM262141 HRQ196607:HRQ262141 HHU196607:HHU262141 GXY196607:GXY262141 GOC196607:GOC262141 GEG196607:GEG262141 FUK196607:FUK262141 FKO196607:FKO262141 FAS196607:FAS262141 EQW196607:EQW262141 EHA196607:EHA262141 DXE196607:DXE262141 DNI196607:DNI262141 DDM196607:DDM262141 CTQ196607:CTQ262141 CJU196607:CJU262141 BZY196607:BZY262141 BQC196607:BQC262141 BGG196607:BGG262141 AWK196607:AWK262141 AMO196607:AMO262141 ACS196607:ACS262141 SW196607:SW262141 JA196607:JA262141 E196607:E262141 WVM131071:WVM196605 WLQ131071:WLQ196605 WBU131071:WBU196605 VRY131071:VRY196605 VIC131071:VIC196605 UYG131071:UYG196605 UOK131071:UOK196605 UEO131071:UEO196605 TUS131071:TUS196605 TKW131071:TKW196605 TBA131071:TBA196605 SRE131071:SRE196605 SHI131071:SHI196605 RXM131071:RXM196605 RNQ131071:RNQ196605 RDU131071:RDU196605 QTY131071:QTY196605 QKC131071:QKC196605 QAG131071:QAG196605 PQK131071:PQK196605 PGO131071:PGO196605 OWS131071:OWS196605 OMW131071:OMW196605 ODA131071:ODA196605 NTE131071:NTE196605 NJI131071:NJI196605 MZM131071:MZM196605 MPQ131071:MPQ196605 MFU131071:MFU196605 LVY131071:LVY196605 LMC131071:LMC196605 LCG131071:LCG196605 KSK131071:KSK196605 KIO131071:KIO196605 JYS131071:JYS196605 JOW131071:JOW196605 JFA131071:JFA196605 IVE131071:IVE196605 ILI131071:ILI196605 IBM131071:IBM196605 HRQ131071:HRQ196605 HHU131071:HHU196605 GXY131071:GXY196605 GOC131071:GOC196605 GEG131071:GEG196605 FUK131071:FUK196605 FKO131071:FKO196605 FAS131071:FAS196605 EQW131071:EQW196605 EHA131071:EHA196605 DXE131071:DXE196605 DNI131071:DNI196605 DDM131071:DDM196605 CTQ131071:CTQ196605 CJU131071:CJU196605 BZY131071:BZY196605 BQC131071:BQC196605 BGG131071:BGG196605 AWK131071:AWK196605 AMO131071:AMO196605 ACS131071:ACS196605 SW131071:SW196605 JA131071:JA196605 E131071:E196605 WVM65535:WVM131069 WLQ65535:WLQ131069 WBU65535:WBU131069 VRY65535:VRY131069 VIC65535:VIC131069 UYG65535:UYG131069 UOK65535:UOK131069 UEO65535:UEO131069 TUS65535:TUS131069 TKW65535:TKW131069 TBA65535:TBA131069 SRE65535:SRE131069 SHI65535:SHI131069 RXM65535:RXM131069 RNQ65535:RNQ131069 RDU65535:RDU131069 QTY65535:QTY131069 QKC65535:QKC131069 QAG65535:QAG131069 PQK65535:PQK131069 PGO65535:PGO131069 OWS65535:OWS131069 OMW65535:OMW131069 ODA65535:ODA131069 NTE65535:NTE131069 NJI65535:NJI131069 MZM65535:MZM131069 MPQ65535:MPQ131069 MFU65535:MFU131069 LVY65535:LVY131069 LMC65535:LMC131069 LCG65535:LCG131069 KSK65535:KSK131069 KIO65535:KIO131069 JYS65535:JYS131069 JOW65535:JOW131069 JFA65535:JFA131069 IVE65535:IVE131069 ILI65535:ILI131069 IBM65535:IBM131069 HRQ65535:HRQ131069 HHU65535:HHU131069 GXY65535:GXY131069 GOC65535:GOC131069 GEG65535:GEG131069 FUK65535:FUK131069 FKO65535:FKO131069 FAS65535:FAS131069 EQW65535:EQW131069 EHA65535:EHA131069 DXE65535:DXE131069 DNI65535:DNI131069 DDM65535:DDM131069 CTQ65535:CTQ131069 CJU65535:CJU131069 BZY65535:BZY131069 BQC65535:BQC131069 BGG65535:BGG131069 AWK65535:AWK131069 AMO65535:AMO131069 ACS65535:ACS131069 SW65535:SW131069 JA65535:JA131069 E65535:E131069 WVM2:WVM65533 WLQ2:WLQ65533 WBU2:WBU65533 VRY2:VRY65533 VIC2:VIC65533 UYG2:UYG65533 UOK2:UOK65533 UEO2:UEO65533 TUS2:TUS65533 TKW2:TKW65533 TBA2:TBA65533 SRE2:SRE65533 SHI2:SHI65533 RXM2:RXM65533 RNQ2:RNQ65533 RDU2:RDU65533 QTY2:QTY65533 QKC2:QKC65533 QAG2:QAG65533 PQK2:PQK65533 PGO2:PGO65533 OWS2:OWS65533 OMW2:OMW65533 ODA2:ODA65533 NTE2:NTE65533 NJI2:NJI65533 MZM2:MZM65533 MPQ2:MPQ65533 MFU2:MFU65533 LVY2:LVY65533 LMC2:LMC65533 LCG2:LCG65533 KSK2:KSK65533 KIO2:KIO65533 JYS2:JYS65533 JOW2:JOW65533 JFA2:JFA65533 IVE2:IVE65533 ILI2:ILI65533 IBM2:IBM65533 HRQ2:HRQ65533 HHU2:HHU65533 GXY2:GXY65533 GOC2:GOC65533 GEG2:GEG65533 FUK2:FUK65533 FKO2:FKO65533 FAS2:FAS65533 EQW2:EQW65533 EHA2:EHA65533 DXE2:DXE65533 DNI2:DNI65533 DDM2:DDM65533 CTQ2:CTQ65533 CJU2:CJU65533 BZY2:BZY65533 BQC2:BQC65533 BGG2:BGG65533 AWK2:AWK65533 AMO2:AMO65533 ACS2:ACS65533 SW2:SW65533 JA2:JA65533" xr:uid="{9A376AEB-6F00-4F9B-AB43-F1F1734E36BA}">
      <formula1>$AG$2:$AG$9</formula1>
    </dataValidation>
    <dataValidation type="list" allowBlank="1" showInputMessage="1" showErrorMessage="1" sqref="WVN983039:WVN1048576 F2:F65533 WLR983039:WLR1048576 WBV983039:WBV1048576 VRZ983039:VRZ1048576 VID983039:VID1048576 UYH983039:UYH1048576 UOL983039:UOL1048576 UEP983039:UEP1048576 TUT983039:TUT1048576 TKX983039:TKX1048576 TBB983039:TBB1048576 SRF983039:SRF1048576 SHJ983039:SHJ1048576 RXN983039:RXN1048576 RNR983039:RNR1048576 RDV983039:RDV1048576 QTZ983039:QTZ1048576 QKD983039:QKD1048576 QAH983039:QAH1048576 PQL983039:PQL1048576 PGP983039:PGP1048576 OWT983039:OWT1048576 OMX983039:OMX1048576 ODB983039:ODB1048576 NTF983039:NTF1048576 NJJ983039:NJJ1048576 MZN983039:MZN1048576 MPR983039:MPR1048576 MFV983039:MFV1048576 LVZ983039:LVZ1048576 LMD983039:LMD1048576 LCH983039:LCH1048576 KSL983039:KSL1048576 KIP983039:KIP1048576 JYT983039:JYT1048576 JOX983039:JOX1048576 JFB983039:JFB1048576 IVF983039:IVF1048576 ILJ983039:ILJ1048576 IBN983039:IBN1048576 HRR983039:HRR1048576 HHV983039:HHV1048576 GXZ983039:GXZ1048576 GOD983039:GOD1048576 GEH983039:GEH1048576 FUL983039:FUL1048576 FKP983039:FKP1048576 FAT983039:FAT1048576 EQX983039:EQX1048576 EHB983039:EHB1048576 DXF983039:DXF1048576 DNJ983039:DNJ1048576 DDN983039:DDN1048576 CTR983039:CTR1048576 CJV983039:CJV1048576 BZZ983039:BZZ1048576 BQD983039:BQD1048576 BGH983039:BGH1048576 AWL983039:AWL1048576 AMP983039:AMP1048576 ACT983039:ACT1048576 SX983039:SX1048576 JB983039:JB1048576 F983039:F1048576 WVN917503:WVN983037 WLR917503:WLR983037 WBV917503:WBV983037 VRZ917503:VRZ983037 VID917503:VID983037 UYH917503:UYH983037 UOL917503:UOL983037 UEP917503:UEP983037 TUT917503:TUT983037 TKX917503:TKX983037 TBB917503:TBB983037 SRF917503:SRF983037 SHJ917503:SHJ983037 RXN917503:RXN983037 RNR917503:RNR983037 RDV917503:RDV983037 QTZ917503:QTZ983037 QKD917503:QKD983037 QAH917503:QAH983037 PQL917503:PQL983037 PGP917503:PGP983037 OWT917503:OWT983037 OMX917503:OMX983037 ODB917503:ODB983037 NTF917503:NTF983037 NJJ917503:NJJ983037 MZN917503:MZN983037 MPR917503:MPR983037 MFV917503:MFV983037 LVZ917503:LVZ983037 LMD917503:LMD983037 LCH917503:LCH983037 KSL917503:KSL983037 KIP917503:KIP983037 JYT917503:JYT983037 JOX917503:JOX983037 JFB917503:JFB983037 IVF917503:IVF983037 ILJ917503:ILJ983037 IBN917503:IBN983037 HRR917503:HRR983037 HHV917503:HHV983037 GXZ917503:GXZ983037 GOD917503:GOD983037 GEH917503:GEH983037 FUL917503:FUL983037 FKP917503:FKP983037 FAT917503:FAT983037 EQX917503:EQX983037 EHB917503:EHB983037 DXF917503:DXF983037 DNJ917503:DNJ983037 DDN917503:DDN983037 CTR917503:CTR983037 CJV917503:CJV983037 BZZ917503:BZZ983037 BQD917503:BQD983037 BGH917503:BGH983037 AWL917503:AWL983037 AMP917503:AMP983037 ACT917503:ACT983037 SX917503:SX983037 JB917503:JB983037 F917503:F983037 WVN851967:WVN917501 WLR851967:WLR917501 WBV851967:WBV917501 VRZ851967:VRZ917501 VID851967:VID917501 UYH851967:UYH917501 UOL851967:UOL917501 UEP851967:UEP917501 TUT851967:TUT917501 TKX851967:TKX917501 TBB851967:TBB917501 SRF851967:SRF917501 SHJ851967:SHJ917501 RXN851967:RXN917501 RNR851967:RNR917501 RDV851967:RDV917501 QTZ851967:QTZ917501 QKD851967:QKD917501 QAH851967:QAH917501 PQL851967:PQL917501 PGP851967:PGP917501 OWT851967:OWT917501 OMX851967:OMX917501 ODB851967:ODB917501 NTF851967:NTF917501 NJJ851967:NJJ917501 MZN851967:MZN917501 MPR851967:MPR917501 MFV851967:MFV917501 LVZ851967:LVZ917501 LMD851967:LMD917501 LCH851967:LCH917501 KSL851967:KSL917501 KIP851967:KIP917501 JYT851967:JYT917501 JOX851967:JOX917501 JFB851967:JFB917501 IVF851967:IVF917501 ILJ851967:ILJ917501 IBN851967:IBN917501 HRR851967:HRR917501 HHV851967:HHV917501 GXZ851967:GXZ917501 GOD851967:GOD917501 GEH851967:GEH917501 FUL851967:FUL917501 FKP851967:FKP917501 FAT851967:FAT917501 EQX851967:EQX917501 EHB851967:EHB917501 DXF851967:DXF917501 DNJ851967:DNJ917501 DDN851967:DDN917501 CTR851967:CTR917501 CJV851967:CJV917501 BZZ851967:BZZ917501 BQD851967:BQD917501 BGH851967:BGH917501 AWL851967:AWL917501 AMP851967:AMP917501 ACT851967:ACT917501 SX851967:SX917501 JB851967:JB917501 F851967:F917501 WVN786431:WVN851965 WLR786431:WLR851965 WBV786431:WBV851965 VRZ786431:VRZ851965 VID786431:VID851965 UYH786431:UYH851965 UOL786431:UOL851965 UEP786431:UEP851965 TUT786431:TUT851965 TKX786431:TKX851965 TBB786431:TBB851965 SRF786431:SRF851965 SHJ786431:SHJ851965 RXN786431:RXN851965 RNR786431:RNR851965 RDV786431:RDV851965 QTZ786431:QTZ851965 QKD786431:QKD851965 QAH786431:QAH851965 PQL786431:PQL851965 PGP786431:PGP851965 OWT786431:OWT851965 OMX786431:OMX851965 ODB786431:ODB851965 NTF786431:NTF851965 NJJ786431:NJJ851965 MZN786431:MZN851965 MPR786431:MPR851965 MFV786431:MFV851965 LVZ786431:LVZ851965 LMD786431:LMD851965 LCH786431:LCH851965 KSL786431:KSL851965 KIP786431:KIP851965 JYT786431:JYT851965 JOX786431:JOX851965 JFB786431:JFB851965 IVF786431:IVF851965 ILJ786431:ILJ851965 IBN786431:IBN851965 HRR786431:HRR851965 HHV786431:HHV851965 GXZ786431:GXZ851965 GOD786431:GOD851965 GEH786431:GEH851965 FUL786431:FUL851965 FKP786431:FKP851965 FAT786431:FAT851965 EQX786431:EQX851965 EHB786431:EHB851965 DXF786431:DXF851965 DNJ786431:DNJ851965 DDN786431:DDN851965 CTR786431:CTR851965 CJV786431:CJV851965 BZZ786431:BZZ851965 BQD786431:BQD851965 BGH786431:BGH851965 AWL786431:AWL851965 AMP786431:AMP851965 ACT786431:ACT851965 SX786431:SX851965 JB786431:JB851965 F786431:F851965 WVN720895:WVN786429 WLR720895:WLR786429 WBV720895:WBV786429 VRZ720895:VRZ786429 VID720895:VID786429 UYH720895:UYH786429 UOL720895:UOL786429 UEP720895:UEP786429 TUT720895:TUT786429 TKX720895:TKX786429 TBB720895:TBB786429 SRF720895:SRF786429 SHJ720895:SHJ786429 RXN720895:RXN786429 RNR720895:RNR786429 RDV720895:RDV786429 QTZ720895:QTZ786429 QKD720895:QKD786429 QAH720895:QAH786429 PQL720895:PQL786429 PGP720895:PGP786429 OWT720895:OWT786429 OMX720895:OMX786429 ODB720895:ODB786429 NTF720895:NTF786429 NJJ720895:NJJ786429 MZN720895:MZN786429 MPR720895:MPR786429 MFV720895:MFV786429 LVZ720895:LVZ786429 LMD720895:LMD786429 LCH720895:LCH786429 KSL720895:KSL786429 KIP720895:KIP786429 JYT720895:JYT786429 JOX720895:JOX786429 JFB720895:JFB786429 IVF720895:IVF786429 ILJ720895:ILJ786429 IBN720895:IBN786429 HRR720895:HRR786429 HHV720895:HHV786429 GXZ720895:GXZ786429 GOD720895:GOD786429 GEH720895:GEH786429 FUL720895:FUL786429 FKP720895:FKP786429 FAT720895:FAT786429 EQX720895:EQX786429 EHB720895:EHB786429 DXF720895:DXF786429 DNJ720895:DNJ786429 DDN720895:DDN786429 CTR720895:CTR786429 CJV720895:CJV786429 BZZ720895:BZZ786429 BQD720895:BQD786429 BGH720895:BGH786429 AWL720895:AWL786429 AMP720895:AMP786429 ACT720895:ACT786429 SX720895:SX786429 JB720895:JB786429 F720895:F786429 WVN655359:WVN720893 WLR655359:WLR720893 WBV655359:WBV720893 VRZ655359:VRZ720893 VID655359:VID720893 UYH655359:UYH720893 UOL655359:UOL720893 UEP655359:UEP720893 TUT655359:TUT720893 TKX655359:TKX720893 TBB655359:TBB720893 SRF655359:SRF720893 SHJ655359:SHJ720893 RXN655359:RXN720893 RNR655359:RNR720893 RDV655359:RDV720893 QTZ655359:QTZ720893 QKD655359:QKD720893 QAH655359:QAH720893 PQL655359:PQL720893 PGP655359:PGP720893 OWT655359:OWT720893 OMX655359:OMX720893 ODB655359:ODB720893 NTF655359:NTF720893 NJJ655359:NJJ720893 MZN655359:MZN720893 MPR655359:MPR720893 MFV655359:MFV720893 LVZ655359:LVZ720893 LMD655359:LMD720893 LCH655359:LCH720893 KSL655359:KSL720893 KIP655359:KIP720893 JYT655359:JYT720893 JOX655359:JOX720893 JFB655359:JFB720893 IVF655359:IVF720893 ILJ655359:ILJ720893 IBN655359:IBN720893 HRR655359:HRR720893 HHV655359:HHV720893 GXZ655359:GXZ720893 GOD655359:GOD720893 GEH655359:GEH720893 FUL655359:FUL720893 FKP655359:FKP720893 FAT655359:FAT720893 EQX655359:EQX720893 EHB655359:EHB720893 DXF655359:DXF720893 DNJ655359:DNJ720893 DDN655359:DDN720893 CTR655359:CTR720893 CJV655359:CJV720893 BZZ655359:BZZ720893 BQD655359:BQD720893 BGH655359:BGH720893 AWL655359:AWL720893 AMP655359:AMP720893 ACT655359:ACT720893 SX655359:SX720893 JB655359:JB720893 F655359:F720893 WVN589823:WVN655357 WLR589823:WLR655357 WBV589823:WBV655357 VRZ589823:VRZ655357 VID589823:VID655357 UYH589823:UYH655357 UOL589823:UOL655357 UEP589823:UEP655357 TUT589823:TUT655357 TKX589823:TKX655357 TBB589823:TBB655357 SRF589823:SRF655357 SHJ589823:SHJ655357 RXN589823:RXN655357 RNR589823:RNR655357 RDV589823:RDV655357 QTZ589823:QTZ655357 QKD589823:QKD655357 QAH589823:QAH655357 PQL589823:PQL655357 PGP589823:PGP655357 OWT589823:OWT655357 OMX589823:OMX655357 ODB589823:ODB655357 NTF589823:NTF655357 NJJ589823:NJJ655357 MZN589823:MZN655357 MPR589823:MPR655357 MFV589823:MFV655357 LVZ589823:LVZ655357 LMD589823:LMD655357 LCH589823:LCH655357 KSL589823:KSL655357 KIP589823:KIP655357 JYT589823:JYT655357 JOX589823:JOX655357 JFB589823:JFB655357 IVF589823:IVF655357 ILJ589823:ILJ655357 IBN589823:IBN655357 HRR589823:HRR655357 HHV589823:HHV655357 GXZ589823:GXZ655357 GOD589823:GOD655357 GEH589823:GEH655357 FUL589823:FUL655357 FKP589823:FKP655357 FAT589823:FAT655357 EQX589823:EQX655357 EHB589823:EHB655357 DXF589823:DXF655357 DNJ589823:DNJ655357 DDN589823:DDN655357 CTR589823:CTR655357 CJV589823:CJV655357 BZZ589823:BZZ655357 BQD589823:BQD655357 BGH589823:BGH655357 AWL589823:AWL655357 AMP589823:AMP655357 ACT589823:ACT655357 SX589823:SX655357 JB589823:JB655357 F589823:F655357 WVN524287:WVN589821 WLR524287:WLR589821 WBV524287:WBV589821 VRZ524287:VRZ589821 VID524287:VID589821 UYH524287:UYH589821 UOL524287:UOL589821 UEP524287:UEP589821 TUT524287:TUT589821 TKX524287:TKX589821 TBB524287:TBB589821 SRF524287:SRF589821 SHJ524287:SHJ589821 RXN524287:RXN589821 RNR524287:RNR589821 RDV524287:RDV589821 QTZ524287:QTZ589821 QKD524287:QKD589821 QAH524287:QAH589821 PQL524287:PQL589821 PGP524287:PGP589821 OWT524287:OWT589821 OMX524287:OMX589821 ODB524287:ODB589821 NTF524287:NTF589821 NJJ524287:NJJ589821 MZN524287:MZN589821 MPR524287:MPR589821 MFV524287:MFV589821 LVZ524287:LVZ589821 LMD524287:LMD589821 LCH524287:LCH589821 KSL524287:KSL589821 KIP524287:KIP589821 JYT524287:JYT589821 JOX524287:JOX589821 JFB524287:JFB589821 IVF524287:IVF589821 ILJ524287:ILJ589821 IBN524287:IBN589821 HRR524287:HRR589821 HHV524287:HHV589821 GXZ524287:GXZ589821 GOD524287:GOD589821 GEH524287:GEH589821 FUL524287:FUL589821 FKP524287:FKP589821 FAT524287:FAT589821 EQX524287:EQX589821 EHB524287:EHB589821 DXF524287:DXF589821 DNJ524287:DNJ589821 DDN524287:DDN589821 CTR524287:CTR589821 CJV524287:CJV589821 BZZ524287:BZZ589821 BQD524287:BQD589821 BGH524287:BGH589821 AWL524287:AWL589821 AMP524287:AMP589821 ACT524287:ACT589821 SX524287:SX589821 JB524287:JB589821 F524287:F589821 WVN458751:WVN524285 WLR458751:WLR524285 WBV458751:WBV524285 VRZ458751:VRZ524285 VID458751:VID524285 UYH458751:UYH524285 UOL458751:UOL524285 UEP458751:UEP524285 TUT458751:TUT524285 TKX458751:TKX524285 TBB458751:TBB524285 SRF458751:SRF524285 SHJ458751:SHJ524285 RXN458751:RXN524285 RNR458751:RNR524285 RDV458751:RDV524285 QTZ458751:QTZ524285 QKD458751:QKD524285 QAH458751:QAH524285 PQL458751:PQL524285 PGP458751:PGP524285 OWT458751:OWT524285 OMX458751:OMX524285 ODB458751:ODB524285 NTF458751:NTF524285 NJJ458751:NJJ524285 MZN458751:MZN524285 MPR458751:MPR524285 MFV458751:MFV524285 LVZ458751:LVZ524285 LMD458751:LMD524285 LCH458751:LCH524285 KSL458751:KSL524285 KIP458751:KIP524285 JYT458751:JYT524285 JOX458751:JOX524285 JFB458751:JFB524285 IVF458751:IVF524285 ILJ458751:ILJ524285 IBN458751:IBN524285 HRR458751:HRR524285 HHV458751:HHV524285 GXZ458751:GXZ524285 GOD458751:GOD524285 GEH458751:GEH524285 FUL458751:FUL524285 FKP458751:FKP524285 FAT458751:FAT524285 EQX458751:EQX524285 EHB458751:EHB524285 DXF458751:DXF524285 DNJ458751:DNJ524285 DDN458751:DDN524285 CTR458751:CTR524285 CJV458751:CJV524285 BZZ458751:BZZ524285 BQD458751:BQD524285 BGH458751:BGH524285 AWL458751:AWL524285 AMP458751:AMP524285 ACT458751:ACT524285 SX458751:SX524285 JB458751:JB524285 F458751:F524285 WVN393215:WVN458749 WLR393215:WLR458749 WBV393215:WBV458749 VRZ393215:VRZ458749 VID393215:VID458749 UYH393215:UYH458749 UOL393215:UOL458749 UEP393215:UEP458749 TUT393215:TUT458749 TKX393215:TKX458749 TBB393215:TBB458749 SRF393215:SRF458749 SHJ393215:SHJ458749 RXN393215:RXN458749 RNR393215:RNR458749 RDV393215:RDV458749 QTZ393215:QTZ458749 QKD393215:QKD458749 QAH393215:QAH458749 PQL393215:PQL458749 PGP393215:PGP458749 OWT393215:OWT458749 OMX393215:OMX458749 ODB393215:ODB458749 NTF393215:NTF458749 NJJ393215:NJJ458749 MZN393215:MZN458749 MPR393215:MPR458749 MFV393215:MFV458749 LVZ393215:LVZ458749 LMD393215:LMD458749 LCH393215:LCH458749 KSL393215:KSL458749 KIP393215:KIP458749 JYT393215:JYT458749 JOX393215:JOX458749 JFB393215:JFB458749 IVF393215:IVF458749 ILJ393215:ILJ458749 IBN393215:IBN458749 HRR393215:HRR458749 HHV393215:HHV458749 GXZ393215:GXZ458749 GOD393215:GOD458749 GEH393215:GEH458749 FUL393215:FUL458749 FKP393215:FKP458749 FAT393215:FAT458749 EQX393215:EQX458749 EHB393215:EHB458749 DXF393215:DXF458749 DNJ393215:DNJ458749 DDN393215:DDN458749 CTR393215:CTR458749 CJV393215:CJV458749 BZZ393215:BZZ458749 BQD393215:BQD458749 BGH393215:BGH458749 AWL393215:AWL458749 AMP393215:AMP458749 ACT393215:ACT458749 SX393215:SX458749 JB393215:JB458749 F393215:F458749 WVN327679:WVN393213 WLR327679:WLR393213 WBV327679:WBV393213 VRZ327679:VRZ393213 VID327679:VID393213 UYH327679:UYH393213 UOL327679:UOL393213 UEP327679:UEP393213 TUT327679:TUT393213 TKX327679:TKX393213 TBB327679:TBB393213 SRF327679:SRF393213 SHJ327679:SHJ393213 RXN327679:RXN393213 RNR327679:RNR393213 RDV327679:RDV393213 QTZ327679:QTZ393213 QKD327679:QKD393213 QAH327679:QAH393213 PQL327679:PQL393213 PGP327679:PGP393213 OWT327679:OWT393213 OMX327679:OMX393213 ODB327679:ODB393213 NTF327679:NTF393213 NJJ327679:NJJ393213 MZN327679:MZN393213 MPR327679:MPR393213 MFV327679:MFV393213 LVZ327679:LVZ393213 LMD327679:LMD393213 LCH327679:LCH393213 KSL327679:KSL393213 KIP327679:KIP393213 JYT327679:JYT393213 JOX327679:JOX393213 JFB327679:JFB393213 IVF327679:IVF393213 ILJ327679:ILJ393213 IBN327679:IBN393213 HRR327679:HRR393213 HHV327679:HHV393213 GXZ327679:GXZ393213 GOD327679:GOD393213 GEH327679:GEH393213 FUL327679:FUL393213 FKP327679:FKP393213 FAT327679:FAT393213 EQX327679:EQX393213 EHB327679:EHB393213 DXF327679:DXF393213 DNJ327679:DNJ393213 DDN327679:DDN393213 CTR327679:CTR393213 CJV327679:CJV393213 BZZ327679:BZZ393213 BQD327679:BQD393213 BGH327679:BGH393213 AWL327679:AWL393213 AMP327679:AMP393213 ACT327679:ACT393213 SX327679:SX393213 JB327679:JB393213 F327679:F393213 WVN262143:WVN327677 WLR262143:WLR327677 WBV262143:WBV327677 VRZ262143:VRZ327677 VID262143:VID327677 UYH262143:UYH327677 UOL262143:UOL327677 UEP262143:UEP327677 TUT262143:TUT327677 TKX262143:TKX327677 TBB262143:TBB327677 SRF262143:SRF327677 SHJ262143:SHJ327677 RXN262143:RXN327677 RNR262143:RNR327677 RDV262143:RDV327677 QTZ262143:QTZ327677 QKD262143:QKD327677 QAH262143:QAH327677 PQL262143:PQL327677 PGP262143:PGP327677 OWT262143:OWT327677 OMX262143:OMX327677 ODB262143:ODB327677 NTF262143:NTF327677 NJJ262143:NJJ327677 MZN262143:MZN327677 MPR262143:MPR327677 MFV262143:MFV327677 LVZ262143:LVZ327677 LMD262143:LMD327677 LCH262143:LCH327677 KSL262143:KSL327677 KIP262143:KIP327677 JYT262143:JYT327677 JOX262143:JOX327677 JFB262143:JFB327677 IVF262143:IVF327677 ILJ262143:ILJ327677 IBN262143:IBN327677 HRR262143:HRR327677 HHV262143:HHV327677 GXZ262143:GXZ327677 GOD262143:GOD327677 GEH262143:GEH327677 FUL262143:FUL327677 FKP262143:FKP327677 FAT262143:FAT327677 EQX262143:EQX327677 EHB262143:EHB327677 DXF262143:DXF327677 DNJ262143:DNJ327677 DDN262143:DDN327677 CTR262143:CTR327677 CJV262143:CJV327677 BZZ262143:BZZ327677 BQD262143:BQD327677 BGH262143:BGH327677 AWL262143:AWL327677 AMP262143:AMP327677 ACT262143:ACT327677 SX262143:SX327677 JB262143:JB327677 F262143:F327677 WVN196607:WVN262141 WLR196607:WLR262141 WBV196607:WBV262141 VRZ196607:VRZ262141 VID196607:VID262141 UYH196607:UYH262141 UOL196607:UOL262141 UEP196607:UEP262141 TUT196607:TUT262141 TKX196607:TKX262141 TBB196607:TBB262141 SRF196607:SRF262141 SHJ196607:SHJ262141 RXN196607:RXN262141 RNR196607:RNR262141 RDV196607:RDV262141 QTZ196607:QTZ262141 QKD196607:QKD262141 QAH196607:QAH262141 PQL196607:PQL262141 PGP196607:PGP262141 OWT196607:OWT262141 OMX196607:OMX262141 ODB196607:ODB262141 NTF196607:NTF262141 NJJ196607:NJJ262141 MZN196607:MZN262141 MPR196607:MPR262141 MFV196607:MFV262141 LVZ196607:LVZ262141 LMD196607:LMD262141 LCH196607:LCH262141 KSL196607:KSL262141 KIP196607:KIP262141 JYT196607:JYT262141 JOX196607:JOX262141 JFB196607:JFB262141 IVF196607:IVF262141 ILJ196607:ILJ262141 IBN196607:IBN262141 HRR196607:HRR262141 HHV196607:HHV262141 GXZ196607:GXZ262141 GOD196607:GOD262141 GEH196607:GEH262141 FUL196607:FUL262141 FKP196607:FKP262141 FAT196607:FAT262141 EQX196607:EQX262141 EHB196607:EHB262141 DXF196607:DXF262141 DNJ196607:DNJ262141 DDN196607:DDN262141 CTR196607:CTR262141 CJV196607:CJV262141 BZZ196607:BZZ262141 BQD196607:BQD262141 BGH196607:BGH262141 AWL196607:AWL262141 AMP196607:AMP262141 ACT196607:ACT262141 SX196607:SX262141 JB196607:JB262141 F196607:F262141 WVN131071:WVN196605 WLR131071:WLR196605 WBV131071:WBV196605 VRZ131071:VRZ196605 VID131071:VID196605 UYH131071:UYH196605 UOL131071:UOL196605 UEP131071:UEP196605 TUT131071:TUT196605 TKX131071:TKX196605 TBB131071:TBB196605 SRF131071:SRF196605 SHJ131071:SHJ196605 RXN131071:RXN196605 RNR131071:RNR196605 RDV131071:RDV196605 QTZ131071:QTZ196605 QKD131071:QKD196605 QAH131071:QAH196605 PQL131071:PQL196605 PGP131071:PGP196605 OWT131071:OWT196605 OMX131071:OMX196605 ODB131071:ODB196605 NTF131071:NTF196605 NJJ131071:NJJ196605 MZN131071:MZN196605 MPR131071:MPR196605 MFV131071:MFV196605 LVZ131071:LVZ196605 LMD131071:LMD196605 LCH131071:LCH196605 KSL131071:KSL196605 KIP131071:KIP196605 JYT131071:JYT196605 JOX131071:JOX196605 JFB131071:JFB196605 IVF131071:IVF196605 ILJ131071:ILJ196605 IBN131071:IBN196605 HRR131071:HRR196605 HHV131071:HHV196605 GXZ131071:GXZ196605 GOD131071:GOD196605 GEH131071:GEH196605 FUL131071:FUL196605 FKP131071:FKP196605 FAT131071:FAT196605 EQX131071:EQX196605 EHB131071:EHB196605 DXF131071:DXF196605 DNJ131071:DNJ196605 DDN131071:DDN196605 CTR131071:CTR196605 CJV131071:CJV196605 BZZ131071:BZZ196605 BQD131071:BQD196605 BGH131071:BGH196605 AWL131071:AWL196605 AMP131071:AMP196605 ACT131071:ACT196605 SX131071:SX196605 JB131071:JB196605 F131071:F196605 WVN65535:WVN131069 WLR65535:WLR131069 WBV65535:WBV131069 VRZ65535:VRZ131069 VID65535:VID131069 UYH65535:UYH131069 UOL65535:UOL131069 UEP65535:UEP131069 TUT65535:TUT131069 TKX65535:TKX131069 TBB65535:TBB131069 SRF65535:SRF131069 SHJ65535:SHJ131069 RXN65535:RXN131069 RNR65535:RNR131069 RDV65535:RDV131069 QTZ65535:QTZ131069 QKD65535:QKD131069 QAH65535:QAH131069 PQL65535:PQL131069 PGP65535:PGP131069 OWT65535:OWT131069 OMX65535:OMX131069 ODB65535:ODB131069 NTF65535:NTF131069 NJJ65535:NJJ131069 MZN65535:MZN131069 MPR65535:MPR131069 MFV65535:MFV131069 LVZ65535:LVZ131069 LMD65535:LMD131069 LCH65535:LCH131069 KSL65535:KSL131069 KIP65535:KIP131069 JYT65535:JYT131069 JOX65535:JOX131069 JFB65535:JFB131069 IVF65535:IVF131069 ILJ65535:ILJ131069 IBN65535:IBN131069 HRR65535:HRR131069 HHV65535:HHV131069 GXZ65535:GXZ131069 GOD65535:GOD131069 GEH65535:GEH131069 FUL65535:FUL131069 FKP65535:FKP131069 FAT65535:FAT131069 EQX65535:EQX131069 EHB65535:EHB131069 DXF65535:DXF131069 DNJ65535:DNJ131069 DDN65535:DDN131069 CTR65535:CTR131069 CJV65535:CJV131069 BZZ65535:BZZ131069 BQD65535:BQD131069 BGH65535:BGH131069 AWL65535:AWL131069 AMP65535:AMP131069 ACT65535:ACT131069 SX65535:SX131069 JB65535:JB131069 F65535:F131069 WVN2:WVN65533 WLR2:WLR65533 WBV2:WBV65533 VRZ2:VRZ65533 VID2:VID65533 UYH2:UYH65533 UOL2:UOL65533 UEP2:UEP65533 TUT2:TUT65533 TKX2:TKX65533 TBB2:TBB65533 SRF2:SRF65533 SHJ2:SHJ65533 RXN2:RXN65533 RNR2:RNR65533 RDV2:RDV65533 QTZ2:QTZ65533 QKD2:QKD65533 QAH2:QAH65533 PQL2:PQL65533 PGP2:PGP65533 OWT2:OWT65533 OMX2:OMX65533 ODB2:ODB65533 NTF2:NTF65533 NJJ2:NJJ65533 MZN2:MZN65533 MPR2:MPR65533 MFV2:MFV65533 LVZ2:LVZ65533 LMD2:LMD65533 LCH2:LCH65533 KSL2:KSL65533 KIP2:KIP65533 JYT2:JYT65533 JOX2:JOX65533 JFB2:JFB65533 IVF2:IVF65533 ILJ2:ILJ65533 IBN2:IBN65533 HRR2:HRR65533 HHV2:HHV65533 GXZ2:GXZ65533 GOD2:GOD65533 GEH2:GEH65533 FUL2:FUL65533 FKP2:FKP65533 FAT2:FAT65533 EQX2:EQX65533 EHB2:EHB65533 DXF2:DXF65533 DNJ2:DNJ65533 DDN2:DDN65533 CTR2:CTR65533 CJV2:CJV65533 BZZ2:BZZ65533 BQD2:BQD65533 BGH2:BGH65533 AWL2:AWL65533 AMP2:AMP65533 ACT2:ACT65533 SX2:SX65533 JB2:JB65533" xr:uid="{EB275DAE-5007-4684-B4CC-BDE1D3F328EE}">
      <formula1>$AH$2:$AH$9</formula1>
    </dataValidation>
    <dataValidation type="list" allowBlank="1" showInputMessage="1" showErrorMessage="1" sqref="K2:K447" xr:uid="{89930360-905F-4A42-B17E-1C5B245CCA4D}">
      <formula1>$AR$2:$AR$23</formula1>
    </dataValidation>
    <dataValidation type="list" allowBlank="1" showInputMessage="1" showErrorMessage="1" sqref="X1:X1048576 WMJ1:WMJ1048576 WCN1:WCN1048576 VSR1:VSR1048576 VIV1:VIV1048576 UYZ1:UYZ1048576 UPD1:UPD1048576 UFH1:UFH1048576 TVL1:TVL1048576 TLP1:TLP1048576 TBT1:TBT1048576 SRX1:SRX1048576 SIB1:SIB1048576 RYF1:RYF1048576 ROJ1:ROJ1048576 REN1:REN1048576 QUR1:QUR1048576 QKV1:QKV1048576 QAZ1:QAZ1048576 PRD1:PRD1048576 PHH1:PHH1048576 OXL1:OXL1048576 ONP1:ONP1048576 ODT1:ODT1048576 NTX1:NTX1048576 NKB1:NKB1048576 NAF1:NAF1048576 MQJ1:MQJ1048576 MGN1:MGN1048576 LWR1:LWR1048576 LMV1:LMV1048576 LCZ1:LCZ1048576 KTD1:KTD1048576 KJH1:KJH1048576 JZL1:JZL1048576 JPP1:JPP1048576 JFT1:JFT1048576 IVX1:IVX1048576 IMB1:IMB1048576 ICF1:ICF1048576 HSJ1:HSJ1048576 HIN1:HIN1048576 GYR1:GYR1048576 GOV1:GOV1048576 GEZ1:GEZ1048576 FVD1:FVD1048576 FLH1:FLH1048576 FBL1:FBL1048576 ERP1:ERP1048576 EHT1:EHT1048576 DXX1:DXX1048576 DOB1:DOB1048576 DEF1:DEF1048576 CUJ1:CUJ1048576 CKN1:CKN1048576 CAR1:CAR1048576 BQV1:BQV1048576 BGZ1:BGZ1048576 AXD1:AXD1048576 ANH1:ANH1048576 ADL1:ADL1048576 TP1:TP1048576 JT1:JT1048576 WWF1:WWF1048576 G1:G1048576 WLS1:WLS1048576 WBW1:WBW1048576 VSA1:VSA1048576 VIE1:VIE1048576 UYI1:UYI1048576 UOM1:UOM1048576 UEQ1:UEQ1048576 TUU1:TUU1048576 TKY1:TKY1048576 TBC1:TBC1048576 SRG1:SRG1048576 SHK1:SHK1048576 RXO1:RXO1048576 RNS1:RNS1048576 RDW1:RDW1048576 QUA1:QUA1048576 QKE1:QKE1048576 QAI1:QAI1048576 PQM1:PQM1048576 PGQ1:PGQ1048576 OWU1:OWU1048576 OMY1:OMY1048576 ODC1:ODC1048576 NTG1:NTG1048576 NJK1:NJK1048576 MZO1:MZO1048576 MPS1:MPS1048576 MFW1:MFW1048576 LWA1:LWA1048576 LME1:LME1048576 LCI1:LCI1048576 KSM1:KSM1048576 KIQ1:KIQ1048576 JYU1:JYU1048576 JOY1:JOY1048576 JFC1:JFC1048576 IVG1:IVG1048576 ILK1:ILK1048576 IBO1:IBO1048576 HRS1:HRS1048576 HHW1:HHW1048576 GYA1:GYA1048576 GOE1:GOE1048576 GEI1:GEI1048576 FUM1:FUM1048576 FKQ1:FKQ1048576 FAU1:FAU1048576 EQY1:EQY1048576 EHC1:EHC1048576 DXG1:DXG1048576 DNK1:DNK1048576 DDO1:DDO1048576 CTS1:CTS1048576 CJW1:CJW1048576 CAA1:CAA1048576 BQE1:BQE1048576 BGI1:BGI1048576 AWM1:AWM1048576 AMQ1:AMQ1048576 ACU1:ACU1048576 SY1:SY1048576 JC1:JC1048576 WVO1:WVO1048576" xr:uid="{23D93398-CC61-4317-88D0-988C5F4CC38A}">
      <formula1>#REF!</formula1>
    </dataValidation>
    <dataValidation type="list" allowBlank="1" showInputMessage="1" showErrorMessage="1" sqref="I1:I1048576 WLU1:WLU1048576 WBY1:WBY1048576 VSC1:VSC1048576 VIG1:VIG1048576 UYK1:UYK1048576 UOO1:UOO1048576 UES1:UES1048576 TUW1:TUW1048576 TLA1:TLA1048576 TBE1:TBE1048576 SRI1:SRI1048576 SHM1:SHM1048576 RXQ1:RXQ1048576 RNU1:RNU1048576 RDY1:RDY1048576 QUC1:QUC1048576 QKG1:QKG1048576 QAK1:QAK1048576 PQO1:PQO1048576 PGS1:PGS1048576 OWW1:OWW1048576 ONA1:ONA1048576 ODE1:ODE1048576 NTI1:NTI1048576 NJM1:NJM1048576 MZQ1:MZQ1048576 MPU1:MPU1048576 MFY1:MFY1048576 LWC1:LWC1048576 LMG1:LMG1048576 LCK1:LCK1048576 KSO1:KSO1048576 KIS1:KIS1048576 JYW1:JYW1048576 JPA1:JPA1048576 JFE1:JFE1048576 IVI1:IVI1048576 ILM1:ILM1048576 IBQ1:IBQ1048576 HRU1:HRU1048576 HHY1:HHY1048576 GYC1:GYC1048576 GOG1:GOG1048576 GEK1:GEK1048576 FUO1:FUO1048576 FKS1:FKS1048576 FAW1:FAW1048576 ERA1:ERA1048576 EHE1:EHE1048576 DXI1:DXI1048576 DNM1:DNM1048576 DDQ1:DDQ1048576 CTU1:CTU1048576 CJY1:CJY1048576 CAC1:CAC1048576 BQG1:BQG1048576 BGK1:BGK1048576 AWO1:AWO1048576 AMS1:AMS1048576 ACW1:ACW1048576 TA1:TA1048576 JE1:JE1048576 WVQ1:WVQ1048576" xr:uid="{F24A9650-6BE8-4DDD-A070-52C32BA46679}">
      <formula1>$AN$2:$AN$3</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2902-F2E4-4FFF-8980-FE46898CFA8A}">
  <dimension ref="A1:BA732"/>
  <sheetViews>
    <sheetView tabSelected="1" topLeftCell="A19" zoomScale="85" zoomScaleNormal="85" workbookViewId="0">
      <selection activeCell="Z56" sqref="Z56"/>
    </sheetView>
  </sheetViews>
  <sheetFormatPr defaultColWidth="9" defaultRowHeight="13.5" x14ac:dyDescent="0.15"/>
  <cols>
    <col min="1" max="3" width="9" style="109"/>
    <col min="4" max="4" width="10.42578125" style="109" customWidth="1"/>
    <col min="5" max="16" width="9" style="109"/>
    <col min="17" max="17" width="9" style="144"/>
    <col min="18" max="18" width="9" style="109"/>
    <col min="19" max="19" width="9.42578125" style="109" customWidth="1"/>
    <col min="20" max="20" width="9" style="144"/>
    <col min="21" max="21" width="9" style="109"/>
    <col min="22" max="22" width="9" style="144"/>
    <col min="23" max="23" width="10.42578125" style="109" customWidth="1"/>
    <col min="24" max="32" width="9" style="109"/>
    <col min="33" max="33" width="19.5703125" style="109" customWidth="1"/>
    <col min="34" max="34" width="9.42578125" style="109" customWidth="1"/>
    <col min="35" max="259" width="9" style="109"/>
    <col min="260" max="260" width="10.42578125" style="109" customWidth="1"/>
    <col min="261" max="274" width="9" style="109"/>
    <col min="275" max="275" width="9.42578125" style="109" customWidth="1"/>
    <col min="276" max="278" width="9" style="109"/>
    <col min="279" max="279" width="10.42578125" style="109" customWidth="1"/>
    <col min="280" max="515" width="9" style="109"/>
    <col min="516" max="516" width="10.42578125" style="109" customWidth="1"/>
    <col min="517" max="530" width="9" style="109"/>
    <col min="531" max="531" width="9.42578125" style="109" customWidth="1"/>
    <col min="532" max="534" width="9" style="109"/>
    <col min="535" max="535" width="10.42578125" style="109" customWidth="1"/>
    <col min="536" max="771" width="9" style="109"/>
    <col min="772" max="772" width="10.42578125" style="109" customWidth="1"/>
    <col min="773" max="786" width="9" style="109"/>
    <col min="787" max="787" width="9.42578125" style="109" customWidth="1"/>
    <col min="788" max="790" width="9" style="109"/>
    <col min="791" max="791" width="10.42578125" style="109" customWidth="1"/>
    <col min="792" max="1027" width="9" style="109"/>
    <col min="1028" max="1028" width="10.42578125" style="109" customWidth="1"/>
    <col min="1029" max="1042" width="9" style="109"/>
    <col min="1043" max="1043" width="9.42578125" style="109" customWidth="1"/>
    <col min="1044" max="1046" width="9" style="109"/>
    <col min="1047" max="1047" width="10.42578125" style="109" customWidth="1"/>
    <col min="1048" max="1283" width="9" style="109"/>
    <col min="1284" max="1284" width="10.42578125" style="109" customWidth="1"/>
    <col min="1285" max="1298" width="9" style="109"/>
    <col min="1299" max="1299" width="9.42578125" style="109" customWidth="1"/>
    <col min="1300" max="1302" width="9" style="109"/>
    <col min="1303" max="1303" width="10.42578125" style="109" customWidth="1"/>
    <col min="1304" max="1539" width="9" style="109"/>
    <col min="1540" max="1540" width="10.42578125" style="109" customWidth="1"/>
    <col min="1541" max="1554" width="9" style="109"/>
    <col min="1555" max="1555" width="9.42578125" style="109" customWidth="1"/>
    <col min="1556" max="1558" width="9" style="109"/>
    <col min="1559" max="1559" width="10.42578125" style="109" customWidth="1"/>
    <col min="1560" max="1795" width="9" style="109"/>
    <col min="1796" max="1796" width="10.42578125" style="109" customWidth="1"/>
    <col min="1797" max="1810" width="9" style="109"/>
    <col min="1811" max="1811" width="9.42578125" style="109" customWidth="1"/>
    <col min="1812" max="1814" width="9" style="109"/>
    <col min="1815" max="1815" width="10.42578125" style="109" customWidth="1"/>
    <col min="1816" max="2051" width="9" style="109"/>
    <col min="2052" max="2052" width="10.42578125" style="109" customWidth="1"/>
    <col min="2053" max="2066" width="9" style="109"/>
    <col min="2067" max="2067" width="9.42578125" style="109" customWidth="1"/>
    <col min="2068" max="2070" width="9" style="109"/>
    <col min="2071" max="2071" width="10.42578125" style="109" customWidth="1"/>
    <col min="2072" max="2307" width="9" style="109"/>
    <col min="2308" max="2308" width="10.42578125" style="109" customWidth="1"/>
    <col min="2309" max="2322" width="9" style="109"/>
    <col min="2323" max="2323" width="9.42578125" style="109" customWidth="1"/>
    <col min="2324" max="2326" width="9" style="109"/>
    <col min="2327" max="2327" width="10.42578125" style="109" customWidth="1"/>
    <col min="2328" max="2563" width="9" style="109"/>
    <col min="2564" max="2564" width="10.42578125" style="109" customWidth="1"/>
    <col min="2565" max="2578" width="9" style="109"/>
    <col min="2579" max="2579" width="9.42578125" style="109" customWidth="1"/>
    <col min="2580" max="2582" width="9" style="109"/>
    <col min="2583" max="2583" width="10.42578125" style="109" customWidth="1"/>
    <col min="2584" max="2819" width="9" style="109"/>
    <col min="2820" max="2820" width="10.42578125" style="109" customWidth="1"/>
    <col min="2821" max="2834" width="9" style="109"/>
    <col min="2835" max="2835" width="9.42578125" style="109" customWidth="1"/>
    <col min="2836" max="2838" width="9" style="109"/>
    <col min="2839" max="2839" width="10.42578125" style="109" customWidth="1"/>
    <col min="2840" max="3075" width="9" style="109"/>
    <col min="3076" max="3076" width="10.42578125" style="109" customWidth="1"/>
    <col min="3077" max="3090" width="9" style="109"/>
    <col min="3091" max="3091" width="9.42578125" style="109" customWidth="1"/>
    <col min="3092" max="3094" width="9" style="109"/>
    <col min="3095" max="3095" width="10.42578125" style="109" customWidth="1"/>
    <col min="3096" max="3331" width="9" style="109"/>
    <col min="3332" max="3332" width="10.42578125" style="109" customWidth="1"/>
    <col min="3333" max="3346" width="9" style="109"/>
    <col min="3347" max="3347" width="9.42578125" style="109" customWidth="1"/>
    <col min="3348" max="3350" width="9" style="109"/>
    <col min="3351" max="3351" width="10.42578125" style="109" customWidth="1"/>
    <col min="3352" max="3587" width="9" style="109"/>
    <col min="3588" max="3588" width="10.42578125" style="109" customWidth="1"/>
    <col min="3589" max="3602" width="9" style="109"/>
    <col min="3603" max="3603" width="9.42578125" style="109" customWidth="1"/>
    <col min="3604" max="3606" width="9" style="109"/>
    <col min="3607" max="3607" width="10.42578125" style="109" customWidth="1"/>
    <col min="3608" max="3843" width="9" style="109"/>
    <col min="3844" max="3844" width="10.42578125" style="109" customWidth="1"/>
    <col min="3845" max="3858" width="9" style="109"/>
    <col min="3859" max="3859" width="9.42578125" style="109" customWidth="1"/>
    <col min="3860" max="3862" width="9" style="109"/>
    <col min="3863" max="3863" width="10.42578125" style="109" customWidth="1"/>
    <col min="3864" max="4099" width="9" style="109"/>
    <col min="4100" max="4100" width="10.42578125" style="109" customWidth="1"/>
    <col min="4101" max="4114" width="9" style="109"/>
    <col min="4115" max="4115" width="9.42578125" style="109" customWidth="1"/>
    <col min="4116" max="4118" width="9" style="109"/>
    <col min="4119" max="4119" width="10.42578125" style="109" customWidth="1"/>
    <col min="4120" max="4355" width="9" style="109"/>
    <col min="4356" max="4356" width="10.42578125" style="109" customWidth="1"/>
    <col min="4357" max="4370" width="9" style="109"/>
    <col min="4371" max="4371" width="9.42578125" style="109" customWidth="1"/>
    <col min="4372" max="4374" width="9" style="109"/>
    <col min="4375" max="4375" width="10.42578125" style="109" customWidth="1"/>
    <col min="4376" max="4611" width="9" style="109"/>
    <col min="4612" max="4612" width="10.42578125" style="109" customWidth="1"/>
    <col min="4613" max="4626" width="9" style="109"/>
    <col min="4627" max="4627" width="9.42578125" style="109" customWidth="1"/>
    <col min="4628" max="4630" width="9" style="109"/>
    <col min="4631" max="4631" width="10.42578125" style="109" customWidth="1"/>
    <col min="4632" max="4867" width="9" style="109"/>
    <col min="4868" max="4868" width="10.42578125" style="109" customWidth="1"/>
    <col min="4869" max="4882" width="9" style="109"/>
    <col min="4883" max="4883" width="9.42578125" style="109" customWidth="1"/>
    <col min="4884" max="4886" width="9" style="109"/>
    <col min="4887" max="4887" width="10.42578125" style="109" customWidth="1"/>
    <col min="4888" max="5123" width="9" style="109"/>
    <col min="5124" max="5124" width="10.42578125" style="109" customWidth="1"/>
    <col min="5125" max="5138" width="9" style="109"/>
    <col min="5139" max="5139" width="9.42578125" style="109" customWidth="1"/>
    <col min="5140" max="5142" width="9" style="109"/>
    <col min="5143" max="5143" width="10.42578125" style="109" customWidth="1"/>
    <col min="5144" max="5379" width="9" style="109"/>
    <col min="5380" max="5380" width="10.42578125" style="109" customWidth="1"/>
    <col min="5381" max="5394" width="9" style="109"/>
    <col min="5395" max="5395" width="9.42578125" style="109" customWidth="1"/>
    <col min="5396" max="5398" width="9" style="109"/>
    <col min="5399" max="5399" width="10.42578125" style="109" customWidth="1"/>
    <col min="5400" max="5635" width="9" style="109"/>
    <col min="5636" max="5636" width="10.42578125" style="109" customWidth="1"/>
    <col min="5637" max="5650" width="9" style="109"/>
    <col min="5651" max="5651" width="9.42578125" style="109" customWidth="1"/>
    <col min="5652" max="5654" width="9" style="109"/>
    <col min="5655" max="5655" width="10.42578125" style="109" customWidth="1"/>
    <col min="5656" max="5891" width="9" style="109"/>
    <col min="5892" max="5892" width="10.42578125" style="109" customWidth="1"/>
    <col min="5893" max="5906" width="9" style="109"/>
    <col min="5907" max="5907" width="9.42578125" style="109" customWidth="1"/>
    <col min="5908" max="5910" width="9" style="109"/>
    <col min="5911" max="5911" width="10.42578125" style="109" customWidth="1"/>
    <col min="5912" max="6147" width="9" style="109"/>
    <col min="6148" max="6148" width="10.42578125" style="109" customWidth="1"/>
    <col min="6149" max="6162" width="9" style="109"/>
    <col min="6163" max="6163" width="9.42578125" style="109" customWidth="1"/>
    <col min="6164" max="6166" width="9" style="109"/>
    <col min="6167" max="6167" width="10.42578125" style="109" customWidth="1"/>
    <col min="6168" max="6403" width="9" style="109"/>
    <col min="6404" max="6404" width="10.42578125" style="109" customWidth="1"/>
    <col min="6405" max="6418" width="9" style="109"/>
    <col min="6419" max="6419" width="9.42578125" style="109" customWidth="1"/>
    <col min="6420" max="6422" width="9" style="109"/>
    <col min="6423" max="6423" width="10.42578125" style="109" customWidth="1"/>
    <col min="6424" max="6659" width="9" style="109"/>
    <col min="6660" max="6660" width="10.42578125" style="109" customWidth="1"/>
    <col min="6661" max="6674" width="9" style="109"/>
    <col min="6675" max="6675" width="9.42578125" style="109" customWidth="1"/>
    <col min="6676" max="6678" width="9" style="109"/>
    <col min="6679" max="6679" width="10.42578125" style="109" customWidth="1"/>
    <col min="6680" max="6915" width="9" style="109"/>
    <col min="6916" max="6916" width="10.42578125" style="109" customWidth="1"/>
    <col min="6917" max="6930" width="9" style="109"/>
    <col min="6931" max="6931" width="9.42578125" style="109" customWidth="1"/>
    <col min="6932" max="6934" width="9" style="109"/>
    <col min="6935" max="6935" width="10.42578125" style="109" customWidth="1"/>
    <col min="6936" max="7171" width="9" style="109"/>
    <col min="7172" max="7172" width="10.42578125" style="109" customWidth="1"/>
    <col min="7173" max="7186" width="9" style="109"/>
    <col min="7187" max="7187" width="9.42578125" style="109" customWidth="1"/>
    <col min="7188" max="7190" width="9" style="109"/>
    <col min="7191" max="7191" width="10.42578125" style="109" customWidth="1"/>
    <col min="7192" max="7427" width="9" style="109"/>
    <col min="7428" max="7428" width="10.42578125" style="109" customWidth="1"/>
    <col min="7429" max="7442" width="9" style="109"/>
    <col min="7443" max="7443" width="9.42578125" style="109" customWidth="1"/>
    <col min="7444" max="7446" width="9" style="109"/>
    <col min="7447" max="7447" width="10.42578125" style="109" customWidth="1"/>
    <col min="7448" max="7683" width="9" style="109"/>
    <col min="7684" max="7684" width="10.42578125" style="109" customWidth="1"/>
    <col min="7685" max="7698" width="9" style="109"/>
    <col min="7699" max="7699" width="9.42578125" style="109" customWidth="1"/>
    <col min="7700" max="7702" width="9" style="109"/>
    <col min="7703" max="7703" width="10.42578125" style="109" customWidth="1"/>
    <col min="7704" max="7939" width="9" style="109"/>
    <col min="7940" max="7940" width="10.42578125" style="109" customWidth="1"/>
    <col min="7941" max="7954" width="9" style="109"/>
    <col min="7955" max="7955" width="9.42578125" style="109" customWidth="1"/>
    <col min="7956" max="7958" width="9" style="109"/>
    <col min="7959" max="7959" width="10.42578125" style="109" customWidth="1"/>
    <col min="7960" max="8195" width="9" style="109"/>
    <col min="8196" max="8196" width="10.42578125" style="109" customWidth="1"/>
    <col min="8197" max="8210" width="9" style="109"/>
    <col min="8211" max="8211" width="9.42578125" style="109" customWidth="1"/>
    <col min="8212" max="8214" width="9" style="109"/>
    <col min="8215" max="8215" width="10.42578125" style="109" customWidth="1"/>
    <col min="8216" max="8451" width="9" style="109"/>
    <col min="8452" max="8452" width="10.42578125" style="109" customWidth="1"/>
    <col min="8453" max="8466" width="9" style="109"/>
    <col min="8467" max="8467" width="9.42578125" style="109" customWidth="1"/>
    <col min="8468" max="8470" width="9" style="109"/>
    <col min="8471" max="8471" width="10.42578125" style="109" customWidth="1"/>
    <col min="8472" max="8707" width="9" style="109"/>
    <col min="8708" max="8708" width="10.42578125" style="109" customWidth="1"/>
    <col min="8709" max="8722" width="9" style="109"/>
    <col min="8723" max="8723" width="9.42578125" style="109" customWidth="1"/>
    <col min="8724" max="8726" width="9" style="109"/>
    <col min="8727" max="8727" width="10.42578125" style="109" customWidth="1"/>
    <col min="8728" max="8963" width="9" style="109"/>
    <col min="8964" max="8964" width="10.42578125" style="109" customWidth="1"/>
    <col min="8965" max="8978" width="9" style="109"/>
    <col min="8979" max="8979" width="9.42578125" style="109" customWidth="1"/>
    <col min="8980" max="8982" width="9" style="109"/>
    <col min="8983" max="8983" width="10.42578125" style="109" customWidth="1"/>
    <col min="8984" max="9219" width="9" style="109"/>
    <col min="9220" max="9220" width="10.42578125" style="109" customWidth="1"/>
    <col min="9221" max="9234" width="9" style="109"/>
    <col min="9235" max="9235" width="9.42578125" style="109" customWidth="1"/>
    <col min="9236" max="9238" width="9" style="109"/>
    <col min="9239" max="9239" width="10.42578125" style="109" customWidth="1"/>
    <col min="9240" max="9475" width="9" style="109"/>
    <col min="9476" max="9476" width="10.42578125" style="109" customWidth="1"/>
    <col min="9477" max="9490" width="9" style="109"/>
    <col min="9491" max="9491" width="9.42578125" style="109" customWidth="1"/>
    <col min="9492" max="9494" width="9" style="109"/>
    <col min="9495" max="9495" width="10.42578125" style="109" customWidth="1"/>
    <col min="9496" max="9731" width="9" style="109"/>
    <col min="9732" max="9732" width="10.42578125" style="109" customWidth="1"/>
    <col min="9733" max="9746" width="9" style="109"/>
    <col min="9747" max="9747" width="9.42578125" style="109" customWidth="1"/>
    <col min="9748" max="9750" width="9" style="109"/>
    <col min="9751" max="9751" width="10.42578125" style="109" customWidth="1"/>
    <col min="9752" max="9987" width="9" style="109"/>
    <col min="9988" max="9988" width="10.42578125" style="109" customWidth="1"/>
    <col min="9989" max="10002" width="9" style="109"/>
    <col min="10003" max="10003" width="9.42578125" style="109" customWidth="1"/>
    <col min="10004" max="10006" width="9" style="109"/>
    <col min="10007" max="10007" width="10.42578125" style="109" customWidth="1"/>
    <col min="10008" max="10243" width="9" style="109"/>
    <col min="10244" max="10244" width="10.42578125" style="109" customWidth="1"/>
    <col min="10245" max="10258" width="9" style="109"/>
    <col min="10259" max="10259" width="9.42578125" style="109" customWidth="1"/>
    <col min="10260" max="10262" width="9" style="109"/>
    <col min="10263" max="10263" width="10.42578125" style="109" customWidth="1"/>
    <col min="10264" max="10499" width="9" style="109"/>
    <col min="10500" max="10500" width="10.42578125" style="109" customWidth="1"/>
    <col min="10501" max="10514" width="9" style="109"/>
    <col min="10515" max="10515" width="9.42578125" style="109" customWidth="1"/>
    <col min="10516" max="10518" width="9" style="109"/>
    <col min="10519" max="10519" width="10.42578125" style="109" customWidth="1"/>
    <col min="10520" max="10755" width="9" style="109"/>
    <col min="10756" max="10756" width="10.42578125" style="109" customWidth="1"/>
    <col min="10757" max="10770" width="9" style="109"/>
    <col min="10771" max="10771" width="9.42578125" style="109" customWidth="1"/>
    <col min="10772" max="10774" width="9" style="109"/>
    <col min="10775" max="10775" width="10.42578125" style="109" customWidth="1"/>
    <col min="10776" max="11011" width="9" style="109"/>
    <col min="11012" max="11012" width="10.42578125" style="109" customWidth="1"/>
    <col min="11013" max="11026" width="9" style="109"/>
    <col min="11027" max="11027" width="9.42578125" style="109" customWidth="1"/>
    <col min="11028" max="11030" width="9" style="109"/>
    <col min="11031" max="11031" width="10.42578125" style="109" customWidth="1"/>
    <col min="11032" max="11267" width="9" style="109"/>
    <col min="11268" max="11268" width="10.42578125" style="109" customWidth="1"/>
    <col min="11269" max="11282" width="9" style="109"/>
    <col min="11283" max="11283" width="9.42578125" style="109" customWidth="1"/>
    <col min="11284" max="11286" width="9" style="109"/>
    <col min="11287" max="11287" width="10.42578125" style="109" customWidth="1"/>
    <col min="11288" max="11523" width="9" style="109"/>
    <col min="11524" max="11524" width="10.42578125" style="109" customWidth="1"/>
    <col min="11525" max="11538" width="9" style="109"/>
    <col min="11539" max="11539" width="9.42578125" style="109" customWidth="1"/>
    <col min="11540" max="11542" width="9" style="109"/>
    <col min="11543" max="11543" width="10.42578125" style="109" customWidth="1"/>
    <col min="11544" max="11779" width="9" style="109"/>
    <col min="11780" max="11780" width="10.42578125" style="109" customWidth="1"/>
    <col min="11781" max="11794" width="9" style="109"/>
    <col min="11795" max="11795" width="9.42578125" style="109" customWidth="1"/>
    <col min="11796" max="11798" width="9" style="109"/>
    <col min="11799" max="11799" width="10.42578125" style="109" customWidth="1"/>
    <col min="11800" max="12035" width="9" style="109"/>
    <col min="12036" max="12036" width="10.42578125" style="109" customWidth="1"/>
    <col min="12037" max="12050" width="9" style="109"/>
    <col min="12051" max="12051" width="9.42578125" style="109" customWidth="1"/>
    <col min="12052" max="12054" width="9" style="109"/>
    <col min="12055" max="12055" width="10.42578125" style="109" customWidth="1"/>
    <col min="12056" max="12291" width="9" style="109"/>
    <col min="12292" max="12292" width="10.42578125" style="109" customWidth="1"/>
    <col min="12293" max="12306" width="9" style="109"/>
    <col min="12307" max="12307" width="9.42578125" style="109" customWidth="1"/>
    <col min="12308" max="12310" width="9" style="109"/>
    <col min="12311" max="12311" width="10.42578125" style="109" customWidth="1"/>
    <col min="12312" max="12547" width="9" style="109"/>
    <col min="12548" max="12548" width="10.42578125" style="109" customWidth="1"/>
    <col min="12549" max="12562" width="9" style="109"/>
    <col min="12563" max="12563" width="9.42578125" style="109" customWidth="1"/>
    <col min="12564" max="12566" width="9" style="109"/>
    <col min="12567" max="12567" width="10.42578125" style="109" customWidth="1"/>
    <col min="12568" max="12803" width="9" style="109"/>
    <col min="12804" max="12804" width="10.42578125" style="109" customWidth="1"/>
    <col min="12805" max="12818" width="9" style="109"/>
    <col min="12819" max="12819" width="9.42578125" style="109" customWidth="1"/>
    <col min="12820" max="12822" width="9" style="109"/>
    <col min="12823" max="12823" width="10.42578125" style="109" customWidth="1"/>
    <col min="12824" max="13059" width="9" style="109"/>
    <col min="13060" max="13060" width="10.42578125" style="109" customWidth="1"/>
    <col min="13061" max="13074" width="9" style="109"/>
    <col min="13075" max="13075" width="9.42578125" style="109" customWidth="1"/>
    <col min="13076" max="13078" width="9" style="109"/>
    <col min="13079" max="13079" width="10.42578125" style="109" customWidth="1"/>
    <col min="13080" max="13315" width="9" style="109"/>
    <col min="13316" max="13316" width="10.42578125" style="109" customWidth="1"/>
    <col min="13317" max="13330" width="9" style="109"/>
    <col min="13331" max="13331" width="9.42578125" style="109" customWidth="1"/>
    <col min="13332" max="13334" width="9" style="109"/>
    <col min="13335" max="13335" width="10.42578125" style="109" customWidth="1"/>
    <col min="13336" max="13571" width="9" style="109"/>
    <col min="13572" max="13572" width="10.42578125" style="109" customWidth="1"/>
    <col min="13573" max="13586" width="9" style="109"/>
    <col min="13587" max="13587" width="9.42578125" style="109" customWidth="1"/>
    <col min="13588" max="13590" width="9" style="109"/>
    <col min="13591" max="13591" width="10.42578125" style="109" customWidth="1"/>
    <col min="13592" max="13827" width="9" style="109"/>
    <col min="13828" max="13828" width="10.42578125" style="109" customWidth="1"/>
    <col min="13829" max="13842" width="9" style="109"/>
    <col min="13843" max="13843" width="9.42578125" style="109" customWidth="1"/>
    <col min="13844" max="13846" width="9" style="109"/>
    <col min="13847" max="13847" width="10.42578125" style="109" customWidth="1"/>
    <col min="13848" max="14083" width="9" style="109"/>
    <col min="14084" max="14084" width="10.42578125" style="109" customWidth="1"/>
    <col min="14085" max="14098" width="9" style="109"/>
    <col min="14099" max="14099" width="9.42578125" style="109" customWidth="1"/>
    <col min="14100" max="14102" width="9" style="109"/>
    <col min="14103" max="14103" width="10.42578125" style="109" customWidth="1"/>
    <col min="14104" max="14339" width="9" style="109"/>
    <col min="14340" max="14340" width="10.42578125" style="109" customWidth="1"/>
    <col min="14341" max="14354" width="9" style="109"/>
    <col min="14355" max="14355" width="9.42578125" style="109" customWidth="1"/>
    <col min="14356" max="14358" width="9" style="109"/>
    <col min="14359" max="14359" width="10.42578125" style="109" customWidth="1"/>
    <col min="14360" max="14595" width="9" style="109"/>
    <col min="14596" max="14596" width="10.42578125" style="109" customWidth="1"/>
    <col min="14597" max="14610" width="9" style="109"/>
    <col min="14611" max="14611" width="9.42578125" style="109" customWidth="1"/>
    <col min="14612" max="14614" width="9" style="109"/>
    <col min="14615" max="14615" width="10.42578125" style="109" customWidth="1"/>
    <col min="14616" max="14851" width="9" style="109"/>
    <col min="14852" max="14852" width="10.42578125" style="109" customWidth="1"/>
    <col min="14853" max="14866" width="9" style="109"/>
    <col min="14867" max="14867" width="9.42578125" style="109" customWidth="1"/>
    <col min="14868" max="14870" width="9" style="109"/>
    <col min="14871" max="14871" width="10.42578125" style="109" customWidth="1"/>
    <col min="14872" max="15107" width="9" style="109"/>
    <col min="15108" max="15108" width="10.42578125" style="109" customWidth="1"/>
    <col min="15109" max="15122" width="9" style="109"/>
    <col min="15123" max="15123" width="9.42578125" style="109" customWidth="1"/>
    <col min="15124" max="15126" width="9" style="109"/>
    <col min="15127" max="15127" width="10.42578125" style="109" customWidth="1"/>
    <col min="15128" max="15363" width="9" style="109"/>
    <col min="15364" max="15364" width="10.42578125" style="109" customWidth="1"/>
    <col min="15365" max="15378" width="9" style="109"/>
    <col min="15379" max="15379" width="9.42578125" style="109" customWidth="1"/>
    <col min="15380" max="15382" width="9" style="109"/>
    <col min="15383" max="15383" width="10.42578125" style="109" customWidth="1"/>
    <col min="15384" max="15619" width="9" style="109"/>
    <col min="15620" max="15620" width="10.42578125" style="109" customWidth="1"/>
    <col min="15621" max="15634" width="9" style="109"/>
    <col min="15635" max="15635" width="9.42578125" style="109" customWidth="1"/>
    <col min="15636" max="15638" width="9" style="109"/>
    <col min="15639" max="15639" width="10.42578125" style="109" customWidth="1"/>
    <col min="15640" max="15875" width="9" style="109"/>
    <col min="15876" max="15876" width="10.42578125" style="109" customWidth="1"/>
    <col min="15877" max="15890" width="9" style="109"/>
    <col min="15891" max="15891" width="9.42578125" style="109" customWidth="1"/>
    <col min="15892" max="15894" width="9" style="109"/>
    <col min="15895" max="15895" width="10.42578125" style="109" customWidth="1"/>
    <col min="15896" max="16131" width="9" style="109"/>
    <col min="16132" max="16132" width="10.42578125" style="109" customWidth="1"/>
    <col min="16133" max="16146" width="9" style="109"/>
    <col min="16147" max="16147" width="9.42578125" style="109" customWidth="1"/>
    <col min="16148" max="16150" width="9" style="109"/>
    <col min="16151" max="16151" width="10.42578125" style="109" customWidth="1"/>
    <col min="16152" max="16384" width="9" style="109"/>
  </cols>
  <sheetData>
    <row r="1" spans="1:53" ht="45" x14ac:dyDescent="0.15">
      <c r="A1" s="100" t="s">
        <v>0</v>
      </c>
      <c r="B1" s="101" t="s">
        <v>168</v>
      </c>
      <c r="C1" s="101" t="s">
        <v>169</v>
      </c>
      <c r="D1" s="102" t="s">
        <v>3</v>
      </c>
      <c r="E1" s="103" t="s">
        <v>4</v>
      </c>
      <c r="F1" s="103" t="s">
        <v>5</v>
      </c>
      <c r="G1" s="103" t="s">
        <v>6</v>
      </c>
      <c r="H1" s="103" t="s">
        <v>7</v>
      </c>
      <c r="I1" s="103" t="s">
        <v>8</v>
      </c>
      <c r="J1" s="103" t="s">
        <v>9</v>
      </c>
      <c r="K1" s="103" t="s">
        <v>10</v>
      </c>
      <c r="L1" s="102" t="s">
        <v>170</v>
      </c>
      <c r="M1" s="102" t="s">
        <v>171</v>
      </c>
      <c r="N1" s="102" t="s">
        <v>13</v>
      </c>
      <c r="O1" s="102" t="s">
        <v>172</v>
      </c>
      <c r="P1" s="102" t="s">
        <v>173</v>
      </c>
      <c r="Q1" s="104" t="s">
        <v>174</v>
      </c>
      <c r="R1" s="102" t="s">
        <v>175</v>
      </c>
      <c r="S1" s="102" t="s">
        <v>176</v>
      </c>
      <c r="T1" s="104" t="s">
        <v>19</v>
      </c>
      <c r="U1" s="105" t="s">
        <v>108</v>
      </c>
      <c r="V1" s="106" t="s">
        <v>20</v>
      </c>
      <c r="W1" s="102" t="s">
        <v>177</v>
      </c>
      <c r="X1" s="103" t="s">
        <v>22</v>
      </c>
      <c r="Y1" s="103" t="s">
        <v>23</v>
      </c>
      <c r="Z1" s="103" t="s">
        <v>24</v>
      </c>
      <c r="AA1" s="107" t="s">
        <v>25</v>
      </c>
      <c r="AB1" s="108" t="s">
        <v>178</v>
      </c>
      <c r="AE1" s="110" t="s">
        <v>0</v>
      </c>
      <c r="AF1" s="111"/>
      <c r="AG1" s="110" t="s">
        <v>4</v>
      </c>
      <c r="AH1" s="110" t="s">
        <v>5</v>
      </c>
      <c r="AI1" s="111"/>
      <c r="AJ1" s="110" t="s">
        <v>6</v>
      </c>
      <c r="AK1" s="111"/>
      <c r="AL1" s="112" t="s">
        <v>7</v>
      </c>
      <c r="AM1" s="111"/>
      <c r="AN1" s="112" t="s">
        <v>8</v>
      </c>
      <c r="AO1" s="111"/>
      <c r="AP1" s="112" t="s">
        <v>27</v>
      </c>
      <c r="AQ1" s="111"/>
      <c r="AR1" s="112" t="s">
        <v>10</v>
      </c>
      <c r="AS1" s="111"/>
      <c r="AT1" s="113" t="s">
        <v>179</v>
      </c>
      <c r="AU1" s="111"/>
      <c r="AV1" s="112" t="s">
        <v>29</v>
      </c>
      <c r="AX1" s="114" t="s">
        <v>256</v>
      </c>
      <c r="AY1" s="115" t="s">
        <v>181</v>
      </c>
      <c r="AZ1" s="115" t="s">
        <v>257</v>
      </c>
      <c r="BA1" s="116" t="s">
        <v>183</v>
      </c>
    </row>
    <row r="2" spans="1:53" s="117" customFormat="1" x14ac:dyDescent="0.15">
      <c r="A2" s="117" t="s">
        <v>51</v>
      </c>
      <c r="B2" s="117" t="s">
        <v>157</v>
      </c>
      <c r="C2" s="117">
        <v>2019</v>
      </c>
      <c r="D2" s="118" t="s">
        <v>258</v>
      </c>
      <c r="E2" s="117" t="s">
        <v>259</v>
      </c>
      <c r="F2" s="117" t="s">
        <v>260</v>
      </c>
      <c r="G2" s="117" t="s">
        <v>42</v>
      </c>
      <c r="H2" s="117" t="s">
        <v>188</v>
      </c>
      <c r="I2" s="117" t="s">
        <v>161</v>
      </c>
      <c r="J2" s="117" t="s">
        <v>53</v>
      </c>
      <c r="L2" s="117">
        <v>1</v>
      </c>
      <c r="N2" s="117">
        <v>1</v>
      </c>
      <c r="O2" s="117">
        <v>1.1000000000000001</v>
      </c>
      <c r="P2" s="117">
        <v>1.05</v>
      </c>
      <c r="Q2" s="119">
        <f t="shared" ref="Q2:Q65" si="0">IF(OR(O2="",P2=""),"",AVERAGE(O2,P2))</f>
        <v>1.0750000000000002</v>
      </c>
      <c r="R2" s="117">
        <v>12.2</v>
      </c>
      <c r="S2" s="117">
        <v>122</v>
      </c>
      <c r="T2" s="120">
        <f t="shared" ref="T2:T65" si="1">IF(H2="","",IF(OR(H2="GREEN",H2="GK"),IF(S2&gt;=$AX$2,VLOOKUP(S2,$AX$2:$AY$12,2,1),""),IF(S2&gt;=$AZ$2,VLOOKUP(S2,$AZ$2:$BA$12,2,1),"")))</f>
        <v>27</v>
      </c>
      <c r="U2" s="117">
        <v>98</v>
      </c>
      <c r="V2" s="121">
        <f t="shared" ref="V2:V65" si="2">IF(OR(N2="",U2="",T2=""),"",U2/N2*T2)</f>
        <v>2646</v>
      </c>
      <c r="W2" s="117">
        <v>6</v>
      </c>
      <c r="X2" s="117" t="s">
        <v>46</v>
      </c>
      <c r="Y2" s="117" t="s">
        <v>69</v>
      </c>
      <c r="Z2" s="117" t="s">
        <v>40</v>
      </c>
      <c r="AA2" s="117" t="s">
        <v>47</v>
      </c>
      <c r="AB2" s="54" t="s">
        <v>160</v>
      </c>
      <c r="AE2" s="122" t="s">
        <v>35</v>
      </c>
      <c r="AG2" s="123" t="s">
        <v>212</v>
      </c>
      <c r="AH2" s="123" t="s">
        <v>261</v>
      </c>
      <c r="AJ2" s="123" t="s">
        <v>36</v>
      </c>
      <c r="AL2" s="123" t="s">
        <v>188</v>
      </c>
      <c r="AN2" s="123" t="s">
        <v>37</v>
      </c>
      <c r="AP2" s="123" t="s">
        <v>38</v>
      </c>
      <c r="AR2" s="123" t="s">
        <v>163</v>
      </c>
      <c r="AT2" s="123" t="s">
        <v>39</v>
      </c>
      <c r="AV2" s="123" t="s">
        <v>40</v>
      </c>
      <c r="AX2" s="124">
        <v>1</v>
      </c>
      <c r="AY2" s="125">
        <v>50</v>
      </c>
      <c r="AZ2" s="125">
        <v>1</v>
      </c>
      <c r="BA2" s="126">
        <v>50</v>
      </c>
    </row>
    <row r="3" spans="1:53" s="127" customFormat="1" x14ac:dyDescent="0.15">
      <c r="A3" s="117" t="s">
        <v>51</v>
      </c>
      <c r="B3" s="117" t="s">
        <v>157</v>
      </c>
      <c r="C3" s="117">
        <v>2019</v>
      </c>
      <c r="D3" s="118" t="s">
        <v>258</v>
      </c>
      <c r="E3" s="117" t="s">
        <v>259</v>
      </c>
      <c r="F3" s="117" t="s">
        <v>260</v>
      </c>
      <c r="G3" s="117" t="s">
        <v>42</v>
      </c>
      <c r="H3" s="117" t="s">
        <v>188</v>
      </c>
      <c r="I3" s="117" t="s">
        <v>161</v>
      </c>
      <c r="J3" s="117" t="s">
        <v>53</v>
      </c>
      <c r="K3" s="117"/>
      <c r="L3" s="117">
        <v>2</v>
      </c>
      <c r="M3" s="117"/>
      <c r="N3" s="117">
        <v>1</v>
      </c>
      <c r="O3" s="117">
        <v>0.8</v>
      </c>
      <c r="P3" s="117">
        <v>0.7</v>
      </c>
      <c r="Q3" s="119">
        <f t="shared" si="0"/>
        <v>0.75</v>
      </c>
      <c r="R3" s="117">
        <v>11.3</v>
      </c>
      <c r="S3" s="117">
        <v>122</v>
      </c>
      <c r="T3" s="120">
        <f t="shared" si="1"/>
        <v>27</v>
      </c>
      <c r="U3" s="117">
        <v>98</v>
      </c>
      <c r="V3" s="121">
        <f t="shared" si="2"/>
        <v>2646</v>
      </c>
      <c r="W3" s="117">
        <v>6</v>
      </c>
      <c r="X3" s="117" t="s">
        <v>46</v>
      </c>
      <c r="Y3" s="117" t="s">
        <v>69</v>
      </c>
      <c r="Z3" s="117" t="s">
        <v>40</v>
      </c>
      <c r="AA3" s="117" t="s">
        <v>47</v>
      </c>
      <c r="AB3" s="54" t="s">
        <v>160</v>
      </c>
      <c r="AE3" s="128" t="s">
        <v>41</v>
      </c>
      <c r="AG3" s="123" t="s">
        <v>262</v>
      </c>
      <c r="AH3" s="123" t="s">
        <v>263</v>
      </c>
      <c r="AJ3" s="129" t="s">
        <v>42</v>
      </c>
      <c r="AL3" s="129" t="s">
        <v>190</v>
      </c>
      <c r="AN3" s="129" t="s">
        <v>43</v>
      </c>
      <c r="AP3" s="129" t="s">
        <v>44</v>
      </c>
      <c r="AR3" s="130" t="s">
        <v>45</v>
      </c>
      <c r="AT3" s="129" t="s">
        <v>46</v>
      </c>
      <c r="AV3" s="129" t="s">
        <v>47</v>
      </c>
      <c r="AX3" s="131">
        <v>72</v>
      </c>
      <c r="AY3" s="132">
        <v>46</v>
      </c>
      <c r="AZ3" s="132">
        <v>71</v>
      </c>
      <c r="BA3" s="133">
        <v>42</v>
      </c>
    </row>
    <row r="4" spans="1:53" s="127" customFormat="1" x14ac:dyDescent="0.15">
      <c r="A4" s="117" t="s">
        <v>51</v>
      </c>
      <c r="B4" s="117" t="s">
        <v>157</v>
      </c>
      <c r="C4" s="117">
        <v>2019</v>
      </c>
      <c r="D4" s="118" t="s">
        <v>258</v>
      </c>
      <c r="E4" s="117" t="s">
        <v>259</v>
      </c>
      <c r="F4" s="117" t="s">
        <v>260</v>
      </c>
      <c r="G4" s="117" t="s">
        <v>42</v>
      </c>
      <c r="H4" s="117" t="s">
        <v>188</v>
      </c>
      <c r="I4" s="117" t="s">
        <v>161</v>
      </c>
      <c r="J4" s="117" t="s">
        <v>53</v>
      </c>
      <c r="K4" s="117"/>
      <c r="L4" s="117">
        <v>3</v>
      </c>
      <c r="M4" s="117"/>
      <c r="N4" s="117">
        <v>1</v>
      </c>
      <c r="O4" s="117">
        <v>0.95</v>
      </c>
      <c r="P4" s="117">
        <v>1</v>
      </c>
      <c r="Q4" s="119">
        <f t="shared" si="0"/>
        <v>0.97499999999999998</v>
      </c>
      <c r="R4" s="117">
        <v>11.8</v>
      </c>
      <c r="S4" s="117">
        <v>122</v>
      </c>
      <c r="T4" s="120">
        <f t="shared" si="1"/>
        <v>27</v>
      </c>
      <c r="U4" s="117">
        <v>98</v>
      </c>
      <c r="V4" s="121">
        <f t="shared" si="2"/>
        <v>2646</v>
      </c>
      <c r="W4" s="117">
        <v>6</v>
      </c>
      <c r="X4" s="117" t="s">
        <v>46</v>
      </c>
      <c r="Y4" s="117" t="s">
        <v>69</v>
      </c>
      <c r="Z4" s="117" t="s">
        <v>40</v>
      </c>
      <c r="AA4" s="117" t="s">
        <v>47</v>
      </c>
      <c r="AB4" s="54" t="s">
        <v>160</v>
      </c>
      <c r="AE4" s="128" t="s">
        <v>34</v>
      </c>
      <c r="AG4" s="123" t="s">
        <v>264</v>
      </c>
      <c r="AH4" s="123" t="s">
        <v>265</v>
      </c>
      <c r="AJ4" s="134" t="s">
        <v>48</v>
      </c>
      <c r="AL4" s="134" t="s">
        <v>193</v>
      </c>
      <c r="AN4" s="135" t="s">
        <v>194</v>
      </c>
      <c r="AP4" s="129" t="s">
        <v>195</v>
      </c>
      <c r="AR4" s="130" t="s">
        <v>196</v>
      </c>
      <c r="AT4" s="135"/>
      <c r="AV4" s="129" t="s">
        <v>50</v>
      </c>
      <c r="AX4" s="131">
        <v>75</v>
      </c>
      <c r="AY4" s="132">
        <v>42</v>
      </c>
      <c r="AZ4" s="132">
        <v>76</v>
      </c>
      <c r="BA4" s="133">
        <v>39</v>
      </c>
    </row>
    <row r="5" spans="1:53" s="127" customFormat="1" x14ac:dyDescent="0.15">
      <c r="A5" s="117" t="s">
        <v>51</v>
      </c>
      <c r="B5" s="117" t="s">
        <v>157</v>
      </c>
      <c r="C5" s="117">
        <v>2019</v>
      </c>
      <c r="D5" s="118" t="s">
        <v>258</v>
      </c>
      <c r="E5" s="117" t="s">
        <v>259</v>
      </c>
      <c r="F5" s="117" t="s">
        <v>260</v>
      </c>
      <c r="G5" s="117" t="s">
        <v>42</v>
      </c>
      <c r="H5" s="117" t="s">
        <v>162</v>
      </c>
      <c r="I5" s="117" t="s">
        <v>161</v>
      </c>
      <c r="J5" s="117" t="s">
        <v>38</v>
      </c>
      <c r="K5" s="117"/>
      <c r="L5" s="117">
        <v>1</v>
      </c>
      <c r="M5" s="117"/>
      <c r="N5" s="117">
        <v>1</v>
      </c>
      <c r="O5" s="117">
        <v>0.8</v>
      </c>
      <c r="P5" s="117">
        <v>0.8</v>
      </c>
      <c r="Q5" s="119">
        <f t="shared" si="0"/>
        <v>0.8</v>
      </c>
      <c r="R5" s="117">
        <v>17.100000000000001</v>
      </c>
      <c r="S5" s="117">
        <v>138</v>
      </c>
      <c r="T5" s="120">
        <f t="shared" si="1"/>
        <v>22</v>
      </c>
      <c r="U5" s="117">
        <v>138</v>
      </c>
      <c r="V5" s="121">
        <f t="shared" si="2"/>
        <v>3036</v>
      </c>
      <c r="W5" s="117">
        <v>6</v>
      </c>
      <c r="X5" s="117" t="s">
        <v>46</v>
      </c>
      <c r="Y5" s="117" t="s">
        <v>69</v>
      </c>
      <c r="Z5" s="117" t="s">
        <v>40</v>
      </c>
      <c r="AA5" s="117" t="s">
        <v>47</v>
      </c>
      <c r="AB5" s="54" t="s">
        <v>160</v>
      </c>
      <c r="AE5" s="128" t="s">
        <v>51</v>
      </c>
      <c r="AG5" s="123" t="s">
        <v>266</v>
      </c>
      <c r="AH5" s="123" t="s">
        <v>260</v>
      </c>
      <c r="AJ5" s="135"/>
      <c r="AL5" s="136" t="s">
        <v>186</v>
      </c>
      <c r="AN5" s="136" t="s">
        <v>161</v>
      </c>
      <c r="AP5" s="129" t="s">
        <v>198</v>
      </c>
      <c r="AR5" s="130" t="s">
        <v>54</v>
      </c>
      <c r="AV5" s="129" t="s">
        <v>55</v>
      </c>
      <c r="AX5" s="131">
        <v>84</v>
      </c>
      <c r="AY5" s="132">
        <v>39</v>
      </c>
      <c r="AZ5" s="132">
        <v>84</v>
      </c>
      <c r="BA5" s="133">
        <v>36</v>
      </c>
    </row>
    <row r="6" spans="1:53" s="127" customFormat="1" x14ac:dyDescent="0.15">
      <c r="A6" s="117" t="s">
        <v>51</v>
      </c>
      <c r="B6" s="117" t="s">
        <v>157</v>
      </c>
      <c r="C6" s="117">
        <v>2019</v>
      </c>
      <c r="D6" s="118" t="s">
        <v>258</v>
      </c>
      <c r="E6" s="117" t="s">
        <v>259</v>
      </c>
      <c r="F6" s="117" t="s">
        <v>260</v>
      </c>
      <c r="G6" s="117" t="s">
        <v>42</v>
      </c>
      <c r="H6" s="117" t="s">
        <v>162</v>
      </c>
      <c r="I6" s="117" t="s">
        <v>161</v>
      </c>
      <c r="J6" s="117" t="s">
        <v>38</v>
      </c>
      <c r="K6" s="117"/>
      <c r="L6" s="117">
        <v>2</v>
      </c>
      <c r="M6" s="117"/>
      <c r="N6" s="117">
        <v>1</v>
      </c>
      <c r="O6" s="117">
        <v>0.7</v>
      </c>
      <c r="P6" s="117">
        <v>0.85</v>
      </c>
      <c r="Q6" s="119">
        <f t="shared" si="0"/>
        <v>0.77499999999999991</v>
      </c>
      <c r="R6" s="117">
        <v>15.7</v>
      </c>
      <c r="S6" s="117">
        <v>126</v>
      </c>
      <c r="T6" s="120">
        <f t="shared" si="1"/>
        <v>27</v>
      </c>
      <c r="U6" s="117">
        <v>138</v>
      </c>
      <c r="V6" s="121">
        <f t="shared" si="2"/>
        <v>3726</v>
      </c>
      <c r="W6" s="117">
        <v>6</v>
      </c>
      <c r="X6" s="117" t="s">
        <v>46</v>
      </c>
      <c r="Y6" s="117" t="s">
        <v>69</v>
      </c>
      <c r="Z6" s="117" t="s">
        <v>40</v>
      </c>
      <c r="AA6" s="117" t="s">
        <v>47</v>
      </c>
      <c r="AB6" s="54" t="s">
        <v>160</v>
      </c>
      <c r="AE6" s="128" t="s">
        <v>56</v>
      </c>
      <c r="AG6" s="123" t="s">
        <v>267</v>
      </c>
      <c r="AH6" s="123" t="s">
        <v>268</v>
      </c>
      <c r="AL6" s="136" t="s">
        <v>200</v>
      </c>
      <c r="AN6" s="136" t="s">
        <v>164</v>
      </c>
      <c r="AP6" s="129" t="s">
        <v>53</v>
      </c>
      <c r="AR6" s="130" t="s">
        <v>59</v>
      </c>
      <c r="AV6" s="129" t="s">
        <v>60</v>
      </c>
      <c r="AX6" s="131">
        <v>97</v>
      </c>
      <c r="AY6" s="132">
        <v>36</v>
      </c>
      <c r="AZ6" s="132">
        <v>99</v>
      </c>
      <c r="BA6" s="133">
        <v>33</v>
      </c>
    </row>
    <row r="7" spans="1:53" s="127" customFormat="1" x14ac:dyDescent="0.15">
      <c r="A7" s="117" t="s">
        <v>51</v>
      </c>
      <c r="B7" s="117" t="s">
        <v>157</v>
      </c>
      <c r="C7" s="117">
        <v>2019</v>
      </c>
      <c r="D7" s="118" t="s">
        <v>258</v>
      </c>
      <c r="E7" s="117" t="s">
        <v>259</v>
      </c>
      <c r="F7" s="117" t="s">
        <v>260</v>
      </c>
      <c r="G7" s="117" t="s">
        <v>42</v>
      </c>
      <c r="H7" s="117" t="s">
        <v>162</v>
      </c>
      <c r="I7" s="117" t="s">
        <v>161</v>
      </c>
      <c r="J7" s="117" t="s">
        <v>38</v>
      </c>
      <c r="K7" s="117"/>
      <c r="L7" s="117">
        <v>3</v>
      </c>
      <c r="M7" s="117"/>
      <c r="N7" s="117">
        <v>1</v>
      </c>
      <c r="O7" s="117">
        <v>0.75</v>
      </c>
      <c r="P7" s="117">
        <v>0.7</v>
      </c>
      <c r="Q7" s="119">
        <f t="shared" si="0"/>
        <v>0.72499999999999998</v>
      </c>
      <c r="R7" s="117">
        <v>16.5</v>
      </c>
      <c r="S7" s="117">
        <v>132</v>
      </c>
      <c r="T7" s="120">
        <f t="shared" si="1"/>
        <v>25</v>
      </c>
      <c r="U7" s="117">
        <v>138</v>
      </c>
      <c r="V7" s="121">
        <f t="shared" si="2"/>
        <v>3450</v>
      </c>
      <c r="W7" s="117">
        <v>6</v>
      </c>
      <c r="X7" s="117" t="s">
        <v>46</v>
      </c>
      <c r="Y7" s="117" t="s">
        <v>69</v>
      </c>
      <c r="Z7" s="117" t="s">
        <v>40</v>
      </c>
      <c r="AA7" s="117" t="s">
        <v>47</v>
      </c>
      <c r="AB7" s="54" t="s">
        <v>160</v>
      </c>
      <c r="AE7" s="128" t="s">
        <v>61</v>
      </c>
      <c r="AG7" s="123" t="s">
        <v>269</v>
      </c>
      <c r="AH7" s="123" t="s">
        <v>261</v>
      </c>
      <c r="AL7" s="127" t="s">
        <v>167</v>
      </c>
      <c r="AP7" s="129" t="s">
        <v>58</v>
      </c>
      <c r="AR7" s="130" t="s">
        <v>202</v>
      </c>
      <c r="AV7" s="129" t="s">
        <v>64</v>
      </c>
      <c r="AX7" s="131">
        <v>109</v>
      </c>
      <c r="AY7" s="132">
        <v>33</v>
      </c>
      <c r="AZ7" s="132">
        <v>113</v>
      </c>
      <c r="BA7" s="133">
        <v>30</v>
      </c>
    </row>
    <row r="8" spans="1:53" s="127" customFormat="1" x14ac:dyDescent="0.15">
      <c r="A8" s="117" t="s">
        <v>51</v>
      </c>
      <c r="B8" s="117" t="s">
        <v>157</v>
      </c>
      <c r="C8" s="117">
        <v>2019</v>
      </c>
      <c r="D8" s="118" t="s">
        <v>258</v>
      </c>
      <c r="E8" s="117" t="s">
        <v>262</v>
      </c>
      <c r="F8" s="117" t="s">
        <v>263</v>
      </c>
      <c r="G8" s="117" t="s">
        <v>36</v>
      </c>
      <c r="H8" s="117" t="s">
        <v>188</v>
      </c>
      <c r="I8" s="117" t="s">
        <v>161</v>
      </c>
      <c r="J8" s="117" t="s">
        <v>58</v>
      </c>
      <c r="K8" s="117"/>
      <c r="L8" s="117">
        <v>1</v>
      </c>
      <c r="M8" s="117"/>
      <c r="N8" s="117">
        <v>4</v>
      </c>
      <c r="O8" s="117">
        <v>1.1499999999999999</v>
      </c>
      <c r="P8" s="117">
        <v>1.1000000000000001</v>
      </c>
      <c r="Q8" s="119">
        <f t="shared" si="0"/>
        <v>1.125</v>
      </c>
      <c r="R8" s="117">
        <v>13.3</v>
      </c>
      <c r="S8" s="117">
        <v>102</v>
      </c>
      <c r="T8" s="120">
        <f t="shared" si="1"/>
        <v>33</v>
      </c>
      <c r="U8" s="117">
        <v>398</v>
      </c>
      <c r="V8" s="121">
        <f t="shared" si="2"/>
        <v>3283.5</v>
      </c>
      <c r="W8" s="117">
        <v>10</v>
      </c>
      <c r="X8" s="117" t="s">
        <v>46</v>
      </c>
      <c r="Y8" s="117" t="s">
        <v>47</v>
      </c>
      <c r="Z8" s="117" t="s">
        <v>69</v>
      </c>
      <c r="AA8" s="117" t="s">
        <v>55</v>
      </c>
      <c r="AB8" s="54" t="s">
        <v>160</v>
      </c>
      <c r="AE8" s="128" t="s">
        <v>59</v>
      </c>
      <c r="AG8" s="123" t="s">
        <v>270</v>
      </c>
      <c r="AH8" s="123" t="s">
        <v>271</v>
      </c>
      <c r="AL8" s="127" t="s">
        <v>162</v>
      </c>
      <c r="AP8" s="129" t="s">
        <v>62</v>
      </c>
      <c r="AR8" s="130" t="s">
        <v>81</v>
      </c>
      <c r="AV8" s="129" t="s">
        <v>97</v>
      </c>
      <c r="AX8" s="131">
        <v>119</v>
      </c>
      <c r="AY8" s="132">
        <v>30</v>
      </c>
      <c r="AZ8" s="132">
        <v>121</v>
      </c>
      <c r="BA8" s="133">
        <v>27</v>
      </c>
    </row>
    <row r="9" spans="1:53" s="127" customFormat="1" x14ac:dyDescent="0.15">
      <c r="A9" s="117" t="s">
        <v>51</v>
      </c>
      <c r="B9" s="117" t="s">
        <v>157</v>
      </c>
      <c r="C9" s="117">
        <v>2019</v>
      </c>
      <c r="D9" s="118" t="s">
        <v>258</v>
      </c>
      <c r="E9" s="117" t="s">
        <v>262</v>
      </c>
      <c r="F9" s="117" t="s">
        <v>263</v>
      </c>
      <c r="G9" s="117" t="s">
        <v>36</v>
      </c>
      <c r="H9" s="117" t="s">
        <v>188</v>
      </c>
      <c r="I9" s="117" t="s">
        <v>161</v>
      </c>
      <c r="J9" s="117" t="s">
        <v>58</v>
      </c>
      <c r="K9" s="117"/>
      <c r="L9" s="117">
        <v>2</v>
      </c>
      <c r="M9" s="117"/>
      <c r="N9" s="117">
        <v>4</v>
      </c>
      <c r="O9" s="117">
        <v>0.95</v>
      </c>
      <c r="P9" s="117">
        <v>0.85</v>
      </c>
      <c r="Q9" s="119">
        <f t="shared" si="0"/>
        <v>0.89999999999999991</v>
      </c>
      <c r="R9" s="117">
        <v>13.6</v>
      </c>
      <c r="S9" s="117">
        <v>102</v>
      </c>
      <c r="T9" s="120">
        <f t="shared" si="1"/>
        <v>33</v>
      </c>
      <c r="U9" s="117">
        <v>398</v>
      </c>
      <c r="V9" s="121">
        <f t="shared" si="2"/>
        <v>3283.5</v>
      </c>
      <c r="W9" s="117">
        <v>10</v>
      </c>
      <c r="X9" s="117" t="s">
        <v>46</v>
      </c>
      <c r="Y9" s="117" t="s">
        <v>47</v>
      </c>
      <c r="Z9" s="117" t="s">
        <v>69</v>
      </c>
      <c r="AA9" s="117" t="s">
        <v>55</v>
      </c>
      <c r="AB9" s="54" t="s">
        <v>160</v>
      </c>
      <c r="AE9" s="128" t="s">
        <v>205</v>
      </c>
      <c r="AG9" s="123" t="s">
        <v>272</v>
      </c>
      <c r="AH9" s="123" t="s">
        <v>260</v>
      </c>
      <c r="AL9" s="136"/>
      <c r="AP9" s="129" t="s">
        <v>95</v>
      </c>
      <c r="AR9" s="130" t="s">
        <v>208</v>
      </c>
      <c r="AV9" s="129" t="s">
        <v>102</v>
      </c>
      <c r="AX9" s="131">
        <v>128</v>
      </c>
      <c r="AY9" s="132">
        <v>27</v>
      </c>
      <c r="AZ9" s="132">
        <v>129</v>
      </c>
      <c r="BA9" s="133">
        <v>25</v>
      </c>
    </row>
    <row r="10" spans="1:53" s="127" customFormat="1" x14ac:dyDescent="0.15">
      <c r="A10" s="117" t="s">
        <v>51</v>
      </c>
      <c r="B10" s="117" t="s">
        <v>157</v>
      </c>
      <c r="C10" s="117">
        <v>2019</v>
      </c>
      <c r="D10" s="118" t="s">
        <v>258</v>
      </c>
      <c r="E10" s="117" t="s">
        <v>262</v>
      </c>
      <c r="F10" s="117" t="s">
        <v>263</v>
      </c>
      <c r="G10" s="117" t="s">
        <v>36</v>
      </c>
      <c r="H10" s="117" t="s">
        <v>188</v>
      </c>
      <c r="I10" s="117" t="s">
        <v>161</v>
      </c>
      <c r="J10" s="117" t="s">
        <v>58</v>
      </c>
      <c r="K10" s="117"/>
      <c r="L10" s="117">
        <v>3</v>
      </c>
      <c r="M10" s="117"/>
      <c r="N10" s="117">
        <v>4</v>
      </c>
      <c r="O10" s="117">
        <v>0.85</v>
      </c>
      <c r="P10" s="117">
        <v>0.65</v>
      </c>
      <c r="Q10" s="119">
        <f t="shared" si="0"/>
        <v>0.75</v>
      </c>
      <c r="R10" s="117">
        <v>13.3</v>
      </c>
      <c r="S10" s="117">
        <v>112</v>
      </c>
      <c r="T10" s="120">
        <f t="shared" si="1"/>
        <v>33</v>
      </c>
      <c r="U10" s="117">
        <v>398</v>
      </c>
      <c r="V10" s="121">
        <f t="shared" si="2"/>
        <v>3283.5</v>
      </c>
      <c r="W10" s="117">
        <v>10</v>
      </c>
      <c r="X10" s="117" t="s">
        <v>46</v>
      </c>
      <c r="Y10" s="117" t="s">
        <v>47</v>
      </c>
      <c r="Z10" s="117" t="s">
        <v>69</v>
      </c>
      <c r="AA10" s="117" t="s">
        <v>55</v>
      </c>
      <c r="AB10" s="54" t="s">
        <v>160</v>
      </c>
      <c r="AE10" s="128" t="s">
        <v>209</v>
      </c>
      <c r="AG10" s="123" t="s">
        <v>259</v>
      </c>
      <c r="AH10" s="129" t="s">
        <v>260</v>
      </c>
      <c r="AP10" s="129" t="s">
        <v>100</v>
      </c>
      <c r="AR10" s="130" t="s">
        <v>211</v>
      </c>
      <c r="AV10" s="129" t="s">
        <v>106</v>
      </c>
      <c r="AX10" s="131">
        <v>138</v>
      </c>
      <c r="AY10" s="132">
        <v>25</v>
      </c>
      <c r="AZ10" s="132">
        <v>138</v>
      </c>
      <c r="BA10" s="133">
        <v>22</v>
      </c>
    </row>
    <row r="11" spans="1:53" s="127" customFormat="1" x14ac:dyDescent="0.15">
      <c r="A11" s="117" t="s">
        <v>51</v>
      </c>
      <c r="B11" s="117" t="s">
        <v>157</v>
      </c>
      <c r="C11" s="117">
        <v>2019</v>
      </c>
      <c r="D11" s="118" t="s">
        <v>258</v>
      </c>
      <c r="E11" s="117" t="s">
        <v>262</v>
      </c>
      <c r="F11" s="117" t="s">
        <v>263</v>
      </c>
      <c r="G11" s="117" t="s">
        <v>36</v>
      </c>
      <c r="H11" s="117" t="s">
        <v>162</v>
      </c>
      <c r="I11" s="117" t="s">
        <v>161</v>
      </c>
      <c r="J11" s="117" t="s">
        <v>38</v>
      </c>
      <c r="K11" s="117"/>
      <c r="L11" s="117">
        <v>1</v>
      </c>
      <c r="M11" s="117"/>
      <c r="N11" s="117">
        <v>1</v>
      </c>
      <c r="O11" s="117">
        <v>0.65</v>
      </c>
      <c r="P11" s="117">
        <v>0.75</v>
      </c>
      <c r="Q11" s="119">
        <f t="shared" si="0"/>
        <v>0.7</v>
      </c>
      <c r="R11" s="117">
        <v>14.8</v>
      </c>
      <c r="S11" s="117">
        <v>130</v>
      </c>
      <c r="T11" s="120">
        <f t="shared" si="1"/>
        <v>25</v>
      </c>
      <c r="U11" s="117">
        <v>138</v>
      </c>
      <c r="V11" s="121">
        <f t="shared" si="2"/>
        <v>3450</v>
      </c>
      <c r="W11" s="117">
        <v>10</v>
      </c>
      <c r="X11" s="117" t="s">
        <v>46</v>
      </c>
      <c r="Y11" s="117" t="s">
        <v>47</v>
      </c>
      <c r="Z11" s="117" t="s">
        <v>69</v>
      </c>
      <c r="AA11" s="117" t="s">
        <v>55</v>
      </c>
      <c r="AB11" s="54" t="s">
        <v>160</v>
      </c>
      <c r="AE11" s="128" t="s">
        <v>68</v>
      </c>
      <c r="AG11" s="123" t="s">
        <v>139</v>
      </c>
      <c r="AH11" s="129" t="s">
        <v>273</v>
      </c>
      <c r="AP11" s="129" t="s">
        <v>104</v>
      </c>
      <c r="AR11" s="130" t="s">
        <v>214</v>
      </c>
      <c r="AV11" s="129" t="s">
        <v>69</v>
      </c>
      <c r="AX11" s="131">
        <v>151</v>
      </c>
      <c r="AY11" s="132">
        <v>22</v>
      </c>
      <c r="AZ11" s="132">
        <v>152</v>
      </c>
      <c r="BA11" s="133">
        <v>18</v>
      </c>
    </row>
    <row r="12" spans="1:53" s="127" customFormat="1" x14ac:dyDescent="0.15">
      <c r="A12" s="117" t="s">
        <v>51</v>
      </c>
      <c r="B12" s="117" t="s">
        <v>157</v>
      </c>
      <c r="C12" s="117">
        <v>2019</v>
      </c>
      <c r="D12" s="118" t="s">
        <v>258</v>
      </c>
      <c r="E12" s="117" t="s">
        <v>262</v>
      </c>
      <c r="F12" s="117" t="s">
        <v>263</v>
      </c>
      <c r="G12" s="117" t="s">
        <v>36</v>
      </c>
      <c r="H12" s="117" t="s">
        <v>162</v>
      </c>
      <c r="I12" s="117" t="s">
        <v>161</v>
      </c>
      <c r="J12" s="117" t="s">
        <v>38</v>
      </c>
      <c r="K12" s="117"/>
      <c r="L12" s="117">
        <v>2</v>
      </c>
      <c r="M12" s="117"/>
      <c r="N12" s="117">
        <v>1</v>
      </c>
      <c r="O12" s="117">
        <v>0.7</v>
      </c>
      <c r="P12" s="117">
        <v>0.7</v>
      </c>
      <c r="Q12" s="119">
        <f t="shared" si="0"/>
        <v>0.7</v>
      </c>
      <c r="R12" s="117">
        <v>15.3</v>
      </c>
      <c r="S12" s="117">
        <v>130</v>
      </c>
      <c r="T12" s="120">
        <f t="shared" si="1"/>
        <v>25</v>
      </c>
      <c r="U12" s="117">
        <v>138</v>
      </c>
      <c r="V12" s="121">
        <f t="shared" si="2"/>
        <v>3450</v>
      </c>
      <c r="W12" s="117">
        <v>10</v>
      </c>
      <c r="X12" s="117" t="s">
        <v>46</v>
      </c>
      <c r="Y12" s="117" t="s">
        <v>47</v>
      </c>
      <c r="Z12" s="117" t="s">
        <v>69</v>
      </c>
      <c r="AA12" s="117" t="s">
        <v>55</v>
      </c>
      <c r="AB12" s="54" t="s">
        <v>160</v>
      </c>
      <c r="AE12" s="128" t="s">
        <v>215</v>
      </c>
      <c r="AG12" s="129"/>
      <c r="AH12" s="129"/>
      <c r="AP12" s="129" t="s">
        <v>67</v>
      </c>
      <c r="AR12" s="130" t="s">
        <v>216</v>
      </c>
      <c r="AV12" s="129" t="s">
        <v>72</v>
      </c>
      <c r="AX12" s="137">
        <v>180</v>
      </c>
      <c r="AY12" s="138">
        <v>18</v>
      </c>
      <c r="AZ12" s="138">
        <v>181</v>
      </c>
      <c r="BA12" s="139">
        <v>16</v>
      </c>
    </row>
    <row r="13" spans="1:53" s="127" customFormat="1" x14ac:dyDescent="0.15">
      <c r="A13" s="117" t="s">
        <v>51</v>
      </c>
      <c r="B13" s="117" t="s">
        <v>157</v>
      </c>
      <c r="C13" s="117">
        <v>2019</v>
      </c>
      <c r="D13" s="118" t="s">
        <v>258</v>
      </c>
      <c r="E13" s="117" t="s">
        <v>262</v>
      </c>
      <c r="F13" s="117" t="s">
        <v>263</v>
      </c>
      <c r="G13" s="117" t="s">
        <v>36</v>
      </c>
      <c r="H13" s="117" t="s">
        <v>162</v>
      </c>
      <c r="I13" s="117" t="s">
        <v>161</v>
      </c>
      <c r="J13" s="117" t="s">
        <v>38</v>
      </c>
      <c r="K13" s="117"/>
      <c r="L13" s="117">
        <v>3</v>
      </c>
      <c r="M13" s="117"/>
      <c r="N13" s="117">
        <v>1</v>
      </c>
      <c r="O13" s="117">
        <v>0.75</v>
      </c>
      <c r="P13" s="117">
        <v>0.8</v>
      </c>
      <c r="Q13" s="119">
        <f t="shared" si="0"/>
        <v>0.77500000000000002</v>
      </c>
      <c r="R13" s="117">
        <v>16.2</v>
      </c>
      <c r="S13" s="117">
        <v>132</v>
      </c>
      <c r="T13" s="120">
        <f t="shared" si="1"/>
        <v>25</v>
      </c>
      <c r="U13" s="117">
        <v>138</v>
      </c>
      <c r="V13" s="121">
        <f t="shared" si="2"/>
        <v>3450</v>
      </c>
      <c r="W13" s="117">
        <v>10</v>
      </c>
      <c r="X13" s="117" t="s">
        <v>46</v>
      </c>
      <c r="Y13" s="117" t="s">
        <v>47</v>
      </c>
      <c r="Z13" s="117" t="s">
        <v>69</v>
      </c>
      <c r="AA13" s="117" t="s">
        <v>55</v>
      </c>
      <c r="AB13" s="54" t="s">
        <v>160</v>
      </c>
      <c r="AE13" s="128" t="s">
        <v>217</v>
      </c>
      <c r="AG13" s="129"/>
      <c r="AH13" s="129"/>
      <c r="AP13" s="129" t="s">
        <v>71</v>
      </c>
      <c r="AR13" s="130" t="s">
        <v>209</v>
      </c>
      <c r="AV13" s="129" t="s">
        <v>75</v>
      </c>
    </row>
    <row r="14" spans="1:53" s="127" customFormat="1" x14ac:dyDescent="0.15">
      <c r="A14" s="117" t="s">
        <v>51</v>
      </c>
      <c r="B14" s="117" t="s">
        <v>157</v>
      </c>
      <c r="C14" s="117">
        <v>2019</v>
      </c>
      <c r="D14" s="118" t="s">
        <v>258</v>
      </c>
      <c r="E14" s="117" t="s">
        <v>139</v>
      </c>
      <c r="F14" s="117" t="s">
        <v>273</v>
      </c>
      <c r="G14" s="117" t="s">
        <v>42</v>
      </c>
      <c r="H14" s="117" t="s">
        <v>162</v>
      </c>
      <c r="I14" s="117" t="s">
        <v>161</v>
      </c>
      <c r="J14" s="117" t="s">
        <v>38</v>
      </c>
      <c r="K14" s="117"/>
      <c r="L14" s="117">
        <v>1</v>
      </c>
      <c r="M14" s="117"/>
      <c r="N14" s="117">
        <v>1</v>
      </c>
      <c r="O14" s="117">
        <v>0.8</v>
      </c>
      <c r="P14" s="117">
        <v>0.7</v>
      </c>
      <c r="Q14" s="119">
        <f t="shared" si="0"/>
        <v>0.75</v>
      </c>
      <c r="R14" s="117">
        <v>16.8</v>
      </c>
      <c r="S14" s="117">
        <v>116</v>
      </c>
      <c r="T14" s="120">
        <f t="shared" si="1"/>
        <v>30</v>
      </c>
      <c r="U14" s="117">
        <v>98</v>
      </c>
      <c r="V14" s="121">
        <f t="shared" si="2"/>
        <v>2940</v>
      </c>
      <c r="W14" s="117">
        <v>25</v>
      </c>
      <c r="X14" s="117" t="s">
        <v>46</v>
      </c>
      <c r="Y14" s="117" t="s">
        <v>55</v>
      </c>
      <c r="Z14" s="117" t="s">
        <v>90</v>
      </c>
      <c r="AA14" s="117" t="s">
        <v>69</v>
      </c>
      <c r="AB14" s="54" t="s">
        <v>160</v>
      </c>
      <c r="AE14" s="128" t="s">
        <v>96</v>
      </c>
      <c r="AG14" s="129"/>
      <c r="AH14" s="129"/>
      <c r="AP14" s="129" t="s">
        <v>74</v>
      </c>
      <c r="AR14" s="130" t="s">
        <v>218</v>
      </c>
      <c r="AV14" s="129" t="s">
        <v>78</v>
      </c>
    </row>
    <row r="15" spans="1:53" s="127" customFormat="1" x14ac:dyDescent="0.15">
      <c r="A15" s="117" t="s">
        <v>51</v>
      </c>
      <c r="B15" s="117" t="s">
        <v>157</v>
      </c>
      <c r="C15" s="117">
        <v>2019</v>
      </c>
      <c r="D15" s="118" t="s">
        <v>258</v>
      </c>
      <c r="E15" s="117" t="s">
        <v>139</v>
      </c>
      <c r="F15" s="117" t="s">
        <v>273</v>
      </c>
      <c r="G15" s="117" t="s">
        <v>42</v>
      </c>
      <c r="H15" s="117" t="s">
        <v>162</v>
      </c>
      <c r="I15" s="117" t="s">
        <v>161</v>
      </c>
      <c r="J15" s="117" t="s">
        <v>38</v>
      </c>
      <c r="K15" s="117"/>
      <c r="L15" s="117">
        <v>2</v>
      </c>
      <c r="M15" s="117"/>
      <c r="N15" s="117">
        <v>1</v>
      </c>
      <c r="O15" s="117">
        <v>0.75</v>
      </c>
      <c r="P15" s="117">
        <v>0.85</v>
      </c>
      <c r="Q15" s="119">
        <f t="shared" si="0"/>
        <v>0.8</v>
      </c>
      <c r="R15" s="117">
        <v>17</v>
      </c>
      <c r="S15" s="117">
        <v>112</v>
      </c>
      <c r="T15" s="120">
        <f t="shared" si="1"/>
        <v>33</v>
      </c>
      <c r="U15" s="117">
        <v>98</v>
      </c>
      <c r="V15" s="121">
        <f t="shared" si="2"/>
        <v>3234</v>
      </c>
      <c r="W15" s="117">
        <v>25</v>
      </c>
      <c r="X15" s="117" t="s">
        <v>46</v>
      </c>
      <c r="Y15" s="117" t="s">
        <v>55</v>
      </c>
      <c r="Z15" s="117" t="s">
        <v>90</v>
      </c>
      <c r="AA15" s="117" t="s">
        <v>69</v>
      </c>
      <c r="AB15" s="54" t="s">
        <v>160</v>
      </c>
      <c r="AE15" s="128" t="s">
        <v>219</v>
      </c>
      <c r="AG15" s="129"/>
      <c r="AH15" s="129"/>
      <c r="AP15" s="129" t="s">
        <v>77</v>
      </c>
      <c r="AR15" s="130" t="s">
        <v>80</v>
      </c>
      <c r="AV15" s="129" t="s">
        <v>107</v>
      </c>
    </row>
    <row r="16" spans="1:53" s="127" customFormat="1" x14ac:dyDescent="0.15">
      <c r="A16" s="117" t="s">
        <v>51</v>
      </c>
      <c r="B16" s="117" t="s">
        <v>157</v>
      </c>
      <c r="C16" s="117">
        <v>2019</v>
      </c>
      <c r="D16" s="118" t="s">
        <v>258</v>
      </c>
      <c r="E16" s="117" t="s">
        <v>139</v>
      </c>
      <c r="F16" s="117" t="s">
        <v>273</v>
      </c>
      <c r="G16" s="117" t="s">
        <v>42</v>
      </c>
      <c r="H16" s="117" t="s">
        <v>162</v>
      </c>
      <c r="I16" s="117" t="s">
        <v>161</v>
      </c>
      <c r="J16" s="117" t="s">
        <v>38</v>
      </c>
      <c r="K16" s="117"/>
      <c r="L16" s="117">
        <v>3</v>
      </c>
      <c r="M16" s="117"/>
      <c r="N16" s="117">
        <v>1</v>
      </c>
      <c r="O16" s="117">
        <v>0.7</v>
      </c>
      <c r="P16" s="117">
        <v>0.65</v>
      </c>
      <c r="Q16" s="119">
        <f t="shared" si="0"/>
        <v>0.67500000000000004</v>
      </c>
      <c r="R16" s="117">
        <v>17.3</v>
      </c>
      <c r="S16" s="117">
        <v>114</v>
      </c>
      <c r="T16" s="120">
        <f t="shared" si="1"/>
        <v>30</v>
      </c>
      <c r="U16" s="117">
        <v>98</v>
      </c>
      <c r="V16" s="121">
        <f t="shared" si="2"/>
        <v>2940</v>
      </c>
      <c r="W16" s="117">
        <v>25</v>
      </c>
      <c r="X16" s="117" t="s">
        <v>46</v>
      </c>
      <c r="Y16" s="117" t="s">
        <v>55</v>
      </c>
      <c r="Z16" s="117" t="s">
        <v>90</v>
      </c>
      <c r="AA16" s="117" t="s">
        <v>69</v>
      </c>
      <c r="AB16" s="54" t="s">
        <v>160</v>
      </c>
      <c r="AE16" s="128" t="s">
        <v>220</v>
      </c>
      <c r="AG16" s="135"/>
      <c r="AH16" s="135"/>
      <c r="AP16" s="129" t="s">
        <v>80</v>
      </c>
      <c r="AR16" s="130" t="s">
        <v>63</v>
      </c>
      <c r="AV16" s="129" t="s">
        <v>84</v>
      </c>
    </row>
    <row r="17" spans="1:48" s="127" customFormat="1" x14ac:dyDescent="0.15">
      <c r="A17" s="117" t="s">
        <v>51</v>
      </c>
      <c r="B17" s="117" t="s">
        <v>157</v>
      </c>
      <c r="C17" s="117">
        <v>2019</v>
      </c>
      <c r="D17" s="118" t="s">
        <v>258</v>
      </c>
      <c r="E17" s="117" t="s">
        <v>267</v>
      </c>
      <c r="F17" s="117" t="s">
        <v>268</v>
      </c>
      <c r="G17" s="117" t="s">
        <v>36</v>
      </c>
      <c r="H17" s="117" t="s">
        <v>188</v>
      </c>
      <c r="I17" s="117" t="s">
        <v>161</v>
      </c>
      <c r="J17" s="117" t="s">
        <v>53</v>
      </c>
      <c r="K17" s="117"/>
      <c r="L17" s="117">
        <v>1</v>
      </c>
      <c r="M17" s="117"/>
      <c r="N17" s="117">
        <v>1</v>
      </c>
      <c r="O17" s="117">
        <v>0.55000000000000004</v>
      </c>
      <c r="P17" s="117">
        <v>0.6</v>
      </c>
      <c r="Q17" s="119">
        <f t="shared" si="0"/>
        <v>0.57499999999999996</v>
      </c>
      <c r="R17" s="117">
        <v>14.4</v>
      </c>
      <c r="S17" s="117">
        <v>130</v>
      </c>
      <c r="T17" s="120">
        <f t="shared" si="1"/>
        <v>25</v>
      </c>
      <c r="U17" s="117">
        <v>118</v>
      </c>
      <c r="V17" s="121">
        <f t="shared" si="2"/>
        <v>2950</v>
      </c>
      <c r="W17" s="117">
        <v>6</v>
      </c>
      <c r="X17" s="117" t="s">
        <v>46</v>
      </c>
      <c r="Y17" s="117" t="s">
        <v>69</v>
      </c>
      <c r="Z17" s="117" t="s">
        <v>47</v>
      </c>
      <c r="AA17" s="117" t="s">
        <v>90</v>
      </c>
      <c r="AB17" s="54" t="s">
        <v>160</v>
      </c>
      <c r="AE17" s="128" t="s">
        <v>221</v>
      </c>
      <c r="AP17" s="140" t="s">
        <v>222</v>
      </c>
      <c r="AR17" s="130" t="s">
        <v>96</v>
      </c>
      <c r="AV17" s="129" t="s">
        <v>86</v>
      </c>
    </row>
    <row r="18" spans="1:48" s="127" customFormat="1" x14ac:dyDescent="0.15">
      <c r="A18" s="117" t="s">
        <v>51</v>
      </c>
      <c r="B18" s="117" t="s">
        <v>157</v>
      </c>
      <c r="C18" s="117">
        <v>2019</v>
      </c>
      <c r="D18" s="118" t="s">
        <v>258</v>
      </c>
      <c r="E18" s="117" t="s">
        <v>267</v>
      </c>
      <c r="F18" s="117" t="s">
        <v>268</v>
      </c>
      <c r="G18" s="117" t="s">
        <v>36</v>
      </c>
      <c r="H18" s="117" t="s">
        <v>188</v>
      </c>
      <c r="I18" s="117" t="s">
        <v>161</v>
      </c>
      <c r="J18" s="117" t="s">
        <v>53</v>
      </c>
      <c r="K18" s="117"/>
      <c r="L18" s="117">
        <v>2</v>
      </c>
      <c r="M18" s="117"/>
      <c r="N18" s="117">
        <v>1</v>
      </c>
      <c r="O18" s="117">
        <v>0.75</v>
      </c>
      <c r="P18" s="117">
        <v>0.65</v>
      </c>
      <c r="Q18" s="119">
        <f t="shared" si="0"/>
        <v>0.7</v>
      </c>
      <c r="R18" s="117">
        <v>13.9</v>
      </c>
      <c r="S18" s="117">
        <v>130</v>
      </c>
      <c r="T18" s="120">
        <f t="shared" si="1"/>
        <v>25</v>
      </c>
      <c r="U18" s="117">
        <v>118</v>
      </c>
      <c r="V18" s="121">
        <f t="shared" si="2"/>
        <v>2950</v>
      </c>
      <c r="W18" s="117">
        <v>6</v>
      </c>
      <c r="X18" s="117" t="s">
        <v>46</v>
      </c>
      <c r="Y18" s="117" t="s">
        <v>69</v>
      </c>
      <c r="Z18" s="117" t="s">
        <v>47</v>
      </c>
      <c r="AA18" s="117" t="s">
        <v>90</v>
      </c>
      <c r="AB18" s="54" t="s">
        <v>160</v>
      </c>
      <c r="AE18" s="128" t="s">
        <v>214</v>
      </c>
      <c r="AP18" s="140" t="s">
        <v>223</v>
      </c>
      <c r="AR18" s="130" t="s">
        <v>101</v>
      </c>
      <c r="AV18" s="129" t="s">
        <v>88</v>
      </c>
    </row>
    <row r="19" spans="1:48" s="127" customFormat="1" x14ac:dyDescent="0.15">
      <c r="A19" s="117" t="s">
        <v>51</v>
      </c>
      <c r="B19" s="117" t="s">
        <v>157</v>
      </c>
      <c r="C19" s="117">
        <v>2019</v>
      </c>
      <c r="D19" s="118" t="s">
        <v>258</v>
      </c>
      <c r="E19" s="117" t="s">
        <v>267</v>
      </c>
      <c r="F19" s="117" t="s">
        <v>268</v>
      </c>
      <c r="G19" s="117" t="s">
        <v>36</v>
      </c>
      <c r="H19" s="117" t="s">
        <v>188</v>
      </c>
      <c r="I19" s="117" t="s">
        <v>161</v>
      </c>
      <c r="J19" s="117" t="s">
        <v>53</v>
      </c>
      <c r="K19" s="117"/>
      <c r="L19" s="117">
        <v>3</v>
      </c>
      <c r="M19" s="117"/>
      <c r="N19" s="117">
        <v>1</v>
      </c>
      <c r="O19" s="117">
        <v>0.75</v>
      </c>
      <c r="P19" s="117">
        <v>0.65</v>
      </c>
      <c r="Q19" s="119">
        <f t="shared" si="0"/>
        <v>0.7</v>
      </c>
      <c r="R19" s="117">
        <v>14.2</v>
      </c>
      <c r="S19" s="117">
        <v>120</v>
      </c>
      <c r="T19" s="120">
        <f t="shared" si="1"/>
        <v>30</v>
      </c>
      <c r="U19" s="117">
        <v>118</v>
      </c>
      <c r="V19" s="121">
        <f t="shared" si="2"/>
        <v>3540</v>
      </c>
      <c r="W19" s="117">
        <v>6</v>
      </c>
      <c r="X19" s="117" t="s">
        <v>46</v>
      </c>
      <c r="Y19" s="117" t="s">
        <v>69</v>
      </c>
      <c r="Z19" s="117" t="s">
        <v>47</v>
      </c>
      <c r="AA19" s="117" t="s">
        <v>90</v>
      </c>
      <c r="AB19" s="54" t="s">
        <v>160</v>
      </c>
      <c r="AE19" s="141" t="s">
        <v>208</v>
      </c>
      <c r="AP19" s="140" t="s">
        <v>224</v>
      </c>
      <c r="AR19" s="130" t="s">
        <v>225</v>
      </c>
      <c r="AV19" s="129" t="s">
        <v>90</v>
      </c>
    </row>
    <row r="20" spans="1:48" s="127" customFormat="1" x14ac:dyDescent="0.15">
      <c r="A20" s="117" t="s">
        <v>51</v>
      </c>
      <c r="B20" s="117" t="s">
        <v>157</v>
      </c>
      <c r="C20" s="117">
        <v>2019</v>
      </c>
      <c r="D20" s="118" t="s">
        <v>258</v>
      </c>
      <c r="E20" s="117" t="s">
        <v>267</v>
      </c>
      <c r="F20" s="117" t="s">
        <v>268</v>
      </c>
      <c r="G20" s="117" t="s">
        <v>36</v>
      </c>
      <c r="H20" s="117" t="s">
        <v>162</v>
      </c>
      <c r="I20" s="117" t="s">
        <v>161</v>
      </c>
      <c r="J20" s="117" t="s">
        <v>38</v>
      </c>
      <c r="K20" s="117"/>
      <c r="L20" s="117">
        <v>1</v>
      </c>
      <c r="M20" s="117"/>
      <c r="N20" s="117">
        <v>1</v>
      </c>
      <c r="O20" s="117">
        <v>0.65</v>
      </c>
      <c r="P20" s="117">
        <v>0.65</v>
      </c>
      <c r="Q20" s="119">
        <f t="shared" si="0"/>
        <v>0.65</v>
      </c>
      <c r="R20" s="117">
        <v>16.3</v>
      </c>
      <c r="S20" s="117">
        <v>138</v>
      </c>
      <c r="T20" s="120">
        <f t="shared" si="1"/>
        <v>22</v>
      </c>
      <c r="U20" s="117">
        <v>148</v>
      </c>
      <c r="V20" s="121">
        <f t="shared" si="2"/>
        <v>3256</v>
      </c>
      <c r="W20" s="117">
        <v>6</v>
      </c>
      <c r="X20" s="117" t="s">
        <v>46</v>
      </c>
      <c r="Y20" s="117" t="s">
        <v>69</v>
      </c>
      <c r="Z20" s="117" t="s">
        <v>47</v>
      </c>
      <c r="AA20" s="117" t="s">
        <v>90</v>
      </c>
      <c r="AB20" s="54" t="s">
        <v>160</v>
      </c>
      <c r="AE20" s="141"/>
      <c r="AP20" s="140" t="s">
        <v>226</v>
      </c>
      <c r="AR20" s="130" t="s">
        <v>105</v>
      </c>
      <c r="AV20" s="134" t="s">
        <v>227</v>
      </c>
    </row>
    <row r="21" spans="1:48" s="127" customFormat="1" x14ac:dyDescent="0.15">
      <c r="A21" s="117" t="s">
        <v>51</v>
      </c>
      <c r="B21" s="117" t="s">
        <v>157</v>
      </c>
      <c r="C21" s="117">
        <v>2019</v>
      </c>
      <c r="D21" s="118" t="s">
        <v>258</v>
      </c>
      <c r="E21" s="117" t="s">
        <v>267</v>
      </c>
      <c r="F21" s="117" t="s">
        <v>268</v>
      </c>
      <c r="G21" s="117" t="s">
        <v>36</v>
      </c>
      <c r="H21" s="117" t="s">
        <v>162</v>
      </c>
      <c r="I21" s="117" t="s">
        <v>161</v>
      </c>
      <c r="J21" s="117" t="s">
        <v>38</v>
      </c>
      <c r="K21" s="117"/>
      <c r="L21" s="117">
        <v>2</v>
      </c>
      <c r="M21" s="117"/>
      <c r="N21" s="117">
        <v>1</v>
      </c>
      <c r="O21" s="117">
        <v>0.75</v>
      </c>
      <c r="P21" s="117">
        <v>0.75</v>
      </c>
      <c r="Q21" s="119">
        <f t="shared" si="0"/>
        <v>0.75</v>
      </c>
      <c r="R21" s="117">
        <v>17.5</v>
      </c>
      <c r="S21" s="117">
        <v>148</v>
      </c>
      <c r="T21" s="120">
        <f t="shared" si="1"/>
        <v>22</v>
      </c>
      <c r="U21" s="117">
        <v>148</v>
      </c>
      <c r="V21" s="121">
        <f t="shared" si="2"/>
        <v>3256</v>
      </c>
      <c r="W21" s="117">
        <v>6</v>
      </c>
      <c r="X21" s="117" t="s">
        <v>46</v>
      </c>
      <c r="Y21" s="117" t="s">
        <v>69</v>
      </c>
      <c r="Z21" s="117" t="s">
        <v>47</v>
      </c>
      <c r="AA21" s="117" t="s">
        <v>90</v>
      </c>
      <c r="AB21" s="54" t="s">
        <v>160</v>
      </c>
      <c r="AE21" s="135"/>
      <c r="AP21" s="140" t="s">
        <v>228</v>
      </c>
      <c r="AR21" s="130" t="s">
        <v>68</v>
      </c>
      <c r="AV21" s="134" t="s">
        <v>229</v>
      </c>
    </row>
    <row r="22" spans="1:48" s="127" customFormat="1" x14ac:dyDescent="0.15">
      <c r="A22" s="117" t="s">
        <v>51</v>
      </c>
      <c r="B22" s="117" t="s">
        <v>157</v>
      </c>
      <c r="C22" s="117">
        <v>2019</v>
      </c>
      <c r="D22" s="118" t="s">
        <v>258</v>
      </c>
      <c r="E22" s="117" t="s">
        <v>267</v>
      </c>
      <c r="F22" s="117" t="s">
        <v>268</v>
      </c>
      <c r="G22" s="117" t="s">
        <v>36</v>
      </c>
      <c r="H22" s="117" t="s">
        <v>162</v>
      </c>
      <c r="I22" s="117" t="s">
        <v>161</v>
      </c>
      <c r="J22" s="117" t="s">
        <v>38</v>
      </c>
      <c r="K22" s="117"/>
      <c r="L22" s="117">
        <v>3</v>
      </c>
      <c r="M22" s="117"/>
      <c r="N22" s="117">
        <v>1</v>
      </c>
      <c r="O22" s="117">
        <v>0.7</v>
      </c>
      <c r="P22" s="117">
        <v>0.8</v>
      </c>
      <c r="Q22" s="119">
        <f t="shared" si="0"/>
        <v>0.75</v>
      </c>
      <c r="R22" s="117">
        <v>16.600000000000001</v>
      </c>
      <c r="S22" s="117">
        <v>138</v>
      </c>
      <c r="T22" s="120">
        <f t="shared" si="1"/>
        <v>22</v>
      </c>
      <c r="U22" s="117">
        <v>148</v>
      </c>
      <c r="V22" s="121">
        <f t="shared" si="2"/>
        <v>3256</v>
      </c>
      <c r="W22" s="117">
        <v>6</v>
      </c>
      <c r="X22" s="117" t="s">
        <v>46</v>
      </c>
      <c r="Y22" s="117" t="s">
        <v>69</v>
      </c>
      <c r="Z22" s="117" t="s">
        <v>47</v>
      </c>
      <c r="AA22" s="117" t="s">
        <v>90</v>
      </c>
      <c r="AB22" s="54" t="s">
        <v>160</v>
      </c>
      <c r="AP22" s="140" t="s">
        <v>230</v>
      </c>
      <c r="AR22" s="130" t="s">
        <v>83</v>
      </c>
      <c r="AV22" s="134"/>
    </row>
    <row r="23" spans="1:48" s="127" customFormat="1" x14ac:dyDescent="0.15">
      <c r="A23" s="117" t="s">
        <v>51</v>
      </c>
      <c r="B23" s="117" t="s">
        <v>157</v>
      </c>
      <c r="C23" s="117">
        <v>2019</v>
      </c>
      <c r="D23" s="118" t="s">
        <v>258</v>
      </c>
      <c r="E23" s="117" t="s">
        <v>212</v>
      </c>
      <c r="F23" s="117" t="s">
        <v>261</v>
      </c>
      <c r="G23" s="117" t="s">
        <v>42</v>
      </c>
      <c r="H23" s="117" t="s">
        <v>162</v>
      </c>
      <c r="I23" s="117" t="s">
        <v>161</v>
      </c>
      <c r="J23" s="117" t="s">
        <v>38</v>
      </c>
      <c r="K23" s="117"/>
      <c r="L23" s="117">
        <v>1</v>
      </c>
      <c r="M23" s="117"/>
      <c r="N23" s="117">
        <v>1</v>
      </c>
      <c r="O23" s="117">
        <v>0.85</v>
      </c>
      <c r="P23" s="117">
        <v>0.9</v>
      </c>
      <c r="Q23" s="119">
        <f t="shared" si="0"/>
        <v>0.875</v>
      </c>
      <c r="R23" s="117">
        <v>16.899999999999999</v>
      </c>
      <c r="S23" s="117">
        <v>144</v>
      </c>
      <c r="T23" s="120">
        <f t="shared" si="1"/>
        <v>22</v>
      </c>
      <c r="U23" s="117">
        <v>127</v>
      </c>
      <c r="V23" s="121">
        <f t="shared" si="2"/>
        <v>2794</v>
      </c>
      <c r="W23" s="117">
        <v>5</v>
      </c>
      <c r="X23" s="117" t="s">
        <v>46</v>
      </c>
      <c r="Y23" s="117" t="s">
        <v>47</v>
      </c>
      <c r="Z23" s="117" t="s">
        <v>69</v>
      </c>
      <c r="AA23" s="117" t="s">
        <v>90</v>
      </c>
      <c r="AB23" s="54" t="s">
        <v>160</v>
      </c>
      <c r="AP23" s="140" t="s">
        <v>274</v>
      </c>
      <c r="AR23" s="130" t="s">
        <v>61</v>
      </c>
    </row>
    <row r="24" spans="1:48" s="127" customFormat="1" x14ac:dyDescent="0.15">
      <c r="A24" s="117" t="s">
        <v>51</v>
      </c>
      <c r="B24" s="117" t="s">
        <v>157</v>
      </c>
      <c r="C24" s="117">
        <v>2019</v>
      </c>
      <c r="D24" s="118" t="s">
        <v>258</v>
      </c>
      <c r="E24" s="117" t="s">
        <v>212</v>
      </c>
      <c r="F24" s="117" t="s">
        <v>261</v>
      </c>
      <c r="G24" s="117" t="s">
        <v>42</v>
      </c>
      <c r="H24" s="117" t="s">
        <v>162</v>
      </c>
      <c r="I24" s="117" t="s">
        <v>161</v>
      </c>
      <c r="J24" s="117" t="s">
        <v>38</v>
      </c>
      <c r="K24" s="117"/>
      <c r="L24" s="117">
        <v>2</v>
      </c>
      <c r="M24" s="117"/>
      <c r="N24" s="117">
        <v>1</v>
      </c>
      <c r="O24" s="117">
        <v>0.85</v>
      </c>
      <c r="P24" s="117">
        <v>0.7</v>
      </c>
      <c r="Q24" s="119">
        <f t="shared" si="0"/>
        <v>0.77499999999999991</v>
      </c>
      <c r="R24" s="117">
        <v>17</v>
      </c>
      <c r="S24" s="117">
        <v>146</v>
      </c>
      <c r="T24" s="120">
        <f t="shared" si="1"/>
        <v>22</v>
      </c>
      <c r="U24" s="117">
        <v>127</v>
      </c>
      <c r="V24" s="121">
        <f t="shared" si="2"/>
        <v>2794</v>
      </c>
      <c r="W24" s="117">
        <v>5</v>
      </c>
      <c r="X24" s="117" t="s">
        <v>46</v>
      </c>
      <c r="Y24" s="117" t="s">
        <v>47</v>
      </c>
      <c r="Z24" s="117" t="s">
        <v>69</v>
      </c>
      <c r="AA24" s="117" t="s">
        <v>90</v>
      </c>
      <c r="AB24" s="54" t="s">
        <v>160</v>
      </c>
      <c r="AP24" s="140" t="s">
        <v>275</v>
      </c>
      <c r="AR24" s="130" t="s">
        <v>91</v>
      </c>
    </row>
    <row r="25" spans="1:48" s="127" customFormat="1" x14ac:dyDescent="0.15">
      <c r="A25" s="117" t="s">
        <v>51</v>
      </c>
      <c r="B25" s="117" t="s">
        <v>157</v>
      </c>
      <c r="C25" s="117">
        <v>2019</v>
      </c>
      <c r="D25" s="118" t="s">
        <v>258</v>
      </c>
      <c r="E25" s="117" t="s">
        <v>212</v>
      </c>
      <c r="F25" s="117" t="s">
        <v>261</v>
      </c>
      <c r="G25" s="117" t="s">
        <v>42</v>
      </c>
      <c r="H25" s="117" t="s">
        <v>162</v>
      </c>
      <c r="I25" s="117" t="s">
        <v>161</v>
      </c>
      <c r="J25" s="117" t="s">
        <v>38</v>
      </c>
      <c r="K25" s="117"/>
      <c r="L25" s="117">
        <v>3</v>
      </c>
      <c r="M25" s="117"/>
      <c r="N25" s="117">
        <v>1</v>
      </c>
      <c r="O25" s="117">
        <v>0.8</v>
      </c>
      <c r="P25" s="117">
        <v>0.8</v>
      </c>
      <c r="Q25" s="119">
        <f t="shared" si="0"/>
        <v>0.8</v>
      </c>
      <c r="R25" s="117">
        <v>17.5</v>
      </c>
      <c r="S25" s="117">
        <v>150</v>
      </c>
      <c r="T25" s="120">
        <f t="shared" si="1"/>
        <v>22</v>
      </c>
      <c r="U25" s="117">
        <v>127</v>
      </c>
      <c r="V25" s="121">
        <f t="shared" si="2"/>
        <v>2794</v>
      </c>
      <c r="W25" s="117">
        <v>5</v>
      </c>
      <c r="X25" s="117" t="s">
        <v>46</v>
      </c>
      <c r="Y25" s="117" t="s">
        <v>47</v>
      </c>
      <c r="Z25" s="117" t="s">
        <v>69</v>
      </c>
      <c r="AA25" s="117" t="s">
        <v>90</v>
      </c>
      <c r="AB25" s="54" t="s">
        <v>160</v>
      </c>
      <c r="AP25" s="140" t="s">
        <v>276</v>
      </c>
      <c r="AR25" s="140" t="s">
        <v>51</v>
      </c>
    </row>
    <row r="26" spans="1:48" s="127" customFormat="1" x14ac:dyDescent="0.15">
      <c r="A26" s="117" t="s">
        <v>51</v>
      </c>
      <c r="B26" s="117" t="s">
        <v>157</v>
      </c>
      <c r="C26" s="117">
        <v>2019</v>
      </c>
      <c r="D26" s="118" t="s">
        <v>258</v>
      </c>
      <c r="E26" s="117" t="s">
        <v>269</v>
      </c>
      <c r="F26" s="117" t="s">
        <v>261</v>
      </c>
      <c r="G26" s="117" t="s">
        <v>42</v>
      </c>
      <c r="H26" s="117" t="s">
        <v>186</v>
      </c>
      <c r="I26" s="117" t="s">
        <v>161</v>
      </c>
      <c r="J26" s="117" t="s">
        <v>38</v>
      </c>
      <c r="K26" s="117"/>
      <c r="L26" s="117">
        <v>1</v>
      </c>
      <c r="M26" s="117"/>
      <c r="N26" s="117">
        <v>4</v>
      </c>
      <c r="O26" s="117">
        <v>0.65</v>
      </c>
      <c r="P26" s="117">
        <v>0.65</v>
      </c>
      <c r="Q26" s="119">
        <f t="shared" si="0"/>
        <v>0.65</v>
      </c>
      <c r="R26" s="117">
        <v>14</v>
      </c>
      <c r="S26" s="117">
        <v>94</v>
      </c>
      <c r="T26" s="120">
        <f t="shared" si="1"/>
        <v>36</v>
      </c>
      <c r="U26" s="117">
        <v>398</v>
      </c>
      <c r="V26" s="121">
        <f t="shared" si="2"/>
        <v>3582</v>
      </c>
      <c r="W26" s="117">
        <v>15</v>
      </c>
      <c r="X26" s="117" t="s">
        <v>46</v>
      </c>
      <c r="Y26" s="117" t="s">
        <v>90</v>
      </c>
      <c r="Z26" s="117" t="s">
        <v>55</v>
      </c>
      <c r="AA26" s="117" t="s">
        <v>47</v>
      </c>
      <c r="AB26" s="54" t="s">
        <v>160</v>
      </c>
      <c r="AP26" s="140" t="s">
        <v>231</v>
      </c>
      <c r="AR26" s="127" t="s">
        <v>232</v>
      </c>
    </row>
    <row r="27" spans="1:48" s="127" customFormat="1" x14ac:dyDescent="0.15">
      <c r="A27" s="117" t="s">
        <v>51</v>
      </c>
      <c r="B27" s="117" t="s">
        <v>157</v>
      </c>
      <c r="C27" s="117">
        <v>2019</v>
      </c>
      <c r="D27" s="118" t="s">
        <v>258</v>
      </c>
      <c r="E27" s="117" t="s">
        <v>269</v>
      </c>
      <c r="F27" s="117" t="s">
        <v>261</v>
      </c>
      <c r="G27" s="117" t="s">
        <v>42</v>
      </c>
      <c r="H27" s="117" t="s">
        <v>186</v>
      </c>
      <c r="I27" s="117" t="s">
        <v>161</v>
      </c>
      <c r="J27" s="117" t="s">
        <v>38</v>
      </c>
      <c r="K27" s="117"/>
      <c r="L27" s="117">
        <v>2</v>
      </c>
      <c r="M27" s="117"/>
      <c r="N27" s="117">
        <v>4</v>
      </c>
      <c r="O27" s="117">
        <v>0.7</v>
      </c>
      <c r="P27" s="117">
        <v>0.75</v>
      </c>
      <c r="Q27" s="119">
        <f t="shared" si="0"/>
        <v>0.72499999999999998</v>
      </c>
      <c r="R27" s="117">
        <v>14.6</v>
      </c>
      <c r="S27" s="117">
        <v>95</v>
      </c>
      <c r="T27" s="120">
        <f t="shared" si="1"/>
        <v>36</v>
      </c>
      <c r="U27" s="117">
        <v>398</v>
      </c>
      <c r="V27" s="121">
        <f t="shared" si="2"/>
        <v>3582</v>
      </c>
      <c r="W27" s="117">
        <v>15</v>
      </c>
      <c r="X27" s="117" t="s">
        <v>46</v>
      </c>
      <c r="Y27" s="117" t="s">
        <v>90</v>
      </c>
      <c r="Z27" s="117" t="s">
        <v>55</v>
      </c>
      <c r="AA27" s="117" t="s">
        <v>47</v>
      </c>
      <c r="AB27" s="54" t="s">
        <v>160</v>
      </c>
      <c r="AP27" s="140" t="s">
        <v>233</v>
      </c>
    </row>
    <row r="28" spans="1:48" s="127" customFormat="1" x14ac:dyDescent="0.15">
      <c r="A28" s="117" t="s">
        <v>51</v>
      </c>
      <c r="B28" s="117" t="s">
        <v>157</v>
      </c>
      <c r="C28" s="117">
        <v>2019</v>
      </c>
      <c r="D28" s="118" t="s">
        <v>258</v>
      </c>
      <c r="E28" s="117" t="s">
        <v>269</v>
      </c>
      <c r="F28" s="117" t="s">
        <v>261</v>
      </c>
      <c r="G28" s="117" t="s">
        <v>42</v>
      </c>
      <c r="H28" s="117" t="s">
        <v>186</v>
      </c>
      <c r="I28" s="117" t="s">
        <v>161</v>
      </c>
      <c r="J28" s="117" t="s">
        <v>38</v>
      </c>
      <c r="K28" s="117"/>
      <c r="L28" s="117">
        <v>3</v>
      </c>
      <c r="M28" s="117"/>
      <c r="N28" s="117">
        <v>4</v>
      </c>
      <c r="O28" s="117">
        <v>0.75</v>
      </c>
      <c r="P28" s="117">
        <v>0.6</v>
      </c>
      <c r="Q28" s="119">
        <f t="shared" si="0"/>
        <v>0.67500000000000004</v>
      </c>
      <c r="R28" s="117">
        <v>15.1</v>
      </c>
      <c r="S28" s="117">
        <v>99</v>
      </c>
      <c r="T28" s="120">
        <f t="shared" si="1"/>
        <v>33</v>
      </c>
      <c r="U28" s="117">
        <v>398</v>
      </c>
      <c r="V28" s="121">
        <f t="shared" si="2"/>
        <v>3283.5</v>
      </c>
      <c r="W28" s="117">
        <v>15</v>
      </c>
      <c r="X28" s="117" t="s">
        <v>46</v>
      </c>
      <c r="Y28" s="117" t="s">
        <v>90</v>
      </c>
      <c r="Z28" s="117" t="s">
        <v>55</v>
      </c>
      <c r="AA28" s="117" t="s">
        <v>47</v>
      </c>
      <c r="AB28" s="54" t="s">
        <v>160</v>
      </c>
    </row>
    <row r="29" spans="1:48" s="127" customFormat="1" x14ac:dyDescent="0.15">
      <c r="A29" s="117" t="s">
        <v>51</v>
      </c>
      <c r="B29" s="117" t="s">
        <v>157</v>
      </c>
      <c r="C29" s="117">
        <v>2019</v>
      </c>
      <c r="D29" s="118" t="s">
        <v>258</v>
      </c>
      <c r="E29" s="117" t="s">
        <v>269</v>
      </c>
      <c r="F29" s="117" t="s">
        <v>261</v>
      </c>
      <c r="G29" s="117" t="s">
        <v>42</v>
      </c>
      <c r="H29" s="117" t="s">
        <v>162</v>
      </c>
      <c r="I29" s="117" t="s">
        <v>161</v>
      </c>
      <c r="J29" s="117" t="s">
        <v>38</v>
      </c>
      <c r="K29" s="117"/>
      <c r="L29" s="117">
        <v>1</v>
      </c>
      <c r="M29" s="117"/>
      <c r="N29" s="117">
        <v>1</v>
      </c>
      <c r="O29" s="117">
        <v>1.35</v>
      </c>
      <c r="P29" s="117">
        <v>1.2</v>
      </c>
      <c r="Q29" s="119">
        <f t="shared" si="0"/>
        <v>1.2749999999999999</v>
      </c>
      <c r="R29" s="117">
        <v>15.4</v>
      </c>
      <c r="S29" s="117">
        <v>114</v>
      </c>
      <c r="T29" s="120">
        <f t="shared" si="1"/>
        <v>30</v>
      </c>
      <c r="U29" s="117">
        <v>98</v>
      </c>
      <c r="V29" s="121">
        <f t="shared" si="2"/>
        <v>2940</v>
      </c>
      <c r="W29" s="117">
        <v>15</v>
      </c>
      <c r="X29" s="117" t="s">
        <v>46</v>
      </c>
      <c r="Y29" s="117" t="s">
        <v>90</v>
      </c>
      <c r="Z29" s="117" t="s">
        <v>55</v>
      </c>
      <c r="AA29" s="117" t="s">
        <v>47</v>
      </c>
      <c r="AB29" s="54" t="s">
        <v>160</v>
      </c>
    </row>
    <row r="30" spans="1:48" s="127" customFormat="1" x14ac:dyDescent="0.15">
      <c r="A30" s="117" t="s">
        <v>51</v>
      </c>
      <c r="B30" s="117" t="s">
        <v>157</v>
      </c>
      <c r="C30" s="117">
        <v>2019</v>
      </c>
      <c r="D30" s="118" t="s">
        <v>258</v>
      </c>
      <c r="E30" s="117" t="s">
        <v>269</v>
      </c>
      <c r="F30" s="117" t="s">
        <v>261</v>
      </c>
      <c r="G30" s="117" t="s">
        <v>42</v>
      </c>
      <c r="H30" s="117" t="s">
        <v>162</v>
      </c>
      <c r="I30" s="117" t="s">
        <v>161</v>
      </c>
      <c r="J30" s="117" t="s">
        <v>38</v>
      </c>
      <c r="K30" s="117"/>
      <c r="L30" s="117">
        <v>2</v>
      </c>
      <c r="M30" s="117"/>
      <c r="N30" s="117">
        <v>1</v>
      </c>
      <c r="O30" s="117">
        <v>1.1499999999999999</v>
      </c>
      <c r="P30" s="117">
        <v>1.25</v>
      </c>
      <c r="Q30" s="119">
        <f t="shared" si="0"/>
        <v>1.2</v>
      </c>
      <c r="R30" s="117">
        <v>15.8</v>
      </c>
      <c r="S30" s="117">
        <v>114</v>
      </c>
      <c r="T30" s="120">
        <f t="shared" si="1"/>
        <v>30</v>
      </c>
      <c r="U30" s="117">
        <v>98</v>
      </c>
      <c r="V30" s="121">
        <f t="shared" si="2"/>
        <v>2940</v>
      </c>
      <c r="W30" s="117">
        <v>15</v>
      </c>
      <c r="X30" s="117" t="s">
        <v>46</v>
      </c>
      <c r="Y30" s="117" t="s">
        <v>90</v>
      </c>
      <c r="Z30" s="117" t="s">
        <v>55</v>
      </c>
      <c r="AA30" s="117" t="s">
        <v>47</v>
      </c>
      <c r="AB30" s="54" t="s">
        <v>160</v>
      </c>
    </row>
    <row r="31" spans="1:48" s="127" customFormat="1" x14ac:dyDescent="0.15">
      <c r="A31" s="117" t="s">
        <v>51</v>
      </c>
      <c r="B31" s="117" t="s">
        <v>157</v>
      </c>
      <c r="C31" s="117">
        <v>2019</v>
      </c>
      <c r="D31" s="118" t="s">
        <v>258</v>
      </c>
      <c r="E31" s="117" t="s">
        <v>269</v>
      </c>
      <c r="F31" s="117" t="s">
        <v>261</v>
      </c>
      <c r="G31" s="117" t="s">
        <v>42</v>
      </c>
      <c r="H31" s="117" t="s">
        <v>162</v>
      </c>
      <c r="I31" s="117" t="s">
        <v>161</v>
      </c>
      <c r="J31" s="117" t="s">
        <v>38</v>
      </c>
      <c r="K31" s="117"/>
      <c r="L31" s="117">
        <v>3</v>
      </c>
      <c r="M31" s="117"/>
      <c r="N31" s="117">
        <v>1</v>
      </c>
      <c r="O31" s="117">
        <v>1.1000000000000001</v>
      </c>
      <c r="P31" s="117">
        <v>1.3</v>
      </c>
      <c r="Q31" s="119">
        <f t="shared" si="0"/>
        <v>1.2000000000000002</v>
      </c>
      <c r="R31" s="117">
        <v>16.2</v>
      </c>
      <c r="S31" s="117">
        <v>118</v>
      </c>
      <c r="T31" s="120">
        <f t="shared" si="1"/>
        <v>30</v>
      </c>
      <c r="U31" s="117">
        <v>98</v>
      </c>
      <c r="V31" s="121">
        <f t="shared" si="2"/>
        <v>2940</v>
      </c>
      <c r="W31" s="117">
        <v>15</v>
      </c>
      <c r="X31" s="117" t="s">
        <v>46</v>
      </c>
      <c r="Y31" s="117" t="s">
        <v>90</v>
      </c>
      <c r="Z31" s="117" t="s">
        <v>55</v>
      </c>
      <c r="AA31" s="117" t="s">
        <v>47</v>
      </c>
      <c r="AB31" s="54" t="s">
        <v>160</v>
      </c>
    </row>
    <row r="32" spans="1:48" s="127" customFormat="1" x14ac:dyDescent="0.15">
      <c r="A32" s="117" t="s">
        <v>51</v>
      </c>
      <c r="B32" s="117" t="s">
        <v>157</v>
      </c>
      <c r="C32" s="117">
        <v>2019</v>
      </c>
      <c r="D32" s="118" t="s">
        <v>258</v>
      </c>
      <c r="E32" s="117" t="s">
        <v>264</v>
      </c>
      <c r="F32" s="117" t="s">
        <v>265</v>
      </c>
      <c r="G32" s="117" t="s">
        <v>42</v>
      </c>
      <c r="H32" s="117" t="s">
        <v>162</v>
      </c>
      <c r="I32" s="117" t="s">
        <v>161</v>
      </c>
      <c r="J32" s="117" t="s">
        <v>38</v>
      </c>
      <c r="K32" s="117"/>
      <c r="L32" s="117">
        <v>1</v>
      </c>
      <c r="M32" s="117"/>
      <c r="N32" s="117">
        <v>1</v>
      </c>
      <c r="O32" s="117">
        <v>0.85</v>
      </c>
      <c r="P32" s="117">
        <v>0.75</v>
      </c>
      <c r="Q32" s="119">
        <f t="shared" si="0"/>
        <v>0.8</v>
      </c>
      <c r="R32" s="117">
        <v>18</v>
      </c>
      <c r="S32" s="117">
        <v>126</v>
      </c>
      <c r="T32" s="120">
        <f t="shared" si="1"/>
        <v>27</v>
      </c>
      <c r="U32" s="117">
        <v>128</v>
      </c>
      <c r="V32" s="121">
        <f t="shared" si="2"/>
        <v>3456</v>
      </c>
      <c r="W32" s="117">
        <v>10</v>
      </c>
      <c r="X32" s="117" t="s">
        <v>46</v>
      </c>
      <c r="Y32" s="117" t="s">
        <v>69</v>
      </c>
      <c r="Z32" s="117" t="s">
        <v>55</v>
      </c>
      <c r="AA32" s="117" t="s">
        <v>90</v>
      </c>
      <c r="AB32" s="54" t="s">
        <v>160</v>
      </c>
    </row>
    <row r="33" spans="1:28" s="127" customFormat="1" x14ac:dyDescent="0.15">
      <c r="A33" s="117" t="s">
        <v>51</v>
      </c>
      <c r="B33" s="117" t="s">
        <v>157</v>
      </c>
      <c r="C33" s="117">
        <v>2019</v>
      </c>
      <c r="D33" s="118" t="s">
        <v>258</v>
      </c>
      <c r="E33" s="117" t="s">
        <v>264</v>
      </c>
      <c r="F33" s="117" t="s">
        <v>265</v>
      </c>
      <c r="G33" s="117" t="s">
        <v>42</v>
      </c>
      <c r="H33" s="117" t="s">
        <v>162</v>
      </c>
      <c r="I33" s="117" t="s">
        <v>161</v>
      </c>
      <c r="J33" s="117" t="s">
        <v>38</v>
      </c>
      <c r="K33" s="117"/>
      <c r="L33" s="117">
        <v>2</v>
      </c>
      <c r="M33" s="117"/>
      <c r="N33" s="117">
        <v>1</v>
      </c>
      <c r="O33" s="117">
        <v>0.8</v>
      </c>
      <c r="P33" s="117">
        <v>0.8</v>
      </c>
      <c r="Q33" s="119">
        <f t="shared" si="0"/>
        <v>0.8</v>
      </c>
      <c r="R33" s="117">
        <v>17.600000000000001</v>
      </c>
      <c r="S33" s="117">
        <v>136</v>
      </c>
      <c r="T33" s="120">
        <f t="shared" si="1"/>
        <v>25</v>
      </c>
      <c r="U33" s="117">
        <v>128</v>
      </c>
      <c r="V33" s="121">
        <f t="shared" si="2"/>
        <v>3200</v>
      </c>
      <c r="W33" s="117">
        <v>10</v>
      </c>
      <c r="X33" s="117" t="s">
        <v>46</v>
      </c>
      <c r="Y33" s="117" t="s">
        <v>69</v>
      </c>
      <c r="Z33" s="117" t="s">
        <v>55</v>
      </c>
      <c r="AA33" s="117" t="s">
        <v>90</v>
      </c>
      <c r="AB33" s="54" t="s">
        <v>160</v>
      </c>
    </row>
    <row r="34" spans="1:28" s="127" customFormat="1" x14ac:dyDescent="0.15">
      <c r="A34" s="117" t="s">
        <v>51</v>
      </c>
      <c r="B34" s="117" t="s">
        <v>157</v>
      </c>
      <c r="C34" s="117">
        <v>2019</v>
      </c>
      <c r="D34" s="118" t="s">
        <v>258</v>
      </c>
      <c r="E34" s="117" t="s">
        <v>264</v>
      </c>
      <c r="F34" s="117" t="s">
        <v>265</v>
      </c>
      <c r="G34" s="117" t="s">
        <v>42</v>
      </c>
      <c r="H34" s="117" t="s">
        <v>162</v>
      </c>
      <c r="I34" s="117" t="s">
        <v>161</v>
      </c>
      <c r="J34" s="117" t="s">
        <v>38</v>
      </c>
      <c r="K34" s="117"/>
      <c r="L34" s="117">
        <v>3</v>
      </c>
      <c r="M34" s="117"/>
      <c r="N34" s="117">
        <v>1</v>
      </c>
      <c r="O34" s="117">
        <v>0.9</v>
      </c>
      <c r="P34" s="117">
        <v>0.85</v>
      </c>
      <c r="Q34" s="119">
        <f t="shared" si="0"/>
        <v>0.875</v>
      </c>
      <c r="R34" s="117">
        <v>16.8</v>
      </c>
      <c r="S34" s="117">
        <v>130</v>
      </c>
      <c r="T34" s="120">
        <f t="shared" si="1"/>
        <v>25</v>
      </c>
      <c r="U34" s="117">
        <v>128</v>
      </c>
      <c r="V34" s="121">
        <f t="shared" si="2"/>
        <v>3200</v>
      </c>
      <c r="W34" s="117">
        <v>10</v>
      </c>
      <c r="X34" s="117" t="s">
        <v>46</v>
      </c>
      <c r="Y34" s="117" t="s">
        <v>69</v>
      </c>
      <c r="Z34" s="117" t="s">
        <v>55</v>
      </c>
      <c r="AA34" s="117" t="s">
        <v>90</v>
      </c>
      <c r="AB34" s="54" t="s">
        <v>160</v>
      </c>
    </row>
    <row r="35" spans="1:28" s="127" customFormat="1" x14ac:dyDescent="0.15">
      <c r="A35" s="117" t="s">
        <v>51</v>
      </c>
      <c r="B35" s="117" t="s">
        <v>157</v>
      </c>
      <c r="C35" s="117">
        <v>2019</v>
      </c>
      <c r="D35" s="118" t="s">
        <v>258</v>
      </c>
      <c r="E35" s="117" t="s">
        <v>266</v>
      </c>
      <c r="F35" s="117" t="s">
        <v>260</v>
      </c>
      <c r="G35" s="117" t="s">
        <v>36</v>
      </c>
      <c r="H35" s="117" t="s">
        <v>188</v>
      </c>
      <c r="I35" s="117" t="s">
        <v>161</v>
      </c>
      <c r="J35" s="117" t="s">
        <v>58</v>
      </c>
      <c r="K35" s="117"/>
      <c r="L35" s="117">
        <v>1</v>
      </c>
      <c r="M35" s="117"/>
      <c r="N35" s="117">
        <v>1</v>
      </c>
      <c r="O35" s="117">
        <v>0.9</v>
      </c>
      <c r="P35" s="117">
        <v>0.9</v>
      </c>
      <c r="Q35" s="119">
        <f t="shared" si="0"/>
        <v>0.9</v>
      </c>
      <c r="R35" s="117">
        <v>14.1</v>
      </c>
      <c r="S35" s="117">
        <v>96</v>
      </c>
      <c r="T35" s="120">
        <f t="shared" si="1"/>
        <v>36</v>
      </c>
      <c r="U35" s="117">
        <v>128</v>
      </c>
      <c r="V35" s="121">
        <f t="shared" si="2"/>
        <v>4608</v>
      </c>
      <c r="W35" s="117">
        <v>11</v>
      </c>
      <c r="X35" s="117" t="s">
        <v>46</v>
      </c>
      <c r="Y35" s="117" t="s">
        <v>55</v>
      </c>
      <c r="Z35" s="117" t="s">
        <v>69</v>
      </c>
      <c r="AA35" s="117" t="s">
        <v>40</v>
      </c>
      <c r="AB35" s="54" t="s">
        <v>160</v>
      </c>
    </row>
    <row r="36" spans="1:28" s="127" customFormat="1" x14ac:dyDescent="0.15">
      <c r="A36" s="117" t="s">
        <v>51</v>
      </c>
      <c r="B36" s="117" t="s">
        <v>157</v>
      </c>
      <c r="C36" s="117">
        <v>2019</v>
      </c>
      <c r="D36" s="118" t="s">
        <v>258</v>
      </c>
      <c r="E36" s="117" t="s">
        <v>266</v>
      </c>
      <c r="F36" s="117" t="s">
        <v>260</v>
      </c>
      <c r="G36" s="117" t="s">
        <v>36</v>
      </c>
      <c r="H36" s="117" t="s">
        <v>188</v>
      </c>
      <c r="I36" s="117" t="s">
        <v>161</v>
      </c>
      <c r="J36" s="117" t="s">
        <v>58</v>
      </c>
      <c r="K36" s="117"/>
      <c r="L36" s="117">
        <v>2</v>
      </c>
      <c r="M36" s="117"/>
      <c r="N36" s="117">
        <v>1</v>
      </c>
      <c r="O36" s="117">
        <v>1</v>
      </c>
      <c r="P36" s="117">
        <v>0.95</v>
      </c>
      <c r="Q36" s="119">
        <f t="shared" si="0"/>
        <v>0.97499999999999998</v>
      </c>
      <c r="R36" s="117">
        <v>14.4</v>
      </c>
      <c r="S36" s="117">
        <v>99</v>
      </c>
      <c r="T36" s="120">
        <f t="shared" si="1"/>
        <v>33</v>
      </c>
      <c r="U36" s="117">
        <v>128</v>
      </c>
      <c r="V36" s="121">
        <f t="shared" si="2"/>
        <v>4224</v>
      </c>
      <c r="W36" s="117">
        <v>11</v>
      </c>
      <c r="X36" s="117" t="s">
        <v>46</v>
      </c>
      <c r="Y36" s="117" t="s">
        <v>55</v>
      </c>
      <c r="Z36" s="117" t="s">
        <v>69</v>
      </c>
      <c r="AA36" s="117" t="s">
        <v>40</v>
      </c>
      <c r="AB36" s="54" t="s">
        <v>160</v>
      </c>
    </row>
    <row r="37" spans="1:28" s="127" customFormat="1" x14ac:dyDescent="0.15">
      <c r="A37" s="117" t="s">
        <v>51</v>
      </c>
      <c r="B37" s="117" t="s">
        <v>157</v>
      </c>
      <c r="C37" s="117">
        <v>2019</v>
      </c>
      <c r="D37" s="118" t="s">
        <v>258</v>
      </c>
      <c r="E37" s="117" t="s">
        <v>266</v>
      </c>
      <c r="F37" s="117" t="s">
        <v>260</v>
      </c>
      <c r="G37" s="117" t="s">
        <v>36</v>
      </c>
      <c r="H37" s="117" t="s">
        <v>188</v>
      </c>
      <c r="I37" s="117" t="s">
        <v>161</v>
      </c>
      <c r="J37" s="117" t="s">
        <v>58</v>
      </c>
      <c r="K37" s="117"/>
      <c r="L37" s="117">
        <v>3</v>
      </c>
      <c r="M37" s="117"/>
      <c r="N37" s="117">
        <v>1</v>
      </c>
      <c r="O37" s="117">
        <v>0.9</v>
      </c>
      <c r="P37" s="117">
        <v>1.1000000000000001</v>
      </c>
      <c r="Q37" s="119">
        <f t="shared" si="0"/>
        <v>1</v>
      </c>
      <c r="R37" s="117">
        <v>12.9</v>
      </c>
      <c r="S37" s="117">
        <v>94</v>
      </c>
      <c r="T37" s="120">
        <f t="shared" si="1"/>
        <v>36</v>
      </c>
      <c r="U37" s="117">
        <v>128</v>
      </c>
      <c r="V37" s="121">
        <f t="shared" si="2"/>
        <v>4608</v>
      </c>
      <c r="W37" s="117">
        <v>11</v>
      </c>
      <c r="X37" s="117" t="s">
        <v>46</v>
      </c>
      <c r="Y37" s="117" t="s">
        <v>55</v>
      </c>
      <c r="Z37" s="117" t="s">
        <v>69</v>
      </c>
      <c r="AA37" s="117" t="s">
        <v>40</v>
      </c>
      <c r="AB37" s="54" t="s">
        <v>160</v>
      </c>
    </row>
    <row r="38" spans="1:28" s="127" customFormat="1" x14ac:dyDescent="0.15">
      <c r="A38" s="117" t="s">
        <v>51</v>
      </c>
      <c r="B38" s="117" t="s">
        <v>157</v>
      </c>
      <c r="C38" s="117">
        <v>2019</v>
      </c>
      <c r="D38" s="118" t="s">
        <v>258</v>
      </c>
      <c r="E38" s="117" t="s">
        <v>266</v>
      </c>
      <c r="F38" s="117" t="s">
        <v>260</v>
      </c>
      <c r="G38" s="117" t="s">
        <v>36</v>
      </c>
      <c r="H38" s="117" t="s">
        <v>162</v>
      </c>
      <c r="I38" s="117" t="s">
        <v>161</v>
      </c>
      <c r="J38" s="117" t="s">
        <v>38</v>
      </c>
      <c r="K38" s="117"/>
      <c r="L38" s="117">
        <v>1</v>
      </c>
      <c r="M38" s="117"/>
      <c r="N38" s="117">
        <v>3</v>
      </c>
      <c r="O38" s="117">
        <v>0.8</v>
      </c>
      <c r="P38" s="117">
        <v>0.75</v>
      </c>
      <c r="Q38" s="119">
        <f t="shared" si="0"/>
        <v>0.77500000000000002</v>
      </c>
      <c r="R38" s="117">
        <v>17.600000000000001</v>
      </c>
      <c r="S38" s="117">
        <v>150</v>
      </c>
      <c r="T38" s="120">
        <f t="shared" si="1"/>
        <v>22</v>
      </c>
      <c r="U38" s="117">
        <v>498</v>
      </c>
      <c r="V38" s="121">
        <f t="shared" si="2"/>
        <v>3652</v>
      </c>
      <c r="W38" s="117">
        <v>11</v>
      </c>
      <c r="X38" s="117" t="s">
        <v>46</v>
      </c>
      <c r="Y38" s="117" t="s">
        <v>55</v>
      </c>
      <c r="Z38" s="117" t="s">
        <v>69</v>
      </c>
      <c r="AA38" s="117" t="s">
        <v>40</v>
      </c>
      <c r="AB38" s="54" t="s">
        <v>160</v>
      </c>
    </row>
    <row r="39" spans="1:28" s="127" customFormat="1" x14ac:dyDescent="0.15">
      <c r="A39" s="117" t="s">
        <v>51</v>
      </c>
      <c r="B39" s="117" t="s">
        <v>157</v>
      </c>
      <c r="C39" s="117">
        <v>2019</v>
      </c>
      <c r="D39" s="118" t="s">
        <v>258</v>
      </c>
      <c r="E39" s="117" t="s">
        <v>266</v>
      </c>
      <c r="F39" s="117" t="s">
        <v>260</v>
      </c>
      <c r="G39" s="117" t="s">
        <v>36</v>
      </c>
      <c r="H39" s="117" t="s">
        <v>162</v>
      </c>
      <c r="I39" s="117" t="s">
        <v>161</v>
      </c>
      <c r="J39" s="117" t="s">
        <v>38</v>
      </c>
      <c r="K39" s="117"/>
      <c r="L39" s="117">
        <v>2</v>
      </c>
      <c r="M39" s="117"/>
      <c r="N39" s="117">
        <v>3</v>
      </c>
      <c r="O39" s="117">
        <v>0.7</v>
      </c>
      <c r="P39" s="117">
        <v>0.7</v>
      </c>
      <c r="Q39" s="119">
        <f t="shared" si="0"/>
        <v>0.7</v>
      </c>
      <c r="R39" s="117">
        <v>18</v>
      </c>
      <c r="S39" s="117">
        <v>156</v>
      </c>
      <c r="T39" s="120">
        <f t="shared" si="1"/>
        <v>18</v>
      </c>
      <c r="U39" s="117">
        <v>498</v>
      </c>
      <c r="V39" s="121">
        <f t="shared" si="2"/>
        <v>2988</v>
      </c>
      <c r="W39" s="117">
        <v>11</v>
      </c>
      <c r="X39" s="117" t="s">
        <v>46</v>
      </c>
      <c r="Y39" s="117" t="s">
        <v>55</v>
      </c>
      <c r="Z39" s="117" t="s">
        <v>69</v>
      </c>
      <c r="AA39" s="117" t="s">
        <v>40</v>
      </c>
      <c r="AB39" s="54" t="s">
        <v>160</v>
      </c>
    </row>
    <row r="40" spans="1:28" s="127" customFormat="1" x14ac:dyDescent="0.15">
      <c r="A40" s="117" t="s">
        <v>51</v>
      </c>
      <c r="B40" s="117" t="s">
        <v>157</v>
      </c>
      <c r="C40" s="117">
        <v>2019</v>
      </c>
      <c r="D40" s="118" t="s">
        <v>258</v>
      </c>
      <c r="E40" s="117" t="s">
        <v>266</v>
      </c>
      <c r="F40" s="117" t="s">
        <v>260</v>
      </c>
      <c r="G40" s="117" t="s">
        <v>36</v>
      </c>
      <c r="H40" s="117" t="s">
        <v>162</v>
      </c>
      <c r="I40" s="117" t="s">
        <v>161</v>
      </c>
      <c r="J40" s="117" t="s">
        <v>38</v>
      </c>
      <c r="K40" s="117"/>
      <c r="L40" s="117">
        <v>3</v>
      </c>
      <c r="M40" s="117"/>
      <c r="N40" s="117">
        <v>3</v>
      </c>
      <c r="O40" s="117">
        <v>0.75</v>
      </c>
      <c r="P40" s="117">
        <v>0.9</v>
      </c>
      <c r="Q40" s="119">
        <f t="shared" si="0"/>
        <v>0.82499999999999996</v>
      </c>
      <c r="R40" s="117">
        <v>17.8</v>
      </c>
      <c r="S40" s="117">
        <v>156</v>
      </c>
      <c r="T40" s="120">
        <f t="shared" si="1"/>
        <v>18</v>
      </c>
      <c r="U40" s="117">
        <v>498</v>
      </c>
      <c r="V40" s="121">
        <f t="shared" si="2"/>
        <v>2988</v>
      </c>
      <c r="W40" s="117">
        <v>11</v>
      </c>
      <c r="X40" s="117" t="s">
        <v>46</v>
      </c>
      <c r="Y40" s="117" t="s">
        <v>55</v>
      </c>
      <c r="Z40" s="117" t="s">
        <v>69</v>
      </c>
      <c r="AA40" s="117" t="s">
        <v>40</v>
      </c>
      <c r="AB40" s="54" t="s">
        <v>160</v>
      </c>
    </row>
    <row r="41" spans="1:28" s="127" customFormat="1" x14ac:dyDescent="0.15">
      <c r="A41" s="117" t="s">
        <v>51</v>
      </c>
      <c r="B41" s="117" t="s">
        <v>157</v>
      </c>
      <c r="C41" s="117">
        <v>2019</v>
      </c>
      <c r="D41" s="118" t="s">
        <v>258</v>
      </c>
      <c r="E41" s="117" t="s">
        <v>270</v>
      </c>
      <c r="F41" s="117" t="s">
        <v>271</v>
      </c>
      <c r="G41" s="117" t="s">
        <v>36</v>
      </c>
      <c r="H41" s="117" t="s">
        <v>188</v>
      </c>
      <c r="I41" s="117" t="s">
        <v>161</v>
      </c>
      <c r="J41" s="117" t="s">
        <v>58</v>
      </c>
      <c r="K41" s="117"/>
      <c r="L41" s="117">
        <v>1</v>
      </c>
      <c r="M41" s="117"/>
      <c r="N41" s="117">
        <v>4</v>
      </c>
      <c r="O41" s="117">
        <v>0.9</v>
      </c>
      <c r="P41" s="117">
        <v>1</v>
      </c>
      <c r="Q41" s="119">
        <f t="shared" si="0"/>
        <v>0.95</v>
      </c>
      <c r="R41" s="117">
        <v>11.9</v>
      </c>
      <c r="S41" s="117">
        <v>124</v>
      </c>
      <c r="T41" s="120">
        <f t="shared" si="1"/>
        <v>27</v>
      </c>
      <c r="U41" s="117">
        <v>398</v>
      </c>
      <c r="V41" s="121">
        <f t="shared" si="2"/>
        <v>2686.5</v>
      </c>
      <c r="W41" s="117">
        <v>6</v>
      </c>
      <c r="X41" s="117" t="s">
        <v>46</v>
      </c>
      <c r="Y41" s="117" t="s">
        <v>84</v>
      </c>
      <c r="Z41" s="117" t="s">
        <v>90</v>
      </c>
      <c r="AA41" s="117" t="s">
        <v>40</v>
      </c>
      <c r="AB41" s="54" t="s">
        <v>160</v>
      </c>
    </row>
    <row r="42" spans="1:28" s="127" customFormat="1" x14ac:dyDescent="0.15">
      <c r="A42" s="117" t="s">
        <v>51</v>
      </c>
      <c r="B42" s="117" t="s">
        <v>157</v>
      </c>
      <c r="C42" s="117">
        <v>2019</v>
      </c>
      <c r="D42" s="118" t="s">
        <v>258</v>
      </c>
      <c r="E42" s="117" t="s">
        <v>270</v>
      </c>
      <c r="F42" s="117" t="s">
        <v>271</v>
      </c>
      <c r="G42" s="117" t="s">
        <v>36</v>
      </c>
      <c r="H42" s="117" t="s">
        <v>188</v>
      </c>
      <c r="I42" s="117" t="s">
        <v>161</v>
      </c>
      <c r="J42" s="117" t="s">
        <v>58</v>
      </c>
      <c r="K42" s="117"/>
      <c r="L42" s="117">
        <v>2</v>
      </c>
      <c r="M42" s="117"/>
      <c r="N42" s="117">
        <v>4</v>
      </c>
      <c r="O42" s="117">
        <v>1.05</v>
      </c>
      <c r="P42" s="117">
        <v>1.1000000000000001</v>
      </c>
      <c r="Q42" s="119">
        <f t="shared" si="0"/>
        <v>1.0750000000000002</v>
      </c>
      <c r="R42" s="117">
        <v>12.6</v>
      </c>
      <c r="S42" s="117">
        <v>120</v>
      </c>
      <c r="T42" s="120">
        <f t="shared" si="1"/>
        <v>30</v>
      </c>
      <c r="U42" s="117">
        <v>398</v>
      </c>
      <c r="V42" s="121">
        <f t="shared" si="2"/>
        <v>2985</v>
      </c>
      <c r="W42" s="117">
        <v>6</v>
      </c>
      <c r="X42" s="117" t="s">
        <v>46</v>
      </c>
      <c r="Y42" s="117" t="s">
        <v>84</v>
      </c>
      <c r="Z42" s="117" t="s">
        <v>90</v>
      </c>
      <c r="AA42" s="117" t="s">
        <v>40</v>
      </c>
      <c r="AB42" s="54" t="s">
        <v>160</v>
      </c>
    </row>
    <row r="43" spans="1:28" s="127" customFormat="1" x14ac:dyDescent="0.15">
      <c r="A43" s="117" t="s">
        <v>51</v>
      </c>
      <c r="B43" s="117" t="s">
        <v>157</v>
      </c>
      <c r="C43" s="117">
        <v>2019</v>
      </c>
      <c r="D43" s="118" t="s">
        <v>258</v>
      </c>
      <c r="E43" s="117" t="s">
        <v>270</v>
      </c>
      <c r="F43" s="117" t="s">
        <v>271</v>
      </c>
      <c r="G43" s="117" t="s">
        <v>36</v>
      </c>
      <c r="H43" s="117" t="s">
        <v>188</v>
      </c>
      <c r="I43" s="117" t="s">
        <v>161</v>
      </c>
      <c r="J43" s="117" t="s">
        <v>58</v>
      </c>
      <c r="K43" s="117"/>
      <c r="L43" s="117">
        <v>3</v>
      </c>
      <c r="M43" s="117"/>
      <c r="N43" s="117">
        <v>4</v>
      </c>
      <c r="O43" s="117">
        <v>0.9</v>
      </c>
      <c r="P43" s="117">
        <v>0.8</v>
      </c>
      <c r="Q43" s="119">
        <f t="shared" si="0"/>
        <v>0.85000000000000009</v>
      </c>
      <c r="R43" s="117">
        <v>15.2</v>
      </c>
      <c r="S43" s="117">
        <v>118</v>
      </c>
      <c r="T43" s="120">
        <f t="shared" si="1"/>
        <v>30</v>
      </c>
      <c r="U43" s="117">
        <v>398</v>
      </c>
      <c r="V43" s="121">
        <f t="shared" si="2"/>
        <v>2985</v>
      </c>
      <c r="W43" s="117">
        <v>6</v>
      </c>
      <c r="X43" s="117" t="s">
        <v>46</v>
      </c>
      <c r="Y43" s="117" t="s">
        <v>84</v>
      </c>
      <c r="Z43" s="117" t="s">
        <v>90</v>
      </c>
      <c r="AA43" s="117" t="s">
        <v>40</v>
      </c>
      <c r="AB43" s="54" t="s">
        <v>160</v>
      </c>
    </row>
    <row r="44" spans="1:28" s="127" customFormat="1" x14ac:dyDescent="0.15">
      <c r="A44" s="117" t="s">
        <v>51</v>
      </c>
      <c r="B44" s="117" t="s">
        <v>157</v>
      </c>
      <c r="C44" s="117">
        <v>2019</v>
      </c>
      <c r="D44" s="118" t="s">
        <v>258</v>
      </c>
      <c r="E44" s="117" t="s">
        <v>270</v>
      </c>
      <c r="F44" s="117" t="s">
        <v>271</v>
      </c>
      <c r="G44" s="117" t="s">
        <v>36</v>
      </c>
      <c r="H44" s="117" t="s">
        <v>162</v>
      </c>
      <c r="I44" s="117" t="s">
        <v>161</v>
      </c>
      <c r="J44" s="117" t="s">
        <v>38</v>
      </c>
      <c r="K44" s="117"/>
      <c r="L44" s="117">
        <v>1</v>
      </c>
      <c r="M44" s="117"/>
      <c r="N44" s="117">
        <v>3</v>
      </c>
      <c r="O44" s="117">
        <v>0.8</v>
      </c>
      <c r="P44" s="117">
        <v>0.8</v>
      </c>
      <c r="Q44" s="119">
        <f t="shared" si="0"/>
        <v>0.8</v>
      </c>
      <c r="R44" s="117">
        <v>17.3</v>
      </c>
      <c r="S44" s="117">
        <v>144</v>
      </c>
      <c r="T44" s="120">
        <f t="shared" si="1"/>
        <v>22</v>
      </c>
      <c r="U44" s="117">
        <v>380</v>
      </c>
      <c r="V44" s="121">
        <f t="shared" si="2"/>
        <v>2786.666666666667</v>
      </c>
      <c r="W44" s="117">
        <v>6</v>
      </c>
      <c r="X44" s="117" t="s">
        <v>46</v>
      </c>
      <c r="Y44" s="117" t="s">
        <v>84</v>
      </c>
      <c r="Z44" s="117" t="s">
        <v>90</v>
      </c>
      <c r="AA44" s="117" t="s">
        <v>40</v>
      </c>
      <c r="AB44" s="54" t="s">
        <v>160</v>
      </c>
    </row>
    <row r="45" spans="1:28" s="127" customFormat="1" x14ac:dyDescent="0.15">
      <c r="A45" s="117" t="s">
        <v>51</v>
      </c>
      <c r="B45" s="117" t="s">
        <v>157</v>
      </c>
      <c r="C45" s="117">
        <v>2019</v>
      </c>
      <c r="D45" s="118" t="s">
        <v>258</v>
      </c>
      <c r="E45" s="117" t="s">
        <v>270</v>
      </c>
      <c r="F45" s="117" t="s">
        <v>271</v>
      </c>
      <c r="G45" s="117" t="s">
        <v>36</v>
      </c>
      <c r="H45" s="117" t="s">
        <v>162</v>
      </c>
      <c r="I45" s="117" t="s">
        <v>161</v>
      </c>
      <c r="J45" s="117" t="s">
        <v>38</v>
      </c>
      <c r="K45" s="117"/>
      <c r="L45" s="117">
        <v>2</v>
      </c>
      <c r="M45" s="117"/>
      <c r="N45" s="117">
        <v>3</v>
      </c>
      <c r="O45" s="117">
        <v>0.7</v>
      </c>
      <c r="P45" s="117">
        <v>0.75</v>
      </c>
      <c r="Q45" s="119">
        <f t="shared" si="0"/>
        <v>0.72499999999999998</v>
      </c>
      <c r="R45" s="117">
        <v>16.5</v>
      </c>
      <c r="S45" s="117">
        <v>138</v>
      </c>
      <c r="T45" s="120">
        <f t="shared" si="1"/>
        <v>22</v>
      </c>
      <c r="U45" s="117">
        <v>380</v>
      </c>
      <c r="V45" s="121">
        <f t="shared" si="2"/>
        <v>2786.666666666667</v>
      </c>
      <c r="W45" s="117">
        <v>6</v>
      </c>
      <c r="X45" s="117" t="s">
        <v>46</v>
      </c>
      <c r="Y45" s="117" t="s">
        <v>84</v>
      </c>
      <c r="Z45" s="117" t="s">
        <v>90</v>
      </c>
      <c r="AA45" s="117" t="s">
        <v>40</v>
      </c>
      <c r="AB45" s="54" t="s">
        <v>160</v>
      </c>
    </row>
    <row r="46" spans="1:28" s="127" customFormat="1" x14ac:dyDescent="0.15">
      <c r="A46" s="117" t="s">
        <v>51</v>
      </c>
      <c r="B46" s="117" t="s">
        <v>157</v>
      </c>
      <c r="C46" s="117">
        <v>2019</v>
      </c>
      <c r="D46" s="118" t="s">
        <v>258</v>
      </c>
      <c r="E46" s="117" t="s">
        <v>270</v>
      </c>
      <c r="F46" s="117" t="s">
        <v>271</v>
      </c>
      <c r="G46" s="117" t="s">
        <v>36</v>
      </c>
      <c r="H46" s="117" t="s">
        <v>162</v>
      </c>
      <c r="I46" s="117" t="s">
        <v>161</v>
      </c>
      <c r="J46" s="117" t="s">
        <v>38</v>
      </c>
      <c r="K46" s="117"/>
      <c r="L46" s="117">
        <v>3</v>
      </c>
      <c r="M46" s="117"/>
      <c r="N46" s="117">
        <v>3</v>
      </c>
      <c r="O46" s="117">
        <v>0.7</v>
      </c>
      <c r="P46" s="117">
        <v>0.8</v>
      </c>
      <c r="Q46" s="119">
        <f t="shared" si="0"/>
        <v>0.75</v>
      </c>
      <c r="R46" s="117">
        <v>16.8</v>
      </c>
      <c r="S46" s="117">
        <v>142</v>
      </c>
      <c r="T46" s="120">
        <f t="shared" si="1"/>
        <v>22</v>
      </c>
      <c r="U46" s="117">
        <v>380</v>
      </c>
      <c r="V46" s="121">
        <f t="shared" si="2"/>
        <v>2786.666666666667</v>
      </c>
      <c r="W46" s="117">
        <v>6</v>
      </c>
      <c r="X46" s="117" t="s">
        <v>46</v>
      </c>
      <c r="Y46" s="117" t="s">
        <v>84</v>
      </c>
      <c r="Z46" s="117" t="s">
        <v>90</v>
      </c>
      <c r="AA46" s="117" t="s">
        <v>40</v>
      </c>
      <c r="AB46" s="54" t="s">
        <v>160</v>
      </c>
    </row>
    <row r="47" spans="1:28" s="127" customFormat="1" x14ac:dyDescent="0.15">
      <c r="A47" s="117" t="s">
        <v>51</v>
      </c>
      <c r="B47" s="117" t="s">
        <v>157</v>
      </c>
      <c r="C47" s="117">
        <v>2019</v>
      </c>
      <c r="D47" s="118" t="s">
        <v>258</v>
      </c>
      <c r="E47" s="117" t="s">
        <v>272</v>
      </c>
      <c r="F47" s="117" t="s">
        <v>260</v>
      </c>
      <c r="G47" s="117" t="s">
        <v>42</v>
      </c>
      <c r="H47" s="117" t="s">
        <v>162</v>
      </c>
      <c r="I47" s="117" t="s">
        <v>161</v>
      </c>
      <c r="J47" s="117" t="s">
        <v>38</v>
      </c>
      <c r="K47" s="117"/>
      <c r="L47" s="117">
        <v>1</v>
      </c>
      <c r="M47" s="117"/>
      <c r="N47" s="117">
        <v>1</v>
      </c>
      <c r="O47" s="117">
        <v>0.75</v>
      </c>
      <c r="P47" s="117">
        <v>0.8</v>
      </c>
      <c r="Q47" s="119">
        <f t="shared" si="0"/>
        <v>0.77500000000000002</v>
      </c>
      <c r="R47" s="117">
        <v>16</v>
      </c>
      <c r="S47" s="117">
        <v>124</v>
      </c>
      <c r="T47" s="120">
        <f t="shared" si="1"/>
        <v>27</v>
      </c>
      <c r="U47" s="117">
        <v>138</v>
      </c>
      <c r="V47" s="121">
        <f t="shared" si="2"/>
        <v>3726</v>
      </c>
      <c r="W47" s="117">
        <v>6</v>
      </c>
      <c r="X47" s="117" t="s">
        <v>46</v>
      </c>
      <c r="Y47" s="117" t="s">
        <v>69</v>
      </c>
      <c r="Z47" s="117" t="s">
        <v>84</v>
      </c>
      <c r="AA47" s="117" t="s">
        <v>90</v>
      </c>
      <c r="AB47" s="54" t="s">
        <v>160</v>
      </c>
    </row>
    <row r="48" spans="1:28" s="127" customFormat="1" x14ac:dyDescent="0.15">
      <c r="A48" s="117" t="s">
        <v>51</v>
      </c>
      <c r="B48" s="117" t="s">
        <v>157</v>
      </c>
      <c r="C48" s="117">
        <v>2019</v>
      </c>
      <c r="D48" s="118" t="s">
        <v>258</v>
      </c>
      <c r="E48" s="117" t="s">
        <v>272</v>
      </c>
      <c r="F48" s="117" t="s">
        <v>260</v>
      </c>
      <c r="G48" s="117" t="s">
        <v>42</v>
      </c>
      <c r="H48" s="117" t="s">
        <v>162</v>
      </c>
      <c r="I48" s="117" t="s">
        <v>161</v>
      </c>
      <c r="J48" s="117" t="s">
        <v>38</v>
      </c>
      <c r="K48" s="117"/>
      <c r="L48" s="117">
        <v>2</v>
      </c>
      <c r="M48" s="117"/>
      <c r="N48" s="117">
        <v>1</v>
      </c>
      <c r="O48" s="117">
        <v>0.65</v>
      </c>
      <c r="P48" s="117">
        <v>0.75</v>
      </c>
      <c r="Q48" s="119">
        <f t="shared" si="0"/>
        <v>0.7</v>
      </c>
      <c r="R48" s="117">
        <v>15.7</v>
      </c>
      <c r="S48" s="117">
        <v>118</v>
      </c>
      <c r="T48" s="120">
        <f t="shared" si="1"/>
        <v>30</v>
      </c>
      <c r="U48" s="117">
        <v>138</v>
      </c>
      <c r="V48" s="121">
        <f t="shared" si="2"/>
        <v>4140</v>
      </c>
      <c r="W48" s="117">
        <v>6</v>
      </c>
      <c r="X48" s="117" t="s">
        <v>46</v>
      </c>
      <c r="Y48" s="117" t="s">
        <v>69</v>
      </c>
      <c r="Z48" s="117" t="s">
        <v>84</v>
      </c>
      <c r="AA48" s="117" t="s">
        <v>90</v>
      </c>
      <c r="AB48" s="54" t="s">
        <v>160</v>
      </c>
    </row>
    <row r="49" spans="1:28" s="127" customFormat="1" x14ac:dyDescent="0.15">
      <c r="A49" s="117" t="s">
        <v>51</v>
      </c>
      <c r="B49" s="117" t="s">
        <v>157</v>
      </c>
      <c r="C49" s="117">
        <v>2019</v>
      </c>
      <c r="D49" s="118" t="s">
        <v>258</v>
      </c>
      <c r="E49" s="117" t="s">
        <v>272</v>
      </c>
      <c r="F49" s="117" t="s">
        <v>260</v>
      </c>
      <c r="G49" s="117" t="s">
        <v>42</v>
      </c>
      <c r="H49" s="117" t="s">
        <v>162</v>
      </c>
      <c r="I49" s="117" t="s">
        <v>161</v>
      </c>
      <c r="J49" s="117" t="s">
        <v>38</v>
      </c>
      <c r="K49" s="117"/>
      <c r="L49" s="117">
        <v>3</v>
      </c>
      <c r="M49" s="117"/>
      <c r="N49" s="117">
        <v>1</v>
      </c>
      <c r="O49" s="117">
        <v>0.7</v>
      </c>
      <c r="P49" s="117">
        <v>0.6</v>
      </c>
      <c r="Q49" s="119">
        <f t="shared" si="0"/>
        <v>0.64999999999999991</v>
      </c>
      <c r="R49" s="117">
        <v>16</v>
      </c>
      <c r="S49" s="117">
        <v>120</v>
      </c>
      <c r="T49" s="120">
        <f t="shared" si="1"/>
        <v>30</v>
      </c>
      <c r="U49" s="117">
        <v>138</v>
      </c>
      <c r="V49" s="121">
        <f t="shared" si="2"/>
        <v>4140</v>
      </c>
      <c r="W49" s="117">
        <v>6</v>
      </c>
      <c r="X49" s="117" t="s">
        <v>46</v>
      </c>
      <c r="Y49" s="117" t="s">
        <v>69</v>
      </c>
      <c r="Z49" s="117" t="s">
        <v>84</v>
      </c>
      <c r="AA49" s="117" t="s">
        <v>90</v>
      </c>
      <c r="AB49" s="54" t="s">
        <v>160</v>
      </c>
    </row>
    <row r="50" spans="1:28" s="127" customFormat="1" x14ac:dyDescent="0.15">
      <c r="A50" s="117"/>
      <c r="B50" s="117"/>
      <c r="C50" s="117"/>
      <c r="D50" s="118"/>
      <c r="E50" s="117"/>
      <c r="F50" s="117"/>
      <c r="G50" s="117"/>
      <c r="H50" s="117"/>
      <c r="I50" s="117"/>
      <c r="J50" s="117"/>
      <c r="K50" s="117"/>
      <c r="L50" s="117"/>
      <c r="M50" s="117"/>
      <c r="N50" s="117"/>
      <c r="O50" s="117"/>
      <c r="P50" s="117"/>
      <c r="Q50" s="119" t="str">
        <f t="shared" si="0"/>
        <v/>
      </c>
      <c r="R50" s="117"/>
      <c r="S50" s="117"/>
      <c r="T50" s="120" t="str">
        <f t="shared" si="1"/>
        <v/>
      </c>
      <c r="U50" s="117"/>
      <c r="V50" s="121" t="str">
        <f t="shared" si="2"/>
        <v/>
      </c>
      <c r="W50" s="117"/>
      <c r="X50" s="117"/>
      <c r="Y50" s="117"/>
      <c r="Z50" s="117"/>
      <c r="AA50" s="117"/>
      <c r="AB50" s="117"/>
    </row>
    <row r="51" spans="1:28" s="127" customFormat="1" x14ac:dyDescent="0.15">
      <c r="A51" s="117"/>
      <c r="B51" s="117"/>
      <c r="C51" s="117"/>
      <c r="D51" s="118"/>
      <c r="E51" s="117"/>
      <c r="F51" s="117"/>
      <c r="G51" s="117"/>
      <c r="H51" s="117"/>
      <c r="I51" s="117"/>
      <c r="J51" s="117"/>
      <c r="K51" s="117"/>
      <c r="L51" s="117"/>
      <c r="M51" s="117"/>
      <c r="N51" s="117"/>
      <c r="O51" s="117"/>
      <c r="P51" s="117"/>
      <c r="Q51" s="119" t="str">
        <f t="shared" si="0"/>
        <v/>
      </c>
      <c r="R51" s="117"/>
      <c r="S51" s="117"/>
      <c r="T51" s="120" t="str">
        <f t="shared" si="1"/>
        <v/>
      </c>
      <c r="U51" s="117"/>
      <c r="V51" s="121" t="str">
        <f t="shared" si="2"/>
        <v/>
      </c>
      <c r="W51" s="117"/>
      <c r="X51" s="117"/>
      <c r="Y51" s="117"/>
      <c r="Z51" s="117"/>
      <c r="AA51" s="117"/>
      <c r="AB51" s="117"/>
    </row>
    <row r="52" spans="1:28" s="127" customFormat="1" x14ac:dyDescent="0.15">
      <c r="A52" s="117"/>
      <c r="B52" s="117"/>
      <c r="C52" s="117"/>
      <c r="D52" s="118"/>
      <c r="E52" s="117"/>
      <c r="F52" s="117"/>
      <c r="G52" s="117"/>
      <c r="H52" s="117"/>
      <c r="I52" s="117"/>
      <c r="J52" s="117"/>
      <c r="K52" s="117"/>
      <c r="L52" s="117"/>
      <c r="M52" s="117"/>
      <c r="N52" s="117"/>
      <c r="O52" s="117"/>
      <c r="P52" s="117"/>
      <c r="Q52" s="119" t="str">
        <f t="shared" si="0"/>
        <v/>
      </c>
      <c r="R52" s="117"/>
      <c r="S52" s="117"/>
      <c r="T52" s="120" t="str">
        <f t="shared" si="1"/>
        <v/>
      </c>
      <c r="U52" s="117"/>
      <c r="V52" s="121" t="str">
        <f t="shared" si="2"/>
        <v/>
      </c>
      <c r="W52" s="117"/>
      <c r="X52" s="117"/>
      <c r="Y52" s="117"/>
      <c r="Z52" s="117"/>
      <c r="AA52" s="117"/>
      <c r="AB52" s="117"/>
    </row>
    <row r="53" spans="1:28" s="127" customFormat="1" x14ac:dyDescent="0.15">
      <c r="A53" s="117"/>
      <c r="B53" s="117"/>
      <c r="C53" s="117"/>
      <c r="D53" s="118"/>
      <c r="E53" s="117"/>
      <c r="F53" s="117"/>
      <c r="G53" s="117"/>
      <c r="H53" s="117"/>
      <c r="I53" s="117"/>
      <c r="J53" s="117"/>
      <c r="K53" s="117"/>
      <c r="L53" s="117"/>
      <c r="M53" s="117"/>
      <c r="N53" s="117"/>
      <c r="O53" s="117"/>
      <c r="P53" s="117"/>
      <c r="Q53" s="119" t="str">
        <f t="shared" si="0"/>
        <v/>
      </c>
      <c r="R53" s="117"/>
      <c r="S53" s="117"/>
      <c r="T53" s="120" t="str">
        <f t="shared" si="1"/>
        <v/>
      </c>
      <c r="U53" s="117"/>
      <c r="V53" s="121" t="str">
        <f t="shared" si="2"/>
        <v/>
      </c>
      <c r="W53" s="117"/>
      <c r="X53" s="117"/>
      <c r="Y53" s="117"/>
      <c r="Z53" s="117"/>
      <c r="AA53" s="117"/>
      <c r="AB53" s="117"/>
    </row>
    <row r="54" spans="1:28" s="127" customFormat="1" x14ac:dyDescent="0.15">
      <c r="A54" s="117"/>
      <c r="B54" s="117"/>
      <c r="C54" s="117"/>
      <c r="D54" s="118"/>
      <c r="E54" s="117"/>
      <c r="F54" s="117"/>
      <c r="G54" s="117"/>
      <c r="H54" s="117"/>
      <c r="I54" s="117"/>
      <c r="J54" s="117"/>
      <c r="K54" s="117"/>
      <c r="L54" s="117"/>
      <c r="M54" s="117"/>
      <c r="N54" s="117"/>
      <c r="O54" s="117"/>
      <c r="P54" s="117"/>
      <c r="Q54" s="119" t="str">
        <f t="shared" si="0"/>
        <v/>
      </c>
      <c r="R54" s="117"/>
      <c r="S54" s="117"/>
      <c r="T54" s="120" t="str">
        <f t="shared" si="1"/>
        <v/>
      </c>
      <c r="U54" s="117"/>
      <c r="V54" s="121" t="str">
        <f t="shared" si="2"/>
        <v/>
      </c>
      <c r="W54" s="117"/>
      <c r="X54" s="117"/>
      <c r="Y54" s="117"/>
      <c r="Z54" s="117"/>
      <c r="AA54" s="117"/>
      <c r="AB54" s="117"/>
    </row>
    <row r="55" spans="1:28" s="127" customFormat="1" x14ac:dyDescent="0.15">
      <c r="A55" s="117"/>
      <c r="B55" s="117"/>
      <c r="C55" s="117"/>
      <c r="D55" s="118"/>
      <c r="E55" s="117"/>
      <c r="F55" s="117"/>
      <c r="G55" s="117"/>
      <c r="H55" s="117"/>
      <c r="I55" s="117"/>
      <c r="J55" s="117"/>
      <c r="K55" s="117"/>
      <c r="L55" s="117"/>
      <c r="M55" s="117"/>
      <c r="N55" s="117"/>
      <c r="O55" s="117"/>
      <c r="P55" s="117"/>
      <c r="Q55" s="119" t="str">
        <f t="shared" si="0"/>
        <v/>
      </c>
      <c r="R55" s="117"/>
      <c r="S55" s="117"/>
      <c r="T55" s="120" t="str">
        <f t="shared" si="1"/>
        <v/>
      </c>
      <c r="U55" s="117"/>
      <c r="V55" s="121" t="str">
        <f t="shared" si="2"/>
        <v/>
      </c>
      <c r="W55" s="117"/>
      <c r="X55" s="117"/>
      <c r="Y55" s="117"/>
      <c r="Z55" s="117"/>
      <c r="AA55" s="117"/>
      <c r="AB55" s="117"/>
    </row>
    <row r="56" spans="1:28" s="127" customFormat="1" x14ac:dyDescent="0.15">
      <c r="A56" s="117"/>
      <c r="B56" s="117"/>
      <c r="C56" s="117"/>
      <c r="D56" s="118"/>
      <c r="E56" s="117"/>
      <c r="F56" s="117"/>
      <c r="G56" s="117"/>
      <c r="H56" s="117"/>
      <c r="I56" s="117"/>
      <c r="J56" s="117"/>
      <c r="K56" s="117"/>
      <c r="L56" s="117"/>
      <c r="M56" s="117"/>
      <c r="N56" s="117"/>
      <c r="O56" s="117"/>
      <c r="P56" s="117"/>
      <c r="Q56" s="119" t="str">
        <f t="shared" si="0"/>
        <v/>
      </c>
      <c r="R56" s="117"/>
      <c r="S56" s="117"/>
      <c r="T56" s="120" t="str">
        <f t="shared" si="1"/>
        <v/>
      </c>
      <c r="U56" s="117"/>
      <c r="V56" s="121" t="str">
        <f t="shared" si="2"/>
        <v/>
      </c>
      <c r="W56" s="117"/>
      <c r="X56" s="117"/>
      <c r="Y56" s="117"/>
      <c r="Z56" s="117"/>
      <c r="AA56" s="117"/>
      <c r="AB56" s="117"/>
    </row>
    <row r="57" spans="1:28" s="127" customFormat="1" x14ac:dyDescent="0.15">
      <c r="A57" s="117"/>
      <c r="B57" s="117"/>
      <c r="C57" s="117"/>
      <c r="D57" s="118"/>
      <c r="E57" s="117"/>
      <c r="F57" s="117"/>
      <c r="G57" s="117"/>
      <c r="H57" s="117"/>
      <c r="I57" s="117"/>
      <c r="J57" s="117"/>
      <c r="K57" s="117"/>
      <c r="L57" s="117"/>
      <c r="M57" s="117"/>
      <c r="N57" s="117"/>
      <c r="O57" s="117"/>
      <c r="P57" s="117"/>
      <c r="Q57" s="119" t="str">
        <f t="shared" si="0"/>
        <v/>
      </c>
      <c r="R57" s="117"/>
      <c r="S57" s="117"/>
      <c r="T57" s="120" t="str">
        <f t="shared" si="1"/>
        <v/>
      </c>
      <c r="U57" s="117"/>
      <c r="V57" s="121" t="str">
        <f t="shared" si="2"/>
        <v/>
      </c>
      <c r="W57" s="117"/>
      <c r="X57" s="117"/>
      <c r="Y57" s="117"/>
      <c r="Z57" s="117"/>
      <c r="AA57" s="117"/>
      <c r="AB57" s="117"/>
    </row>
    <row r="58" spans="1:28" s="127" customFormat="1" x14ac:dyDescent="0.15">
      <c r="A58" s="117"/>
      <c r="B58" s="117"/>
      <c r="C58" s="117"/>
      <c r="D58" s="118"/>
      <c r="E58" s="117"/>
      <c r="F58" s="117"/>
      <c r="G58" s="117"/>
      <c r="H58" s="117"/>
      <c r="I58" s="117"/>
      <c r="J58" s="117"/>
      <c r="K58" s="117"/>
      <c r="L58" s="117"/>
      <c r="M58" s="117"/>
      <c r="N58" s="117"/>
      <c r="O58" s="117"/>
      <c r="P58" s="117"/>
      <c r="Q58" s="119" t="str">
        <f t="shared" si="0"/>
        <v/>
      </c>
      <c r="R58" s="117"/>
      <c r="S58" s="117"/>
      <c r="T58" s="120" t="str">
        <f t="shared" si="1"/>
        <v/>
      </c>
      <c r="U58" s="117"/>
      <c r="V58" s="121" t="str">
        <f t="shared" si="2"/>
        <v/>
      </c>
      <c r="W58" s="117"/>
      <c r="X58" s="117"/>
      <c r="Y58" s="117"/>
      <c r="Z58" s="117"/>
      <c r="AA58" s="117"/>
      <c r="AB58" s="117"/>
    </row>
    <row r="59" spans="1:28" s="127" customFormat="1" x14ac:dyDescent="0.15">
      <c r="A59" s="117"/>
      <c r="B59" s="117"/>
      <c r="C59" s="117"/>
      <c r="D59" s="118"/>
      <c r="E59" s="117"/>
      <c r="F59" s="117"/>
      <c r="G59" s="117"/>
      <c r="H59" s="117"/>
      <c r="I59" s="117"/>
      <c r="J59" s="117"/>
      <c r="K59" s="117"/>
      <c r="N59" s="117"/>
      <c r="Q59" s="119" t="str">
        <f t="shared" si="0"/>
        <v/>
      </c>
      <c r="T59" s="120" t="str">
        <f t="shared" si="1"/>
        <v/>
      </c>
      <c r="U59" s="117"/>
      <c r="V59" s="121" t="str">
        <f t="shared" si="2"/>
        <v/>
      </c>
      <c r="W59" s="117"/>
      <c r="X59" s="117"/>
      <c r="Y59" s="117"/>
      <c r="Z59" s="117"/>
      <c r="AA59" s="117"/>
      <c r="AB59" s="117"/>
    </row>
    <row r="60" spans="1:28" s="127" customFormat="1" x14ac:dyDescent="0.15">
      <c r="A60" s="117"/>
      <c r="B60" s="117"/>
      <c r="C60" s="117"/>
      <c r="D60" s="118"/>
      <c r="E60" s="117"/>
      <c r="F60" s="117"/>
      <c r="G60" s="117"/>
      <c r="H60" s="117"/>
      <c r="I60" s="117"/>
      <c r="J60" s="117"/>
      <c r="K60" s="117"/>
      <c r="N60" s="117"/>
      <c r="Q60" s="119" t="str">
        <f t="shared" si="0"/>
        <v/>
      </c>
      <c r="T60" s="120" t="str">
        <f t="shared" si="1"/>
        <v/>
      </c>
      <c r="U60" s="117"/>
      <c r="V60" s="121" t="str">
        <f t="shared" si="2"/>
        <v/>
      </c>
      <c r="W60" s="117"/>
      <c r="X60" s="117"/>
      <c r="Y60" s="117"/>
      <c r="Z60" s="117"/>
      <c r="AA60" s="117"/>
      <c r="AB60" s="117"/>
    </row>
    <row r="61" spans="1:28" s="127" customFormat="1" x14ac:dyDescent="0.15">
      <c r="A61" s="117"/>
      <c r="B61" s="117"/>
      <c r="C61" s="117"/>
      <c r="D61" s="118"/>
      <c r="E61" s="117"/>
      <c r="F61" s="117"/>
      <c r="G61" s="117"/>
      <c r="H61" s="117"/>
      <c r="I61" s="117"/>
      <c r="J61" s="117"/>
      <c r="K61" s="117"/>
      <c r="N61" s="117"/>
      <c r="Q61" s="119" t="str">
        <f t="shared" si="0"/>
        <v/>
      </c>
      <c r="T61" s="120" t="str">
        <f t="shared" si="1"/>
        <v/>
      </c>
      <c r="U61" s="117"/>
      <c r="V61" s="121" t="str">
        <f t="shared" si="2"/>
        <v/>
      </c>
      <c r="W61" s="117"/>
      <c r="X61" s="117"/>
      <c r="Y61" s="117"/>
      <c r="Z61" s="117"/>
      <c r="AA61" s="117"/>
      <c r="AB61" s="117"/>
    </row>
    <row r="62" spans="1:28" s="127" customFormat="1" x14ac:dyDescent="0.15">
      <c r="A62" s="117"/>
      <c r="B62" s="117"/>
      <c r="C62" s="117"/>
      <c r="D62" s="118"/>
      <c r="E62" s="117"/>
      <c r="F62" s="117"/>
      <c r="G62" s="117"/>
      <c r="H62" s="117"/>
      <c r="I62" s="117"/>
      <c r="J62" s="117"/>
      <c r="K62" s="117"/>
      <c r="N62" s="117"/>
      <c r="Q62" s="119" t="str">
        <f t="shared" si="0"/>
        <v/>
      </c>
      <c r="T62" s="120" t="str">
        <f t="shared" si="1"/>
        <v/>
      </c>
      <c r="U62" s="117"/>
      <c r="V62" s="121" t="str">
        <f t="shared" si="2"/>
        <v/>
      </c>
      <c r="W62" s="117"/>
      <c r="X62" s="117"/>
      <c r="Y62" s="117"/>
      <c r="Z62" s="117"/>
      <c r="AA62" s="117"/>
      <c r="AB62" s="117"/>
    </row>
    <row r="63" spans="1:28" s="127" customFormat="1" x14ac:dyDescent="0.15">
      <c r="A63" s="117"/>
      <c r="B63" s="117"/>
      <c r="C63" s="117"/>
      <c r="D63" s="118"/>
      <c r="E63" s="117"/>
      <c r="F63" s="117"/>
      <c r="G63" s="117"/>
      <c r="H63" s="117"/>
      <c r="I63" s="117"/>
      <c r="J63" s="117"/>
      <c r="K63" s="117"/>
      <c r="N63" s="117"/>
      <c r="Q63" s="119" t="str">
        <f t="shared" si="0"/>
        <v/>
      </c>
      <c r="T63" s="120" t="str">
        <f t="shared" si="1"/>
        <v/>
      </c>
      <c r="U63" s="117"/>
      <c r="V63" s="121" t="str">
        <f t="shared" si="2"/>
        <v/>
      </c>
      <c r="W63" s="117"/>
      <c r="X63" s="117"/>
      <c r="Y63" s="117"/>
      <c r="Z63" s="117"/>
      <c r="AA63" s="117"/>
      <c r="AB63" s="117"/>
    </row>
    <row r="64" spans="1:28" s="127" customFormat="1" x14ac:dyDescent="0.15">
      <c r="A64" s="117"/>
      <c r="B64" s="117"/>
      <c r="C64" s="117"/>
      <c r="D64" s="118"/>
      <c r="E64" s="117"/>
      <c r="F64" s="117"/>
      <c r="G64" s="117"/>
      <c r="H64" s="117"/>
      <c r="I64" s="117"/>
      <c r="J64" s="117"/>
      <c r="K64" s="117"/>
      <c r="N64" s="117"/>
      <c r="Q64" s="119" t="str">
        <f t="shared" si="0"/>
        <v/>
      </c>
      <c r="T64" s="120" t="str">
        <f t="shared" si="1"/>
        <v/>
      </c>
      <c r="U64" s="117"/>
      <c r="V64" s="121" t="str">
        <f t="shared" si="2"/>
        <v/>
      </c>
      <c r="W64" s="117"/>
      <c r="X64" s="117"/>
      <c r="Y64" s="117"/>
      <c r="Z64" s="117"/>
      <c r="AA64" s="117"/>
      <c r="AB64" s="117"/>
    </row>
    <row r="65" spans="1:28" s="127" customFormat="1" x14ac:dyDescent="0.15">
      <c r="A65" s="117"/>
      <c r="B65" s="117"/>
      <c r="C65" s="117"/>
      <c r="D65" s="118"/>
      <c r="E65" s="117"/>
      <c r="F65" s="117"/>
      <c r="G65" s="117"/>
      <c r="H65" s="117"/>
      <c r="I65" s="117"/>
      <c r="J65" s="117"/>
      <c r="K65" s="117"/>
      <c r="N65" s="117"/>
      <c r="Q65" s="120" t="str">
        <f t="shared" si="0"/>
        <v/>
      </c>
      <c r="T65" s="120" t="str">
        <f t="shared" si="1"/>
        <v/>
      </c>
      <c r="U65" s="117"/>
      <c r="V65" s="120" t="str">
        <f t="shared" si="2"/>
        <v/>
      </c>
      <c r="W65" s="117"/>
      <c r="X65" s="117"/>
      <c r="Y65" s="117"/>
      <c r="Z65" s="117"/>
      <c r="AA65" s="117"/>
      <c r="AB65" s="117"/>
    </row>
    <row r="66" spans="1:28" x14ac:dyDescent="0.15">
      <c r="A66" s="117"/>
      <c r="B66" s="117"/>
      <c r="C66" s="142"/>
      <c r="D66" s="143"/>
      <c r="E66" s="117"/>
      <c r="F66" s="117"/>
      <c r="G66" s="142"/>
      <c r="H66" s="142"/>
      <c r="I66" s="142"/>
      <c r="J66" s="142"/>
      <c r="K66" s="117"/>
      <c r="N66" s="142"/>
      <c r="Q66" s="144" t="str">
        <f t="shared" ref="Q66:Q85" si="3">IF(OR(O66="",P66=""),"",AVERAGE(O66,P66))</f>
        <v/>
      </c>
      <c r="T66" s="144" t="str">
        <f t="shared" ref="T66:T85" si="4">IF(H66="","",IF(OR(H66="GREEN",H66="GK"),IF(S66&gt;=$AX$2,VLOOKUP(S66,$AX$2:$AY$12,2,1),""),IF(S66&gt;=$AZ$2,VLOOKUP(S66,$AZ$2:$BA$12,2,1),"")))</f>
        <v/>
      </c>
      <c r="U66" s="142"/>
      <c r="V66" s="144" t="str">
        <f t="shared" ref="V66:V85" si="5">IF(OR(N66="",U66="",T66=""),"",U66/N66*T66)</f>
        <v/>
      </c>
      <c r="W66" s="142"/>
      <c r="X66" s="142"/>
      <c r="Y66" s="142"/>
      <c r="Z66" s="142"/>
      <c r="AA66" s="142"/>
      <c r="AB66" s="117"/>
    </row>
    <row r="67" spans="1:28" x14ac:dyDescent="0.15">
      <c r="A67" s="117"/>
      <c r="B67" s="117"/>
      <c r="C67" s="142"/>
      <c r="D67" s="143"/>
      <c r="E67" s="117"/>
      <c r="F67" s="117"/>
      <c r="G67" s="142"/>
      <c r="H67" s="142"/>
      <c r="I67" s="142"/>
      <c r="J67" s="142"/>
      <c r="K67" s="117"/>
      <c r="N67" s="142"/>
      <c r="O67" s="127"/>
      <c r="Q67" s="144" t="str">
        <f t="shared" si="3"/>
        <v/>
      </c>
      <c r="T67" s="144" t="str">
        <f t="shared" si="4"/>
        <v/>
      </c>
      <c r="U67" s="142"/>
      <c r="V67" s="144" t="str">
        <f t="shared" si="5"/>
        <v/>
      </c>
      <c r="W67" s="142"/>
      <c r="X67" s="142"/>
      <c r="Y67" s="142"/>
      <c r="Z67" s="142"/>
      <c r="AA67" s="142"/>
      <c r="AB67" s="117"/>
    </row>
    <row r="68" spans="1:28" x14ac:dyDescent="0.15">
      <c r="A68" s="117"/>
      <c r="B68" s="117"/>
      <c r="C68" s="142"/>
      <c r="D68" s="143"/>
      <c r="E68" s="117"/>
      <c r="F68" s="117"/>
      <c r="G68" s="142"/>
      <c r="H68" s="142"/>
      <c r="I68" s="142"/>
      <c r="J68" s="142"/>
      <c r="K68" s="117"/>
      <c r="N68" s="142"/>
      <c r="Q68" s="144" t="str">
        <f t="shared" si="3"/>
        <v/>
      </c>
      <c r="T68" s="144" t="str">
        <f t="shared" si="4"/>
        <v/>
      </c>
      <c r="V68" s="144" t="str">
        <f t="shared" si="5"/>
        <v/>
      </c>
      <c r="W68" s="142"/>
      <c r="X68" s="142"/>
      <c r="Y68" s="142"/>
      <c r="Z68" s="142"/>
      <c r="AA68" s="142"/>
      <c r="AB68" s="117"/>
    </row>
    <row r="69" spans="1:28" x14ac:dyDescent="0.15">
      <c r="A69" s="117"/>
      <c r="B69" s="117"/>
      <c r="C69" s="142"/>
      <c r="D69" s="143"/>
      <c r="E69" s="117"/>
      <c r="F69" s="117"/>
      <c r="G69" s="142"/>
      <c r="H69" s="142"/>
      <c r="I69" s="142"/>
      <c r="J69" s="142"/>
      <c r="K69" s="117"/>
      <c r="N69" s="142"/>
      <c r="O69" s="127"/>
      <c r="Q69" s="144" t="str">
        <f t="shared" si="3"/>
        <v/>
      </c>
      <c r="T69" s="144" t="str">
        <f t="shared" si="4"/>
        <v/>
      </c>
      <c r="V69" s="144" t="str">
        <f t="shared" si="5"/>
        <v/>
      </c>
      <c r="W69" s="142"/>
      <c r="X69" s="142"/>
      <c r="Y69" s="142"/>
      <c r="Z69" s="142"/>
      <c r="AA69" s="142"/>
      <c r="AB69" s="117"/>
    </row>
    <row r="70" spans="1:28" x14ac:dyDescent="0.15">
      <c r="A70" s="117"/>
      <c r="B70" s="117"/>
      <c r="C70" s="142"/>
      <c r="D70" s="143"/>
      <c r="E70" s="117"/>
      <c r="F70" s="117"/>
      <c r="G70" s="142"/>
      <c r="H70" s="142"/>
      <c r="I70" s="142"/>
      <c r="J70" s="142"/>
      <c r="K70" s="117"/>
      <c r="N70" s="142"/>
      <c r="Q70" s="144" t="str">
        <f t="shared" si="3"/>
        <v/>
      </c>
      <c r="T70" s="144" t="str">
        <f t="shared" si="4"/>
        <v/>
      </c>
      <c r="V70" s="144" t="str">
        <f t="shared" si="5"/>
        <v/>
      </c>
      <c r="W70" s="142"/>
      <c r="X70" s="142"/>
      <c r="Y70" s="142"/>
      <c r="Z70" s="142"/>
      <c r="AA70" s="142"/>
      <c r="AB70" s="117"/>
    </row>
    <row r="71" spans="1:28" x14ac:dyDescent="0.15">
      <c r="A71" s="117"/>
      <c r="B71" s="117"/>
      <c r="C71" s="142"/>
      <c r="D71" s="143"/>
      <c r="E71" s="117"/>
      <c r="F71" s="117"/>
      <c r="G71" s="142"/>
      <c r="H71" s="142"/>
      <c r="I71" s="142"/>
      <c r="J71" s="142"/>
      <c r="K71" s="117"/>
      <c r="N71" s="142"/>
      <c r="Q71" s="144" t="str">
        <f t="shared" si="3"/>
        <v/>
      </c>
      <c r="T71" s="144" t="str">
        <f t="shared" si="4"/>
        <v/>
      </c>
      <c r="V71" s="144" t="str">
        <f t="shared" si="5"/>
        <v/>
      </c>
      <c r="W71" s="142"/>
      <c r="X71" s="142"/>
      <c r="Y71" s="142"/>
      <c r="Z71" s="142"/>
      <c r="AA71" s="142"/>
      <c r="AB71" s="117"/>
    </row>
    <row r="72" spans="1:28" x14ac:dyDescent="0.15">
      <c r="A72" s="117"/>
      <c r="B72" s="117"/>
      <c r="C72" s="142"/>
      <c r="D72" s="143"/>
      <c r="E72" s="117"/>
      <c r="F72" s="117"/>
      <c r="G72" s="142"/>
      <c r="H72" s="142"/>
      <c r="I72" s="142"/>
      <c r="J72" s="142"/>
      <c r="K72" s="117"/>
      <c r="N72" s="142"/>
      <c r="Q72" s="144" t="str">
        <f t="shared" si="3"/>
        <v/>
      </c>
      <c r="T72" s="144" t="str">
        <f t="shared" si="4"/>
        <v/>
      </c>
      <c r="V72" s="144" t="str">
        <f t="shared" si="5"/>
        <v/>
      </c>
      <c r="W72" s="142"/>
      <c r="X72" s="142"/>
      <c r="Y72" s="142"/>
      <c r="Z72" s="142"/>
      <c r="AA72" s="142"/>
      <c r="AB72" s="117"/>
    </row>
    <row r="73" spans="1:28" x14ac:dyDescent="0.15">
      <c r="A73" s="117"/>
      <c r="B73" s="117"/>
      <c r="C73" s="142"/>
      <c r="D73" s="143"/>
      <c r="E73" s="117"/>
      <c r="F73" s="117"/>
      <c r="G73" s="142"/>
      <c r="H73" s="142"/>
      <c r="I73" s="142"/>
      <c r="J73" s="142"/>
      <c r="K73" s="117"/>
      <c r="N73" s="142"/>
      <c r="P73" s="127"/>
      <c r="Q73" s="144" t="str">
        <f t="shared" si="3"/>
        <v/>
      </c>
      <c r="T73" s="144" t="str">
        <f t="shared" si="4"/>
        <v/>
      </c>
      <c r="V73" s="144" t="str">
        <f t="shared" si="5"/>
        <v/>
      </c>
      <c r="W73" s="142"/>
      <c r="X73" s="142"/>
      <c r="Y73" s="142"/>
      <c r="Z73" s="142"/>
      <c r="AA73" s="142"/>
      <c r="AB73" s="117"/>
    </row>
    <row r="74" spans="1:28" x14ac:dyDescent="0.15">
      <c r="A74" s="117"/>
      <c r="B74" s="117"/>
      <c r="C74" s="142"/>
      <c r="D74" s="143"/>
      <c r="E74" s="117"/>
      <c r="F74" s="117"/>
      <c r="G74" s="142"/>
      <c r="H74" s="142"/>
      <c r="I74" s="142"/>
      <c r="J74" s="142"/>
      <c r="K74" s="117"/>
      <c r="N74" s="142"/>
      <c r="Q74" s="144" t="str">
        <f t="shared" si="3"/>
        <v/>
      </c>
      <c r="T74" s="144" t="str">
        <f t="shared" si="4"/>
        <v/>
      </c>
      <c r="V74" s="144" t="str">
        <f t="shared" si="5"/>
        <v/>
      </c>
      <c r="W74" s="142"/>
      <c r="X74" s="142"/>
      <c r="Y74" s="142"/>
      <c r="Z74" s="142"/>
      <c r="AA74" s="142"/>
      <c r="AB74" s="117"/>
    </row>
    <row r="75" spans="1:28" x14ac:dyDescent="0.15">
      <c r="A75" s="117"/>
      <c r="B75" s="117"/>
      <c r="C75" s="142"/>
      <c r="D75" s="143"/>
      <c r="E75" s="117"/>
      <c r="F75" s="117"/>
      <c r="G75" s="142"/>
      <c r="H75" s="142"/>
      <c r="I75" s="142"/>
      <c r="J75" s="142"/>
      <c r="K75" s="117"/>
      <c r="N75" s="142"/>
      <c r="Q75" s="144" t="str">
        <f t="shared" si="3"/>
        <v/>
      </c>
      <c r="T75" s="144" t="str">
        <f t="shared" si="4"/>
        <v/>
      </c>
      <c r="V75" s="144" t="str">
        <f t="shared" si="5"/>
        <v/>
      </c>
      <c r="W75" s="142"/>
      <c r="X75" s="142"/>
      <c r="Y75" s="142"/>
      <c r="Z75" s="142"/>
      <c r="AA75" s="142"/>
      <c r="AB75" s="117"/>
    </row>
    <row r="76" spans="1:28" x14ac:dyDescent="0.15">
      <c r="A76" s="117"/>
      <c r="B76" s="117"/>
      <c r="C76" s="142"/>
      <c r="D76" s="143"/>
      <c r="E76" s="117"/>
      <c r="F76" s="117"/>
      <c r="G76" s="142"/>
      <c r="H76" s="142"/>
      <c r="I76" s="142"/>
      <c r="J76" s="142"/>
      <c r="K76" s="117"/>
      <c r="N76" s="142"/>
      <c r="Q76" s="144" t="str">
        <f t="shared" si="3"/>
        <v/>
      </c>
      <c r="T76" s="144" t="str">
        <f t="shared" si="4"/>
        <v/>
      </c>
      <c r="V76" s="144" t="str">
        <f t="shared" si="5"/>
        <v/>
      </c>
      <c r="W76" s="142"/>
      <c r="X76" s="142"/>
      <c r="Y76" s="142"/>
      <c r="Z76" s="142"/>
      <c r="AA76" s="142"/>
      <c r="AB76" s="117"/>
    </row>
    <row r="77" spans="1:28" x14ac:dyDescent="0.15">
      <c r="A77" s="117"/>
      <c r="B77" s="117"/>
      <c r="C77" s="142"/>
      <c r="D77" s="143"/>
      <c r="E77" s="117"/>
      <c r="F77" s="117"/>
      <c r="G77" s="142"/>
      <c r="H77" s="142"/>
      <c r="I77" s="142"/>
      <c r="J77" s="142"/>
      <c r="K77" s="117"/>
      <c r="N77" s="142"/>
      <c r="Q77" s="144" t="str">
        <f t="shared" si="3"/>
        <v/>
      </c>
      <c r="T77" s="144" t="str">
        <f t="shared" si="4"/>
        <v/>
      </c>
      <c r="V77" s="144" t="str">
        <f t="shared" si="5"/>
        <v/>
      </c>
      <c r="W77" s="142"/>
      <c r="X77" s="142"/>
      <c r="Y77" s="142"/>
      <c r="Z77" s="142"/>
      <c r="AA77" s="142"/>
      <c r="AB77" s="117"/>
    </row>
    <row r="78" spans="1:28" x14ac:dyDescent="0.15">
      <c r="A78" s="117"/>
      <c r="B78" s="117"/>
      <c r="C78" s="142"/>
      <c r="D78" s="143"/>
      <c r="E78" s="117"/>
      <c r="F78" s="117"/>
      <c r="G78" s="142"/>
      <c r="H78" s="142"/>
      <c r="I78" s="142"/>
      <c r="J78" s="142"/>
      <c r="K78" s="117"/>
      <c r="N78" s="142"/>
      <c r="Q78" s="144" t="str">
        <f t="shared" si="3"/>
        <v/>
      </c>
      <c r="T78" s="144" t="str">
        <f t="shared" si="4"/>
        <v/>
      </c>
      <c r="V78" s="144" t="str">
        <f t="shared" si="5"/>
        <v/>
      </c>
      <c r="W78" s="142"/>
      <c r="X78" s="142"/>
      <c r="Y78" s="142"/>
      <c r="Z78" s="142"/>
      <c r="AA78" s="142"/>
      <c r="AB78" s="117"/>
    </row>
    <row r="79" spans="1:28" x14ac:dyDescent="0.15">
      <c r="A79" s="117"/>
      <c r="B79" s="117"/>
      <c r="C79" s="142"/>
      <c r="D79" s="143"/>
      <c r="E79" s="117"/>
      <c r="F79" s="117"/>
      <c r="G79" s="142"/>
      <c r="H79" s="142"/>
      <c r="I79" s="142"/>
      <c r="J79" s="142"/>
      <c r="K79" s="117"/>
      <c r="N79" s="142"/>
      <c r="Q79" s="144" t="str">
        <f t="shared" si="3"/>
        <v/>
      </c>
      <c r="R79" s="127"/>
      <c r="T79" s="144" t="str">
        <f t="shared" si="4"/>
        <v/>
      </c>
      <c r="V79" s="144" t="str">
        <f t="shared" si="5"/>
        <v/>
      </c>
      <c r="W79" s="142"/>
      <c r="X79" s="142"/>
      <c r="Y79" s="142"/>
      <c r="Z79" s="142"/>
      <c r="AA79" s="142"/>
      <c r="AB79" s="117"/>
    </row>
    <row r="80" spans="1:28" x14ac:dyDescent="0.15">
      <c r="A80" s="117"/>
      <c r="B80" s="117"/>
      <c r="C80" s="142"/>
      <c r="D80" s="143"/>
      <c r="E80" s="117"/>
      <c r="F80" s="117"/>
      <c r="G80" s="142"/>
      <c r="H80" s="142"/>
      <c r="I80" s="142"/>
      <c r="J80" s="142"/>
      <c r="K80" s="117"/>
      <c r="N80" s="142"/>
      <c r="Q80" s="144" t="str">
        <f t="shared" si="3"/>
        <v/>
      </c>
      <c r="T80" s="144" t="str">
        <f t="shared" si="4"/>
        <v/>
      </c>
      <c r="V80" s="144" t="str">
        <f t="shared" si="5"/>
        <v/>
      </c>
      <c r="W80" s="142"/>
      <c r="X80" s="142"/>
      <c r="Y80" s="142"/>
      <c r="Z80" s="142"/>
      <c r="AA80" s="142"/>
      <c r="AB80" s="117"/>
    </row>
    <row r="81" spans="1:28" x14ac:dyDescent="0.15">
      <c r="A81" s="117"/>
      <c r="B81" s="117"/>
      <c r="C81" s="142"/>
      <c r="D81" s="143"/>
      <c r="E81" s="117"/>
      <c r="F81" s="117"/>
      <c r="G81" s="142"/>
      <c r="H81" s="142"/>
      <c r="I81" s="142"/>
      <c r="J81" s="142"/>
      <c r="K81" s="117"/>
      <c r="N81" s="142"/>
      <c r="Q81" s="144" t="str">
        <f t="shared" si="3"/>
        <v/>
      </c>
      <c r="T81" s="144" t="str">
        <f t="shared" si="4"/>
        <v/>
      </c>
      <c r="V81" s="144" t="str">
        <f t="shared" si="5"/>
        <v/>
      </c>
      <c r="W81" s="142"/>
      <c r="X81" s="142"/>
      <c r="Y81" s="142"/>
      <c r="Z81" s="142"/>
      <c r="AA81" s="142"/>
      <c r="AB81" s="117"/>
    </row>
    <row r="82" spans="1:28" x14ac:dyDescent="0.15">
      <c r="A82" s="117"/>
      <c r="B82" s="117"/>
      <c r="C82" s="142"/>
      <c r="D82" s="143"/>
      <c r="E82" s="117"/>
      <c r="F82" s="117"/>
      <c r="G82" s="142"/>
      <c r="H82" s="142"/>
      <c r="I82" s="142"/>
      <c r="J82" s="142"/>
      <c r="K82" s="117"/>
      <c r="N82" s="142"/>
      <c r="Q82" s="144" t="str">
        <f t="shared" si="3"/>
        <v/>
      </c>
      <c r="T82" s="144" t="str">
        <f t="shared" si="4"/>
        <v/>
      </c>
      <c r="V82" s="144" t="str">
        <f t="shared" si="5"/>
        <v/>
      </c>
      <c r="W82" s="142"/>
      <c r="X82" s="142"/>
      <c r="Y82" s="142"/>
      <c r="Z82" s="142"/>
      <c r="AA82" s="142"/>
      <c r="AB82" s="117"/>
    </row>
    <row r="83" spans="1:28" x14ac:dyDescent="0.15">
      <c r="A83" s="117"/>
      <c r="B83" s="117"/>
      <c r="C83" s="142"/>
      <c r="D83" s="143"/>
      <c r="E83" s="117"/>
      <c r="F83" s="117"/>
      <c r="G83" s="142"/>
      <c r="H83" s="142"/>
      <c r="I83" s="142"/>
      <c r="J83" s="142"/>
      <c r="K83" s="117"/>
      <c r="N83" s="142"/>
      <c r="Q83" s="144" t="str">
        <f t="shared" si="3"/>
        <v/>
      </c>
      <c r="T83" s="144" t="str">
        <f t="shared" si="4"/>
        <v/>
      </c>
      <c r="V83" s="144" t="str">
        <f t="shared" si="5"/>
        <v/>
      </c>
      <c r="W83" s="142"/>
      <c r="X83" s="142"/>
      <c r="Y83" s="142"/>
      <c r="Z83" s="142"/>
      <c r="AA83" s="142"/>
      <c r="AB83" s="117"/>
    </row>
    <row r="84" spans="1:28" x14ac:dyDescent="0.15">
      <c r="A84" s="117"/>
      <c r="B84" s="117"/>
      <c r="C84" s="142"/>
      <c r="D84" s="143"/>
      <c r="E84" s="117"/>
      <c r="F84" s="117"/>
      <c r="G84" s="142"/>
      <c r="H84" s="142"/>
      <c r="I84" s="142"/>
      <c r="J84" s="142"/>
      <c r="K84" s="117"/>
      <c r="N84" s="142"/>
      <c r="Q84" s="144" t="str">
        <f t="shared" si="3"/>
        <v/>
      </c>
      <c r="T84" s="144" t="str">
        <f t="shared" si="4"/>
        <v/>
      </c>
      <c r="V84" s="144" t="str">
        <f t="shared" si="5"/>
        <v/>
      </c>
      <c r="W84" s="142"/>
      <c r="X84" s="142"/>
      <c r="Y84" s="142"/>
      <c r="Z84" s="142"/>
      <c r="AA84" s="142"/>
      <c r="AB84" s="117"/>
    </row>
    <row r="85" spans="1:28" x14ac:dyDescent="0.15">
      <c r="A85" s="117"/>
      <c r="B85" s="117"/>
      <c r="C85" s="142"/>
      <c r="D85" s="143"/>
      <c r="E85" s="117"/>
      <c r="F85" s="117"/>
      <c r="G85" s="142"/>
      <c r="H85" s="142"/>
      <c r="I85" s="142"/>
      <c r="J85" s="142"/>
      <c r="K85" s="117"/>
      <c r="N85" s="142"/>
      <c r="Q85" s="144" t="str">
        <f t="shared" si="3"/>
        <v/>
      </c>
      <c r="T85" s="144" t="str">
        <f t="shared" si="4"/>
        <v/>
      </c>
      <c r="V85" s="144" t="str">
        <f t="shared" si="5"/>
        <v/>
      </c>
      <c r="W85" s="142"/>
      <c r="X85" s="142"/>
      <c r="Y85" s="142"/>
      <c r="Z85" s="142"/>
      <c r="AA85" s="142"/>
      <c r="AB85" s="117"/>
    </row>
    <row r="86" spans="1:28" x14ac:dyDescent="0.15">
      <c r="A86" s="117"/>
      <c r="B86" s="117"/>
      <c r="C86" s="142"/>
      <c r="D86" s="143"/>
      <c r="E86" s="117"/>
      <c r="F86" s="117"/>
      <c r="G86" s="142"/>
      <c r="H86" s="142"/>
      <c r="I86" s="142"/>
      <c r="J86" s="142"/>
      <c r="K86" s="117"/>
      <c r="N86" s="142"/>
      <c r="W86" s="142"/>
      <c r="X86" s="142"/>
      <c r="Y86" s="142"/>
      <c r="Z86" s="142"/>
      <c r="AA86" s="142"/>
      <c r="AB86" s="117"/>
    </row>
    <row r="87" spans="1:28" x14ac:dyDescent="0.15">
      <c r="A87" s="117"/>
      <c r="B87" s="117"/>
      <c r="C87" s="142"/>
      <c r="D87" s="143"/>
      <c r="E87" s="117"/>
      <c r="F87" s="117"/>
      <c r="G87" s="142"/>
      <c r="H87" s="142"/>
      <c r="I87" s="142"/>
      <c r="J87" s="142"/>
      <c r="K87" s="117"/>
      <c r="N87" s="142"/>
      <c r="W87" s="142"/>
      <c r="X87" s="142"/>
      <c r="Y87" s="142"/>
      <c r="Z87" s="142"/>
      <c r="AA87" s="142"/>
      <c r="AB87" s="117"/>
    </row>
    <row r="88" spans="1:28" x14ac:dyDescent="0.15">
      <c r="A88" s="117"/>
      <c r="B88" s="117"/>
      <c r="C88" s="142"/>
      <c r="D88" s="143"/>
      <c r="E88" s="117"/>
      <c r="F88" s="117"/>
      <c r="G88" s="142"/>
      <c r="H88" s="142"/>
      <c r="I88" s="142"/>
      <c r="J88" s="142"/>
      <c r="K88" s="117"/>
      <c r="N88" s="142"/>
      <c r="W88" s="142"/>
      <c r="X88" s="142"/>
      <c r="Y88" s="142"/>
      <c r="Z88" s="142"/>
      <c r="AA88" s="142"/>
      <c r="AB88" s="117"/>
    </row>
    <row r="89" spans="1:28" x14ac:dyDescent="0.15">
      <c r="A89" s="117"/>
      <c r="B89" s="117"/>
      <c r="C89" s="142"/>
      <c r="D89" s="143"/>
      <c r="E89" s="117"/>
      <c r="F89" s="117"/>
      <c r="G89" s="142"/>
      <c r="H89" s="142"/>
      <c r="I89" s="142"/>
      <c r="J89" s="142"/>
      <c r="K89" s="117"/>
      <c r="N89" s="142"/>
      <c r="W89" s="142"/>
      <c r="X89" s="142"/>
      <c r="Y89" s="142"/>
      <c r="Z89" s="142"/>
      <c r="AA89" s="142"/>
      <c r="AB89" s="117"/>
    </row>
    <row r="90" spans="1:28" x14ac:dyDescent="0.15">
      <c r="A90" s="117"/>
      <c r="B90" s="117"/>
      <c r="C90" s="142"/>
      <c r="D90" s="143"/>
      <c r="E90" s="117"/>
      <c r="F90" s="117"/>
      <c r="G90" s="142"/>
      <c r="H90" s="142"/>
      <c r="I90" s="142"/>
      <c r="J90" s="142"/>
      <c r="K90" s="142"/>
      <c r="N90" s="142"/>
      <c r="W90" s="142"/>
      <c r="X90" s="142"/>
      <c r="Y90" s="142"/>
      <c r="Z90" s="142"/>
      <c r="AA90" s="142"/>
      <c r="AB90" s="117"/>
    </row>
    <row r="91" spans="1:28" x14ac:dyDescent="0.15">
      <c r="A91" s="117"/>
      <c r="B91" s="117"/>
      <c r="C91" s="142"/>
      <c r="D91" s="143"/>
      <c r="E91" s="117"/>
      <c r="F91" s="117"/>
      <c r="G91" s="142"/>
      <c r="H91" s="142"/>
      <c r="I91" s="142"/>
      <c r="J91" s="142"/>
      <c r="K91" s="142"/>
      <c r="N91" s="142"/>
      <c r="W91" s="142"/>
      <c r="X91" s="142"/>
      <c r="Y91" s="142"/>
      <c r="Z91" s="142"/>
      <c r="AA91" s="142"/>
      <c r="AB91" s="117"/>
    </row>
    <row r="92" spans="1:28" x14ac:dyDescent="0.15">
      <c r="E92" s="117"/>
      <c r="F92" s="117"/>
    </row>
    <row r="93" spans="1:28" x14ac:dyDescent="0.15">
      <c r="E93" s="117"/>
      <c r="F93" s="117"/>
    </row>
    <row r="94" spans="1:28" x14ac:dyDescent="0.15">
      <c r="E94" s="117"/>
      <c r="F94" s="117"/>
    </row>
    <row r="95" spans="1:28" x14ac:dyDescent="0.15">
      <c r="E95" s="117"/>
      <c r="F95" s="117"/>
    </row>
    <row r="96" spans="1:28" x14ac:dyDescent="0.15">
      <c r="E96" s="117"/>
      <c r="F96" s="117"/>
    </row>
    <row r="97" spans="5:6" x14ac:dyDescent="0.15">
      <c r="E97" s="117"/>
      <c r="F97" s="117"/>
    </row>
    <row r="98" spans="5:6" x14ac:dyDescent="0.15">
      <c r="E98" s="117"/>
      <c r="F98" s="117"/>
    </row>
    <row r="99" spans="5:6" x14ac:dyDescent="0.15">
      <c r="E99" s="117"/>
      <c r="F99" s="117"/>
    </row>
    <row r="100" spans="5:6" x14ac:dyDescent="0.15">
      <c r="E100" s="117"/>
      <c r="F100" s="117"/>
    </row>
    <row r="101" spans="5:6" x14ac:dyDescent="0.15">
      <c r="E101" s="117"/>
      <c r="F101" s="117"/>
    </row>
    <row r="102" spans="5:6" x14ac:dyDescent="0.15">
      <c r="E102" s="117"/>
      <c r="F102" s="117"/>
    </row>
    <row r="103" spans="5:6" x14ac:dyDescent="0.15">
      <c r="E103" s="117"/>
      <c r="F103" s="117"/>
    </row>
    <row r="104" spans="5:6" x14ac:dyDescent="0.15">
      <c r="E104" s="117"/>
      <c r="F104" s="117"/>
    </row>
    <row r="105" spans="5:6" x14ac:dyDescent="0.15">
      <c r="E105" s="117"/>
      <c r="F105" s="117"/>
    </row>
    <row r="106" spans="5:6" x14ac:dyDescent="0.15">
      <c r="E106" s="117"/>
      <c r="F106" s="117"/>
    </row>
    <row r="107" spans="5:6" x14ac:dyDescent="0.15">
      <c r="E107" s="117"/>
      <c r="F107" s="117"/>
    </row>
    <row r="108" spans="5:6" x14ac:dyDescent="0.15">
      <c r="E108" s="117"/>
      <c r="F108" s="117"/>
    </row>
    <row r="109" spans="5:6" x14ac:dyDescent="0.15">
      <c r="E109" s="117"/>
      <c r="F109" s="117"/>
    </row>
    <row r="110" spans="5:6" x14ac:dyDescent="0.15">
      <c r="E110" s="117"/>
      <c r="F110" s="117"/>
    </row>
    <row r="111" spans="5:6" x14ac:dyDescent="0.15">
      <c r="E111" s="117"/>
      <c r="F111" s="117"/>
    </row>
    <row r="112" spans="5:6" x14ac:dyDescent="0.15">
      <c r="E112" s="117"/>
      <c r="F112" s="117"/>
    </row>
    <row r="113" spans="5:6" x14ac:dyDescent="0.15">
      <c r="E113" s="117"/>
      <c r="F113" s="117"/>
    </row>
    <row r="114" spans="5:6" x14ac:dyDescent="0.15">
      <c r="E114" s="117"/>
      <c r="F114" s="117"/>
    </row>
    <row r="115" spans="5:6" x14ac:dyDescent="0.15">
      <c r="E115" s="117"/>
      <c r="F115" s="117"/>
    </row>
    <row r="116" spans="5:6" x14ac:dyDescent="0.15">
      <c r="E116" s="117"/>
      <c r="F116" s="117"/>
    </row>
    <row r="117" spans="5:6" x14ac:dyDescent="0.15">
      <c r="E117" s="117"/>
      <c r="F117" s="117"/>
    </row>
    <row r="118" spans="5:6" x14ac:dyDescent="0.15">
      <c r="E118" s="117"/>
      <c r="F118" s="117"/>
    </row>
    <row r="119" spans="5:6" x14ac:dyDescent="0.15">
      <c r="E119" s="117"/>
      <c r="F119" s="117"/>
    </row>
    <row r="120" spans="5:6" x14ac:dyDescent="0.15">
      <c r="E120" s="117"/>
      <c r="F120" s="117"/>
    </row>
    <row r="121" spans="5:6" x14ac:dyDescent="0.15">
      <c r="E121" s="117"/>
      <c r="F121" s="117"/>
    </row>
    <row r="122" spans="5:6" x14ac:dyDescent="0.15">
      <c r="E122" s="117"/>
      <c r="F122" s="117"/>
    </row>
    <row r="123" spans="5:6" x14ac:dyDescent="0.15">
      <c r="E123" s="117"/>
      <c r="F123" s="117"/>
    </row>
    <row r="124" spans="5:6" x14ac:dyDescent="0.15">
      <c r="E124" s="117"/>
      <c r="F124" s="117"/>
    </row>
    <row r="125" spans="5:6" x14ac:dyDescent="0.15">
      <c r="E125" s="117"/>
      <c r="F125" s="117"/>
    </row>
    <row r="126" spans="5:6" x14ac:dyDescent="0.15">
      <c r="E126" s="117"/>
      <c r="F126" s="117"/>
    </row>
    <row r="127" spans="5:6" x14ac:dyDescent="0.15">
      <c r="E127" s="117"/>
      <c r="F127" s="117"/>
    </row>
    <row r="128" spans="5:6" x14ac:dyDescent="0.15">
      <c r="E128" s="117"/>
      <c r="F128" s="117"/>
    </row>
    <row r="129" spans="5:6" x14ac:dyDescent="0.15">
      <c r="E129" s="117"/>
      <c r="F129" s="117"/>
    </row>
    <row r="130" spans="5:6" x14ac:dyDescent="0.15">
      <c r="E130" s="117"/>
      <c r="F130" s="117"/>
    </row>
    <row r="131" spans="5:6" x14ac:dyDescent="0.15">
      <c r="E131" s="117"/>
      <c r="F131" s="117"/>
    </row>
    <row r="132" spans="5:6" x14ac:dyDescent="0.15">
      <c r="E132" s="117"/>
      <c r="F132" s="117"/>
    </row>
    <row r="133" spans="5:6" x14ac:dyDescent="0.15">
      <c r="E133" s="117"/>
      <c r="F133" s="117"/>
    </row>
    <row r="134" spans="5:6" x14ac:dyDescent="0.15">
      <c r="E134" s="117"/>
      <c r="F134" s="117"/>
    </row>
    <row r="135" spans="5:6" x14ac:dyDescent="0.15">
      <c r="E135" s="117"/>
      <c r="F135" s="117"/>
    </row>
    <row r="136" spans="5:6" x14ac:dyDescent="0.15">
      <c r="E136" s="117"/>
      <c r="F136" s="117"/>
    </row>
    <row r="137" spans="5:6" x14ac:dyDescent="0.15">
      <c r="E137" s="117"/>
      <c r="F137" s="117"/>
    </row>
    <row r="138" spans="5:6" x14ac:dyDescent="0.15">
      <c r="E138" s="117"/>
      <c r="F138" s="117"/>
    </row>
    <row r="139" spans="5:6" x14ac:dyDescent="0.15">
      <c r="E139" s="117"/>
      <c r="F139" s="117"/>
    </row>
    <row r="140" spans="5:6" x14ac:dyDescent="0.15">
      <c r="E140" s="117"/>
      <c r="F140" s="117"/>
    </row>
    <row r="141" spans="5:6" x14ac:dyDescent="0.15">
      <c r="E141" s="117"/>
      <c r="F141" s="117"/>
    </row>
    <row r="142" spans="5:6" x14ac:dyDescent="0.15">
      <c r="E142" s="117"/>
      <c r="F142" s="117"/>
    </row>
    <row r="143" spans="5:6" x14ac:dyDescent="0.15">
      <c r="E143" s="117"/>
      <c r="F143" s="117"/>
    </row>
    <row r="144" spans="5:6" x14ac:dyDescent="0.15">
      <c r="E144" s="117"/>
      <c r="F144" s="117"/>
    </row>
    <row r="145" spans="5:6" x14ac:dyDescent="0.15">
      <c r="E145" s="117"/>
      <c r="F145" s="117"/>
    </row>
    <row r="146" spans="5:6" x14ac:dyDescent="0.15">
      <c r="E146" s="117"/>
      <c r="F146" s="117"/>
    </row>
    <row r="147" spans="5:6" x14ac:dyDescent="0.15">
      <c r="E147" s="117"/>
      <c r="F147" s="117"/>
    </row>
    <row r="148" spans="5:6" x14ac:dyDescent="0.15">
      <c r="E148" s="117"/>
      <c r="F148" s="117"/>
    </row>
    <row r="149" spans="5:6" x14ac:dyDescent="0.15">
      <c r="E149" s="117"/>
      <c r="F149" s="117"/>
    </row>
    <row r="150" spans="5:6" x14ac:dyDescent="0.15">
      <c r="E150" s="117"/>
      <c r="F150" s="117"/>
    </row>
    <row r="151" spans="5:6" x14ac:dyDescent="0.15">
      <c r="E151" s="117"/>
      <c r="F151" s="117"/>
    </row>
    <row r="152" spans="5:6" x14ac:dyDescent="0.15">
      <c r="E152" s="117"/>
      <c r="F152" s="117"/>
    </row>
    <row r="153" spans="5:6" x14ac:dyDescent="0.15">
      <c r="E153" s="117"/>
      <c r="F153" s="117"/>
    </row>
    <row r="154" spans="5:6" x14ac:dyDescent="0.15">
      <c r="E154" s="117"/>
      <c r="F154" s="117"/>
    </row>
    <row r="155" spans="5:6" x14ac:dyDescent="0.15">
      <c r="E155" s="117"/>
      <c r="F155" s="117"/>
    </row>
    <row r="156" spans="5:6" x14ac:dyDescent="0.15">
      <c r="E156" s="117"/>
      <c r="F156" s="117"/>
    </row>
    <row r="157" spans="5:6" x14ac:dyDescent="0.15">
      <c r="E157" s="117"/>
      <c r="F157" s="117"/>
    </row>
    <row r="158" spans="5:6" x14ac:dyDescent="0.15">
      <c r="E158" s="117"/>
      <c r="F158" s="117"/>
    </row>
    <row r="159" spans="5:6" x14ac:dyDescent="0.15">
      <c r="E159" s="117"/>
      <c r="F159" s="117"/>
    </row>
    <row r="160" spans="5:6" x14ac:dyDescent="0.15">
      <c r="E160" s="117"/>
      <c r="F160" s="117"/>
    </row>
    <row r="161" spans="5:6" x14ac:dyDescent="0.15">
      <c r="E161" s="117"/>
      <c r="F161" s="117"/>
    </row>
    <row r="162" spans="5:6" x14ac:dyDescent="0.15">
      <c r="E162" s="117"/>
      <c r="F162" s="117"/>
    </row>
    <row r="163" spans="5:6" x14ac:dyDescent="0.15">
      <c r="E163" s="117"/>
      <c r="F163" s="117"/>
    </row>
    <row r="164" spans="5:6" x14ac:dyDescent="0.15">
      <c r="E164" s="117"/>
      <c r="F164" s="117"/>
    </row>
    <row r="165" spans="5:6" x14ac:dyDescent="0.15">
      <c r="E165" s="117"/>
      <c r="F165" s="117"/>
    </row>
    <row r="166" spans="5:6" x14ac:dyDescent="0.15">
      <c r="E166" s="117"/>
      <c r="F166" s="117"/>
    </row>
    <row r="167" spans="5:6" x14ac:dyDescent="0.15">
      <c r="E167" s="117"/>
      <c r="F167" s="117"/>
    </row>
    <row r="168" spans="5:6" x14ac:dyDescent="0.15">
      <c r="E168" s="117"/>
      <c r="F168" s="117"/>
    </row>
    <row r="169" spans="5:6" x14ac:dyDescent="0.15">
      <c r="E169" s="117"/>
      <c r="F169" s="117"/>
    </row>
    <row r="170" spans="5:6" x14ac:dyDescent="0.15">
      <c r="E170" s="117"/>
      <c r="F170" s="117"/>
    </row>
    <row r="171" spans="5:6" x14ac:dyDescent="0.15">
      <c r="E171" s="117"/>
      <c r="F171" s="117"/>
    </row>
    <row r="172" spans="5:6" x14ac:dyDescent="0.15">
      <c r="E172" s="117"/>
      <c r="F172" s="117"/>
    </row>
    <row r="173" spans="5:6" x14ac:dyDescent="0.15">
      <c r="E173" s="117"/>
      <c r="F173" s="117"/>
    </row>
    <row r="174" spans="5:6" x14ac:dyDescent="0.15">
      <c r="E174" s="117"/>
      <c r="F174" s="117"/>
    </row>
    <row r="175" spans="5:6" x14ac:dyDescent="0.15">
      <c r="E175" s="117"/>
      <c r="F175" s="117"/>
    </row>
    <row r="176" spans="5:6" x14ac:dyDescent="0.15">
      <c r="E176" s="117"/>
      <c r="F176" s="117"/>
    </row>
    <row r="177" spans="5:6" x14ac:dyDescent="0.15">
      <c r="E177" s="117"/>
      <c r="F177" s="117"/>
    </row>
    <row r="178" spans="5:6" x14ac:dyDescent="0.15">
      <c r="E178" s="117"/>
      <c r="F178" s="117"/>
    </row>
    <row r="179" spans="5:6" x14ac:dyDescent="0.15">
      <c r="E179" s="117"/>
      <c r="F179" s="117"/>
    </row>
    <row r="180" spans="5:6" x14ac:dyDescent="0.15">
      <c r="E180" s="117"/>
      <c r="F180" s="117"/>
    </row>
    <row r="181" spans="5:6" x14ac:dyDescent="0.15">
      <c r="E181" s="117"/>
      <c r="F181" s="117"/>
    </row>
    <row r="182" spans="5:6" x14ac:dyDescent="0.15">
      <c r="E182" s="117"/>
      <c r="F182" s="117"/>
    </row>
    <row r="183" spans="5:6" x14ac:dyDescent="0.15">
      <c r="E183" s="117"/>
      <c r="F183" s="117"/>
    </row>
    <row r="184" spans="5:6" x14ac:dyDescent="0.15">
      <c r="E184" s="117"/>
      <c r="F184" s="117"/>
    </row>
    <row r="185" spans="5:6" x14ac:dyDescent="0.15">
      <c r="E185" s="117"/>
      <c r="F185" s="117"/>
    </row>
    <row r="186" spans="5:6" x14ac:dyDescent="0.15">
      <c r="E186" s="117"/>
      <c r="F186" s="117"/>
    </row>
    <row r="187" spans="5:6" x14ac:dyDescent="0.15">
      <c r="E187" s="117"/>
      <c r="F187" s="117"/>
    </row>
    <row r="188" spans="5:6" x14ac:dyDescent="0.15">
      <c r="E188" s="117"/>
      <c r="F188" s="117"/>
    </row>
    <row r="189" spans="5:6" x14ac:dyDescent="0.15">
      <c r="E189" s="117"/>
      <c r="F189" s="117"/>
    </row>
    <row r="190" spans="5:6" x14ac:dyDescent="0.15">
      <c r="E190" s="117"/>
      <c r="F190" s="117"/>
    </row>
    <row r="191" spans="5:6" x14ac:dyDescent="0.15">
      <c r="E191" s="117"/>
      <c r="F191" s="117"/>
    </row>
    <row r="192" spans="5:6" x14ac:dyDescent="0.15">
      <c r="E192" s="117"/>
      <c r="F192" s="117"/>
    </row>
    <row r="193" spans="5:6" x14ac:dyDescent="0.15">
      <c r="E193" s="117"/>
      <c r="F193" s="117"/>
    </row>
    <row r="194" spans="5:6" x14ac:dyDescent="0.15">
      <c r="E194" s="117"/>
      <c r="F194" s="117"/>
    </row>
    <row r="195" spans="5:6" x14ac:dyDescent="0.15">
      <c r="E195" s="117"/>
      <c r="F195" s="117"/>
    </row>
    <row r="196" spans="5:6" x14ac:dyDescent="0.15">
      <c r="E196" s="117"/>
      <c r="F196" s="117"/>
    </row>
    <row r="197" spans="5:6" x14ac:dyDescent="0.15">
      <c r="E197" s="117"/>
      <c r="F197" s="117"/>
    </row>
    <row r="198" spans="5:6" x14ac:dyDescent="0.15">
      <c r="E198" s="117"/>
      <c r="F198" s="117"/>
    </row>
    <row r="199" spans="5:6" x14ac:dyDescent="0.15">
      <c r="E199" s="117"/>
      <c r="F199" s="117"/>
    </row>
    <row r="200" spans="5:6" x14ac:dyDescent="0.15">
      <c r="E200" s="117"/>
      <c r="F200" s="117"/>
    </row>
    <row r="201" spans="5:6" x14ac:dyDescent="0.15">
      <c r="E201" s="117"/>
      <c r="F201" s="117"/>
    </row>
    <row r="202" spans="5:6" x14ac:dyDescent="0.15">
      <c r="E202" s="117"/>
      <c r="F202" s="117"/>
    </row>
    <row r="203" spans="5:6" x14ac:dyDescent="0.15">
      <c r="E203" s="117"/>
      <c r="F203" s="117"/>
    </row>
    <row r="204" spans="5:6" x14ac:dyDescent="0.15">
      <c r="E204" s="117"/>
      <c r="F204" s="117"/>
    </row>
    <row r="205" spans="5:6" x14ac:dyDescent="0.15">
      <c r="E205" s="117"/>
      <c r="F205" s="117"/>
    </row>
    <row r="206" spans="5:6" x14ac:dyDescent="0.15">
      <c r="E206" s="117"/>
      <c r="F206" s="117"/>
    </row>
    <row r="207" spans="5:6" x14ac:dyDescent="0.15">
      <c r="E207" s="117"/>
      <c r="F207" s="117"/>
    </row>
    <row r="208" spans="5:6" x14ac:dyDescent="0.15">
      <c r="E208" s="117"/>
      <c r="F208" s="117"/>
    </row>
    <row r="209" spans="5:6" x14ac:dyDescent="0.15">
      <c r="E209" s="117"/>
      <c r="F209" s="117"/>
    </row>
    <row r="210" spans="5:6" x14ac:dyDescent="0.15">
      <c r="E210" s="117"/>
      <c r="F210" s="117"/>
    </row>
    <row r="211" spans="5:6" x14ac:dyDescent="0.15">
      <c r="E211" s="117"/>
      <c r="F211" s="117"/>
    </row>
    <row r="212" spans="5:6" x14ac:dyDescent="0.15">
      <c r="E212" s="117"/>
      <c r="F212" s="117"/>
    </row>
    <row r="213" spans="5:6" x14ac:dyDescent="0.15">
      <c r="E213" s="117"/>
      <c r="F213" s="117"/>
    </row>
    <row r="214" spans="5:6" x14ac:dyDescent="0.15">
      <c r="E214" s="117"/>
      <c r="F214" s="117"/>
    </row>
    <row r="215" spans="5:6" x14ac:dyDescent="0.15">
      <c r="E215" s="117"/>
      <c r="F215" s="117"/>
    </row>
    <row r="216" spans="5:6" x14ac:dyDescent="0.15">
      <c r="E216" s="117"/>
      <c r="F216" s="117"/>
    </row>
    <row r="217" spans="5:6" x14ac:dyDescent="0.15">
      <c r="E217" s="117"/>
      <c r="F217" s="117"/>
    </row>
    <row r="218" spans="5:6" x14ac:dyDescent="0.15">
      <c r="E218" s="117"/>
      <c r="F218" s="117"/>
    </row>
    <row r="219" spans="5:6" x14ac:dyDescent="0.15">
      <c r="E219" s="117"/>
      <c r="F219" s="117"/>
    </row>
    <row r="220" spans="5:6" x14ac:dyDescent="0.15">
      <c r="E220" s="117"/>
      <c r="F220" s="117"/>
    </row>
    <row r="221" spans="5:6" x14ac:dyDescent="0.15">
      <c r="E221" s="117"/>
      <c r="F221" s="117"/>
    </row>
    <row r="222" spans="5:6" x14ac:dyDescent="0.15">
      <c r="E222" s="117"/>
      <c r="F222" s="117"/>
    </row>
    <row r="223" spans="5:6" x14ac:dyDescent="0.15">
      <c r="E223" s="117"/>
      <c r="F223" s="117"/>
    </row>
    <row r="224" spans="5:6" x14ac:dyDescent="0.15">
      <c r="E224" s="117"/>
      <c r="F224" s="117"/>
    </row>
    <row r="225" spans="5:6" x14ac:dyDescent="0.15">
      <c r="E225" s="117"/>
      <c r="F225" s="117"/>
    </row>
    <row r="226" spans="5:6" x14ac:dyDescent="0.15">
      <c r="E226" s="117"/>
      <c r="F226" s="117"/>
    </row>
    <row r="227" spans="5:6" x14ac:dyDescent="0.15">
      <c r="E227" s="117"/>
      <c r="F227" s="117"/>
    </row>
    <row r="228" spans="5:6" x14ac:dyDescent="0.15">
      <c r="E228" s="117"/>
      <c r="F228" s="117"/>
    </row>
    <row r="229" spans="5:6" x14ac:dyDescent="0.15">
      <c r="E229" s="117"/>
      <c r="F229" s="117"/>
    </row>
    <row r="230" spans="5:6" x14ac:dyDescent="0.15">
      <c r="E230" s="117"/>
      <c r="F230" s="117"/>
    </row>
    <row r="231" spans="5:6" x14ac:dyDescent="0.15">
      <c r="E231" s="117"/>
      <c r="F231" s="117"/>
    </row>
    <row r="232" spans="5:6" x14ac:dyDescent="0.15">
      <c r="E232" s="117"/>
      <c r="F232" s="117"/>
    </row>
    <row r="233" spans="5:6" x14ac:dyDescent="0.15">
      <c r="E233" s="117"/>
      <c r="F233" s="117"/>
    </row>
    <row r="234" spans="5:6" x14ac:dyDescent="0.15">
      <c r="E234" s="117"/>
      <c r="F234" s="117"/>
    </row>
    <row r="235" spans="5:6" x14ac:dyDescent="0.15">
      <c r="E235" s="117"/>
      <c r="F235" s="117"/>
    </row>
    <row r="236" spans="5:6" x14ac:dyDescent="0.15">
      <c r="E236" s="117"/>
      <c r="F236" s="117"/>
    </row>
    <row r="237" spans="5:6" x14ac:dyDescent="0.15">
      <c r="E237" s="117"/>
      <c r="F237" s="117"/>
    </row>
    <row r="238" spans="5:6" x14ac:dyDescent="0.15">
      <c r="E238" s="117"/>
      <c r="F238" s="117"/>
    </row>
    <row r="239" spans="5:6" x14ac:dyDescent="0.15">
      <c r="E239" s="117"/>
      <c r="F239" s="117"/>
    </row>
    <row r="240" spans="5:6" x14ac:dyDescent="0.15">
      <c r="E240" s="117"/>
      <c r="F240" s="117"/>
    </row>
    <row r="241" spans="5:6" x14ac:dyDescent="0.15">
      <c r="E241" s="117"/>
      <c r="F241" s="117"/>
    </row>
    <row r="242" spans="5:6" x14ac:dyDescent="0.15">
      <c r="E242" s="117"/>
      <c r="F242" s="117"/>
    </row>
    <row r="243" spans="5:6" x14ac:dyDescent="0.15">
      <c r="E243" s="117"/>
      <c r="F243" s="117"/>
    </row>
    <row r="244" spans="5:6" x14ac:dyDescent="0.15">
      <c r="E244" s="117"/>
      <c r="F244" s="117"/>
    </row>
    <row r="245" spans="5:6" x14ac:dyDescent="0.15">
      <c r="E245" s="117"/>
      <c r="F245" s="117"/>
    </row>
    <row r="246" spans="5:6" x14ac:dyDescent="0.15">
      <c r="E246" s="117"/>
      <c r="F246" s="117"/>
    </row>
    <row r="247" spans="5:6" x14ac:dyDescent="0.15">
      <c r="E247" s="117"/>
      <c r="F247" s="117"/>
    </row>
    <row r="248" spans="5:6" x14ac:dyDescent="0.15">
      <c r="E248" s="117"/>
      <c r="F248" s="117"/>
    </row>
    <row r="249" spans="5:6" x14ac:dyDescent="0.15">
      <c r="E249" s="117"/>
      <c r="F249" s="117"/>
    </row>
    <row r="250" spans="5:6" x14ac:dyDescent="0.15">
      <c r="E250" s="117"/>
      <c r="F250" s="117"/>
    </row>
    <row r="251" spans="5:6" x14ac:dyDescent="0.15">
      <c r="E251" s="117"/>
      <c r="F251" s="117"/>
    </row>
    <row r="252" spans="5:6" x14ac:dyDescent="0.15">
      <c r="E252" s="117"/>
      <c r="F252" s="117"/>
    </row>
    <row r="253" spans="5:6" x14ac:dyDescent="0.15">
      <c r="E253" s="117"/>
      <c r="F253" s="117"/>
    </row>
    <row r="254" spans="5:6" x14ac:dyDescent="0.15">
      <c r="E254" s="117"/>
      <c r="F254" s="117"/>
    </row>
    <row r="255" spans="5:6" x14ac:dyDescent="0.15">
      <c r="E255" s="117"/>
      <c r="F255" s="117"/>
    </row>
    <row r="256" spans="5:6" x14ac:dyDescent="0.15">
      <c r="E256" s="117"/>
      <c r="F256" s="117"/>
    </row>
    <row r="257" spans="5:6" x14ac:dyDescent="0.15">
      <c r="E257" s="117"/>
      <c r="F257" s="117"/>
    </row>
    <row r="258" spans="5:6" x14ac:dyDescent="0.15">
      <c r="E258" s="117"/>
      <c r="F258" s="117"/>
    </row>
    <row r="259" spans="5:6" x14ac:dyDescent="0.15">
      <c r="E259" s="117"/>
      <c r="F259" s="117"/>
    </row>
    <row r="260" spans="5:6" x14ac:dyDescent="0.15">
      <c r="E260" s="117"/>
      <c r="F260" s="117"/>
    </row>
    <row r="261" spans="5:6" x14ac:dyDescent="0.15">
      <c r="E261" s="117"/>
      <c r="F261" s="117"/>
    </row>
    <row r="262" spans="5:6" x14ac:dyDescent="0.15">
      <c r="E262" s="117"/>
      <c r="F262" s="117"/>
    </row>
    <row r="263" spans="5:6" x14ac:dyDescent="0.15">
      <c r="E263" s="117"/>
      <c r="F263" s="117"/>
    </row>
    <row r="264" spans="5:6" x14ac:dyDescent="0.15">
      <c r="E264" s="117"/>
      <c r="F264" s="117"/>
    </row>
    <row r="265" spans="5:6" x14ac:dyDescent="0.15">
      <c r="E265" s="117"/>
      <c r="F265" s="117"/>
    </row>
    <row r="266" spans="5:6" x14ac:dyDescent="0.15">
      <c r="E266" s="117"/>
      <c r="F266" s="117"/>
    </row>
    <row r="267" spans="5:6" x14ac:dyDescent="0.15">
      <c r="E267" s="117"/>
      <c r="F267" s="117"/>
    </row>
    <row r="268" spans="5:6" x14ac:dyDescent="0.15">
      <c r="E268" s="117"/>
      <c r="F268" s="117"/>
    </row>
    <row r="269" spans="5:6" x14ac:dyDescent="0.15">
      <c r="E269" s="117"/>
      <c r="F269" s="117"/>
    </row>
    <row r="270" spans="5:6" x14ac:dyDescent="0.15">
      <c r="E270" s="117"/>
      <c r="F270" s="117"/>
    </row>
    <row r="271" spans="5:6" x14ac:dyDescent="0.15">
      <c r="E271" s="117"/>
      <c r="F271" s="117"/>
    </row>
    <row r="272" spans="5:6" x14ac:dyDescent="0.15">
      <c r="E272" s="117"/>
      <c r="F272" s="117"/>
    </row>
    <row r="273" spans="5:6" x14ac:dyDescent="0.15">
      <c r="E273" s="117"/>
      <c r="F273" s="117"/>
    </row>
    <row r="274" spans="5:6" x14ac:dyDescent="0.15">
      <c r="E274" s="117"/>
      <c r="F274" s="117"/>
    </row>
    <row r="275" spans="5:6" x14ac:dyDescent="0.15">
      <c r="E275" s="117"/>
      <c r="F275" s="117"/>
    </row>
    <row r="276" spans="5:6" x14ac:dyDescent="0.15">
      <c r="E276" s="117"/>
      <c r="F276" s="117"/>
    </row>
    <row r="277" spans="5:6" x14ac:dyDescent="0.15">
      <c r="E277" s="117"/>
      <c r="F277" s="117"/>
    </row>
    <row r="278" spans="5:6" x14ac:dyDescent="0.15">
      <c r="E278" s="117"/>
      <c r="F278" s="117"/>
    </row>
    <row r="279" spans="5:6" x14ac:dyDescent="0.15">
      <c r="E279" s="117"/>
      <c r="F279" s="117"/>
    </row>
    <row r="280" spans="5:6" x14ac:dyDescent="0.15">
      <c r="E280" s="117"/>
      <c r="F280" s="117"/>
    </row>
    <row r="281" spans="5:6" x14ac:dyDescent="0.15">
      <c r="E281" s="117"/>
      <c r="F281" s="117"/>
    </row>
    <row r="282" spans="5:6" x14ac:dyDescent="0.15">
      <c r="E282" s="117"/>
      <c r="F282" s="117"/>
    </row>
    <row r="283" spans="5:6" x14ac:dyDescent="0.15">
      <c r="E283" s="117"/>
      <c r="F283" s="117"/>
    </row>
    <row r="284" spans="5:6" x14ac:dyDescent="0.15">
      <c r="E284" s="117"/>
      <c r="F284" s="117"/>
    </row>
    <row r="285" spans="5:6" x14ac:dyDescent="0.15">
      <c r="E285" s="117"/>
      <c r="F285" s="117"/>
    </row>
    <row r="286" spans="5:6" x14ac:dyDescent="0.15">
      <c r="E286" s="117"/>
      <c r="F286" s="117"/>
    </row>
    <row r="287" spans="5:6" x14ac:dyDescent="0.15">
      <c r="E287" s="117"/>
      <c r="F287" s="117"/>
    </row>
    <row r="288" spans="5:6" x14ac:dyDescent="0.15">
      <c r="E288" s="117"/>
      <c r="F288" s="117"/>
    </row>
    <row r="289" spans="5:6" x14ac:dyDescent="0.15">
      <c r="E289" s="117"/>
      <c r="F289" s="117"/>
    </row>
    <row r="290" spans="5:6" x14ac:dyDescent="0.15">
      <c r="E290" s="117"/>
      <c r="F290" s="117"/>
    </row>
    <row r="291" spans="5:6" x14ac:dyDescent="0.15">
      <c r="E291" s="117"/>
      <c r="F291" s="117"/>
    </row>
    <row r="292" spans="5:6" x14ac:dyDescent="0.15">
      <c r="E292" s="117"/>
      <c r="F292" s="117"/>
    </row>
    <row r="293" spans="5:6" x14ac:dyDescent="0.15">
      <c r="E293" s="117"/>
      <c r="F293" s="117"/>
    </row>
    <row r="294" spans="5:6" x14ac:dyDescent="0.15">
      <c r="E294" s="117"/>
      <c r="F294" s="117"/>
    </row>
    <row r="295" spans="5:6" x14ac:dyDescent="0.15">
      <c r="E295" s="117"/>
      <c r="F295" s="117"/>
    </row>
    <row r="296" spans="5:6" x14ac:dyDescent="0.15">
      <c r="E296" s="117"/>
      <c r="F296" s="117"/>
    </row>
    <row r="297" spans="5:6" x14ac:dyDescent="0.15">
      <c r="E297" s="117"/>
      <c r="F297" s="117"/>
    </row>
    <row r="298" spans="5:6" x14ac:dyDescent="0.15">
      <c r="E298" s="117"/>
      <c r="F298" s="117"/>
    </row>
    <row r="299" spans="5:6" x14ac:dyDescent="0.15">
      <c r="E299" s="117"/>
      <c r="F299" s="117"/>
    </row>
    <row r="300" spans="5:6" x14ac:dyDescent="0.15">
      <c r="E300" s="117"/>
      <c r="F300" s="117"/>
    </row>
    <row r="301" spans="5:6" x14ac:dyDescent="0.15">
      <c r="E301" s="117"/>
      <c r="F301" s="117"/>
    </row>
    <row r="302" spans="5:6" x14ac:dyDescent="0.15">
      <c r="E302" s="117"/>
      <c r="F302" s="117"/>
    </row>
    <row r="303" spans="5:6" x14ac:dyDescent="0.15">
      <c r="E303" s="117"/>
      <c r="F303" s="117"/>
    </row>
    <row r="304" spans="5:6" x14ac:dyDescent="0.15">
      <c r="E304" s="117"/>
      <c r="F304" s="117"/>
    </row>
    <row r="305" spans="5:6" x14ac:dyDescent="0.15">
      <c r="E305" s="117"/>
      <c r="F305" s="117"/>
    </row>
    <row r="306" spans="5:6" x14ac:dyDescent="0.15">
      <c r="E306" s="117"/>
      <c r="F306" s="117"/>
    </row>
    <row r="307" spans="5:6" x14ac:dyDescent="0.15">
      <c r="E307" s="117"/>
      <c r="F307" s="117"/>
    </row>
    <row r="308" spans="5:6" x14ac:dyDescent="0.15">
      <c r="E308" s="117"/>
      <c r="F308" s="117"/>
    </row>
    <row r="309" spans="5:6" x14ac:dyDescent="0.15">
      <c r="E309" s="117"/>
      <c r="F309" s="117"/>
    </row>
    <row r="310" spans="5:6" x14ac:dyDescent="0.15">
      <c r="E310" s="117"/>
      <c r="F310" s="117"/>
    </row>
    <row r="311" spans="5:6" x14ac:dyDescent="0.15">
      <c r="E311" s="117"/>
      <c r="F311" s="117"/>
    </row>
    <row r="312" spans="5:6" x14ac:dyDescent="0.15">
      <c r="E312" s="117"/>
      <c r="F312" s="117"/>
    </row>
    <row r="313" spans="5:6" x14ac:dyDescent="0.15">
      <c r="E313" s="117"/>
      <c r="F313" s="117"/>
    </row>
    <row r="314" spans="5:6" x14ac:dyDescent="0.15">
      <c r="E314" s="117"/>
      <c r="F314" s="117"/>
    </row>
    <row r="315" spans="5:6" x14ac:dyDescent="0.15">
      <c r="E315" s="117"/>
      <c r="F315" s="117"/>
    </row>
    <row r="316" spans="5:6" x14ac:dyDescent="0.15">
      <c r="E316" s="117"/>
      <c r="F316" s="117"/>
    </row>
    <row r="317" spans="5:6" x14ac:dyDescent="0.15">
      <c r="E317" s="117"/>
      <c r="F317" s="117"/>
    </row>
    <row r="318" spans="5:6" x14ac:dyDescent="0.15">
      <c r="E318" s="117"/>
      <c r="F318" s="117"/>
    </row>
    <row r="319" spans="5:6" x14ac:dyDescent="0.15">
      <c r="E319" s="117"/>
      <c r="F319" s="117"/>
    </row>
    <row r="320" spans="5:6" x14ac:dyDescent="0.15">
      <c r="E320" s="117"/>
      <c r="F320" s="117"/>
    </row>
    <row r="321" spans="5:6" x14ac:dyDescent="0.15">
      <c r="E321" s="117"/>
      <c r="F321" s="117"/>
    </row>
    <row r="322" spans="5:6" x14ac:dyDescent="0.15">
      <c r="E322" s="117"/>
      <c r="F322" s="117"/>
    </row>
    <row r="323" spans="5:6" x14ac:dyDescent="0.15">
      <c r="E323" s="117"/>
      <c r="F323" s="117"/>
    </row>
    <row r="324" spans="5:6" x14ac:dyDescent="0.15">
      <c r="E324" s="117"/>
      <c r="F324" s="117"/>
    </row>
    <row r="325" spans="5:6" x14ac:dyDescent="0.15">
      <c r="E325" s="117"/>
      <c r="F325" s="117"/>
    </row>
    <row r="326" spans="5:6" x14ac:dyDescent="0.15">
      <c r="E326" s="117"/>
      <c r="F326" s="117"/>
    </row>
    <row r="327" spans="5:6" x14ac:dyDescent="0.15">
      <c r="E327" s="117"/>
      <c r="F327" s="117"/>
    </row>
    <row r="328" spans="5:6" x14ac:dyDescent="0.15">
      <c r="E328" s="117"/>
      <c r="F328" s="117"/>
    </row>
    <row r="329" spans="5:6" x14ac:dyDescent="0.15">
      <c r="E329" s="117"/>
      <c r="F329" s="117"/>
    </row>
    <row r="330" spans="5:6" x14ac:dyDescent="0.15">
      <c r="E330" s="117"/>
      <c r="F330" s="117"/>
    </row>
    <row r="331" spans="5:6" x14ac:dyDescent="0.15">
      <c r="E331" s="117"/>
      <c r="F331" s="117"/>
    </row>
    <row r="332" spans="5:6" x14ac:dyDescent="0.15">
      <c r="E332" s="117"/>
      <c r="F332" s="117"/>
    </row>
    <row r="333" spans="5:6" x14ac:dyDescent="0.15">
      <c r="E333" s="117"/>
      <c r="F333" s="117"/>
    </row>
    <row r="334" spans="5:6" x14ac:dyDescent="0.15">
      <c r="E334" s="117"/>
      <c r="F334" s="117"/>
    </row>
    <row r="335" spans="5:6" x14ac:dyDescent="0.15">
      <c r="E335" s="117"/>
      <c r="F335" s="117"/>
    </row>
    <row r="336" spans="5:6" x14ac:dyDescent="0.15">
      <c r="E336" s="117"/>
      <c r="F336" s="117"/>
    </row>
    <row r="337" spans="5:6" x14ac:dyDescent="0.15">
      <c r="E337" s="117"/>
      <c r="F337" s="117"/>
    </row>
    <row r="338" spans="5:6" x14ac:dyDescent="0.15">
      <c r="E338" s="117"/>
      <c r="F338" s="117"/>
    </row>
    <row r="339" spans="5:6" x14ac:dyDescent="0.15">
      <c r="E339" s="117"/>
      <c r="F339" s="117"/>
    </row>
    <row r="340" spans="5:6" x14ac:dyDescent="0.15">
      <c r="E340" s="117"/>
      <c r="F340" s="117"/>
    </row>
    <row r="341" spans="5:6" x14ac:dyDescent="0.15">
      <c r="E341" s="117"/>
      <c r="F341" s="117"/>
    </row>
    <row r="342" spans="5:6" x14ac:dyDescent="0.15">
      <c r="E342" s="117"/>
      <c r="F342" s="117"/>
    </row>
    <row r="343" spans="5:6" x14ac:dyDescent="0.15">
      <c r="E343" s="117"/>
      <c r="F343" s="117"/>
    </row>
    <row r="344" spans="5:6" x14ac:dyDescent="0.15">
      <c r="E344" s="117"/>
      <c r="F344" s="117"/>
    </row>
    <row r="345" spans="5:6" x14ac:dyDescent="0.15">
      <c r="E345" s="117"/>
      <c r="F345" s="117"/>
    </row>
    <row r="346" spans="5:6" x14ac:dyDescent="0.15">
      <c r="E346" s="117"/>
      <c r="F346" s="117"/>
    </row>
    <row r="347" spans="5:6" x14ac:dyDescent="0.15">
      <c r="E347" s="117"/>
      <c r="F347" s="117"/>
    </row>
    <row r="348" spans="5:6" x14ac:dyDescent="0.15">
      <c r="E348" s="117"/>
      <c r="F348" s="117"/>
    </row>
    <row r="349" spans="5:6" x14ac:dyDescent="0.15">
      <c r="E349" s="117"/>
      <c r="F349" s="117"/>
    </row>
    <row r="350" spans="5:6" x14ac:dyDescent="0.15">
      <c r="E350" s="117"/>
      <c r="F350" s="117"/>
    </row>
    <row r="351" spans="5:6" x14ac:dyDescent="0.15">
      <c r="E351" s="117"/>
      <c r="F351" s="117"/>
    </row>
    <row r="352" spans="5:6" x14ac:dyDescent="0.15">
      <c r="E352" s="117"/>
      <c r="F352" s="117"/>
    </row>
    <row r="353" spans="5:6" x14ac:dyDescent="0.15">
      <c r="E353" s="117"/>
      <c r="F353" s="117"/>
    </row>
    <row r="354" spans="5:6" x14ac:dyDescent="0.15">
      <c r="E354" s="117"/>
      <c r="F354" s="117"/>
    </row>
    <row r="355" spans="5:6" x14ac:dyDescent="0.15">
      <c r="E355" s="117"/>
      <c r="F355" s="117"/>
    </row>
    <row r="356" spans="5:6" x14ac:dyDescent="0.15">
      <c r="E356" s="117"/>
      <c r="F356" s="117"/>
    </row>
    <row r="357" spans="5:6" x14ac:dyDescent="0.15">
      <c r="E357" s="117"/>
      <c r="F357" s="117"/>
    </row>
    <row r="358" spans="5:6" x14ac:dyDescent="0.15">
      <c r="E358" s="117"/>
      <c r="F358" s="117"/>
    </row>
    <row r="359" spans="5:6" x14ac:dyDescent="0.15">
      <c r="E359" s="117"/>
      <c r="F359" s="117"/>
    </row>
    <row r="360" spans="5:6" x14ac:dyDescent="0.15">
      <c r="E360" s="117"/>
      <c r="F360" s="117"/>
    </row>
    <row r="361" spans="5:6" x14ac:dyDescent="0.15">
      <c r="E361" s="117"/>
      <c r="F361" s="117"/>
    </row>
    <row r="362" spans="5:6" x14ac:dyDescent="0.15">
      <c r="E362" s="117"/>
      <c r="F362" s="117"/>
    </row>
    <row r="363" spans="5:6" x14ac:dyDescent="0.15">
      <c r="E363" s="117"/>
      <c r="F363" s="117"/>
    </row>
    <row r="364" spans="5:6" x14ac:dyDescent="0.15">
      <c r="E364" s="117"/>
      <c r="F364" s="117"/>
    </row>
    <row r="365" spans="5:6" x14ac:dyDescent="0.15">
      <c r="E365" s="117"/>
      <c r="F365" s="117"/>
    </row>
    <row r="366" spans="5:6" x14ac:dyDescent="0.15">
      <c r="E366" s="117"/>
      <c r="F366" s="117"/>
    </row>
    <row r="367" spans="5:6" x14ac:dyDescent="0.15">
      <c r="E367" s="117"/>
      <c r="F367" s="117"/>
    </row>
    <row r="368" spans="5:6" x14ac:dyDescent="0.15">
      <c r="E368" s="117"/>
      <c r="F368" s="117"/>
    </row>
    <row r="369" spans="5:6" x14ac:dyDescent="0.15">
      <c r="E369" s="117"/>
      <c r="F369" s="117"/>
    </row>
    <row r="370" spans="5:6" x14ac:dyDescent="0.15">
      <c r="E370" s="117"/>
      <c r="F370" s="117"/>
    </row>
    <row r="371" spans="5:6" x14ac:dyDescent="0.15">
      <c r="E371" s="117"/>
      <c r="F371" s="117"/>
    </row>
    <row r="372" spans="5:6" x14ac:dyDescent="0.15">
      <c r="E372" s="117"/>
      <c r="F372" s="117"/>
    </row>
    <row r="373" spans="5:6" x14ac:dyDescent="0.15">
      <c r="E373" s="117"/>
      <c r="F373" s="117"/>
    </row>
    <row r="374" spans="5:6" x14ac:dyDescent="0.15">
      <c r="E374" s="117"/>
      <c r="F374" s="117"/>
    </row>
    <row r="375" spans="5:6" x14ac:dyDescent="0.15">
      <c r="E375" s="117"/>
      <c r="F375" s="117"/>
    </row>
    <row r="376" spans="5:6" x14ac:dyDescent="0.15">
      <c r="E376" s="117"/>
      <c r="F376" s="117"/>
    </row>
    <row r="377" spans="5:6" x14ac:dyDescent="0.15">
      <c r="E377" s="117"/>
      <c r="F377" s="117"/>
    </row>
    <row r="378" spans="5:6" x14ac:dyDescent="0.15">
      <c r="E378" s="117"/>
      <c r="F378" s="117"/>
    </row>
    <row r="379" spans="5:6" x14ac:dyDescent="0.15">
      <c r="E379" s="117"/>
      <c r="F379" s="117"/>
    </row>
    <row r="380" spans="5:6" x14ac:dyDescent="0.15">
      <c r="E380" s="117"/>
      <c r="F380" s="117"/>
    </row>
    <row r="381" spans="5:6" x14ac:dyDescent="0.15">
      <c r="E381" s="117"/>
      <c r="F381" s="117"/>
    </row>
    <row r="382" spans="5:6" x14ac:dyDescent="0.15">
      <c r="E382" s="117"/>
      <c r="F382" s="117"/>
    </row>
    <row r="383" spans="5:6" x14ac:dyDescent="0.15">
      <c r="E383" s="117"/>
      <c r="F383" s="117"/>
    </row>
    <row r="384" spans="5:6" x14ac:dyDescent="0.15">
      <c r="E384" s="117"/>
      <c r="F384" s="117"/>
    </row>
    <row r="385" spans="5:6" x14ac:dyDescent="0.15">
      <c r="E385" s="117"/>
      <c r="F385" s="117"/>
    </row>
    <row r="386" spans="5:6" x14ac:dyDescent="0.15">
      <c r="E386" s="117"/>
      <c r="F386" s="117"/>
    </row>
    <row r="387" spans="5:6" x14ac:dyDescent="0.15">
      <c r="E387" s="117"/>
      <c r="F387" s="117"/>
    </row>
    <row r="388" spans="5:6" x14ac:dyDescent="0.15">
      <c r="E388" s="117"/>
      <c r="F388" s="117"/>
    </row>
    <row r="389" spans="5:6" x14ac:dyDescent="0.15">
      <c r="E389" s="117"/>
      <c r="F389" s="117"/>
    </row>
    <row r="390" spans="5:6" x14ac:dyDescent="0.15">
      <c r="E390" s="117"/>
      <c r="F390" s="117"/>
    </row>
    <row r="391" spans="5:6" x14ac:dyDescent="0.15">
      <c r="E391" s="117"/>
      <c r="F391" s="117"/>
    </row>
    <row r="392" spans="5:6" x14ac:dyDescent="0.15">
      <c r="E392" s="117"/>
      <c r="F392" s="117"/>
    </row>
    <row r="393" spans="5:6" x14ac:dyDescent="0.15">
      <c r="E393" s="117"/>
      <c r="F393" s="117"/>
    </row>
    <row r="394" spans="5:6" x14ac:dyDescent="0.15">
      <c r="E394" s="117"/>
      <c r="F394" s="117"/>
    </row>
    <row r="395" spans="5:6" x14ac:dyDescent="0.15">
      <c r="E395" s="117"/>
      <c r="F395" s="117"/>
    </row>
    <row r="396" spans="5:6" x14ac:dyDescent="0.15">
      <c r="E396" s="117"/>
      <c r="F396" s="117"/>
    </row>
    <row r="397" spans="5:6" x14ac:dyDescent="0.15">
      <c r="E397" s="117"/>
      <c r="F397" s="117"/>
    </row>
    <row r="398" spans="5:6" x14ac:dyDescent="0.15">
      <c r="E398" s="117"/>
      <c r="F398" s="117"/>
    </row>
    <row r="399" spans="5:6" x14ac:dyDescent="0.15">
      <c r="E399" s="117"/>
      <c r="F399" s="117"/>
    </row>
    <row r="400" spans="5:6" x14ac:dyDescent="0.15">
      <c r="E400" s="117"/>
      <c r="F400" s="117"/>
    </row>
    <row r="401" spans="5:6" x14ac:dyDescent="0.15">
      <c r="E401" s="117"/>
      <c r="F401" s="117"/>
    </row>
    <row r="402" spans="5:6" x14ac:dyDescent="0.15">
      <c r="E402" s="117"/>
      <c r="F402" s="117"/>
    </row>
    <row r="403" spans="5:6" x14ac:dyDescent="0.15">
      <c r="E403" s="117"/>
      <c r="F403" s="117"/>
    </row>
    <row r="404" spans="5:6" x14ac:dyDescent="0.15">
      <c r="E404" s="117"/>
      <c r="F404" s="117"/>
    </row>
    <row r="405" spans="5:6" x14ac:dyDescent="0.15">
      <c r="E405" s="117"/>
      <c r="F405" s="117"/>
    </row>
    <row r="406" spans="5:6" x14ac:dyDescent="0.15">
      <c r="E406" s="117"/>
      <c r="F406" s="117"/>
    </row>
    <row r="407" spans="5:6" x14ac:dyDescent="0.15">
      <c r="E407" s="117"/>
      <c r="F407" s="117"/>
    </row>
    <row r="408" spans="5:6" x14ac:dyDescent="0.15">
      <c r="E408" s="117"/>
      <c r="F408" s="117"/>
    </row>
    <row r="409" spans="5:6" x14ac:dyDescent="0.15">
      <c r="E409" s="117"/>
      <c r="F409" s="117"/>
    </row>
    <row r="410" spans="5:6" x14ac:dyDescent="0.15">
      <c r="E410" s="117"/>
      <c r="F410" s="117"/>
    </row>
    <row r="411" spans="5:6" x14ac:dyDescent="0.15">
      <c r="E411" s="117"/>
      <c r="F411" s="117"/>
    </row>
    <row r="412" spans="5:6" x14ac:dyDescent="0.15">
      <c r="E412" s="117"/>
      <c r="F412" s="117"/>
    </row>
    <row r="413" spans="5:6" x14ac:dyDescent="0.15">
      <c r="E413" s="117"/>
      <c r="F413" s="117"/>
    </row>
    <row r="414" spans="5:6" x14ac:dyDescent="0.15">
      <c r="E414" s="117"/>
      <c r="F414" s="117"/>
    </row>
    <row r="415" spans="5:6" x14ac:dyDescent="0.15">
      <c r="E415" s="117"/>
      <c r="F415" s="117"/>
    </row>
    <row r="416" spans="5:6" x14ac:dyDescent="0.15">
      <c r="E416" s="117"/>
      <c r="F416" s="117"/>
    </row>
    <row r="417" spans="5:6" x14ac:dyDescent="0.15">
      <c r="E417" s="117"/>
      <c r="F417" s="117"/>
    </row>
    <row r="418" spans="5:6" x14ac:dyDescent="0.15">
      <c r="E418" s="117"/>
      <c r="F418" s="117"/>
    </row>
    <row r="419" spans="5:6" x14ac:dyDescent="0.15">
      <c r="E419" s="117"/>
      <c r="F419" s="117"/>
    </row>
    <row r="420" spans="5:6" x14ac:dyDescent="0.15">
      <c r="E420" s="117"/>
      <c r="F420" s="117"/>
    </row>
    <row r="421" spans="5:6" x14ac:dyDescent="0.15">
      <c r="E421" s="117"/>
      <c r="F421" s="117"/>
    </row>
    <row r="422" spans="5:6" x14ac:dyDescent="0.15">
      <c r="E422" s="117"/>
      <c r="F422" s="117"/>
    </row>
    <row r="423" spans="5:6" x14ac:dyDescent="0.15">
      <c r="E423" s="117"/>
      <c r="F423" s="117"/>
    </row>
    <row r="424" spans="5:6" x14ac:dyDescent="0.15">
      <c r="E424" s="117"/>
      <c r="F424" s="117"/>
    </row>
    <row r="425" spans="5:6" x14ac:dyDescent="0.15">
      <c r="E425" s="117"/>
      <c r="F425" s="117"/>
    </row>
    <row r="426" spans="5:6" x14ac:dyDescent="0.15">
      <c r="E426" s="117"/>
      <c r="F426" s="117"/>
    </row>
    <row r="427" spans="5:6" x14ac:dyDescent="0.15">
      <c r="E427" s="117"/>
      <c r="F427" s="117"/>
    </row>
    <row r="428" spans="5:6" x14ac:dyDescent="0.15">
      <c r="E428" s="117"/>
      <c r="F428" s="117"/>
    </row>
    <row r="429" spans="5:6" x14ac:dyDescent="0.15">
      <c r="E429" s="117"/>
      <c r="F429" s="117"/>
    </row>
    <row r="430" spans="5:6" x14ac:dyDescent="0.15">
      <c r="E430" s="117"/>
      <c r="F430" s="117"/>
    </row>
    <row r="431" spans="5:6" x14ac:dyDescent="0.15">
      <c r="E431" s="117"/>
      <c r="F431" s="117"/>
    </row>
    <row r="432" spans="5:6" x14ac:dyDescent="0.15">
      <c r="E432" s="117"/>
      <c r="F432" s="117"/>
    </row>
    <row r="433" spans="5:6" x14ac:dyDescent="0.15">
      <c r="E433" s="117"/>
      <c r="F433" s="117"/>
    </row>
    <row r="434" spans="5:6" x14ac:dyDescent="0.15">
      <c r="E434" s="117"/>
      <c r="F434" s="117"/>
    </row>
    <row r="435" spans="5:6" x14ac:dyDescent="0.15">
      <c r="E435" s="117"/>
      <c r="F435" s="117"/>
    </row>
    <row r="436" spans="5:6" x14ac:dyDescent="0.15">
      <c r="E436" s="117"/>
      <c r="F436" s="117"/>
    </row>
    <row r="437" spans="5:6" x14ac:dyDescent="0.15">
      <c r="E437" s="117"/>
      <c r="F437" s="117"/>
    </row>
    <row r="438" spans="5:6" x14ac:dyDescent="0.15">
      <c r="E438" s="117"/>
      <c r="F438" s="117"/>
    </row>
    <row r="439" spans="5:6" x14ac:dyDescent="0.15">
      <c r="E439" s="117"/>
      <c r="F439" s="117"/>
    </row>
    <row r="440" spans="5:6" x14ac:dyDescent="0.15">
      <c r="E440" s="117"/>
      <c r="F440" s="117"/>
    </row>
    <row r="441" spans="5:6" x14ac:dyDescent="0.15">
      <c r="E441" s="117"/>
      <c r="F441" s="117"/>
    </row>
    <row r="442" spans="5:6" x14ac:dyDescent="0.15">
      <c r="E442" s="117"/>
      <c r="F442" s="117"/>
    </row>
    <row r="443" spans="5:6" x14ac:dyDescent="0.15">
      <c r="E443" s="117"/>
      <c r="F443" s="117"/>
    </row>
    <row r="444" spans="5:6" x14ac:dyDescent="0.15">
      <c r="E444" s="117"/>
      <c r="F444" s="117"/>
    </row>
    <row r="445" spans="5:6" x14ac:dyDescent="0.15">
      <c r="E445" s="117"/>
      <c r="F445" s="117"/>
    </row>
    <row r="446" spans="5:6" x14ac:dyDescent="0.15">
      <c r="E446" s="117"/>
      <c r="F446" s="117"/>
    </row>
    <row r="447" spans="5:6" x14ac:dyDescent="0.15">
      <c r="E447" s="117"/>
      <c r="F447" s="117"/>
    </row>
    <row r="448" spans="5:6" x14ac:dyDescent="0.15">
      <c r="E448" s="117"/>
      <c r="F448" s="117"/>
    </row>
    <row r="449" spans="5:6" x14ac:dyDescent="0.15">
      <c r="E449" s="117"/>
      <c r="F449" s="117"/>
    </row>
    <row r="450" spans="5:6" x14ac:dyDescent="0.15">
      <c r="E450" s="117"/>
      <c r="F450" s="117"/>
    </row>
    <row r="451" spans="5:6" x14ac:dyDescent="0.15">
      <c r="E451" s="117"/>
      <c r="F451" s="117"/>
    </row>
    <row r="452" spans="5:6" x14ac:dyDescent="0.15">
      <c r="E452" s="117"/>
      <c r="F452" s="117"/>
    </row>
    <row r="453" spans="5:6" x14ac:dyDescent="0.15">
      <c r="E453" s="117"/>
      <c r="F453" s="117"/>
    </row>
    <row r="454" spans="5:6" x14ac:dyDescent="0.15">
      <c r="E454" s="117"/>
      <c r="F454" s="117"/>
    </row>
    <row r="455" spans="5:6" x14ac:dyDescent="0.15">
      <c r="E455" s="117"/>
      <c r="F455" s="117"/>
    </row>
    <row r="456" spans="5:6" x14ac:dyDescent="0.15">
      <c r="E456" s="117"/>
      <c r="F456" s="117"/>
    </row>
    <row r="457" spans="5:6" x14ac:dyDescent="0.15">
      <c r="E457" s="117"/>
      <c r="F457" s="117"/>
    </row>
    <row r="458" spans="5:6" x14ac:dyDescent="0.15">
      <c r="E458" s="117"/>
      <c r="F458" s="117"/>
    </row>
    <row r="459" spans="5:6" x14ac:dyDescent="0.15">
      <c r="E459" s="117"/>
      <c r="F459" s="117"/>
    </row>
    <row r="460" spans="5:6" x14ac:dyDescent="0.15">
      <c r="E460" s="117"/>
      <c r="F460" s="117"/>
    </row>
    <row r="461" spans="5:6" x14ac:dyDescent="0.15">
      <c r="E461" s="117"/>
      <c r="F461" s="117"/>
    </row>
    <row r="462" spans="5:6" x14ac:dyDescent="0.15">
      <c r="E462" s="117"/>
      <c r="F462" s="117"/>
    </row>
    <row r="463" spans="5:6" x14ac:dyDescent="0.15">
      <c r="E463" s="117"/>
      <c r="F463" s="117"/>
    </row>
    <row r="464" spans="5:6" x14ac:dyDescent="0.15">
      <c r="E464" s="117"/>
      <c r="F464" s="117"/>
    </row>
    <row r="465" spans="5:6" x14ac:dyDescent="0.15">
      <c r="E465" s="117"/>
      <c r="F465" s="117"/>
    </row>
    <row r="466" spans="5:6" x14ac:dyDescent="0.15">
      <c r="E466" s="117"/>
      <c r="F466" s="117"/>
    </row>
    <row r="467" spans="5:6" x14ac:dyDescent="0.15">
      <c r="E467" s="117"/>
      <c r="F467" s="117"/>
    </row>
    <row r="468" spans="5:6" x14ac:dyDescent="0.15">
      <c r="E468" s="117"/>
      <c r="F468" s="117"/>
    </row>
    <row r="469" spans="5:6" x14ac:dyDescent="0.15">
      <c r="E469" s="117"/>
      <c r="F469" s="117"/>
    </row>
    <row r="470" spans="5:6" x14ac:dyDescent="0.15">
      <c r="E470" s="117"/>
      <c r="F470" s="117"/>
    </row>
    <row r="471" spans="5:6" x14ac:dyDescent="0.15">
      <c r="E471" s="117"/>
      <c r="F471" s="117"/>
    </row>
    <row r="472" spans="5:6" x14ac:dyDescent="0.15">
      <c r="E472" s="117"/>
      <c r="F472" s="117"/>
    </row>
    <row r="473" spans="5:6" x14ac:dyDescent="0.15">
      <c r="E473" s="117"/>
      <c r="F473" s="117"/>
    </row>
    <row r="474" spans="5:6" x14ac:dyDescent="0.15">
      <c r="E474" s="117"/>
      <c r="F474" s="117"/>
    </row>
    <row r="475" spans="5:6" x14ac:dyDescent="0.15">
      <c r="E475" s="117"/>
      <c r="F475" s="117"/>
    </row>
    <row r="476" spans="5:6" x14ac:dyDescent="0.15">
      <c r="E476" s="117"/>
      <c r="F476" s="117"/>
    </row>
    <row r="477" spans="5:6" x14ac:dyDescent="0.15">
      <c r="E477" s="117"/>
      <c r="F477" s="117"/>
    </row>
    <row r="478" spans="5:6" x14ac:dyDescent="0.15">
      <c r="E478" s="117"/>
      <c r="F478" s="117"/>
    </row>
    <row r="479" spans="5:6" x14ac:dyDescent="0.15">
      <c r="E479" s="117"/>
      <c r="F479" s="117"/>
    </row>
    <row r="480" spans="5:6" x14ac:dyDescent="0.15">
      <c r="E480" s="117"/>
      <c r="F480" s="117"/>
    </row>
    <row r="481" spans="5:6" x14ac:dyDescent="0.15">
      <c r="E481" s="117"/>
      <c r="F481" s="117"/>
    </row>
    <row r="482" spans="5:6" x14ac:dyDescent="0.15">
      <c r="E482" s="117"/>
      <c r="F482" s="117"/>
    </row>
    <row r="483" spans="5:6" x14ac:dyDescent="0.15">
      <c r="E483" s="117"/>
      <c r="F483" s="117"/>
    </row>
    <row r="484" spans="5:6" x14ac:dyDescent="0.15">
      <c r="E484" s="117"/>
      <c r="F484" s="117"/>
    </row>
    <row r="485" spans="5:6" x14ac:dyDescent="0.15">
      <c r="E485" s="117"/>
      <c r="F485" s="117"/>
    </row>
    <row r="486" spans="5:6" x14ac:dyDescent="0.15">
      <c r="E486" s="117"/>
      <c r="F486" s="117"/>
    </row>
    <row r="487" spans="5:6" x14ac:dyDescent="0.15">
      <c r="E487" s="117"/>
      <c r="F487" s="117"/>
    </row>
    <row r="488" spans="5:6" x14ac:dyDescent="0.15">
      <c r="E488" s="117"/>
      <c r="F488" s="117"/>
    </row>
    <row r="489" spans="5:6" x14ac:dyDescent="0.15">
      <c r="E489" s="117"/>
      <c r="F489" s="117"/>
    </row>
    <row r="490" spans="5:6" x14ac:dyDescent="0.15">
      <c r="E490" s="117"/>
      <c r="F490" s="117"/>
    </row>
    <row r="491" spans="5:6" x14ac:dyDescent="0.15">
      <c r="E491" s="117"/>
      <c r="F491" s="117"/>
    </row>
    <row r="492" spans="5:6" x14ac:dyDescent="0.15">
      <c r="E492" s="117"/>
      <c r="F492" s="117"/>
    </row>
    <row r="493" spans="5:6" x14ac:dyDescent="0.15">
      <c r="E493" s="117"/>
      <c r="F493" s="117"/>
    </row>
    <row r="494" spans="5:6" x14ac:dyDescent="0.15">
      <c r="E494" s="117"/>
      <c r="F494" s="117"/>
    </row>
    <row r="495" spans="5:6" x14ac:dyDescent="0.15">
      <c r="E495" s="117"/>
      <c r="F495" s="117"/>
    </row>
    <row r="496" spans="5:6" x14ac:dyDescent="0.15">
      <c r="E496" s="117"/>
      <c r="F496" s="117"/>
    </row>
    <row r="497" spans="5:6" x14ac:dyDescent="0.15">
      <c r="E497" s="117"/>
      <c r="F497" s="117"/>
    </row>
    <row r="498" spans="5:6" x14ac:dyDescent="0.15">
      <c r="E498" s="117"/>
      <c r="F498" s="117"/>
    </row>
    <row r="499" spans="5:6" x14ac:dyDescent="0.15">
      <c r="E499" s="117"/>
      <c r="F499" s="117"/>
    </row>
    <row r="500" spans="5:6" x14ac:dyDescent="0.15">
      <c r="E500" s="117"/>
      <c r="F500" s="117"/>
    </row>
    <row r="501" spans="5:6" x14ac:dyDescent="0.15">
      <c r="E501" s="117"/>
      <c r="F501" s="117"/>
    </row>
    <row r="502" spans="5:6" x14ac:dyDescent="0.15">
      <c r="E502" s="117"/>
      <c r="F502" s="117"/>
    </row>
    <row r="503" spans="5:6" x14ac:dyDescent="0.15">
      <c r="E503" s="117"/>
      <c r="F503" s="117"/>
    </row>
    <row r="504" spans="5:6" x14ac:dyDescent="0.15">
      <c r="E504" s="117"/>
      <c r="F504" s="117"/>
    </row>
    <row r="505" spans="5:6" x14ac:dyDescent="0.15">
      <c r="E505" s="117"/>
      <c r="F505" s="117"/>
    </row>
    <row r="506" spans="5:6" x14ac:dyDescent="0.15">
      <c r="E506" s="117"/>
      <c r="F506" s="117"/>
    </row>
    <row r="507" spans="5:6" x14ac:dyDescent="0.15">
      <c r="E507" s="117"/>
      <c r="F507" s="117"/>
    </row>
    <row r="508" spans="5:6" x14ac:dyDescent="0.15">
      <c r="E508" s="117"/>
      <c r="F508" s="117"/>
    </row>
    <row r="509" spans="5:6" x14ac:dyDescent="0.15">
      <c r="E509" s="117"/>
      <c r="F509" s="117"/>
    </row>
    <row r="510" spans="5:6" x14ac:dyDescent="0.15">
      <c r="E510" s="117"/>
      <c r="F510" s="117"/>
    </row>
    <row r="511" spans="5:6" x14ac:dyDescent="0.15">
      <c r="E511" s="117"/>
      <c r="F511" s="117"/>
    </row>
    <row r="512" spans="5:6" x14ac:dyDescent="0.15">
      <c r="E512" s="117"/>
      <c r="F512" s="117"/>
    </row>
    <row r="513" spans="5:6" x14ac:dyDescent="0.15">
      <c r="E513" s="117"/>
      <c r="F513" s="117"/>
    </row>
    <row r="514" spans="5:6" x14ac:dyDescent="0.15">
      <c r="E514" s="117"/>
      <c r="F514" s="117"/>
    </row>
    <row r="515" spans="5:6" x14ac:dyDescent="0.15">
      <c r="E515" s="117"/>
      <c r="F515" s="117"/>
    </row>
    <row r="516" spans="5:6" x14ac:dyDescent="0.15">
      <c r="E516" s="117"/>
      <c r="F516" s="117"/>
    </row>
    <row r="517" spans="5:6" x14ac:dyDescent="0.15">
      <c r="E517" s="117"/>
      <c r="F517" s="117"/>
    </row>
    <row r="518" spans="5:6" x14ac:dyDescent="0.15">
      <c r="E518" s="117"/>
      <c r="F518" s="117"/>
    </row>
    <row r="519" spans="5:6" x14ac:dyDescent="0.15">
      <c r="E519" s="117"/>
      <c r="F519" s="117"/>
    </row>
    <row r="520" spans="5:6" x14ac:dyDescent="0.15">
      <c r="E520" s="117"/>
      <c r="F520" s="117"/>
    </row>
    <row r="521" spans="5:6" x14ac:dyDescent="0.15">
      <c r="E521" s="117"/>
      <c r="F521" s="117"/>
    </row>
    <row r="522" spans="5:6" x14ac:dyDescent="0.15">
      <c r="E522" s="117"/>
      <c r="F522" s="117"/>
    </row>
    <row r="523" spans="5:6" x14ac:dyDescent="0.15">
      <c r="E523" s="117"/>
      <c r="F523" s="117"/>
    </row>
    <row r="524" spans="5:6" x14ac:dyDescent="0.15">
      <c r="E524" s="117"/>
      <c r="F524" s="117"/>
    </row>
    <row r="525" spans="5:6" x14ac:dyDescent="0.15">
      <c r="E525" s="117"/>
      <c r="F525" s="117"/>
    </row>
    <row r="526" spans="5:6" x14ac:dyDescent="0.15">
      <c r="E526" s="117"/>
      <c r="F526" s="117"/>
    </row>
    <row r="527" spans="5:6" x14ac:dyDescent="0.15">
      <c r="E527" s="117"/>
      <c r="F527" s="117"/>
    </row>
    <row r="528" spans="5:6" x14ac:dyDescent="0.15">
      <c r="E528" s="117"/>
      <c r="F528" s="117"/>
    </row>
    <row r="529" spans="5:6" x14ac:dyDescent="0.15">
      <c r="E529" s="117"/>
      <c r="F529" s="117"/>
    </row>
    <row r="530" spans="5:6" x14ac:dyDescent="0.15">
      <c r="E530" s="117"/>
      <c r="F530" s="117"/>
    </row>
    <row r="531" spans="5:6" x14ac:dyDescent="0.15">
      <c r="E531" s="117"/>
      <c r="F531" s="117"/>
    </row>
    <row r="532" spans="5:6" x14ac:dyDescent="0.15">
      <c r="E532" s="117"/>
      <c r="F532" s="117"/>
    </row>
    <row r="533" spans="5:6" x14ac:dyDescent="0.15">
      <c r="E533" s="117"/>
      <c r="F533" s="117"/>
    </row>
    <row r="534" spans="5:6" x14ac:dyDescent="0.15">
      <c r="E534" s="117"/>
      <c r="F534" s="117"/>
    </row>
    <row r="535" spans="5:6" x14ac:dyDescent="0.15">
      <c r="E535" s="117"/>
      <c r="F535" s="117"/>
    </row>
    <row r="536" spans="5:6" x14ac:dyDescent="0.15">
      <c r="E536" s="117"/>
      <c r="F536" s="117"/>
    </row>
    <row r="537" spans="5:6" x14ac:dyDescent="0.15">
      <c r="E537" s="117"/>
      <c r="F537" s="117"/>
    </row>
    <row r="538" spans="5:6" x14ac:dyDescent="0.15">
      <c r="E538" s="117"/>
      <c r="F538" s="117"/>
    </row>
    <row r="539" spans="5:6" x14ac:dyDescent="0.15">
      <c r="E539" s="117"/>
      <c r="F539" s="117"/>
    </row>
    <row r="540" spans="5:6" x14ac:dyDescent="0.15">
      <c r="E540" s="117"/>
      <c r="F540" s="117"/>
    </row>
    <row r="541" spans="5:6" x14ac:dyDescent="0.15">
      <c r="E541" s="117"/>
      <c r="F541" s="117"/>
    </row>
    <row r="542" spans="5:6" x14ac:dyDescent="0.15">
      <c r="E542" s="117"/>
      <c r="F542" s="117"/>
    </row>
    <row r="543" spans="5:6" x14ac:dyDescent="0.15">
      <c r="E543" s="117"/>
      <c r="F543" s="117"/>
    </row>
    <row r="544" spans="5:6" x14ac:dyDescent="0.15">
      <c r="E544" s="117"/>
      <c r="F544" s="117"/>
    </row>
    <row r="545" spans="5:6" x14ac:dyDescent="0.15">
      <c r="E545" s="117"/>
      <c r="F545" s="117"/>
    </row>
    <row r="546" spans="5:6" x14ac:dyDescent="0.15">
      <c r="E546" s="117"/>
      <c r="F546" s="117"/>
    </row>
    <row r="547" spans="5:6" x14ac:dyDescent="0.15">
      <c r="E547" s="117"/>
      <c r="F547" s="117"/>
    </row>
    <row r="548" spans="5:6" x14ac:dyDescent="0.15">
      <c r="E548" s="117"/>
      <c r="F548" s="117"/>
    </row>
    <row r="549" spans="5:6" x14ac:dyDescent="0.15">
      <c r="E549" s="117"/>
      <c r="F549" s="117"/>
    </row>
    <row r="550" spans="5:6" x14ac:dyDescent="0.15">
      <c r="E550" s="117"/>
      <c r="F550" s="117"/>
    </row>
    <row r="551" spans="5:6" x14ac:dyDescent="0.15">
      <c r="E551" s="117"/>
      <c r="F551" s="117"/>
    </row>
    <row r="552" spans="5:6" x14ac:dyDescent="0.15">
      <c r="E552" s="117"/>
      <c r="F552" s="117"/>
    </row>
    <row r="553" spans="5:6" x14ac:dyDescent="0.15">
      <c r="E553" s="117"/>
      <c r="F553" s="117"/>
    </row>
    <row r="554" spans="5:6" x14ac:dyDescent="0.15">
      <c r="E554" s="117"/>
      <c r="F554" s="117"/>
    </row>
    <row r="555" spans="5:6" x14ac:dyDescent="0.15">
      <c r="E555" s="117"/>
      <c r="F555" s="117"/>
    </row>
    <row r="556" spans="5:6" x14ac:dyDescent="0.15">
      <c r="E556" s="117"/>
      <c r="F556" s="117"/>
    </row>
    <row r="557" spans="5:6" x14ac:dyDescent="0.15">
      <c r="E557" s="117"/>
      <c r="F557" s="117"/>
    </row>
    <row r="558" spans="5:6" x14ac:dyDescent="0.15">
      <c r="E558" s="117"/>
      <c r="F558" s="117"/>
    </row>
    <row r="559" spans="5:6" x14ac:dyDescent="0.15">
      <c r="E559" s="117"/>
      <c r="F559" s="117"/>
    </row>
    <row r="560" spans="5:6" x14ac:dyDescent="0.15">
      <c r="E560" s="117"/>
      <c r="F560" s="117"/>
    </row>
    <row r="561" spans="5:6" x14ac:dyDescent="0.15">
      <c r="E561" s="117"/>
      <c r="F561" s="117"/>
    </row>
    <row r="562" spans="5:6" x14ac:dyDescent="0.15">
      <c r="E562" s="117"/>
      <c r="F562" s="117"/>
    </row>
    <row r="563" spans="5:6" x14ac:dyDescent="0.15">
      <c r="E563" s="117"/>
      <c r="F563" s="117"/>
    </row>
    <row r="564" spans="5:6" x14ac:dyDescent="0.15">
      <c r="E564" s="117"/>
      <c r="F564" s="117"/>
    </row>
    <row r="565" spans="5:6" x14ac:dyDescent="0.15">
      <c r="E565" s="117"/>
      <c r="F565" s="117"/>
    </row>
    <row r="566" spans="5:6" x14ac:dyDescent="0.15">
      <c r="E566" s="117"/>
      <c r="F566" s="117"/>
    </row>
    <row r="567" spans="5:6" x14ac:dyDescent="0.15">
      <c r="E567" s="117"/>
      <c r="F567" s="117"/>
    </row>
    <row r="568" spans="5:6" x14ac:dyDescent="0.15">
      <c r="E568" s="117"/>
      <c r="F568" s="117"/>
    </row>
    <row r="569" spans="5:6" x14ac:dyDescent="0.15">
      <c r="E569" s="117"/>
      <c r="F569" s="117"/>
    </row>
    <row r="570" spans="5:6" x14ac:dyDescent="0.15">
      <c r="E570" s="117"/>
      <c r="F570" s="117"/>
    </row>
    <row r="571" spans="5:6" x14ac:dyDescent="0.15">
      <c r="E571" s="117"/>
      <c r="F571" s="117"/>
    </row>
    <row r="572" spans="5:6" x14ac:dyDescent="0.15">
      <c r="E572" s="117"/>
      <c r="F572" s="117"/>
    </row>
    <row r="573" spans="5:6" x14ac:dyDescent="0.15">
      <c r="E573" s="117"/>
      <c r="F573" s="117"/>
    </row>
    <row r="574" spans="5:6" x14ac:dyDescent="0.15">
      <c r="E574" s="117"/>
      <c r="F574" s="117"/>
    </row>
    <row r="575" spans="5:6" x14ac:dyDescent="0.15">
      <c r="E575" s="117"/>
      <c r="F575" s="117"/>
    </row>
    <row r="576" spans="5:6" x14ac:dyDescent="0.15">
      <c r="E576" s="117"/>
      <c r="F576" s="117"/>
    </row>
    <row r="577" spans="5:6" x14ac:dyDescent="0.15">
      <c r="E577" s="117"/>
      <c r="F577" s="117"/>
    </row>
    <row r="578" spans="5:6" x14ac:dyDescent="0.15">
      <c r="E578" s="117"/>
      <c r="F578" s="117"/>
    </row>
    <row r="579" spans="5:6" x14ac:dyDescent="0.15">
      <c r="E579" s="117"/>
      <c r="F579" s="117"/>
    </row>
    <row r="580" spans="5:6" x14ac:dyDescent="0.15">
      <c r="E580" s="117"/>
      <c r="F580" s="117"/>
    </row>
    <row r="581" spans="5:6" x14ac:dyDescent="0.15">
      <c r="E581" s="117"/>
      <c r="F581" s="117"/>
    </row>
    <row r="582" spans="5:6" x14ac:dyDescent="0.15">
      <c r="E582" s="117"/>
      <c r="F582" s="117"/>
    </row>
    <row r="583" spans="5:6" x14ac:dyDescent="0.15">
      <c r="E583" s="117"/>
      <c r="F583" s="117"/>
    </row>
    <row r="584" spans="5:6" x14ac:dyDescent="0.15">
      <c r="E584" s="117"/>
      <c r="F584" s="117"/>
    </row>
    <row r="585" spans="5:6" x14ac:dyDescent="0.15">
      <c r="E585" s="117"/>
      <c r="F585" s="117"/>
    </row>
    <row r="586" spans="5:6" x14ac:dyDescent="0.15">
      <c r="E586" s="117"/>
      <c r="F586" s="117"/>
    </row>
    <row r="587" spans="5:6" x14ac:dyDescent="0.15">
      <c r="E587" s="117"/>
      <c r="F587" s="117"/>
    </row>
    <row r="588" spans="5:6" x14ac:dyDescent="0.15">
      <c r="E588" s="117"/>
      <c r="F588" s="117"/>
    </row>
    <row r="589" spans="5:6" x14ac:dyDescent="0.15">
      <c r="E589" s="117"/>
      <c r="F589" s="117"/>
    </row>
    <row r="590" spans="5:6" x14ac:dyDescent="0.15">
      <c r="E590" s="117"/>
      <c r="F590" s="117"/>
    </row>
    <row r="591" spans="5:6" x14ac:dyDescent="0.15">
      <c r="E591" s="117"/>
      <c r="F591" s="117"/>
    </row>
    <row r="592" spans="5:6" x14ac:dyDescent="0.15">
      <c r="E592" s="117"/>
      <c r="F592" s="117"/>
    </row>
    <row r="593" spans="5:6" x14ac:dyDescent="0.15">
      <c r="E593" s="117"/>
      <c r="F593" s="117"/>
    </row>
    <row r="594" spans="5:6" x14ac:dyDescent="0.15">
      <c r="E594" s="117"/>
      <c r="F594" s="117"/>
    </row>
    <row r="595" spans="5:6" x14ac:dyDescent="0.15">
      <c r="E595" s="117"/>
      <c r="F595" s="117"/>
    </row>
    <row r="596" spans="5:6" x14ac:dyDescent="0.15">
      <c r="E596" s="117"/>
      <c r="F596" s="117"/>
    </row>
    <row r="597" spans="5:6" x14ac:dyDescent="0.15">
      <c r="E597" s="117"/>
      <c r="F597" s="117"/>
    </row>
    <row r="598" spans="5:6" x14ac:dyDescent="0.15">
      <c r="E598" s="117"/>
      <c r="F598" s="117"/>
    </row>
    <row r="599" spans="5:6" x14ac:dyDescent="0.15">
      <c r="E599" s="117"/>
      <c r="F599" s="117"/>
    </row>
    <row r="600" spans="5:6" x14ac:dyDescent="0.15">
      <c r="E600" s="117"/>
      <c r="F600" s="117"/>
    </row>
    <row r="601" spans="5:6" x14ac:dyDescent="0.15">
      <c r="E601" s="117"/>
      <c r="F601" s="117"/>
    </row>
    <row r="602" spans="5:6" x14ac:dyDescent="0.15">
      <c r="E602" s="117"/>
      <c r="F602" s="117"/>
    </row>
    <row r="603" spans="5:6" x14ac:dyDescent="0.15">
      <c r="E603" s="117"/>
      <c r="F603" s="117"/>
    </row>
    <row r="604" spans="5:6" x14ac:dyDescent="0.15">
      <c r="E604" s="117"/>
      <c r="F604" s="117"/>
    </row>
    <row r="605" spans="5:6" x14ac:dyDescent="0.15">
      <c r="E605" s="117"/>
      <c r="F605" s="117"/>
    </row>
    <row r="606" spans="5:6" x14ac:dyDescent="0.15">
      <c r="E606" s="117"/>
      <c r="F606" s="117"/>
    </row>
    <row r="607" spans="5:6" x14ac:dyDescent="0.15">
      <c r="E607" s="117"/>
      <c r="F607" s="117"/>
    </row>
    <row r="608" spans="5:6" x14ac:dyDescent="0.15">
      <c r="E608" s="117"/>
      <c r="F608" s="117"/>
    </row>
    <row r="609" spans="5:6" x14ac:dyDescent="0.15">
      <c r="E609" s="117"/>
      <c r="F609" s="117"/>
    </row>
    <row r="610" spans="5:6" x14ac:dyDescent="0.15">
      <c r="E610" s="117"/>
      <c r="F610" s="117"/>
    </row>
    <row r="611" spans="5:6" x14ac:dyDescent="0.15">
      <c r="E611" s="117"/>
      <c r="F611" s="117"/>
    </row>
    <row r="612" spans="5:6" x14ac:dyDescent="0.15">
      <c r="E612" s="117"/>
      <c r="F612" s="117"/>
    </row>
    <row r="613" spans="5:6" x14ac:dyDescent="0.15">
      <c r="E613" s="117"/>
      <c r="F613" s="117"/>
    </row>
    <row r="614" spans="5:6" x14ac:dyDescent="0.15">
      <c r="E614" s="117"/>
      <c r="F614" s="117"/>
    </row>
    <row r="615" spans="5:6" x14ac:dyDescent="0.15">
      <c r="E615" s="117"/>
      <c r="F615" s="117"/>
    </row>
    <row r="616" spans="5:6" x14ac:dyDescent="0.15">
      <c r="E616" s="117"/>
      <c r="F616" s="117"/>
    </row>
    <row r="617" spans="5:6" x14ac:dyDescent="0.15">
      <c r="E617" s="117"/>
      <c r="F617" s="117"/>
    </row>
    <row r="618" spans="5:6" x14ac:dyDescent="0.15">
      <c r="E618" s="117"/>
      <c r="F618" s="117"/>
    </row>
    <row r="619" spans="5:6" x14ac:dyDescent="0.15">
      <c r="E619" s="117"/>
      <c r="F619" s="117"/>
    </row>
    <row r="620" spans="5:6" x14ac:dyDescent="0.15">
      <c r="E620" s="117"/>
      <c r="F620" s="117"/>
    </row>
    <row r="621" spans="5:6" x14ac:dyDescent="0.15">
      <c r="E621" s="117"/>
      <c r="F621" s="117"/>
    </row>
    <row r="622" spans="5:6" x14ac:dyDescent="0.15">
      <c r="E622" s="117"/>
      <c r="F622" s="117"/>
    </row>
    <row r="623" spans="5:6" x14ac:dyDescent="0.15">
      <c r="E623" s="117"/>
      <c r="F623" s="117"/>
    </row>
    <row r="624" spans="5:6" x14ac:dyDescent="0.15">
      <c r="E624" s="117"/>
      <c r="F624" s="117"/>
    </row>
    <row r="625" spans="5:6" x14ac:dyDescent="0.15">
      <c r="E625" s="117"/>
      <c r="F625" s="117"/>
    </row>
    <row r="626" spans="5:6" x14ac:dyDescent="0.15">
      <c r="E626" s="117"/>
      <c r="F626" s="117"/>
    </row>
    <row r="627" spans="5:6" x14ac:dyDescent="0.15">
      <c r="E627" s="117"/>
      <c r="F627" s="117"/>
    </row>
    <row r="628" spans="5:6" x14ac:dyDescent="0.15">
      <c r="E628" s="117"/>
      <c r="F628" s="117"/>
    </row>
    <row r="629" spans="5:6" x14ac:dyDescent="0.15">
      <c r="E629" s="117"/>
      <c r="F629" s="117"/>
    </row>
    <row r="630" spans="5:6" x14ac:dyDescent="0.15">
      <c r="E630" s="117"/>
      <c r="F630" s="117"/>
    </row>
    <row r="631" spans="5:6" x14ac:dyDescent="0.15">
      <c r="E631" s="117"/>
      <c r="F631" s="117"/>
    </row>
    <row r="632" spans="5:6" x14ac:dyDescent="0.15">
      <c r="E632" s="117"/>
      <c r="F632" s="117"/>
    </row>
    <row r="633" spans="5:6" x14ac:dyDescent="0.15">
      <c r="E633" s="117"/>
      <c r="F633" s="117"/>
    </row>
    <row r="634" spans="5:6" x14ac:dyDescent="0.15">
      <c r="E634" s="117"/>
      <c r="F634" s="117"/>
    </row>
    <row r="635" spans="5:6" x14ac:dyDescent="0.15">
      <c r="E635" s="117"/>
      <c r="F635" s="117"/>
    </row>
    <row r="636" spans="5:6" x14ac:dyDescent="0.15">
      <c r="E636" s="117"/>
      <c r="F636" s="117"/>
    </row>
    <row r="637" spans="5:6" x14ac:dyDescent="0.15">
      <c r="E637" s="117"/>
      <c r="F637" s="117"/>
    </row>
    <row r="638" spans="5:6" x14ac:dyDescent="0.15">
      <c r="E638" s="117"/>
      <c r="F638" s="117"/>
    </row>
    <row r="639" spans="5:6" x14ac:dyDescent="0.15">
      <c r="E639" s="117"/>
      <c r="F639" s="117"/>
    </row>
    <row r="640" spans="5:6" x14ac:dyDescent="0.15">
      <c r="E640" s="117"/>
      <c r="F640" s="117"/>
    </row>
    <row r="641" spans="5:6" x14ac:dyDescent="0.15">
      <c r="E641" s="117"/>
      <c r="F641" s="117"/>
    </row>
    <row r="642" spans="5:6" x14ac:dyDescent="0.15">
      <c r="E642" s="117"/>
      <c r="F642" s="117"/>
    </row>
    <row r="643" spans="5:6" x14ac:dyDescent="0.15">
      <c r="E643" s="117"/>
      <c r="F643" s="117"/>
    </row>
    <row r="644" spans="5:6" x14ac:dyDescent="0.15">
      <c r="E644" s="117"/>
      <c r="F644" s="117"/>
    </row>
    <row r="645" spans="5:6" x14ac:dyDescent="0.15">
      <c r="E645" s="117"/>
      <c r="F645" s="117"/>
    </row>
    <row r="646" spans="5:6" x14ac:dyDescent="0.15">
      <c r="E646" s="117"/>
      <c r="F646" s="117"/>
    </row>
    <row r="647" spans="5:6" x14ac:dyDescent="0.15">
      <c r="E647" s="117"/>
      <c r="F647" s="117"/>
    </row>
    <row r="648" spans="5:6" x14ac:dyDescent="0.15">
      <c r="E648" s="117"/>
      <c r="F648" s="117"/>
    </row>
    <row r="649" spans="5:6" x14ac:dyDescent="0.15">
      <c r="E649" s="117"/>
      <c r="F649" s="117"/>
    </row>
    <row r="650" spans="5:6" x14ac:dyDescent="0.15">
      <c r="E650" s="117"/>
      <c r="F650" s="117"/>
    </row>
    <row r="651" spans="5:6" x14ac:dyDescent="0.15">
      <c r="E651" s="117"/>
      <c r="F651" s="117"/>
    </row>
    <row r="652" spans="5:6" x14ac:dyDescent="0.15">
      <c r="E652" s="117"/>
      <c r="F652" s="117"/>
    </row>
    <row r="653" spans="5:6" x14ac:dyDescent="0.15">
      <c r="E653" s="117"/>
      <c r="F653" s="117"/>
    </row>
    <row r="654" spans="5:6" x14ac:dyDescent="0.15">
      <c r="E654" s="117"/>
      <c r="F654" s="117"/>
    </row>
    <row r="655" spans="5:6" x14ac:dyDescent="0.15">
      <c r="E655" s="117"/>
      <c r="F655" s="117"/>
    </row>
    <row r="656" spans="5:6" x14ac:dyDescent="0.15">
      <c r="E656" s="117"/>
      <c r="F656" s="117"/>
    </row>
    <row r="657" spans="5:6" x14ac:dyDescent="0.15">
      <c r="E657" s="117"/>
      <c r="F657" s="117"/>
    </row>
    <row r="658" spans="5:6" x14ac:dyDescent="0.15">
      <c r="E658" s="117"/>
      <c r="F658" s="117"/>
    </row>
    <row r="659" spans="5:6" x14ac:dyDescent="0.15">
      <c r="E659" s="117"/>
      <c r="F659" s="117"/>
    </row>
    <row r="660" spans="5:6" x14ac:dyDescent="0.15">
      <c r="E660" s="117"/>
      <c r="F660" s="117"/>
    </row>
    <row r="661" spans="5:6" x14ac:dyDescent="0.15">
      <c r="E661" s="117"/>
      <c r="F661" s="117"/>
    </row>
    <row r="662" spans="5:6" x14ac:dyDescent="0.15">
      <c r="E662" s="117"/>
      <c r="F662" s="117"/>
    </row>
    <row r="663" spans="5:6" x14ac:dyDescent="0.15">
      <c r="E663" s="117"/>
      <c r="F663" s="117"/>
    </row>
    <row r="664" spans="5:6" x14ac:dyDescent="0.15">
      <c r="E664" s="117"/>
      <c r="F664" s="117"/>
    </row>
    <row r="665" spans="5:6" x14ac:dyDescent="0.15">
      <c r="E665" s="117"/>
      <c r="F665" s="117"/>
    </row>
    <row r="666" spans="5:6" x14ac:dyDescent="0.15">
      <c r="E666" s="117"/>
      <c r="F666" s="117"/>
    </row>
    <row r="667" spans="5:6" x14ac:dyDescent="0.15">
      <c r="E667" s="117"/>
      <c r="F667" s="117"/>
    </row>
    <row r="668" spans="5:6" x14ac:dyDescent="0.15">
      <c r="E668" s="117"/>
      <c r="F668" s="117"/>
    </row>
    <row r="669" spans="5:6" x14ac:dyDescent="0.15">
      <c r="E669" s="117"/>
      <c r="F669" s="117"/>
    </row>
    <row r="670" spans="5:6" x14ac:dyDescent="0.15">
      <c r="E670" s="117"/>
      <c r="F670" s="117"/>
    </row>
    <row r="671" spans="5:6" x14ac:dyDescent="0.15">
      <c r="E671" s="117"/>
      <c r="F671" s="117"/>
    </row>
    <row r="672" spans="5:6" x14ac:dyDescent="0.15">
      <c r="E672" s="117"/>
      <c r="F672" s="117"/>
    </row>
    <row r="673" spans="5:6" x14ac:dyDescent="0.15">
      <c r="E673" s="117"/>
      <c r="F673" s="117"/>
    </row>
    <row r="674" spans="5:6" x14ac:dyDescent="0.15">
      <c r="E674" s="117"/>
      <c r="F674" s="117"/>
    </row>
    <row r="675" spans="5:6" x14ac:dyDescent="0.15">
      <c r="E675" s="117"/>
      <c r="F675" s="117"/>
    </row>
    <row r="676" spans="5:6" x14ac:dyDescent="0.15">
      <c r="E676" s="117"/>
      <c r="F676" s="117"/>
    </row>
    <row r="677" spans="5:6" x14ac:dyDescent="0.15">
      <c r="E677" s="117"/>
      <c r="F677" s="117"/>
    </row>
    <row r="678" spans="5:6" x14ac:dyDescent="0.15">
      <c r="E678" s="117"/>
      <c r="F678" s="117"/>
    </row>
    <row r="679" spans="5:6" x14ac:dyDescent="0.15">
      <c r="E679" s="117"/>
      <c r="F679" s="117"/>
    </row>
    <row r="680" spans="5:6" x14ac:dyDescent="0.15">
      <c r="E680" s="117"/>
      <c r="F680" s="117"/>
    </row>
    <row r="681" spans="5:6" x14ac:dyDescent="0.15">
      <c r="E681" s="117"/>
      <c r="F681" s="117"/>
    </row>
    <row r="682" spans="5:6" x14ac:dyDescent="0.15">
      <c r="E682" s="117"/>
      <c r="F682" s="117"/>
    </row>
    <row r="683" spans="5:6" x14ac:dyDescent="0.15">
      <c r="E683" s="117"/>
      <c r="F683" s="117"/>
    </row>
    <row r="684" spans="5:6" x14ac:dyDescent="0.15">
      <c r="E684" s="117"/>
      <c r="F684" s="117"/>
    </row>
    <row r="685" spans="5:6" x14ac:dyDescent="0.15">
      <c r="E685" s="117"/>
      <c r="F685" s="117"/>
    </row>
    <row r="686" spans="5:6" x14ac:dyDescent="0.15">
      <c r="E686" s="117"/>
      <c r="F686" s="117"/>
    </row>
    <row r="687" spans="5:6" x14ac:dyDescent="0.15">
      <c r="E687" s="117"/>
      <c r="F687" s="117"/>
    </row>
    <row r="688" spans="5:6" x14ac:dyDescent="0.15">
      <c r="E688" s="117"/>
      <c r="F688" s="117"/>
    </row>
    <row r="689" spans="5:6" x14ac:dyDescent="0.15">
      <c r="E689" s="117"/>
      <c r="F689" s="117"/>
    </row>
    <row r="690" spans="5:6" x14ac:dyDescent="0.15">
      <c r="E690" s="117"/>
      <c r="F690" s="117"/>
    </row>
    <row r="691" spans="5:6" x14ac:dyDescent="0.15">
      <c r="E691" s="117"/>
      <c r="F691" s="117"/>
    </row>
    <row r="692" spans="5:6" x14ac:dyDescent="0.15">
      <c r="E692" s="117"/>
      <c r="F692" s="117"/>
    </row>
    <row r="693" spans="5:6" x14ac:dyDescent="0.15">
      <c r="E693" s="117"/>
      <c r="F693" s="117"/>
    </row>
    <row r="694" spans="5:6" x14ac:dyDescent="0.15">
      <c r="E694" s="117"/>
      <c r="F694" s="117"/>
    </row>
    <row r="695" spans="5:6" x14ac:dyDescent="0.15">
      <c r="E695" s="117"/>
      <c r="F695" s="117"/>
    </row>
    <row r="696" spans="5:6" x14ac:dyDescent="0.15">
      <c r="E696" s="117"/>
      <c r="F696" s="117"/>
    </row>
    <row r="697" spans="5:6" x14ac:dyDescent="0.15">
      <c r="E697" s="117"/>
      <c r="F697" s="117"/>
    </row>
    <row r="698" spans="5:6" x14ac:dyDescent="0.15">
      <c r="E698" s="117"/>
      <c r="F698" s="117"/>
    </row>
    <row r="699" spans="5:6" x14ac:dyDescent="0.15">
      <c r="E699" s="117"/>
      <c r="F699" s="117"/>
    </row>
    <row r="700" spans="5:6" x14ac:dyDescent="0.15">
      <c r="E700" s="117"/>
      <c r="F700" s="117"/>
    </row>
    <row r="701" spans="5:6" x14ac:dyDescent="0.15">
      <c r="E701" s="117"/>
      <c r="F701" s="117"/>
    </row>
    <row r="702" spans="5:6" x14ac:dyDescent="0.15">
      <c r="E702" s="117"/>
      <c r="F702" s="117"/>
    </row>
    <row r="703" spans="5:6" x14ac:dyDescent="0.15">
      <c r="E703" s="117"/>
      <c r="F703" s="117"/>
    </row>
    <row r="704" spans="5:6" x14ac:dyDescent="0.15">
      <c r="E704" s="117"/>
      <c r="F704" s="117"/>
    </row>
    <row r="705" spans="5:6" x14ac:dyDescent="0.15">
      <c r="E705" s="117"/>
      <c r="F705" s="117"/>
    </row>
    <row r="706" spans="5:6" x14ac:dyDescent="0.15">
      <c r="E706" s="117"/>
      <c r="F706" s="117"/>
    </row>
    <row r="707" spans="5:6" x14ac:dyDescent="0.15">
      <c r="E707" s="117"/>
      <c r="F707" s="117"/>
    </row>
    <row r="708" spans="5:6" x14ac:dyDescent="0.15">
      <c r="E708" s="117"/>
      <c r="F708" s="117"/>
    </row>
    <row r="709" spans="5:6" x14ac:dyDescent="0.15">
      <c r="E709" s="117"/>
      <c r="F709" s="117"/>
    </row>
    <row r="710" spans="5:6" x14ac:dyDescent="0.15">
      <c r="E710" s="117"/>
      <c r="F710" s="117"/>
    </row>
    <row r="711" spans="5:6" x14ac:dyDescent="0.15">
      <c r="E711" s="117"/>
      <c r="F711" s="117"/>
    </row>
    <row r="712" spans="5:6" x14ac:dyDescent="0.15">
      <c r="E712" s="117"/>
      <c r="F712" s="117"/>
    </row>
    <row r="713" spans="5:6" x14ac:dyDescent="0.15">
      <c r="E713" s="117"/>
      <c r="F713" s="117"/>
    </row>
    <row r="714" spans="5:6" x14ac:dyDescent="0.15">
      <c r="E714" s="117"/>
      <c r="F714" s="117"/>
    </row>
    <row r="715" spans="5:6" x14ac:dyDescent="0.15">
      <c r="E715" s="117"/>
      <c r="F715" s="117"/>
    </row>
    <row r="716" spans="5:6" x14ac:dyDescent="0.15">
      <c r="E716" s="117"/>
      <c r="F716" s="117"/>
    </row>
    <row r="717" spans="5:6" x14ac:dyDescent="0.15">
      <c r="E717" s="117"/>
      <c r="F717" s="117"/>
    </row>
    <row r="718" spans="5:6" x14ac:dyDescent="0.15">
      <c r="E718" s="117"/>
      <c r="F718" s="117"/>
    </row>
    <row r="719" spans="5:6" x14ac:dyDescent="0.15">
      <c r="E719" s="117"/>
      <c r="F719" s="117"/>
    </row>
    <row r="720" spans="5:6" x14ac:dyDescent="0.15">
      <c r="E720" s="117"/>
      <c r="F720" s="117"/>
    </row>
    <row r="721" spans="5:6" x14ac:dyDescent="0.15">
      <c r="E721" s="117"/>
      <c r="F721" s="117"/>
    </row>
    <row r="722" spans="5:6" x14ac:dyDescent="0.15">
      <c r="E722" s="117"/>
      <c r="F722" s="117"/>
    </row>
    <row r="723" spans="5:6" x14ac:dyDescent="0.15">
      <c r="E723" s="117"/>
      <c r="F723" s="117"/>
    </row>
    <row r="724" spans="5:6" x14ac:dyDescent="0.15">
      <c r="E724" s="117"/>
      <c r="F724" s="117"/>
    </row>
    <row r="725" spans="5:6" x14ac:dyDescent="0.15">
      <c r="E725" s="117"/>
      <c r="F725" s="117"/>
    </row>
    <row r="726" spans="5:6" x14ac:dyDescent="0.15">
      <c r="E726" s="117"/>
      <c r="F726" s="117"/>
    </row>
    <row r="727" spans="5:6" x14ac:dyDescent="0.15">
      <c r="E727" s="117"/>
      <c r="F727" s="117"/>
    </row>
    <row r="728" spans="5:6" x14ac:dyDescent="0.15">
      <c r="E728" s="117"/>
      <c r="F728" s="117"/>
    </row>
    <row r="729" spans="5:6" x14ac:dyDescent="0.15">
      <c r="E729" s="117"/>
      <c r="F729" s="117"/>
    </row>
    <row r="730" spans="5:6" x14ac:dyDescent="0.15">
      <c r="E730" s="117"/>
      <c r="F730" s="117"/>
    </row>
    <row r="731" spans="5:6" x14ac:dyDescent="0.15">
      <c r="E731" s="117"/>
      <c r="F731" s="117"/>
    </row>
    <row r="732" spans="5:6" x14ac:dyDescent="0.15">
      <c r="E732" s="117"/>
    </row>
  </sheetData>
  <autoFilter ref="A1:BA85" xr:uid="{00000000-0009-0000-0000-000000000000}"/>
  <phoneticPr fontId="3"/>
  <dataValidations count="15">
    <dataValidation type="decimal" allowBlank="1" showInputMessage="1" showErrorMessage="1" error="硬度を正しく入力して下さい。" sqref="O2:P500" xr:uid="{8A03ACB4-1C10-4C55-8EC8-B39E4FC77F73}">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B4035DEC-C2A5-4EBB-8FAF-F6F50C1742C1}">
      <formula1>$AV$2:$AV$20</formula1>
    </dataValidation>
    <dataValidation type="list" allowBlank="1" showInputMessage="1" showErrorMessage="1" sqref="Y2:AA500" xr:uid="{4E6F4F8D-0F11-4E91-B780-BFA7021F8473}">
      <formula1>$AV$2:$AV$21</formula1>
    </dataValidation>
    <dataValidation type="list" allowBlank="1" showInputMessage="1" showErrorMessage="1" sqref="K2:K89" xr:uid="{CA6D51FC-ADD2-43DC-8827-D9EB13050300}">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89CB0E0E-F5F1-4C7C-9FC4-519ACFB1A3DA}">
      <formula1>$AR$2:$AR$25</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8001E5EF-5A7E-49EB-B97F-8D40EFF114B3}">
      <formula1>$AP$2:$AP$27</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CA636CF2-A53C-4150-96DE-51BA91107223}">
      <formula1>$AT$2:$AT$3</formula1>
    </dataValidation>
    <dataValidation type="list" allowBlank="1" showInputMessage="1" showErrorMessage="1" sqref="H2:H500" xr:uid="{99814BD7-D83B-40D1-9381-FA0E4809E416}">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85EE96CC-FA92-4533-AC8D-D736E13A6911}">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E9DE15B0-96F6-44F9-995B-7F0B3E383E28}"/>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6AC2BE1-021A-4B9D-8059-ED45F1929FB4}">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C65EB9E9-9BC2-4A0C-A98F-F93AB1A102C1}">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64F2C8D-79F8-4D24-92A2-1B5E806FDF85}">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AE34243E-4280-4493-9763-C9A63DD31FC4}">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19C09CA0-FE2B-4F3E-B914-1BA4651B38F4}">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B60C3-1475-4206-BD7F-A855961714BF}">
  <sheetPr>
    <pageSetUpPr fitToPage="1"/>
  </sheetPr>
  <dimension ref="A1:BA120"/>
  <sheetViews>
    <sheetView zoomScale="80" zoomScaleNormal="80" workbookViewId="0">
      <selection activeCell="AC30" sqref="AC30"/>
    </sheetView>
  </sheetViews>
  <sheetFormatPr defaultRowHeight="13.5" x14ac:dyDescent="0.15"/>
  <cols>
    <col min="1" max="3" width="9" style="53" customWidth="1"/>
    <col min="4" max="4" width="10.42578125" style="53" customWidth="1"/>
    <col min="5" max="5" width="11.28515625" style="53" bestFit="1" customWidth="1"/>
    <col min="6" max="7" width="9.140625" style="53"/>
    <col min="8" max="10" width="9" style="53" customWidth="1"/>
    <col min="11" max="11" width="11.42578125" style="53" customWidth="1"/>
    <col min="12" max="16" width="9" style="53" customWidth="1"/>
    <col min="17" max="17" width="9" style="16" customWidth="1"/>
    <col min="18" max="18" width="9.140625" style="53"/>
    <col min="19" max="19" width="9.42578125" style="53" bestFit="1" customWidth="1"/>
    <col min="20" max="20" width="9" style="16" customWidth="1"/>
    <col min="21" max="21" width="9.140625" style="53"/>
    <col min="22" max="22" width="9" style="16" customWidth="1"/>
    <col min="23" max="28" width="9.140625" style="53"/>
    <col min="29" max="29" width="26.42578125" style="53" customWidth="1"/>
    <col min="30" max="32" width="9.140625" style="53"/>
    <col min="33" max="33" width="15.7109375" style="53" bestFit="1" customWidth="1"/>
    <col min="34" max="34" width="15" style="53" bestFit="1" customWidth="1"/>
    <col min="35" max="256" width="9.140625" style="53"/>
    <col min="257" max="259" width="9" style="53" customWidth="1"/>
    <col min="260" max="260" width="10.42578125" style="53" customWidth="1"/>
    <col min="261" max="261" width="11.28515625" style="53" bestFit="1" customWidth="1"/>
    <col min="262" max="263" width="9.140625" style="53"/>
    <col min="264" max="273" width="9" style="53" customWidth="1"/>
    <col min="274" max="274" width="9.140625" style="53"/>
    <col min="275" max="275" width="9.42578125" style="53" bestFit="1" customWidth="1"/>
    <col min="276" max="276" width="9" style="53" customWidth="1"/>
    <col min="277" max="277" width="9.140625" style="53"/>
    <col min="278" max="278" width="9" style="53" customWidth="1"/>
    <col min="279" max="284" width="9.140625" style="53"/>
    <col min="285" max="285" width="26.42578125" style="53" customWidth="1"/>
    <col min="286" max="288" width="9.140625" style="53"/>
    <col min="289" max="289" width="14.7109375" style="53" bestFit="1" customWidth="1"/>
    <col min="290" max="512" width="9.140625" style="53"/>
    <col min="513" max="515" width="9" style="53" customWidth="1"/>
    <col min="516" max="516" width="10.42578125" style="53" customWidth="1"/>
    <col min="517" max="517" width="11.28515625" style="53" bestFit="1" customWidth="1"/>
    <col min="518" max="519" width="9.140625" style="53"/>
    <col min="520" max="529" width="9" style="53" customWidth="1"/>
    <col min="530" max="530" width="9.140625" style="53"/>
    <col min="531" max="531" width="9.42578125" style="53" bestFit="1" customWidth="1"/>
    <col min="532" max="532" width="9" style="53" customWidth="1"/>
    <col min="533" max="533" width="9.140625" style="53"/>
    <col min="534" max="534" width="9" style="53" customWidth="1"/>
    <col min="535" max="540" width="9.140625" style="53"/>
    <col min="541" max="541" width="26.42578125" style="53" customWidth="1"/>
    <col min="542" max="544" width="9.140625" style="53"/>
    <col min="545" max="545" width="14.7109375" style="53" bestFit="1" customWidth="1"/>
    <col min="546" max="768" width="9.140625" style="53"/>
    <col min="769" max="771" width="9" style="53" customWidth="1"/>
    <col min="772" max="772" width="10.42578125" style="53" customWidth="1"/>
    <col min="773" max="773" width="11.28515625" style="53" bestFit="1" customWidth="1"/>
    <col min="774" max="775" width="9.140625" style="53"/>
    <col min="776" max="785" width="9" style="53" customWidth="1"/>
    <col min="786" max="786" width="9.140625" style="53"/>
    <col min="787" max="787" width="9.42578125" style="53" bestFit="1" customWidth="1"/>
    <col min="788" max="788" width="9" style="53" customWidth="1"/>
    <col min="789" max="789" width="9.140625" style="53"/>
    <col min="790" max="790" width="9" style="53" customWidth="1"/>
    <col min="791" max="796" width="9.140625" style="53"/>
    <col min="797" max="797" width="26.42578125" style="53" customWidth="1"/>
    <col min="798" max="800" width="9.140625" style="53"/>
    <col min="801" max="801" width="14.7109375" style="53" bestFit="1" customWidth="1"/>
    <col min="802" max="1024" width="9.140625" style="53"/>
    <col min="1025" max="1027" width="9" style="53" customWidth="1"/>
    <col min="1028" max="1028" width="10.42578125" style="53" customWidth="1"/>
    <col min="1029" max="1029" width="11.28515625" style="53" bestFit="1" customWidth="1"/>
    <col min="1030" max="1031" width="9.140625" style="53"/>
    <col min="1032" max="1041" width="9" style="53" customWidth="1"/>
    <col min="1042" max="1042" width="9.140625" style="53"/>
    <col min="1043" max="1043" width="9.42578125" style="53" bestFit="1" customWidth="1"/>
    <col min="1044" max="1044" width="9" style="53" customWidth="1"/>
    <col min="1045" max="1045" width="9.140625" style="53"/>
    <col min="1046" max="1046" width="9" style="53" customWidth="1"/>
    <col min="1047" max="1052" width="9.140625" style="53"/>
    <col min="1053" max="1053" width="26.42578125" style="53" customWidth="1"/>
    <col min="1054" max="1056" width="9.140625" style="53"/>
    <col min="1057" max="1057" width="14.7109375" style="53" bestFit="1" customWidth="1"/>
    <col min="1058" max="1280" width="9.140625" style="53"/>
    <col min="1281" max="1283" width="9" style="53" customWidth="1"/>
    <col min="1284" max="1284" width="10.42578125" style="53" customWidth="1"/>
    <col min="1285" max="1285" width="11.28515625" style="53" bestFit="1" customWidth="1"/>
    <col min="1286" max="1287" width="9.140625" style="53"/>
    <col min="1288" max="1297" width="9" style="53" customWidth="1"/>
    <col min="1298" max="1298" width="9.140625" style="53"/>
    <col min="1299" max="1299" width="9.42578125" style="53" bestFit="1" customWidth="1"/>
    <col min="1300" max="1300" width="9" style="53" customWidth="1"/>
    <col min="1301" max="1301" width="9.140625" style="53"/>
    <col min="1302" max="1302" width="9" style="53" customWidth="1"/>
    <col min="1303" max="1308" width="9.140625" style="53"/>
    <col min="1309" max="1309" width="26.42578125" style="53" customWidth="1"/>
    <col min="1310" max="1312" width="9.140625" style="53"/>
    <col min="1313" max="1313" width="14.7109375" style="53" bestFit="1" customWidth="1"/>
    <col min="1314" max="1536" width="9.140625" style="53"/>
    <col min="1537" max="1539" width="9" style="53" customWidth="1"/>
    <col min="1540" max="1540" width="10.42578125" style="53" customWidth="1"/>
    <col min="1541" max="1541" width="11.28515625" style="53" bestFit="1" customWidth="1"/>
    <col min="1542" max="1543" width="9.140625" style="53"/>
    <col min="1544" max="1553" width="9" style="53" customWidth="1"/>
    <col min="1554" max="1554" width="9.140625" style="53"/>
    <col min="1555" max="1555" width="9.42578125" style="53" bestFit="1" customWidth="1"/>
    <col min="1556" max="1556" width="9" style="53" customWidth="1"/>
    <col min="1557" max="1557" width="9.140625" style="53"/>
    <col min="1558" max="1558" width="9" style="53" customWidth="1"/>
    <col min="1559" max="1564" width="9.140625" style="53"/>
    <col min="1565" max="1565" width="26.42578125" style="53" customWidth="1"/>
    <col min="1566" max="1568" width="9.140625" style="53"/>
    <col min="1569" max="1569" width="14.7109375" style="53" bestFit="1" customWidth="1"/>
    <col min="1570" max="1792" width="9.140625" style="53"/>
    <col min="1793" max="1795" width="9" style="53" customWidth="1"/>
    <col min="1796" max="1796" width="10.42578125" style="53" customWidth="1"/>
    <col min="1797" max="1797" width="11.28515625" style="53" bestFit="1" customWidth="1"/>
    <col min="1798" max="1799" width="9.140625" style="53"/>
    <col min="1800" max="1809" width="9" style="53" customWidth="1"/>
    <col min="1810" max="1810" width="9.140625" style="53"/>
    <col min="1811" max="1811" width="9.42578125" style="53" bestFit="1" customWidth="1"/>
    <col min="1812" max="1812" width="9" style="53" customWidth="1"/>
    <col min="1813" max="1813" width="9.140625" style="53"/>
    <col min="1814" max="1814" width="9" style="53" customWidth="1"/>
    <col min="1815" max="1820" width="9.140625" style="53"/>
    <col min="1821" max="1821" width="26.42578125" style="53" customWidth="1"/>
    <col min="1822" max="1824" width="9.140625" style="53"/>
    <col min="1825" max="1825" width="14.7109375" style="53" bestFit="1" customWidth="1"/>
    <col min="1826" max="2048" width="9.140625" style="53"/>
    <col min="2049" max="2051" width="9" style="53" customWidth="1"/>
    <col min="2052" max="2052" width="10.42578125" style="53" customWidth="1"/>
    <col min="2053" max="2053" width="11.28515625" style="53" bestFit="1" customWidth="1"/>
    <col min="2054" max="2055" width="9.140625" style="53"/>
    <col min="2056" max="2065" width="9" style="53" customWidth="1"/>
    <col min="2066" max="2066" width="9.140625" style="53"/>
    <col min="2067" max="2067" width="9.42578125" style="53" bestFit="1" customWidth="1"/>
    <col min="2068" max="2068" width="9" style="53" customWidth="1"/>
    <col min="2069" max="2069" width="9.140625" style="53"/>
    <col min="2070" max="2070" width="9" style="53" customWidth="1"/>
    <col min="2071" max="2076" width="9.140625" style="53"/>
    <col min="2077" max="2077" width="26.42578125" style="53" customWidth="1"/>
    <col min="2078" max="2080" width="9.140625" style="53"/>
    <col min="2081" max="2081" width="14.7109375" style="53" bestFit="1" customWidth="1"/>
    <col min="2082" max="2304" width="9.140625" style="53"/>
    <col min="2305" max="2307" width="9" style="53" customWidth="1"/>
    <col min="2308" max="2308" width="10.42578125" style="53" customWidth="1"/>
    <col min="2309" max="2309" width="11.28515625" style="53" bestFit="1" customWidth="1"/>
    <col min="2310" max="2311" width="9.140625" style="53"/>
    <col min="2312" max="2321" width="9" style="53" customWidth="1"/>
    <col min="2322" max="2322" width="9.140625" style="53"/>
    <col min="2323" max="2323" width="9.42578125" style="53" bestFit="1" customWidth="1"/>
    <col min="2324" max="2324" width="9" style="53" customWidth="1"/>
    <col min="2325" max="2325" width="9.140625" style="53"/>
    <col min="2326" max="2326" width="9" style="53" customWidth="1"/>
    <col min="2327" max="2332" width="9.140625" style="53"/>
    <col min="2333" max="2333" width="26.42578125" style="53" customWidth="1"/>
    <col min="2334" max="2336" width="9.140625" style="53"/>
    <col min="2337" max="2337" width="14.7109375" style="53" bestFit="1" customWidth="1"/>
    <col min="2338" max="2560" width="9.140625" style="53"/>
    <col min="2561" max="2563" width="9" style="53" customWidth="1"/>
    <col min="2564" max="2564" width="10.42578125" style="53" customWidth="1"/>
    <col min="2565" max="2565" width="11.28515625" style="53" bestFit="1" customWidth="1"/>
    <col min="2566" max="2567" width="9.140625" style="53"/>
    <col min="2568" max="2577" width="9" style="53" customWidth="1"/>
    <col min="2578" max="2578" width="9.140625" style="53"/>
    <col min="2579" max="2579" width="9.42578125" style="53" bestFit="1" customWidth="1"/>
    <col min="2580" max="2580" width="9" style="53" customWidth="1"/>
    <col min="2581" max="2581" width="9.140625" style="53"/>
    <col min="2582" max="2582" width="9" style="53" customWidth="1"/>
    <col min="2583" max="2588" width="9.140625" style="53"/>
    <col min="2589" max="2589" width="26.42578125" style="53" customWidth="1"/>
    <col min="2590" max="2592" width="9.140625" style="53"/>
    <col min="2593" max="2593" width="14.7109375" style="53" bestFit="1" customWidth="1"/>
    <col min="2594" max="2816" width="9.140625" style="53"/>
    <col min="2817" max="2819" width="9" style="53" customWidth="1"/>
    <col min="2820" max="2820" width="10.42578125" style="53" customWidth="1"/>
    <col min="2821" max="2821" width="11.28515625" style="53" bestFit="1" customWidth="1"/>
    <col min="2822" max="2823" width="9.140625" style="53"/>
    <col min="2824" max="2833" width="9" style="53" customWidth="1"/>
    <col min="2834" max="2834" width="9.140625" style="53"/>
    <col min="2835" max="2835" width="9.42578125" style="53" bestFit="1" customWidth="1"/>
    <col min="2836" max="2836" width="9" style="53" customWidth="1"/>
    <col min="2837" max="2837" width="9.140625" style="53"/>
    <col min="2838" max="2838" width="9" style="53" customWidth="1"/>
    <col min="2839" max="2844" width="9.140625" style="53"/>
    <col min="2845" max="2845" width="26.42578125" style="53" customWidth="1"/>
    <col min="2846" max="2848" width="9.140625" style="53"/>
    <col min="2849" max="2849" width="14.7109375" style="53" bestFit="1" customWidth="1"/>
    <col min="2850" max="3072" width="9.140625" style="53"/>
    <col min="3073" max="3075" width="9" style="53" customWidth="1"/>
    <col min="3076" max="3076" width="10.42578125" style="53" customWidth="1"/>
    <col min="3077" max="3077" width="11.28515625" style="53" bestFit="1" customWidth="1"/>
    <col min="3078" max="3079" width="9.140625" style="53"/>
    <col min="3080" max="3089" width="9" style="53" customWidth="1"/>
    <col min="3090" max="3090" width="9.140625" style="53"/>
    <col min="3091" max="3091" width="9.42578125" style="53" bestFit="1" customWidth="1"/>
    <col min="3092" max="3092" width="9" style="53" customWidth="1"/>
    <col min="3093" max="3093" width="9.140625" style="53"/>
    <col min="3094" max="3094" width="9" style="53" customWidth="1"/>
    <col min="3095" max="3100" width="9.140625" style="53"/>
    <col min="3101" max="3101" width="26.42578125" style="53" customWidth="1"/>
    <col min="3102" max="3104" width="9.140625" style="53"/>
    <col min="3105" max="3105" width="14.7109375" style="53" bestFit="1" customWidth="1"/>
    <col min="3106" max="3328" width="9.140625" style="53"/>
    <col min="3329" max="3331" width="9" style="53" customWidth="1"/>
    <col min="3332" max="3332" width="10.42578125" style="53" customWidth="1"/>
    <col min="3333" max="3333" width="11.28515625" style="53" bestFit="1" customWidth="1"/>
    <col min="3334" max="3335" width="9.140625" style="53"/>
    <col min="3336" max="3345" width="9" style="53" customWidth="1"/>
    <col min="3346" max="3346" width="9.140625" style="53"/>
    <col min="3347" max="3347" width="9.42578125" style="53" bestFit="1" customWidth="1"/>
    <col min="3348" max="3348" width="9" style="53" customWidth="1"/>
    <col min="3349" max="3349" width="9.140625" style="53"/>
    <col min="3350" max="3350" width="9" style="53" customWidth="1"/>
    <col min="3351" max="3356" width="9.140625" style="53"/>
    <col min="3357" max="3357" width="26.42578125" style="53" customWidth="1"/>
    <col min="3358" max="3360" width="9.140625" style="53"/>
    <col min="3361" max="3361" width="14.7109375" style="53" bestFit="1" customWidth="1"/>
    <col min="3362" max="3584" width="9.140625" style="53"/>
    <col min="3585" max="3587" width="9" style="53" customWidth="1"/>
    <col min="3588" max="3588" width="10.42578125" style="53" customWidth="1"/>
    <col min="3589" max="3589" width="11.28515625" style="53" bestFit="1" customWidth="1"/>
    <col min="3590" max="3591" width="9.140625" style="53"/>
    <col min="3592" max="3601" width="9" style="53" customWidth="1"/>
    <col min="3602" max="3602" width="9.140625" style="53"/>
    <col min="3603" max="3603" width="9.42578125" style="53" bestFit="1" customWidth="1"/>
    <col min="3604" max="3604" width="9" style="53" customWidth="1"/>
    <col min="3605" max="3605" width="9.140625" style="53"/>
    <col min="3606" max="3606" width="9" style="53" customWidth="1"/>
    <col min="3607" max="3612" width="9.140625" style="53"/>
    <col min="3613" max="3613" width="26.42578125" style="53" customWidth="1"/>
    <col min="3614" max="3616" width="9.140625" style="53"/>
    <col min="3617" max="3617" width="14.7109375" style="53" bestFit="1" customWidth="1"/>
    <col min="3618" max="3840" width="9.140625" style="53"/>
    <col min="3841" max="3843" width="9" style="53" customWidth="1"/>
    <col min="3844" max="3844" width="10.42578125" style="53" customWidth="1"/>
    <col min="3845" max="3845" width="11.28515625" style="53" bestFit="1" customWidth="1"/>
    <col min="3846" max="3847" width="9.140625" style="53"/>
    <col min="3848" max="3857" width="9" style="53" customWidth="1"/>
    <col min="3858" max="3858" width="9.140625" style="53"/>
    <col min="3859" max="3859" width="9.42578125" style="53" bestFit="1" customWidth="1"/>
    <col min="3860" max="3860" width="9" style="53" customWidth="1"/>
    <col min="3861" max="3861" width="9.140625" style="53"/>
    <col min="3862" max="3862" width="9" style="53" customWidth="1"/>
    <col min="3863" max="3868" width="9.140625" style="53"/>
    <col min="3869" max="3869" width="26.42578125" style="53" customWidth="1"/>
    <col min="3870" max="3872" width="9.140625" style="53"/>
    <col min="3873" max="3873" width="14.7109375" style="53" bestFit="1" customWidth="1"/>
    <col min="3874" max="4096" width="9.140625" style="53"/>
    <col min="4097" max="4099" width="9" style="53" customWidth="1"/>
    <col min="4100" max="4100" width="10.42578125" style="53" customWidth="1"/>
    <col min="4101" max="4101" width="11.28515625" style="53" bestFit="1" customWidth="1"/>
    <col min="4102" max="4103" width="9.140625" style="53"/>
    <col min="4104" max="4113" width="9" style="53" customWidth="1"/>
    <col min="4114" max="4114" width="9.140625" style="53"/>
    <col min="4115" max="4115" width="9.42578125" style="53" bestFit="1" customWidth="1"/>
    <col min="4116" max="4116" width="9" style="53" customWidth="1"/>
    <col min="4117" max="4117" width="9.140625" style="53"/>
    <col min="4118" max="4118" width="9" style="53" customWidth="1"/>
    <col min="4119" max="4124" width="9.140625" style="53"/>
    <col min="4125" max="4125" width="26.42578125" style="53" customWidth="1"/>
    <col min="4126" max="4128" width="9.140625" style="53"/>
    <col min="4129" max="4129" width="14.7109375" style="53" bestFit="1" customWidth="1"/>
    <col min="4130" max="4352" width="9.140625" style="53"/>
    <col min="4353" max="4355" width="9" style="53" customWidth="1"/>
    <col min="4356" max="4356" width="10.42578125" style="53" customWidth="1"/>
    <col min="4357" max="4357" width="11.28515625" style="53" bestFit="1" customWidth="1"/>
    <col min="4358" max="4359" width="9.140625" style="53"/>
    <col min="4360" max="4369" width="9" style="53" customWidth="1"/>
    <col min="4370" max="4370" width="9.140625" style="53"/>
    <col min="4371" max="4371" width="9.42578125" style="53" bestFit="1" customWidth="1"/>
    <col min="4372" max="4372" width="9" style="53" customWidth="1"/>
    <col min="4373" max="4373" width="9.140625" style="53"/>
    <col min="4374" max="4374" width="9" style="53" customWidth="1"/>
    <col min="4375" max="4380" width="9.140625" style="53"/>
    <col min="4381" max="4381" width="26.42578125" style="53" customWidth="1"/>
    <col min="4382" max="4384" width="9.140625" style="53"/>
    <col min="4385" max="4385" width="14.7109375" style="53" bestFit="1" customWidth="1"/>
    <col min="4386" max="4608" width="9.140625" style="53"/>
    <col min="4609" max="4611" width="9" style="53" customWidth="1"/>
    <col min="4612" max="4612" width="10.42578125" style="53" customWidth="1"/>
    <col min="4613" max="4613" width="11.28515625" style="53" bestFit="1" customWidth="1"/>
    <col min="4614" max="4615" width="9.140625" style="53"/>
    <col min="4616" max="4625" width="9" style="53" customWidth="1"/>
    <col min="4626" max="4626" width="9.140625" style="53"/>
    <col min="4627" max="4627" width="9.42578125" style="53" bestFit="1" customWidth="1"/>
    <col min="4628" max="4628" width="9" style="53" customWidth="1"/>
    <col min="4629" max="4629" width="9.140625" style="53"/>
    <col min="4630" max="4630" width="9" style="53" customWidth="1"/>
    <col min="4631" max="4636" width="9.140625" style="53"/>
    <col min="4637" max="4637" width="26.42578125" style="53" customWidth="1"/>
    <col min="4638" max="4640" width="9.140625" style="53"/>
    <col min="4641" max="4641" width="14.7109375" style="53" bestFit="1" customWidth="1"/>
    <col min="4642" max="4864" width="9.140625" style="53"/>
    <col min="4865" max="4867" width="9" style="53" customWidth="1"/>
    <col min="4868" max="4868" width="10.42578125" style="53" customWidth="1"/>
    <col min="4869" max="4869" width="11.28515625" style="53" bestFit="1" customWidth="1"/>
    <col min="4870" max="4871" width="9.140625" style="53"/>
    <col min="4872" max="4881" width="9" style="53" customWidth="1"/>
    <col min="4882" max="4882" width="9.140625" style="53"/>
    <col min="4883" max="4883" width="9.42578125" style="53" bestFit="1" customWidth="1"/>
    <col min="4884" max="4884" width="9" style="53" customWidth="1"/>
    <col min="4885" max="4885" width="9.140625" style="53"/>
    <col min="4886" max="4886" width="9" style="53" customWidth="1"/>
    <col min="4887" max="4892" width="9.140625" style="53"/>
    <col min="4893" max="4893" width="26.42578125" style="53" customWidth="1"/>
    <col min="4894" max="4896" width="9.140625" style="53"/>
    <col min="4897" max="4897" width="14.7109375" style="53" bestFit="1" customWidth="1"/>
    <col min="4898" max="5120" width="9.140625" style="53"/>
    <col min="5121" max="5123" width="9" style="53" customWidth="1"/>
    <col min="5124" max="5124" width="10.42578125" style="53" customWidth="1"/>
    <col min="5125" max="5125" width="11.28515625" style="53" bestFit="1" customWidth="1"/>
    <col min="5126" max="5127" width="9.140625" style="53"/>
    <col min="5128" max="5137" width="9" style="53" customWidth="1"/>
    <col min="5138" max="5138" width="9.140625" style="53"/>
    <col min="5139" max="5139" width="9.42578125" style="53" bestFit="1" customWidth="1"/>
    <col min="5140" max="5140" width="9" style="53" customWidth="1"/>
    <col min="5141" max="5141" width="9.140625" style="53"/>
    <col min="5142" max="5142" width="9" style="53" customWidth="1"/>
    <col min="5143" max="5148" width="9.140625" style="53"/>
    <col min="5149" max="5149" width="26.42578125" style="53" customWidth="1"/>
    <col min="5150" max="5152" width="9.140625" style="53"/>
    <col min="5153" max="5153" width="14.7109375" style="53" bestFit="1" customWidth="1"/>
    <col min="5154" max="5376" width="9.140625" style="53"/>
    <col min="5377" max="5379" width="9" style="53" customWidth="1"/>
    <col min="5380" max="5380" width="10.42578125" style="53" customWidth="1"/>
    <col min="5381" max="5381" width="11.28515625" style="53" bestFit="1" customWidth="1"/>
    <col min="5382" max="5383" width="9.140625" style="53"/>
    <col min="5384" max="5393" width="9" style="53" customWidth="1"/>
    <col min="5394" max="5394" width="9.140625" style="53"/>
    <col min="5395" max="5395" width="9.42578125" style="53" bestFit="1" customWidth="1"/>
    <col min="5396" max="5396" width="9" style="53" customWidth="1"/>
    <col min="5397" max="5397" width="9.140625" style="53"/>
    <col min="5398" max="5398" width="9" style="53" customWidth="1"/>
    <col min="5399" max="5404" width="9.140625" style="53"/>
    <col min="5405" max="5405" width="26.42578125" style="53" customWidth="1"/>
    <col min="5406" max="5408" width="9.140625" style="53"/>
    <col min="5409" max="5409" width="14.7109375" style="53" bestFit="1" customWidth="1"/>
    <col min="5410" max="5632" width="9.140625" style="53"/>
    <col min="5633" max="5635" width="9" style="53" customWidth="1"/>
    <col min="5636" max="5636" width="10.42578125" style="53" customWidth="1"/>
    <col min="5637" max="5637" width="11.28515625" style="53" bestFit="1" customWidth="1"/>
    <col min="5638" max="5639" width="9.140625" style="53"/>
    <col min="5640" max="5649" width="9" style="53" customWidth="1"/>
    <col min="5650" max="5650" width="9.140625" style="53"/>
    <col min="5651" max="5651" width="9.42578125" style="53" bestFit="1" customWidth="1"/>
    <col min="5652" max="5652" width="9" style="53" customWidth="1"/>
    <col min="5653" max="5653" width="9.140625" style="53"/>
    <col min="5654" max="5654" width="9" style="53" customWidth="1"/>
    <col min="5655" max="5660" width="9.140625" style="53"/>
    <col min="5661" max="5661" width="26.42578125" style="53" customWidth="1"/>
    <col min="5662" max="5664" width="9.140625" style="53"/>
    <col min="5665" max="5665" width="14.7109375" style="53" bestFit="1" customWidth="1"/>
    <col min="5666" max="5888" width="9.140625" style="53"/>
    <col min="5889" max="5891" width="9" style="53" customWidth="1"/>
    <col min="5892" max="5892" width="10.42578125" style="53" customWidth="1"/>
    <col min="5893" max="5893" width="11.28515625" style="53" bestFit="1" customWidth="1"/>
    <col min="5894" max="5895" width="9.140625" style="53"/>
    <col min="5896" max="5905" width="9" style="53" customWidth="1"/>
    <col min="5906" max="5906" width="9.140625" style="53"/>
    <col min="5907" max="5907" width="9.42578125" style="53" bestFit="1" customWidth="1"/>
    <col min="5908" max="5908" width="9" style="53" customWidth="1"/>
    <col min="5909" max="5909" width="9.140625" style="53"/>
    <col min="5910" max="5910" width="9" style="53" customWidth="1"/>
    <col min="5911" max="5916" width="9.140625" style="53"/>
    <col min="5917" max="5917" width="26.42578125" style="53" customWidth="1"/>
    <col min="5918" max="5920" width="9.140625" style="53"/>
    <col min="5921" max="5921" width="14.7109375" style="53" bestFit="1" customWidth="1"/>
    <col min="5922" max="6144" width="9.140625" style="53"/>
    <col min="6145" max="6147" width="9" style="53" customWidth="1"/>
    <col min="6148" max="6148" width="10.42578125" style="53" customWidth="1"/>
    <col min="6149" max="6149" width="11.28515625" style="53" bestFit="1" customWidth="1"/>
    <col min="6150" max="6151" width="9.140625" style="53"/>
    <col min="6152" max="6161" width="9" style="53" customWidth="1"/>
    <col min="6162" max="6162" width="9.140625" style="53"/>
    <col min="6163" max="6163" width="9.42578125" style="53" bestFit="1" customWidth="1"/>
    <col min="6164" max="6164" width="9" style="53" customWidth="1"/>
    <col min="6165" max="6165" width="9.140625" style="53"/>
    <col min="6166" max="6166" width="9" style="53" customWidth="1"/>
    <col min="6167" max="6172" width="9.140625" style="53"/>
    <col min="6173" max="6173" width="26.42578125" style="53" customWidth="1"/>
    <col min="6174" max="6176" width="9.140625" style="53"/>
    <col min="6177" max="6177" width="14.7109375" style="53" bestFit="1" customWidth="1"/>
    <col min="6178" max="6400" width="9.140625" style="53"/>
    <col min="6401" max="6403" width="9" style="53" customWidth="1"/>
    <col min="6404" max="6404" width="10.42578125" style="53" customWidth="1"/>
    <col min="6405" max="6405" width="11.28515625" style="53" bestFit="1" customWidth="1"/>
    <col min="6406" max="6407" width="9.140625" style="53"/>
    <col min="6408" max="6417" width="9" style="53" customWidth="1"/>
    <col min="6418" max="6418" width="9.140625" style="53"/>
    <col min="6419" max="6419" width="9.42578125" style="53" bestFit="1" customWidth="1"/>
    <col min="6420" max="6420" width="9" style="53" customWidth="1"/>
    <col min="6421" max="6421" width="9.140625" style="53"/>
    <col min="6422" max="6422" width="9" style="53" customWidth="1"/>
    <col min="6423" max="6428" width="9.140625" style="53"/>
    <col min="6429" max="6429" width="26.42578125" style="53" customWidth="1"/>
    <col min="6430" max="6432" width="9.140625" style="53"/>
    <col min="6433" max="6433" width="14.7109375" style="53" bestFit="1" customWidth="1"/>
    <col min="6434" max="6656" width="9.140625" style="53"/>
    <col min="6657" max="6659" width="9" style="53" customWidth="1"/>
    <col min="6660" max="6660" width="10.42578125" style="53" customWidth="1"/>
    <col min="6661" max="6661" width="11.28515625" style="53" bestFit="1" customWidth="1"/>
    <col min="6662" max="6663" width="9.140625" style="53"/>
    <col min="6664" max="6673" width="9" style="53" customWidth="1"/>
    <col min="6674" max="6674" width="9.140625" style="53"/>
    <col min="6675" max="6675" width="9.42578125" style="53" bestFit="1" customWidth="1"/>
    <col min="6676" max="6676" width="9" style="53" customWidth="1"/>
    <col min="6677" max="6677" width="9.140625" style="53"/>
    <col min="6678" max="6678" width="9" style="53" customWidth="1"/>
    <col min="6679" max="6684" width="9.140625" style="53"/>
    <col min="6685" max="6685" width="26.42578125" style="53" customWidth="1"/>
    <col min="6686" max="6688" width="9.140625" style="53"/>
    <col min="6689" max="6689" width="14.7109375" style="53" bestFit="1" customWidth="1"/>
    <col min="6690" max="6912" width="9.140625" style="53"/>
    <col min="6913" max="6915" width="9" style="53" customWidth="1"/>
    <col min="6916" max="6916" width="10.42578125" style="53" customWidth="1"/>
    <col min="6917" max="6917" width="11.28515625" style="53" bestFit="1" customWidth="1"/>
    <col min="6918" max="6919" width="9.140625" style="53"/>
    <col min="6920" max="6929" width="9" style="53" customWidth="1"/>
    <col min="6930" max="6930" width="9.140625" style="53"/>
    <col min="6931" max="6931" width="9.42578125" style="53" bestFit="1" customWidth="1"/>
    <col min="6932" max="6932" width="9" style="53" customWidth="1"/>
    <col min="6933" max="6933" width="9.140625" style="53"/>
    <col min="6934" max="6934" width="9" style="53" customWidth="1"/>
    <col min="6935" max="6940" width="9.140625" style="53"/>
    <col min="6941" max="6941" width="26.42578125" style="53" customWidth="1"/>
    <col min="6942" max="6944" width="9.140625" style="53"/>
    <col min="6945" max="6945" width="14.7109375" style="53" bestFit="1" customWidth="1"/>
    <col min="6946" max="7168" width="9.140625" style="53"/>
    <col min="7169" max="7171" width="9" style="53" customWidth="1"/>
    <col min="7172" max="7172" width="10.42578125" style="53" customWidth="1"/>
    <col min="7173" max="7173" width="11.28515625" style="53" bestFit="1" customWidth="1"/>
    <col min="7174" max="7175" width="9.140625" style="53"/>
    <col min="7176" max="7185" width="9" style="53" customWidth="1"/>
    <col min="7186" max="7186" width="9.140625" style="53"/>
    <col min="7187" max="7187" width="9.42578125" style="53" bestFit="1" customWidth="1"/>
    <col min="7188" max="7188" width="9" style="53" customWidth="1"/>
    <col min="7189" max="7189" width="9.140625" style="53"/>
    <col min="7190" max="7190" width="9" style="53" customWidth="1"/>
    <col min="7191" max="7196" width="9.140625" style="53"/>
    <col min="7197" max="7197" width="26.42578125" style="53" customWidth="1"/>
    <col min="7198" max="7200" width="9.140625" style="53"/>
    <col min="7201" max="7201" width="14.7109375" style="53" bestFit="1" customWidth="1"/>
    <col min="7202" max="7424" width="9.140625" style="53"/>
    <col min="7425" max="7427" width="9" style="53" customWidth="1"/>
    <col min="7428" max="7428" width="10.42578125" style="53" customWidth="1"/>
    <col min="7429" max="7429" width="11.28515625" style="53" bestFit="1" customWidth="1"/>
    <col min="7430" max="7431" width="9.140625" style="53"/>
    <col min="7432" max="7441" width="9" style="53" customWidth="1"/>
    <col min="7442" max="7442" width="9.140625" style="53"/>
    <col min="7443" max="7443" width="9.42578125" style="53" bestFit="1" customWidth="1"/>
    <col min="7444" max="7444" width="9" style="53" customWidth="1"/>
    <col min="7445" max="7445" width="9.140625" style="53"/>
    <col min="7446" max="7446" width="9" style="53" customWidth="1"/>
    <col min="7447" max="7452" width="9.140625" style="53"/>
    <col min="7453" max="7453" width="26.42578125" style="53" customWidth="1"/>
    <col min="7454" max="7456" width="9.140625" style="53"/>
    <col min="7457" max="7457" width="14.7109375" style="53" bestFit="1" customWidth="1"/>
    <col min="7458" max="7680" width="9.140625" style="53"/>
    <col min="7681" max="7683" width="9" style="53" customWidth="1"/>
    <col min="7684" max="7684" width="10.42578125" style="53" customWidth="1"/>
    <col min="7685" max="7685" width="11.28515625" style="53" bestFit="1" customWidth="1"/>
    <col min="7686" max="7687" width="9.140625" style="53"/>
    <col min="7688" max="7697" width="9" style="53" customWidth="1"/>
    <col min="7698" max="7698" width="9.140625" style="53"/>
    <col min="7699" max="7699" width="9.42578125" style="53" bestFit="1" customWidth="1"/>
    <col min="7700" max="7700" width="9" style="53" customWidth="1"/>
    <col min="7701" max="7701" width="9.140625" style="53"/>
    <col min="7702" max="7702" width="9" style="53" customWidth="1"/>
    <col min="7703" max="7708" width="9.140625" style="53"/>
    <col min="7709" max="7709" width="26.42578125" style="53" customWidth="1"/>
    <col min="7710" max="7712" width="9.140625" style="53"/>
    <col min="7713" max="7713" width="14.7109375" style="53" bestFit="1" customWidth="1"/>
    <col min="7714" max="7936" width="9.140625" style="53"/>
    <col min="7937" max="7939" width="9" style="53" customWidth="1"/>
    <col min="7940" max="7940" width="10.42578125" style="53" customWidth="1"/>
    <col min="7941" max="7941" width="11.28515625" style="53" bestFit="1" customWidth="1"/>
    <col min="7942" max="7943" width="9.140625" style="53"/>
    <col min="7944" max="7953" width="9" style="53" customWidth="1"/>
    <col min="7954" max="7954" width="9.140625" style="53"/>
    <col min="7955" max="7955" width="9.42578125" style="53" bestFit="1" customWidth="1"/>
    <col min="7956" max="7956" width="9" style="53" customWidth="1"/>
    <col min="7957" max="7957" width="9.140625" style="53"/>
    <col min="7958" max="7958" width="9" style="53" customWidth="1"/>
    <col min="7959" max="7964" width="9.140625" style="53"/>
    <col min="7965" max="7965" width="26.42578125" style="53" customWidth="1"/>
    <col min="7966" max="7968" width="9.140625" style="53"/>
    <col min="7969" max="7969" width="14.7109375" style="53" bestFit="1" customWidth="1"/>
    <col min="7970" max="8192" width="9.140625" style="53"/>
    <col min="8193" max="8195" width="9" style="53" customWidth="1"/>
    <col min="8196" max="8196" width="10.42578125" style="53" customWidth="1"/>
    <col min="8197" max="8197" width="11.28515625" style="53" bestFit="1" customWidth="1"/>
    <col min="8198" max="8199" width="9.140625" style="53"/>
    <col min="8200" max="8209" width="9" style="53" customWidth="1"/>
    <col min="8210" max="8210" width="9.140625" style="53"/>
    <col min="8211" max="8211" width="9.42578125" style="53" bestFit="1" customWidth="1"/>
    <col min="8212" max="8212" width="9" style="53" customWidth="1"/>
    <col min="8213" max="8213" width="9.140625" style="53"/>
    <col min="8214" max="8214" width="9" style="53" customWidth="1"/>
    <col min="8215" max="8220" width="9.140625" style="53"/>
    <col min="8221" max="8221" width="26.42578125" style="53" customWidth="1"/>
    <col min="8222" max="8224" width="9.140625" style="53"/>
    <col min="8225" max="8225" width="14.7109375" style="53" bestFit="1" customWidth="1"/>
    <col min="8226" max="8448" width="9.140625" style="53"/>
    <col min="8449" max="8451" width="9" style="53" customWidth="1"/>
    <col min="8452" max="8452" width="10.42578125" style="53" customWidth="1"/>
    <col min="8453" max="8453" width="11.28515625" style="53" bestFit="1" customWidth="1"/>
    <col min="8454" max="8455" width="9.140625" style="53"/>
    <col min="8456" max="8465" width="9" style="53" customWidth="1"/>
    <col min="8466" max="8466" width="9.140625" style="53"/>
    <col min="8467" max="8467" width="9.42578125" style="53" bestFit="1" customWidth="1"/>
    <col min="8468" max="8468" width="9" style="53" customWidth="1"/>
    <col min="8469" max="8469" width="9.140625" style="53"/>
    <col min="8470" max="8470" width="9" style="53" customWidth="1"/>
    <col min="8471" max="8476" width="9.140625" style="53"/>
    <col min="8477" max="8477" width="26.42578125" style="53" customWidth="1"/>
    <col min="8478" max="8480" width="9.140625" style="53"/>
    <col min="8481" max="8481" width="14.7109375" style="53" bestFit="1" customWidth="1"/>
    <col min="8482" max="8704" width="9.140625" style="53"/>
    <col min="8705" max="8707" width="9" style="53" customWidth="1"/>
    <col min="8708" max="8708" width="10.42578125" style="53" customWidth="1"/>
    <col min="8709" max="8709" width="11.28515625" style="53" bestFit="1" customWidth="1"/>
    <col min="8710" max="8711" width="9.140625" style="53"/>
    <col min="8712" max="8721" width="9" style="53" customWidth="1"/>
    <col min="8722" max="8722" width="9.140625" style="53"/>
    <col min="8723" max="8723" width="9.42578125" style="53" bestFit="1" customWidth="1"/>
    <col min="8724" max="8724" width="9" style="53" customWidth="1"/>
    <col min="8725" max="8725" width="9.140625" style="53"/>
    <col min="8726" max="8726" width="9" style="53" customWidth="1"/>
    <col min="8727" max="8732" width="9.140625" style="53"/>
    <col min="8733" max="8733" width="26.42578125" style="53" customWidth="1"/>
    <col min="8734" max="8736" width="9.140625" style="53"/>
    <col min="8737" max="8737" width="14.7109375" style="53" bestFit="1" customWidth="1"/>
    <col min="8738" max="8960" width="9.140625" style="53"/>
    <col min="8961" max="8963" width="9" style="53" customWidth="1"/>
    <col min="8964" max="8964" width="10.42578125" style="53" customWidth="1"/>
    <col min="8965" max="8965" width="11.28515625" style="53" bestFit="1" customWidth="1"/>
    <col min="8966" max="8967" width="9.140625" style="53"/>
    <col min="8968" max="8977" width="9" style="53" customWidth="1"/>
    <col min="8978" max="8978" width="9.140625" style="53"/>
    <col min="8979" max="8979" width="9.42578125" style="53" bestFit="1" customWidth="1"/>
    <col min="8980" max="8980" width="9" style="53" customWidth="1"/>
    <col min="8981" max="8981" width="9.140625" style="53"/>
    <col min="8982" max="8982" width="9" style="53" customWidth="1"/>
    <col min="8983" max="8988" width="9.140625" style="53"/>
    <col min="8989" max="8989" width="26.42578125" style="53" customWidth="1"/>
    <col min="8990" max="8992" width="9.140625" style="53"/>
    <col min="8993" max="8993" width="14.7109375" style="53" bestFit="1" customWidth="1"/>
    <col min="8994" max="9216" width="9.140625" style="53"/>
    <col min="9217" max="9219" width="9" style="53" customWidth="1"/>
    <col min="9220" max="9220" width="10.42578125" style="53" customWidth="1"/>
    <col min="9221" max="9221" width="11.28515625" style="53" bestFit="1" customWidth="1"/>
    <col min="9222" max="9223" width="9.140625" style="53"/>
    <col min="9224" max="9233" width="9" style="53" customWidth="1"/>
    <col min="9234" max="9234" width="9.140625" style="53"/>
    <col min="9235" max="9235" width="9.42578125" style="53" bestFit="1" customWidth="1"/>
    <col min="9236" max="9236" width="9" style="53" customWidth="1"/>
    <col min="9237" max="9237" width="9.140625" style="53"/>
    <col min="9238" max="9238" width="9" style="53" customWidth="1"/>
    <col min="9239" max="9244" width="9.140625" style="53"/>
    <col min="9245" max="9245" width="26.42578125" style="53" customWidth="1"/>
    <col min="9246" max="9248" width="9.140625" style="53"/>
    <col min="9249" max="9249" width="14.7109375" style="53" bestFit="1" customWidth="1"/>
    <col min="9250" max="9472" width="9.140625" style="53"/>
    <col min="9473" max="9475" width="9" style="53" customWidth="1"/>
    <col min="9476" max="9476" width="10.42578125" style="53" customWidth="1"/>
    <col min="9477" max="9477" width="11.28515625" style="53" bestFit="1" customWidth="1"/>
    <col min="9478" max="9479" width="9.140625" style="53"/>
    <col min="9480" max="9489" width="9" style="53" customWidth="1"/>
    <col min="9490" max="9490" width="9.140625" style="53"/>
    <col min="9491" max="9491" width="9.42578125" style="53" bestFit="1" customWidth="1"/>
    <col min="9492" max="9492" width="9" style="53" customWidth="1"/>
    <col min="9493" max="9493" width="9.140625" style="53"/>
    <col min="9494" max="9494" width="9" style="53" customWidth="1"/>
    <col min="9495" max="9500" width="9.140625" style="53"/>
    <col min="9501" max="9501" width="26.42578125" style="53" customWidth="1"/>
    <col min="9502" max="9504" width="9.140625" style="53"/>
    <col min="9505" max="9505" width="14.7109375" style="53" bestFit="1" customWidth="1"/>
    <col min="9506" max="9728" width="9.140625" style="53"/>
    <col min="9729" max="9731" width="9" style="53" customWidth="1"/>
    <col min="9732" max="9732" width="10.42578125" style="53" customWidth="1"/>
    <col min="9733" max="9733" width="11.28515625" style="53" bestFit="1" customWidth="1"/>
    <col min="9734" max="9735" width="9.140625" style="53"/>
    <col min="9736" max="9745" width="9" style="53" customWidth="1"/>
    <col min="9746" max="9746" width="9.140625" style="53"/>
    <col min="9747" max="9747" width="9.42578125" style="53" bestFit="1" customWidth="1"/>
    <col min="9748" max="9748" width="9" style="53" customWidth="1"/>
    <col min="9749" max="9749" width="9.140625" style="53"/>
    <col min="9750" max="9750" width="9" style="53" customWidth="1"/>
    <col min="9751" max="9756" width="9.140625" style="53"/>
    <col min="9757" max="9757" width="26.42578125" style="53" customWidth="1"/>
    <col min="9758" max="9760" width="9.140625" style="53"/>
    <col min="9761" max="9761" width="14.7109375" style="53" bestFit="1" customWidth="1"/>
    <col min="9762" max="9984" width="9.140625" style="53"/>
    <col min="9985" max="9987" width="9" style="53" customWidth="1"/>
    <col min="9988" max="9988" width="10.42578125" style="53" customWidth="1"/>
    <col min="9989" max="9989" width="11.28515625" style="53" bestFit="1" customWidth="1"/>
    <col min="9990" max="9991" width="9.140625" style="53"/>
    <col min="9992" max="10001" width="9" style="53" customWidth="1"/>
    <col min="10002" max="10002" width="9.140625" style="53"/>
    <col min="10003" max="10003" width="9.42578125" style="53" bestFit="1" customWidth="1"/>
    <col min="10004" max="10004" width="9" style="53" customWidth="1"/>
    <col min="10005" max="10005" width="9.140625" style="53"/>
    <col min="10006" max="10006" width="9" style="53" customWidth="1"/>
    <col min="10007" max="10012" width="9.140625" style="53"/>
    <col min="10013" max="10013" width="26.42578125" style="53" customWidth="1"/>
    <col min="10014" max="10016" width="9.140625" style="53"/>
    <col min="10017" max="10017" width="14.7109375" style="53" bestFit="1" customWidth="1"/>
    <col min="10018" max="10240" width="9.140625" style="53"/>
    <col min="10241" max="10243" width="9" style="53" customWidth="1"/>
    <col min="10244" max="10244" width="10.42578125" style="53" customWidth="1"/>
    <col min="10245" max="10245" width="11.28515625" style="53" bestFit="1" customWidth="1"/>
    <col min="10246" max="10247" width="9.140625" style="53"/>
    <col min="10248" max="10257" width="9" style="53" customWidth="1"/>
    <col min="10258" max="10258" width="9.140625" style="53"/>
    <col min="10259" max="10259" width="9.42578125" style="53" bestFit="1" customWidth="1"/>
    <col min="10260" max="10260" width="9" style="53" customWidth="1"/>
    <col min="10261" max="10261" width="9.140625" style="53"/>
    <col min="10262" max="10262" width="9" style="53" customWidth="1"/>
    <col min="10263" max="10268" width="9.140625" style="53"/>
    <col min="10269" max="10269" width="26.42578125" style="53" customWidth="1"/>
    <col min="10270" max="10272" width="9.140625" style="53"/>
    <col min="10273" max="10273" width="14.7109375" style="53" bestFit="1" customWidth="1"/>
    <col min="10274" max="10496" width="9.140625" style="53"/>
    <col min="10497" max="10499" width="9" style="53" customWidth="1"/>
    <col min="10500" max="10500" width="10.42578125" style="53" customWidth="1"/>
    <col min="10501" max="10501" width="11.28515625" style="53" bestFit="1" customWidth="1"/>
    <col min="10502" max="10503" width="9.140625" style="53"/>
    <col min="10504" max="10513" width="9" style="53" customWidth="1"/>
    <col min="10514" max="10514" width="9.140625" style="53"/>
    <col min="10515" max="10515" width="9.42578125" style="53" bestFit="1" customWidth="1"/>
    <col min="10516" max="10516" width="9" style="53" customWidth="1"/>
    <col min="10517" max="10517" width="9.140625" style="53"/>
    <col min="10518" max="10518" width="9" style="53" customWidth="1"/>
    <col min="10519" max="10524" width="9.140625" style="53"/>
    <col min="10525" max="10525" width="26.42578125" style="53" customWidth="1"/>
    <col min="10526" max="10528" width="9.140625" style="53"/>
    <col min="10529" max="10529" width="14.7109375" style="53" bestFit="1" customWidth="1"/>
    <col min="10530" max="10752" width="9.140625" style="53"/>
    <col min="10753" max="10755" width="9" style="53" customWidth="1"/>
    <col min="10756" max="10756" width="10.42578125" style="53" customWidth="1"/>
    <col min="10757" max="10757" width="11.28515625" style="53" bestFit="1" customWidth="1"/>
    <col min="10758" max="10759" width="9.140625" style="53"/>
    <col min="10760" max="10769" width="9" style="53" customWidth="1"/>
    <col min="10770" max="10770" width="9.140625" style="53"/>
    <col min="10771" max="10771" width="9.42578125" style="53" bestFit="1" customWidth="1"/>
    <col min="10772" max="10772" width="9" style="53" customWidth="1"/>
    <col min="10773" max="10773" width="9.140625" style="53"/>
    <col min="10774" max="10774" width="9" style="53" customWidth="1"/>
    <col min="10775" max="10780" width="9.140625" style="53"/>
    <col min="10781" max="10781" width="26.42578125" style="53" customWidth="1"/>
    <col min="10782" max="10784" width="9.140625" style="53"/>
    <col min="10785" max="10785" width="14.7109375" style="53" bestFit="1" customWidth="1"/>
    <col min="10786" max="11008" width="9.140625" style="53"/>
    <col min="11009" max="11011" width="9" style="53" customWidth="1"/>
    <col min="11012" max="11012" width="10.42578125" style="53" customWidth="1"/>
    <col min="11013" max="11013" width="11.28515625" style="53" bestFit="1" customWidth="1"/>
    <col min="11014" max="11015" width="9.140625" style="53"/>
    <col min="11016" max="11025" width="9" style="53" customWidth="1"/>
    <col min="11026" max="11026" width="9.140625" style="53"/>
    <col min="11027" max="11027" width="9.42578125" style="53" bestFit="1" customWidth="1"/>
    <col min="11028" max="11028" width="9" style="53" customWidth="1"/>
    <col min="11029" max="11029" width="9.140625" style="53"/>
    <col min="11030" max="11030" width="9" style="53" customWidth="1"/>
    <col min="11031" max="11036" width="9.140625" style="53"/>
    <col min="11037" max="11037" width="26.42578125" style="53" customWidth="1"/>
    <col min="11038" max="11040" width="9.140625" style="53"/>
    <col min="11041" max="11041" width="14.7109375" style="53" bestFit="1" customWidth="1"/>
    <col min="11042" max="11264" width="9.140625" style="53"/>
    <col min="11265" max="11267" width="9" style="53" customWidth="1"/>
    <col min="11268" max="11268" width="10.42578125" style="53" customWidth="1"/>
    <col min="11269" max="11269" width="11.28515625" style="53" bestFit="1" customWidth="1"/>
    <col min="11270" max="11271" width="9.140625" style="53"/>
    <col min="11272" max="11281" width="9" style="53" customWidth="1"/>
    <col min="11282" max="11282" width="9.140625" style="53"/>
    <col min="11283" max="11283" width="9.42578125" style="53" bestFit="1" customWidth="1"/>
    <col min="11284" max="11284" width="9" style="53" customWidth="1"/>
    <col min="11285" max="11285" width="9.140625" style="53"/>
    <col min="11286" max="11286" width="9" style="53" customWidth="1"/>
    <col min="11287" max="11292" width="9.140625" style="53"/>
    <col min="11293" max="11293" width="26.42578125" style="53" customWidth="1"/>
    <col min="11294" max="11296" width="9.140625" style="53"/>
    <col min="11297" max="11297" width="14.7109375" style="53" bestFit="1" customWidth="1"/>
    <col min="11298" max="11520" width="9.140625" style="53"/>
    <col min="11521" max="11523" width="9" style="53" customWidth="1"/>
    <col min="11524" max="11524" width="10.42578125" style="53" customWidth="1"/>
    <col min="11525" max="11525" width="11.28515625" style="53" bestFit="1" customWidth="1"/>
    <col min="11526" max="11527" width="9.140625" style="53"/>
    <col min="11528" max="11537" width="9" style="53" customWidth="1"/>
    <col min="11538" max="11538" width="9.140625" style="53"/>
    <col min="11539" max="11539" width="9.42578125" style="53" bestFit="1" customWidth="1"/>
    <col min="11540" max="11540" width="9" style="53" customWidth="1"/>
    <col min="11541" max="11541" width="9.140625" style="53"/>
    <col min="11542" max="11542" width="9" style="53" customWidth="1"/>
    <col min="11543" max="11548" width="9.140625" style="53"/>
    <col min="11549" max="11549" width="26.42578125" style="53" customWidth="1"/>
    <col min="11550" max="11552" width="9.140625" style="53"/>
    <col min="11553" max="11553" width="14.7109375" style="53" bestFit="1" customWidth="1"/>
    <col min="11554" max="11776" width="9.140625" style="53"/>
    <col min="11777" max="11779" width="9" style="53" customWidth="1"/>
    <col min="11780" max="11780" width="10.42578125" style="53" customWidth="1"/>
    <col min="11781" max="11781" width="11.28515625" style="53" bestFit="1" customWidth="1"/>
    <col min="11782" max="11783" width="9.140625" style="53"/>
    <col min="11784" max="11793" width="9" style="53" customWidth="1"/>
    <col min="11794" max="11794" width="9.140625" style="53"/>
    <col min="11795" max="11795" width="9.42578125" style="53" bestFit="1" customWidth="1"/>
    <col min="11796" max="11796" width="9" style="53" customWidth="1"/>
    <col min="11797" max="11797" width="9.140625" style="53"/>
    <col min="11798" max="11798" width="9" style="53" customWidth="1"/>
    <col min="11799" max="11804" width="9.140625" style="53"/>
    <col min="11805" max="11805" width="26.42578125" style="53" customWidth="1"/>
    <col min="11806" max="11808" width="9.140625" style="53"/>
    <col min="11809" max="11809" width="14.7109375" style="53" bestFit="1" customWidth="1"/>
    <col min="11810" max="12032" width="9.140625" style="53"/>
    <col min="12033" max="12035" width="9" style="53" customWidth="1"/>
    <col min="12036" max="12036" width="10.42578125" style="53" customWidth="1"/>
    <col min="12037" max="12037" width="11.28515625" style="53" bestFit="1" customWidth="1"/>
    <col min="12038" max="12039" width="9.140625" style="53"/>
    <col min="12040" max="12049" width="9" style="53" customWidth="1"/>
    <col min="12050" max="12050" width="9.140625" style="53"/>
    <col min="12051" max="12051" width="9.42578125" style="53" bestFit="1" customWidth="1"/>
    <col min="12052" max="12052" width="9" style="53" customWidth="1"/>
    <col min="12053" max="12053" width="9.140625" style="53"/>
    <col min="12054" max="12054" width="9" style="53" customWidth="1"/>
    <col min="12055" max="12060" width="9.140625" style="53"/>
    <col min="12061" max="12061" width="26.42578125" style="53" customWidth="1"/>
    <col min="12062" max="12064" width="9.140625" style="53"/>
    <col min="12065" max="12065" width="14.7109375" style="53" bestFit="1" customWidth="1"/>
    <col min="12066" max="12288" width="9.140625" style="53"/>
    <col min="12289" max="12291" width="9" style="53" customWidth="1"/>
    <col min="12292" max="12292" width="10.42578125" style="53" customWidth="1"/>
    <col min="12293" max="12293" width="11.28515625" style="53" bestFit="1" customWidth="1"/>
    <col min="12294" max="12295" width="9.140625" style="53"/>
    <col min="12296" max="12305" width="9" style="53" customWidth="1"/>
    <col min="12306" max="12306" width="9.140625" style="53"/>
    <col min="12307" max="12307" width="9.42578125" style="53" bestFit="1" customWidth="1"/>
    <col min="12308" max="12308" width="9" style="53" customWidth="1"/>
    <col min="12309" max="12309" width="9.140625" style="53"/>
    <col min="12310" max="12310" width="9" style="53" customWidth="1"/>
    <col min="12311" max="12316" width="9.140625" style="53"/>
    <col min="12317" max="12317" width="26.42578125" style="53" customWidth="1"/>
    <col min="12318" max="12320" width="9.140625" style="53"/>
    <col min="12321" max="12321" width="14.7109375" style="53" bestFit="1" customWidth="1"/>
    <col min="12322" max="12544" width="9.140625" style="53"/>
    <col min="12545" max="12547" width="9" style="53" customWidth="1"/>
    <col min="12548" max="12548" width="10.42578125" style="53" customWidth="1"/>
    <col min="12549" max="12549" width="11.28515625" style="53" bestFit="1" customWidth="1"/>
    <col min="12550" max="12551" width="9.140625" style="53"/>
    <col min="12552" max="12561" width="9" style="53" customWidth="1"/>
    <col min="12562" max="12562" width="9.140625" style="53"/>
    <col min="12563" max="12563" width="9.42578125" style="53" bestFit="1" customWidth="1"/>
    <col min="12564" max="12564" width="9" style="53" customWidth="1"/>
    <col min="12565" max="12565" width="9.140625" style="53"/>
    <col min="12566" max="12566" width="9" style="53" customWidth="1"/>
    <col min="12567" max="12572" width="9.140625" style="53"/>
    <col min="12573" max="12573" width="26.42578125" style="53" customWidth="1"/>
    <col min="12574" max="12576" width="9.140625" style="53"/>
    <col min="12577" max="12577" width="14.7109375" style="53" bestFit="1" customWidth="1"/>
    <col min="12578" max="12800" width="9.140625" style="53"/>
    <col min="12801" max="12803" width="9" style="53" customWidth="1"/>
    <col min="12804" max="12804" width="10.42578125" style="53" customWidth="1"/>
    <col min="12805" max="12805" width="11.28515625" style="53" bestFit="1" customWidth="1"/>
    <col min="12806" max="12807" width="9.140625" style="53"/>
    <col min="12808" max="12817" width="9" style="53" customWidth="1"/>
    <col min="12818" max="12818" width="9.140625" style="53"/>
    <col min="12819" max="12819" width="9.42578125" style="53" bestFit="1" customWidth="1"/>
    <col min="12820" max="12820" width="9" style="53" customWidth="1"/>
    <col min="12821" max="12821" width="9.140625" style="53"/>
    <col min="12822" max="12822" width="9" style="53" customWidth="1"/>
    <col min="12823" max="12828" width="9.140625" style="53"/>
    <col min="12829" max="12829" width="26.42578125" style="53" customWidth="1"/>
    <col min="12830" max="12832" width="9.140625" style="53"/>
    <col min="12833" max="12833" width="14.7109375" style="53" bestFit="1" customWidth="1"/>
    <col min="12834" max="13056" width="9.140625" style="53"/>
    <col min="13057" max="13059" width="9" style="53" customWidth="1"/>
    <col min="13060" max="13060" width="10.42578125" style="53" customWidth="1"/>
    <col min="13061" max="13061" width="11.28515625" style="53" bestFit="1" customWidth="1"/>
    <col min="13062" max="13063" width="9.140625" style="53"/>
    <col min="13064" max="13073" width="9" style="53" customWidth="1"/>
    <col min="13074" max="13074" width="9.140625" style="53"/>
    <col min="13075" max="13075" width="9.42578125" style="53" bestFit="1" customWidth="1"/>
    <col min="13076" max="13076" width="9" style="53" customWidth="1"/>
    <col min="13077" max="13077" width="9.140625" style="53"/>
    <col min="13078" max="13078" width="9" style="53" customWidth="1"/>
    <col min="13079" max="13084" width="9.140625" style="53"/>
    <col min="13085" max="13085" width="26.42578125" style="53" customWidth="1"/>
    <col min="13086" max="13088" width="9.140625" style="53"/>
    <col min="13089" max="13089" width="14.7109375" style="53" bestFit="1" customWidth="1"/>
    <col min="13090" max="13312" width="9.140625" style="53"/>
    <col min="13313" max="13315" width="9" style="53" customWidth="1"/>
    <col min="13316" max="13316" width="10.42578125" style="53" customWidth="1"/>
    <col min="13317" max="13317" width="11.28515625" style="53" bestFit="1" customWidth="1"/>
    <col min="13318" max="13319" width="9.140625" style="53"/>
    <col min="13320" max="13329" width="9" style="53" customWidth="1"/>
    <col min="13330" max="13330" width="9.140625" style="53"/>
    <col min="13331" max="13331" width="9.42578125" style="53" bestFit="1" customWidth="1"/>
    <col min="13332" max="13332" width="9" style="53" customWidth="1"/>
    <col min="13333" max="13333" width="9.140625" style="53"/>
    <col min="13334" max="13334" width="9" style="53" customWidth="1"/>
    <col min="13335" max="13340" width="9.140625" style="53"/>
    <col min="13341" max="13341" width="26.42578125" style="53" customWidth="1"/>
    <col min="13342" max="13344" width="9.140625" style="53"/>
    <col min="13345" max="13345" width="14.7109375" style="53" bestFit="1" customWidth="1"/>
    <col min="13346" max="13568" width="9.140625" style="53"/>
    <col min="13569" max="13571" width="9" style="53" customWidth="1"/>
    <col min="13572" max="13572" width="10.42578125" style="53" customWidth="1"/>
    <col min="13573" max="13573" width="11.28515625" style="53" bestFit="1" customWidth="1"/>
    <col min="13574" max="13575" width="9.140625" style="53"/>
    <col min="13576" max="13585" width="9" style="53" customWidth="1"/>
    <col min="13586" max="13586" width="9.140625" style="53"/>
    <col min="13587" max="13587" width="9.42578125" style="53" bestFit="1" customWidth="1"/>
    <col min="13588" max="13588" width="9" style="53" customWidth="1"/>
    <col min="13589" max="13589" width="9.140625" style="53"/>
    <col min="13590" max="13590" width="9" style="53" customWidth="1"/>
    <col min="13591" max="13596" width="9.140625" style="53"/>
    <col min="13597" max="13597" width="26.42578125" style="53" customWidth="1"/>
    <col min="13598" max="13600" width="9.140625" style="53"/>
    <col min="13601" max="13601" width="14.7109375" style="53" bestFit="1" customWidth="1"/>
    <col min="13602" max="13824" width="9.140625" style="53"/>
    <col min="13825" max="13827" width="9" style="53" customWidth="1"/>
    <col min="13828" max="13828" width="10.42578125" style="53" customWidth="1"/>
    <col min="13829" max="13829" width="11.28515625" style="53" bestFit="1" customWidth="1"/>
    <col min="13830" max="13831" width="9.140625" style="53"/>
    <col min="13832" max="13841" width="9" style="53" customWidth="1"/>
    <col min="13842" max="13842" width="9.140625" style="53"/>
    <col min="13843" max="13843" width="9.42578125" style="53" bestFit="1" customWidth="1"/>
    <col min="13844" max="13844" width="9" style="53" customWidth="1"/>
    <col min="13845" max="13845" width="9.140625" style="53"/>
    <col min="13846" max="13846" width="9" style="53" customWidth="1"/>
    <col min="13847" max="13852" width="9.140625" style="53"/>
    <col min="13853" max="13853" width="26.42578125" style="53" customWidth="1"/>
    <col min="13854" max="13856" width="9.140625" style="53"/>
    <col min="13857" max="13857" width="14.7109375" style="53" bestFit="1" customWidth="1"/>
    <col min="13858" max="14080" width="9.140625" style="53"/>
    <col min="14081" max="14083" width="9" style="53" customWidth="1"/>
    <col min="14084" max="14084" width="10.42578125" style="53" customWidth="1"/>
    <col min="14085" max="14085" width="11.28515625" style="53" bestFit="1" customWidth="1"/>
    <col min="14086" max="14087" width="9.140625" style="53"/>
    <col min="14088" max="14097" width="9" style="53" customWidth="1"/>
    <col min="14098" max="14098" width="9.140625" style="53"/>
    <col min="14099" max="14099" width="9.42578125" style="53" bestFit="1" customWidth="1"/>
    <col min="14100" max="14100" width="9" style="53" customWidth="1"/>
    <col min="14101" max="14101" width="9.140625" style="53"/>
    <col min="14102" max="14102" width="9" style="53" customWidth="1"/>
    <col min="14103" max="14108" width="9.140625" style="53"/>
    <col min="14109" max="14109" width="26.42578125" style="53" customWidth="1"/>
    <col min="14110" max="14112" width="9.140625" style="53"/>
    <col min="14113" max="14113" width="14.7109375" style="53" bestFit="1" customWidth="1"/>
    <col min="14114" max="14336" width="9.140625" style="53"/>
    <col min="14337" max="14339" width="9" style="53" customWidth="1"/>
    <col min="14340" max="14340" width="10.42578125" style="53" customWidth="1"/>
    <col min="14341" max="14341" width="11.28515625" style="53" bestFit="1" customWidth="1"/>
    <col min="14342" max="14343" width="9.140625" style="53"/>
    <col min="14344" max="14353" width="9" style="53" customWidth="1"/>
    <col min="14354" max="14354" width="9.140625" style="53"/>
    <col min="14355" max="14355" width="9.42578125" style="53" bestFit="1" customWidth="1"/>
    <col min="14356" max="14356" width="9" style="53" customWidth="1"/>
    <col min="14357" max="14357" width="9.140625" style="53"/>
    <col min="14358" max="14358" width="9" style="53" customWidth="1"/>
    <col min="14359" max="14364" width="9.140625" style="53"/>
    <col min="14365" max="14365" width="26.42578125" style="53" customWidth="1"/>
    <col min="14366" max="14368" width="9.140625" style="53"/>
    <col min="14369" max="14369" width="14.7109375" style="53" bestFit="1" customWidth="1"/>
    <col min="14370" max="14592" width="9.140625" style="53"/>
    <col min="14593" max="14595" width="9" style="53" customWidth="1"/>
    <col min="14596" max="14596" width="10.42578125" style="53" customWidth="1"/>
    <col min="14597" max="14597" width="11.28515625" style="53" bestFit="1" customWidth="1"/>
    <col min="14598" max="14599" width="9.140625" style="53"/>
    <col min="14600" max="14609" width="9" style="53" customWidth="1"/>
    <col min="14610" max="14610" width="9.140625" style="53"/>
    <col min="14611" max="14611" width="9.42578125" style="53" bestFit="1" customWidth="1"/>
    <col min="14612" max="14612" width="9" style="53" customWidth="1"/>
    <col min="14613" max="14613" width="9.140625" style="53"/>
    <col min="14614" max="14614" width="9" style="53" customWidth="1"/>
    <col min="14615" max="14620" width="9.140625" style="53"/>
    <col min="14621" max="14621" width="26.42578125" style="53" customWidth="1"/>
    <col min="14622" max="14624" width="9.140625" style="53"/>
    <col min="14625" max="14625" width="14.7109375" style="53" bestFit="1" customWidth="1"/>
    <col min="14626" max="14848" width="9.140625" style="53"/>
    <col min="14849" max="14851" width="9" style="53" customWidth="1"/>
    <col min="14852" max="14852" width="10.42578125" style="53" customWidth="1"/>
    <col min="14853" max="14853" width="11.28515625" style="53" bestFit="1" customWidth="1"/>
    <col min="14854" max="14855" width="9.140625" style="53"/>
    <col min="14856" max="14865" width="9" style="53" customWidth="1"/>
    <col min="14866" max="14866" width="9.140625" style="53"/>
    <col min="14867" max="14867" width="9.42578125" style="53" bestFit="1" customWidth="1"/>
    <col min="14868" max="14868" width="9" style="53" customWidth="1"/>
    <col min="14869" max="14869" width="9.140625" style="53"/>
    <col min="14870" max="14870" width="9" style="53" customWidth="1"/>
    <col min="14871" max="14876" width="9.140625" style="53"/>
    <col min="14877" max="14877" width="26.42578125" style="53" customWidth="1"/>
    <col min="14878" max="14880" width="9.140625" style="53"/>
    <col min="14881" max="14881" width="14.7109375" style="53" bestFit="1" customWidth="1"/>
    <col min="14882" max="15104" width="9.140625" style="53"/>
    <col min="15105" max="15107" width="9" style="53" customWidth="1"/>
    <col min="15108" max="15108" width="10.42578125" style="53" customWidth="1"/>
    <col min="15109" max="15109" width="11.28515625" style="53" bestFit="1" customWidth="1"/>
    <col min="15110" max="15111" width="9.140625" style="53"/>
    <col min="15112" max="15121" width="9" style="53" customWidth="1"/>
    <col min="15122" max="15122" width="9.140625" style="53"/>
    <col min="15123" max="15123" width="9.42578125" style="53" bestFit="1" customWidth="1"/>
    <col min="15124" max="15124" width="9" style="53" customWidth="1"/>
    <col min="15125" max="15125" width="9.140625" style="53"/>
    <col min="15126" max="15126" width="9" style="53" customWidth="1"/>
    <col min="15127" max="15132" width="9.140625" style="53"/>
    <col min="15133" max="15133" width="26.42578125" style="53" customWidth="1"/>
    <col min="15134" max="15136" width="9.140625" style="53"/>
    <col min="15137" max="15137" width="14.7109375" style="53" bestFit="1" customWidth="1"/>
    <col min="15138" max="15360" width="9.140625" style="53"/>
    <col min="15361" max="15363" width="9" style="53" customWidth="1"/>
    <col min="15364" max="15364" width="10.42578125" style="53" customWidth="1"/>
    <col min="15365" max="15365" width="11.28515625" style="53" bestFit="1" customWidth="1"/>
    <col min="15366" max="15367" width="9.140625" style="53"/>
    <col min="15368" max="15377" width="9" style="53" customWidth="1"/>
    <col min="15378" max="15378" width="9.140625" style="53"/>
    <col min="15379" max="15379" width="9.42578125" style="53" bestFit="1" customWidth="1"/>
    <col min="15380" max="15380" width="9" style="53" customWidth="1"/>
    <col min="15381" max="15381" width="9.140625" style="53"/>
    <col min="15382" max="15382" width="9" style="53" customWidth="1"/>
    <col min="15383" max="15388" width="9.140625" style="53"/>
    <col min="15389" max="15389" width="26.42578125" style="53" customWidth="1"/>
    <col min="15390" max="15392" width="9.140625" style="53"/>
    <col min="15393" max="15393" width="14.7109375" style="53" bestFit="1" customWidth="1"/>
    <col min="15394" max="15616" width="9.140625" style="53"/>
    <col min="15617" max="15619" width="9" style="53" customWidth="1"/>
    <col min="15620" max="15620" width="10.42578125" style="53" customWidth="1"/>
    <col min="15621" max="15621" width="11.28515625" style="53" bestFit="1" customWidth="1"/>
    <col min="15622" max="15623" width="9.140625" style="53"/>
    <col min="15624" max="15633" width="9" style="53" customWidth="1"/>
    <col min="15634" max="15634" width="9.140625" style="53"/>
    <col min="15635" max="15635" width="9.42578125" style="53" bestFit="1" customWidth="1"/>
    <col min="15636" max="15636" width="9" style="53" customWidth="1"/>
    <col min="15637" max="15637" width="9.140625" style="53"/>
    <col min="15638" max="15638" width="9" style="53" customWidth="1"/>
    <col min="15639" max="15644" width="9.140625" style="53"/>
    <col min="15645" max="15645" width="26.42578125" style="53" customWidth="1"/>
    <col min="15646" max="15648" width="9.140625" style="53"/>
    <col min="15649" max="15649" width="14.7109375" style="53" bestFit="1" customWidth="1"/>
    <col min="15650" max="15872" width="9.140625" style="53"/>
    <col min="15873" max="15875" width="9" style="53" customWidth="1"/>
    <col min="15876" max="15876" width="10.42578125" style="53" customWidth="1"/>
    <col min="15877" max="15877" width="11.28515625" style="53" bestFit="1" customWidth="1"/>
    <col min="15878" max="15879" width="9.140625" style="53"/>
    <col min="15880" max="15889" width="9" style="53" customWidth="1"/>
    <col min="15890" max="15890" width="9.140625" style="53"/>
    <col min="15891" max="15891" width="9.42578125" style="53" bestFit="1" customWidth="1"/>
    <col min="15892" max="15892" width="9" style="53" customWidth="1"/>
    <col min="15893" max="15893" width="9.140625" style="53"/>
    <col min="15894" max="15894" width="9" style="53" customWidth="1"/>
    <col min="15895" max="15900" width="9.140625" style="53"/>
    <col min="15901" max="15901" width="26.42578125" style="53" customWidth="1"/>
    <col min="15902" max="15904" width="9.140625" style="53"/>
    <col min="15905" max="15905" width="14.7109375" style="53" bestFit="1" customWidth="1"/>
    <col min="15906" max="16128" width="9.140625" style="53"/>
    <col min="16129" max="16131" width="9" style="53" customWidth="1"/>
    <col min="16132" max="16132" width="10.42578125" style="53" customWidth="1"/>
    <col min="16133" max="16133" width="11.28515625" style="53" bestFit="1" customWidth="1"/>
    <col min="16134" max="16135" width="9.140625" style="53"/>
    <col min="16136" max="16145" width="9" style="53" customWidth="1"/>
    <col min="16146" max="16146" width="9.140625" style="53"/>
    <col min="16147" max="16147" width="9.42578125" style="53" bestFit="1" customWidth="1"/>
    <col min="16148" max="16148" width="9" style="53" customWidth="1"/>
    <col min="16149" max="16149" width="9.140625" style="53"/>
    <col min="16150" max="16150" width="9" style="53" customWidth="1"/>
    <col min="16151" max="16156" width="9.140625" style="53"/>
    <col min="16157" max="16157" width="26.42578125" style="53" customWidth="1"/>
    <col min="16158" max="16160" width="9.140625" style="53"/>
    <col min="16161" max="16161" width="14.7109375" style="53" bestFit="1" customWidth="1"/>
    <col min="16162" max="16384" width="9.140625" style="53"/>
  </cols>
  <sheetData>
    <row r="1" spans="1:53" ht="44.25" customHeight="1" x14ac:dyDescent="0.15">
      <c r="A1" s="145" t="s">
        <v>277</v>
      </c>
      <c r="B1" s="1" t="s">
        <v>1</v>
      </c>
      <c r="C1" s="1" t="s">
        <v>2</v>
      </c>
      <c r="D1" s="2" t="s">
        <v>3</v>
      </c>
      <c r="E1" s="2" t="s">
        <v>278</v>
      </c>
      <c r="F1" s="2" t="s">
        <v>5</v>
      </c>
      <c r="G1" s="2" t="s">
        <v>6</v>
      </c>
      <c r="H1" s="2" t="s">
        <v>279</v>
      </c>
      <c r="I1" s="2" t="s">
        <v>8</v>
      </c>
      <c r="J1" s="2" t="s">
        <v>9</v>
      </c>
      <c r="K1" s="2" t="s">
        <v>10</v>
      </c>
      <c r="L1" s="2" t="s">
        <v>11</v>
      </c>
      <c r="M1" s="2" t="s">
        <v>12</v>
      </c>
      <c r="N1" s="2" t="s">
        <v>13</v>
      </c>
      <c r="O1" s="2" t="s">
        <v>14</v>
      </c>
      <c r="P1" s="2" t="s">
        <v>15</v>
      </c>
      <c r="Q1" s="3" t="s">
        <v>16</v>
      </c>
      <c r="R1" s="2" t="s">
        <v>17</v>
      </c>
      <c r="S1" s="2" t="s">
        <v>18</v>
      </c>
      <c r="T1" s="3" t="s">
        <v>19</v>
      </c>
      <c r="U1" s="4" t="s">
        <v>108</v>
      </c>
      <c r="V1" s="5" t="s">
        <v>20</v>
      </c>
      <c r="W1" s="2" t="s">
        <v>21</v>
      </c>
      <c r="X1" s="2" t="s">
        <v>22</v>
      </c>
      <c r="Y1" s="2" t="s">
        <v>23</v>
      </c>
      <c r="Z1" s="2" t="s">
        <v>24</v>
      </c>
      <c r="AA1" s="146" t="s">
        <v>25</v>
      </c>
      <c r="AB1" s="147" t="s">
        <v>26</v>
      </c>
      <c r="AC1" s="148"/>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6" customFormat="1" x14ac:dyDescent="0.15">
      <c r="A2" s="149" t="s">
        <v>61</v>
      </c>
      <c r="B2" s="149" t="s">
        <v>234</v>
      </c>
      <c r="C2" s="149">
        <v>2019</v>
      </c>
      <c r="D2" s="150" t="s">
        <v>159</v>
      </c>
      <c r="E2" s="149" t="s">
        <v>280</v>
      </c>
      <c r="F2" s="149" t="s">
        <v>281</v>
      </c>
      <c r="G2" s="149" t="s">
        <v>42</v>
      </c>
      <c r="H2" s="151" t="s">
        <v>162</v>
      </c>
      <c r="I2" s="151" t="s">
        <v>161</v>
      </c>
      <c r="J2" s="149" t="s">
        <v>38</v>
      </c>
      <c r="K2" s="151" t="s">
        <v>163</v>
      </c>
      <c r="L2" s="151">
        <v>1</v>
      </c>
      <c r="M2" s="151"/>
      <c r="N2" s="151">
        <v>4</v>
      </c>
      <c r="O2" s="151">
        <v>0.5</v>
      </c>
      <c r="P2" s="151">
        <v>0.5</v>
      </c>
      <c r="Q2" s="152">
        <f t="shared" ref="Q2:Q65" si="0">IF(OR(O2="",P2=""),"",AVERAGE(O2,P2))</f>
        <v>0.5</v>
      </c>
      <c r="R2" s="151">
        <v>19.2</v>
      </c>
      <c r="S2" s="151">
        <v>102</v>
      </c>
      <c r="T2" s="153">
        <f t="shared" ref="T2:T65" si="1">IF(H2="","",IF(OR(H2="GREEN",H2="GK"),IF(S2&gt;=$AX$2,VLOOKUP(S2,$AX$2:$AY$15,2,1),""),IF(S2&gt;=$AZ$2,VLOOKUP(S2,$AZ$2:$BA$15,2,1),"")))</f>
        <v>33</v>
      </c>
      <c r="U2" s="151">
        <v>488</v>
      </c>
      <c r="V2" s="154">
        <f t="shared" ref="V2:V65" si="2">IF(OR(N2="",U2="",T2=""),"",U2/N2*T2)</f>
        <v>4026</v>
      </c>
      <c r="W2" s="151">
        <v>4</v>
      </c>
      <c r="X2" s="149" t="s">
        <v>39</v>
      </c>
      <c r="Y2" s="151" t="s">
        <v>90</v>
      </c>
      <c r="Z2" s="151" t="s">
        <v>84</v>
      </c>
      <c r="AA2" s="151" t="s">
        <v>69</v>
      </c>
      <c r="AB2" s="149" t="s">
        <v>282</v>
      </c>
      <c r="AC2" s="155"/>
      <c r="AE2" s="17" t="s">
        <v>35</v>
      </c>
      <c r="AG2" s="49" t="s">
        <v>280</v>
      </c>
      <c r="AH2" s="49" t="s">
        <v>281</v>
      </c>
      <c r="AJ2" s="157" t="s">
        <v>36</v>
      </c>
      <c r="AL2" s="18" t="s">
        <v>127</v>
      </c>
      <c r="AN2" s="157" t="s">
        <v>37</v>
      </c>
      <c r="AP2" s="18" t="s">
        <v>38</v>
      </c>
      <c r="AR2" s="18" t="s">
        <v>120</v>
      </c>
      <c r="AT2" s="157" t="s">
        <v>39</v>
      </c>
      <c r="AV2" s="18" t="s">
        <v>40</v>
      </c>
      <c r="AX2" s="158">
        <v>1</v>
      </c>
      <c r="AY2" s="159">
        <v>50</v>
      </c>
      <c r="AZ2" s="159">
        <v>1</v>
      </c>
      <c r="BA2" s="160">
        <v>50</v>
      </c>
    </row>
    <row r="3" spans="1:53" x14ac:dyDescent="0.15">
      <c r="A3" s="149" t="s">
        <v>61</v>
      </c>
      <c r="B3" s="149" t="s">
        <v>234</v>
      </c>
      <c r="C3" s="149">
        <v>2019</v>
      </c>
      <c r="D3" s="150" t="s">
        <v>159</v>
      </c>
      <c r="E3" s="149" t="s">
        <v>280</v>
      </c>
      <c r="F3" s="149" t="s">
        <v>281</v>
      </c>
      <c r="G3" s="149" t="s">
        <v>42</v>
      </c>
      <c r="H3" s="151" t="s">
        <v>162</v>
      </c>
      <c r="I3" s="151" t="s">
        <v>161</v>
      </c>
      <c r="J3" s="149" t="s">
        <v>38</v>
      </c>
      <c r="K3" s="151" t="s">
        <v>163</v>
      </c>
      <c r="L3" s="151">
        <v>2</v>
      </c>
      <c r="M3" s="151"/>
      <c r="N3" s="151">
        <v>4</v>
      </c>
      <c r="O3" s="151">
        <v>0.5</v>
      </c>
      <c r="P3" s="151">
        <v>0.5</v>
      </c>
      <c r="Q3" s="152">
        <f t="shared" si="0"/>
        <v>0.5</v>
      </c>
      <c r="R3" s="151">
        <v>19.7</v>
      </c>
      <c r="S3" s="151">
        <v>104</v>
      </c>
      <c r="T3" s="153">
        <f t="shared" si="1"/>
        <v>33</v>
      </c>
      <c r="U3" s="151">
        <v>488</v>
      </c>
      <c r="V3" s="154">
        <f t="shared" si="2"/>
        <v>4026</v>
      </c>
      <c r="W3" s="151">
        <v>4</v>
      </c>
      <c r="X3" s="149" t="s">
        <v>39</v>
      </c>
      <c r="Y3" s="151" t="s">
        <v>90</v>
      </c>
      <c r="Z3" s="151" t="s">
        <v>84</v>
      </c>
      <c r="AA3" s="151" t="s">
        <v>69</v>
      </c>
      <c r="AB3" s="149" t="s">
        <v>282</v>
      </c>
      <c r="AC3" s="155"/>
      <c r="AE3" s="22" t="s">
        <v>41</v>
      </c>
      <c r="AG3" s="49" t="s">
        <v>283</v>
      </c>
      <c r="AH3" s="49" t="s">
        <v>284</v>
      </c>
      <c r="AJ3" s="23" t="s">
        <v>42</v>
      </c>
      <c r="AL3" s="23" t="s">
        <v>128</v>
      </c>
      <c r="AN3" s="23" t="s">
        <v>43</v>
      </c>
      <c r="AP3" s="23" t="s">
        <v>44</v>
      </c>
      <c r="AR3" s="41" t="s">
        <v>45</v>
      </c>
      <c r="AT3" s="23" t="s">
        <v>46</v>
      </c>
      <c r="AV3" s="41" t="s">
        <v>47</v>
      </c>
      <c r="AX3" s="24">
        <v>72</v>
      </c>
      <c r="AY3" s="25">
        <v>46</v>
      </c>
      <c r="AZ3" s="25">
        <v>71</v>
      </c>
      <c r="BA3" s="26">
        <v>42</v>
      </c>
    </row>
    <row r="4" spans="1:53" x14ac:dyDescent="0.15">
      <c r="A4" s="149" t="s">
        <v>61</v>
      </c>
      <c r="B4" s="149" t="s">
        <v>234</v>
      </c>
      <c r="C4" s="149">
        <v>2019</v>
      </c>
      <c r="D4" s="150" t="s">
        <v>159</v>
      </c>
      <c r="E4" s="149" t="s">
        <v>280</v>
      </c>
      <c r="F4" s="149" t="s">
        <v>281</v>
      </c>
      <c r="G4" s="149" t="s">
        <v>42</v>
      </c>
      <c r="H4" s="151" t="s">
        <v>162</v>
      </c>
      <c r="I4" s="151" t="s">
        <v>161</v>
      </c>
      <c r="J4" s="149" t="s">
        <v>38</v>
      </c>
      <c r="K4" s="151" t="s">
        <v>163</v>
      </c>
      <c r="L4" s="151">
        <v>3</v>
      </c>
      <c r="M4" s="151"/>
      <c r="N4" s="151">
        <v>4</v>
      </c>
      <c r="O4" s="151">
        <v>0.5</v>
      </c>
      <c r="P4" s="151">
        <v>0.5</v>
      </c>
      <c r="Q4" s="152">
        <f t="shared" si="0"/>
        <v>0.5</v>
      </c>
      <c r="R4" s="151">
        <v>18.399999999999999</v>
      </c>
      <c r="S4" s="151">
        <v>94</v>
      </c>
      <c r="T4" s="153">
        <f t="shared" si="1"/>
        <v>36</v>
      </c>
      <c r="U4" s="151">
        <v>488</v>
      </c>
      <c r="V4" s="154">
        <f t="shared" si="2"/>
        <v>4392</v>
      </c>
      <c r="W4" s="151">
        <v>4</v>
      </c>
      <c r="X4" s="149" t="s">
        <v>39</v>
      </c>
      <c r="Y4" s="151" t="s">
        <v>90</v>
      </c>
      <c r="Z4" s="151" t="s">
        <v>84</v>
      </c>
      <c r="AA4" s="151" t="s">
        <v>69</v>
      </c>
      <c r="AB4" s="149" t="s">
        <v>282</v>
      </c>
      <c r="AC4" s="155"/>
      <c r="AE4" s="22" t="s">
        <v>34</v>
      </c>
      <c r="AG4" s="49" t="s">
        <v>285</v>
      </c>
      <c r="AH4" s="49" t="s">
        <v>286</v>
      </c>
      <c r="AJ4" s="27" t="s">
        <v>48</v>
      </c>
      <c r="AL4" s="27" t="s">
        <v>129</v>
      </c>
      <c r="AN4" s="28" t="s">
        <v>49</v>
      </c>
      <c r="AP4" s="23" t="s">
        <v>93</v>
      </c>
      <c r="AR4" s="41" t="s">
        <v>121</v>
      </c>
      <c r="AT4" s="28"/>
      <c r="AV4" s="41" t="s">
        <v>50</v>
      </c>
      <c r="AX4" s="24">
        <v>75</v>
      </c>
      <c r="AY4" s="25">
        <v>42</v>
      </c>
      <c r="AZ4" s="25">
        <v>76</v>
      </c>
      <c r="BA4" s="26">
        <v>39</v>
      </c>
    </row>
    <row r="5" spans="1:53" x14ac:dyDescent="0.15">
      <c r="A5" s="149" t="s">
        <v>61</v>
      </c>
      <c r="B5" s="149" t="s">
        <v>234</v>
      </c>
      <c r="C5" s="149">
        <v>2019</v>
      </c>
      <c r="D5" s="150" t="s">
        <v>159</v>
      </c>
      <c r="E5" s="149" t="s">
        <v>280</v>
      </c>
      <c r="F5" s="149" t="s">
        <v>281</v>
      </c>
      <c r="G5" s="149" t="s">
        <v>42</v>
      </c>
      <c r="H5" s="151" t="s">
        <v>127</v>
      </c>
      <c r="I5" s="151" t="s">
        <v>161</v>
      </c>
      <c r="J5" s="149" t="s">
        <v>58</v>
      </c>
      <c r="K5" s="151" t="s">
        <v>59</v>
      </c>
      <c r="L5" s="151">
        <v>1</v>
      </c>
      <c r="M5" s="151"/>
      <c r="N5" s="151">
        <v>2</v>
      </c>
      <c r="O5" s="151">
        <v>0.9</v>
      </c>
      <c r="P5" s="151">
        <v>0.95</v>
      </c>
      <c r="Q5" s="152">
        <f t="shared" si="0"/>
        <v>0.92500000000000004</v>
      </c>
      <c r="R5" s="151">
        <v>14.5</v>
      </c>
      <c r="S5" s="151">
        <v>122</v>
      </c>
      <c r="T5" s="153">
        <f t="shared" si="1"/>
        <v>27</v>
      </c>
      <c r="U5" s="151">
        <v>266</v>
      </c>
      <c r="V5" s="154">
        <f t="shared" si="2"/>
        <v>3591</v>
      </c>
      <c r="W5" s="151">
        <v>4</v>
      </c>
      <c r="X5" s="149" t="s">
        <v>39</v>
      </c>
      <c r="Y5" s="151" t="s">
        <v>90</v>
      </c>
      <c r="Z5" s="151" t="s">
        <v>84</v>
      </c>
      <c r="AA5" s="151" t="s">
        <v>69</v>
      </c>
      <c r="AB5" s="149" t="s">
        <v>282</v>
      </c>
      <c r="AC5" s="155"/>
      <c r="AE5" s="22" t="s">
        <v>51</v>
      </c>
      <c r="AG5" s="49" t="s">
        <v>287</v>
      </c>
      <c r="AH5" s="49" t="s">
        <v>288</v>
      </c>
      <c r="AJ5" s="27"/>
      <c r="AL5" s="29" t="s">
        <v>66</v>
      </c>
      <c r="AN5" s="29" t="s">
        <v>52</v>
      </c>
      <c r="AP5" s="23" t="s">
        <v>119</v>
      </c>
      <c r="AR5" s="41" t="s">
        <v>54</v>
      </c>
      <c r="AT5" s="151"/>
      <c r="AV5" s="41" t="s">
        <v>55</v>
      </c>
      <c r="AX5" s="24">
        <v>84</v>
      </c>
      <c r="AY5" s="25">
        <v>39</v>
      </c>
      <c r="AZ5" s="25">
        <v>84</v>
      </c>
      <c r="BA5" s="26">
        <v>36</v>
      </c>
    </row>
    <row r="6" spans="1:53" x14ac:dyDescent="0.15">
      <c r="A6" s="149" t="s">
        <v>61</v>
      </c>
      <c r="B6" s="149" t="s">
        <v>234</v>
      </c>
      <c r="C6" s="149">
        <v>2019</v>
      </c>
      <c r="D6" s="150" t="s">
        <v>159</v>
      </c>
      <c r="E6" s="149" t="s">
        <v>280</v>
      </c>
      <c r="F6" s="149" t="s">
        <v>281</v>
      </c>
      <c r="G6" s="149" t="s">
        <v>42</v>
      </c>
      <c r="H6" s="151" t="s">
        <v>127</v>
      </c>
      <c r="I6" s="151" t="s">
        <v>161</v>
      </c>
      <c r="J6" s="149" t="s">
        <v>58</v>
      </c>
      <c r="K6" s="151" t="s">
        <v>59</v>
      </c>
      <c r="L6" s="151">
        <v>2</v>
      </c>
      <c r="M6" s="151"/>
      <c r="N6" s="151">
        <v>2</v>
      </c>
      <c r="O6" s="151">
        <v>0.5</v>
      </c>
      <c r="P6" s="151">
        <v>0.5</v>
      </c>
      <c r="Q6" s="152">
        <f t="shared" si="0"/>
        <v>0.5</v>
      </c>
      <c r="R6" s="151">
        <v>12.6</v>
      </c>
      <c r="S6" s="151">
        <v>133</v>
      </c>
      <c r="T6" s="153">
        <f t="shared" si="1"/>
        <v>25</v>
      </c>
      <c r="U6" s="151">
        <v>266</v>
      </c>
      <c r="V6" s="154">
        <f t="shared" si="2"/>
        <v>3325</v>
      </c>
      <c r="W6" s="151">
        <v>4</v>
      </c>
      <c r="X6" s="149" t="s">
        <v>39</v>
      </c>
      <c r="Y6" s="151" t="s">
        <v>90</v>
      </c>
      <c r="Z6" s="151" t="s">
        <v>84</v>
      </c>
      <c r="AA6" s="151" t="s">
        <v>69</v>
      </c>
      <c r="AB6" s="149" t="s">
        <v>282</v>
      </c>
      <c r="AC6" s="155"/>
      <c r="AE6" s="22" t="s">
        <v>56</v>
      </c>
      <c r="AG6" s="49" t="s">
        <v>289</v>
      </c>
      <c r="AH6" s="49" t="s">
        <v>290</v>
      </c>
      <c r="AJ6" s="27"/>
      <c r="AL6" s="29" t="s">
        <v>99</v>
      </c>
      <c r="AN6" s="29" t="s">
        <v>57</v>
      </c>
      <c r="AP6" s="23" t="s">
        <v>53</v>
      </c>
      <c r="AR6" s="41" t="s">
        <v>59</v>
      </c>
      <c r="AT6" s="151"/>
      <c r="AV6" s="41" t="s">
        <v>60</v>
      </c>
      <c r="AX6" s="24">
        <v>97</v>
      </c>
      <c r="AY6" s="25">
        <v>36</v>
      </c>
      <c r="AZ6" s="25">
        <v>99</v>
      </c>
      <c r="BA6" s="26">
        <v>33</v>
      </c>
    </row>
    <row r="7" spans="1:53" x14ac:dyDescent="0.15">
      <c r="A7" s="149" t="s">
        <v>61</v>
      </c>
      <c r="B7" s="149" t="s">
        <v>234</v>
      </c>
      <c r="C7" s="149">
        <v>2019</v>
      </c>
      <c r="D7" s="150" t="s">
        <v>159</v>
      </c>
      <c r="E7" s="149" t="s">
        <v>280</v>
      </c>
      <c r="F7" s="149" t="s">
        <v>281</v>
      </c>
      <c r="G7" s="149" t="s">
        <v>42</v>
      </c>
      <c r="H7" s="151" t="s">
        <v>127</v>
      </c>
      <c r="I7" s="151" t="s">
        <v>161</v>
      </c>
      <c r="J7" s="149" t="s">
        <v>58</v>
      </c>
      <c r="K7" s="151" t="s">
        <v>59</v>
      </c>
      <c r="L7" s="151">
        <v>3</v>
      </c>
      <c r="M7" s="151"/>
      <c r="N7" s="151">
        <v>2</v>
      </c>
      <c r="O7" s="151">
        <v>1</v>
      </c>
      <c r="P7" s="151">
        <v>0.9</v>
      </c>
      <c r="Q7" s="152">
        <f t="shared" si="0"/>
        <v>0.95</v>
      </c>
      <c r="R7" s="151">
        <v>16.899999999999999</v>
      </c>
      <c r="S7" s="151">
        <v>118</v>
      </c>
      <c r="T7" s="153">
        <f t="shared" si="1"/>
        <v>30</v>
      </c>
      <c r="U7" s="151">
        <v>266</v>
      </c>
      <c r="V7" s="154">
        <f t="shared" si="2"/>
        <v>3990</v>
      </c>
      <c r="W7" s="151">
        <v>4</v>
      </c>
      <c r="X7" s="149" t="s">
        <v>39</v>
      </c>
      <c r="Y7" s="151" t="s">
        <v>90</v>
      </c>
      <c r="Z7" s="151" t="s">
        <v>84</v>
      </c>
      <c r="AA7" s="151" t="s">
        <v>69</v>
      </c>
      <c r="AB7" s="149" t="s">
        <v>282</v>
      </c>
      <c r="AC7" s="155"/>
      <c r="AE7" s="22" t="s">
        <v>61</v>
      </c>
      <c r="AG7" s="49" t="s">
        <v>291</v>
      </c>
      <c r="AH7" s="49" t="s">
        <v>292</v>
      </c>
      <c r="AJ7" s="27"/>
      <c r="AL7" s="34" t="s">
        <v>109</v>
      </c>
      <c r="AN7" s="161"/>
      <c r="AP7" s="23" t="s">
        <v>58</v>
      </c>
      <c r="AR7" s="30" t="s">
        <v>122</v>
      </c>
      <c r="AT7" s="151"/>
      <c r="AV7" s="41" t="s">
        <v>64</v>
      </c>
      <c r="AX7" s="24">
        <v>109</v>
      </c>
      <c r="AY7" s="25">
        <v>33</v>
      </c>
      <c r="AZ7" s="25">
        <v>113</v>
      </c>
      <c r="BA7" s="26">
        <v>30</v>
      </c>
    </row>
    <row r="8" spans="1:53" x14ac:dyDescent="0.15">
      <c r="A8" s="149" t="s">
        <v>61</v>
      </c>
      <c r="B8" s="149" t="s">
        <v>234</v>
      </c>
      <c r="C8" s="149">
        <v>2019</v>
      </c>
      <c r="D8" s="150" t="s">
        <v>159</v>
      </c>
      <c r="E8" s="149" t="s">
        <v>283</v>
      </c>
      <c r="F8" s="149" t="s">
        <v>284</v>
      </c>
      <c r="G8" s="149" t="s">
        <v>42</v>
      </c>
      <c r="H8" s="151" t="s">
        <v>162</v>
      </c>
      <c r="I8" s="151" t="s">
        <v>161</v>
      </c>
      <c r="J8" s="149" t="s">
        <v>38</v>
      </c>
      <c r="K8" s="151" t="s">
        <v>163</v>
      </c>
      <c r="L8" s="151">
        <v>1</v>
      </c>
      <c r="M8" s="151"/>
      <c r="N8" s="151">
        <v>4</v>
      </c>
      <c r="O8" s="151">
        <v>0.5</v>
      </c>
      <c r="P8" s="151">
        <v>0.5</v>
      </c>
      <c r="Q8" s="152">
        <f t="shared" si="0"/>
        <v>0.5</v>
      </c>
      <c r="R8" s="151">
        <v>15.9</v>
      </c>
      <c r="S8" s="151">
        <v>111</v>
      </c>
      <c r="T8" s="153">
        <f t="shared" si="1"/>
        <v>33</v>
      </c>
      <c r="U8" s="151">
        <v>498</v>
      </c>
      <c r="V8" s="154">
        <f t="shared" si="2"/>
        <v>4108.5</v>
      </c>
      <c r="W8" s="151">
        <v>6</v>
      </c>
      <c r="X8" s="149" t="s">
        <v>46</v>
      </c>
      <c r="Y8" s="151" t="s">
        <v>84</v>
      </c>
      <c r="Z8" s="151" t="s">
        <v>69</v>
      </c>
      <c r="AA8" s="151" t="s">
        <v>55</v>
      </c>
      <c r="AB8" s="149" t="s">
        <v>282</v>
      </c>
      <c r="AC8" s="155"/>
      <c r="AE8" s="22" t="s">
        <v>59</v>
      </c>
      <c r="AG8" s="49" t="s">
        <v>293</v>
      </c>
      <c r="AH8" s="49" t="s">
        <v>294</v>
      </c>
      <c r="AJ8" s="28"/>
      <c r="AL8" s="34" t="s">
        <v>134</v>
      </c>
      <c r="AN8" s="29"/>
      <c r="AP8" s="23" t="s">
        <v>62</v>
      </c>
      <c r="AR8" s="41" t="s">
        <v>81</v>
      </c>
      <c r="AV8" s="41" t="s">
        <v>97</v>
      </c>
      <c r="AX8" s="24">
        <v>119</v>
      </c>
      <c r="AY8" s="25">
        <v>30</v>
      </c>
      <c r="AZ8" s="25">
        <v>121</v>
      </c>
      <c r="BA8" s="26">
        <v>27</v>
      </c>
    </row>
    <row r="9" spans="1:53" x14ac:dyDescent="0.15">
      <c r="A9" s="149" t="s">
        <v>61</v>
      </c>
      <c r="B9" s="149" t="s">
        <v>234</v>
      </c>
      <c r="C9" s="149">
        <v>2019</v>
      </c>
      <c r="D9" s="150" t="s">
        <v>159</v>
      </c>
      <c r="E9" s="149" t="s">
        <v>283</v>
      </c>
      <c r="F9" s="149" t="s">
        <v>284</v>
      </c>
      <c r="G9" s="149" t="s">
        <v>42</v>
      </c>
      <c r="H9" s="151" t="s">
        <v>162</v>
      </c>
      <c r="I9" s="151" t="s">
        <v>161</v>
      </c>
      <c r="J9" s="149" t="s">
        <v>38</v>
      </c>
      <c r="K9" s="151" t="s">
        <v>163</v>
      </c>
      <c r="L9" s="151">
        <v>2</v>
      </c>
      <c r="M9" s="151"/>
      <c r="N9" s="151">
        <v>4</v>
      </c>
      <c r="O9" s="151">
        <v>0.5</v>
      </c>
      <c r="P9" s="151">
        <v>0.5</v>
      </c>
      <c r="Q9" s="152">
        <f t="shared" si="0"/>
        <v>0.5</v>
      </c>
      <c r="R9" s="155">
        <v>17</v>
      </c>
      <c r="S9" s="151">
        <v>109</v>
      </c>
      <c r="T9" s="153">
        <f t="shared" si="1"/>
        <v>33</v>
      </c>
      <c r="U9" s="151">
        <v>498</v>
      </c>
      <c r="V9" s="154">
        <f t="shared" si="2"/>
        <v>4108.5</v>
      </c>
      <c r="W9" s="151">
        <v>6</v>
      </c>
      <c r="X9" s="149" t="s">
        <v>46</v>
      </c>
      <c r="Y9" s="151" t="s">
        <v>84</v>
      </c>
      <c r="Z9" s="151" t="s">
        <v>69</v>
      </c>
      <c r="AA9" s="151" t="s">
        <v>55</v>
      </c>
      <c r="AB9" s="149" t="s">
        <v>282</v>
      </c>
      <c r="AC9" s="155"/>
      <c r="AE9" s="22" t="s">
        <v>98</v>
      </c>
      <c r="AG9" s="49" t="s">
        <v>133</v>
      </c>
      <c r="AH9" s="49" t="s">
        <v>295</v>
      </c>
      <c r="AL9" s="29"/>
      <c r="AN9" s="29"/>
      <c r="AP9" s="23" t="s">
        <v>95</v>
      </c>
      <c r="AR9" s="30" t="s">
        <v>89</v>
      </c>
      <c r="AV9" s="41" t="s">
        <v>102</v>
      </c>
      <c r="AX9" s="24">
        <v>128</v>
      </c>
      <c r="AY9" s="25">
        <v>27</v>
      </c>
      <c r="AZ9" s="25">
        <v>129</v>
      </c>
      <c r="BA9" s="26">
        <v>25</v>
      </c>
    </row>
    <row r="10" spans="1:53" x14ac:dyDescent="0.15">
      <c r="A10" s="149" t="s">
        <v>61</v>
      </c>
      <c r="B10" s="149" t="s">
        <v>234</v>
      </c>
      <c r="C10" s="149">
        <v>2019</v>
      </c>
      <c r="D10" s="150" t="s">
        <v>159</v>
      </c>
      <c r="E10" s="149" t="s">
        <v>283</v>
      </c>
      <c r="F10" s="149" t="s">
        <v>284</v>
      </c>
      <c r="G10" s="149" t="s">
        <v>42</v>
      </c>
      <c r="H10" s="151" t="s">
        <v>162</v>
      </c>
      <c r="I10" s="151" t="s">
        <v>161</v>
      </c>
      <c r="J10" s="149" t="s">
        <v>38</v>
      </c>
      <c r="K10" s="151" t="s">
        <v>163</v>
      </c>
      <c r="L10" s="151">
        <v>3</v>
      </c>
      <c r="M10" s="151"/>
      <c r="N10" s="151">
        <v>4</v>
      </c>
      <c r="O10" s="151">
        <v>0.5</v>
      </c>
      <c r="P10" s="151">
        <v>0.5</v>
      </c>
      <c r="Q10" s="152">
        <f t="shared" si="0"/>
        <v>0.5</v>
      </c>
      <c r="R10" s="151">
        <v>17.3</v>
      </c>
      <c r="S10" s="151">
        <v>113</v>
      </c>
      <c r="T10" s="153">
        <f t="shared" si="1"/>
        <v>30</v>
      </c>
      <c r="U10" s="151">
        <v>498</v>
      </c>
      <c r="V10" s="154">
        <f t="shared" si="2"/>
        <v>3735</v>
      </c>
      <c r="W10" s="151">
        <v>6</v>
      </c>
      <c r="X10" s="149" t="s">
        <v>46</v>
      </c>
      <c r="Y10" s="151" t="s">
        <v>84</v>
      </c>
      <c r="Z10" s="151" t="s">
        <v>69</v>
      </c>
      <c r="AA10" s="151" t="s">
        <v>55</v>
      </c>
      <c r="AB10" s="149" t="s">
        <v>282</v>
      </c>
      <c r="AC10" s="155"/>
      <c r="AE10" s="22" t="s">
        <v>103</v>
      </c>
      <c r="AG10" s="49" t="s">
        <v>296</v>
      </c>
      <c r="AH10" s="49" t="s">
        <v>297</v>
      </c>
      <c r="AL10" s="27"/>
      <c r="AP10" s="23" t="s">
        <v>100</v>
      </c>
      <c r="AR10" s="30" t="s">
        <v>123</v>
      </c>
      <c r="AV10" s="41" t="s">
        <v>106</v>
      </c>
      <c r="AX10" s="24">
        <v>138</v>
      </c>
      <c r="AY10" s="25">
        <v>25</v>
      </c>
      <c r="AZ10" s="25">
        <v>138</v>
      </c>
      <c r="BA10" s="26">
        <v>22</v>
      </c>
    </row>
    <row r="11" spans="1:53" x14ac:dyDescent="0.15">
      <c r="A11" s="149" t="s">
        <v>61</v>
      </c>
      <c r="B11" s="149" t="s">
        <v>234</v>
      </c>
      <c r="C11" s="149">
        <v>2019</v>
      </c>
      <c r="D11" s="150" t="s">
        <v>159</v>
      </c>
      <c r="E11" s="149" t="s">
        <v>283</v>
      </c>
      <c r="F11" s="149" t="s">
        <v>284</v>
      </c>
      <c r="G11" s="149" t="s">
        <v>42</v>
      </c>
      <c r="H11" s="151" t="s">
        <v>127</v>
      </c>
      <c r="I11" s="151" t="s">
        <v>161</v>
      </c>
      <c r="J11" s="149" t="s">
        <v>58</v>
      </c>
      <c r="K11" s="151" t="s">
        <v>59</v>
      </c>
      <c r="L11" s="151">
        <v>1</v>
      </c>
      <c r="M11" s="151"/>
      <c r="N11" s="151">
        <v>4</v>
      </c>
      <c r="O11" s="151">
        <v>0.5</v>
      </c>
      <c r="P11" s="151">
        <v>0.5</v>
      </c>
      <c r="Q11" s="152">
        <f t="shared" si="0"/>
        <v>0.5</v>
      </c>
      <c r="R11" s="151">
        <v>12.2</v>
      </c>
      <c r="S11" s="151">
        <v>75</v>
      </c>
      <c r="T11" s="153">
        <f t="shared" si="1"/>
        <v>42</v>
      </c>
      <c r="U11" s="151">
        <v>398</v>
      </c>
      <c r="V11" s="154">
        <f t="shared" si="2"/>
        <v>4179</v>
      </c>
      <c r="W11" s="151">
        <v>6</v>
      </c>
      <c r="X11" s="149" t="s">
        <v>46</v>
      </c>
      <c r="Y11" s="151" t="s">
        <v>84</v>
      </c>
      <c r="Z11" s="151" t="s">
        <v>69</v>
      </c>
      <c r="AA11" s="151" t="s">
        <v>55</v>
      </c>
      <c r="AB11" s="149" t="s">
        <v>282</v>
      </c>
      <c r="AC11" s="155"/>
      <c r="AE11" s="22" t="s">
        <v>65</v>
      </c>
      <c r="AG11" s="49" t="s">
        <v>298</v>
      </c>
      <c r="AH11" s="49" t="s">
        <v>297</v>
      </c>
      <c r="AL11" s="162"/>
      <c r="AP11" s="23" t="s">
        <v>104</v>
      </c>
      <c r="AR11" s="30" t="s">
        <v>87</v>
      </c>
      <c r="AV11" s="163" t="s">
        <v>299</v>
      </c>
      <c r="AX11" s="24">
        <v>151</v>
      </c>
      <c r="AY11" s="25">
        <v>22</v>
      </c>
      <c r="AZ11" s="25">
        <v>152</v>
      </c>
      <c r="BA11" s="26">
        <v>18</v>
      </c>
    </row>
    <row r="12" spans="1:53" x14ac:dyDescent="0.15">
      <c r="A12" s="149" t="s">
        <v>61</v>
      </c>
      <c r="B12" s="149" t="s">
        <v>234</v>
      </c>
      <c r="C12" s="149">
        <v>2019</v>
      </c>
      <c r="D12" s="150" t="s">
        <v>159</v>
      </c>
      <c r="E12" s="149" t="s">
        <v>283</v>
      </c>
      <c r="F12" s="149" t="s">
        <v>284</v>
      </c>
      <c r="G12" s="149" t="s">
        <v>42</v>
      </c>
      <c r="H12" s="151" t="s">
        <v>127</v>
      </c>
      <c r="I12" s="151" t="s">
        <v>161</v>
      </c>
      <c r="J12" s="149" t="s">
        <v>58</v>
      </c>
      <c r="K12" s="151" t="s">
        <v>59</v>
      </c>
      <c r="L12" s="151">
        <v>2</v>
      </c>
      <c r="M12" s="151"/>
      <c r="N12" s="151">
        <v>4</v>
      </c>
      <c r="O12" s="151">
        <v>0.5</v>
      </c>
      <c r="P12" s="151">
        <v>0.5</v>
      </c>
      <c r="Q12" s="152">
        <f t="shared" si="0"/>
        <v>0.5</v>
      </c>
      <c r="R12" s="155">
        <v>15.6</v>
      </c>
      <c r="S12" s="151">
        <v>77</v>
      </c>
      <c r="T12" s="153">
        <f t="shared" si="1"/>
        <v>39</v>
      </c>
      <c r="U12" s="151">
        <v>398</v>
      </c>
      <c r="V12" s="154">
        <f t="shared" si="2"/>
        <v>3880.5</v>
      </c>
      <c r="W12" s="151">
        <v>6</v>
      </c>
      <c r="X12" s="149" t="s">
        <v>46</v>
      </c>
      <c r="Y12" s="151" t="s">
        <v>84</v>
      </c>
      <c r="Z12" s="151" t="s">
        <v>69</v>
      </c>
      <c r="AA12" s="151" t="s">
        <v>55</v>
      </c>
      <c r="AB12" s="149" t="s">
        <v>282</v>
      </c>
      <c r="AC12" s="155"/>
      <c r="AE12" s="22" t="s">
        <v>70</v>
      </c>
      <c r="AG12" s="23"/>
      <c r="AH12" s="22"/>
      <c r="AL12" s="162"/>
      <c r="AP12" s="23" t="s">
        <v>67</v>
      </c>
      <c r="AR12" s="30" t="s">
        <v>124</v>
      </c>
      <c r="AV12" s="163" t="s">
        <v>300</v>
      </c>
      <c r="AX12" s="24">
        <v>180</v>
      </c>
      <c r="AY12" s="25">
        <v>18</v>
      </c>
      <c r="AZ12" s="25">
        <v>181</v>
      </c>
      <c r="BA12" s="26">
        <v>16</v>
      </c>
    </row>
    <row r="13" spans="1:53" x14ac:dyDescent="0.15">
      <c r="A13" s="149" t="s">
        <v>61</v>
      </c>
      <c r="B13" s="149" t="s">
        <v>234</v>
      </c>
      <c r="C13" s="149">
        <v>2019</v>
      </c>
      <c r="D13" s="150" t="s">
        <v>159</v>
      </c>
      <c r="E13" s="149" t="s">
        <v>283</v>
      </c>
      <c r="F13" s="149" t="s">
        <v>284</v>
      </c>
      <c r="G13" s="149" t="s">
        <v>42</v>
      </c>
      <c r="H13" s="151" t="s">
        <v>127</v>
      </c>
      <c r="I13" s="151" t="s">
        <v>161</v>
      </c>
      <c r="J13" s="149" t="s">
        <v>58</v>
      </c>
      <c r="K13" s="151" t="s">
        <v>59</v>
      </c>
      <c r="L13" s="151">
        <v>3</v>
      </c>
      <c r="M13" s="151"/>
      <c r="N13" s="151">
        <v>4</v>
      </c>
      <c r="O13" s="151">
        <v>1.1000000000000001</v>
      </c>
      <c r="P13" s="151">
        <v>1.1499999999999999</v>
      </c>
      <c r="Q13" s="152">
        <f t="shared" si="0"/>
        <v>1.125</v>
      </c>
      <c r="R13" s="151">
        <v>12.1</v>
      </c>
      <c r="S13" s="151">
        <v>69</v>
      </c>
      <c r="T13" s="153">
        <f t="shared" si="1"/>
        <v>50</v>
      </c>
      <c r="U13" s="151">
        <v>398</v>
      </c>
      <c r="V13" s="154">
        <f t="shared" si="2"/>
        <v>4975</v>
      </c>
      <c r="W13" s="151">
        <v>6</v>
      </c>
      <c r="X13" s="149" t="s">
        <v>46</v>
      </c>
      <c r="Y13" s="151" t="s">
        <v>84</v>
      </c>
      <c r="Z13" s="151" t="s">
        <v>69</v>
      </c>
      <c r="AA13" s="151" t="s">
        <v>55</v>
      </c>
      <c r="AB13" s="149" t="s">
        <v>282</v>
      </c>
      <c r="AC13" s="155"/>
      <c r="AE13" s="22" t="s">
        <v>73</v>
      </c>
      <c r="AG13" s="23"/>
      <c r="AH13" s="22"/>
      <c r="AL13" s="164"/>
      <c r="AP13" s="23" t="s">
        <v>71</v>
      </c>
      <c r="AR13" s="30" t="s">
        <v>103</v>
      </c>
      <c r="AV13" s="163" t="s">
        <v>301</v>
      </c>
      <c r="AX13" s="24"/>
      <c r="AY13" s="25"/>
      <c r="AZ13" s="25"/>
      <c r="BA13" s="26"/>
    </row>
    <row r="14" spans="1:53" x14ac:dyDescent="0.15">
      <c r="A14" s="149" t="s">
        <v>61</v>
      </c>
      <c r="B14" s="149" t="s">
        <v>234</v>
      </c>
      <c r="C14" s="149">
        <v>2019</v>
      </c>
      <c r="D14" s="150" t="s">
        <v>159</v>
      </c>
      <c r="E14" s="149" t="s">
        <v>285</v>
      </c>
      <c r="F14" s="149" t="s">
        <v>286</v>
      </c>
      <c r="G14" s="149" t="s">
        <v>42</v>
      </c>
      <c r="H14" s="151" t="s">
        <v>162</v>
      </c>
      <c r="I14" s="151" t="s">
        <v>161</v>
      </c>
      <c r="J14" s="149" t="s">
        <v>38</v>
      </c>
      <c r="K14" s="151" t="s">
        <v>163</v>
      </c>
      <c r="L14" s="151">
        <v>1</v>
      </c>
      <c r="M14" s="151"/>
      <c r="N14" s="151">
        <v>1</v>
      </c>
      <c r="O14" s="151">
        <v>0.5</v>
      </c>
      <c r="P14" s="151">
        <v>0.5</v>
      </c>
      <c r="Q14" s="152">
        <f t="shared" si="0"/>
        <v>0.5</v>
      </c>
      <c r="R14" s="151">
        <v>17.5</v>
      </c>
      <c r="S14" s="151">
        <v>181</v>
      </c>
      <c r="T14" s="153">
        <f t="shared" si="1"/>
        <v>16</v>
      </c>
      <c r="U14" s="151">
        <v>128</v>
      </c>
      <c r="V14" s="154">
        <f t="shared" si="2"/>
        <v>2048</v>
      </c>
      <c r="W14" s="151">
        <v>11</v>
      </c>
      <c r="X14" s="149" t="s">
        <v>46</v>
      </c>
      <c r="Y14" s="151" t="s">
        <v>55</v>
      </c>
      <c r="Z14" s="151" t="s">
        <v>84</v>
      </c>
      <c r="AA14" s="151" t="s">
        <v>69</v>
      </c>
      <c r="AB14" s="149" t="s">
        <v>282</v>
      </c>
      <c r="AC14" s="155"/>
      <c r="AE14" s="22" t="s">
        <v>76</v>
      </c>
      <c r="AG14" s="23"/>
      <c r="AH14" s="22"/>
      <c r="AL14" s="34"/>
      <c r="AP14" s="23" t="s">
        <v>74</v>
      </c>
      <c r="AR14" s="30" t="s">
        <v>125</v>
      </c>
      <c r="AV14" s="163" t="s">
        <v>302</v>
      </c>
      <c r="AX14" s="24"/>
      <c r="AY14" s="25"/>
      <c r="AZ14" s="25"/>
      <c r="BA14" s="26"/>
    </row>
    <row r="15" spans="1:53" x14ac:dyDescent="0.15">
      <c r="A15" s="149" t="s">
        <v>61</v>
      </c>
      <c r="B15" s="149" t="s">
        <v>234</v>
      </c>
      <c r="C15" s="149">
        <v>2019</v>
      </c>
      <c r="D15" s="150" t="s">
        <v>159</v>
      </c>
      <c r="E15" s="149" t="s">
        <v>285</v>
      </c>
      <c r="F15" s="149" t="s">
        <v>286</v>
      </c>
      <c r="G15" s="149" t="s">
        <v>42</v>
      </c>
      <c r="H15" s="151" t="s">
        <v>162</v>
      </c>
      <c r="I15" s="151" t="s">
        <v>161</v>
      </c>
      <c r="J15" s="149" t="s">
        <v>38</v>
      </c>
      <c r="K15" s="151" t="s">
        <v>163</v>
      </c>
      <c r="L15" s="151">
        <v>2</v>
      </c>
      <c r="M15" s="151"/>
      <c r="N15" s="151">
        <v>1</v>
      </c>
      <c r="O15" s="151">
        <v>0.55000000000000004</v>
      </c>
      <c r="P15" s="151">
        <v>0.6</v>
      </c>
      <c r="Q15" s="152">
        <f t="shared" si="0"/>
        <v>0.57499999999999996</v>
      </c>
      <c r="R15" s="155">
        <v>18.100000000000001</v>
      </c>
      <c r="S15" s="151">
        <v>200</v>
      </c>
      <c r="T15" s="153">
        <f t="shared" si="1"/>
        <v>16</v>
      </c>
      <c r="U15" s="151">
        <v>128</v>
      </c>
      <c r="V15" s="154">
        <f t="shared" si="2"/>
        <v>2048</v>
      </c>
      <c r="W15" s="151">
        <v>11</v>
      </c>
      <c r="X15" s="149" t="s">
        <v>46</v>
      </c>
      <c r="Y15" s="151" t="s">
        <v>55</v>
      </c>
      <c r="Z15" s="151" t="s">
        <v>84</v>
      </c>
      <c r="AA15" s="151" t="s">
        <v>69</v>
      </c>
      <c r="AB15" s="149" t="s">
        <v>282</v>
      </c>
      <c r="AC15" s="155"/>
      <c r="AE15" s="22" t="s">
        <v>79</v>
      </c>
      <c r="AG15" s="23"/>
      <c r="AH15" s="23"/>
      <c r="AL15" s="34"/>
      <c r="AP15" s="23" t="s">
        <v>77</v>
      </c>
      <c r="AR15" s="30" t="s">
        <v>94</v>
      </c>
      <c r="AV15" s="163" t="s">
        <v>303</v>
      </c>
      <c r="AX15" s="31"/>
      <c r="AY15" s="32"/>
      <c r="AZ15" s="32"/>
      <c r="BA15" s="33"/>
    </row>
    <row r="16" spans="1:53" x14ac:dyDescent="0.15">
      <c r="A16" s="149" t="s">
        <v>61</v>
      </c>
      <c r="B16" s="149" t="s">
        <v>234</v>
      </c>
      <c r="C16" s="149">
        <v>2019</v>
      </c>
      <c r="D16" s="150" t="s">
        <v>159</v>
      </c>
      <c r="E16" s="149" t="s">
        <v>285</v>
      </c>
      <c r="F16" s="149" t="s">
        <v>286</v>
      </c>
      <c r="G16" s="149" t="s">
        <v>42</v>
      </c>
      <c r="H16" s="151" t="s">
        <v>162</v>
      </c>
      <c r="I16" s="151" t="s">
        <v>161</v>
      </c>
      <c r="J16" s="149" t="s">
        <v>38</v>
      </c>
      <c r="K16" s="151" t="s">
        <v>163</v>
      </c>
      <c r="L16" s="151">
        <v>3</v>
      </c>
      <c r="M16" s="151"/>
      <c r="N16" s="151">
        <v>1</v>
      </c>
      <c r="O16" s="151">
        <v>0.5</v>
      </c>
      <c r="P16" s="151">
        <v>0.5</v>
      </c>
      <c r="Q16" s="152">
        <f t="shared" si="0"/>
        <v>0.5</v>
      </c>
      <c r="R16" s="151">
        <v>17.899999999999999</v>
      </c>
      <c r="S16" s="151">
        <v>168</v>
      </c>
      <c r="T16" s="153">
        <f t="shared" si="1"/>
        <v>18</v>
      </c>
      <c r="U16" s="151">
        <v>128</v>
      </c>
      <c r="V16" s="154">
        <f t="shared" si="2"/>
        <v>2304</v>
      </c>
      <c r="W16" s="151">
        <v>11</v>
      </c>
      <c r="X16" s="149" t="s">
        <v>46</v>
      </c>
      <c r="Y16" s="151" t="s">
        <v>55</v>
      </c>
      <c r="Z16" s="151" t="s">
        <v>84</v>
      </c>
      <c r="AA16" s="151" t="s">
        <v>69</v>
      </c>
      <c r="AB16" s="149" t="s">
        <v>282</v>
      </c>
      <c r="AC16" s="155"/>
      <c r="AE16" s="22" t="s">
        <v>82</v>
      </c>
      <c r="AG16" s="23"/>
      <c r="AH16" s="23"/>
      <c r="AP16" s="23" t="s">
        <v>80</v>
      </c>
      <c r="AR16" s="41" t="s">
        <v>63</v>
      </c>
      <c r="AV16" s="163" t="s">
        <v>304</v>
      </c>
    </row>
    <row r="17" spans="1:48" x14ac:dyDescent="0.15">
      <c r="A17" s="149" t="s">
        <v>61</v>
      </c>
      <c r="B17" s="149" t="s">
        <v>234</v>
      </c>
      <c r="C17" s="149">
        <v>2019</v>
      </c>
      <c r="D17" s="150" t="s">
        <v>159</v>
      </c>
      <c r="E17" s="149" t="s">
        <v>285</v>
      </c>
      <c r="F17" s="149" t="s">
        <v>286</v>
      </c>
      <c r="G17" s="149" t="s">
        <v>42</v>
      </c>
      <c r="H17" s="151" t="s">
        <v>127</v>
      </c>
      <c r="I17" s="151" t="s">
        <v>161</v>
      </c>
      <c r="J17" s="149" t="s">
        <v>80</v>
      </c>
      <c r="K17" s="151" t="s">
        <v>94</v>
      </c>
      <c r="L17" s="151">
        <v>1</v>
      </c>
      <c r="M17" s="151"/>
      <c r="N17" s="151">
        <v>1</v>
      </c>
      <c r="O17" s="151">
        <v>0.5</v>
      </c>
      <c r="P17" s="151">
        <v>0.5</v>
      </c>
      <c r="Q17" s="152">
        <f t="shared" si="0"/>
        <v>0.5</v>
      </c>
      <c r="R17" s="151">
        <v>11.6</v>
      </c>
      <c r="S17" s="151">
        <v>113</v>
      </c>
      <c r="T17" s="153">
        <f t="shared" si="1"/>
        <v>30</v>
      </c>
      <c r="U17" s="151">
        <v>128</v>
      </c>
      <c r="V17" s="154">
        <f t="shared" si="2"/>
        <v>3840</v>
      </c>
      <c r="W17" s="151">
        <v>11</v>
      </c>
      <c r="X17" s="149" t="s">
        <v>46</v>
      </c>
      <c r="Y17" s="151" t="s">
        <v>55</v>
      </c>
      <c r="Z17" s="151" t="s">
        <v>84</v>
      </c>
      <c r="AA17" s="151" t="s">
        <v>69</v>
      </c>
      <c r="AB17" s="149" t="s">
        <v>282</v>
      </c>
      <c r="AC17" s="155"/>
      <c r="AE17" s="22" t="s">
        <v>85</v>
      </c>
      <c r="AP17" s="43" t="s">
        <v>110</v>
      </c>
      <c r="AR17" s="41" t="s">
        <v>96</v>
      </c>
      <c r="AV17" s="163" t="s">
        <v>252</v>
      </c>
    </row>
    <row r="18" spans="1:48" x14ac:dyDescent="0.15">
      <c r="A18" s="149" t="s">
        <v>61</v>
      </c>
      <c r="B18" s="149" t="s">
        <v>234</v>
      </c>
      <c r="C18" s="149">
        <v>2019</v>
      </c>
      <c r="D18" s="150" t="s">
        <v>159</v>
      </c>
      <c r="E18" s="149" t="s">
        <v>285</v>
      </c>
      <c r="F18" s="149" t="s">
        <v>286</v>
      </c>
      <c r="G18" s="149" t="s">
        <v>42</v>
      </c>
      <c r="H18" s="151" t="s">
        <v>127</v>
      </c>
      <c r="I18" s="151" t="s">
        <v>161</v>
      </c>
      <c r="J18" s="149" t="s">
        <v>80</v>
      </c>
      <c r="K18" s="151" t="s">
        <v>94</v>
      </c>
      <c r="L18" s="151">
        <v>2</v>
      </c>
      <c r="M18" s="151"/>
      <c r="N18" s="151">
        <v>1</v>
      </c>
      <c r="O18" s="151">
        <v>1.1499999999999999</v>
      </c>
      <c r="P18" s="151">
        <v>1.2</v>
      </c>
      <c r="Q18" s="152">
        <f t="shared" si="0"/>
        <v>1.1749999999999998</v>
      </c>
      <c r="R18" s="155">
        <v>14.6</v>
      </c>
      <c r="S18" s="151">
        <v>110</v>
      </c>
      <c r="T18" s="153">
        <f t="shared" si="1"/>
        <v>33</v>
      </c>
      <c r="U18" s="151">
        <v>128</v>
      </c>
      <c r="V18" s="154">
        <f t="shared" si="2"/>
        <v>4224</v>
      </c>
      <c r="W18" s="151">
        <v>11</v>
      </c>
      <c r="X18" s="149" t="s">
        <v>46</v>
      </c>
      <c r="Y18" s="151" t="s">
        <v>55</v>
      </c>
      <c r="Z18" s="151" t="s">
        <v>84</v>
      </c>
      <c r="AA18" s="151" t="s">
        <v>69</v>
      </c>
      <c r="AB18" s="149" t="s">
        <v>282</v>
      </c>
      <c r="AC18" s="155"/>
      <c r="AE18" s="22" t="s">
        <v>87</v>
      </c>
      <c r="AP18" s="43" t="s">
        <v>111</v>
      </c>
      <c r="AR18" s="41" t="s">
        <v>101</v>
      </c>
      <c r="AV18" s="163" t="s">
        <v>135</v>
      </c>
    </row>
    <row r="19" spans="1:48" x14ac:dyDescent="0.15">
      <c r="A19" s="149" t="s">
        <v>61</v>
      </c>
      <c r="B19" s="149" t="s">
        <v>234</v>
      </c>
      <c r="C19" s="149">
        <v>2019</v>
      </c>
      <c r="D19" s="150" t="s">
        <v>159</v>
      </c>
      <c r="E19" s="149" t="s">
        <v>285</v>
      </c>
      <c r="F19" s="149" t="s">
        <v>286</v>
      </c>
      <c r="G19" s="149" t="s">
        <v>42</v>
      </c>
      <c r="H19" s="151" t="s">
        <v>127</v>
      </c>
      <c r="I19" s="151" t="s">
        <v>161</v>
      </c>
      <c r="J19" s="149" t="s">
        <v>80</v>
      </c>
      <c r="K19" s="151" t="s">
        <v>94</v>
      </c>
      <c r="L19" s="151">
        <v>3</v>
      </c>
      <c r="M19" s="151"/>
      <c r="N19" s="151">
        <v>1</v>
      </c>
      <c r="O19" s="155">
        <v>0.75</v>
      </c>
      <c r="P19" s="151">
        <v>0.5</v>
      </c>
      <c r="Q19" s="152">
        <f t="shared" si="0"/>
        <v>0.625</v>
      </c>
      <c r="R19" s="151">
        <v>11.4</v>
      </c>
      <c r="S19" s="151">
        <v>111</v>
      </c>
      <c r="T19" s="153">
        <f t="shared" si="1"/>
        <v>33</v>
      </c>
      <c r="U19" s="151">
        <v>128</v>
      </c>
      <c r="V19" s="154">
        <f t="shared" si="2"/>
        <v>4224</v>
      </c>
      <c r="W19" s="151">
        <v>11</v>
      </c>
      <c r="X19" s="149" t="s">
        <v>46</v>
      </c>
      <c r="Y19" s="151" t="s">
        <v>55</v>
      </c>
      <c r="Z19" s="151" t="s">
        <v>84</v>
      </c>
      <c r="AA19" s="151" t="s">
        <v>69</v>
      </c>
      <c r="AB19" s="149" t="s">
        <v>282</v>
      </c>
      <c r="AC19" s="155"/>
      <c r="AE19" s="35" t="s">
        <v>89</v>
      </c>
      <c r="AP19" s="43" t="s">
        <v>112</v>
      </c>
      <c r="AR19" s="30" t="s">
        <v>126</v>
      </c>
      <c r="AV19" s="163" t="s">
        <v>305</v>
      </c>
    </row>
    <row r="20" spans="1:48" x14ac:dyDescent="0.15">
      <c r="A20" s="149" t="s">
        <v>61</v>
      </c>
      <c r="B20" s="149" t="s">
        <v>234</v>
      </c>
      <c r="C20" s="149">
        <v>2019</v>
      </c>
      <c r="D20" s="150" t="s">
        <v>159</v>
      </c>
      <c r="E20" s="149" t="s">
        <v>287</v>
      </c>
      <c r="F20" s="149" t="s">
        <v>288</v>
      </c>
      <c r="G20" s="149" t="s">
        <v>42</v>
      </c>
      <c r="H20" s="151" t="s">
        <v>162</v>
      </c>
      <c r="I20" s="151" t="s">
        <v>161</v>
      </c>
      <c r="J20" s="149" t="s">
        <v>38</v>
      </c>
      <c r="K20" s="151" t="s">
        <v>163</v>
      </c>
      <c r="L20" s="151">
        <v>1</v>
      </c>
      <c r="M20" s="151"/>
      <c r="N20" s="151">
        <v>1</v>
      </c>
      <c r="O20" s="151">
        <v>0.5</v>
      </c>
      <c r="P20" s="151">
        <v>0.5</v>
      </c>
      <c r="Q20" s="152">
        <f t="shared" si="0"/>
        <v>0.5</v>
      </c>
      <c r="R20" s="151">
        <v>19</v>
      </c>
      <c r="S20" s="151">
        <v>126</v>
      </c>
      <c r="T20" s="153">
        <f t="shared" si="1"/>
        <v>27</v>
      </c>
      <c r="U20" s="151">
        <v>98</v>
      </c>
      <c r="V20" s="154">
        <f t="shared" si="2"/>
        <v>2646</v>
      </c>
      <c r="W20" s="151">
        <v>10</v>
      </c>
      <c r="X20" s="149" t="s">
        <v>46</v>
      </c>
      <c r="Y20" s="151" t="s">
        <v>69</v>
      </c>
      <c r="Z20" s="151" t="s">
        <v>40</v>
      </c>
      <c r="AA20" s="151" t="s">
        <v>84</v>
      </c>
      <c r="AB20" s="149" t="s">
        <v>282</v>
      </c>
      <c r="AC20" s="155"/>
      <c r="AE20" s="22"/>
      <c r="AG20" s="151"/>
      <c r="AH20" s="151"/>
      <c r="AJ20" s="151"/>
      <c r="AL20" s="151"/>
      <c r="AN20" s="151"/>
      <c r="AP20" s="43" t="s">
        <v>113</v>
      </c>
      <c r="AR20" s="41" t="s">
        <v>105</v>
      </c>
      <c r="AT20" s="151"/>
      <c r="AV20" s="163" t="s">
        <v>306</v>
      </c>
    </row>
    <row r="21" spans="1:48" x14ac:dyDescent="0.15">
      <c r="A21" s="149" t="s">
        <v>61</v>
      </c>
      <c r="B21" s="149" t="s">
        <v>234</v>
      </c>
      <c r="C21" s="149">
        <v>2019</v>
      </c>
      <c r="D21" s="150" t="s">
        <v>159</v>
      </c>
      <c r="E21" s="149" t="s">
        <v>287</v>
      </c>
      <c r="F21" s="149" t="s">
        <v>288</v>
      </c>
      <c r="G21" s="149" t="s">
        <v>42</v>
      </c>
      <c r="H21" s="151" t="s">
        <v>162</v>
      </c>
      <c r="I21" s="151" t="s">
        <v>161</v>
      </c>
      <c r="J21" s="149" t="s">
        <v>38</v>
      </c>
      <c r="K21" s="151" t="s">
        <v>163</v>
      </c>
      <c r="L21" s="151">
        <v>2</v>
      </c>
      <c r="M21" s="151"/>
      <c r="N21" s="151">
        <v>1</v>
      </c>
      <c r="O21" s="151">
        <v>0.5</v>
      </c>
      <c r="P21" s="151">
        <v>0.5</v>
      </c>
      <c r="Q21" s="152">
        <f t="shared" si="0"/>
        <v>0.5</v>
      </c>
      <c r="R21" s="151">
        <v>19</v>
      </c>
      <c r="S21" s="151">
        <v>125</v>
      </c>
      <c r="T21" s="153">
        <f t="shared" si="1"/>
        <v>27</v>
      </c>
      <c r="U21" s="151">
        <v>98</v>
      </c>
      <c r="V21" s="154">
        <f t="shared" si="2"/>
        <v>2646</v>
      </c>
      <c r="W21" s="151">
        <v>10</v>
      </c>
      <c r="X21" s="149" t="s">
        <v>46</v>
      </c>
      <c r="Y21" s="151" t="s">
        <v>69</v>
      </c>
      <c r="Z21" s="151" t="s">
        <v>40</v>
      </c>
      <c r="AA21" s="151" t="s">
        <v>84</v>
      </c>
      <c r="AB21" s="149" t="s">
        <v>282</v>
      </c>
      <c r="AC21" s="155"/>
      <c r="AE21" s="22"/>
      <c r="AG21" s="151"/>
      <c r="AH21" s="151"/>
      <c r="AJ21" s="151"/>
      <c r="AL21" s="151"/>
      <c r="AN21" s="151"/>
      <c r="AP21" s="43" t="s">
        <v>114</v>
      </c>
      <c r="AR21" s="41" t="s">
        <v>68</v>
      </c>
      <c r="AT21" s="151"/>
      <c r="AV21" s="163" t="s">
        <v>307</v>
      </c>
    </row>
    <row r="22" spans="1:48" x14ac:dyDescent="0.15">
      <c r="A22" s="149" t="s">
        <v>61</v>
      </c>
      <c r="B22" s="149" t="s">
        <v>234</v>
      </c>
      <c r="C22" s="149">
        <v>2019</v>
      </c>
      <c r="D22" s="150" t="s">
        <v>159</v>
      </c>
      <c r="E22" s="149" t="s">
        <v>287</v>
      </c>
      <c r="F22" s="149" t="s">
        <v>288</v>
      </c>
      <c r="G22" s="149" t="s">
        <v>42</v>
      </c>
      <c r="H22" s="151" t="s">
        <v>162</v>
      </c>
      <c r="I22" s="151" t="s">
        <v>161</v>
      </c>
      <c r="J22" s="149" t="s">
        <v>38</v>
      </c>
      <c r="K22" s="151" t="s">
        <v>163</v>
      </c>
      <c r="L22" s="151">
        <v>3</v>
      </c>
      <c r="M22" s="151"/>
      <c r="N22" s="151">
        <v>1</v>
      </c>
      <c r="O22" s="151">
        <v>0.5</v>
      </c>
      <c r="P22" s="151">
        <v>0.5</v>
      </c>
      <c r="Q22" s="152">
        <f t="shared" si="0"/>
        <v>0.5</v>
      </c>
      <c r="R22" s="151">
        <v>17.899999999999999</v>
      </c>
      <c r="S22" s="151">
        <v>132</v>
      </c>
      <c r="T22" s="153">
        <f t="shared" si="1"/>
        <v>25</v>
      </c>
      <c r="U22" s="151">
        <v>98</v>
      </c>
      <c r="V22" s="154">
        <f t="shared" si="2"/>
        <v>2450</v>
      </c>
      <c r="W22" s="151">
        <v>10</v>
      </c>
      <c r="X22" s="149" t="s">
        <v>46</v>
      </c>
      <c r="Y22" s="151" t="s">
        <v>69</v>
      </c>
      <c r="Z22" s="151" t="s">
        <v>40</v>
      </c>
      <c r="AA22" s="151" t="s">
        <v>84</v>
      </c>
      <c r="AB22" s="149" t="s">
        <v>282</v>
      </c>
      <c r="AC22" s="155"/>
      <c r="AE22" s="35"/>
      <c r="AG22" s="151"/>
      <c r="AH22" s="151"/>
      <c r="AJ22" s="151"/>
      <c r="AL22" s="151"/>
      <c r="AN22" s="151"/>
      <c r="AP22" s="43" t="s">
        <v>115</v>
      </c>
      <c r="AR22" s="41" t="s">
        <v>83</v>
      </c>
      <c r="AT22" s="151"/>
      <c r="AV22" s="23"/>
    </row>
    <row r="23" spans="1:48" x14ac:dyDescent="0.15">
      <c r="A23" s="149" t="s">
        <v>61</v>
      </c>
      <c r="B23" s="149" t="s">
        <v>234</v>
      </c>
      <c r="C23" s="149">
        <v>2019</v>
      </c>
      <c r="D23" s="150" t="s">
        <v>159</v>
      </c>
      <c r="E23" s="149" t="s">
        <v>287</v>
      </c>
      <c r="F23" s="149" t="s">
        <v>288</v>
      </c>
      <c r="G23" s="149" t="s">
        <v>42</v>
      </c>
      <c r="H23" s="151" t="s">
        <v>127</v>
      </c>
      <c r="I23" s="151" t="s">
        <v>161</v>
      </c>
      <c r="J23" s="149" t="s">
        <v>58</v>
      </c>
      <c r="K23" s="151" t="s">
        <v>59</v>
      </c>
      <c r="L23" s="151">
        <v>1</v>
      </c>
      <c r="M23" s="151"/>
      <c r="N23" s="151">
        <v>1</v>
      </c>
      <c r="O23" s="151">
        <v>1</v>
      </c>
      <c r="P23" s="151">
        <v>0.55000000000000004</v>
      </c>
      <c r="Q23" s="152">
        <f t="shared" si="0"/>
        <v>0.77500000000000002</v>
      </c>
      <c r="R23" s="151">
        <v>17.3</v>
      </c>
      <c r="S23" s="151">
        <v>119</v>
      </c>
      <c r="T23" s="153">
        <f t="shared" si="1"/>
        <v>30</v>
      </c>
      <c r="U23" s="151">
        <v>128</v>
      </c>
      <c r="V23" s="154">
        <f t="shared" si="2"/>
        <v>3840</v>
      </c>
      <c r="W23" s="151">
        <v>10</v>
      </c>
      <c r="X23" s="149" t="s">
        <v>46</v>
      </c>
      <c r="Y23" s="151" t="s">
        <v>69</v>
      </c>
      <c r="Z23" s="151" t="s">
        <v>40</v>
      </c>
      <c r="AA23" s="151" t="s">
        <v>84</v>
      </c>
      <c r="AB23" s="149" t="s">
        <v>282</v>
      </c>
      <c r="AC23" s="155"/>
      <c r="AE23" s="22"/>
      <c r="AG23" s="151"/>
      <c r="AH23" s="151"/>
      <c r="AJ23" s="151"/>
      <c r="AL23" s="151"/>
      <c r="AN23" s="151"/>
      <c r="AP23" s="43" t="s">
        <v>137</v>
      </c>
      <c r="AR23" s="41" t="s">
        <v>61</v>
      </c>
      <c r="AV23" s="151"/>
    </row>
    <row r="24" spans="1:48" x14ac:dyDescent="0.15">
      <c r="A24" s="149" t="s">
        <v>61</v>
      </c>
      <c r="B24" s="149" t="s">
        <v>234</v>
      </c>
      <c r="C24" s="149">
        <v>2019</v>
      </c>
      <c r="D24" s="150" t="s">
        <v>159</v>
      </c>
      <c r="E24" s="149" t="s">
        <v>287</v>
      </c>
      <c r="F24" s="149" t="s">
        <v>288</v>
      </c>
      <c r="G24" s="149" t="s">
        <v>42</v>
      </c>
      <c r="H24" s="151" t="s">
        <v>127</v>
      </c>
      <c r="I24" s="151" t="s">
        <v>161</v>
      </c>
      <c r="J24" s="149" t="s">
        <v>58</v>
      </c>
      <c r="K24" s="151" t="s">
        <v>59</v>
      </c>
      <c r="L24" s="151">
        <v>2</v>
      </c>
      <c r="M24" s="151"/>
      <c r="N24" s="151">
        <v>1</v>
      </c>
      <c r="O24" s="151">
        <v>1</v>
      </c>
      <c r="P24" s="151">
        <v>0.5</v>
      </c>
      <c r="Q24" s="152">
        <f t="shared" si="0"/>
        <v>0.75</v>
      </c>
      <c r="R24" s="151">
        <v>12.2</v>
      </c>
      <c r="S24" s="151">
        <v>124</v>
      </c>
      <c r="T24" s="153">
        <f t="shared" si="1"/>
        <v>27</v>
      </c>
      <c r="U24" s="151">
        <v>128</v>
      </c>
      <c r="V24" s="154">
        <f t="shared" si="2"/>
        <v>3456</v>
      </c>
      <c r="W24" s="151">
        <v>10</v>
      </c>
      <c r="X24" s="149" t="s">
        <v>46</v>
      </c>
      <c r="Y24" s="151" t="s">
        <v>69</v>
      </c>
      <c r="Z24" s="151" t="s">
        <v>40</v>
      </c>
      <c r="AA24" s="151" t="s">
        <v>84</v>
      </c>
      <c r="AB24" s="149" t="s">
        <v>282</v>
      </c>
      <c r="AC24" s="155"/>
      <c r="AE24" s="22"/>
      <c r="AG24" s="151"/>
      <c r="AH24" s="151"/>
      <c r="AJ24" s="151"/>
      <c r="AL24" s="151"/>
      <c r="AN24" s="151"/>
      <c r="AP24" s="43" t="s">
        <v>138</v>
      </c>
      <c r="AR24" s="41" t="s">
        <v>91</v>
      </c>
      <c r="AV24" s="151"/>
    </row>
    <row r="25" spans="1:48" x14ac:dyDescent="0.15">
      <c r="A25" s="149" t="s">
        <v>61</v>
      </c>
      <c r="B25" s="149" t="s">
        <v>234</v>
      </c>
      <c r="C25" s="149">
        <v>2019</v>
      </c>
      <c r="D25" s="150" t="s">
        <v>159</v>
      </c>
      <c r="E25" s="149" t="s">
        <v>287</v>
      </c>
      <c r="F25" s="149" t="s">
        <v>288</v>
      </c>
      <c r="G25" s="149" t="s">
        <v>42</v>
      </c>
      <c r="H25" s="151" t="s">
        <v>127</v>
      </c>
      <c r="I25" s="151" t="s">
        <v>161</v>
      </c>
      <c r="J25" s="149" t="s">
        <v>58</v>
      </c>
      <c r="K25" s="151" t="s">
        <v>59</v>
      </c>
      <c r="L25" s="151">
        <v>3</v>
      </c>
      <c r="M25" s="151"/>
      <c r="N25" s="151">
        <v>1</v>
      </c>
      <c r="O25" s="155">
        <v>0.55000000000000004</v>
      </c>
      <c r="P25" s="151">
        <v>0.55000000000000004</v>
      </c>
      <c r="Q25" s="152">
        <f t="shared" si="0"/>
        <v>0.55000000000000004</v>
      </c>
      <c r="R25" s="151">
        <v>15.5</v>
      </c>
      <c r="S25" s="151">
        <v>114</v>
      </c>
      <c r="T25" s="153">
        <f t="shared" si="1"/>
        <v>30</v>
      </c>
      <c r="U25" s="151">
        <v>128</v>
      </c>
      <c r="V25" s="154">
        <f t="shared" si="2"/>
        <v>3840</v>
      </c>
      <c r="W25" s="151">
        <v>10</v>
      </c>
      <c r="X25" s="149" t="s">
        <v>46</v>
      </c>
      <c r="Y25" s="151" t="s">
        <v>69</v>
      </c>
      <c r="Z25" s="151" t="s">
        <v>40</v>
      </c>
      <c r="AA25" s="151" t="s">
        <v>84</v>
      </c>
      <c r="AB25" s="149" t="s">
        <v>282</v>
      </c>
      <c r="AC25" s="155"/>
      <c r="AE25" s="35"/>
      <c r="AG25" s="151"/>
      <c r="AH25" s="151"/>
      <c r="AJ25" s="151"/>
      <c r="AN25" s="151"/>
      <c r="AP25" s="43" t="s">
        <v>116</v>
      </c>
      <c r="AR25" s="42" t="s">
        <v>92</v>
      </c>
      <c r="AV25" s="151"/>
    </row>
    <row r="26" spans="1:48" x14ac:dyDescent="0.15">
      <c r="A26" s="149" t="s">
        <v>61</v>
      </c>
      <c r="B26" s="149" t="s">
        <v>234</v>
      </c>
      <c r="C26" s="149">
        <v>2019</v>
      </c>
      <c r="D26" s="150" t="s">
        <v>159</v>
      </c>
      <c r="E26" s="149" t="s">
        <v>289</v>
      </c>
      <c r="F26" s="149" t="s">
        <v>290</v>
      </c>
      <c r="G26" s="149" t="s">
        <v>42</v>
      </c>
      <c r="H26" s="151" t="s">
        <v>162</v>
      </c>
      <c r="I26" s="151" t="s">
        <v>161</v>
      </c>
      <c r="J26" s="149" t="s">
        <v>38</v>
      </c>
      <c r="K26" s="151" t="s">
        <v>163</v>
      </c>
      <c r="L26" s="151">
        <v>1</v>
      </c>
      <c r="M26" s="151"/>
      <c r="N26" s="151">
        <v>1</v>
      </c>
      <c r="O26" s="151">
        <v>0.5</v>
      </c>
      <c r="P26" s="151">
        <v>0.5</v>
      </c>
      <c r="Q26" s="152">
        <f t="shared" si="0"/>
        <v>0.5</v>
      </c>
      <c r="R26" s="151">
        <v>19.8</v>
      </c>
      <c r="S26" s="151">
        <v>145</v>
      </c>
      <c r="T26" s="153">
        <f t="shared" si="1"/>
        <v>22</v>
      </c>
      <c r="U26" s="151">
        <v>108</v>
      </c>
      <c r="V26" s="154">
        <f t="shared" si="2"/>
        <v>2376</v>
      </c>
      <c r="W26" s="151">
        <v>12</v>
      </c>
      <c r="X26" s="149" t="s">
        <v>46</v>
      </c>
      <c r="Y26" s="151" t="s">
        <v>40</v>
      </c>
      <c r="Z26" s="151" t="s">
        <v>55</v>
      </c>
      <c r="AA26" s="151" t="s">
        <v>84</v>
      </c>
      <c r="AB26" s="149" t="s">
        <v>282</v>
      </c>
      <c r="AC26" s="155"/>
      <c r="AD26" s="34"/>
      <c r="AE26" s="35"/>
      <c r="AG26" s="151"/>
      <c r="AH26" s="151"/>
      <c r="AP26" s="43" t="s">
        <v>117</v>
      </c>
      <c r="AR26" s="23" t="s">
        <v>153</v>
      </c>
      <c r="AV26" s="151"/>
    </row>
    <row r="27" spans="1:48" x14ac:dyDescent="0.15">
      <c r="A27" s="149" t="s">
        <v>61</v>
      </c>
      <c r="B27" s="149" t="s">
        <v>234</v>
      </c>
      <c r="C27" s="149">
        <v>2019</v>
      </c>
      <c r="D27" s="150" t="s">
        <v>159</v>
      </c>
      <c r="E27" s="149" t="s">
        <v>289</v>
      </c>
      <c r="F27" s="149" t="s">
        <v>290</v>
      </c>
      <c r="G27" s="149" t="s">
        <v>42</v>
      </c>
      <c r="H27" s="151" t="s">
        <v>162</v>
      </c>
      <c r="I27" s="151" t="s">
        <v>161</v>
      </c>
      <c r="J27" s="149" t="s">
        <v>38</v>
      </c>
      <c r="K27" s="151" t="s">
        <v>163</v>
      </c>
      <c r="L27" s="151">
        <v>2</v>
      </c>
      <c r="M27" s="151"/>
      <c r="N27" s="151">
        <v>1</v>
      </c>
      <c r="O27" s="151">
        <v>0.5</v>
      </c>
      <c r="P27" s="151">
        <v>0.5</v>
      </c>
      <c r="Q27" s="152">
        <f t="shared" si="0"/>
        <v>0.5</v>
      </c>
      <c r="R27" s="151">
        <v>17.3</v>
      </c>
      <c r="S27" s="151">
        <v>134</v>
      </c>
      <c r="T27" s="153">
        <f t="shared" si="1"/>
        <v>25</v>
      </c>
      <c r="U27" s="151">
        <v>108</v>
      </c>
      <c r="V27" s="154">
        <f t="shared" si="2"/>
        <v>2700</v>
      </c>
      <c r="W27" s="151">
        <v>12</v>
      </c>
      <c r="X27" s="149" t="s">
        <v>46</v>
      </c>
      <c r="Y27" s="151" t="s">
        <v>40</v>
      </c>
      <c r="Z27" s="151" t="s">
        <v>55</v>
      </c>
      <c r="AA27" s="151" t="s">
        <v>84</v>
      </c>
      <c r="AB27" s="149" t="s">
        <v>282</v>
      </c>
      <c r="AC27" s="155"/>
      <c r="AD27" s="34"/>
      <c r="AE27" s="28"/>
      <c r="AG27" s="151"/>
      <c r="AH27" s="151"/>
      <c r="AP27" s="43" t="s">
        <v>118</v>
      </c>
      <c r="AR27" s="23"/>
      <c r="AV27" s="151"/>
    </row>
    <row r="28" spans="1:48" x14ac:dyDescent="0.15">
      <c r="A28" s="149" t="s">
        <v>61</v>
      </c>
      <c r="B28" s="149" t="s">
        <v>234</v>
      </c>
      <c r="C28" s="149">
        <v>2019</v>
      </c>
      <c r="D28" s="150" t="s">
        <v>159</v>
      </c>
      <c r="E28" s="149" t="s">
        <v>289</v>
      </c>
      <c r="F28" s="149" t="s">
        <v>290</v>
      </c>
      <c r="G28" s="149" t="s">
        <v>42</v>
      </c>
      <c r="H28" s="151" t="s">
        <v>162</v>
      </c>
      <c r="I28" s="151" t="s">
        <v>161</v>
      </c>
      <c r="J28" s="149" t="s">
        <v>38</v>
      </c>
      <c r="K28" s="151" t="s">
        <v>163</v>
      </c>
      <c r="L28" s="151">
        <v>3</v>
      </c>
      <c r="M28" s="151"/>
      <c r="N28" s="151">
        <v>1</v>
      </c>
      <c r="O28" s="151">
        <v>0.65</v>
      </c>
      <c r="P28" s="155">
        <v>0.8</v>
      </c>
      <c r="Q28" s="152">
        <f t="shared" si="0"/>
        <v>0.72500000000000009</v>
      </c>
      <c r="R28" s="151">
        <v>17.399999999999999</v>
      </c>
      <c r="S28" s="151">
        <v>137</v>
      </c>
      <c r="T28" s="153">
        <f t="shared" si="1"/>
        <v>25</v>
      </c>
      <c r="U28" s="151">
        <v>108</v>
      </c>
      <c r="V28" s="154">
        <f t="shared" si="2"/>
        <v>2700</v>
      </c>
      <c r="W28" s="151">
        <v>12</v>
      </c>
      <c r="X28" s="149" t="s">
        <v>46</v>
      </c>
      <c r="Y28" s="151" t="s">
        <v>40</v>
      </c>
      <c r="Z28" s="151" t="s">
        <v>55</v>
      </c>
      <c r="AA28" s="151" t="s">
        <v>84</v>
      </c>
      <c r="AB28" s="149" t="s">
        <v>282</v>
      </c>
      <c r="AC28" s="155"/>
      <c r="AD28" s="34"/>
      <c r="AE28" s="151"/>
      <c r="AG28" s="151"/>
      <c r="AH28" s="151"/>
      <c r="AP28" s="27"/>
      <c r="AR28" s="23"/>
      <c r="AV28" s="151"/>
    </row>
    <row r="29" spans="1:48" x14ac:dyDescent="0.15">
      <c r="A29" s="149" t="s">
        <v>61</v>
      </c>
      <c r="B29" s="149" t="s">
        <v>234</v>
      </c>
      <c r="C29" s="149">
        <v>2019</v>
      </c>
      <c r="D29" s="150" t="s">
        <v>159</v>
      </c>
      <c r="E29" s="149" t="s">
        <v>291</v>
      </c>
      <c r="F29" s="149" t="s">
        <v>292</v>
      </c>
      <c r="G29" s="149" t="s">
        <v>42</v>
      </c>
      <c r="H29" s="151" t="s">
        <v>162</v>
      </c>
      <c r="I29" s="151" t="s">
        <v>161</v>
      </c>
      <c r="J29" s="149" t="s">
        <v>38</v>
      </c>
      <c r="K29" s="151" t="s">
        <v>163</v>
      </c>
      <c r="L29" s="151">
        <v>1</v>
      </c>
      <c r="M29" s="151"/>
      <c r="N29" s="151">
        <v>1</v>
      </c>
      <c r="O29" s="151">
        <v>0.5</v>
      </c>
      <c r="P29" s="151">
        <v>0.5</v>
      </c>
      <c r="Q29" s="152">
        <f t="shared" si="0"/>
        <v>0.5</v>
      </c>
      <c r="R29" s="151">
        <v>18.100000000000001</v>
      </c>
      <c r="S29" s="151">
        <v>125</v>
      </c>
      <c r="T29" s="153">
        <f t="shared" si="1"/>
        <v>27</v>
      </c>
      <c r="U29" s="151">
        <v>128</v>
      </c>
      <c r="V29" s="154">
        <f t="shared" si="2"/>
        <v>3456</v>
      </c>
      <c r="W29" s="151">
        <v>7</v>
      </c>
      <c r="X29" s="149" t="s">
        <v>46</v>
      </c>
      <c r="Y29" s="151" t="s">
        <v>84</v>
      </c>
      <c r="Z29" s="151" t="s">
        <v>40</v>
      </c>
      <c r="AA29" s="151" t="s">
        <v>90</v>
      </c>
      <c r="AB29" s="149" t="s">
        <v>282</v>
      </c>
      <c r="AC29" s="155"/>
      <c r="AE29" s="151"/>
      <c r="AG29" s="151"/>
      <c r="AH29" s="151"/>
      <c r="AJ29" s="151"/>
      <c r="AN29" s="151"/>
      <c r="AP29" s="151"/>
      <c r="AR29" s="151"/>
      <c r="AV29" s="151"/>
    </row>
    <row r="30" spans="1:48" x14ac:dyDescent="0.15">
      <c r="A30" s="149" t="s">
        <v>61</v>
      </c>
      <c r="B30" s="149" t="s">
        <v>234</v>
      </c>
      <c r="C30" s="149">
        <v>2019</v>
      </c>
      <c r="D30" s="150" t="s">
        <v>159</v>
      </c>
      <c r="E30" s="149" t="s">
        <v>291</v>
      </c>
      <c r="F30" s="149" t="s">
        <v>292</v>
      </c>
      <c r="G30" s="149" t="s">
        <v>42</v>
      </c>
      <c r="H30" s="151" t="s">
        <v>162</v>
      </c>
      <c r="I30" s="151" t="s">
        <v>161</v>
      </c>
      <c r="J30" s="149" t="s">
        <v>38</v>
      </c>
      <c r="K30" s="151" t="s">
        <v>163</v>
      </c>
      <c r="L30" s="151">
        <v>2</v>
      </c>
      <c r="M30" s="151"/>
      <c r="N30" s="151">
        <v>1</v>
      </c>
      <c r="O30" s="151">
        <v>0.5</v>
      </c>
      <c r="P30" s="151">
        <v>0.5</v>
      </c>
      <c r="Q30" s="152">
        <f t="shared" si="0"/>
        <v>0.5</v>
      </c>
      <c r="R30" s="151">
        <v>17.7</v>
      </c>
      <c r="S30" s="151">
        <v>124</v>
      </c>
      <c r="T30" s="153">
        <f t="shared" si="1"/>
        <v>27</v>
      </c>
      <c r="U30" s="151">
        <v>128</v>
      </c>
      <c r="V30" s="154">
        <f t="shared" si="2"/>
        <v>3456</v>
      </c>
      <c r="W30" s="151">
        <v>7</v>
      </c>
      <c r="X30" s="149" t="s">
        <v>46</v>
      </c>
      <c r="Y30" s="151" t="s">
        <v>84</v>
      </c>
      <c r="Z30" s="151" t="s">
        <v>40</v>
      </c>
      <c r="AA30" s="151" t="s">
        <v>90</v>
      </c>
      <c r="AB30" s="149" t="s">
        <v>282</v>
      </c>
      <c r="AC30" s="155"/>
      <c r="AE30" s="151"/>
      <c r="AG30" s="151"/>
      <c r="AH30" s="151"/>
      <c r="AL30" s="151"/>
      <c r="AN30" s="151"/>
      <c r="AP30" s="151"/>
      <c r="AR30" s="151"/>
      <c r="AV30" s="151"/>
    </row>
    <row r="31" spans="1:48" x14ac:dyDescent="0.15">
      <c r="A31" s="149" t="s">
        <v>61</v>
      </c>
      <c r="B31" s="149" t="s">
        <v>234</v>
      </c>
      <c r="C31" s="149">
        <v>2019</v>
      </c>
      <c r="D31" s="150" t="s">
        <v>159</v>
      </c>
      <c r="E31" s="149" t="s">
        <v>291</v>
      </c>
      <c r="F31" s="149" t="s">
        <v>292</v>
      </c>
      <c r="G31" s="149" t="s">
        <v>42</v>
      </c>
      <c r="H31" s="151" t="s">
        <v>162</v>
      </c>
      <c r="I31" s="151" t="s">
        <v>161</v>
      </c>
      <c r="J31" s="149" t="s">
        <v>38</v>
      </c>
      <c r="K31" s="151" t="s">
        <v>163</v>
      </c>
      <c r="L31" s="151">
        <v>3</v>
      </c>
      <c r="M31" s="151"/>
      <c r="N31" s="151">
        <v>1</v>
      </c>
      <c r="O31" s="151">
        <v>0.5</v>
      </c>
      <c r="P31" s="151">
        <v>0.5</v>
      </c>
      <c r="Q31" s="152">
        <f t="shared" si="0"/>
        <v>0.5</v>
      </c>
      <c r="R31" s="151">
        <v>17</v>
      </c>
      <c r="S31" s="151">
        <v>123</v>
      </c>
      <c r="T31" s="153">
        <f t="shared" si="1"/>
        <v>27</v>
      </c>
      <c r="U31" s="151">
        <v>128</v>
      </c>
      <c r="V31" s="154">
        <f t="shared" si="2"/>
        <v>3456</v>
      </c>
      <c r="W31" s="151">
        <v>7</v>
      </c>
      <c r="X31" s="149" t="s">
        <v>46</v>
      </c>
      <c r="Y31" s="151" t="s">
        <v>84</v>
      </c>
      <c r="Z31" s="151" t="s">
        <v>40</v>
      </c>
      <c r="AA31" s="151" t="s">
        <v>90</v>
      </c>
      <c r="AB31" s="149" t="s">
        <v>282</v>
      </c>
      <c r="AC31" s="155"/>
      <c r="AE31" s="151"/>
      <c r="AG31" s="151"/>
      <c r="AH31" s="151"/>
      <c r="AL31" s="151"/>
      <c r="AP31" s="151"/>
      <c r="AR31" s="151"/>
      <c r="AV31" s="151"/>
    </row>
    <row r="32" spans="1:48" x14ac:dyDescent="0.15">
      <c r="A32" s="149" t="s">
        <v>61</v>
      </c>
      <c r="B32" s="149" t="s">
        <v>234</v>
      </c>
      <c r="C32" s="149">
        <v>2019</v>
      </c>
      <c r="D32" s="150" t="s">
        <v>159</v>
      </c>
      <c r="E32" s="149" t="s">
        <v>291</v>
      </c>
      <c r="F32" s="149" t="s">
        <v>292</v>
      </c>
      <c r="G32" s="149" t="s">
        <v>42</v>
      </c>
      <c r="H32" s="151" t="s">
        <v>127</v>
      </c>
      <c r="I32" s="151" t="s">
        <v>161</v>
      </c>
      <c r="J32" s="149" t="s">
        <v>274</v>
      </c>
      <c r="K32" s="151" t="s">
        <v>59</v>
      </c>
      <c r="L32" s="151">
        <v>1</v>
      </c>
      <c r="M32" s="151"/>
      <c r="N32" s="151">
        <v>1</v>
      </c>
      <c r="O32" s="151">
        <v>1.1000000000000001</v>
      </c>
      <c r="P32" s="151">
        <v>1.1000000000000001</v>
      </c>
      <c r="Q32" s="152">
        <f t="shared" si="0"/>
        <v>1.1000000000000001</v>
      </c>
      <c r="R32" s="151">
        <v>16.899999999999999</v>
      </c>
      <c r="S32" s="151">
        <v>96</v>
      </c>
      <c r="T32" s="153">
        <f t="shared" si="1"/>
        <v>36</v>
      </c>
      <c r="U32" s="151">
        <v>98</v>
      </c>
      <c r="V32" s="154">
        <f t="shared" si="2"/>
        <v>3528</v>
      </c>
      <c r="W32" s="151">
        <v>7</v>
      </c>
      <c r="X32" s="149" t="s">
        <v>46</v>
      </c>
      <c r="Y32" s="151" t="s">
        <v>84</v>
      </c>
      <c r="Z32" s="151" t="s">
        <v>40</v>
      </c>
      <c r="AA32" s="151" t="s">
        <v>90</v>
      </c>
      <c r="AB32" s="149" t="s">
        <v>282</v>
      </c>
      <c r="AC32" s="155"/>
      <c r="AE32" s="151"/>
      <c r="AG32" s="151"/>
      <c r="AH32" s="151"/>
      <c r="AL32" s="151"/>
      <c r="AP32" s="151"/>
      <c r="AR32" s="151"/>
      <c r="AV32" s="151"/>
    </row>
    <row r="33" spans="1:29" x14ac:dyDescent="0.15">
      <c r="A33" s="149" t="s">
        <v>61</v>
      </c>
      <c r="B33" s="149" t="s">
        <v>234</v>
      </c>
      <c r="C33" s="149">
        <v>2019</v>
      </c>
      <c r="D33" s="150" t="s">
        <v>159</v>
      </c>
      <c r="E33" s="149" t="s">
        <v>291</v>
      </c>
      <c r="F33" s="149" t="s">
        <v>292</v>
      </c>
      <c r="G33" s="149" t="s">
        <v>42</v>
      </c>
      <c r="H33" s="151" t="s">
        <v>127</v>
      </c>
      <c r="I33" s="151" t="s">
        <v>161</v>
      </c>
      <c r="J33" s="149" t="s">
        <v>274</v>
      </c>
      <c r="K33" s="151" t="s">
        <v>59</v>
      </c>
      <c r="L33" s="151">
        <v>2</v>
      </c>
      <c r="M33" s="151"/>
      <c r="N33" s="151">
        <v>1</v>
      </c>
      <c r="O33" s="151">
        <v>0.85</v>
      </c>
      <c r="P33" s="151">
        <v>0.9</v>
      </c>
      <c r="Q33" s="152">
        <f t="shared" si="0"/>
        <v>0.875</v>
      </c>
      <c r="R33" s="151">
        <v>15.6</v>
      </c>
      <c r="S33" s="151">
        <v>98</v>
      </c>
      <c r="T33" s="153">
        <f t="shared" si="1"/>
        <v>36</v>
      </c>
      <c r="U33" s="151">
        <v>98</v>
      </c>
      <c r="V33" s="154">
        <f t="shared" si="2"/>
        <v>3528</v>
      </c>
      <c r="W33" s="151">
        <v>7</v>
      </c>
      <c r="X33" s="149" t="s">
        <v>46</v>
      </c>
      <c r="Y33" s="151" t="s">
        <v>84</v>
      </c>
      <c r="Z33" s="151" t="s">
        <v>40</v>
      </c>
      <c r="AA33" s="151" t="s">
        <v>90</v>
      </c>
      <c r="AB33" s="149" t="s">
        <v>282</v>
      </c>
      <c r="AC33" s="155"/>
    </row>
    <row r="34" spans="1:29" x14ac:dyDescent="0.15">
      <c r="A34" s="149" t="s">
        <v>61</v>
      </c>
      <c r="B34" s="149" t="s">
        <v>234</v>
      </c>
      <c r="C34" s="149">
        <v>2019</v>
      </c>
      <c r="D34" s="150" t="s">
        <v>159</v>
      </c>
      <c r="E34" s="149" t="s">
        <v>291</v>
      </c>
      <c r="F34" s="149" t="s">
        <v>292</v>
      </c>
      <c r="G34" s="149" t="s">
        <v>42</v>
      </c>
      <c r="H34" s="151" t="s">
        <v>127</v>
      </c>
      <c r="I34" s="151" t="s">
        <v>161</v>
      </c>
      <c r="J34" s="149" t="s">
        <v>274</v>
      </c>
      <c r="K34" s="151" t="s">
        <v>59</v>
      </c>
      <c r="L34" s="151">
        <v>3</v>
      </c>
      <c r="M34" s="151"/>
      <c r="N34" s="151">
        <v>1</v>
      </c>
      <c r="O34" s="151">
        <v>1.25</v>
      </c>
      <c r="P34" s="151">
        <v>1.25</v>
      </c>
      <c r="Q34" s="152">
        <f t="shared" si="0"/>
        <v>1.25</v>
      </c>
      <c r="R34" s="151">
        <v>15.6</v>
      </c>
      <c r="S34" s="151">
        <v>109</v>
      </c>
      <c r="T34" s="153">
        <f t="shared" si="1"/>
        <v>33</v>
      </c>
      <c r="U34" s="151">
        <v>98</v>
      </c>
      <c r="V34" s="154">
        <f t="shared" si="2"/>
        <v>3234</v>
      </c>
      <c r="W34" s="151">
        <v>7</v>
      </c>
      <c r="X34" s="149" t="s">
        <v>46</v>
      </c>
      <c r="Y34" s="151" t="s">
        <v>84</v>
      </c>
      <c r="Z34" s="151" t="s">
        <v>40</v>
      </c>
      <c r="AA34" s="151" t="s">
        <v>90</v>
      </c>
      <c r="AB34" s="149" t="s">
        <v>282</v>
      </c>
      <c r="AC34" s="155"/>
    </row>
    <row r="35" spans="1:29" x14ac:dyDescent="0.15">
      <c r="A35" s="149" t="s">
        <v>61</v>
      </c>
      <c r="B35" s="149" t="s">
        <v>234</v>
      </c>
      <c r="C35" s="149">
        <v>2019</v>
      </c>
      <c r="D35" s="150" t="s">
        <v>159</v>
      </c>
      <c r="E35" s="149" t="s">
        <v>293</v>
      </c>
      <c r="F35" s="149" t="s">
        <v>294</v>
      </c>
      <c r="G35" s="149" t="s">
        <v>42</v>
      </c>
      <c r="H35" s="151" t="s">
        <v>162</v>
      </c>
      <c r="I35" s="151" t="s">
        <v>161</v>
      </c>
      <c r="J35" s="149" t="s">
        <v>38</v>
      </c>
      <c r="K35" s="151" t="s">
        <v>163</v>
      </c>
      <c r="L35" s="151">
        <v>1</v>
      </c>
      <c r="M35" s="151"/>
      <c r="N35" s="151">
        <v>1</v>
      </c>
      <c r="O35" s="151">
        <v>0.85</v>
      </c>
      <c r="P35" s="151">
        <v>1.1499999999999999</v>
      </c>
      <c r="Q35" s="152">
        <f t="shared" si="0"/>
        <v>1</v>
      </c>
      <c r="R35" s="151">
        <v>17.3</v>
      </c>
      <c r="S35" s="151">
        <v>113</v>
      </c>
      <c r="T35" s="153">
        <f t="shared" si="1"/>
        <v>30</v>
      </c>
      <c r="U35" s="151">
        <v>105</v>
      </c>
      <c r="V35" s="154">
        <f t="shared" si="2"/>
        <v>3150</v>
      </c>
      <c r="W35" s="151">
        <v>11</v>
      </c>
      <c r="X35" s="149" t="s">
        <v>46</v>
      </c>
      <c r="Y35" s="151" t="s">
        <v>40</v>
      </c>
      <c r="Z35" s="151" t="s">
        <v>78</v>
      </c>
      <c r="AA35" s="151" t="s">
        <v>69</v>
      </c>
      <c r="AB35" s="149" t="s">
        <v>282</v>
      </c>
      <c r="AC35" s="155"/>
    </row>
    <row r="36" spans="1:29" x14ac:dyDescent="0.15">
      <c r="A36" s="149" t="s">
        <v>61</v>
      </c>
      <c r="B36" s="149" t="s">
        <v>234</v>
      </c>
      <c r="C36" s="149">
        <v>2019</v>
      </c>
      <c r="D36" s="150" t="s">
        <v>159</v>
      </c>
      <c r="E36" s="149" t="s">
        <v>293</v>
      </c>
      <c r="F36" s="149" t="s">
        <v>294</v>
      </c>
      <c r="G36" s="149" t="s">
        <v>42</v>
      </c>
      <c r="H36" s="151" t="s">
        <v>162</v>
      </c>
      <c r="I36" s="151" t="s">
        <v>161</v>
      </c>
      <c r="J36" s="149" t="s">
        <v>38</v>
      </c>
      <c r="K36" s="151" t="s">
        <v>163</v>
      </c>
      <c r="L36" s="151">
        <v>2</v>
      </c>
      <c r="M36" s="151"/>
      <c r="N36" s="151">
        <v>1</v>
      </c>
      <c r="O36" s="151">
        <v>1.65</v>
      </c>
      <c r="P36" s="151">
        <v>1.55</v>
      </c>
      <c r="Q36" s="152">
        <f t="shared" si="0"/>
        <v>1.6</v>
      </c>
      <c r="R36" s="151">
        <v>17.399999999999999</v>
      </c>
      <c r="S36" s="151">
        <v>110</v>
      </c>
      <c r="T36" s="153">
        <f t="shared" si="1"/>
        <v>33</v>
      </c>
      <c r="U36" s="151">
        <v>105</v>
      </c>
      <c r="V36" s="154">
        <f t="shared" si="2"/>
        <v>3465</v>
      </c>
      <c r="W36" s="151">
        <v>11</v>
      </c>
      <c r="X36" s="149" t="s">
        <v>46</v>
      </c>
      <c r="Y36" s="151" t="s">
        <v>40</v>
      </c>
      <c r="Z36" s="151" t="s">
        <v>78</v>
      </c>
      <c r="AA36" s="151" t="s">
        <v>69</v>
      </c>
      <c r="AB36" s="149" t="s">
        <v>282</v>
      </c>
      <c r="AC36" s="155"/>
    </row>
    <row r="37" spans="1:29" x14ac:dyDescent="0.15">
      <c r="A37" s="149" t="s">
        <v>61</v>
      </c>
      <c r="B37" s="149" t="s">
        <v>234</v>
      </c>
      <c r="C37" s="149">
        <v>2019</v>
      </c>
      <c r="D37" s="150" t="s">
        <v>159</v>
      </c>
      <c r="E37" s="149" t="s">
        <v>293</v>
      </c>
      <c r="F37" s="149" t="s">
        <v>294</v>
      </c>
      <c r="G37" s="149" t="s">
        <v>42</v>
      </c>
      <c r="H37" s="151" t="s">
        <v>162</v>
      </c>
      <c r="I37" s="151" t="s">
        <v>161</v>
      </c>
      <c r="J37" s="149" t="s">
        <v>38</v>
      </c>
      <c r="K37" s="151" t="s">
        <v>163</v>
      </c>
      <c r="L37" s="151">
        <v>3</v>
      </c>
      <c r="M37" s="151"/>
      <c r="N37" s="151">
        <v>1</v>
      </c>
      <c r="O37" s="151">
        <v>0.5</v>
      </c>
      <c r="P37" s="151">
        <v>0.85</v>
      </c>
      <c r="Q37" s="152">
        <f t="shared" si="0"/>
        <v>0.67500000000000004</v>
      </c>
      <c r="R37" s="151">
        <v>17.7</v>
      </c>
      <c r="S37" s="151">
        <v>112</v>
      </c>
      <c r="T37" s="153">
        <f t="shared" si="1"/>
        <v>33</v>
      </c>
      <c r="U37" s="151">
        <v>105</v>
      </c>
      <c r="V37" s="154">
        <f t="shared" si="2"/>
        <v>3465</v>
      </c>
      <c r="W37" s="151">
        <v>11</v>
      </c>
      <c r="X37" s="149" t="s">
        <v>46</v>
      </c>
      <c r="Y37" s="151" t="s">
        <v>40</v>
      </c>
      <c r="Z37" s="151" t="s">
        <v>78</v>
      </c>
      <c r="AA37" s="151" t="s">
        <v>69</v>
      </c>
      <c r="AB37" s="149" t="s">
        <v>282</v>
      </c>
      <c r="AC37" s="155"/>
    </row>
    <row r="38" spans="1:29" x14ac:dyDescent="0.15">
      <c r="A38" s="149" t="s">
        <v>61</v>
      </c>
      <c r="B38" s="149" t="s">
        <v>234</v>
      </c>
      <c r="C38" s="149">
        <v>2019</v>
      </c>
      <c r="D38" s="150" t="s">
        <v>159</v>
      </c>
      <c r="E38" s="149" t="s">
        <v>293</v>
      </c>
      <c r="F38" s="149" t="s">
        <v>294</v>
      </c>
      <c r="G38" s="149" t="s">
        <v>42</v>
      </c>
      <c r="H38" s="151" t="s">
        <v>127</v>
      </c>
      <c r="I38" s="151" t="s">
        <v>161</v>
      </c>
      <c r="J38" s="149" t="s">
        <v>274</v>
      </c>
      <c r="K38" s="151" t="s">
        <v>59</v>
      </c>
      <c r="L38" s="151">
        <v>1</v>
      </c>
      <c r="M38" s="151"/>
      <c r="N38" s="151">
        <v>1</v>
      </c>
      <c r="O38" s="151">
        <v>0.5</v>
      </c>
      <c r="P38" s="151">
        <v>0.6</v>
      </c>
      <c r="Q38" s="152">
        <f t="shared" si="0"/>
        <v>0.55000000000000004</v>
      </c>
      <c r="R38" s="151">
        <v>17.2</v>
      </c>
      <c r="S38" s="151">
        <v>119</v>
      </c>
      <c r="T38" s="153">
        <f t="shared" si="1"/>
        <v>30</v>
      </c>
      <c r="U38" s="151">
        <v>105</v>
      </c>
      <c r="V38" s="154">
        <f t="shared" si="2"/>
        <v>3150</v>
      </c>
      <c r="W38" s="151">
        <v>11</v>
      </c>
      <c r="X38" s="149" t="s">
        <v>46</v>
      </c>
      <c r="Y38" s="151" t="s">
        <v>40</v>
      </c>
      <c r="Z38" s="151" t="s">
        <v>78</v>
      </c>
      <c r="AA38" s="151" t="s">
        <v>69</v>
      </c>
      <c r="AB38" s="149" t="s">
        <v>282</v>
      </c>
      <c r="AC38" s="155"/>
    </row>
    <row r="39" spans="1:29" x14ac:dyDescent="0.15">
      <c r="A39" s="149" t="s">
        <v>61</v>
      </c>
      <c r="B39" s="149" t="s">
        <v>234</v>
      </c>
      <c r="C39" s="149">
        <v>2019</v>
      </c>
      <c r="D39" s="150" t="s">
        <v>159</v>
      </c>
      <c r="E39" s="149" t="s">
        <v>293</v>
      </c>
      <c r="F39" s="149" t="s">
        <v>294</v>
      </c>
      <c r="G39" s="149" t="s">
        <v>42</v>
      </c>
      <c r="H39" s="151" t="s">
        <v>127</v>
      </c>
      <c r="I39" s="151" t="s">
        <v>161</v>
      </c>
      <c r="J39" s="149" t="s">
        <v>274</v>
      </c>
      <c r="K39" s="151" t="s">
        <v>59</v>
      </c>
      <c r="L39" s="151">
        <v>2</v>
      </c>
      <c r="M39" s="151"/>
      <c r="N39" s="151">
        <v>1</v>
      </c>
      <c r="O39" s="151">
        <v>1.05</v>
      </c>
      <c r="P39" s="151">
        <v>1.2</v>
      </c>
      <c r="Q39" s="152">
        <f t="shared" si="0"/>
        <v>1.125</v>
      </c>
      <c r="R39" s="151">
        <v>12.1</v>
      </c>
      <c r="S39" s="151">
        <v>120</v>
      </c>
      <c r="T39" s="153">
        <f t="shared" si="1"/>
        <v>30</v>
      </c>
      <c r="U39" s="151">
        <v>105</v>
      </c>
      <c r="V39" s="154">
        <f t="shared" si="2"/>
        <v>3150</v>
      </c>
      <c r="W39" s="151">
        <v>11</v>
      </c>
      <c r="X39" s="149" t="s">
        <v>46</v>
      </c>
      <c r="Y39" s="151" t="s">
        <v>40</v>
      </c>
      <c r="Z39" s="151" t="s">
        <v>78</v>
      </c>
      <c r="AA39" s="151" t="s">
        <v>69</v>
      </c>
      <c r="AB39" s="149" t="s">
        <v>282</v>
      </c>
      <c r="AC39" s="155"/>
    </row>
    <row r="40" spans="1:29" x14ac:dyDescent="0.15">
      <c r="A40" s="149" t="s">
        <v>61</v>
      </c>
      <c r="B40" s="149" t="s">
        <v>234</v>
      </c>
      <c r="C40" s="149">
        <v>2019</v>
      </c>
      <c r="D40" s="150" t="s">
        <v>159</v>
      </c>
      <c r="E40" s="149" t="s">
        <v>293</v>
      </c>
      <c r="F40" s="149" t="s">
        <v>294</v>
      </c>
      <c r="G40" s="149" t="s">
        <v>42</v>
      </c>
      <c r="H40" s="151" t="s">
        <v>127</v>
      </c>
      <c r="I40" s="151" t="s">
        <v>161</v>
      </c>
      <c r="J40" s="149" t="s">
        <v>274</v>
      </c>
      <c r="K40" s="151" t="s">
        <v>59</v>
      </c>
      <c r="L40" s="151">
        <v>3</v>
      </c>
      <c r="M40" s="151"/>
      <c r="N40" s="151">
        <v>1</v>
      </c>
      <c r="O40" s="151">
        <v>0.5</v>
      </c>
      <c r="P40" s="151">
        <v>0.5</v>
      </c>
      <c r="Q40" s="152">
        <f t="shared" si="0"/>
        <v>0.5</v>
      </c>
      <c r="R40" s="151">
        <v>17.399999999999999</v>
      </c>
      <c r="S40" s="151">
        <v>128</v>
      </c>
      <c r="T40" s="153">
        <f t="shared" si="1"/>
        <v>27</v>
      </c>
      <c r="U40" s="151">
        <v>105</v>
      </c>
      <c r="V40" s="154">
        <f t="shared" si="2"/>
        <v>2835</v>
      </c>
      <c r="W40" s="151">
        <v>11</v>
      </c>
      <c r="X40" s="149" t="s">
        <v>46</v>
      </c>
      <c r="Y40" s="151" t="s">
        <v>40</v>
      </c>
      <c r="Z40" s="151" t="s">
        <v>78</v>
      </c>
      <c r="AA40" s="151" t="s">
        <v>69</v>
      </c>
      <c r="AB40" s="149" t="s">
        <v>282</v>
      </c>
      <c r="AC40" s="155"/>
    </row>
    <row r="41" spans="1:29" x14ac:dyDescent="0.15">
      <c r="A41" s="149" t="s">
        <v>61</v>
      </c>
      <c r="B41" s="149" t="s">
        <v>234</v>
      </c>
      <c r="C41" s="149">
        <v>2019</v>
      </c>
      <c r="D41" s="150" t="s">
        <v>159</v>
      </c>
      <c r="E41" s="149" t="s">
        <v>133</v>
      </c>
      <c r="F41" s="149" t="s">
        <v>295</v>
      </c>
      <c r="G41" s="149" t="s">
        <v>42</v>
      </c>
      <c r="H41" s="151" t="s">
        <v>162</v>
      </c>
      <c r="I41" s="151" t="s">
        <v>161</v>
      </c>
      <c r="J41" s="149" t="s">
        <v>38</v>
      </c>
      <c r="K41" s="151" t="s">
        <v>163</v>
      </c>
      <c r="L41" s="151">
        <v>1</v>
      </c>
      <c r="M41" s="151"/>
      <c r="N41" s="151">
        <v>1</v>
      </c>
      <c r="O41" s="151">
        <v>0.5</v>
      </c>
      <c r="P41" s="151">
        <v>0.5</v>
      </c>
      <c r="Q41" s="152">
        <f t="shared" si="0"/>
        <v>0.5</v>
      </c>
      <c r="R41" s="151">
        <v>19</v>
      </c>
      <c r="S41" s="151">
        <v>156</v>
      </c>
      <c r="T41" s="153">
        <f t="shared" si="1"/>
        <v>18</v>
      </c>
      <c r="U41" s="151">
        <v>98</v>
      </c>
      <c r="V41" s="154">
        <f t="shared" si="2"/>
        <v>1764</v>
      </c>
      <c r="W41" s="151">
        <v>19</v>
      </c>
      <c r="X41" s="149" t="s">
        <v>46</v>
      </c>
      <c r="Y41" s="151" t="s">
        <v>97</v>
      </c>
      <c r="Z41" s="151" t="s">
        <v>84</v>
      </c>
      <c r="AA41" s="151" t="s">
        <v>69</v>
      </c>
      <c r="AB41" s="149" t="s">
        <v>282</v>
      </c>
      <c r="AC41" s="155"/>
    </row>
    <row r="42" spans="1:29" x14ac:dyDescent="0.15">
      <c r="A42" s="149" t="s">
        <v>61</v>
      </c>
      <c r="B42" s="149" t="s">
        <v>234</v>
      </c>
      <c r="C42" s="149">
        <v>2019</v>
      </c>
      <c r="D42" s="150" t="s">
        <v>159</v>
      </c>
      <c r="E42" s="149" t="s">
        <v>133</v>
      </c>
      <c r="F42" s="149" t="s">
        <v>295</v>
      </c>
      <c r="G42" s="149" t="s">
        <v>42</v>
      </c>
      <c r="H42" s="151" t="s">
        <v>162</v>
      </c>
      <c r="I42" s="151" t="s">
        <v>161</v>
      </c>
      <c r="J42" s="149" t="s">
        <v>38</v>
      </c>
      <c r="K42" s="151" t="s">
        <v>163</v>
      </c>
      <c r="L42" s="151">
        <v>2</v>
      </c>
      <c r="M42" s="151"/>
      <c r="N42" s="151">
        <v>1</v>
      </c>
      <c r="O42" s="151">
        <v>0.5</v>
      </c>
      <c r="P42" s="151">
        <v>0.95</v>
      </c>
      <c r="Q42" s="152">
        <f t="shared" si="0"/>
        <v>0.72499999999999998</v>
      </c>
      <c r="R42" s="151">
        <v>18.2</v>
      </c>
      <c r="S42" s="151">
        <v>148</v>
      </c>
      <c r="T42" s="153">
        <f t="shared" si="1"/>
        <v>22</v>
      </c>
      <c r="U42" s="151">
        <v>98</v>
      </c>
      <c r="V42" s="154">
        <f t="shared" si="2"/>
        <v>2156</v>
      </c>
      <c r="W42" s="151">
        <v>19</v>
      </c>
      <c r="X42" s="149" t="s">
        <v>46</v>
      </c>
      <c r="Y42" s="151" t="s">
        <v>97</v>
      </c>
      <c r="Z42" s="151" t="s">
        <v>84</v>
      </c>
      <c r="AA42" s="151" t="s">
        <v>69</v>
      </c>
      <c r="AB42" s="149" t="s">
        <v>282</v>
      </c>
      <c r="AC42" s="155"/>
    </row>
    <row r="43" spans="1:29" x14ac:dyDescent="0.15">
      <c r="A43" s="149" t="s">
        <v>61</v>
      </c>
      <c r="B43" s="149" t="s">
        <v>234</v>
      </c>
      <c r="C43" s="149">
        <v>2019</v>
      </c>
      <c r="D43" s="150" t="s">
        <v>159</v>
      </c>
      <c r="E43" s="149" t="s">
        <v>133</v>
      </c>
      <c r="F43" s="149" t="s">
        <v>295</v>
      </c>
      <c r="G43" s="149" t="s">
        <v>42</v>
      </c>
      <c r="H43" s="151" t="s">
        <v>162</v>
      </c>
      <c r="I43" s="151" t="s">
        <v>161</v>
      </c>
      <c r="J43" s="149" t="s">
        <v>38</v>
      </c>
      <c r="K43" s="151" t="s">
        <v>163</v>
      </c>
      <c r="L43" s="151">
        <v>3</v>
      </c>
      <c r="M43" s="151"/>
      <c r="N43" s="151">
        <v>1</v>
      </c>
      <c r="O43" s="151">
        <v>0.5</v>
      </c>
      <c r="P43" s="151">
        <v>0.5</v>
      </c>
      <c r="Q43" s="152">
        <f t="shared" si="0"/>
        <v>0.5</v>
      </c>
      <c r="R43" s="151">
        <v>18</v>
      </c>
      <c r="S43" s="151">
        <v>151</v>
      </c>
      <c r="T43" s="153">
        <f t="shared" si="1"/>
        <v>22</v>
      </c>
      <c r="U43" s="151">
        <v>98</v>
      </c>
      <c r="V43" s="154">
        <f t="shared" si="2"/>
        <v>2156</v>
      </c>
      <c r="W43" s="151">
        <v>19</v>
      </c>
      <c r="X43" s="149" t="s">
        <v>46</v>
      </c>
      <c r="Y43" s="151" t="s">
        <v>97</v>
      </c>
      <c r="Z43" s="151" t="s">
        <v>84</v>
      </c>
      <c r="AA43" s="151" t="s">
        <v>69</v>
      </c>
      <c r="AB43" s="149" t="s">
        <v>282</v>
      </c>
      <c r="AC43" s="155"/>
    </row>
    <row r="44" spans="1:29" x14ac:dyDescent="0.15">
      <c r="A44" s="149" t="s">
        <v>61</v>
      </c>
      <c r="B44" s="149" t="s">
        <v>234</v>
      </c>
      <c r="C44" s="149">
        <v>2019</v>
      </c>
      <c r="D44" s="150" t="s">
        <v>159</v>
      </c>
      <c r="E44" s="149" t="s">
        <v>133</v>
      </c>
      <c r="F44" s="149" t="s">
        <v>295</v>
      </c>
      <c r="G44" s="149" t="s">
        <v>42</v>
      </c>
      <c r="H44" s="151" t="s">
        <v>127</v>
      </c>
      <c r="I44" s="151" t="s">
        <v>161</v>
      </c>
      <c r="J44" s="149" t="s">
        <v>80</v>
      </c>
      <c r="K44" s="151" t="s">
        <v>63</v>
      </c>
      <c r="L44" s="151">
        <v>1</v>
      </c>
      <c r="M44" s="151"/>
      <c r="N44" s="151">
        <v>1</v>
      </c>
      <c r="O44" s="151">
        <v>0.85</v>
      </c>
      <c r="P44" s="151">
        <v>0.85</v>
      </c>
      <c r="Q44" s="152">
        <f t="shared" si="0"/>
        <v>0.85</v>
      </c>
      <c r="R44" s="151">
        <v>14.7</v>
      </c>
      <c r="S44" s="151">
        <v>102</v>
      </c>
      <c r="T44" s="153">
        <f t="shared" si="1"/>
        <v>33</v>
      </c>
      <c r="U44" s="151">
        <v>98</v>
      </c>
      <c r="V44" s="154">
        <f t="shared" si="2"/>
        <v>3234</v>
      </c>
      <c r="W44" s="151">
        <v>19</v>
      </c>
      <c r="X44" s="149" t="s">
        <v>46</v>
      </c>
      <c r="Y44" s="151" t="s">
        <v>97</v>
      </c>
      <c r="Z44" s="151" t="s">
        <v>84</v>
      </c>
      <c r="AA44" s="151" t="s">
        <v>69</v>
      </c>
      <c r="AB44" s="149" t="s">
        <v>282</v>
      </c>
      <c r="AC44" s="151"/>
    </row>
    <row r="45" spans="1:29" x14ac:dyDescent="0.15">
      <c r="A45" s="149" t="s">
        <v>61</v>
      </c>
      <c r="B45" s="149" t="s">
        <v>234</v>
      </c>
      <c r="C45" s="149">
        <v>2019</v>
      </c>
      <c r="D45" s="150" t="s">
        <v>159</v>
      </c>
      <c r="E45" s="149" t="s">
        <v>133</v>
      </c>
      <c r="F45" s="149" t="s">
        <v>295</v>
      </c>
      <c r="G45" s="149" t="s">
        <v>42</v>
      </c>
      <c r="H45" s="151" t="s">
        <v>127</v>
      </c>
      <c r="I45" s="151" t="s">
        <v>161</v>
      </c>
      <c r="J45" s="149" t="s">
        <v>80</v>
      </c>
      <c r="K45" s="151" t="s">
        <v>63</v>
      </c>
      <c r="L45" s="151">
        <v>2</v>
      </c>
      <c r="M45" s="151"/>
      <c r="N45" s="151">
        <v>1</v>
      </c>
      <c r="O45" s="151">
        <v>0.5</v>
      </c>
      <c r="P45" s="151">
        <v>0.5</v>
      </c>
      <c r="Q45" s="152">
        <f t="shared" si="0"/>
        <v>0.5</v>
      </c>
      <c r="R45" s="151">
        <v>11.7</v>
      </c>
      <c r="S45" s="151">
        <v>102</v>
      </c>
      <c r="T45" s="153">
        <f t="shared" si="1"/>
        <v>33</v>
      </c>
      <c r="U45" s="151">
        <v>98</v>
      </c>
      <c r="V45" s="154">
        <f t="shared" si="2"/>
        <v>3234</v>
      </c>
      <c r="W45" s="151">
        <v>19</v>
      </c>
      <c r="X45" s="149" t="s">
        <v>46</v>
      </c>
      <c r="Y45" s="151" t="s">
        <v>97</v>
      </c>
      <c r="Z45" s="151" t="s">
        <v>84</v>
      </c>
      <c r="AA45" s="151" t="s">
        <v>69</v>
      </c>
      <c r="AB45" s="149" t="s">
        <v>282</v>
      </c>
      <c r="AC45" s="151"/>
    </row>
    <row r="46" spans="1:29" x14ac:dyDescent="0.15">
      <c r="A46" s="149" t="s">
        <v>61</v>
      </c>
      <c r="B46" s="149" t="s">
        <v>234</v>
      </c>
      <c r="C46" s="149">
        <v>2019</v>
      </c>
      <c r="D46" s="150" t="s">
        <v>159</v>
      </c>
      <c r="E46" s="149" t="s">
        <v>133</v>
      </c>
      <c r="F46" s="149" t="s">
        <v>295</v>
      </c>
      <c r="G46" s="149" t="s">
        <v>42</v>
      </c>
      <c r="H46" s="151" t="s">
        <v>127</v>
      </c>
      <c r="I46" s="151" t="s">
        <v>161</v>
      </c>
      <c r="J46" s="149" t="s">
        <v>80</v>
      </c>
      <c r="K46" s="151" t="s">
        <v>63</v>
      </c>
      <c r="L46" s="151">
        <v>3</v>
      </c>
      <c r="M46" s="151"/>
      <c r="N46" s="151">
        <v>1</v>
      </c>
      <c r="O46" s="151">
        <v>0.5</v>
      </c>
      <c r="P46" s="151">
        <v>0.5</v>
      </c>
      <c r="Q46" s="152">
        <f t="shared" si="0"/>
        <v>0.5</v>
      </c>
      <c r="R46" s="151">
        <v>12</v>
      </c>
      <c r="S46" s="151">
        <v>102</v>
      </c>
      <c r="T46" s="153">
        <f t="shared" si="1"/>
        <v>33</v>
      </c>
      <c r="U46" s="151">
        <v>98</v>
      </c>
      <c r="V46" s="154">
        <f t="shared" si="2"/>
        <v>3234</v>
      </c>
      <c r="W46" s="151">
        <v>19</v>
      </c>
      <c r="X46" s="149" t="s">
        <v>46</v>
      </c>
      <c r="Y46" s="151" t="s">
        <v>97</v>
      </c>
      <c r="Z46" s="151" t="s">
        <v>84</v>
      </c>
      <c r="AA46" s="151" t="s">
        <v>69</v>
      </c>
      <c r="AB46" s="149" t="s">
        <v>282</v>
      </c>
      <c r="AC46" s="151"/>
    </row>
    <row r="47" spans="1:29" x14ac:dyDescent="0.15">
      <c r="A47" s="149" t="s">
        <v>61</v>
      </c>
      <c r="B47" s="149" t="s">
        <v>234</v>
      </c>
      <c r="C47" s="149">
        <v>2019</v>
      </c>
      <c r="D47" s="150" t="s">
        <v>159</v>
      </c>
      <c r="E47" s="149" t="s">
        <v>296</v>
      </c>
      <c r="F47" s="149" t="s">
        <v>297</v>
      </c>
      <c r="G47" s="149" t="s">
        <v>42</v>
      </c>
      <c r="H47" s="151" t="s">
        <v>162</v>
      </c>
      <c r="I47" s="151" t="s">
        <v>161</v>
      </c>
      <c r="J47" s="149" t="s">
        <v>38</v>
      </c>
      <c r="K47" s="151" t="s">
        <v>163</v>
      </c>
      <c r="L47" s="151">
        <v>1</v>
      </c>
      <c r="M47" s="151"/>
      <c r="N47" s="151">
        <v>1</v>
      </c>
      <c r="O47" s="151">
        <v>0.5</v>
      </c>
      <c r="P47" s="151">
        <v>0.5</v>
      </c>
      <c r="Q47" s="152">
        <f t="shared" si="0"/>
        <v>0.5</v>
      </c>
      <c r="R47" s="151">
        <v>17</v>
      </c>
      <c r="S47" s="151">
        <v>147</v>
      </c>
      <c r="T47" s="153">
        <f t="shared" si="1"/>
        <v>22</v>
      </c>
      <c r="U47" s="151">
        <v>138</v>
      </c>
      <c r="V47" s="154">
        <f t="shared" si="2"/>
        <v>3036</v>
      </c>
      <c r="W47" s="151">
        <v>12</v>
      </c>
      <c r="X47" s="149" t="s">
        <v>46</v>
      </c>
      <c r="Y47" s="151" t="s">
        <v>40</v>
      </c>
      <c r="Z47" s="151" t="s">
        <v>84</v>
      </c>
      <c r="AA47" s="151" t="s">
        <v>55</v>
      </c>
      <c r="AB47" s="149" t="s">
        <v>282</v>
      </c>
      <c r="AC47" s="155"/>
    </row>
    <row r="48" spans="1:29" x14ac:dyDescent="0.15">
      <c r="A48" s="149" t="s">
        <v>61</v>
      </c>
      <c r="B48" s="149" t="s">
        <v>234</v>
      </c>
      <c r="C48" s="149">
        <v>2019</v>
      </c>
      <c r="D48" s="150" t="s">
        <v>159</v>
      </c>
      <c r="E48" s="149" t="s">
        <v>296</v>
      </c>
      <c r="F48" s="149" t="s">
        <v>297</v>
      </c>
      <c r="G48" s="149" t="s">
        <v>42</v>
      </c>
      <c r="H48" s="151" t="s">
        <v>162</v>
      </c>
      <c r="I48" s="151" t="s">
        <v>161</v>
      </c>
      <c r="J48" s="149" t="s">
        <v>38</v>
      </c>
      <c r="K48" s="151" t="s">
        <v>163</v>
      </c>
      <c r="L48" s="151">
        <v>2</v>
      </c>
      <c r="M48" s="151"/>
      <c r="N48" s="151">
        <v>1</v>
      </c>
      <c r="O48" s="151">
        <v>0.5</v>
      </c>
      <c r="P48" s="151">
        <v>0.5</v>
      </c>
      <c r="Q48" s="152">
        <f t="shared" si="0"/>
        <v>0.5</v>
      </c>
      <c r="R48" s="151">
        <v>18.600000000000001</v>
      </c>
      <c r="S48" s="151">
        <v>143</v>
      </c>
      <c r="T48" s="153">
        <f t="shared" si="1"/>
        <v>22</v>
      </c>
      <c r="U48" s="151">
        <v>138</v>
      </c>
      <c r="V48" s="154">
        <f t="shared" si="2"/>
        <v>3036</v>
      </c>
      <c r="W48" s="151">
        <v>12</v>
      </c>
      <c r="X48" s="149" t="s">
        <v>46</v>
      </c>
      <c r="Y48" s="151" t="s">
        <v>40</v>
      </c>
      <c r="Z48" s="151" t="s">
        <v>84</v>
      </c>
      <c r="AA48" s="151" t="s">
        <v>55</v>
      </c>
      <c r="AB48" s="149" t="s">
        <v>282</v>
      </c>
      <c r="AC48" s="155"/>
    </row>
    <row r="49" spans="1:29" x14ac:dyDescent="0.15">
      <c r="A49" s="149" t="s">
        <v>61</v>
      </c>
      <c r="B49" s="149" t="s">
        <v>234</v>
      </c>
      <c r="C49" s="149">
        <v>2019</v>
      </c>
      <c r="D49" s="150" t="s">
        <v>159</v>
      </c>
      <c r="E49" s="149" t="s">
        <v>296</v>
      </c>
      <c r="F49" s="149" t="s">
        <v>297</v>
      </c>
      <c r="G49" s="149" t="s">
        <v>42</v>
      </c>
      <c r="H49" s="151" t="s">
        <v>162</v>
      </c>
      <c r="I49" s="151" t="s">
        <v>161</v>
      </c>
      <c r="J49" s="149" t="s">
        <v>38</v>
      </c>
      <c r="K49" s="151" t="s">
        <v>163</v>
      </c>
      <c r="L49" s="151">
        <v>3</v>
      </c>
      <c r="M49" s="151"/>
      <c r="N49" s="151">
        <v>1</v>
      </c>
      <c r="O49" s="151">
        <v>0.5</v>
      </c>
      <c r="P49" s="151">
        <v>0.5</v>
      </c>
      <c r="Q49" s="152">
        <f t="shared" si="0"/>
        <v>0.5</v>
      </c>
      <c r="R49" s="151">
        <v>17.8</v>
      </c>
      <c r="S49" s="151">
        <v>136</v>
      </c>
      <c r="T49" s="153">
        <f t="shared" si="1"/>
        <v>25</v>
      </c>
      <c r="U49" s="151">
        <v>138</v>
      </c>
      <c r="V49" s="154">
        <f t="shared" si="2"/>
        <v>3450</v>
      </c>
      <c r="W49" s="151">
        <v>12</v>
      </c>
      <c r="X49" s="149" t="s">
        <v>46</v>
      </c>
      <c r="Y49" s="151" t="s">
        <v>40</v>
      </c>
      <c r="Z49" s="151" t="s">
        <v>84</v>
      </c>
      <c r="AA49" s="151" t="s">
        <v>55</v>
      </c>
      <c r="AB49" s="149" t="s">
        <v>282</v>
      </c>
      <c r="AC49" s="155"/>
    </row>
    <row r="50" spans="1:29" x14ac:dyDescent="0.15">
      <c r="A50" s="149" t="s">
        <v>61</v>
      </c>
      <c r="B50" s="149" t="s">
        <v>234</v>
      </c>
      <c r="C50" s="149">
        <v>2019</v>
      </c>
      <c r="D50" s="150" t="s">
        <v>159</v>
      </c>
      <c r="E50" s="149" t="s">
        <v>296</v>
      </c>
      <c r="F50" s="149" t="s">
        <v>297</v>
      </c>
      <c r="G50" s="149" t="s">
        <v>42</v>
      </c>
      <c r="H50" s="151" t="s">
        <v>127</v>
      </c>
      <c r="I50" s="151" t="s">
        <v>161</v>
      </c>
      <c r="J50" s="149" t="s">
        <v>80</v>
      </c>
      <c r="K50" s="151" t="s">
        <v>54</v>
      </c>
      <c r="L50" s="151">
        <v>1</v>
      </c>
      <c r="M50" s="151"/>
      <c r="N50" s="151">
        <v>1</v>
      </c>
      <c r="O50" s="151">
        <v>1</v>
      </c>
      <c r="P50" s="151">
        <v>0.9</v>
      </c>
      <c r="Q50" s="152">
        <f t="shared" si="0"/>
        <v>0.95</v>
      </c>
      <c r="R50" s="151">
        <v>13.2</v>
      </c>
      <c r="S50" s="151">
        <v>114</v>
      </c>
      <c r="T50" s="153">
        <f t="shared" si="1"/>
        <v>30</v>
      </c>
      <c r="U50" s="151">
        <v>138</v>
      </c>
      <c r="V50" s="154">
        <f t="shared" si="2"/>
        <v>4140</v>
      </c>
      <c r="W50" s="151">
        <v>12</v>
      </c>
      <c r="X50" s="149" t="s">
        <v>46</v>
      </c>
      <c r="Y50" s="151" t="s">
        <v>40</v>
      </c>
      <c r="Z50" s="151" t="s">
        <v>84</v>
      </c>
      <c r="AA50" s="151" t="s">
        <v>55</v>
      </c>
      <c r="AB50" s="149" t="s">
        <v>282</v>
      </c>
      <c r="AC50" s="155"/>
    </row>
    <row r="51" spans="1:29" x14ac:dyDescent="0.15">
      <c r="A51" s="149" t="s">
        <v>61</v>
      </c>
      <c r="B51" s="149" t="s">
        <v>234</v>
      </c>
      <c r="C51" s="149">
        <v>2019</v>
      </c>
      <c r="D51" s="150" t="s">
        <v>159</v>
      </c>
      <c r="E51" s="149" t="s">
        <v>296</v>
      </c>
      <c r="F51" s="149" t="s">
        <v>297</v>
      </c>
      <c r="G51" s="149" t="s">
        <v>42</v>
      </c>
      <c r="H51" s="151" t="s">
        <v>127</v>
      </c>
      <c r="I51" s="151" t="s">
        <v>161</v>
      </c>
      <c r="J51" s="149" t="s">
        <v>80</v>
      </c>
      <c r="K51" s="151" t="s">
        <v>54</v>
      </c>
      <c r="L51" s="151">
        <v>2</v>
      </c>
      <c r="M51" s="151"/>
      <c r="N51" s="151">
        <v>1</v>
      </c>
      <c r="O51" s="151">
        <v>1</v>
      </c>
      <c r="P51" s="151">
        <v>1.1499999999999999</v>
      </c>
      <c r="Q51" s="152">
        <f t="shared" si="0"/>
        <v>1.075</v>
      </c>
      <c r="R51" s="151">
        <v>16.8</v>
      </c>
      <c r="S51" s="151">
        <v>115</v>
      </c>
      <c r="T51" s="153">
        <f t="shared" si="1"/>
        <v>30</v>
      </c>
      <c r="U51" s="151">
        <v>138</v>
      </c>
      <c r="V51" s="154">
        <f t="shared" si="2"/>
        <v>4140</v>
      </c>
      <c r="W51" s="151">
        <v>12</v>
      </c>
      <c r="X51" s="149" t="s">
        <v>46</v>
      </c>
      <c r="Y51" s="151" t="s">
        <v>40</v>
      </c>
      <c r="Z51" s="151" t="s">
        <v>84</v>
      </c>
      <c r="AA51" s="151" t="s">
        <v>55</v>
      </c>
      <c r="AB51" s="149" t="s">
        <v>282</v>
      </c>
      <c r="AC51" s="155"/>
    </row>
    <row r="52" spans="1:29" x14ac:dyDescent="0.15">
      <c r="A52" s="149" t="s">
        <v>61</v>
      </c>
      <c r="B52" s="149" t="s">
        <v>234</v>
      </c>
      <c r="C52" s="149">
        <v>2019</v>
      </c>
      <c r="D52" s="150" t="s">
        <v>159</v>
      </c>
      <c r="E52" s="149" t="s">
        <v>296</v>
      </c>
      <c r="F52" s="149" t="s">
        <v>297</v>
      </c>
      <c r="G52" s="149" t="s">
        <v>42</v>
      </c>
      <c r="H52" s="151" t="s">
        <v>127</v>
      </c>
      <c r="I52" s="151" t="s">
        <v>161</v>
      </c>
      <c r="J52" s="149" t="s">
        <v>80</v>
      </c>
      <c r="K52" s="151" t="s">
        <v>54</v>
      </c>
      <c r="L52" s="151">
        <v>3</v>
      </c>
      <c r="M52" s="151"/>
      <c r="N52" s="151">
        <v>1</v>
      </c>
      <c r="O52" s="151">
        <v>0.7</v>
      </c>
      <c r="P52" s="151">
        <v>0.55000000000000004</v>
      </c>
      <c r="Q52" s="152">
        <f t="shared" si="0"/>
        <v>0.625</v>
      </c>
      <c r="R52" s="151">
        <v>14.5</v>
      </c>
      <c r="S52" s="151">
        <v>116</v>
      </c>
      <c r="T52" s="153">
        <f t="shared" si="1"/>
        <v>30</v>
      </c>
      <c r="U52" s="151">
        <v>138</v>
      </c>
      <c r="V52" s="154">
        <f t="shared" si="2"/>
        <v>4140</v>
      </c>
      <c r="W52" s="151">
        <v>12</v>
      </c>
      <c r="X52" s="149" t="s">
        <v>46</v>
      </c>
      <c r="Y52" s="151" t="s">
        <v>40</v>
      </c>
      <c r="Z52" s="151" t="s">
        <v>84</v>
      </c>
      <c r="AA52" s="151" t="s">
        <v>55</v>
      </c>
      <c r="AB52" s="149" t="s">
        <v>282</v>
      </c>
      <c r="AC52" s="155"/>
    </row>
    <row r="53" spans="1:29" x14ac:dyDescent="0.15">
      <c r="A53" s="149" t="s">
        <v>61</v>
      </c>
      <c r="B53" s="149" t="s">
        <v>234</v>
      </c>
      <c r="C53" s="149">
        <v>2019</v>
      </c>
      <c r="D53" s="150" t="s">
        <v>159</v>
      </c>
      <c r="E53" s="149" t="s">
        <v>298</v>
      </c>
      <c r="F53" s="149" t="s">
        <v>297</v>
      </c>
      <c r="G53" s="149" t="s">
        <v>42</v>
      </c>
      <c r="H53" s="151" t="s">
        <v>162</v>
      </c>
      <c r="I53" s="151" t="s">
        <v>161</v>
      </c>
      <c r="J53" s="149" t="s">
        <v>38</v>
      </c>
      <c r="K53" s="151" t="s">
        <v>163</v>
      </c>
      <c r="L53" s="151">
        <v>1</v>
      </c>
      <c r="M53" s="151"/>
      <c r="N53" s="151">
        <v>1</v>
      </c>
      <c r="O53" s="151">
        <v>1.1499999999999999</v>
      </c>
      <c r="P53" s="151">
        <v>1.35</v>
      </c>
      <c r="Q53" s="152">
        <f t="shared" si="0"/>
        <v>1.25</v>
      </c>
      <c r="R53" s="151">
        <v>17.600000000000001</v>
      </c>
      <c r="S53" s="151">
        <v>140</v>
      </c>
      <c r="T53" s="153">
        <f t="shared" si="1"/>
        <v>22</v>
      </c>
      <c r="U53" s="151">
        <v>105</v>
      </c>
      <c r="V53" s="154">
        <f t="shared" si="2"/>
        <v>2310</v>
      </c>
      <c r="W53" s="151">
        <v>19</v>
      </c>
      <c r="X53" s="149" t="s">
        <v>46</v>
      </c>
      <c r="Y53" s="151" t="s">
        <v>40</v>
      </c>
      <c r="Z53" s="151" t="s">
        <v>84</v>
      </c>
      <c r="AA53" s="151" t="s">
        <v>55</v>
      </c>
      <c r="AB53" s="149" t="s">
        <v>282</v>
      </c>
      <c r="AC53" s="155"/>
    </row>
    <row r="54" spans="1:29" x14ac:dyDescent="0.15">
      <c r="A54" s="149" t="s">
        <v>61</v>
      </c>
      <c r="B54" s="149" t="s">
        <v>234</v>
      </c>
      <c r="C54" s="149">
        <v>2019</v>
      </c>
      <c r="D54" s="150" t="s">
        <v>159</v>
      </c>
      <c r="E54" s="149" t="s">
        <v>298</v>
      </c>
      <c r="F54" s="149" t="s">
        <v>297</v>
      </c>
      <c r="G54" s="149" t="s">
        <v>42</v>
      </c>
      <c r="H54" s="151" t="s">
        <v>162</v>
      </c>
      <c r="I54" s="151" t="s">
        <v>161</v>
      </c>
      <c r="J54" s="149" t="s">
        <v>38</v>
      </c>
      <c r="K54" s="151" t="s">
        <v>163</v>
      </c>
      <c r="L54" s="151">
        <v>2</v>
      </c>
      <c r="M54" s="151"/>
      <c r="N54" s="151">
        <v>1</v>
      </c>
      <c r="O54" s="151">
        <v>1.55</v>
      </c>
      <c r="P54" s="151">
        <v>1</v>
      </c>
      <c r="Q54" s="152">
        <f t="shared" si="0"/>
        <v>1.2749999999999999</v>
      </c>
      <c r="R54" s="151">
        <v>19.2</v>
      </c>
      <c r="S54" s="151">
        <v>143</v>
      </c>
      <c r="T54" s="153">
        <f t="shared" si="1"/>
        <v>22</v>
      </c>
      <c r="U54" s="151">
        <v>105</v>
      </c>
      <c r="V54" s="154">
        <f t="shared" si="2"/>
        <v>2310</v>
      </c>
      <c r="W54" s="151">
        <v>19</v>
      </c>
      <c r="X54" s="149" t="s">
        <v>46</v>
      </c>
      <c r="Y54" s="151" t="s">
        <v>40</v>
      </c>
      <c r="Z54" s="151" t="s">
        <v>84</v>
      </c>
      <c r="AA54" s="151" t="s">
        <v>55</v>
      </c>
      <c r="AB54" s="149" t="s">
        <v>282</v>
      </c>
      <c r="AC54" s="155"/>
    </row>
    <row r="55" spans="1:29" x14ac:dyDescent="0.15">
      <c r="A55" s="149" t="s">
        <v>61</v>
      </c>
      <c r="B55" s="149" t="s">
        <v>234</v>
      </c>
      <c r="C55" s="149">
        <v>2019</v>
      </c>
      <c r="D55" s="150" t="s">
        <v>159</v>
      </c>
      <c r="E55" s="149" t="s">
        <v>298</v>
      </c>
      <c r="F55" s="149" t="s">
        <v>297</v>
      </c>
      <c r="G55" s="149" t="s">
        <v>42</v>
      </c>
      <c r="H55" s="151" t="s">
        <v>162</v>
      </c>
      <c r="I55" s="151" t="s">
        <v>161</v>
      </c>
      <c r="J55" s="149" t="s">
        <v>38</v>
      </c>
      <c r="K55" s="151" t="s">
        <v>163</v>
      </c>
      <c r="L55" s="151">
        <v>3</v>
      </c>
      <c r="M55" s="151"/>
      <c r="N55" s="151">
        <v>1</v>
      </c>
      <c r="O55" s="151">
        <v>1.6</v>
      </c>
      <c r="P55" s="151">
        <v>1.85</v>
      </c>
      <c r="Q55" s="152">
        <f t="shared" si="0"/>
        <v>1.7250000000000001</v>
      </c>
      <c r="R55" s="151">
        <v>17.7</v>
      </c>
      <c r="S55" s="151">
        <v>148</v>
      </c>
      <c r="T55" s="153">
        <f t="shared" si="1"/>
        <v>22</v>
      </c>
      <c r="U55" s="151">
        <v>105</v>
      </c>
      <c r="V55" s="154">
        <f t="shared" si="2"/>
        <v>2310</v>
      </c>
      <c r="W55" s="151">
        <v>19</v>
      </c>
      <c r="X55" s="149" t="s">
        <v>46</v>
      </c>
      <c r="Y55" s="151" t="s">
        <v>40</v>
      </c>
      <c r="Z55" s="151" t="s">
        <v>84</v>
      </c>
      <c r="AA55" s="151" t="s">
        <v>55</v>
      </c>
      <c r="AB55" s="149" t="s">
        <v>282</v>
      </c>
      <c r="AC55" s="155"/>
    </row>
    <row r="56" spans="1:29" x14ac:dyDescent="0.15">
      <c r="A56" s="149" t="s">
        <v>61</v>
      </c>
      <c r="B56" s="149" t="s">
        <v>234</v>
      </c>
      <c r="C56" s="149">
        <v>2019</v>
      </c>
      <c r="D56" s="150" t="s">
        <v>159</v>
      </c>
      <c r="E56" s="149" t="s">
        <v>298</v>
      </c>
      <c r="F56" s="149" t="s">
        <v>297</v>
      </c>
      <c r="G56" s="149" t="s">
        <v>42</v>
      </c>
      <c r="H56" s="151" t="s">
        <v>127</v>
      </c>
      <c r="I56" s="151" t="s">
        <v>161</v>
      </c>
      <c r="J56" s="149" t="s">
        <v>274</v>
      </c>
      <c r="K56" s="151" t="s">
        <v>59</v>
      </c>
      <c r="L56" s="151">
        <v>1</v>
      </c>
      <c r="M56" s="151"/>
      <c r="N56" s="151">
        <v>1</v>
      </c>
      <c r="O56" s="151">
        <v>0.5</v>
      </c>
      <c r="P56" s="151">
        <v>0.5</v>
      </c>
      <c r="Q56" s="152">
        <f t="shared" si="0"/>
        <v>0.5</v>
      </c>
      <c r="R56" s="151">
        <v>17.100000000000001</v>
      </c>
      <c r="S56" s="151">
        <v>136</v>
      </c>
      <c r="T56" s="153">
        <f t="shared" si="1"/>
        <v>25</v>
      </c>
      <c r="U56" s="151">
        <v>105</v>
      </c>
      <c r="V56" s="154">
        <f t="shared" si="2"/>
        <v>2625</v>
      </c>
      <c r="W56" s="151">
        <v>19</v>
      </c>
      <c r="X56" s="149" t="s">
        <v>46</v>
      </c>
      <c r="Y56" s="151" t="s">
        <v>40</v>
      </c>
      <c r="Z56" s="151" t="s">
        <v>84</v>
      </c>
      <c r="AA56" s="151" t="s">
        <v>55</v>
      </c>
      <c r="AB56" s="149" t="s">
        <v>282</v>
      </c>
      <c r="AC56" s="155"/>
    </row>
    <row r="57" spans="1:29" x14ac:dyDescent="0.15">
      <c r="A57" s="149" t="s">
        <v>61</v>
      </c>
      <c r="B57" s="149" t="s">
        <v>234</v>
      </c>
      <c r="C57" s="149">
        <v>2019</v>
      </c>
      <c r="D57" s="150" t="s">
        <v>159</v>
      </c>
      <c r="E57" s="149" t="s">
        <v>298</v>
      </c>
      <c r="F57" s="149" t="s">
        <v>297</v>
      </c>
      <c r="G57" s="149" t="s">
        <v>42</v>
      </c>
      <c r="H57" s="151" t="s">
        <v>127</v>
      </c>
      <c r="I57" s="151" t="s">
        <v>161</v>
      </c>
      <c r="J57" s="149" t="s">
        <v>274</v>
      </c>
      <c r="K57" s="151" t="s">
        <v>59</v>
      </c>
      <c r="L57" s="151">
        <v>2</v>
      </c>
      <c r="M57" s="151"/>
      <c r="N57" s="151">
        <v>1</v>
      </c>
      <c r="O57" s="151">
        <v>1.05</v>
      </c>
      <c r="P57" s="151">
        <v>1</v>
      </c>
      <c r="Q57" s="152">
        <f t="shared" si="0"/>
        <v>1.0249999999999999</v>
      </c>
      <c r="R57" s="151">
        <v>17.5</v>
      </c>
      <c r="S57" s="151">
        <v>137</v>
      </c>
      <c r="T57" s="153">
        <f t="shared" si="1"/>
        <v>25</v>
      </c>
      <c r="U57" s="151">
        <v>105</v>
      </c>
      <c r="V57" s="154">
        <f t="shared" si="2"/>
        <v>2625</v>
      </c>
      <c r="W57" s="151">
        <v>19</v>
      </c>
      <c r="X57" s="149" t="s">
        <v>46</v>
      </c>
      <c r="Y57" s="151" t="s">
        <v>40</v>
      </c>
      <c r="Z57" s="151" t="s">
        <v>84</v>
      </c>
      <c r="AA57" s="151" t="s">
        <v>55</v>
      </c>
      <c r="AB57" s="149" t="s">
        <v>282</v>
      </c>
      <c r="AC57" s="155"/>
    </row>
    <row r="58" spans="1:29" x14ac:dyDescent="0.15">
      <c r="A58" s="149" t="s">
        <v>61</v>
      </c>
      <c r="B58" s="149" t="s">
        <v>234</v>
      </c>
      <c r="C58" s="149">
        <v>2019</v>
      </c>
      <c r="D58" s="150" t="s">
        <v>159</v>
      </c>
      <c r="E58" s="149" t="s">
        <v>298</v>
      </c>
      <c r="F58" s="149" t="s">
        <v>297</v>
      </c>
      <c r="G58" s="149" t="s">
        <v>42</v>
      </c>
      <c r="H58" s="151" t="s">
        <v>127</v>
      </c>
      <c r="I58" s="151" t="s">
        <v>161</v>
      </c>
      <c r="J58" s="149" t="s">
        <v>274</v>
      </c>
      <c r="K58" s="151" t="s">
        <v>59</v>
      </c>
      <c r="L58" s="151">
        <v>3</v>
      </c>
      <c r="M58" s="151"/>
      <c r="N58" s="151">
        <v>1</v>
      </c>
      <c r="O58" s="151">
        <v>0.8</v>
      </c>
      <c r="P58" s="151">
        <v>0.65</v>
      </c>
      <c r="Q58" s="152">
        <f t="shared" si="0"/>
        <v>0.72500000000000009</v>
      </c>
      <c r="R58" s="151">
        <v>17.7</v>
      </c>
      <c r="S58" s="151">
        <v>142</v>
      </c>
      <c r="T58" s="153">
        <f t="shared" si="1"/>
        <v>22</v>
      </c>
      <c r="U58" s="151">
        <v>105</v>
      </c>
      <c r="V58" s="154">
        <f t="shared" si="2"/>
        <v>2310</v>
      </c>
      <c r="W58" s="151">
        <v>19</v>
      </c>
      <c r="X58" s="149" t="s">
        <v>46</v>
      </c>
      <c r="Y58" s="151" t="s">
        <v>40</v>
      </c>
      <c r="Z58" s="151" t="s">
        <v>84</v>
      </c>
      <c r="AA58" s="151" t="s">
        <v>55</v>
      </c>
      <c r="AB58" s="149" t="s">
        <v>282</v>
      </c>
      <c r="AC58" s="155"/>
    </row>
    <row r="59" spans="1:29" x14ac:dyDescent="0.15">
      <c r="A59" s="149"/>
      <c r="B59" s="149"/>
      <c r="C59" s="149"/>
      <c r="D59" s="150"/>
      <c r="E59" s="149"/>
      <c r="F59" s="149"/>
      <c r="G59" s="149"/>
      <c r="H59" s="151"/>
      <c r="I59" s="151"/>
      <c r="J59" s="149"/>
      <c r="K59" s="151"/>
      <c r="L59" s="151"/>
      <c r="M59" s="151"/>
      <c r="N59" s="151"/>
      <c r="O59" s="151"/>
      <c r="P59" s="151"/>
      <c r="Q59" s="152" t="str">
        <f t="shared" si="0"/>
        <v/>
      </c>
      <c r="R59" s="151"/>
      <c r="S59" s="151"/>
      <c r="T59" s="153" t="str">
        <f t="shared" si="1"/>
        <v/>
      </c>
      <c r="U59" s="151"/>
      <c r="V59" s="154" t="str">
        <f t="shared" si="2"/>
        <v/>
      </c>
      <c r="W59" s="151"/>
      <c r="X59" s="149"/>
      <c r="Y59" s="151"/>
      <c r="Z59" s="151"/>
      <c r="AA59" s="151"/>
      <c r="AB59" s="149"/>
      <c r="AC59" s="151"/>
    </row>
    <row r="60" spans="1:29" x14ac:dyDescent="0.15">
      <c r="A60" s="149"/>
      <c r="B60" s="149"/>
      <c r="C60" s="149"/>
      <c r="D60" s="150"/>
      <c r="E60" s="149"/>
      <c r="F60" s="149"/>
      <c r="G60" s="149"/>
      <c r="H60" s="151"/>
      <c r="I60" s="151"/>
      <c r="J60" s="149"/>
      <c r="K60" s="151"/>
      <c r="L60" s="151"/>
      <c r="M60" s="151"/>
      <c r="N60" s="151"/>
      <c r="O60" s="151"/>
      <c r="P60" s="151"/>
      <c r="Q60" s="152" t="str">
        <f t="shared" si="0"/>
        <v/>
      </c>
      <c r="R60" s="151"/>
      <c r="S60" s="151"/>
      <c r="T60" s="153" t="str">
        <f t="shared" si="1"/>
        <v/>
      </c>
      <c r="U60" s="151"/>
      <c r="V60" s="154" t="str">
        <f t="shared" si="2"/>
        <v/>
      </c>
      <c r="W60" s="151"/>
      <c r="X60" s="149"/>
      <c r="Y60" s="151"/>
      <c r="Z60" s="151"/>
      <c r="AA60" s="151"/>
      <c r="AB60" s="149"/>
      <c r="AC60" s="151"/>
    </row>
    <row r="61" spans="1:29" x14ac:dyDescent="0.15">
      <c r="A61" s="149"/>
      <c r="B61" s="149"/>
      <c r="C61" s="149"/>
      <c r="D61" s="150"/>
      <c r="E61" s="149"/>
      <c r="F61" s="149"/>
      <c r="G61" s="149"/>
      <c r="H61" s="151"/>
      <c r="I61" s="151"/>
      <c r="J61" s="149"/>
      <c r="K61" s="151"/>
      <c r="L61" s="151"/>
      <c r="M61" s="151"/>
      <c r="N61" s="151"/>
      <c r="O61" s="151"/>
      <c r="P61" s="151"/>
      <c r="Q61" s="152" t="str">
        <f t="shared" si="0"/>
        <v/>
      </c>
      <c r="R61" s="151"/>
      <c r="S61" s="151"/>
      <c r="T61" s="153" t="str">
        <f t="shared" si="1"/>
        <v/>
      </c>
      <c r="U61" s="151"/>
      <c r="V61" s="154" t="str">
        <f t="shared" si="2"/>
        <v/>
      </c>
      <c r="W61" s="151"/>
      <c r="X61" s="149"/>
      <c r="Y61" s="151"/>
      <c r="Z61" s="151"/>
      <c r="AA61" s="151"/>
      <c r="AB61" s="149"/>
      <c r="AC61" s="151"/>
    </row>
    <row r="62" spans="1:29" x14ac:dyDescent="0.15">
      <c r="A62" s="149"/>
      <c r="B62" s="149"/>
      <c r="C62" s="149"/>
      <c r="D62" s="150"/>
      <c r="E62" s="149"/>
      <c r="F62" s="149"/>
      <c r="G62" s="149"/>
      <c r="H62" s="151"/>
      <c r="I62" s="151"/>
      <c r="J62" s="149"/>
      <c r="K62" s="151"/>
      <c r="L62" s="151"/>
      <c r="M62" s="151"/>
      <c r="N62" s="151"/>
      <c r="O62" s="151"/>
      <c r="P62" s="151"/>
      <c r="Q62" s="152" t="str">
        <f t="shared" si="0"/>
        <v/>
      </c>
      <c r="R62" s="151"/>
      <c r="S62" s="151"/>
      <c r="T62" s="153" t="str">
        <f t="shared" si="1"/>
        <v/>
      </c>
      <c r="U62" s="151"/>
      <c r="V62" s="154" t="str">
        <f t="shared" si="2"/>
        <v/>
      </c>
      <c r="W62" s="151"/>
      <c r="X62" s="149"/>
      <c r="Y62" s="151"/>
      <c r="Z62" s="151"/>
      <c r="AA62" s="151"/>
      <c r="AB62" s="149"/>
      <c r="AC62" s="151"/>
    </row>
    <row r="63" spans="1:29" x14ac:dyDescent="0.15">
      <c r="A63" s="149"/>
      <c r="B63" s="149"/>
      <c r="C63" s="149"/>
      <c r="D63" s="150"/>
      <c r="E63" s="149"/>
      <c r="F63" s="149"/>
      <c r="G63" s="149"/>
      <c r="H63" s="151"/>
      <c r="I63" s="151"/>
      <c r="J63" s="149"/>
      <c r="K63" s="151"/>
      <c r="L63" s="151"/>
      <c r="M63" s="151"/>
      <c r="N63" s="151"/>
      <c r="O63" s="151"/>
      <c r="P63" s="151"/>
      <c r="Q63" s="152" t="str">
        <f t="shared" si="0"/>
        <v/>
      </c>
      <c r="R63" s="151"/>
      <c r="S63" s="151"/>
      <c r="T63" s="153" t="str">
        <f t="shared" si="1"/>
        <v/>
      </c>
      <c r="U63" s="151"/>
      <c r="V63" s="154" t="str">
        <f t="shared" si="2"/>
        <v/>
      </c>
      <c r="W63" s="151"/>
      <c r="X63" s="149"/>
      <c r="Y63" s="151"/>
      <c r="Z63" s="151"/>
      <c r="AA63" s="151"/>
      <c r="AB63" s="149"/>
      <c r="AC63" s="151"/>
    </row>
    <row r="64" spans="1:29" x14ac:dyDescent="0.15">
      <c r="A64" s="149"/>
      <c r="B64" s="149"/>
      <c r="C64" s="149"/>
      <c r="D64" s="150"/>
      <c r="E64" s="149"/>
      <c r="F64" s="149"/>
      <c r="G64" s="149"/>
      <c r="H64" s="151"/>
      <c r="I64" s="151"/>
      <c r="J64" s="149"/>
      <c r="K64" s="151"/>
      <c r="L64" s="151"/>
      <c r="M64" s="151"/>
      <c r="N64" s="151"/>
      <c r="O64" s="151"/>
      <c r="P64" s="151"/>
      <c r="Q64" s="152" t="str">
        <f t="shared" si="0"/>
        <v/>
      </c>
      <c r="R64" s="151"/>
      <c r="S64" s="151"/>
      <c r="T64" s="153" t="str">
        <f t="shared" si="1"/>
        <v/>
      </c>
      <c r="U64" s="151"/>
      <c r="V64" s="154" t="str">
        <f t="shared" si="2"/>
        <v/>
      </c>
      <c r="W64" s="151"/>
      <c r="X64" s="149"/>
      <c r="Y64" s="151"/>
      <c r="Z64" s="151"/>
      <c r="AA64" s="151"/>
      <c r="AB64" s="149"/>
      <c r="AC64" s="151"/>
    </row>
    <row r="65" spans="1:29" x14ac:dyDescent="0.15">
      <c r="A65" s="149"/>
      <c r="B65" s="149"/>
      <c r="C65" s="149"/>
      <c r="D65" s="150"/>
      <c r="E65" s="149"/>
      <c r="F65" s="149"/>
      <c r="G65" s="149"/>
      <c r="H65" s="151"/>
      <c r="I65" s="151"/>
      <c r="J65" s="149"/>
      <c r="K65" s="151"/>
      <c r="L65" s="151"/>
      <c r="M65" s="151"/>
      <c r="N65" s="151"/>
      <c r="O65" s="151"/>
      <c r="P65" s="151"/>
      <c r="Q65" s="152" t="str">
        <f t="shared" si="0"/>
        <v/>
      </c>
      <c r="R65" s="151"/>
      <c r="S65" s="151"/>
      <c r="T65" s="153" t="str">
        <f t="shared" si="1"/>
        <v/>
      </c>
      <c r="U65" s="151"/>
      <c r="V65" s="154" t="str">
        <f t="shared" si="2"/>
        <v/>
      </c>
      <c r="W65" s="151"/>
      <c r="X65" s="149"/>
      <c r="Y65" s="151"/>
      <c r="Z65" s="151"/>
      <c r="AA65" s="151"/>
      <c r="AB65" s="149"/>
      <c r="AC65" s="155"/>
    </row>
    <row r="66" spans="1:29" x14ac:dyDescent="0.15">
      <c r="A66" s="149"/>
      <c r="B66" s="149"/>
      <c r="C66" s="149"/>
      <c r="D66" s="150"/>
      <c r="E66" s="149"/>
      <c r="F66" s="149"/>
      <c r="G66" s="149"/>
      <c r="H66" s="151"/>
      <c r="I66" s="151"/>
      <c r="J66" s="149"/>
      <c r="K66" s="151"/>
      <c r="L66" s="151"/>
      <c r="M66" s="151"/>
      <c r="N66" s="151"/>
      <c r="O66" s="151"/>
      <c r="P66" s="151"/>
      <c r="Q66" s="152" t="str">
        <f t="shared" ref="Q66:Q73" si="3">IF(OR(O66="",P66=""),"",AVERAGE(O66,P66))</f>
        <v/>
      </c>
      <c r="R66" s="151"/>
      <c r="S66" s="151"/>
      <c r="T66" s="153" t="str">
        <f t="shared" ref="T66:T73" si="4">IF(H66="","",IF(OR(H66="GREEN",H66="GK"),IF(S66&gt;=$AX$2,VLOOKUP(S66,$AX$2:$AY$15,2,1),""),IF(S66&gt;=$AZ$2,VLOOKUP(S66,$AZ$2:$BA$15,2,1),"")))</f>
        <v/>
      </c>
      <c r="U66" s="151"/>
      <c r="V66" s="154" t="str">
        <f t="shared" ref="V66:V73" si="5">IF(OR(N66="",U66="",T66=""),"",U66/N66*T66)</f>
        <v/>
      </c>
      <c r="W66" s="151"/>
      <c r="X66" s="149"/>
      <c r="Y66" s="151"/>
      <c r="Z66" s="151"/>
      <c r="AA66" s="151"/>
      <c r="AB66" s="149"/>
      <c r="AC66" s="155"/>
    </row>
    <row r="67" spans="1:29" x14ac:dyDescent="0.15">
      <c r="A67" s="149"/>
      <c r="B67" s="149"/>
      <c r="C67" s="149"/>
      <c r="D67" s="150"/>
      <c r="E67" s="149"/>
      <c r="F67" s="149"/>
      <c r="G67" s="149"/>
      <c r="H67" s="151"/>
      <c r="I67" s="151"/>
      <c r="J67" s="149"/>
      <c r="K67" s="151"/>
      <c r="L67" s="151"/>
      <c r="M67" s="151"/>
      <c r="N67" s="151"/>
      <c r="O67" s="151"/>
      <c r="P67" s="151"/>
      <c r="Q67" s="152" t="str">
        <f t="shared" si="3"/>
        <v/>
      </c>
      <c r="R67" s="155"/>
      <c r="S67" s="151"/>
      <c r="T67" s="153" t="str">
        <f t="shared" si="4"/>
        <v/>
      </c>
      <c r="U67" s="151"/>
      <c r="V67" s="154" t="str">
        <f t="shared" si="5"/>
        <v/>
      </c>
      <c r="W67" s="151"/>
      <c r="X67" s="149"/>
      <c r="Y67" s="151"/>
      <c r="Z67" s="151"/>
      <c r="AA67" s="151"/>
      <c r="AB67" s="149"/>
      <c r="AC67" s="155"/>
    </row>
    <row r="68" spans="1:29" x14ac:dyDescent="0.15">
      <c r="A68" s="149"/>
      <c r="B68" s="149"/>
      <c r="C68" s="149"/>
      <c r="D68" s="150"/>
      <c r="E68" s="151"/>
      <c r="F68" s="149"/>
      <c r="G68" s="149"/>
      <c r="H68" s="151"/>
      <c r="I68" s="151"/>
      <c r="J68" s="149"/>
      <c r="K68" s="151"/>
      <c r="L68" s="151"/>
      <c r="M68" s="151"/>
      <c r="N68" s="151"/>
      <c r="O68" s="151"/>
      <c r="P68" s="151"/>
      <c r="Q68" s="152" t="str">
        <f t="shared" si="3"/>
        <v/>
      </c>
      <c r="R68" s="151"/>
      <c r="S68" s="151"/>
      <c r="T68" s="153" t="str">
        <f t="shared" si="4"/>
        <v/>
      </c>
      <c r="U68" s="151"/>
      <c r="V68" s="154" t="str">
        <f t="shared" si="5"/>
        <v/>
      </c>
      <c r="W68" s="151"/>
      <c r="X68" s="149"/>
      <c r="Y68" s="151"/>
      <c r="Z68" s="151"/>
      <c r="AA68" s="151"/>
      <c r="AB68" s="149"/>
      <c r="AC68" s="155"/>
    </row>
    <row r="69" spans="1:29" x14ac:dyDescent="0.15">
      <c r="A69" s="149"/>
      <c r="B69" s="149"/>
      <c r="C69" s="149"/>
      <c r="D69" s="150"/>
      <c r="E69" s="151"/>
      <c r="F69" s="149"/>
      <c r="G69" s="149"/>
      <c r="H69" s="151"/>
      <c r="I69" s="151"/>
      <c r="J69" s="149"/>
      <c r="K69" s="151"/>
      <c r="L69" s="151"/>
      <c r="M69" s="151"/>
      <c r="N69" s="151"/>
      <c r="O69" s="151"/>
      <c r="P69" s="151"/>
      <c r="Q69" s="152" t="str">
        <f t="shared" si="3"/>
        <v/>
      </c>
      <c r="R69" s="155"/>
      <c r="S69" s="151"/>
      <c r="T69" s="153" t="str">
        <f t="shared" si="4"/>
        <v/>
      </c>
      <c r="U69" s="151"/>
      <c r="V69" s="154" t="str">
        <f t="shared" si="5"/>
        <v/>
      </c>
      <c r="W69" s="151"/>
      <c r="X69" s="149"/>
      <c r="Y69" s="151"/>
      <c r="Z69" s="151"/>
      <c r="AA69" s="151"/>
      <c r="AB69" s="149"/>
      <c r="AC69" s="155"/>
    </row>
    <row r="70" spans="1:29" x14ac:dyDescent="0.15">
      <c r="A70" s="149"/>
      <c r="B70" s="149"/>
      <c r="C70" s="149"/>
      <c r="D70" s="150"/>
      <c r="E70" s="151"/>
      <c r="F70" s="149"/>
      <c r="G70" s="149"/>
      <c r="H70" s="151"/>
      <c r="I70" s="151"/>
      <c r="J70" s="149"/>
      <c r="K70" s="151"/>
      <c r="L70" s="151"/>
      <c r="M70" s="151"/>
      <c r="N70" s="151"/>
      <c r="O70" s="151"/>
      <c r="P70" s="151"/>
      <c r="Q70" s="152" t="str">
        <f t="shared" si="3"/>
        <v/>
      </c>
      <c r="R70" s="155"/>
      <c r="S70" s="151"/>
      <c r="T70" s="153" t="str">
        <f t="shared" si="4"/>
        <v/>
      </c>
      <c r="U70" s="151"/>
      <c r="V70" s="154" t="str">
        <f t="shared" si="5"/>
        <v/>
      </c>
      <c r="W70" s="151"/>
      <c r="X70" s="149"/>
      <c r="Y70" s="151"/>
      <c r="Z70" s="151"/>
      <c r="AA70" s="151"/>
      <c r="AB70" s="149"/>
      <c r="AC70" s="155"/>
    </row>
    <row r="71" spans="1:29" x14ac:dyDescent="0.15">
      <c r="A71" s="149"/>
      <c r="B71" s="149"/>
      <c r="C71" s="149"/>
      <c r="D71" s="150"/>
      <c r="E71" s="151"/>
      <c r="F71" s="151"/>
      <c r="G71" s="149"/>
      <c r="H71" s="151"/>
      <c r="I71" s="151"/>
      <c r="J71" s="149"/>
      <c r="K71" s="151"/>
      <c r="L71" s="151"/>
      <c r="M71" s="151"/>
      <c r="N71" s="151"/>
      <c r="O71" s="151"/>
      <c r="P71" s="151"/>
      <c r="Q71" s="152" t="str">
        <f t="shared" si="3"/>
        <v/>
      </c>
      <c r="R71" s="151"/>
      <c r="S71" s="151"/>
      <c r="T71" s="153" t="str">
        <f t="shared" si="4"/>
        <v/>
      </c>
      <c r="U71" s="151"/>
      <c r="V71" s="154" t="str">
        <f t="shared" si="5"/>
        <v/>
      </c>
      <c r="W71" s="151"/>
      <c r="X71" s="149"/>
      <c r="Y71" s="151"/>
      <c r="Z71" s="151"/>
      <c r="AA71" s="151"/>
      <c r="AB71" s="149"/>
      <c r="AC71" s="155"/>
    </row>
    <row r="72" spans="1:29" x14ac:dyDescent="0.15">
      <c r="A72" s="149"/>
      <c r="B72" s="149"/>
      <c r="C72" s="149"/>
      <c r="D72" s="150"/>
      <c r="E72" s="151"/>
      <c r="F72" s="151"/>
      <c r="G72" s="149"/>
      <c r="H72" s="151"/>
      <c r="I72" s="151"/>
      <c r="J72" s="149"/>
      <c r="K72" s="151"/>
      <c r="L72" s="151"/>
      <c r="M72" s="151"/>
      <c r="N72" s="151"/>
      <c r="O72" s="151"/>
      <c r="P72" s="151"/>
      <c r="Q72" s="152" t="str">
        <f t="shared" si="3"/>
        <v/>
      </c>
      <c r="R72" s="151"/>
      <c r="S72" s="151"/>
      <c r="T72" s="153" t="str">
        <f t="shared" si="4"/>
        <v/>
      </c>
      <c r="U72" s="151"/>
      <c r="V72" s="154" t="str">
        <f t="shared" si="5"/>
        <v/>
      </c>
      <c r="W72" s="151"/>
      <c r="X72" s="149"/>
      <c r="Y72" s="151"/>
      <c r="Z72" s="151"/>
      <c r="AA72" s="151"/>
      <c r="AB72" s="149"/>
      <c r="AC72" s="155"/>
    </row>
    <row r="73" spans="1:29" x14ac:dyDescent="0.15">
      <c r="A73" s="149"/>
      <c r="B73" s="149"/>
      <c r="C73" s="149"/>
      <c r="D73" s="150"/>
      <c r="E73" s="151"/>
      <c r="F73" s="151"/>
      <c r="G73" s="149"/>
      <c r="H73" s="151"/>
      <c r="I73" s="151"/>
      <c r="J73" s="149"/>
      <c r="K73" s="151"/>
      <c r="L73" s="151"/>
      <c r="M73" s="151"/>
      <c r="N73" s="151"/>
      <c r="O73" s="151"/>
      <c r="P73" s="151"/>
      <c r="Q73" s="152" t="str">
        <f t="shared" si="3"/>
        <v/>
      </c>
      <c r="R73" s="151"/>
      <c r="S73" s="151"/>
      <c r="T73" s="153" t="str">
        <f t="shared" si="4"/>
        <v/>
      </c>
      <c r="U73" s="151"/>
      <c r="V73" s="154" t="str">
        <f t="shared" si="5"/>
        <v/>
      </c>
      <c r="W73" s="151"/>
      <c r="X73" s="149"/>
      <c r="Y73" s="151"/>
      <c r="Z73" s="151"/>
      <c r="AA73" s="151"/>
      <c r="AB73" s="149"/>
      <c r="AC73" s="155"/>
    </row>
    <row r="74" spans="1:29" x14ac:dyDescent="0.15">
      <c r="A74" s="149"/>
      <c r="B74" s="149"/>
      <c r="C74" s="149"/>
      <c r="D74" s="150"/>
      <c r="E74" s="151"/>
      <c r="F74" s="151"/>
      <c r="G74" s="149"/>
      <c r="H74" s="151"/>
      <c r="I74" s="151"/>
      <c r="J74" s="149"/>
      <c r="K74" s="151"/>
      <c r="L74" s="151"/>
      <c r="M74" s="151"/>
      <c r="N74" s="151"/>
      <c r="O74" s="151"/>
      <c r="P74" s="151"/>
      <c r="Q74" s="152"/>
      <c r="R74" s="151"/>
      <c r="S74" s="151"/>
      <c r="T74" s="153"/>
      <c r="U74" s="151"/>
      <c r="V74" s="154"/>
      <c r="W74" s="151"/>
      <c r="X74" s="149"/>
      <c r="Y74" s="151"/>
      <c r="Z74" s="151"/>
      <c r="AA74" s="151"/>
      <c r="AB74" s="149"/>
      <c r="AC74" s="151"/>
    </row>
    <row r="75" spans="1:29" x14ac:dyDescent="0.15">
      <c r="A75" s="149"/>
      <c r="B75" s="149"/>
      <c r="C75" s="149"/>
      <c r="D75" s="150"/>
      <c r="E75" s="151"/>
      <c r="F75" s="151"/>
      <c r="G75" s="149"/>
      <c r="H75" s="151"/>
      <c r="I75" s="151"/>
      <c r="J75" s="149"/>
      <c r="K75" s="151"/>
      <c r="L75" s="151"/>
      <c r="M75" s="151"/>
      <c r="N75" s="151"/>
      <c r="O75" s="151"/>
      <c r="P75" s="151"/>
      <c r="Q75" s="152"/>
      <c r="R75" s="151"/>
      <c r="S75" s="151"/>
      <c r="T75" s="153"/>
      <c r="U75" s="151"/>
      <c r="V75" s="154"/>
      <c r="W75" s="151"/>
      <c r="X75" s="149"/>
      <c r="Y75" s="151"/>
      <c r="Z75" s="151"/>
      <c r="AA75" s="151"/>
      <c r="AB75" s="149"/>
      <c r="AC75" s="151"/>
    </row>
    <row r="76" spans="1:29" x14ac:dyDescent="0.15">
      <c r="A76" s="149"/>
      <c r="B76" s="149"/>
      <c r="C76" s="149"/>
      <c r="D76" s="150"/>
      <c r="E76" s="151"/>
      <c r="F76" s="151"/>
      <c r="G76" s="149"/>
      <c r="H76" s="151"/>
      <c r="I76" s="151"/>
      <c r="J76" s="149"/>
      <c r="K76" s="151"/>
      <c r="L76" s="151"/>
      <c r="M76" s="151"/>
      <c r="N76" s="151"/>
      <c r="O76" s="151"/>
      <c r="P76" s="151"/>
      <c r="Q76" s="152"/>
      <c r="R76" s="151"/>
      <c r="S76" s="151"/>
      <c r="T76" s="153"/>
      <c r="U76" s="151"/>
      <c r="V76" s="154"/>
      <c r="W76" s="151"/>
      <c r="X76" s="149"/>
      <c r="Y76" s="151"/>
      <c r="Z76" s="151"/>
      <c r="AA76" s="151"/>
      <c r="AB76" s="149"/>
      <c r="AC76" s="151"/>
    </row>
    <row r="77" spans="1:29" x14ac:dyDescent="0.15">
      <c r="A77" s="149"/>
      <c r="B77" s="149"/>
      <c r="C77" s="149"/>
      <c r="D77" s="150"/>
      <c r="E77" s="151"/>
      <c r="F77" s="151"/>
      <c r="G77" s="149"/>
      <c r="H77" s="151"/>
      <c r="I77" s="151"/>
      <c r="J77" s="149"/>
      <c r="K77" s="151"/>
      <c r="L77" s="151"/>
      <c r="M77" s="151"/>
      <c r="N77" s="151"/>
      <c r="O77" s="151"/>
      <c r="P77" s="151"/>
      <c r="Q77" s="152" t="str">
        <f t="shared" ref="Q77:Q79" si="6">IF(OR(O77="",P77=""),"",AVERAGE(O77,P77))</f>
        <v/>
      </c>
      <c r="R77" s="151"/>
      <c r="S77" s="151"/>
      <c r="T77" s="153" t="str">
        <f t="shared" ref="T77:T79" si="7">IF(H77="","",IF(OR(H77="GREEN",H77="GK"),IF(S77&gt;=$AX$2,VLOOKUP(S77,$AX$2:$AY$15,2,1),""),IF(S77&gt;=$AZ$2,VLOOKUP(S77,$AZ$2:$BA$15,2,1),"")))</f>
        <v/>
      </c>
      <c r="U77" s="151"/>
      <c r="V77" s="154" t="str">
        <f t="shared" ref="V77:V79" si="8">IF(OR(N77="",U77="",T77=""),"",U77/N77*T77)</f>
        <v/>
      </c>
      <c r="W77" s="151"/>
      <c r="X77" s="149"/>
      <c r="Y77" s="151"/>
      <c r="Z77" s="151"/>
      <c r="AA77" s="151"/>
      <c r="AB77" s="149"/>
      <c r="AC77" s="151"/>
    </row>
    <row r="78" spans="1:29" x14ac:dyDescent="0.15">
      <c r="A78" s="149"/>
      <c r="B78" s="149"/>
      <c r="C78" s="149"/>
      <c r="D78" s="150"/>
      <c r="E78" s="151"/>
      <c r="F78" s="151"/>
      <c r="G78" s="149"/>
      <c r="H78" s="151"/>
      <c r="I78" s="151"/>
      <c r="J78" s="149"/>
      <c r="K78" s="151"/>
      <c r="L78" s="151"/>
      <c r="M78" s="151"/>
      <c r="N78" s="151"/>
      <c r="O78" s="151"/>
      <c r="P78" s="151"/>
      <c r="Q78" s="152" t="str">
        <f t="shared" si="6"/>
        <v/>
      </c>
      <c r="R78" s="151"/>
      <c r="S78" s="151"/>
      <c r="T78" s="153" t="str">
        <f t="shared" si="7"/>
        <v/>
      </c>
      <c r="U78" s="151"/>
      <c r="V78" s="154" t="str">
        <f t="shared" si="8"/>
        <v/>
      </c>
      <c r="W78" s="151"/>
      <c r="X78" s="149"/>
      <c r="Y78" s="151"/>
      <c r="Z78" s="151"/>
      <c r="AA78" s="151"/>
      <c r="AB78" s="149"/>
      <c r="AC78" s="151"/>
    </row>
    <row r="79" spans="1:29" x14ac:dyDescent="0.15">
      <c r="A79" s="149"/>
      <c r="B79" s="149"/>
      <c r="C79" s="149"/>
      <c r="D79" s="150"/>
      <c r="E79" s="151"/>
      <c r="F79" s="151"/>
      <c r="G79" s="149"/>
      <c r="H79" s="151"/>
      <c r="I79" s="151"/>
      <c r="J79" s="149"/>
      <c r="K79" s="151"/>
      <c r="L79" s="151"/>
      <c r="M79" s="151"/>
      <c r="N79" s="151"/>
      <c r="O79" s="151"/>
      <c r="P79" s="151"/>
      <c r="Q79" s="152" t="str">
        <f t="shared" si="6"/>
        <v/>
      </c>
      <c r="R79" s="151"/>
      <c r="S79" s="151"/>
      <c r="T79" s="153" t="str">
        <f t="shared" si="7"/>
        <v/>
      </c>
      <c r="U79" s="151"/>
      <c r="V79" s="154" t="str">
        <f t="shared" si="8"/>
        <v/>
      </c>
      <c r="W79" s="151"/>
      <c r="X79" s="149"/>
      <c r="Y79" s="151"/>
      <c r="Z79" s="151"/>
      <c r="AA79" s="151"/>
      <c r="AB79" s="149"/>
      <c r="AC79" s="151"/>
    </row>
    <row r="80" spans="1:29" x14ac:dyDescent="0.15">
      <c r="A80" s="149"/>
      <c r="B80" s="149"/>
      <c r="C80" s="149"/>
      <c r="D80" s="150"/>
      <c r="E80" s="151"/>
      <c r="F80" s="151"/>
      <c r="G80" s="149"/>
      <c r="H80" s="151"/>
      <c r="I80" s="151"/>
      <c r="J80" s="149"/>
      <c r="K80" s="151"/>
      <c r="L80" s="151"/>
      <c r="M80" s="151"/>
      <c r="N80" s="151"/>
      <c r="O80" s="151"/>
      <c r="P80" s="151"/>
      <c r="Q80" s="152"/>
      <c r="R80" s="151"/>
      <c r="S80" s="151"/>
      <c r="T80" s="153"/>
      <c r="U80" s="151"/>
      <c r="V80" s="154"/>
      <c r="W80" s="151"/>
      <c r="X80" s="149"/>
      <c r="Y80" s="151"/>
      <c r="Z80" s="151"/>
      <c r="AA80" s="151"/>
      <c r="AB80" s="149"/>
      <c r="AC80" s="151"/>
    </row>
    <row r="81" spans="1:29" x14ac:dyDescent="0.15">
      <c r="A81" s="149"/>
      <c r="B81" s="149"/>
      <c r="C81" s="149"/>
      <c r="D81" s="150"/>
      <c r="E81" s="151"/>
      <c r="F81" s="151"/>
      <c r="G81" s="149"/>
      <c r="H81" s="151"/>
      <c r="I81" s="151"/>
      <c r="J81" s="149"/>
      <c r="K81" s="151"/>
      <c r="L81" s="151"/>
      <c r="M81" s="151"/>
      <c r="N81" s="151"/>
      <c r="O81" s="151"/>
      <c r="P81" s="151"/>
      <c r="Q81" s="152"/>
      <c r="R81" s="151"/>
      <c r="S81" s="151"/>
      <c r="T81" s="153"/>
      <c r="U81" s="151"/>
      <c r="V81" s="154"/>
      <c r="W81" s="151"/>
      <c r="X81" s="149"/>
      <c r="Y81" s="151"/>
      <c r="Z81" s="151"/>
      <c r="AA81" s="151"/>
      <c r="AB81" s="149"/>
      <c r="AC81" s="151"/>
    </row>
    <row r="82" spans="1:29" x14ac:dyDescent="0.15">
      <c r="A82" s="149"/>
      <c r="B82" s="149"/>
      <c r="C82" s="149"/>
      <c r="D82" s="150"/>
      <c r="E82" s="151"/>
      <c r="F82" s="151"/>
      <c r="G82" s="149"/>
      <c r="H82" s="151"/>
      <c r="I82" s="151"/>
      <c r="J82" s="149"/>
      <c r="K82" s="151"/>
      <c r="L82" s="151"/>
      <c r="M82" s="151"/>
      <c r="N82" s="151"/>
      <c r="O82" s="151"/>
      <c r="P82" s="151"/>
      <c r="Q82" s="152"/>
      <c r="R82" s="151"/>
      <c r="S82" s="151"/>
      <c r="T82" s="153"/>
      <c r="U82" s="151"/>
      <c r="V82" s="154"/>
      <c r="W82" s="151"/>
      <c r="X82" s="149"/>
      <c r="Y82" s="151"/>
      <c r="Z82" s="151"/>
      <c r="AA82" s="151"/>
      <c r="AB82" s="149"/>
      <c r="AC82" s="151"/>
    </row>
    <row r="83" spans="1:29" x14ac:dyDescent="0.15">
      <c r="A83" s="149"/>
      <c r="B83" s="149"/>
      <c r="C83" s="149"/>
      <c r="D83" s="150"/>
      <c r="E83" s="151"/>
      <c r="F83" s="151"/>
      <c r="G83" s="149"/>
      <c r="H83" s="151"/>
      <c r="I83" s="151"/>
      <c r="J83" s="149"/>
      <c r="K83" s="151"/>
      <c r="L83" s="151"/>
      <c r="M83" s="151"/>
      <c r="N83" s="151"/>
      <c r="O83" s="151"/>
      <c r="P83" s="151"/>
      <c r="Q83" s="152"/>
      <c r="R83" s="151"/>
      <c r="S83" s="151"/>
      <c r="T83" s="153"/>
      <c r="U83" s="151"/>
      <c r="V83" s="154"/>
      <c r="W83" s="151"/>
      <c r="X83" s="149"/>
      <c r="Y83" s="151"/>
      <c r="Z83" s="151"/>
      <c r="AA83" s="151"/>
      <c r="AB83" s="149"/>
      <c r="AC83" s="151"/>
    </row>
    <row r="84" spans="1:29" x14ac:dyDescent="0.15">
      <c r="A84" s="149"/>
      <c r="B84" s="149"/>
      <c r="C84" s="149"/>
      <c r="D84" s="150"/>
      <c r="E84" s="151"/>
      <c r="F84" s="151"/>
      <c r="G84" s="149"/>
      <c r="H84" s="151"/>
      <c r="I84" s="151"/>
      <c r="J84" s="149"/>
      <c r="K84" s="151"/>
      <c r="L84" s="151"/>
      <c r="M84" s="151"/>
      <c r="N84" s="151"/>
      <c r="O84" s="151"/>
      <c r="P84" s="151"/>
      <c r="Q84" s="152"/>
      <c r="R84" s="151"/>
      <c r="S84" s="151"/>
      <c r="T84" s="153"/>
      <c r="U84" s="151"/>
      <c r="V84" s="154"/>
      <c r="W84" s="151"/>
      <c r="X84" s="149"/>
      <c r="Y84" s="151"/>
      <c r="Z84" s="151"/>
      <c r="AA84" s="151"/>
      <c r="AB84" s="149"/>
      <c r="AC84" s="151"/>
    </row>
    <row r="85" spans="1:29" x14ac:dyDescent="0.15">
      <c r="A85" s="149"/>
      <c r="B85" s="149"/>
      <c r="C85" s="149"/>
      <c r="D85" s="150"/>
      <c r="E85" s="151"/>
      <c r="F85" s="151"/>
      <c r="G85" s="149"/>
      <c r="H85" s="151"/>
      <c r="I85" s="151"/>
      <c r="J85" s="149"/>
      <c r="K85" s="151"/>
      <c r="L85" s="151"/>
      <c r="M85" s="151"/>
      <c r="N85" s="151"/>
      <c r="O85" s="151"/>
      <c r="P85" s="151"/>
      <c r="Q85" s="152"/>
      <c r="R85" s="151"/>
      <c r="S85" s="151"/>
      <c r="T85" s="153"/>
      <c r="U85" s="151"/>
      <c r="V85" s="154"/>
      <c r="W85" s="151"/>
      <c r="X85" s="149"/>
      <c r="Y85" s="151"/>
      <c r="Z85" s="151"/>
      <c r="AA85" s="151"/>
      <c r="AB85" s="149"/>
      <c r="AC85" s="151"/>
    </row>
    <row r="86" spans="1:29" x14ac:dyDescent="0.15">
      <c r="A86" s="149"/>
      <c r="B86" s="149"/>
      <c r="C86" s="149"/>
      <c r="D86" s="150"/>
      <c r="E86" s="151"/>
      <c r="F86" s="151"/>
      <c r="G86" s="149"/>
      <c r="H86" s="151"/>
      <c r="I86" s="151"/>
      <c r="J86" s="149"/>
      <c r="K86" s="151"/>
      <c r="L86" s="151"/>
      <c r="M86" s="151"/>
      <c r="N86" s="151"/>
      <c r="O86" s="151"/>
      <c r="P86" s="151"/>
      <c r="Q86" s="152"/>
      <c r="R86" s="151"/>
      <c r="S86" s="151"/>
      <c r="T86" s="153"/>
      <c r="U86" s="151"/>
      <c r="V86" s="154"/>
      <c r="W86" s="151"/>
      <c r="X86" s="149"/>
      <c r="Y86" s="151"/>
      <c r="Z86" s="151"/>
      <c r="AA86" s="151"/>
      <c r="AB86" s="149"/>
      <c r="AC86" s="151"/>
    </row>
    <row r="87" spans="1:29" x14ac:dyDescent="0.15">
      <c r="A87" s="149"/>
      <c r="B87" s="149"/>
      <c r="C87" s="149"/>
      <c r="D87" s="150"/>
      <c r="E87" s="151"/>
      <c r="F87" s="151"/>
      <c r="G87" s="149"/>
      <c r="H87" s="151"/>
      <c r="I87" s="151"/>
      <c r="J87" s="149"/>
      <c r="K87" s="151"/>
      <c r="L87" s="151"/>
      <c r="M87" s="151"/>
      <c r="N87" s="151"/>
      <c r="O87" s="151"/>
      <c r="P87" s="151"/>
      <c r="Q87" s="152"/>
      <c r="R87" s="151"/>
      <c r="S87" s="151"/>
      <c r="T87" s="153"/>
      <c r="U87" s="151"/>
      <c r="V87" s="154"/>
      <c r="W87" s="151"/>
      <c r="X87" s="149"/>
      <c r="Y87" s="151"/>
      <c r="Z87" s="151"/>
      <c r="AA87" s="151"/>
      <c r="AB87" s="149"/>
      <c r="AC87" s="151"/>
    </row>
    <row r="88" spans="1:29" x14ac:dyDescent="0.15">
      <c r="A88" s="149"/>
      <c r="B88" s="149"/>
      <c r="C88" s="149"/>
      <c r="D88" s="150"/>
      <c r="E88" s="151"/>
      <c r="F88" s="151"/>
      <c r="G88" s="149"/>
      <c r="H88" s="151"/>
      <c r="I88" s="151"/>
      <c r="J88" s="149"/>
      <c r="K88" s="151"/>
      <c r="L88" s="151"/>
      <c r="M88" s="151"/>
      <c r="N88" s="151"/>
      <c r="O88" s="151"/>
      <c r="P88" s="151"/>
      <c r="Q88" s="152"/>
      <c r="R88" s="151"/>
      <c r="S88" s="151"/>
      <c r="T88" s="153"/>
      <c r="U88" s="151"/>
      <c r="V88" s="154"/>
      <c r="W88" s="151"/>
      <c r="X88" s="149"/>
      <c r="Y88" s="151"/>
      <c r="Z88" s="151"/>
      <c r="AA88" s="151"/>
      <c r="AB88" s="149"/>
      <c r="AC88" s="151"/>
    </row>
    <row r="89" spans="1:29" x14ac:dyDescent="0.15">
      <c r="A89" s="149"/>
      <c r="B89" s="149"/>
      <c r="C89" s="149"/>
      <c r="D89" s="150"/>
      <c r="E89" s="151"/>
      <c r="F89" s="151"/>
      <c r="G89" s="149"/>
      <c r="H89" s="151"/>
      <c r="I89" s="151"/>
      <c r="J89" s="149"/>
      <c r="K89" s="151"/>
      <c r="L89" s="151"/>
      <c r="M89" s="151"/>
      <c r="N89" s="151"/>
      <c r="O89" s="151"/>
      <c r="P89" s="151"/>
      <c r="Q89" s="152"/>
      <c r="R89" s="151"/>
      <c r="S89" s="151"/>
      <c r="T89" s="153"/>
      <c r="U89" s="151"/>
      <c r="V89" s="154"/>
      <c r="W89" s="151"/>
      <c r="X89" s="149"/>
      <c r="Y89" s="151"/>
      <c r="Z89" s="151"/>
      <c r="AA89" s="151"/>
      <c r="AB89" s="149"/>
      <c r="AC89" s="151"/>
    </row>
    <row r="90" spans="1:29" x14ac:dyDescent="0.15">
      <c r="A90" s="149"/>
      <c r="B90" s="149"/>
      <c r="C90" s="149"/>
      <c r="D90" s="150"/>
      <c r="E90" s="151"/>
      <c r="F90" s="151"/>
      <c r="G90" s="149"/>
      <c r="H90" s="151"/>
      <c r="I90" s="151"/>
      <c r="J90" s="149"/>
      <c r="K90" s="151"/>
      <c r="L90" s="151"/>
      <c r="M90" s="151"/>
      <c r="N90" s="151"/>
      <c r="O90" s="151"/>
      <c r="P90" s="151"/>
      <c r="Q90" s="152"/>
      <c r="R90" s="151"/>
      <c r="S90" s="151"/>
      <c r="T90" s="153"/>
      <c r="U90" s="151"/>
      <c r="V90" s="154"/>
      <c r="W90" s="151"/>
      <c r="X90" s="149"/>
      <c r="Y90" s="151"/>
      <c r="Z90" s="151"/>
      <c r="AA90" s="151"/>
      <c r="AB90" s="149"/>
      <c r="AC90" s="151"/>
    </row>
    <row r="91" spans="1:29" x14ac:dyDescent="0.15">
      <c r="A91" s="149"/>
      <c r="B91" s="149"/>
      <c r="C91" s="149"/>
      <c r="D91" s="150"/>
      <c r="E91" s="151"/>
      <c r="F91" s="151"/>
      <c r="G91" s="149"/>
      <c r="H91" s="151"/>
      <c r="I91" s="151"/>
      <c r="J91" s="149"/>
      <c r="K91" s="151"/>
      <c r="L91" s="151"/>
      <c r="M91" s="151"/>
      <c r="N91" s="151"/>
      <c r="O91" s="151"/>
      <c r="P91" s="151"/>
      <c r="Q91" s="152"/>
      <c r="R91" s="151"/>
      <c r="S91" s="151"/>
      <c r="T91" s="153"/>
      <c r="U91" s="151"/>
      <c r="V91" s="154"/>
      <c r="W91" s="151"/>
      <c r="X91" s="149"/>
      <c r="Y91" s="151"/>
      <c r="Z91" s="151"/>
      <c r="AA91" s="151"/>
      <c r="AB91" s="149"/>
      <c r="AC91" s="151"/>
    </row>
    <row r="92" spans="1:29" x14ac:dyDescent="0.15">
      <c r="A92" s="149"/>
      <c r="B92" s="149"/>
      <c r="C92" s="149"/>
      <c r="D92" s="150"/>
      <c r="E92" s="151"/>
      <c r="F92" s="151"/>
      <c r="G92" s="149"/>
      <c r="H92" s="151"/>
      <c r="I92" s="151"/>
      <c r="J92" s="149"/>
      <c r="K92" s="151"/>
      <c r="L92" s="151"/>
      <c r="M92" s="151"/>
      <c r="N92" s="151"/>
      <c r="O92" s="151"/>
      <c r="P92" s="151"/>
      <c r="Q92" s="152"/>
      <c r="R92" s="151"/>
      <c r="S92" s="151"/>
      <c r="T92" s="153"/>
      <c r="U92" s="151"/>
      <c r="V92" s="154"/>
      <c r="W92" s="151"/>
      <c r="X92" s="149"/>
      <c r="Y92" s="151"/>
      <c r="Z92" s="151"/>
      <c r="AA92" s="151"/>
      <c r="AB92" s="149"/>
      <c r="AC92" s="151"/>
    </row>
    <row r="93" spans="1:29" x14ac:dyDescent="0.15">
      <c r="A93" s="149"/>
      <c r="B93" s="149"/>
      <c r="C93" s="149"/>
      <c r="D93" s="150"/>
      <c r="E93" s="151"/>
      <c r="F93" s="151"/>
      <c r="G93" s="149"/>
      <c r="H93" s="151"/>
      <c r="I93" s="151"/>
      <c r="J93" s="149"/>
      <c r="K93" s="151"/>
      <c r="L93" s="151"/>
      <c r="M93" s="151"/>
      <c r="N93" s="151"/>
      <c r="O93" s="151"/>
      <c r="P93" s="151"/>
      <c r="Q93" s="152"/>
      <c r="R93" s="151"/>
      <c r="S93" s="151"/>
      <c r="T93" s="153"/>
      <c r="U93" s="151"/>
      <c r="V93" s="154"/>
      <c r="W93" s="151"/>
      <c r="X93" s="149"/>
      <c r="Y93" s="151"/>
      <c r="Z93" s="151"/>
      <c r="AA93" s="151"/>
      <c r="AB93" s="149"/>
      <c r="AC93" s="151"/>
    </row>
    <row r="94" spans="1:29" x14ac:dyDescent="0.15">
      <c r="A94" s="149"/>
      <c r="B94" s="149"/>
      <c r="C94" s="149"/>
      <c r="D94" s="150"/>
      <c r="E94" s="151"/>
      <c r="F94" s="151"/>
      <c r="G94" s="149"/>
      <c r="H94" s="151"/>
      <c r="I94" s="151"/>
      <c r="J94" s="149"/>
      <c r="K94" s="151"/>
      <c r="L94" s="151"/>
      <c r="M94" s="151"/>
      <c r="N94" s="151"/>
      <c r="O94" s="151"/>
      <c r="P94" s="151"/>
      <c r="Q94" s="152"/>
      <c r="R94" s="151"/>
      <c r="S94" s="151"/>
      <c r="T94" s="153"/>
      <c r="U94" s="151"/>
      <c r="V94" s="154"/>
      <c r="W94" s="151"/>
      <c r="X94" s="149"/>
      <c r="Y94" s="151"/>
      <c r="Z94" s="151"/>
      <c r="AA94" s="151"/>
      <c r="AB94" s="149"/>
      <c r="AC94" s="151"/>
    </row>
    <row r="95" spans="1:29" x14ac:dyDescent="0.15">
      <c r="K95" s="151"/>
      <c r="AC95" s="151"/>
    </row>
    <row r="96" spans="1:29" x14ac:dyDescent="0.15">
      <c r="A96" s="149"/>
      <c r="B96" s="149"/>
      <c r="C96" s="149"/>
      <c r="D96" s="150"/>
      <c r="E96" s="151"/>
      <c r="F96" s="151"/>
      <c r="G96" s="149"/>
      <c r="H96" s="151"/>
      <c r="I96" s="151"/>
      <c r="J96" s="149"/>
      <c r="K96" s="151"/>
      <c r="L96" s="151"/>
      <c r="M96" s="151"/>
      <c r="N96" s="151"/>
      <c r="O96" s="151"/>
      <c r="P96" s="151"/>
      <c r="Q96" s="152"/>
      <c r="R96" s="151"/>
      <c r="S96" s="151"/>
      <c r="T96" s="153"/>
      <c r="U96" s="151"/>
      <c r="V96" s="154"/>
      <c r="W96" s="151"/>
      <c r="X96" s="149"/>
      <c r="Y96" s="151"/>
      <c r="Z96" s="151"/>
      <c r="AA96" s="151"/>
      <c r="AB96" s="149"/>
      <c r="AC96" s="151"/>
    </row>
    <row r="97" spans="1:29" x14ac:dyDescent="0.15">
      <c r="A97" s="149"/>
      <c r="B97" s="149"/>
      <c r="C97" s="149"/>
      <c r="D97" s="150"/>
      <c r="E97" s="151"/>
      <c r="F97" s="151"/>
      <c r="G97" s="149"/>
      <c r="H97" s="151"/>
      <c r="I97" s="151"/>
      <c r="J97" s="149"/>
      <c r="K97" s="151"/>
      <c r="L97" s="151"/>
      <c r="M97" s="151"/>
      <c r="N97" s="151"/>
      <c r="O97" s="151"/>
      <c r="P97" s="151"/>
      <c r="Q97" s="152"/>
      <c r="R97" s="151"/>
      <c r="S97" s="151"/>
      <c r="T97" s="153"/>
      <c r="U97" s="151"/>
      <c r="V97" s="154"/>
      <c r="W97" s="151"/>
      <c r="X97" s="149"/>
      <c r="Y97" s="151"/>
      <c r="Z97" s="151"/>
      <c r="AA97" s="151"/>
      <c r="AB97" s="149"/>
      <c r="AC97" s="151"/>
    </row>
    <row r="98" spans="1:29" x14ac:dyDescent="0.15">
      <c r="A98" s="149"/>
      <c r="B98" s="149"/>
      <c r="C98" s="149"/>
      <c r="D98" s="150"/>
      <c r="E98" s="151"/>
      <c r="F98" s="151"/>
      <c r="G98" s="149"/>
      <c r="H98" s="151"/>
      <c r="I98" s="151"/>
      <c r="J98" s="149"/>
      <c r="K98" s="151"/>
      <c r="L98" s="151"/>
      <c r="M98" s="151"/>
      <c r="N98" s="151"/>
      <c r="O98" s="151"/>
      <c r="P98" s="151"/>
      <c r="Q98" s="152"/>
      <c r="R98" s="151"/>
      <c r="S98" s="151"/>
      <c r="T98" s="153"/>
      <c r="U98" s="151"/>
      <c r="V98" s="154"/>
      <c r="W98" s="151"/>
      <c r="X98" s="149"/>
      <c r="Y98" s="151"/>
      <c r="Z98" s="151"/>
      <c r="AA98" s="151"/>
      <c r="AB98" s="149"/>
      <c r="AC98" s="151"/>
    </row>
    <row r="99" spans="1:29" x14ac:dyDescent="0.15">
      <c r="A99" s="149"/>
      <c r="B99" s="149"/>
      <c r="C99" s="149"/>
      <c r="D99" s="150"/>
      <c r="E99" s="151"/>
      <c r="F99" s="151"/>
      <c r="G99" s="149"/>
      <c r="H99" s="151"/>
      <c r="I99" s="151"/>
      <c r="J99" s="149"/>
      <c r="K99" s="151"/>
      <c r="L99" s="151"/>
      <c r="M99" s="151"/>
      <c r="N99" s="151"/>
      <c r="O99" s="151"/>
      <c r="P99" s="151"/>
      <c r="Q99" s="152"/>
      <c r="R99" s="151"/>
      <c r="S99" s="151"/>
      <c r="T99" s="153"/>
      <c r="U99" s="151"/>
      <c r="V99" s="154"/>
      <c r="W99" s="151"/>
      <c r="X99" s="149"/>
      <c r="Y99" s="151"/>
      <c r="Z99" s="151"/>
      <c r="AA99" s="151"/>
      <c r="AB99" s="149"/>
      <c r="AC99" s="151"/>
    </row>
    <row r="100" spans="1:29" x14ac:dyDescent="0.15">
      <c r="A100" s="149"/>
      <c r="B100" s="149"/>
      <c r="C100" s="149"/>
      <c r="D100" s="150"/>
      <c r="E100" s="151"/>
      <c r="F100" s="151"/>
      <c r="G100" s="149"/>
      <c r="H100" s="151"/>
      <c r="I100" s="151"/>
      <c r="J100" s="149"/>
      <c r="K100" s="151"/>
      <c r="L100" s="151"/>
      <c r="M100" s="151"/>
      <c r="N100" s="151"/>
      <c r="O100" s="151"/>
      <c r="P100" s="151"/>
      <c r="Q100" s="152"/>
      <c r="R100" s="151"/>
      <c r="S100" s="151"/>
      <c r="T100" s="153"/>
      <c r="U100" s="151"/>
      <c r="V100" s="154"/>
      <c r="W100" s="151"/>
      <c r="X100" s="149"/>
      <c r="Y100" s="151"/>
      <c r="Z100" s="151"/>
      <c r="AA100" s="151"/>
      <c r="AB100" s="149"/>
      <c r="AC100" s="151"/>
    </row>
    <row r="101" spans="1:29" x14ac:dyDescent="0.15">
      <c r="A101" s="149"/>
      <c r="B101" s="149"/>
      <c r="C101" s="149"/>
      <c r="D101" s="150"/>
      <c r="E101" s="151"/>
      <c r="F101" s="151"/>
      <c r="G101" s="149"/>
      <c r="H101" s="151"/>
      <c r="I101" s="151"/>
      <c r="J101" s="149"/>
      <c r="K101" s="151"/>
      <c r="L101" s="151"/>
      <c r="M101" s="151"/>
      <c r="N101" s="151"/>
      <c r="O101" s="151"/>
      <c r="P101" s="151"/>
      <c r="Q101" s="152"/>
      <c r="R101" s="151"/>
      <c r="S101" s="151"/>
      <c r="T101" s="153"/>
      <c r="U101" s="151"/>
      <c r="V101" s="154"/>
      <c r="W101" s="151"/>
      <c r="X101" s="149"/>
      <c r="Y101" s="151"/>
      <c r="Z101" s="151"/>
      <c r="AA101" s="151"/>
      <c r="AB101" s="149"/>
      <c r="AC101" s="151"/>
    </row>
    <row r="102" spans="1:29" x14ac:dyDescent="0.15">
      <c r="A102" s="149"/>
      <c r="B102" s="149"/>
      <c r="C102" s="149"/>
      <c r="D102" s="150"/>
      <c r="E102" s="151"/>
      <c r="F102" s="151"/>
      <c r="G102" s="149"/>
      <c r="H102" s="151"/>
      <c r="I102" s="151"/>
      <c r="J102" s="149"/>
      <c r="K102" s="151"/>
      <c r="L102" s="151"/>
      <c r="M102" s="151"/>
      <c r="N102" s="151"/>
      <c r="O102" s="151"/>
      <c r="P102" s="151"/>
      <c r="Q102" s="152"/>
      <c r="R102" s="151"/>
      <c r="S102" s="151"/>
      <c r="T102" s="153"/>
      <c r="U102" s="151"/>
      <c r="V102" s="154"/>
      <c r="W102" s="151"/>
      <c r="X102" s="149"/>
      <c r="Y102" s="151"/>
      <c r="Z102" s="151"/>
      <c r="AA102" s="151"/>
      <c r="AB102" s="149"/>
      <c r="AC102" s="151"/>
    </row>
    <row r="103" spans="1:29" x14ac:dyDescent="0.15">
      <c r="A103" s="149"/>
      <c r="B103" s="149"/>
      <c r="C103" s="149"/>
      <c r="D103" s="150"/>
      <c r="E103" s="151"/>
      <c r="F103" s="151"/>
      <c r="G103" s="149"/>
      <c r="H103" s="151"/>
      <c r="I103" s="151"/>
      <c r="J103" s="149"/>
      <c r="K103" s="151"/>
      <c r="L103" s="151"/>
      <c r="M103" s="151"/>
      <c r="N103" s="151"/>
      <c r="O103" s="151"/>
      <c r="P103" s="151"/>
      <c r="Q103" s="152"/>
      <c r="R103" s="151"/>
      <c r="S103" s="151"/>
      <c r="T103" s="153"/>
      <c r="U103" s="151"/>
      <c r="V103" s="154"/>
      <c r="W103" s="151"/>
      <c r="X103" s="149"/>
      <c r="Y103" s="151"/>
      <c r="Z103" s="151"/>
      <c r="AA103" s="151"/>
      <c r="AB103" s="149"/>
      <c r="AC103" s="151"/>
    </row>
    <row r="104" spans="1:29" x14ac:dyDescent="0.15">
      <c r="A104" s="149"/>
      <c r="B104" s="149"/>
      <c r="C104" s="149"/>
      <c r="D104" s="150"/>
      <c r="E104" s="151"/>
      <c r="F104" s="151"/>
      <c r="G104" s="149"/>
      <c r="H104" s="151"/>
      <c r="I104" s="151"/>
      <c r="J104" s="149"/>
      <c r="K104" s="151"/>
      <c r="L104" s="151"/>
      <c r="M104" s="151"/>
      <c r="N104" s="151"/>
      <c r="O104" s="151"/>
      <c r="P104" s="151"/>
      <c r="Q104" s="152"/>
      <c r="R104" s="151"/>
      <c r="S104" s="151"/>
      <c r="T104" s="153"/>
      <c r="U104" s="151"/>
      <c r="V104" s="154"/>
      <c r="W104" s="151"/>
      <c r="X104" s="149"/>
      <c r="Y104" s="151"/>
      <c r="Z104" s="151"/>
      <c r="AA104" s="151"/>
      <c r="AB104" s="149"/>
      <c r="AC104" s="151"/>
    </row>
    <row r="105" spans="1:29" x14ac:dyDescent="0.15">
      <c r="A105" s="149"/>
      <c r="B105" s="149"/>
      <c r="C105" s="149"/>
      <c r="D105" s="150"/>
      <c r="E105" s="151"/>
      <c r="F105" s="151"/>
      <c r="G105" s="149"/>
      <c r="H105" s="151"/>
      <c r="I105" s="151"/>
      <c r="J105" s="149"/>
      <c r="K105" s="151"/>
      <c r="L105" s="151"/>
      <c r="M105" s="151"/>
      <c r="N105" s="151"/>
      <c r="O105" s="151"/>
      <c r="P105" s="151"/>
      <c r="Q105" s="152"/>
      <c r="R105" s="151"/>
      <c r="S105" s="151"/>
      <c r="T105" s="153"/>
      <c r="U105" s="151"/>
      <c r="V105" s="154"/>
      <c r="W105" s="151"/>
      <c r="X105" s="149"/>
      <c r="Y105" s="151"/>
      <c r="Z105" s="151"/>
      <c r="AA105" s="151"/>
      <c r="AB105" s="149"/>
      <c r="AC105" s="151"/>
    </row>
    <row r="106" spans="1:29" x14ac:dyDescent="0.15">
      <c r="A106" s="149"/>
      <c r="B106" s="149"/>
      <c r="C106" s="149"/>
      <c r="D106" s="150"/>
      <c r="E106" s="151"/>
      <c r="F106" s="151"/>
      <c r="G106" s="149"/>
      <c r="H106" s="151"/>
      <c r="I106" s="151"/>
      <c r="J106" s="149"/>
      <c r="K106" s="151"/>
      <c r="L106" s="151"/>
      <c r="M106" s="151"/>
      <c r="N106" s="151"/>
      <c r="O106" s="151"/>
      <c r="P106" s="151"/>
      <c r="Q106" s="152"/>
      <c r="R106" s="151"/>
      <c r="S106" s="151"/>
      <c r="T106" s="153"/>
      <c r="U106" s="151"/>
      <c r="V106" s="154"/>
      <c r="W106" s="151"/>
      <c r="X106" s="149"/>
      <c r="Y106" s="151"/>
      <c r="Z106" s="151"/>
      <c r="AA106" s="151"/>
      <c r="AB106" s="149"/>
      <c r="AC106" s="151"/>
    </row>
    <row r="107" spans="1:29" x14ac:dyDescent="0.15">
      <c r="A107" s="149"/>
      <c r="B107" s="149"/>
      <c r="C107" s="149"/>
      <c r="D107" s="150"/>
      <c r="E107" s="151"/>
      <c r="F107" s="151"/>
      <c r="G107" s="149"/>
      <c r="H107" s="151"/>
      <c r="I107" s="151"/>
      <c r="J107" s="149"/>
      <c r="K107" s="151"/>
      <c r="L107" s="151"/>
      <c r="M107" s="151"/>
      <c r="N107" s="151"/>
      <c r="O107" s="151"/>
      <c r="P107" s="151"/>
      <c r="Q107" s="152"/>
      <c r="R107" s="151"/>
      <c r="S107" s="151"/>
      <c r="T107" s="153"/>
      <c r="U107" s="151"/>
      <c r="V107" s="154"/>
      <c r="W107" s="151"/>
      <c r="X107" s="149"/>
      <c r="Y107" s="151"/>
      <c r="Z107" s="151"/>
      <c r="AA107" s="151"/>
      <c r="AB107" s="149"/>
      <c r="AC107" s="151"/>
    </row>
    <row r="108" spans="1:29" x14ac:dyDescent="0.15">
      <c r="A108" s="149"/>
      <c r="B108" s="149"/>
      <c r="C108" s="149"/>
      <c r="D108" s="150"/>
      <c r="E108" s="151"/>
      <c r="F108" s="151"/>
      <c r="G108" s="149"/>
      <c r="H108" s="151"/>
      <c r="I108" s="151"/>
      <c r="J108" s="149"/>
      <c r="K108" s="151"/>
      <c r="L108" s="151"/>
      <c r="M108" s="151"/>
      <c r="N108" s="151"/>
      <c r="O108" s="151"/>
      <c r="P108" s="151"/>
      <c r="Q108" s="152"/>
      <c r="R108" s="151"/>
      <c r="S108" s="151"/>
      <c r="T108" s="153"/>
      <c r="U108" s="151"/>
      <c r="V108" s="154"/>
      <c r="W108" s="151"/>
      <c r="X108" s="149"/>
      <c r="Y108" s="151"/>
      <c r="Z108" s="151"/>
      <c r="AA108" s="151"/>
      <c r="AB108" s="149"/>
      <c r="AC108" s="151"/>
    </row>
    <row r="109" spans="1:29" x14ac:dyDescent="0.15">
      <c r="A109" s="149"/>
      <c r="B109" s="149"/>
      <c r="C109" s="149"/>
      <c r="D109" s="150"/>
      <c r="E109" s="151"/>
      <c r="F109" s="151"/>
      <c r="G109" s="149"/>
      <c r="H109" s="151"/>
      <c r="I109" s="151"/>
      <c r="J109" s="149"/>
      <c r="K109" s="151"/>
      <c r="L109" s="151"/>
      <c r="M109" s="151"/>
      <c r="N109" s="151"/>
      <c r="O109" s="151"/>
      <c r="P109" s="151"/>
      <c r="Q109" s="152"/>
      <c r="R109" s="151"/>
      <c r="S109" s="151"/>
      <c r="T109" s="153"/>
      <c r="U109" s="151"/>
      <c r="V109" s="154"/>
      <c r="W109" s="151"/>
      <c r="X109" s="149"/>
      <c r="Y109" s="151"/>
      <c r="Z109" s="151"/>
      <c r="AA109" s="151"/>
      <c r="AB109" s="149"/>
      <c r="AC109" s="151"/>
    </row>
    <row r="110" spans="1:29" x14ac:dyDescent="0.15">
      <c r="A110" s="149"/>
      <c r="B110" s="149"/>
      <c r="C110" s="149"/>
      <c r="D110" s="150"/>
      <c r="E110" s="151"/>
      <c r="F110" s="151"/>
      <c r="G110" s="149"/>
      <c r="H110" s="151"/>
      <c r="I110" s="151"/>
      <c r="J110" s="149"/>
      <c r="K110" s="151"/>
      <c r="L110" s="151"/>
      <c r="M110" s="151"/>
      <c r="N110" s="151"/>
      <c r="O110" s="151"/>
      <c r="P110" s="151"/>
      <c r="Q110" s="152"/>
      <c r="R110" s="151"/>
      <c r="S110" s="151"/>
      <c r="T110" s="153"/>
      <c r="U110" s="151"/>
      <c r="V110" s="154"/>
      <c r="W110" s="151"/>
      <c r="X110" s="149"/>
      <c r="Y110" s="151"/>
      <c r="Z110" s="151"/>
      <c r="AA110" s="151"/>
      <c r="AB110" s="149"/>
      <c r="AC110" s="151"/>
    </row>
    <row r="111" spans="1:29" x14ac:dyDescent="0.15">
      <c r="A111" s="149"/>
      <c r="B111" s="149"/>
      <c r="C111" s="149"/>
      <c r="D111" s="150"/>
      <c r="E111" s="151"/>
      <c r="F111" s="151"/>
      <c r="G111" s="149"/>
      <c r="H111" s="151"/>
      <c r="I111" s="151"/>
      <c r="J111" s="149"/>
      <c r="K111" s="151"/>
      <c r="L111" s="151"/>
      <c r="M111" s="151"/>
      <c r="N111" s="151"/>
      <c r="O111" s="151"/>
      <c r="P111" s="151"/>
      <c r="Q111" s="152"/>
      <c r="R111" s="151"/>
      <c r="S111" s="151"/>
      <c r="T111" s="153"/>
      <c r="U111" s="151"/>
      <c r="V111" s="154"/>
      <c r="W111" s="151"/>
      <c r="X111" s="149"/>
      <c r="Y111" s="151"/>
      <c r="Z111" s="151"/>
      <c r="AA111" s="151"/>
      <c r="AB111" s="149"/>
      <c r="AC111" s="151"/>
    </row>
    <row r="112" spans="1:29" x14ac:dyDescent="0.15">
      <c r="A112" s="149"/>
      <c r="B112" s="149"/>
      <c r="C112" s="149"/>
      <c r="D112" s="150"/>
      <c r="E112" s="151"/>
      <c r="F112" s="151"/>
      <c r="G112" s="149"/>
      <c r="H112" s="151"/>
      <c r="I112" s="151"/>
      <c r="J112" s="149"/>
      <c r="K112" s="151"/>
      <c r="L112" s="151"/>
      <c r="M112" s="151"/>
      <c r="N112" s="151"/>
      <c r="O112" s="151"/>
      <c r="P112" s="151"/>
      <c r="Q112" s="152"/>
      <c r="R112" s="151"/>
      <c r="S112" s="151"/>
      <c r="T112" s="153"/>
      <c r="U112" s="151"/>
      <c r="V112" s="154"/>
      <c r="W112" s="151"/>
      <c r="X112" s="149"/>
      <c r="Y112" s="151"/>
      <c r="Z112" s="151"/>
      <c r="AA112" s="151"/>
      <c r="AB112" s="149"/>
      <c r="AC112" s="151"/>
    </row>
    <row r="113" spans="1:29" x14ac:dyDescent="0.15">
      <c r="A113" s="151"/>
      <c r="B113" s="151"/>
      <c r="C113" s="151"/>
      <c r="D113" s="151"/>
      <c r="E113" s="151"/>
      <c r="F113" s="151"/>
      <c r="G113" s="151"/>
      <c r="H113" s="151"/>
      <c r="I113" s="151"/>
      <c r="J113" s="151"/>
      <c r="K113" s="151"/>
      <c r="L113" s="151"/>
      <c r="M113" s="151"/>
      <c r="N113" s="151"/>
      <c r="O113" s="151"/>
      <c r="P113" s="151"/>
      <c r="Q113" s="153"/>
      <c r="R113" s="151"/>
      <c r="S113" s="151"/>
      <c r="T113" s="153"/>
      <c r="U113" s="151"/>
      <c r="V113" s="153"/>
      <c r="W113" s="151"/>
      <c r="X113" s="151"/>
      <c r="Y113" s="151"/>
      <c r="Z113" s="151"/>
      <c r="AA113" s="151"/>
      <c r="AB113" s="151"/>
      <c r="AC113" s="151"/>
    </row>
    <row r="114" spans="1:29" x14ac:dyDescent="0.15">
      <c r="A114" s="151"/>
      <c r="B114" s="151"/>
      <c r="C114" s="151"/>
      <c r="D114" s="151"/>
      <c r="E114" s="151"/>
      <c r="F114" s="151"/>
      <c r="G114" s="151"/>
      <c r="H114" s="151"/>
      <c r="I114" s="151"/>
      <c r="J114" s="151"/>
      <c r="K114" s="151"/>
      <c r="L114" s="151"/>
      <c r="M114" s="151"/>
      <c r="N114" s="151"/>
      <c r="O114" s="151"/>
      <c r="P114" s="151"/>
      <c r="Q114" s="153"/>
      <c r="R114" s="151"/>
      <c r="S114" s="151"/>
      <c r="T114" s="153"/>
      <c r="U114" s="151"/>
      <c r="V114" s="153"/>
      <c r="W114" s="151"/>
      <c r="X114" s="151"/>
      <c r="Y114" s="151"/>
      <c r="Z114" s="151"/>
      <c r="AA114" s="151"/>
      <c r="AB114" s="151"/>
      <c r="AC114" s="151"/>
    </row>
    <row r="115" spans="1:29" x14ac:dyDescent="0.15">
      <c r="K115" s="151"/>
    </row>
    <row r="116" spans="1:29" x14ac:dyDescent="0.15">
      <c r="K116" s="151"/>
    </row>
    <row r="117" spans="1:29" x14ac:dyDescent="0.15">
      <c r="K117" s="151"/>
    </row>
    <row r="118" spans="1:29" x14ac:dyDescent="0.15">
      <c r="K118" s="151"/>
    </row>
    <row r="119" spans="1:29" x14ac:dyDescent="0.15">
      <c r="K119" s="151"/>
    </row>
    <row r="120" spans="1:29" x14ac:dyDescent="0.15">
      <c r="K120" s="151"/>
    </row>
  </sheetData>
  <autoFilter ref="A1:BA1" xr:uid="{00000000-0009-0000-0000-000004000000}"/>
  <phoneticPr fontId="3"/>
  <dataValidations count="21">
    <dataValidation type="list" allowBlank="1" showInputMessage="1" showErrorMessage="1" sqref="K2:K120" xr:uid="{04FFC2BE-E227-4B3C-84E7-F1EBF567B3A1}">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3989EAE0-3FEB-46D5-A6D0-499E359D8F44}">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DCC0109C-4D9A-452F-9EDC-05A1F2507F86}">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6FD2DF15-0A1C-4D90-BB74-21483D67E53C}">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8AD1D1AE-5B83-4B7C-86D4-3C7E13C6B0CF}">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DF4D9289-8163-4E0F-A4D1-A0B7CD25E3BC}">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96:X500 X2:X94" xr:uid="{A52AF5CC-DCA4-45E1-98BB-9B78F2CA4B4C}">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B96:B112 B2:B94" xr:uid="{A441E9C9-9C82-4491-99C0-46AAD0A94C29}"/>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AF5968A8-44B7-40D9-A731-435D0A4EC07F}">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96:G500 G2:G94" xr:uid="{8F2611E4-B5AF-4FA1-9960-E94C0F5BE1A3}">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504A79E2-D189-4CE7-8BF7-A77ADD49852A}">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A885B051-CA38-4C19-98AC-97D893E48627}">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630EBF61-BEAB-4B27-B126-F2F88B5DF380}">
      <formula1>$AV$2:$AV$22</formula1>
    </dataValidation>
    <dataValidation type="list" allowBlank="1" showInputMessage="1" showErrorMessage="1" sqref="K121:K500" xr:uid="{FC6CAEB0-23A8-439F-8F03-65DCE1FD4B45}">
      <formula1>$AR$2:$AR$25</formula1>
    </dataValidation>
    <dataValidation type="list" allowBlank="1" showInputMessage="1" showErrorMessage="1" sqref="J96:J500 J2:J94" xr:uid="{86E06403-45D8-4157-A9AE-989DAE56AADA}">
      <formula1>$AP$2:$AP$27</formula1>
    </dataValidation>
    <dataValidation type="list" allowBlank="1" showInputMessage="1" showErrorMessage="1" sqref="F96:F500 F2:F94" xr:uid="{6D58BF89-1121-41F7-ADED-A122793F56A0}">
      <formula1>$AH$2:$AH$10</formula1>
    </dataValidation>
    <dataValidation type="list" allowBlank="1" showInputMessage="1" showErrorMessage="1" sqref="E96:E500 E2:E94" xr:uid="{EEDAF29A-0ACD-4100-B47B-DA0C5A77BA21}">
      <formula1>$AG$2:$AG$11</formula1>
    </dataValidation>
    <dataValidation type="list" allowBlank="1" showInputMessage="1" showErrorMessage="1" sqref="A96:A500 A2:A94" xr:uid="{DE25EB14-ABA7-4483-88C6-94A947182C01}">
      <formula1>$AE$2:$AE$19</formula1>
    </dataValidation>
    <dataValidation type="list" allowBlank="1" showInputMessage="1" showErrorMessage="1" sqref="H96:H500 H2:H94" xr:uid="{729968AB-EB30-4ACE-B8B0-CF42478B0A39}">
      <formula1>$AL$2:$AL$8</formula1>
    </dataValidation>
    <dataValidation type="list" allowBlank="1" showInputMessage="1" showErrorMessage="1" sqref="Y96:AA500 Y2:AA94" xr:uid="{7589F9CA-F47C-4243-AA8C-1D8B75405582}">
      <formula1>$AV$2:$AV$21</formula1>
    </dataValidation>
    <dataValidation type="decimal" allowBlank="1" showInputMessage="1" showErrorMessage="1" error="硬度を正しく入力して下さい。" sqref="O96:P500 O7:P7 P15 O32:P34 O5:P5 P13 O18:P19 O23:P25 O28:P28 O44 P35:P46 O50:P94" xr:uid="{574FF63C-92EA-4F03-B4B4-BB3F549FEE87}">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1D35-3DAA-4BAB-94DA-2D27B357EE86}">
  <dimension ref="A1:BA152"/>
  <sheetViews>
    <sheetView topLeftCell="C1" zoomScale="93" zoomScaleNormal="93" workbookViewId="0">
      <selection activeCell="M38" sqref="M38"/>
    </sheetView>
  </sheetViews>
  <sheetFormatPr defaultColWidth="8.85546875" defaultRowHeight="13.5" x14ac:dyDescent="0.15"/>
  <cols>
    <col min="1" max="3" width="8.85546875" style="53"/>
    <col min="4" max="4" width="13.42578125" style="53" bestFit="1" customWidth="1"/>
    <col min="5" max="5" width="9.5703125" style="53" bestFit="1" customWidth="1"/>
    <col min="6" max="16" width="8.85546875" style="53"/>
    <col min="17" max="17" width="8.85546875" style="16"/>
    <col min="18" max="19" width="8.85546875" style="53"/>
    <col min="20" max="20" width="8.85546875" style="16"/>
    <col min="21" max="21" width="8.85546875" style="53"/>
    <col min="22" max="22" width="8.85546875" style="16"/>
    <col min="23" max="32" width="8.85546875" style="53"/>
    <col min="33" max="33" width="19.5703125" style="53" bestFit="1" customWidth="1"/>
    <col min="34" max="259" width="8.85546875" style="53"/>
    <col min="260" max="260" width="10.42578125" style="53" bestFit="1" customWidth="1"/>
    <col min="261" max="261" width="9.5703125" style="53" bestFit="1" customWidth="1"/>
    <col min="262" max="515" width="8.85546875" style="53"/>
    <col min="516" max="516" width="10.42578125" style="53" bestFit="1" customWidth="1"/>
    <col min="517" max="517" width="9.5703125" style="53" bestFit="1" customWidth="1"/>
    <col min="518" max="771" width="8.85546875" style="53"/>
    <col min="772" max="772" width="10.42578125" style="53" bestFit="1" customWidth="1"/>
    <col min="773" max="773" width="9.5703125" style="53" bestFit="1" customWidth="1"/>
    <col min="774" max="1027" width="8.85546875" style="53"/>
    <col min="1028" max="1028" width="10.42578125" style="53" bestFit="1" customWidth="1"/>
    <col min="1029" max="1029" width="9.5703125" style="53" bestFit="1" customWidth="1"/>
    <col min="1030" max="1283" width="8.85546875" style="53"/>
    <col min="1284" max="1284" width="10.42578125" style="53" bestFit="1" customWidth="1"/>
    <col min="1285" max="1285" width="9.5703125" style="53" bestFit="1" customWidth="1"/>
    <col min="1286" max="1539" width="8.85546875" style="53"/>
    <col min="1540" max="1540" width="10.42578125" style="53" bestFit="1" customWidth="1"/>
    <col min="1541" max="1541" width="9.5703125" style="53" bestFit="1" customWidth="1"/>
    <col min="1542" max="1795" width="8.85546875" style="53"/>
    <col min="1796" max="1796" width="10.42578125" style="53" bestFit="1" customWidth="1"/>
    <col min="1797" max="1797" width="9.5703125" style="53" bestFit="1" customWidth="1"/>
    <col min="1798" max="2051" width="8.85546875" style="53"/>
    <col min="2052" max="2052" width="10.42578125" style="53" bestFit="1" customWidth="1"/>
    <col min="2053" max="2053" width="9.5703125" style="53" bestFit="1" customWidth="1"/>
    <col min="2054" max="2307" width="8.85546875" style="53"/>
    <col min="2308" max="2308" width="10.42578125" style="53" bestFit="1" customWidth="1"/>
    <col min="2309" max="2309" width="9.5703125" style="53" bestFit="1" customWidth="1"/>
    <col min="2310" max="2563" width="8.85546875" style="53"/>
    <col min="2564" max="2564" width="10.42578125" style="53" bestFit="1" customWidth="1"/>
    <col min="2565" max="2565" width="9.5703125" style="53" bestFit="1" customWidth="1"/>
    <col min="2566" max="2819" width="8.85546875" style="53"/>
    <col min="2820" max="2820" width="10.42578125" style="53" bestFit="1" customWidth="1"/>
    <col min="2821" max="2821" width="9.5703125" style="53" bestFit="1" customWidth="1"/>
    <col min="2822" max="3075" width="8.85546875" style="53"/>
    <col min="3076" max="3076" width="10.42578125" style="53" bestFit="1" customWidth="1"/>
    <col min="3077" max="3077" width="9.5703125" style="53" bestFit="1" customWidth="1"/>
    <col min="3078" max="3331" width="8.85546875" style="53"/>
    <col min="3332" max="3332" width="10.42578125" style="53" bestFit="1" customWidth="1"/>
    <col min="3333" max="3333" width="9.5703125" style="53" bestFit="1" customWidth="1"/>
    <col min="3334" max="3587" width="8.85546875" style="53"/>
    <col min="3588" max="3588" width="10.42578125" style="53" bestFit="1" customWidth="1"/>
    <col min="3589" max="3589" width="9.5703125" style="53" bestFit="1" customWidth="1"/>
    <col min="3590" max="3843" width="8.85546875" style="53"/>
    <col min="3844" max="3844" width="10.42578125" style="53" bestFit="1" customWidth="1"/>
    <col min="3845" max="3845" width="9.5703125" style="53" bestFit="1" customWidth="1"/>
    <col min="3846" max="4099" width="8.85546875" style="53"/>
    <col min="4100" max="4100" width="10.42578125" style="53" bestFit="1" customWidth="1"/>
    <col min="4101" max="4101" width="9.5703125" style="53" bestFit="1" customWidth="1"/>
    <col min="4102" max="4355" width="8.85546875" style="53"/>
    <col min="4356" max="4356" width="10.42578125" style="53" bestFit="1" customWidth="1"/>
    <col min="4357" max="4357" width="9.5703125" style="53" bestFit="1" customWidth="1"/>
    <col min="4358" max="4611" width="8.85546875" style="53"/>
    <col min="4612" max="4612" width="10.42578125" style="53" bestFit="1" customWidth="1"/>
    <col min="4613" max="4613" width="9.5703125" style="53" bestFit="1" customWidth="1"/>
    <col min="4614" max="4867" width="8.85546875" style="53"/>
    <col min="4868" max="4868" width="10.42578125" style="53" bestFit="1" customWidth="1"/>
    <col min="4869" max="4869" width="9.5703125" style="53" bestFit="1" customWidth="1"/>
    <col min="4870" max="5123" width="8.85546875" style="53"/>
    <col min="5124" max="5124" width="10.42578125" style="53" bestFit="1" customWidth="1"/>
    <col min="5125" max="5125" width="9.5703125" style="53" bestFit="1" customWidth="1"/>
    <col min="5126" max="5379" width="8.85546875" style="53"/>
    <col min="5380" max="5380" width="10.42578125" style="53" bestFit="1" customWidth="1"/>
    <col min="5381" max="5381" width="9.5703125" style="53" bestFit="1" customWidth="1"/>
    <col min="5382" max="5635" width="8.85546875" style="53"/>
    <col min="5636" max="5636" width="10.42578125" style="53" bestFit="1" customWidth="1"/>
    <col min="5637" max="5637" width="9.5703125" style="53" bestFit="1" customWidth="1"/>
    <col min="5638" max="5891" width="8.85546875" style="53"/>
    <col min="5892" max="5892" width="10.42578125" style="53" bestFit="1" customWidth="1"/>
    <col min="5893" max="5893" width="9.5703125" style="53" bestFit="1" customWidth="1"/>
    <col min="5894" max="6147" width="8.85546875" style="53"/>
    <col min="6148" max="6148" width="10.42578125" style="53" bestFit="1" customWidth="1"/>
    <col min="6149" max="6149" width="9.5703125" style="53" bestFit="1" customWidth="1"/>
    <col min="6150" max="6403" width="8.85546875" style="53"/>
    <col min="6404" max="6404" width="10.42578125" style="53" bestFit="1" customWidth="1"/>
    <col min="6405" max="6405" width="9.5703125" style="53" bestFit="1" customWidth="1"/>
    <col min="6406" max="6659" width="8.85546875" style="53"/>
    <col min="6660" max="6660" width="10.42578125" style="53" bestFit="1" customWidth="1"/>
    <col min="6661" max="6661" width="9.5703125" style="53" bestFit="1" customWidth="1"/>
    <col min="6662" max="6915" width="8.85546875" style="53"/>
    <col min="6916" max="6916" width="10.42578125" style="53" bestFit="1" customWidth="1"/>
    <col min="6917" max="6917" width="9.5703125" style="53" bestFit="1" customWidth="1"/>
    <col min="6918" max="7171" width="8.85546875" style="53"/>
    <col min="7172" max="7172" width="10.42578125" style="53" bestFit="1" customWidth="1"/>
    <col min="7173" max="7173" width="9.5703125" style="53" bestFit="1" customWidth="1"/>
    <col min="7174" max="7427" width="8.85546875" style="53"/>
    <col min="7428" max="7428" width="10.42578125" style="53" bestFit="1" customWidth="1"/>
    <col min="7429" max="7429" width="9.5703125" style="53" bestFit="1" customWidth="1"/>
    <col min="7430" max="7683" width="8.85546875" style="53"/>
    <col min="7684" max="7684" width="10.42578125" style="53" bestFit="1" customWidth="1"/>
    <col min="7685" max="7685" width="9.5703125" style="53" bestFit="1" customWidth="1"/>
    <col min="7686" max="7939" width="8.85546875" style="53"/>
    <col min="7940" max="7940" width="10.42578125" style="53" bestFit="1" customWidth="1"/>
    <col min="7941" max="7941" width="9.5703125" style="53" bestFit="1" customWidth="1"/>
    <col min="7942" max="8195" width="8.85546875" style="53"/>
    <col min="8196" max="8196" width="10.42578125" style="53" bestFit="1" customWidth="1"/>
    <col min="8197" max="8197" width="9.5703125" style="53" bestFit="1" customWidth="1"/>
    <col min="8198" max="8451" width="8.85546875" style="53"/>
    <col min="8452" max="8452" width="10.42578125" style="53" bestFit="1" customWidth="1"/>
    <col min="8453" max="8453" width="9.5703125" style="53" bestFit="1" customWidth="1"/>
    <col min="8454" max="8707" width="8.85546875" style="53"/>
    <col min="8708" max="8708" width="10.42578125" style="53" bestFit="1" customWidth="1"/>
    <col min="8709" max="8709" width="9.5703125" style="53" bestFit="1" customWidth="1"/>
    <col min="8710" max="8963" width="8.85546875" style="53"/>
    <col min="8964" max="8964" width="10.42578125" style="53" bestFit="1" customWidth="1"/>
    <col min="8965" max="8965" width="9.5703125" style="53" bestFit="1" customWidth="1"/>
    <col min="8966" max="9219" width="8.85546875" style="53"/>
    <col min="9220" max="9220" width="10.42578125" style="53" bestFit="1" customWidth="1"/>
    <col min="9221" max="9221" width="9.5703125" style="53" bestFit="1" customWidth="1"/>
    <col min="9222" max="9475" width="8.85546875" style="53"/>
    <col min="9476" max="9476" width="10.42578125" style="53" bestFit="1" customWidth="1"/>
    <col min="9477" max="9477" width="9.5703125" style="53" bestFit="1" customWidth="1"/>
    <col min="9478" max="9731" width="8.85546875" style="53"/>
    <col min="9732" max="9732" width="10.42578125" style="53" bestFit="1" customWidth="1"/>
    <col min="9733" max="9733" width="9.5703125" style="53" bestFit="1" customWidth="1"/>
    <col min="9734" max="9987" width="8.85546875" style="53"/>
    <col min="9988" max="9988" width="10.42578125" style="53" bestFit="1" customWidth="1"/>
    <col min="9989" max="9989" width="9.5703125" style="53" bestFit="1" customWidth="1"/>
    <col min="9990" max="10243" width="8.85546875" style="53"/>
    <col min="10244" max="10244" width="10.42578125" style="53" bestFit="1" customWidth="1"/>
    <col min="10245" max="10245" width="9.5703125" style="53" bestFit="1" customWidth="1"/>
    <col min="10246" max="10499" width="8.85546875" style="53"/>
    <col min="10500" max="10500" width="10.42578125" style="53" bestFit="1" customWidth="1"/>
    <col min="10501" max="10501" width="9.5703125" style="53" bestFit="1" customWidth="1"/>
    <col min="10502" max="10755" width="8.85546875" style="53"/>
    <col min="10756" max="10756" width="10.42578125" style="53" bestFit="1" customWidth="1"/>
    <col min="10757" max="10757" width="9.5703125" style="53" bestFit="1" customWidth="1"/>
    <col min="10758" max="11011" width="8.85546875" style="53"/>
    <col min="11012" max="11012" width="10.42578125" style="53" bestFit="1" customWidth="1"/>
    <col min="11013" max="11013" width="9.5703125" style="53" bestFit="1" customWidth="1"/>
    <col min="11014" max="11267" width="8.85546875" style="53"/>
    <col min="11268" max="11268" width="10.42578125" style="53" bestFit="1" customWidth="1"/>
    <col min="11269" max="11269" width="9.5703125" style="53" bestFit="1" customWidth="1"/>
    <col min="11270" max="11523" width="8.85546875" style="53"/>
    <col min="11524" max="11524" width="10.42578125" style="53" bestFit="1" customWidth="1"/>
    <col min="11525" max="11525" width="9.5703125" style="53" bestFit="1" customWidth="1"/>
    <col min="11526" max="11779" width="8.85546875" style="53"/>
    <col min="11780" max="11780" width="10.42578125" style="53" bestFit="1" customWidth="1"/>
    <col min="11781" max="11781" width="9.5703125" style="53" bestFit="1" customWidth="1"/>
    <col min="11782" max="12035" width="8.85546875" style="53"/>
    <col min="12036" max="12036" width="10.42578125" style="53" bestFit="1" customWidth="1"/>
    <col min="12037" max="12037" width="9.5703125" style="53" bestFit="1" customWidth="1"/>
    <col min="12038" max="12291" width="8.85546875" style="53"/>
    <col min="12292" max="12292" width="10.42578125" style="53" bestFit="1" customWidth="1"/>
    <col min="12293" max="12293" width="9.5703125" style="53" bestFit="1" customWidth="1"/>
    <col min="12294" max="12547" width="8.85546875" style="53"/>
    <col min="12548" max="12548" width="10.42578125" style="53" bestFit="1" customWidth="1"/>
    <col min="12549" max="12549" width="9.5703125" style="53" bestFit="1" customWidth="1"/>
    <col min="12550" max="12803" width="8.85546875" style="53"/>
    <col min="12804" max="12804" width="10.42578125" style="53" bestFit="1" customWidth="1"/>
    <col min="12805" max="12805" width="9.5703125" style="53" bestFit="1" customWidth="1"/>
    <col min="12806" max="13059" width="8.85546875" style="53"/>
    <col min="13060" max="13060" width="10.42578125" style="53" bestFit="1" customWidth="1"/>
    <col min="13061" max="13061" width="9.5703125" style="53" bestFit="1" customWidth="1"/>
    <col min="13062" max="13315" width="8.85546875" style="53"/>
    <col min="13316" max="13316" width="10.42578125" style="53" bestFit="1" customWidth="1"/>
    <col min="13317" max="13317" width="9.5703125" style="53" bestFit="1" customWidth="1"/>
    <col min="13318" max="13571" width="8.85546875" style="53"/>
    <col min="13572" max="13572" width="10.42578125" style="53" bestFit="1" customWidth="1"/>
    <col min="13573" max="13573" width="9.5703125" style="53" bestFit="1" customWidth="1"/>
    <col min="13574" max="13827" width="8.85546875" style="53"/>
    <col min="13828" max="13828" width="10.42578125" style="53" bestFit="1" customWidth="1"/>
    <col min="13829" max="13829" width="9.5703125" style="53" bestFit="1" customWidth="1"/>
    <col min="13830" max="14083" width="8.85546875" style="53"/>
    <col min="14084" max="14084" width="10.42578125" style="53" bestFit="1" customWidth="1"/>
    <col min="14085" max="14085" width="9.5703125" style="53" bestFit="1" customWidth="1"/>
    <col min="14086" max="14339" width="8.85546875" style="53"/>
    <col min="14340" max="14340" width="10.42578125" style="53" bestFit="1" customWidth="1"/>
    <col min="14341" max="14341" width="9.5703125" style="53" bestFit="1" customWidth="1"/>
    <col min="14342" max="14595" width="8.85546875" style="53"/>
    <col min="14596" max="14596" width="10.42578125" style="53" bestFit="1" customWidth="1"/>
    <col min="14597" max="14597" width="9.5703125" style="53" bestFit="1" customWidth="1"/>
    <col min="14598" max="14851" width="8.85546875" style="53"/>
    <col min="14852" max="14852" width="10.42578125" style="53" bestFit="1" customWidth="1"/>
    <col min="14853" max="14853" width="9.5703125" style="53" bestFit="1" customWidth="1"/>
    <col min="14854" max="15107" width="8.85546875" style="53"/>
    <col min="15108" max="15108" width="10.42578125" style="53" bestFit="1" customWidth="1"/>
    <col min="15109" max="15109" width="9.5703125" style="53" bestFit="1" customWidth="1"/>
    <col min="15110" max="15363" width="8.85546875" style="53"/>
    <col min="15364" max="15364" width="10.42578125" style="53" bestFit="1" customWidth="1"/>
    <col min="15365" max="15365" width="9.5703125" style="53" bestFit="1" customWidth="1"/>
    <col min="15366" max="15619" width="8.85546875" style="53"/>
    <col min="15620" max="15620" width="10.42578125" style="53" bestFit="1" customWidth="1"/>
    <col min="15621" max="15621" width="9.5703125" style="53" bestFit="1" customWidth="1"/>
    <col min="15622" max="15875" width="8.85546875" style="53"/>
    <col min="15876" max="15876" width="10.42578125" style="53" bestFit="1" customWidth="1"/>
    <col min="15877" max="15877" width="9.5703125" style="53" bestFit="1" customWidth="1"/>
    <col min="15878" max="16131" width="8.85546875" style="53"/>
    <col min="16132" max="16132" width="10.42578125" style="53" bestFit="1" customWidth="1"/>
    <col min="16133" max="16133" width="9.5703125" style="53" bestFit="1" customWidth="1"/>
    <col min="16134" max="16384" width="8.85546875"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308</v>
      </c>
      <c r="O1" s="2" t="s">
        <v>14</v>
      </c>
      <c r="P1" s="2" t="s">
        <v>15</v>
      </c>
      <c r="Q1" s="3" t="s">
        <v>16</v>
      </c>
      <c r="R1" s="2" t="s">
        <v>17</v>
      </c>
      <c r="S1" s="2" t="s">
        <v>18</v>
      </c>
      <c r="T1" s="3" t="s">
        <v>19</v>
      </c>
      <c r="U1" s="4" t="s">
        <v>309</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x14ac:dyDescent="0.15">
      <c r="A2" s="53" t="s">
        <v>59</v>
      </c>
      <c r="B2" s="36" t="s">
        <v>234</v>
      </c>
      <c r="C2" s="165">
        <v>2019</v>
      </c>
      <c r="D2" s="166" t="s">
        <v>310</v>
      </c>
      <c r="E2" s="53" t="s">
        <v>311</v>
      </c>
      <c r="F2" s="53" t="s">
        <v>312</v>
      </c>
      <c r="G2" s="53" t="s">
        <v>36</v>
      </c>
      <c r="H2" s="53" t="s">
        <v>162</v>
      </c>
      <c r="I2" s="53" t="s">
        <v>161</v>
      </c>
      <c r="J2" s="53" t="s">
        <v>38</v>
      </c>
      <c r="K2" s="53" t="s">
        <v>163</v>
      </c>
      <c r="L2" s="53">
        <v>1</v>
      </c>
      <c r="N2" s="53">
        <v>4</v>
      </c>
      <c r="O2" s="53">
        <v>0.46</v>
      </c>
      <c r="P2" s="53">
        <v>0.44</v>
      </c>
      <c r="Q2" s="97">
        <f>IF(OR(O2="",P2=""),"",AVERAGE(O2,P2))</f>
        <v>0.45</v>
      </c>
      <c r="R2" s="53">
        <v>14.8</v>
      </c>
      <c r="S2" s="53">
        <v>95</v>
      </c>
      <c r="T2" s="16">
        <f t="shared" ref="T2:T49" si="0">IF(H2="","",IF(OR(H2="GREEN",H2="GK"),IF(S2&gt;=$AX$2,VLOOKUP(S2,$AX$2:$AY$12,2,1),""),IF(S2&gt;=$AZ$2,VLOOKUP(S2,$AZ$2:$BA$12,2,1),"")))</f>
        <v>36</v>
      </c>
      <c r="U2" s="53">
        <v>480</v>
      </c>
      <c r="V2" s="16">
        <f t="shared" ref="V2:V49" si="1">IF(J2="","",IF(OR(J2="GREEN",J2="GK"),IF(U2&gt;=$AX$2,VLOOKUP(U2,$AX$2:$AY$12,2,1),""),IF(U2&gt;=$AZ$2,VLOOKUP(U2,$AZ$2:$BA$12,2,1),"")))</f>
        <v>16</v>
      </c>
      <c r="W2" s="53">
        <v>2</v>
      </c>
      <c r="X2" s="53" t="s">
        <v>313</v>
      </c>
      <c r="Y2" s="53" t="s">
        <v>314</v>
      </c>
      <c r="Z2" s="53" t="s">
        <v>315</v>
      </c>
      <c r="AA2" s="53" t="s">
        <v>47</v>
      </c>
      <c r="AB2" s="36" t="s">
        <v>316</v>
      </c>
      <c r="AE2" s="17" t="s">
        <v>35</v>
      </c>
      <c r="AG2" s="167" t="s">
        <v>317</v>
      </c>
      <c r="AH2" s="168" t="s">
        <v>318</v>
      </c>
      <c r="AJ2" s="169" t="s">
        <v>36</v>
      </c>
      <c r="AL2" s="18" t="s">
        <v>127</v>
      </c>
      <c r="AN2" s="170" t="s">
        <v>319</v>
      </c>
      <c r="AP2" s="18" t="s">
        <v>38</v>
      </c>
      <c r="AR2" s="18" t="s">
        <v>120</v>
      </c>
      <c r="AT2" s="169" t="s">
        <v>39</v>
      </c>
      <c r="AV2" s="23" t="s">
        <v>55</v>
      </c>
      <c r="AX2" s="171">
        <v>1</v>
      </c>
      <c r="AY2" s="172">
        <v>50</v>
      </c>
      <c r="AZ2" s="172">
        <v>1</v>
      </c>
      <c r="BA2" s="173">
        <v>50</v>
      </c>
    </row>
    <row r="3" spans="1:53" x14ac:dyDescent="0.15">
      <c r="A3" s="53" t="s">
        <v>59</v>
      </c>
      <c r="B3" s="36" t="s">
        <v>234</v>
      </c>
      <c r="C3" s="165">
        <v>2019</v>
      </c>
      <c r="D3" s="166" t="s">
        <v>310</v>
      </c>
      <c r="E3" s="53" t="s">
        <v>311</v>
      </c>
      <c r="F3" s="53" t="s">
        <v>312</v>
      </c>
      <c r="G3" s="53" t="s">
        <v>36</v>
      </c>
      <c r="H3" s="53" t="s">
        <v>162</v>
      </c>
      <c r="I3" s="53" t="s">
        <v>161</v>
      </c>
      <c r="J3" s="53" t="s">
        <v>38</v>
      </c>
      <c r="K3" s="53" t="s">
        <v>163</v>
      </c>
      <c r="L3" s="53">
        <v>2</v>
      </c>
      <c r="N3" s="53">
        <v>4</v>
      </c>
      <c r="O3" s="53">
        <v>0.38</v>
      </c>
      <c r="P3" s="53">
        <v>0.5</v>
      </c>
      <c r="Q3" s="97">
        <f t="shared" ref="Q3:Q49" si="2">IF(OR(O3="",P3=""),"",AVERAGE(O3,P3))</f>
        <v>0.44</v>
      </c>
      <c r="R3" s="53">
        <v>14.6</v>
      </c>
      <c r="S3" s="53">
        <v>105</v>
      </c>
      <c r="T3" s="16">
        <f t="shared" si="0"/>
        <v>33</v>
      </c>
      <c r="U3" s="53">
        <v>480</v>
      </c>
      <c r="V3" s="16">
        <f t="shared" si="1"/>
        <v>16</v>
      </c>
      <c r="W3" s="53">
        <v>2</v>
      </c>
      <c r="X3" s="53" t="s">
        <v>313</v>
      </c>
      <c r="Y3" s="53" t="s">
        <v>314</v>
      </c>
      <c r="Z3" s="53" t="s">
        <v>315</v>
      </c>
      <c r="AA3" s="53" t="s">
        <v>47</v>
      </c>
      <c r="AB3" s="36" t="s">
        <v>316</v>
      </c>
      <c r="AE3" s="22" t="s">
        <v>41</v>
      </c>
      <c r="AG3" s="167" t="s">
        <v>320</v>
      </c>
      <c r="AH3" s="168" t="s">
        <v>312</v>
      </c>
      <c r="AJ3" s="23" t="s">
        <v>42</v>
      </c>
      <c r="AL3" s="23" t="s">
        <v>128</v>
      </c>
      <c r="AN3" s="23" t="s">
        <v>43</v>
      </c>
      <c r="AP3" s="23" t="s">
        <v>44</v>
      </c>
      <c r="AR3" s="41" t="s">
        <v>45</v>
      </c>
      <c r="AT3" s="23" t="s">
        <v>46</v>
      </c>
      <c r="AV3" s="23" t="s">
        <v>315</v>
      </c>
      <c r="AX3" s="24">
        <v>72</v>
      </c>
      <c r="AY3" s="25">
        <v>46</v>
      </c>
      <c r="AZ3" s="25">
        <v>71</v>
      </c>
      <c r="BA3" s="26">
        <v>42</v>
      </c>
    </row>
    <row r="4" spans="1:53" x14ac:dyDescent="0.15">
      <c r="A4" s="53" t="s">
        <v>59</v>
      </c>
      <c r="B4" s="36" t="s">
        <v>234</v>
      </c>
      <c r="C4" s="165">
        <v>2019</v>
      </c>
      <c r="D4" s="166" t="s">
        <v>310</v>
      </c>
      <c r="E4" s="53" t="s">
        <v>311</v>
      </c>
      <c r="F4" s="53" t="s">
        <v>312</v>
      </c>
      <c r="G4" s="53" t="s">
        <v>36</v>
      </c>
      <c r="H4" s="53" t="s">
        <v>162</v>
      </c>
      <c r="I4" s="53" t="s">
        <v>321</v>
      </c>
      <c r="J4" s="53" t="s">
        <v>38</v>
      </c>
      <c r="K4" s="53" t="s">
        <v>163</v>
      </c>
      <c r="L4" s="53">
        <v>3</v>
      </c>
      <c r="N4" s="53">
        <v>4</v>
      </c>
      <c r="O4" s="53">
        <v>0.5</v>
      </c>
      <c r="P4" s="53">
        <v>0.45</v>
      </c>
      <c r="Q4" s="97">
        <f t="shared" si="2"/>
        <v>0.47499999999999998</v>
      </c>
      <c r="R4" s="53">
        <v>15.3</v>
      </c>
      <c r="S4" s="53">
        <v>108</v>
      </c>
      <c r="T4" s="16">
        <f t="shared" si="0"/>
        <v>33</v>
      </c>
      <c r="U4" s="53">
        <v>480</v>
      </c>
      <c r="V4" s="16">
        <f t="shared" si="1"/>
        <v>16</v>
      </c>
      <c r="W4" s="53">
        <v>2</v>
      </c>
      <c r="X4" s="53" t="s">
        <v>313</v>
      </c>
      <c r="Y4" s="53" t="s">
        <v>314</v>
      </c>
      <c r="Z4" s="53" t="s">
        <v>315</v>
      </c>
      <c r="AA4" s="53" t="s">
        <v>47</v>
      </c>
      <c r="AB4" s="36" t="s">
        <v>316</v>
      </c>
      <c r="AE4" s="22" t="s">
        <v>34</v>
      </c>
      <c r="AG4" s="167" t="s">
        <v>322</v>
      </c>
      <c r="AH4" s="168" t="s">
        <v>323</v>
      </c>
      <c r="AJ4" s="27" t="s">
        <v>48</v>
      </c>
      <c r="AL4" s="27" t="s">
        <v>129</v>
      </c>
      <c r="AN4" s="28" t="s">
        <v>49</v>
      </c>
      <c r="AP4" s="23" t="s">
        <v>93</v>
      </c>
      <c r="AR4" s="41" t="s">
        <v>324</v>
      </c>
      <c r="AT4" s="28"/>
      <c r="AV4" s="23" t="s">
        <v>314</v>
      </c>
      <c r="AX4" s="24">
        <v>75</v>
      </c>
      <c r="AY4" s="25">
        <v>42</v>
      </c>
      <c r="AZ4" s="25">
        <v>76</v>
      </c>
      <c r="BA4" s="26">
        <v>39</v>
      </c>
    </row>
    <row r="5" spans="1:53" x14ac:dyDescent="0.15">
      <c r="A5" s="53" t="s">
        <v>59</v>
      </c>
      <c r="B5" s="36" t="s">
        <v>234</v>
      </c>
      <c r="C5" s="165">
        <v>2019</v>
      </c>
      <c r="D5" s="166" t="s">
        <v>310</v>
      </c>
      <c r="E5" s="53" t="s">
        <v>317</v>
      </c>
      <c r="F5" s="53" t="s">
        <v>318</v>
      </c>
      <c r="G5" s="53" t="s">
        <v>36</v>
      </c>
      <c r="H5" s="53" t="s">
        <v>162</v>
      </c>
      <c r="I5" s="53" t="s">
        <v>161</v>
      </c>
      <c r="J5" s="53" t="s">
        <v>38</v>
      </c>
      <c r="K5" s="53" t="s">
        <v>163</v>
      </c>
      <c r="L5" s="53">
        <v>1</v>
      </c>
      <c r="N5" s="53">
        <v>4</v>
      </c>
      <c r="O5" s="53">
        <v>0.42</v>
      </c>
      <c r="P5" s="53">
        <v>0.36</v>
      </c>
      <c r="Q5" s="97">
        <f t="shared" si="2"/>
        <v>0.39</v>
      </c>
      <c r="R5" s="53">
        <v>15</v>
      </c>
      <c r="S5" s="53">
        <v>106</v>
      </c>
      <c r="T5" s="16">
        <f t="shared" si="0"/>
        <v>33</v>
      </c>
      <c r="U5" s="53">
        <v>397</v>
      </c>
      <c r="V5" s="16">
        <f t="shared" si="1"/>
        <v>16</v>
      </c>
      <c r="W5" s="53">
        <v>10</v>
      </c>
      <c r="X5" s="53" t="s">
        <v>39</v>
      </c>
      <c r="Y5" s="53" t="s">
        <v>40</v>
      </c>
      <c r="Z5" s="53" t="s">
        <v>84</v>
      </c>
      <c r="AA5" s="53" t="s">
        <v>314</v>
      </c>
      <c r="AB5" s="36" t="s">
        <v>316</v>
      </c>
      <c r="AE5" s="22" t="s">
        <v>51</v>
      </c>
      <c r="AG5" s="167" t="s">
        <v>325</v>
      </c>
      <c r="AH5" s="168" t="s">
        <v>326</v>
      </c>
      <c r="AJ5" s="28"/>
      <c r="AL5" s="29" t="s">
        <v>66</v>
      </c>
      <c r="AN5" s="80" t="s">
        <v>52</v>
      </c>
      <c r="AP5" s="23" t="s">
        <v>243</v>
      </c>
      <c r="AR5" s="41" t="s">
        <v>54</v>
      </c>
      <c r="AV5" s="23" t="s">
        <v>327</v>
      </c>
      <c r="AX5" s="24">
        <v>84</v>
      </c>
      <c r="AY5" s="25">
        <v>39</v>
      </c>
      <c r="AZ5" s="25">
        <v>84</v>
      </c>
      <c r="BA5" s="26">
        <v>36</v>
      </c>
    </row>
    <row r="6" spans="1:53" x14ac:dyDescent="0.15">
      <c r="A6" s="53" t="s">
        <v>59</v>
      </c>
      <c r="B6" s="36" t="s">
        <v>234</v>
      </c>
      <c r="C6" s="165">
        <v>2019</v>
      </c>
      <c r="D6" s="166" t="s">
        <v>310</v>
      </c>
      <c r="E6" s="53" t="s">
        <v>317</v>
      </c>
      <c r="F6" s="53" t="s">
        <v>318</v>
      </c>
      <c r="G6" s="53" t="s">
        <v>36</v>
      </c>
      <c r="H6" s="53" t="s">
        <v>162</v>
      </c>
      <c r="I6" s="53" t="s">
        <v>161</v>
      </c>
      <c r="J6" s="53" t="s">
        <v>38</v>
      </c>
      <c r="K6" s="53" t="s">
        <v>163</v>
      </c>
      <c r="L6" s="53">
        <v>2</v>
      </c>
      <c r="N6" s="53">
        <v>4</v>
      </c>
      <c r="O6" s="53">
        <v>0.38</v>
      </c>
      <c r="P6" s="53">
        <v>0.46</v>
      </c>
      <c r="Q6" s="97">
        <f t="shared" si="2"/>
        <v>0.42000000000000004</v>
      </c>
      <c r="R6" s="53">
        <v>15.1</v>
      </c>
      <c r="S6" s="53">
        <v>110</v>
      </c>
      <c r="T6" s="16">
        <f t="shared" si="0"/>
        <v>33</v>
      </c>
      <c r="U6" s="53">
        <v>397</v>
      </c>
      <c r="V6" s="16">
        <f t="shared" si="1"/>
        <v>16</v>
      </c>
      <c r="W6" s="53">
        <v>10</v>
      </c>
      <c r="X6" s="53" t="s">
        <v>39</v>
      </c>
      <c r="Y6" s="53" t="s">
        <v>40</v>
      </c>
      <c r="Z6" s="53" t="s">
        <v>84</v>
      </c>
      <c r="AA6" s="53" t="s">
        <v>314</v>
      </c>
      <c r="AB6" s="36" t="s">
        <v>316</v>
      </c>
      <c r="AE6" s="22" t="s">
        <v>56</v>
      </c>
      <c r="AG6" s="167" t="s">
        <v>328</v>
      </c>
      <c r="AH6" s="168" t="s">
        <v>329</v>
      </c>
      <c r="AL6" s="29" t="s">
        <v>99</v>
      </c>
      <c r="AN6" s="29" t="s">
        <v>57</v>
      </c>
      <c r="AP6" s="23" t="s">
        <v>53</v>
      </c>
      <c r="AR6" s="41" t="s">
        <v>330</v>
      </c>
      <c r="AV6" s="23" t="s">
        <v>60</v>
      </c>
      <c r="AX6" s="24">
        <v>97</v>
      </c>
      <c r="AY6" s="25">
        <v>36</v>
      </c>
      <c r="AZ6" s="25">
        <v>99</v>
      </c>
      <c r="BA6" s="26">
        <v>33</v>
      </c>
    </row>
    <row r="7" spans="1:53" x14ac:dyDescent="0.15">
      <c r="A7" s="53" t="s">
        <v>59</v>
      </c>
      <c r="B7" s="36" t="s">
        <v>234</v>
      </c>
      <c r="C7" s="165">
        <v>2019</v>
      </c>
      <c r="D7" s="166" t="s">
        <v>310</v>
      </c>
      <c r="E7" s="53" t="s">
        <v>317</v>
      </c>
      <c r="F7" s="53" t="s">
        <v>318</v>
      </c>
      <c r="G7" s="53" t="s">
        <v>36</v>
      </c>
      <c r="H7" s="53" t="s">
        <v>162</v>
      </c>
      <c r="I7" s="53" t="s">
        <v>161</v>
      </c>
      <c r="J7" s="53" t="s">
        <v>38</v>
      </c>
      <c r="K7" s="53" t="s">
        <v>163</v>
      </c>
      <c r="L7" s="53">
        <v>3</v>
      </c>
      <c r="N7" s="53">
        <v>4</v>
      </c>
      <c r="O7" s="53">
        <v>0.44</v>
      </c>
      <c r="P7" s="53">
        <v>0.43</v>
      </c>
      <c r="Q7" s="97">
        <f t="shared" si="2"/>
        <v>0.435</v>
      </c>
      <c r="R7" s="53">
        <v>15</v>
      </c>
      <c r="S7" s="53">
        <v>100</v>
      </c>
      <c r="T7" s="16">
        <f t="shared" si="0"/>
        <v>33</v>
      </c>
      <c r="U7" s="53">
        <v>397</v>
      </c>
      <c r="V7" s="16">
        <f t="shared" si="1"/>
        <v>16</v>
      </c>
      <c r="W7" s="53">
        <v>10</v>
      </c>
      <c r="X7" s="53" t="s">
        <v>39</v>
      </c>
      <c r="Y7" s="53" t="s">
        <v>40</v>
      </c>
      <c r="Z7" s="53" t="s">
        <v>84</v>
      </c>
      <c r="AA7" s="53" t="s">
        <v>314</v>
      </c>
      <c r="AB7" s="36" t="s">
        <v>316</v>
      </c>
      <c r="AE7" s="22" t="s">
        <v>61</v>
      </c>
      <c r="AG7" s="167" t="s">
        <v>331</v>
      </c>
      <c r="AH7" s="168" t="s">
        <v>332</v>
      </c>
      <c r="AL7" s="34" t="s">
        <v>109</v>
      </c>
      <c r="AP7" s="23" t="s">
        <v>58</v>
      </c>
      <c r="AR7" s="30" t="s">
        <v>333</v>
      </c>
      <c r="AV7" s="23" t="s">
        <v>64</v>
      </c>
      <c r="AX7" s="24">
        <v>109</v>
      </c>
      <c r="AY7" s="25">
        <v>33</v>
      </c>
      <c r="AZ7" s="25">
        <v>113</v>
      </c>
      <c r="BA7" s="26">
        <v>30</v>
      </c>
    </row>
    <row r="8" spans="1:53" x14ac:dyDescent="0.15">
      <c r="A8" s="53" t="s">
        <v>59</v>
      </c>
      <c r="B8" s="36" t="s">
        <v>234</v>
      </c>
      <c r="C8" s="165">
        <v>2019</v>
      </c>
      <c r="D8" s="166" t="s">
        <v>310</v>
      </c>
      <c r="E8" s="53" t="s">
        <v>325</v>
      </c>
      <c r="F8" s="53" t="s">
        <v>326</v>
      </c>
      <c r="G8" s="53" t="s">
        <v>36</v>
      </c>
      <c r="H8" s="53" t="s">
        <v>162</v>
      </c>
      <c r="I8" s="53" t="s">
        <v>161</v>
      </c>
      <c r="J8" s="53" t="s">
        <v>38</v>
      </c>
      <c r="K8" s="53" t="s">
        <v>163</v>
      </c>
      <c r="L8" s="53">
        <v>1</v>
      </c>
      <c r="N8" s="53">
        <v>2</v>
      </c>
      <c r="O8" s="53">
        <v>0.53</v>
      </c>
      <c r="P8" s="53">
        <v>0.61</v>
      </c>
      <c r="Q8" s="97">
        <f t="shared" si="2"/>
        <v>0.57000000000000006</v>
      </c>
      <c r="R8" s="53">
        <v>15.2</v>
      </c>
      <c r="S8" s="53">
        <v>142</v>
      </c>
      <c r="T8" s="16">
        <f t="shared" si="0"/>
        <v>22</v>
      </c>
      <c r="U8" s="53">
        <v>330</v>
      </c>
      <c r="V8" s="16">
        <f t="shared" si="1"/>
        <v>16</v>
      </c>
      <c r="W8" s="53">
        <v>4</v>
      </c>
      <c r="X8" s="53" t="s">
        <v>313</v>
      </c>
      <c r="Y8" s="53" t="s">
        <v>314</v>
      </c>
      <c r="Z8" s="53" t="s">
        <v>47</v>
      </c>
      <c r="AA8" s="53" t="s">
        <v>315</v>
      </c>
      <c r="AB8" s="36" t="s">
        <v>316</v>
      </c>
      <c r="AE8" s="22" t="s">
        <v>59</v>
      </c>
      <c r="AG8" s="174" t="s">
        <v>165</v>
      </c>
      <c r="AH8" s="168" t="s">
        <v>334</v>
      </c>
      <c r="AL8" s="34" t="s">
        <v>134</v>
      </c>
      <c r="AP8" s="23" t="s">
        <v>62</v>
      </c>
      <c r="AR8" s="41" t="s">
        <v>81</v>
      </c>
      <c r="AV8" s="23" t="s">
        <v>97</v>
      </c>
      <c r="AX8" s="24">
        <v>119</v>
      </c>
      <c r="AY8" s="25">
        <v>30</v>
      </c>
      <c r="AZ8" s="25">
        <v>121</v>
      </c>
      <c r="BA8" s="26">
        <v>27</v>
      </c>
    </row>
    <row r="9" spans="1:53" x14ac:dyDescent="0.15">
      <c r="A9" s="53" t="s">
        <v>59</v>
      </c>
      <c r="B9" s="36" t="s">
        <v>234</v>
      </c>
      <c r="C9" s="165">
        <v>2019</v>
      </c>
      <c r="D9" s="166" t="s">
        <v>310</v>
      </c>
      <c r="E9" s="53" t="s">
        <v>325</v>
      </c>
      <c r="F9" s="53" t="s">
        <v>326</v>
      </c>
      <c r="G9" s="53" t="s">
        <v>36</v>
      </c>
      <c r="H9" s="53" t="s">
        <v>162</v>
      </c>
      <c r="I9" s="53" t="s">
        <v>161</v>
      </c>
      <c r="J9" s="53" t="s">
        <v>38</v>
      </c>
      <c r="K9" s="53" t="s">
        <v>163</v>
      </c>
      <c r="L9" s="53">
        <v>2</v>
      </c>
      <c r="N9" s="53">
        <v>2</v>
      </c>
      <c r="O9" s="53">
        <v>0.51</v>
      </c>
      <c r="P9" s="53">
        <v>0.63</v>
      </c>
      <c r="Q9" s="97">
        <f t="shared" si="2"/>
        <v>0.57000000000000006</v>
      </c>
      <c r="R9" s="53">
        <v>15.3</v>
      </c>
      <c r="S9" s="53">
        <v>145</v>
      </c>
      <c r="T9" s="16">
        <f t="shared" si="0"/>
        <v>22</v>
      </c>
      <c r="U9" s="53">
        <v>330</v>
      </c>
      <c r="V9" s="16">
        <f t="shared" si="1"/>
        <v>16</v>
      </c>
      <c r="W9" s="53">
        <v>4</v>
      </c>
      <c r="X9" s="53" t="s">
        <v>313</v>
      </c>
      <c r="Y9" s="53" t="s">
        <v>314</v>
      </c>
      <c r="Z9" s="53" t="s">
        <v>47</v>
      </c>
      <c r="AA9" s="53" t="s">
        <v>315</v>
      </c>
      <c r="AB9" s="36" t="s">
        <v>316</v>
      </c>
      <c r="AE9" s="22" t="s">
        <v>98</v>
      </c>
      <c r="AG9" s="174" t="s">
        <v>335</v>
      </c>
      <c r="AH9" s="168" t="s">
        <v>334</v>
      </c>
      <c r="AL9" s="29"/>
      <c r="AP9" s="23" t="s">
        <v>336</v>
      </c>
      <c r="AR9" s="30" t="s">
        <v>89</v>
      </c>
      <c r="AV9" s="23" t="s">
        <v>102</v>
      </c>
      <c r="AX9" s="24">
        <v>128</v>
      </c>
      <c r="AY9" s="25">
        <v>27</v>
      </c>
      <c r="AZ9" s="25">
        <v>129</v>
      </c>
      <c r="BA9" s="26">
        <v>25</v>
      </c>
    </row>
    <row r="10" spans="1:53" x14ac:dyDescent="0.15">
      <c r="A10" s="53" t="s">
        <v>59</v>
      </c>
      <c r="B10" s="36" t="s">
        <v>234</v>
      </c>
      <c r="C10" s="165">
        <v>2019</v>
      </c>
      <c r="D10" s="166" t="s">
        <v>310</v>
      </c>
      <c r="E10" s="53" t="s">
        <v>325</v>
      </c>
      <c r="F10" s="53" t="s">
        <v>326</v>
      </c>
      <c r="G10" s="53" t="s">
        <v>36</v>
      </c>
      <c r="H10" s="53" t="s">
        <v>162</v>
      </c>
      <c r="I10" s="53" t="s">
        <v>161</v>
      </c>
      <c r="J10" s="53" t="s">
        <v>38</v>
      </c>
      <c r="K10" s="53" t="s">
        <v>163</v>
      </c>
      <c r="L10" s="53">
        <v>3</v>
      </c>
      <c r="N10" s="53">
        <v>2</v>
      </c>
      <c r="O10" s="53">
        <v>0.52</v>
      </c>
      <c r="P10" s="53">
        <v>0.66</v>
      </c>
      <c r="Q10" s="97">
        <f t="shared" si="2"/>
        <v>0.59000000000000008</v>
      </c>
      <c r="R10" s="53">
        <v>15.4</v>
      </c>
      <c r="S10" s="53">
        <v>144</v>
      </c>
      <c r="T10" s="16">
        <f t="shared" si="0"/>
        <v>22</v>
      </c>
      <c r="U10" s="53">
        <v>330</v>
      </c>
      <c r="V10" s="16">
        <f t="shared" si="1"/>
        <v>16</v>
      </c>
      <c r="W10" s="53">
        <v>4</v>
      </c>
      <c r="X10" s="53" t="s">
        <v>313</v>
      </c>
      <c r="Y10" s="53" t="s">
        <v>314</v>
      </c>
      <c r="Z10" s="53" t="s">
        <v>47</v>
      </c>
      <c r="AA10" s="53" t="s">
        <v>315</v>
      </c>
      <c r="AB10" s="36" t="s">
        <v>316</v>
      </c>
      <c r="AE10" s="22" t="s">
        <v>103</v>
      </c>
      <c r="AG10" s="167" t="s">
        <v>337</v>
      </c>
      <c r="AH10" s="168" t="s">
        <v>326</v>
      </c>
      <c r="AL10" s="99"/>
      <c r="AP10" s="23" t="s">
        <v>100</v>
      </c>
      <c r="AR10" s="30" t="s">
        <v>123</v>
      </c>
      <c r="AV10" s="23" t="s">
        <v>106</v>
      </c>
      <c r="AX10" s="24">
        <v>138</v>
      </c>
      <c r="AY10" s="25">
        <v>25</v>
      </c>
      <c r="AZ10" s="25">
        <v>138</v>
      </c>
      <c r="BA10" s="26">
        <v>22</v>
      </c>
    </row>
    <row r="11" spans="1:53" x14ac:dyDescent="0.15">
      <c r="A11" s="53" t="s">
        <v>59</v>
      </c>
      <c r="B11" s="36" t="s">
        <v>234</v>
      </c>
      <c r="C11" s="165">
        <v>2019</v>
      </c>
      <c r="D11" s="166" t="s">
        <v>310</v>
      </c>
      <c r="E11" s="53" t="s">
        <v>325</v>
      </c>
      <c r="F11" s="53" t="s">
        <v>326</v>
      </c>
      <c r="G11" s="53" t="s">
        <v>36</v>
      </c>
      <c r="H11" s="53" t="s">
        <v>127</v>
      </c>
      <c r="I11" s="53" t="s">
        <v>161</v>
      </c>
      <c r="J11" s="53" t="s">
        <v>338</v>
      </c>
      <c r="K11" s="53" t="s">
        <v>339</v>
      </c>
      <c r="L11" s="53">
        <v>1</v>
      </c>
      <c r="N11" s="53">
        <v>4</v>
      </c>
      <c r="O11" s="53">
        <v>0.82</v>
      </c>
      <c r="P11" s="53">
        <v>0.79</v>
      </c>
      <c r="Q11" s="97">
        <f t="shared" si="2"/>
        <v>0.80499999999999994</v>
      </c>
      <c r="R11" s="53">
        <v>12.4</v>
      </c>
      <c r="S11" s="53">
        <v>81</v>
      </c>
      <c r="T11" s="16">
        <f t="shared" si="0"/>
        <v>39</v>
      </c>
      <c r="U11" s="53">
        <v>450</v>
      </c>
      <c r="V11" s="16">
        <f t="shared" si="1"/>
        <v>16</v>
      </c>
      <c r="W11" s="53">
        <v>1</v>
      </c>
      <c r="X11" s="53" t="s">
        <v>46</v>
      </c>
      <c r="Y11" s="53" t="s">
        <v>90</v>
      </c>
      <c r="Z11" s="53" t="s">
        <v>47</v>
      </c>
      <c r="AA11" s="53" t="s">
        <v>315</v>
      </c>
      <c r="AB11" s="36" t="s">
        <v>316</v>
      </c>
      <c r="AE11" s="22" t="s">
        <v>65</v>
      </c>
      <c r="AG11" s="174" t="s">
        <v>340</v>
      </c>
      <c r="AH11" s="168" t="s">
        <v>341</v>
      </c>
      <c r="AL11" s="99"/>
      <c r="AP11" s="23" t="s">
        <v>342</v>
      </c>
      <c r="AR11" s="30" t="s">
        <v>343</v>
      </c>
      <c r="AV11" s="23" t="s">
        <v>344</v>
      </c>
      <c r="AX11" s="24">
        <v>151</v>
      </c>
      <c r="AY11" s="25">
        <v>22</v>
      </c>
      <c r="AZ11" s="25">
        <v>152</v>
      </c>
      <c r="BA11" s="26">
        <v>18</v>
      </c>
    </row>
    <row r="12" spans="1:53" x14ac:dyDescent="0.15">
      <c r="A12" s="53" t="s">
        <v>59</v>
      </c>
      <c r="B12" s="36" t="s">
        <v>234</v>
      </c>
      <c r="C12" s="165">
        <v>2019</v>
      </c>
      <c r="D12" s="166" t="s">
        <v>310</v>
      </c>
      <c r="E12" s="53" t="s">
        <v>325</v>
      </c>
      <c r="F12" s="53" t="s">
        <v>326</v>
      </c>
      <c r="G12" s="53" t="s">
        <v>36</v>
      </c>
      <c r="H12" s="53" t="s">
        <v>127</v>
      </c>
      <c r="I12" s="53" t="s">
        <v>161</v>
      </c>
      <c r="J12" s="53" t="s">
        <v>338</v>
      </c>
      <c r="K12" s="53" t="s">
        <v>324</v>
      </c>
      <c r="L12" s="53">
        <v>2</v>
      </c>
      <c r="N12" s="53">
        <v>4</v>
      </c>
      <c r="O12" s="53">
        <v>0.8</v>
      </c>
      <c r="P12" s="53">
        <v>0.67</v>
      </c>
      <c r="Q12" s="97">
        <f t="shared" si="2"/>
        <v>0.7350000000000001</v>
      </c>
      <c r="R12" s="53">
        <v>10.3</v>
      </c>
      <c r="S12" s="53">
        <v>97</v>
      </c>
      <c r="T12" s="16">
        <f t="shared" si="0"/>
        <v>36</v>
      </c>
      <c r="U12" s="53">
        <v>450</v>
      </c>
      <c r="V12" s="16">
        <f t="shared" si="1"/>
        <v>16</v>
      </c>
      <c r="W12" s="53">
        <v>1</v>
      </c>
      <c r="X12" s="53" t="s">
        <v>46</v>
      </c>
      <c r="Y12" s="53" t="s">
        <v>90</v>
      </c>
      <c r="Z12" s="53" t="s">
        <v>47</v>
      </c>
      <c r="AA12" s="53" t="s">
        <v>315</v>
      </c>
      <c r="AB12" s="36" t="s">
        <v>316</v>
      </c>
      <c r="AE12" s="22" t="s">
        <v>70</v>
      </c>
      <c r="AG12" s="30"/>
      <c r="AH12" s="175"/>
      <c r="AL12" s="99"/>
      <c r="AP12" s="23" t="s">
        <v>67</v>
      </c>
      <c r="AR12" s="30" t="s">
        <v>124</v>
      </c>
      <c r="AV12" s="23" t="s">
        <v>72</v>
      </c>
      <c r="AX12" s="31">
        <v>180</v>
      </c>
      <c r="AY12" s="32">
        <v>18</v>
      </c>
      <c r="AZ12" s="32">
        <v>181</v>
      </c>
      <c r="BA12" s="33">
        <v>16</v>
      </c>
    </row>
    <row r="13" spans="1:53" x14ac:dyDescent="0.15">
      <c r="A13" s="53" t="s">
        <v>59</v>
      </c>
      <c r="B13" s="36" t="s">
        <v>234</v>
      </c>
      <c r="C13" s="165">
        <v>2019</v>
      </c>
      <c r="D13" s="166" t="s">
        <v>310</v>
      </c>
      <c r="E13" s="53" t="s">
        <v>325</v>
      </c>
      <c r="F13" s="53" t="s">
        <v>326</v>
      </c>
      <c r="G13" s="53" t="s">
        <v>36</v>
      </c>
      <c r="H13" s="53" t="s">
        <v>127</v>
      </c>
      <c r="I13" s="53" t="s">
        <v>161</v>
      </c>
      <c r="J13" s="53" t="s">
        <v>338</v>
      </c>
      <c r="K13" s="53" t="s">
        <v>324</v>
      </c>
      <c r="L13" s="53">
        <v>3</v>
      </c>
      <c r="N13" s="53">
        <v>4</v>
      </c>
      <c r="O13" s="53">
        <v>0.81</v>
      </c>
      <c r="P13" s="53">
        <v>0.77</v>
      </c>
      <c r="Q13" s="97">
        <f t="shared" si="2"/>
        <v>0.79</v>
      </c>
      <c r="R13" s="53">
        <v>11</v>
      </c>
      <c r="S13" s="53">
        <v>77</v>
      </c>
      <c r="T13" s="16">
        <f t="shared" si="0"/>
        <v>39</v>
      </c>
      <c r="U13" s="53">
        <v>450</v>
      </c>
      <c r="V13" s="16">
        <f t="shared" si="1"/>
        <v>16</v>
      </c>
      <c r="W13" s="53">
        <v>1</v>
      </c>
      <c r="X13" s="53" t="s">
        <v>46</v>
      </c>
      <c r="Y13" s="53" t="s">
        <v>90</v>
      </c>
      <c r="Z13" s="53" t="s">
        <v>47</v>
      </c>
      <c r="AA13" s="53" t="s">
        <v>315</v>
      </c>
      <c r="AB13" s="36" t="s">
        <v>316</v>
      </c>
      <c r="AE13" s="22" t="s">
        <v>73</v>
      </c>
      <c r="AG13" s="23"/>
      <c r="AH13" s="23"/>
      <c r="AP13" s="23" t="s">
        <v>71</v>
      </c>
      <c r="AR13" s="30" t="s">
        <v>103</v>
      </c>
      <c r="AV13" s="23" t="s">
        <v>75</v>
      </c>
    </row>
    <row r="14" spans="1:53" x14ac:dyDescent="0.15">
      <c r="A14" s="53" t="s">
        <v>59</v>
      </c>
      <c r="B14" s="36" t="s">
        <v>234</v>
      </c>
      <c r="C14" s="165">
        <v>2019</v>
      </c>
      <c r="D14" s="166" t="s">
        <v>310</v>
      </c>
      <c r="E14" s="53" t="s">
        <v>337</v>
      </c>
      <c r="F14" s="53" t="s">
        <v>326</v>
      </c>
      <c r="G14" s="53" t="s">
        <v>36</v>
      </c>
      <c r="H14" s="53" t="s">
        <v>162</v>
      </c>
      <c r="I14" s="53" t="s">
        <v>161</v>
      </c>
      <c r="J14" s="53" t="s">
        <v>38</v>
      </c>
      <c r="K14" s="53" t="s">
        <v>163</v>
      </c>
      <c r="L14" s="53">
        <v>1</v>
      </c>
      <c r="N14" s="53">
        <v>2</v>
      </c>
      <c r="O14" s="53">
        <v>0.46</v>
      </c>
      <c r="P14" s="53">
        <v>0.4</v>
      </c>
      <c r="Q14" s="97">
        <f t="shared" si="2"/>
        <v>0.43000000000000005</v>
      </c>
      <c r="R14" s="53">
        <v>18</v>
      </c>
      <c r="S14" s="53">
        <v>155</v>
      </c>
      <c r="T14" s="16">
        <f t="shared" si="0"/>
        <v>18</v>
      </c>
      <c r="U14" s="53">
        <v>429</v>
      </c>
      <c r="V14" s="16">
        <f t="shared" si="1"/>
        <v>16</v>
      </c>
      <c r="W14" s="53">
        <v>4</v>
      </c>
      <c r="X14" s="53" t="s">
        <v>46</v>
      </c>
      <c r="Y14" s="53" t="s">
        <v>40</v>
      </c>
      <c r="Z14" s="53" t="s">
        <v>314</v>
      </c>
      <c r="AA14" s="53" t="s">
        <v>47</v>
      </c>
      <c r="AB14" s="36" t="s">
        <v>316</v>
      </c>
      <c r="AE14" s="22" t="s">
        <v>76</v>
      </c>
      <c r="AG14" s="23"/>
      <c r="AH14" s="23"/>
      <c r="AP14" s="23" t="s">
        <v>345</v>
      </c>
      <c r="AR14" s="30" t="s">
        <v>125</v>
      </c>
      <c r="AV14" s="23" t="s">
        <v>78</v>
      </c>
    </row>
    <row r="15" spans="1:53" x14ac:dyDescent="0.15">
      <c r="A15" s="53" t="s">
        <v>59</v>
      </c>
      <c r="B15" s="36" t="s">
        <v>234</v>
      </c>
      <c r="C15" s="165">
        <v>2019</v>
      </c>
      <c r="D15" s="166" t="s">
        <v>310</v>
      </c>
      <c r="E15" s="53" t="s">
        <v>337</v>
      </c>
      <c r="F15" s="53" t="s">
        <v>326</v>
      </c>
      <c r="G15" s="53" t="s">
        <v>36</v>
      </c>
      <c r="H15" s="53" t="s">
        <v>162</v>
      </c>
      <c r="I15" s="53" t="s">
        <v>161</v>
      </c>
      <c r="J15" s="53" t="s">
        <v>38</v>
      </c>
      <c r="K15" s="53" t="s">
        <v>163</v>
      </c>
      <c r="L15" s="53">
        <v>2</v>
      </c>
      <c r="N15" s="53">
        <v>2</v>
      </c>
      <c r="O15" s="53">
        <v>0.56999999999999995</v>
      </c>
      <c r="P15" s="53">
        <v>0.55000000000000004</v>
      </c>
      <c r="Q15" s="97">
        <f t="shared" si="2"/>
        <v>0.56000000000000005</v>
      </c>
      <c r="R15" s="53">
        <v>16.7</v>
      </c>
      <c r="S15" s="53">
        <v>154</v>
      </c>
      <c r="T15" s="16">
        <f t="shared" si="0"/>
        <v>18</v>
      </c>
      <c r="U15" s="53">
        <v>429</v>
      </c>
      <c r="V15" s="16">
        <f t="shared" si="1"/>
        <v>16</v>
      </c>
      <c r="W15" s="53">
        <v>4</v>
      </c>
      <c r="X15" s="53" t="s">
        <v>46</v>
      </c>
      <c r="Y15" s="53" t="s">
        <v>40</v>
      </c>
      <c r="Z15" s="53" t="s">
        <v>314</v>
      </c>
      <c r="AA15" s="53" t="s">
        <v>47</v>
      </c>
      <c r="AB15" s="36" t="s">
        <v>316</v>
      </c>
      <c r="AE15" s="22" t="s">
        <v>79</v>
      </c>
      <c r="AG15" s="23"/>
      <c r="AH15" s="23"/>
      <c r="AP15" s="23" t="s">
        <v>346</v>
      </c>
      <c r="AR15" s="30" t="s">
        <v>94</v>
      </c>
      <c r="AV15" s="23" t="s">
        <v>107</v>
      </c>
    </row>
    <row r="16" spans="1:53" x14ac:dyDescent="0.15">
      <c r="A16" s="53" t="s">
        <v>59</v>
      </c>
      <c r="B16" s="36" t="s">
        <v>234</v>
      </c>
      <c r="C16" s="165">
        <v>2019</v>
      </c>
      <c r="D16" s="166" t="s">
        <v>310</v>
      </c>
      <c r="E16" s="53" t="s">
        <v>337</v>
      </c>
      <c r="F16" s="53" t="s">
        <v>326</v>
      </c>
      <c r="G16" s="53" t="s">
        <v>36</v>
      </c>
      <c r="H16" s="53" t="s">
        <v>162</v>
      </c>
      <c r="I16" s="53" t="s">
        <v>161</v>
      </c>
      <c r="J16" s="53" t="s">
        <v>38</v>
      </c>
      <c r="K16" s="53" t="s">
        <v>163</v>
      </c>
      <c r="L16" s="53">
        <v>3</v>
      </c>
      <c r="N16" s="53">
        <v>2</v>
      </c>
      <c r="O16" s="53">
        <v>0.53</v>
      </c>
      <c r="P16" s="53">
        <v>0.49</v>
      </c>
      <c r="Q16" s="97">
        <f t="shared" si="2"/>
        <v>0.51</v>
      </c>
      <c r="R16" s="53">
        <v>17.2</v>
      </c>
      <c r="S16" s="53">
        <v>155</v>
      </c>
      <c r="T16" s="16">
        <f t="shared" si="0"/>
        <v>18</v>
      </c>
      <c r="U16" s="53">
        <v>429</v>
      </c>
      <c r="V16" s="16">
        <f t="shared" si="1"/>
        <v>16</v>
      </c>
      <c r="W16" s="53">
        <v>4</v>
      </c>
      <c r="X16" s="53" t="s">
        <v>46</v>
      </c>
      <c r="Y16" s="53" t="s">
        <v>40</v>
      </c>
      <c r="Z16" s="53" t="s">
        <v>314</v>
      </c>
      <c r="AA16" s="53" t="s">
        <v>47</v>
      </c>
      <c r="AB16" s="36" t="s">
        <v>316</v>
      </c>
      <c r="AE16" s="22" t="s">
        <v>82</v>
      </c>
      <c r="AG16" s="28"/>
      <c r="AH16" s="28"/>
      <c r="AP16" s="23" t="s">
        <v>80</v>
      </c>
      <c r="AR16" s="41" t="s">
        <v>63</v>
      </c>
      <c r="AV16" s="23" t="s">
        <v>84</v>
      </c>
    </row>
    <row r="17" spans="1:48" x14ac:dyDescent="0.15">
      <c r="A17" s="53" t="s">
        <v>59</v>
      </c>
      <c r="B17" s="36" t="s">
        <v>234</v>
      </c>
      <c r="C17" s="165">
        <v>2019</v>
      </c>
      <c r="D17" s="166" t="s">
        <v>310</v>
      </c>
      <c r="E17" s="53" t="s">
        <v>335</v>
      </c>
      <c r="F17" s="53" t="s">
        <v>334</v>
      </c>
      <c r="G17" s="53" t="s">
        <v>36</v>
      </c>
      <c r="H17" s="53" t="s">
        <v>162</v>
      </c>
      <c r="I17" s="53" t="s">
        <v>161</v>
      </c>
      <c r="J17" s="53" t="s">
        <v>38</v>
      </c>
      <c r="K17" s="53" t="s">
        <v>163</v>
      </c>
      <c r="L17" s="53">
        <v>1</v>
      </c>
      <c r="N17" s="53">
        <v>4</v>
      </c>
      <c r="O17" s="53">
        <v>0.68</v>
      </c>
      <c r="P17" s="53">
        <v>0.69</v>
      </c>
      <c r="Q17" s="97">
        <f t="shared" si="2"/>
        <v>0.68500000000000005</v>
      </c>
      <c r="R17" s="53">
        <v>15</v>
      </c>
      <c r="S17" s="53">
        <v>104</v>
      </c>
      <c r="T17" s="16">
        <f t="shared" si="0"/>
        <v>33</v>
      </c>
      <c r="U17" s="53">
        <v>480</v>
      </c>
      <c r="V17" s="16">
        <f t="shared" si="1"/>
        <v>16</v>
      </c>
      <c r="W17" s="53">
        <v>8</v>
      </c>
      <c r="X17" s="53" t="s">
        <v>46</v>
      </c>
      <c r="Y17" s="53" t="s">
        <v>78</v>
      </c>
      <c r="Z17" s="53" t="s">
        <v>69</v>
      </c>
      <c r="AA17" s="53" t="s">
        <v>314</v>
      </c>
      <c r="AB17" s="36" t="s">
        <v>316</v>
      </c>
      <c r="AE17" s="22" t="s">
        <v>85</v>
      </c>
      <c r="AP17" s="43" t="s">
        <v>110</v>
      </c>
      <c r="AR17" s="41" t="s">
        <v>96</v>
      </c>
      <c r="AV17" s="23" t="s">
        <v>86</v>
      </c>
    </row>
    <row r="18" spans="1:48" x14ac:dyDescent="0.15">
      <c r="A18" s="53" t="s">
        <v>59</v>
      </c>
      <c r="B18" s="36" t="s">
        <v>234</v>
      </c>
      <c r="C18" s="165">
        <v>2019</v>
      </c>
      <c r="D18" s="166" t="s">
        <v>310</v>
      </c>
      <c r="E18" s="53" t="s">
        <v>335</v>
      </c>
      <c r="F18" s="53" t="s">
        <v>334</v>
      </c>
      <c r="G18" s="53" t="s">
        <v>36</v>
      </c>
      <c r="H18" s="53" t="s">
        <v>162</v>
      </c>
      <c r="I18" s="53" t="s">
        <v>161</v>
      </c>
      <c r="J18" s="53" t="s">
        <v>38</v>
      </c>
      <c r="K18" s="53" t="s">
        <v>163</v>
      </c>
      <c r="L18" s="53">
        <v>2</v>
      </c>
      <c r="N18" s="53">
        <v>4</v>
      </c>
      <c r="O18" s="53">
        <v>0.62</v>
      </c>
      <c r="P18" s="53">
        <v>0.61</v>
      </c>
      <c r="Q18" s="97">
        <f t="shared" si="2"/>
        <v>0.61499999999999999</v>
      </c>
      <c r="R18" s="53">
        <v>16</v>
      </c>
      <c r="S18" s="53">
        <v>110</v>
      </c>
      <c r="T18" s="16">
        <f t="shared" si="0"/>
        <v>33</v>
      </c>
      <c r="U18" s="53">
        <v>480</v>
      </c>
      <c r="V18" s="16">
        <f t="shared" si="1"/>
        <v>16</v>
      </c>
      <c r="W18" s="53">
        <v>8</v>
      </c>
      <c r="X18" s="53" t="s">
        <v>46</v>
      </c>
      <c r="Y18" s="53" t="s">
        <v>78</v>
      </c>
      <c r="Z18" s="53" t="s">
        <v>69</v>
      </c>
      <c r="AA18" s="53" t="s">
        <v>314</v>
      </c>
      <c r="AB18" s="36" t="s">
        <v>316</v>
      </c>
      <c r="AE18" s="22" t="s">
        <v>87</v>
      </c>
      <c r="AP18" s="43" t="s">
        <v>347</v>
      </c>
      <c r="AR18" s="41" t="s">
        <v>101</v>
      </c>
      <c r="AV18" s="23" t="s">
        <v>88</v>
      </c>
    </row>
    <row r="19" spans="1:48" x14ac:dyDescent="0.15">
      <c r="A19" s="53" t="s">
        <v>59</v>
      </c>
      <c r="B19" s="36" t="s">
        <v>234</v>
      </c>
      <c r="C19" s="165">
        <v>2019</v>
      </c>
      <c r="D19" s="166" t="s">
        <v>310</v>
      </c>
      <c r="E19" s="53" t="s">
        <v>335</v>
      </c>
      <c r="F19" s="53" t="s">
        <v>334</v>
      </c>
      <c r="G19" s="53" t="s">
        <v>36</v>
      </c>
      <c r="H19" s="53" t="s">
        <v>162</v>
      </c>
      <c r="I19" s="53" t="s">
        <v>161</v>
      </c>
      <c r="J19" s="53" t="s">
        <v>38</v>
      </c>
      <c r="K19" s="53" t="s">
        <v>163</v>
      </c>
      <c r="L19" s="53">
        <v>3</v>
      </c>
      <c r="N19" s="53">
        <v>4</v>
      </c>
      <c r="O19" s="53">
        <v>0.66</v>
      </c>
      <c r="P19" s="53">
        <v>0.63</v>
      </c>
      <c r="Q19" s="97">
        <f t="shared" si="2"/>
        <v>0.64500000000000002</v>
      </c>
      <c r="R19" s="53">
        <v>16.399999999999999</v>
      </c>
      <c r="S19" s="53">
        <v>109</v>
      </c>
      <c r="T19" s="16">
        <f t="shared" si="0"/>
        <v>33</v>
      </c>
      <c r="U19" s="53">
        <v>480</v>
      </c>
      <c r="V19" s="16">
        <f t="shared" si="1"/>
        <v>16</v>
      </c>
      <c r="W19" s="53">
        <v>8</v>
      </c>
      <c r="X19" s="53" t="s">
        <v>46</v>
      </c>
      <c r="Y19" s="53" t="s">
        <v>78</v>
      </c>
      <c r="Z19" s="53" t="s">
        <v>69</v>
      </c>
      <c r="AA19" s="53" t="s">
        <v>314</v>
      </c>
      <c r="AB19" s="36" t="s">
        <v>316</v>
      </c>
      <c r="AD19" s="36"/>
      <c r="AE19" s="35" t="s">
        <v>89</v>
      </c>
      <c r="AP19" s="43" t="s">
        <v>112</v>
      </c>
      <c r="AR19" s="30" t="s">
        <v>126</v>
      </c>
      <c r="AV19" s="23" t="s">
        <v>348</v>
      </c>
    </row>
    <row r="20" spans="1:48" x14ac:dyDescent="0.15">
      <c r="A20" s="53" t="s">
        <v>59</v>
      </c>
      <c r="B20" s="36" t="s">
        <v>234</v>
      </c>
      <c r="C20" s="165">
        <v>2019</v>
      </c>
      <c r="D20" s="166" t="s">
        <v>310</v>
      </c>
      <c r="E20" s="53" t="s">
        <v>165</v>
      </c>
      <c r="F20" s="53" t="s">
        <v>334</v>
      </c>
      <c r="G20" s="53" t="s">
        <v>36</v>
      </c>
      <c r="H20" s="53" t="s">
        <v>162</v>
      </c>
      <c r="I20" s="53" t="s">
        <v>161</v>
      </c>
      <c r="J20" s="53" t="s">
        <v>38</v>
      </c>
      <c r="K20" s="53" t="s">
        <v>163</v>
      </c>
      <c r="L20" s="53">
        <v>1</v>
      </c>
      <c r="N20" s="53">
        <v>3</v>
      </c>
      <c r="O20" s="53">
        <v>0.43</v>
      </c>
      <c r="P20" s="53">
        <v>0.55000000000000004</v>
      </c>
      <c r="Q20" s="97">
        <f t="shared" si="2"/>
        <v>0.49</v>
      </c>
      <c r="R20" s="53">
        <v>16</v>
      </c>
      <c r="S20" s="53">
        <v>113</v>
      </c>
      <c r="T20" s="16">
        <f t="shared" si="0"/>
        <v>30</v>
      </c>
      <c r="U20" s="53">
        <v>398</v>
      </c>
      <c r="V20" s="16">
        <f t="shared" si="1"/>
        <v>16</v>
      </c>
      <c r="W20" s="53">
        <v>6</v>
      </c>
      <c r="X20" s="53" t="s">
        <v>46</v>
      </c>
      <c r="Y20" s="53" t="s">
        <v>90</v>
      </c>
      <c r="Z20" s="53" t="s">
        <v>78</v>
      </c>
      <c r="AA20" s="53" t="s">
        <v>47</v>
      </c>
      <c r="AB20" s="36" t="s">
        <v>316</v>
      </c>
      <c r="AD20" s="36"/>
      <c r="AE20" s="35"/>
      <c r="AP20" s="43" t="s">
        <v>113</v>
      </c>
      <c r="AR20" s="41" t="s">
        <v>105</v>
      </c>
      <c r="AV20" s="27" t="s">
        <v>135</v>
      </c>
    </row>
    <row r="21" spans="1:48" x14ac:dyDescent="0.15">
      <c r="A21" s="53" t="s">
        <v>59</v>
      </c>
      <c r="B21" s="36" t="s">
        <v>234</v>
      </c>
      <c r="C21" s="165">
        <v>2019</v>
      </c>
      <c r="D21" s="166" t="s">
        <v>310</v>
      </c>
      <c r="E21" s="53" t="s">
        <v>165</v>
      </c>
      <c r="F21" s="53" t="s">
        <v>334</v>
      </c>
      <c r="G21" s="53" t="s">
        <v>36</v>
      </c>
      <c r="H21" s="53" t="s">
        <v>162</v>
      </c>
      <c r="I21" s="53" t="s">
        <v>161</v>
      </c>
      <c r="J21" s="53" t="s">
        <v>38</v>
      </c>
      <c r="K21" s="53" t="s">
        <v>163</v>
      </c>
      <c r="L21" s="53">
        <v>2</v>
      </c>
      <c r="N21" s="53">
        <v>3</v>
      </c>
      <c r="O21" s="53">
        <v>0.62</v>
      </c>
      <c r="P21" s="53">
        <v>0.51</v>
      </c>
      <c r="Q21" s="97">
        <f t="shared" si="2"/>
        <v>0.56499999999999995</v>
      </c>
      <c r="R21" s="53">
        <v>15.1</v>
      </c>
      <c r="S21" s="53">
        <v>120</v>
      </c>
      <c r="T21" s="16">
        <f t="shared" si="0"/>
        <v>30</v>
      </c>
      <c r="U21" s="53">
        <v>398</v>
      </c>
      <c r="V21" s="16">
        <f t="shared" si="1"/>
        <v>16</v>
      </c>
      <c r="W21" s="53">
        <v>6</v>
      </c>
      <c r="X21" s="53" t="s">
        <v>46</v>
      </c>
      <c r="Y21" s="53" t="s">
        <v>90</v>
      </c>
      <c r="Z21" s="53" t="s">
        <v>78</v>
      </c>
      <c r="AA21" s="53" t="s">
        <v>47</v>
      </c>
      <c r="AB21" s="36" t="s">
        <v>316</v>
      </c>
      <c r="AD21" s="36"/>
      <c r="AE21" s="28"/>
      <c r="AP21" s="43" t="s">
        <v>349</v>
      </c>
      <c r="AR21" s="41" t="s">
        <v>68</v>
      </c>
      <c r="AV21" s="27" t="s">
        <v>136</v>
      </c>
    </row>
    <row r="22" spans="1:48" x14ac:dyDescent="0.15">
      <c r="A22" s="53" t="s">
        <v>59</v>
      </c>
      <c r="B22" s="36" t="s">
        <v>234</v>
      </c>
      <c r="C22" s="165">
        <v>2019</v>
      </c>
      <c r="D22" s="166" t="s">
        <v>310</v>
      </c>
      <c r="E22" s="53" t="s">
        <v>165</v>
      </c>
      <c r="F22" s="53" t="s">
        <v>334</v>
      </c>
      <c r="G22" s="53" t="s">
        <v>36</v>
      </c>
      <c r="H22" s="53" t="s">
        <v>162</v>
      </c>
      <c r="I22" s="53" t="s">
        <v>161</v>
      </c>
      <c r="J22" s="53" t="s">
        <v>38</v>
      </c>
      <c r="K22" s="53" t="s">
        <v>163</v>
      </c>
      <c r="L22" s="53">
        <v>3</v>
      </c>
      <c r="N22" s="53">
        <v>3</v>
      </c>
      <c r="O22" s="53">
        <v>0.53</v>
      </c>
      <c r="P22" s="53">
        <v>0.48</v>
      </c>
      <c r="Q22" s="97">
        <f t="shared" si="2"/>
        <v>0.505</v>
      </c>
      <c r="R22" s="53">
        <v>15.9</v>
      </c>
      <c r="S22" s="53">
        <v>112</v>
      </c>
      <c r="T22" s="16">
        <f t="shared" si="0"/>
        <v>33</v>
      </c>
      <c r="U22" s="53">
        <v>398</v>
      </c>
      <c r="V22" s="16">
        <f t="shared" si="1"/>
        <v>16</v>
      </c>
      <c r="W22" s="53">
        <v>6</v>
      </c>
      <c r="X22" s="53" t="s">
        <v>46</v>
      </c>
      <c r="Y22" s="53" t="s">
        <v>90</v>
      </c>
      <c r="Z22" s="53" t="s">
        <v>78</v>
      </c>
      <c r="AA22" s="53" t="s">
        <v>47</v>
      </c>
      <c r="AB22" s="36" t="s">
        <v>316</v>
      </c>
      <c r="AD22" s="36"/>
      <c r="AP22" s="43" t="s">
        <v>338</v>
      </c>
      <c r="AR22" s="41" t="s">
        <v>83</v>
      </c>
      <c r="AV22" s="27" t="s">
        <v>350</v>
      </c>
    </row>
    <row r="23" spans="1:48" x14ac:dyDescent="0.15">
      <c r="A23" s="53" t="s">
        <v>59</v>
      </c>
      <c r="B23" s="36" t="s">
        <v>234</v>
      </c>
      <c r="C23" s="165">
        <v>2019</v>
      </c>
      <c r="D23" s="166" t="s">
        <v>310</v>
      </c>
      <c r="E23" s="53" t="s">
        <v>165</v>
      </c>
      <c r="F23" s="53" t="s">
        <v>334</v>
      </c>
      <c r="G23" s="53" t="s">
        <v>36</v>
      </c>
      <c r="H23" s="53" t="s">
        <v>127</v>
      </c>
      <c r="I23" s="53" t="s">
        <v>161</v>
      </c>
      <c r="J23" s="53" t="s">
        <v>342</v>
      </c>
      <c r="K23" s="53" t="s">
        <v>324</v>
      </c>
      <c r="L23" s="53">
        <v>1</v>
      </c>
      <c r="N23" s="53">
        <v>1</v>
      </c>
      <c r="O23" s="53">
        <v>0.74</v>
      </c>
      <c r="P23" s="53">
        <v>0.69</v>
      </c>
      <c r="Q23" s="97">
        <f t="shared" si="2"/>
        <v>0.71499999999999997</v>
      </c>
      <c r="R23" s="53">
        <v>12.3</v>
      </c>
      <c r="S23" s="53">
        <v>105</v>
      </c>
      <c r="T23" s="16">
        <f t="shared" si="0"/>
        <v>33</v>
      </c>
      <c r="U23" s="53">
        <v>128</v>
      </c>
      <c r="V23" s="16">
        <f t="shared" si="1"/>
        <v>27</v>
      </c>
      <c r="W23" s="53">
        <v>3</v>
      </c>
      <c r="X23" s="53" t="s">
        <v>46</v>
      </c>
      <c r="Y23" s="53" t="s">
        <v>90</v>
      </c>
      <c r="Z23" s="53" t="s">
        <v>78</v>
      </c>
      <c r="AA23" s="53" t="s">
        <v>47</v>
      </c>
      <c r="AB23" s="36" t="s">
        <v>316</v>
      </c>
      <c r="AP23" s="43" t="s">
        <v>137</v>
      </c>
      <c r="AR23" s="41" t="s">
        <v>61</v>
      </c>
      <c r="AV23" s="27" t="s">
        <v>351</v>
      </c>
    </row>
    <row r="24" spans="1:48" x14ac:dyDescent="0.15">
      <c r="A24" s="53" t="s">
        <v>59</v>
      </c>
      <c r="B24" s="36" t="s">
        <v>234</v>
      </c>
      <c r="C24" s="165">
        <v>2019</v>
      </c>
      <c r="D24" s="166" t="s">
        <v>310</v>
      </c>
      <c r="E24" s="53" t="s">
        <v>165</v>
      </c>
      <c r="F24" s="53" t="s">
        <v>334</v>
      </c>
      <c r="G24" s="53" t="s">
        <v>36</v>
      </c>
      <c r="H24" s="53" t="s">
        <v>127</v>
      </c>
      <c r="I24" s="53" t="s">
        <v>161</v>
      </c>
      <c r="J24" s="53" t="s">
        <v>342</v>
      </c>
      <c r="K24" s="53" t="s">
        <v>324</v>
      </c>
      <c r="L24" s="53">
        <v>2</v>
      </c>
      <c r="N24" s="53">
        <v>1</v>
      </c>
      <c r="O24" s="53">
        <v>0.92</v>
      </c>
      <c r="P24" s="53">
        <v>0.91</v>
      </c>
      <c r="Q24" s="97">
        <f t="shared" si="2"/>
        <v>0.91500000000000004</v>
      </c>
      <c r="R24" s="53">
        <v>12.9</v>
      </c>
      <c r="S24" s="53">
        <v>102</v>
      </c>
      <c r="T24" s="16">
        <f t="shared" si="0"/>
        <v>33</v>
      </c>
      <c r="U24" s="53">
        <v>128</v>
      </c>
      <c r="V24" s="16">
        <f t="shared" si="1"/>
        <v>27</v>
      </c>
      <c r="W24" s="53">
        <v>3</v>
      </c>
      <c r="X24" s="53" t="s">
        <v>46</v>
      </c>
      <c r="Y24" s="53" t="s">
        <v>90</v>
      </c>
      <c r="Z24" s="53" t="s">
        <v>78</v>
      </c>
      <c r="AA24" s="53" t="s">
        <v>47</v>
      </c>
      <c r="AB24" s="36" t="s">
        <v>316</v>
      </c>
      <c r="AP24" s="43" t="s">
        <v>138</v>
      </c>
      <c r="AR24" s="41" t="s">
        <v>91</v>
      </c>
      <c r="AV24" s="27" t="s">
        <v>352</v>
      </c>
    </row>
    <row r="25" spans="1:48" x14ac:dyDescent="0.15">
      <c r="A25" s="53" t="s">
        <v>59</v>
      </c>
      <c r="B25" s="36" t="s">
        <v>234</v>
      </c>
      <c r="C25" s="165">
        <v>2019</v>
      </c>
      <c r="D25" s="166" t="s">
        <v>310</v>
      </c>
      <c r="E25" s="53" t="s">
        <v>165</v>
      </c>
      <c r="F25" s="53" t="s">
        <v>334</v>
      </c>
      <c r="G25" s="53" t="s">
        <v>36</v>
      </c>
      <c r="H25" s="53" t="s">
        <v>127</v>
      </c>
      <c r="I25" s="53" t="s">
        <v>161</v>
      </c>
      <c r="J25" s="53" t="s">
        <v>342</v>
      </c>
      <c r="K25" s="53" t="s">
        <v>324</v>
      </c>
      <c r="L25" s="53">
        <v>3</v>
      </c>
      <c r="N25" s="53">
        <v>1</v>
      </c>
      <c r="O25" s="53">
        <v>0.79</v>
      </c>
      <c r="P25" s="53">
        <v>0.85</v>
      </c>
      <c r="Q25" s="97">
        <f t="shared" si="2"/>
        <v>0.82000000000000006</v>
      </c>
      <c r="R25" s="53">
        <v>12.2</v>
      </c>
      <c r="S25" s="53">
        <v>91</v>
      </c>
      <c r="T25" s="16">
        <f t="shared" si="0"/>
        <v>36</v>
      </c>
      <c r="U25" s="53">
        <v>128</v>
      </c>
      <c r="V25" s="16">
        <f t="shared" si="1"/>
        <v>27</v>
      </c>
      <c r="W25" s="53">
        <v>3</v>
      </c>
      <c r="X25" s="53" t="s">
        <v>46</v>
      </c>
      <c r="Y25" s="53" t="s">
        <v>90</v>
      </c>
      <c r="Z25" s="53" t="s">
        <v>78</v>
      </c>
      <c r="AA25" s="53" t="s">
        <v>47</v>
      </c>
      <c r="AB25" s="36" t="s">
        <v>316</v>
      </c>
      <c r="AD25" s="36"/>
      <c r="AP25" s="43" t="s">
        <v>116</v>
      </c>
      <c r="AR25" s="42" t="s">
        <v>92</v>
      </c>
      <c r="AV25" s="27" t="s">
        <v>353</v>
      </c>
    </row>
    <row r="26" spans="1:48" x14ac:dyDescent="0.15">
      <c r="A26" s="53" t="s">
        <v>59</v>
      </c>
      <c r="B26" s="36" t="s">
        <v>234</v>
      </c>
      <c r="C26" s="165">
        <v>2019</v>
      </c>
      <c r="D26" s="166" t="s">
        <v>310</v>
      </c>
      <c r="E26" s="53" t="s">
        <v>331</v>
      </c>
      <c r="F26" s="53" t="s">
        <v>332</v>
      </c>
      <c r="G26" s="53" t="s">
        <v>36</v>
      </c>
      <c r="H26" s="53" t="s">
        <v>162</v>
      </c>
      <c r="I26" s="53" t="s">
        <v>161</v>
      </c>
      <c r="J26" s="53" t="s">
        <v>38</v>
      </c>
      <c r="K26" s="53" t="s">
        <v>163</v>
      </c>
      <c r="L26" s="53">
        <v>1</v>
      </c>
      <c r="N26" s="53">
        <v>4</v>
      </c>
      <c r="O26" s="53">
        <v>0.33</v>
      </c>
      <c r="P26" s="53">
        <v>0.42</v>
      </c>
      <c r="Q26" s="97">
        <f t="shared" si="2"/>
        <v>0.375</v>
      </c>
      <c r="R26" s="53">
        <v>17.7</v>
      </c>
      <c r="S26" s="53">
        <v>108</v>
      </c>
      <c r="T26" s="16">
        <f t="shared" si="0"/>
        <v>33</v>
      </c>
      <c r="U26" s="53">
        <v>480</v>
      </c>
      <c r="V26" s="16">
        <f t="shared" si="1"/>
        <v>16</v>
      </c>
      <c r="W26" s="53">
        <v>1</v>
      </c>
      <c r="X26" s="53" t="s">
        <v>46</v>
      </c>
      <c r="Y26" s="53" t="s">
        <v>69</v>
      </c>
      <c r="Z26" s="53" t="s">
        <v>40</v>
      </c>
      <c r="AA26" s="53" t="s">
        <v>90</v>
      </c>
      <c r="AB26" s="36" t="s">
        <v>316</v>
      </c>
      <c r="AD26" s="36"/>
      <c r="AP26" s="43" t="s">
        <v>117</v>
      </c>
      <c r="AR26" s="27" t="s">
        <v>354</v>
      </c>
      <c r="AV26" s="27"/>
    </row>
    <row r="27" spans="1:48" x14ac:dyDescent="0.15">
      <c r="A27" s="53" t="s">
        <v>59</v>
      </c>
      <c r="B27" s="36" t="s">
        <v>234</v>
      </c>
      <c r="C27" s="165">
        <v>2019</v>
      </c>
      <c r="D27" s="166" t="s">
        <v>310</v>
      </c>
      <c r="E27" s="53" t="s">
        <v>331</v>
      </c>
      <c r="F27" s="53" t="s">
        <v>332</v>
      </c>
      <c r="G27" s="53" t="s">
        <v>36</v>
      </c>
      <c r="H27" s="53" t="s">
        <v>162</v>
      </c>
      <c r="I27" s="53" t="s">
        <v>161</v>
      </c>
      <c r="J27" s="53" t="s">
        <v>38</v>
      </c>
      <c r="K27" s="53" t="s">
        <v>163</v>
      </c>
      <c r="L27" s="53">
        <v>2</v>
      </c>
      <c r="N27" s="53">
        <v>4</v>
      </c>
      <c r="O27" s="53">
        <v>0.33</v>
      </c>
      <c r="P27" s="53">
        <v>0.33</v>
      </c>
      <c r="Q27" s="97">
        <f t="shared" si="2"/>
        <v>0.33</v>
      </c>
      <c r="R27" s="53">
        <v>18.7</v>
      </c>
      <c r="S27" s="53">
        <v>111</v>
      </c>
      <c r="T27" s="16">
        <f t="shared" si="0"/>
        <v>33</v>
      </c>
      <c r="U27" s="53">
        <v>480</v>
      </c>
      <c r="V27" s="16">
        <f t="shared" si="1"/>
        <v>16</v>
      </c>
      <c r="W27" s="53">
        <v>1</v>
      </c>
      <c r="X27" s="53" t="s">
        <v>46</v>
      </c>
      <c r="Y27" s="53" t="s">
        <v>69</v>
      </c>
      <c r="Z27" s="53" t="s">
        <v>40</v>
      </c>
      <c r="AA27" s="53" t="s">
        <v>90</v>
      </c>
      <c r="AB27" s="36" t="s">
        <v>316</v>
      </c>
      <c r="AD27" s="36"/>
      <c r="AP27" s="43" t="s">
        <v>118</v>
      </c>
      <c r="AR27" s="28" t="s">
        <v>153</v>
      </c>
      <c r="AV27" s="27"/>
    </row>
    <row r="28" spans="1:48" x14ac:dyDescent="0.15">
      <c r="A28" s="53" t="s">
        <v>59</v>
      </c>
      <c r="B28" s="36" t="s">
        <v>234</v>
      </c>
      <c r="C28" s="165">
        <v>2019</v>
      </c>
      <c r="D28" s="166" t="s">
        <v>310</v>
      </c>
      <c r="E28" s="53" t="s">
        <v>331</v>
      </c>
      <c r="F28" s="53" t="s">
        <v>332</v>
      </c>
      <c r="G28" s="53" t="s">
        <v>36</v>
      </c>
      <c r="H28" s="53" t="s">
        <v>162</v>
      </c>
      <c r="I28" s="53" t="s">
        <v>161</v>
      </c>
      <c r="J28" s="53" t="s">
        <v>38</v>
      </c>
      <c r="K28" s="53" t="s">
        <v>163</v>
      </c>
      <c r="L28" s="53">
        <v>3</v>
      </c>
      <c r="N28" s="53">
        <v>4</v>
      </c>
      <c r="O28" s="53">
        <v>0.44</v>
      </c>
      <c r="P28" s="53">
        <v>0.4</v>
      </c>
      <c r="Q28" s="97">
        <f t="shared" si="2"/>
        <v>0.42000000000000004</v>
      </c>
      <c r="R28" s="53">
        <v>17.600000000000001</v>
      </c>
      <c r="S28" s="53">
        <v>111</v>
      </c>
      <c r="T28" s="16">
        <f t="shared" si="0"/>
        <v>33</v>
      </c>
      <c r="U28" s="53">
        <v>480</v>
      </c>
      <c r="V28" s="16">
        <f t="shared" si="1"/>
        <v>16</v>
      </c>
      <c r="W28" s="53">
        <v>1</v>
      </c>
      <c r="X28" s="53" t="s">
        <v>46</v>
      </c>
      <c r="Y28" s="53" t="s">
        <v>69</v>
      </c>
      <c r="Z28" s="53" t="s">
        <v>40</v>
      </c>
      <c r="AA28" s="53" t="s">
        <v>90</v>
      </c>
      <c r="AB28" s="36" t="s">
        <v>316</v>
      </c>
      <c r="AD28" s="36"/>
      <c r="AV28" s="27"/>
    </row>
    <row r="29" spans="1:48" x14ac:dyDescent="0.15">
      <c r="A29" s="53" t="s">
        <v>59</v>
      </c>
      <c r="B29" s="36" t="s">
        <v>234</v>
      </c>
      <c r="C29" s="165">
        <v>2019</v>
      </c>
      <c r="D29" s="166" t="s">
        <v>310</v>
      </c>
      <c r="E29" s="53" t="s">
        <v>322</v>
      </c>
      <c r="F29" s="53" t="s">
        <v>323</v>
      </c>
      <c r="G29" s="53" t="s">
        <v>36</v>
      </c>
      <c r="H29" s="53" t="s">
        <v>162</v>
      </c>
      <c r="I29" s="53" t="s">
        <v>161</v>
      </c>
      <c r="J29" s="53" t="s">
        <v>38</v>
      </c>
      <c r="K29" s="53" t="s">
        <v>163</v>
      </c>
      <c r="L29" s="53">
        <v>1</v>
      </c>
      <c r="N29" s="53">
        <v>1</v>
      </c>
      <c r="O29" s="53">
        <v>0.48</v>
      </c>
      <c r="P29" s="53">
        <v>0.56000000000000005</v>
      </c>
      <c r="Q29" s="97">
        <f t="shared" si="2"/>
        <v>0.52</v>
      </c>
      <c r="R29" s="53">
        <v>15.9</v>
      </c>
      <c r="S29" s="53">
        <v>100</v>
      </c>
      <c r="T29" s="16">
        <f t="shared" si="0"/>
        <v>33</v>
      </c>
      <c r="U29" s="53">
        <v>105</v>
      </c>
      <c r="V29" s="16">
        <f t="shared" si="1"/>
        <v>33</v>
      </c>
      <c r="W29" s="53">
        <v>1</v>
      </c>
      <c r="X29" s="53" t="s">
        <v>39</v>
      </c>
      <c r="Y29" s="53" t="s">
        <v>69</v>
      </c>
      <c r="Z29" s="53" t="s">
        <v>40</v>
      </c>
      <c r="AA29" s="53" t="s">
        <v>90</v>
      </c>
      <c r="AB29" s="36" t="s">
        <v>316</v>
      </c>
      <c r="AV29" s="27"/>
    </row>
    <row r="30" spans="1:48" x14ac:dyDescent="0.15">
      <c r="A30" s="53" t="s">
        <v>59</v>
      </c>
      <c r="B30" s="36" t="s">
        <v>234</v>
      </c>
      <c r="C30" s="165">
        <v>2019</v>
      </c>
      <c r="D30" s="166" t="s">
        <v>310</v>
      </c>
      <c r="E30" s="53" t="s">
        <v>322</v>
      </c>
      <c r="F30" s="53" t="s">
        <v>323</v>
      </c>
      <c r="G30" s="53" t="s">
        <v>36</v>
      </c>
      <c r="H30" s="53" t="s">
        <v>162</v>
      </c>
      <c r="I30" s="53" t="s">
        <v>161</v>
      </c>
      <c r="J30" s="53" t="s">
        <v>38</v>
      </c>
      <c r="K30" s="53" t="s">
        <v>163</v>
      </c>
      <c r="L30" s="53">
        <v>2</v>
      </c>
      <c r="N30" s="53">
        <v>1</v>
      </c>
      <c r="O30" s="53">
        <v>0.4</v>
      </c>
      <c r="P30" s="53">
        <v>0.51</v>
      </c>
      <c r="Q30" s="97">
        <f t="shared" si="2"/>
        <v>0.45500000000000002</v>
      </c>
      <c r="R30" s="53">
        <v>16.899999999999999</v>
      </c>
      <c r="S30" s="53">
        <v>100</v>
      </c>
      <c r="T30" s="16">
        <f t="shared" si="0"/>
        <v>33</v>
      </c>
      <c r="U30" s="53">
        <v>105</v>
      </c>
      <c r="V30" s="16">
        <f t="shared" si="1"/>
        <v>33</v>
      </c>
      <c r="W30" s="53">
        <v>1</v>
      </c>
      <c r="X30" s="53" t="s">
        <v>39</v>
      </c>
      <c r="Y30" s="53" t="s">
        <v>69</v>
      </c>
      <c r="Z30" s="53" t="s">
        <v>40</v>
      </c>
      <c r="AA30" s="53" t="s">
        <v>90</v>
      </c>
      <c r="AB30" s="36" t="s">
        <v>316</v>
      </c>
      <c r="AV30" s="27"/>
    </row>
    <row r="31" spans="1:48" x14ac:dyDescent="0.15">
      <c r="A31" s="53" t="s">
        <v>59</v>
      </c>
      <c r="B31" s="36" t="s">
        <v>234</v>
      </c>
      <c r="C31" s="165">
        <v>2019</v>
      </c>
      <c r="D31" s="166" t="s">
        <v>310</v>
      </c>
      <c r="E31" s="53" t="s">
        <v>322</v>
      </c>
      <c r="F31" s="53" t="s">
        <v>323</v>
      </c>
      <c r="G31" s="53" t="s">
        <v>36</v>
      </c>
      <c r="H31" s="53" t="s">
        <v>162</v>
      </c>
      <c r="I31" s="53" t="s">
        <v>161</v>
      </c>
      <c r="J31" s="53" t="s">
        <v>38</v>
      </c>
      <c r="K31" s="53" t="s">
        <v>163</v>
      </c>
      <c r="L31" s="53">
        <v>3</v>
      </c>
      <c r="N31" s="53">
        <v>1</v>
      </c>
      <c r="O31" s="53">
        <v>0.47</v>
      </c>
      <c r="P31" s="53">
        <v>0.53</v>
      </c>
      <c r="Q31" s="97">
        <f t="shared" si="2"/>
        <v>0.5</v>
      </c>
      <c r="R31" s="53">
        <v>17.399999999999999</v>
      </c>
      <c r="S31" s="53">
        <v>118</v>
      </c>
      <c r="T31" s="16">
        <f t="shared" si="0"/>
        <v>30</v>
      </c>
      <c r="U31" s="53">
        <v>105</v>
      </c>
      <c r="V31" s="16">
        <f t="shared" si="1"/>
        <v>33</v>
      </c>
      <c r="W31" s="53">
        <v>1</v>
      </c>
      <c r="X31" s="53" t="s">
        <v>39</v>
      </c>
      <c r="Y31" s="53" t="s">
        <v>69</v>
      </c>
      <c r="Z31" s="53" t="s">
        <v>40</v>
      </c>
      <c r="AA31" s="53" t="s">
        <v>90</v>
      </c>
      <c r="AB31" s="36" t="s">
        <v>316</v>
      </c>
      <c r="AV31" s="27"/>
    </row>
    <row r="32" spans="1:48" x14ac:dyDescent="0.15">
      <c r="A32" s="53" t="s">
        <v>59</v>
      </c>
      <c r="B32" s="36" t="s">
        <v>234</v>
      </c>
      <c r="C32" s="165">
        <v>2019</v>
      </c>
      <c r="D32" s="166" t="s">
        <v>310</v>
      </c>
      <c r="E32" s="53" t="s">
        <v>340</v>
      </c>
      <c r="F32" s="53" t="s">
        <v>341</v>
      </c>
      <c r="G32" s="53" t="s">
        <v>36</v>
      </c>
      <c r="H32" s="53" t="s">
        <v>162</v>
      </c>
      <c r="I32" s="53" t="s">
        <v>161</v>
      </c>
      <c r="J32" s="53" t="s">
        <v>38</v>
      </c>
      <c r="K32" s="53" t="s">
        <v>163</v>
      </c>
      <c r="L32" s="53">
        <v>1</v>
      </c>
      <c r="N32" s="53">
        <v>4</v>
      </c>
      <c r="O32" s="53">
        <v>0.55000000000000004</v>
      </c>
      <c r="P32" s="53">
        <v>0.59</v>
      </c>
      <c r="Q32" s="97">
        <f t="shared" si="2"/>
        <v>0.57000000000000006</v>
      </c>
      <c r="R32" s="53">
        <v>16.100000000000001</v>
      </c>
      <c r="S32" s="53">
        <v>135</v>
      </c>
      <c r="T32" s="16">
        <f t="shared" si="0"/>
        <v>25</v>
      </c>
      <c r="U32" s="53">
        <v>458</v>
      </c>
      <c r="V32" s="16">
        <f t="shared" si="1"/>
        <v>16</v>
      </c>
      <c r="W32" s="53">
        <v>5</v>
      </c>
      <c r="X32" s="53" t="s">
        <v>46</v>
      </c>
      <c r="Y32" s="53" t="s">
        <v>40</v>
      </c>
      <c r="Z32" s="53" t="s">
        <v>90</v>
      </c>
      <c r="AA32" s="53" t="s">
        <v>47</v>
      </c>
      <c r="AB32" s="36" t="s">
        <v>316</v>
      </c>
      <c r="AV32" s="27"/>
    </row>
    <row r="33" spans="1:48" x14ac:dyDescent="0.15">
      <c r="A33" s="53" t="s">
        <v>59</v>
      </c>
      <c r="B33" s="36" t="s">
        <v>234</v>
      </c>
      <c r="C33" s="165">
        <v>2019</v>
      </c>
      <c r="D33" s="166" t="s">
        <v>310</v>
      </c>
      <c r="E33" s="53" t="s">
        <v>340</v>
      </c>
      <c r="F33" s="53" t="s">
        <v>341</v>
      </c>
      <c r="G33" s="53" t="s">
        <v>36</v>
      </c>
      <c r="H33" s="53" t="s">
        <v>162</v>
      </c>
      <c r="I33" s="53" t="s">
        <v>161</v>
      </c>
      <c r="J33" s="53" t="s">
        <v>38</v>
      </c>
      <c r="K33" s="53" t="s">
        <v>163</v>
      </c>
      <c r="L33" s="53">
        <v>2</v>
      </c>
      <c r="N33" s="53">
        <v>4</v>
      </c>
      <c r="O33" s="53">
        <v>0.49</v>
      </c>
      <c r="P33" s="53">
        <v>0.6</v>
      </c>
      <c r="Q33" s="97">
        <f t="shared" si="2"/>
        <v>0.54499999999999993</v>
      </c>
      <c r="R33" s="53">
        <v>16.600000000000001</v>
      </c>
      <c r="S33" s="53">
        <v>132</v>
      </c>
      <c r="T33" s="16">
        <f t="shared" si="0"/>
        <v>25</v>
      </c>
      <c r="U33" s="53">
        <v>458</v>
      </c>
      <c r="V33" s="16">
        <f t="shared" si="1"/>
        <v>16</v>
      </c>
      <c r="W33" s="53">
        <v>5</v>
      </c>
      <c r="X33" s="53" t="s">
        <v>46</v>
      </c>
      <c r="Y33" s="53" t="s">
        <v>40</v>
      </c>
      <c r="Z33" s="53" t="s">
        <v>90</v>
      </c>
      <c r="AA33" s="53" t="s">
        <v>47</v>
      </c>
      <c r="AB33" s="36" t="s">
        <v>316</v>
      </c>
      <c r="AV33" s="27"/>
    </row>
    <row r="34" spans="1:48" x14ac:dyDescent="0.15">
      <c r="A34" s="53" t="s">
        <v>59</v>
      </c>
      <c r="B34" s="36" t="s">
        <v>234</v>
      </c>
      <c r="C34" s="165">
        <v>2019</v>
      </c>
      <c r="D34" s="166" t="s">
        <v>310</v>
      </c>
      <c r="E34" s="53" t="s">
        <v>340</v>
      </c>
      <c r="F34" s="53" t="s">
        <v>341</v>
      </c>
      <c r="G34" s="53" t="s">
        <v>36</v>
      </c>
      <c r="H34" s="53" t="s">
        <v>162</v>
      </c>
      <c r="I34" s="53" t="s">
        <v>161</v>
      </c>
      <c r="J34" s="53" t="s">
        <v>38</v>
      </c>
      <c r="K34" s="53" t="s">
        <v>163</v>
      </c>
      <c r="L34" s="53">
        <v>3</v>
      </c>
      <c r="N34" s="53">
        <v>4</v>
      </c>
      <c r="O34" s="53">
        <v>0.52</v>
      </c>
      <c r="P34" s="53">
        <v>0.57999999999999996</v>
      </c>
      <c r="Q34" s="97">
        <f t="shared" si="2"/>
        <v>0.55000000000000004</v>
      </c>
      <c r="R34" s="53">
        <v>16.5</v>
      </c>
      <c r="S34" s="53">
        <v>133</v>
      </c>
      <c r="T34" s="16">
        <f t="shared" si="0"/>
        <v>25</v>
      </c>
      <c r="U34" s="53">
        <v>458</v>
      </c>
      <c r="V34" s="16">
        <f t="shared" si="1"/>
        <v>16</v>
      </c>
      <c r="W34" s="53">
        <v>5</v>
      </c>
      <c r="X34" s="53" t="s">
        <v>46</v>
      </c>
      <c r="Y34" s="53" t="s">
        <v>40</v>
      </c>
      <c r="Z34" s="53" t="s">
        <v>90</v>
      </c>
      <c r="AA34" s="53" t="s">
        <v>47</v>
      </c>
      <c r="AB34" s="36" t="s">
        <v>316</v>
      </c>
      <c r="AV34" s="27"/>
    </row>
    <row r="35" spans="1:48" x14ac:dyDescent="0.15">
      <c r="A35" s="53" t="s">
        <v>59</v>
      </c>
      <c r="B35" s="36" t="s">
        <v>234</v>
      </c>
      <c r="C35" s="165">
        <v>2019</v>
      </c>
      <c r="D35" s="166" t="s">
        <v>310</v>
      </c>
      <c r="E35" s="53" t="s">
        <v>328</v>
      </c>
      <c r="F35" s="53" t="s">
        <v>329</v>
      </c>
      <c r="G35" s="53" t="s">
        <v>36</v>
      </c>
      <c r="H35" s="53" t="s">
        <v>162</v>
      </c>
      <c r="I35" s="53" t="s">
        <v>161</v>
      </c>
      <c r="J35" s="53" t="s">
        <v>38</v>
      </c>
      <c r="K35" s="53" t="s">
        <v>163</v>
      </c>
      <c r="L35" s="53">
        <v>1</v>
      </c>
      <c r="N35" s="53">
        <v>4</v>
      </c>
      <c r="O35" s="53">
        <v>0.34</v>
      </c>
      <c r="P35" s="53">
        <v>0.46</v>
      </c>
      <c r="Q35" s="97">
        <f t="shared" si="2"/>
        <v>0.4</v>
      </c>
      <c r="R35" s="53">
        <v>14.1</v>
      </c>
      <c r="S35" s="53">
        <v>108</v>
      </c>
      <c r="T35" s="16">
        <f t="shared" si="0"/>
        <v>33</v>
      </c>
      <c r="U35" s="53">
        <v>518</v>
      </c>
      <c r="V35" s="16">
        <f t="shared" si="1"/>
        <v>16</v>
      </c>
      <c r="W35" s="53">
        <v>2</v>
      </c>
      <c r="X35" s="53" t="s">
        <v>39</v>
      </c>
      <c r="Y35" s="53" t="s">
        <v>90</v>
      </c>
      <c r="Z35" s="53" t="s">
        <v>350</v>
      </c>
      <c r="AA35" s="53" t="s">
        <v>69</v>
      </c>
      <c r="AB35" s="36" t="s">
        <v>316</v>
      </c>
      <c r="AV35" s="27"/>
    </row>
    <row r="36" spans="1:48" x14ac:dyDescent="0.15">
      <c r="A36" s="53" t="s">
        <v>59</v>
      </c>
      <c r="B36" s="36" t="s">
        <v>234</v>
      </c>
      <c r="C36" s="165">
        <v>2019</v>
      </c>
      <c r="D36" s="166" t="s">
        <v>310</v>
      </c>
      <c r="E36" s="53" t="s">
        <v>328</v>
      </c>
      <c r="F36" s="53" t="s">
        <v>329</v>
      </c>
      <c r="G36" s="53" t="s">
        <v>36</v>
      </c>
      <c r="H36" s="53" t="s">
        <v>162</v>
      </c>
      <c r="I36" s="53" t="s">
        <v>161</v>
      </c>
      <c r="J36" s="53" t="s">
        <v>38</v>
      </c>
      <c r="K36" s="53" t="s">
        <v>163</v>
      </c>
      <c r="L36" s="53">
        <v>2</v>
      </c>
      <c r="N36" s="53">
        <v>4</v>
      </c>
      <c r="O36" s="53">
        <v>0.51</v>
      </c>
      <c r="P36" s="53">
        <v>0.56000000000000005</v>
      </c>
      <c r="Q36" s="97">
        <f t="shared" si="2"/>
        <v>0.53500000000000003</v>
      </c>
      <c r="R36" s="53">
        <v>15.8</v>
      </c>
      <c r="S36" s="53">
        <v>98</v>
      </c>
      <c r="T36" s="16">
        <f t="shared" si="0"/>
        <v>36</v>
      </c>
      <c r="U36" s="53">
        <v>518</v>
      </c>
      <c r="V36" s="16">
        <f t="shared" si="1"/>
        <v>16</v>
      </c>
      <c r="W36" s="53">
        <v>2</v>
      </c>
      <c r="X36" s="53" t="s">
        <v>39</v>
      </c>
      <c r="Y36" s="53" t="s">
        <v>90</v>
      </c>
      <c r="Z36" s="53" t="s">
        <v>350</v>
      </c>
      <c r="AA36" s="53" t="s">
        <v>69</v>
      </c>
      <c r="AB36" s="36" t="s">
        <v>316</v>
      </c>
      <c r="AV36" s="27"/>
    </row>
    <row r="37" spans="1:48" x14ac:dyDescent="0.15">
      <c r="A37" s="53" t="s">
        <v>59</v>
      </c>
      <c r="B37" s="36" t="s">
        <v>234</v>
      </c>
      <c r="C37" s="165">
        <v>2019</v>
      </c>
      <c r="D37" s="166" t="s">
        <v>310</v>
      </c>
      <c r="E37" s="53" t="s">
        <v>328</v>
      </c>
      <c r="F37" s="53" t="s">
        <v>329</v>
      </c>
      <c r="G37" s="53" t="s">
        <v>36</v>
      </c>
      <c r="H37" s="53" t="s">
        <v>162</v>
      </c>
      <c r="I37" s="53" t="s">
        <v>161</v>
      </c>
      <c r="J37" s="53" t="s">
        <v>38</v>
      </c>
      <c r="K37" s="53" t="s">
        <v>163</v>
      </c>
      <c r="L37" s="53">
        <v>3</v>
      </c>
      <c r="N37" s="53">
        <v>4</v>
      </c>
      <c r="O37" s="53">
        <v>0.52</v>
      </c>
      <c r="P37" s="53">
        <v>0.48</v>
      </c>
      <c r="Q37" s="97">
        <f t="shared" si="2"/>
        <v>0.5</v>
      </c>
      <c r="R37" s="53">
        <v>15.1</v>
      </c>
      <c r="S37" s="53">
        <v>104</v>
      </c>
      <c r="T37" s="16">
        <f t="shared" si="0"/>
        <v>33</v>
      </c>
      <c r="U37" s="53">
        <v>518</v>
      </c>
      <c r="V37" s="16">
        <f t="shared" si="1"/>
        <v>16</v>
      </c>
      <c r="W37" s="53">
        <v>2</v>
      </c>
      <c r="X37" s="53" t="s">
        <v>39</v>
      </c>
      <c r="Y37" s="53" t="s">
        <v>90</v>
      </c>
      <c r="Z37" s="53" t="s">
        <v>350</v>
      </c>
      <c r="AA37" s="53" t="s">
        <v>69</v>
      </c>
      <c r="AB37" s="36" t="s">
        <v>316</v>
      </c>
      <c r="AV37" s="27"/>
    </row>
    <row r="38" spans="1:48" x14ac:dyDescent="0.15">
      <c r="B38" s="36"/>
      <c r="C38" s="165"/>
      <c r="D38" s="166"/>
      <c r="Q38" s="97" t="str">
        <f t="shared" si="2"/>
        <v/>
      </c>
      <c r="T38" s="16" t="str">
        <f t="shared" si="0"/>
        <v/>
      </c>
      <c r="V38" s="16" t="str">
        <f t="shared" si="1"/>
        <v/>
      </c>
      <c r="AB38" s="36"/>
      <c r="AV38" s="28"/>
    </row>
    <row r="39" spans="1:48" x14ac:dyDescent="0.15">
      <c r="B39" s="36"/>
      <c r="C39" s="165"/>
      <c r="D39" s="166"/>
      <c r="Q39" s="97" t="str">
        <f t="shared" si="2"/>
        <v/>
      </c>
      <c r="T39" s="16" t="str">
        <f t="shared" si="0"/>
        <v/>
      </c>
      <c r="V39" s="16" t="str">
        <f t="shared" si="1"/>
        <v/>
      </c>
      <c r="AB39" s="36"/>
    </row>
    <row r="40" spans="1:48" x14ac:dyDescent="0.15">
      <c r="B40" s="36"/>
      <c r="C40" s="165"/>
      <c r="D40" s="166"/>
      <c r="Q40" s="97" t="str">
        <f t="shared" si="2"/>
        <v/>
      </c>
      <c r="T40" s="16" t="str">
        <f t="shared" si="0"/>
        <v/>
      </c>
      <c r="V40" s="16" t="str">
        <f t="shared" si="1"/>
        <v/>
      </c>
      <c r="AB40" s="36"/>
    </row>
    <row r="41" spans="1:48" x14ac:dyDescent="0.15">
      <c r="B41" s="36"/>
      <c r="C41" s="165"/>
      <c r="D41" s="166"/>
      <c r="Q41" s="97" t="str">
        <f t="shared" si="2"/>
        <v/>
      </c>
      <c r="T41" s="16" t="str">
        <f t="shared" si="0"/>
        <v/>
      </c>
      <c r="V41" s="16" t="str">
        <f t="shared" si="1"/>
        <v/>
      </c>
      <c r="AB41" s="36"/>
    </row>
    <row r="42" spans="1:48" x14ac:dyDescent="0.15">
      <c r="B42" s="36"/>
      <c r="C42" s="165"/>
      <c r="D42" s="166"/>
      <c r="Q42" s="97" t="str">
        <f t="shared" si="2"/>
        <v/>
      </c>
      <c r="T42" s="16" t="str">
        <f t="shared" si="0"/>
        <v/>
      </c>
      <c r="V42" s="16" t="str">
        <f t="shared" si="1"/>
        <v/>
      </c>
      <c r="AB42" s="36"/>
    </row>
    <row r="43" spans="1:48" x14ac:dyDescent="0.15">
      <c r="B43" s="36"/>
      <c r="C43" s="165"/>
      <c r="D43" s="166"/>
      <c r="Q43" s="97" t="str">
        <f t="shared" si="2"/>
        <v/>
      </c>
      <c r="T43" s="16" t="str">
        <f t="shared" si="0"/>
        <v/>
      </c>
      <c r="V43" s="16" t="str">
        <f t="shared" si="1"/>
        <v/>
      </c>
      <c r="AB43" s="36"/>
    </row>
    <row r="44" spans="1:48" x14ac:dyDescent="0.15">
      <c r="B44" s="36"/>
      <c r="C44" s="165"/>
      <c r="D44" s="166"/>
      <c r="Q44" s="97" t="str">
        <f t="shared" si="2"/>
        <v/>
      </c>
      <c r="T44" s="16" t="str">
        <f t="shared" si="0"/>
        <v/>
      </c>
      <c r="V44" s="16" t="str">
        <f t="shared" si="1"/>
        <v/>
      </c>
      <c r="AB44" s="36"/>
    </row>
    <row r="45" spans="1:48" x14ac:dyDescent="0.15">
      <c r="B45" s="36"/>
      <c r="C45" s="165"/>
      <c r="D45" s="166"/>
      <c r="Q45" s="97" t="str">
        <f t="shared" si="2"/>
        <v/>
      </c>
      <c r="T45" s="16" t="str">
        <f t="shared" si="0"/>
        <v/>
      </c>
      <c r="V45" s="16" t="str">
        <f t="shared" si="1"/>
        <v/>
      </c>
      <c r="AB45" s="36"/>
    </row>
    <row r="46" spans="1:48" x14ac:dyDescent="0.15">
      <c r="B46" s="36"/>
      <c r="C46" s="165"/>
      <c r="D46" s="166"/>
      <c r="Q46" s="97" t="str">
        <f t="shared" si="2"/>
        <v/>
      </c>
      <c r="T46" s="16" t="str">
        <f t="shared" si="0"/>
        <v/>
      </c>
      <c r="V46" s="16" t="str">
        <f t="shared" si="1"/>
        <v/>
      </c>
      <c r="AB46" s="36"/>
    </row>
    <row r="47" spans="1:48" x14ac:dyDescent="0.15">
      <c r="B47" s="36"/>
      <c r="C47" s="165"/>
      <c r="D47" s="166"/>
      <c r="Q47" s="97" t="str">
        <f t="shared" si="2"/>
        <v/>
      </c>
      <c r="T47" s="16" t="str">
        <f t="shared" si="0"/>
        <v/>
      </c>
      <c r="V47" s="16" t="str">
        <f t="shared" si="1"/>
        <v/>
      </c>
      <c r="AB47" s="36"/>
    </row>
    <row r="48" spans="1:48" x14ac:dyDescent="0.15">
      <c r="B48" s="36"/>
      <c r="C48" s="165"/>
      <c r="D48" s="166"/>
      <c r="Q48" s="97" t="str">
        <f t="shared" si="2"/>
        <v/>
      </c>
      <c r="T48" s="16" t="str">
        <f t="shared" si="0"/>
        <v/>
      </c>
      <c r="V48" s="16" t="str">
        <f t="shared" si="1"/>
        <v/>
      </c>
      <c r="AB48" s="36"/>
    </row>
    <row r="49" spans="2:28" x14ac:dyDescent="0.15">
      <c r="B49" s="36"/>
      <c r="C49" s="165"/>
      <c r="D49" s="166"/>
      <c r="Q49" s="97" t="str">
        <f t="shared" si="2"/>
        <v/>
      </c>
      <c r="T49" s="16" t="str">
        <f t="shared" si="0"/>
        <v/>
      </c>
      <c r="V49" s="16" t="str">
        <f t="shared" si="1"/>
        <v/>
      </c>
      <c r="AB49" s="36"/>
    </row>
    <row r="50" spans="2:28" x14ac:dyDescent="0.15">
      <c r="B50" s="36"/>
      <c r="C50" s="165"/>
      <c r="D50" s="166"/>
      <c r="Q50" s="97"/>
      <c r="AB50" s="36"/>
    </row>
    <row r="51" spans="2:28" x14ac:dyDescent="0.15">
      <c r="B51" s="36"/>
      <c r="C51" s="165"/>
      <c r="D51" s="166"/>
      <c r="Q51" s="97"/>
      <c r="AB51" s="36"/>
    </row>
    <row r="52" spans="2:28" x14ac:dyDescent="0.15">
      <c r="B52" s="36"/>
      <c r="C52" s="165"/>
      <c r="D52" s="166"/>
      <c r="Q52" s="97"/>
      <c r="AB52" s="36"/>
    </row>
    <row r="53" spans="2:28" x14ac:dyDescent="0.15">
      <c r="B53" s="36"/>
      <c r="C53" s="165"/>
      <c r="D53" s="166"/>
      <c r="Q53" s="97"/>
      <c r="AB53" s="36"/>
    </row>
    <row r="54" spans="2:28" x14ac:dyDescent="0.15">
      <c r="B54" s="36"/>
      <c r="C54" s="165"/>
      <c r="D54" s="166"/>
      <c r="Q54" s="97"/>
      <c r="AB54" s="36"/>
    </row>
    <row r="55" spans="2:28" x14ac:dyDescent="0.15">
      <c r="B55" s="36"/>
      <c r="C55" s="165"/>
      <c r="D55" s="166"/>
      <c r="Q55" s="97"/>
      <c r="AB55" s="36"/>
    </row>
    <row r="56" spans="2:28" x14ac:dyDescent="0.15">
      <c r="B56" s="36"/>
      <c r="C56" s="165"/>
      <c r="D56" s="166"/>
      <c r="Q56" s="97"/>
      <c r="AB56" s="36"/>
    </row>
    <row r="57" spans="2:28" x14ac:dyDescent="0.15">
      <c r="B57" s="36"/>
      <c r="C57" s="165"/>
      <c r="D57" s="166"/>
      <c r="Q57" s="97"/>
      <c r="AB57" s="36"/>
    </row>
    <row r="58" spans="2:28" x14ac:dyDescent="0.15">
      <c r="B58" s="36"/>
      <c r="C58" s="165"/>
      <c r="D58" s="166"/>
      <c r="Q58" s="97"/>
      <c r="AB58" s="36"/>
    </row>
    <row r="59" spans="2:28" x14ac:dyDescent="0.15">
      <c r="B59" s="36"/>
      <c r="C59" s="165"/>
      <c r="D59" s="166"/>
      <c r="Q59" s="97"/>
      <c r="AB59" s="36"/>
    </row>
    <row r="60" spans="2:28" x14ac:dyDescent="0.15">
      <c r="B60" s="36"/>
      <c r="C60" s="165"/>
      <c r="D60" s="166"/>
      <c r="Q60" s="97"/>
      <c r="AB60" s="36"/>
    </row>
    <row r="61" spans="2:28" x14ac:dyDescent="0.15">
      <c r="B61" s="36"/>
      <c r="C61" s="165"/>
      <c r="D61" s="166"/>
      <c r="Q61" s="97"/>
      <c r="AB61" s="36"/>
    </row>
    <row r="62" spans="2:28" x14ac:dyDescent="0.15">
      <c r="B62" s="36"/>
      <c r="C62" s="165"/>
      <c r="D62" s="166"/>
      <c r="Q62" s="97"/>
      <c r="AB62" s="36"/>
    </row>
    <row r="63" spans="2:28" x14ac:dyDescent="0.15">
      <c r="B63" s="36"/>
      <c r="C63" s="165"/>
      <c r="D63" s="166"/>
      <c r="Q63" s="97"/>
      <c r="AB63" s="36"/>
    </row>
    <row r="64" spans="2:28" x14ac:dyDescent="0.15">
      <c r="B64" s="36"/>
      <c r="C64" s="165"/>
      <c r="D64" s="166"/>
      <c r="Q64" s="97"/>
      <c r="AB64" s="36"/>
    </row>
    <row r="65" spans="2:28" x14ac:dyDescent="0.15">
      <c r="B65" s="36"/>
      <c r="C65" s="165"/>
      <c r="D65" s="166"/>
      <c r="Q65" s="97"/>
      <c r="AB65" s="36"/>
    </row>
    <row r="66" spans="2:28" x14ac:dyDescent="0.15">
      <c r="B66" s="36"/>
      <c r="C66" s="165"/>
      <c r="D66" s="166"/>
      <c r="Q66" s="97"/>
      <c r="AB66" s="36"/>
    </row>
    <row r="67" spans="2:28" x14ac:dyDescent="0.15">
      <c r="B67" s="36"/>
      <c r="C67" s="165"/>
      <c r="D67" s="166"/>
      <c r="Q67" s="97"/>
      <c r="AB67" s="36"/>
    </row>
    <row r="68" spans="2:28" x14ac:dyDescent="0.15">
      <c r="B68" s="36"/>
      <c r="C68" s="165"/>
      <c r="D68" s="166"/>
      <c r="Q68" s="97"/>
      <c r="AB68" s="36"/>
    </row>
    <row r="69" spans="2:28" x14ac:dyDescent="0.15">
      <c r="B69" s="36"/>
      <c r="C69" s="165"/>
      <c r="D69" s="166"/>
      <c r="Q69" s="97"/>
      <c r="AB69" s="36"/>
    </row>
    <row r="70" spans="2:28" x14ac:dyDescent="0.15">
      <c r="B70" s="36"/>
      <c r="C70" s="165"/>
      <c r="D70" s="166"/>
      <c r="Q70" s="97"/>
      <c r="AB70" s="36"/>
    </row>
    <row r="71" spans="2:28" x14ac:dyDescent="0.15">
      <c r="B71" s="36"/>
      <c r="C71" s="165"/>
      <c r="D71" s="166"/>
      <c r="Q71" s="97"/>
      <c r="AB71" s="36"/>
    </row>
    <row r="72" spans="2:28" x14ac:dyDescent="0.15">
      <c r="B72" s="36"/>
      <c r="C72" s="165"/>
      <c r="D72" s="166"/>
      <c r="Q72" s="97"/>
      <c r="AB72" s="36"/>
    </row>
    <row r="73" spans="2:28" x14ac:dyDescent="0.15">
      <c r="B73" s="36"/>
      <c r="C73" s="165"/>
      <c r="D73" s="166"/>
      <c r="Q73" s="97"/>
      <c r="AB73" s="36"/>
    </row>
    <row r="74" spans="2:28" x14ac:dyDescent="0.15">
      <c r="B74" s="36"/>
      <c r="C74" s="165"/>
      <c r="D74" s="166"/>
      <c r="Q74" s="97"/>
      <c r="AB74" s="36"/>
    </row>
    <row r="75" spans="2:28" x14ac:dyDescent="0.15">
      <c r="B75" s="36"/>
      <c r="C75" s="165"/>
      <c r="D75" s="166"/>
      <c r="Q75" s="97"/>
      <c r="AB75" s="36"/>
    </row>
    <row r="76" spans="2:28" x14ac:dyDescent="0.15">
      <c r="B76" s="36"/>
      <c r="C76" s="165"/>
      <c r="D76" s="166"/>
      <c r="Q76" s="97"/>
      <c r="AB76" s="36"/>
    </row>
    <row r="77" spans="2:28" x14ac:dyDescent="0.15">
      <c r="B77" s="36"/>
      <c r="C77" s="165"/>
      <c r="D77" s="166"/>
      <c r="Q77" s="97"/>
      <c r="AB77" s="36"/>
    </row>
    <row r="78" spans="2:28" x14ac:dyDescent="0.15">
      <c r="B78" s="36"/>
      <c r="C78" s="165"/>
      <c r="D78" s="166"/>
      <c r="Q78" s="97"/>
      <c r="AB78" s="36"/>
    </row>
    <row r="79" spans="2:28" x14ac:dyDescent="0.15">
      <c r="B79" s="36"/>
      <c r="C79" s="165"/>
      <c r="D79" s="166"/>
      <c r="Q79" s="97"/>
      <c r="AB79" s="36"/>
    </row>
    <row r="80" spans="2:28" x14ac:dyDescent="0.15">
      <c r="B80" s="36"/>
      <c r="C80" s="165"/>
      <c r="D80" s="166"/>
      <c r="Q80" s="97"/>
      <c r="AB80" s="36"/>
    </row>
    <row r="81" spans="2:28" x14ac:dyDescent="0.15">
      <c r="B81" s="36"/>
      <c r="C81" s="165"/>
      <c r="D81" s="166"/>
      <c r="Q81" s="97"/>
      <c r="AB81" s="36"/>
    </row>
    <row r="82" spans="2:28" x14ac:dyDescent="0.15">
      <c r="B82" s="36"/>
      <c r="C82" s="165"/>
      <c r="D82" s="166"/>
      <c r="Q82" s="97"/>
      <c r="AB82" s="36"/>
    </row>
    <row r="83" spans="2:28" x14ac:dyDescent="0.15">
      <c r="B83" s="36"/>
      <c r="C83" s="165"/>
      <c r="Q83" s="97"/>
      <c r="AB83" s="36"/>
    </row>
    <row r="84" spans="2:28" x14ac:dyDescent="0.15">
      <c r="B84" s="36"/>
      <c r="C84" s="165"/>
      <c r="Q84" s="97"/>
      <c r="AB84" s="36"/>
    </row>
    <row r="85" spans="2:28" x14ac:dyDescent="0.15">
      <c r="B85" s="36"/>
      <c r="C85" s="165"/>
      <c r="Q85" s="97"/>
      <c r="AB85" s="36"/>
    </row>
    <row r="86" spans="2:28" x14ac:dyDescent="0.15">
      <c r="B86" s="36"/>
      <c r="C86" s="165"/>
      <c r="Q86" s="97"/>
      <c r="AB86" s="36"/>
    </row>
    <row r="87" spans="2:28" x14ac:dyDescent="0.15">
      <c r="B87" s="36"/>
      <c r="C87" s="165"/>
      <c r="Q87" s="97"/>
      <c r="AB87" s="36"/>
    </row>
    <row r="88" spans="2:28" x14ac:dyDescent="0.15">
      <c r="B88" s="36"/>
      <c r="C88" s="165"/>
      <c r="Q88" s="97"/>
      <c r="AB88" s="36"/>
    </row>
    <row r="89" spans="2:28" x14ac:dyDescent="0.15">
      <c r="B89" s="36"/>
      <c r="C89" s="165"/>
      <c r="Q89" s="97"/>
      <c r="AB89" s="36"/>
    </row>
    <row r="90" spans="2:28" x14ac:dyDescent="0.15">
      <c r="B90" s="36"/>
      <c r="C90" s="165"/>
      <c r="Q90" s="97"/>
      <c r="AB90" s="36"/>
    </row>
    <row r="91" spans="2:28" x14ac:dyDescent="0.15">
      <c r="B91" s="36"/>
      <c r="C91" s="165"/>
      <c r="Q91" s="97"/>
      <c r="AB91" s="36"/>
    </row>
    <row r="92" spans="2:28" x14ac:dyDescent="0.15">
      <c r="B92" s="36"/>
      <c r="C92" s="165"/>
      <c r="Q92" s="97"/>
      <c r="AB92" s="36"/>
    </row>
    <row r="93" spans="2:28" x14ac:dyDescent="0.15">
      <c r="B93" s="36"/>
      <c r="C93" s="165"/>
      <c r="Q93" s="97"/>
      <c r="AB93" s="36"/>
    </row>
    <row r="94" spans="2:28" x14ac:dyDescent="0.15">
      <c r="B94" s="36"/>
      <c r="C94" s="165"/>
      <c r="Q94" s="97"/>
      <c r="AB94" s="36"/>
    </row>
    <row r="95" spans="2:28" x14ac:dyDescent="0.15">
      <c r="B95" s="36"/>
      <c r="C95" s="165"/>
      <c r="Q95" s="97"/>
      <c r="AB95" s="36"/>
    </row>
    <row r="96" spans="2:28" x14ac:dyDescent="0.15">
      <c r="B96" s="36"/>
      <c r="C96" s="165"/>
      <c r="Q96" s="97"/>
      <c r="AB96" s="36"/>
    </row>
    <row r="97" spans="2:28" x14ac:dyDescent="0.15">
      <c r="B97" s="36"/>
      <c r="C97" s="165"/>
      <c r="Q97" s="97"/>
      <c r="AB97" s="36"/>
    </row>
    <row r="98" spans="2:28" x14ac:dyDescent="0.15">
      <c r="B98" s="36"/>
      <c r="C98" s="165"/>
      <c r="Q98" s="97"/>
      <c r="AB98" s="36"/>
    </row>
    <row r="99" spans="2:28" x14ac:dyDescent="0.15">
      <c r="B99" s="36"/>
      <c r="C99" s="165"/>
      <c r="AB99" s="36"/>
    </row>
    <row r="100" spans="2:28" x14ac:dyDescent="0.15">
      <c r="B100" s="36"/>
      <c r="C100" s="165"/>
      <c r="AB100" s="36"/>
    </row>
    <row r="101" spans="2:28"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c r="AB101" s="36"/>
    </row>
    <row r="102" spans="2:28" x14ac:dyDescent="0.15">
      <c r="Q102" s="16" t="str">
        <f t="shared" si="3"/>
        <v/>
      </c>
      <c r="T102" s="16" t="str">
        <f t="shared" si="4"/>
        <v/>
      </c>
      <c r="V102" s="16" t="str">
        <f t="shared" si="5"/>
        <v/>
      </c>
    </row>
    <row r="103" spans="2:28" x14ac:dyDescent="0.15">
      <c r="Q103" s="16" t="str">
        <f t="shared" si="3"/>
        <v/>
      </c>
      <c r="T103" s="16" t="str">
        <f t="shared" si="4"/>
        <v/>
      </c>
      <c r="V103" s="16" t="str">
        <f t="shared" si="5"/>
        <v/>
      </c>
    </row>
    <row r="104" spans="2:28" x14ac:dyDescent="0.15">
      <c r="Q104" s="16" t="str">
        <f t="shared" si="3"/>
        <v/>
      </c>
      <c r="T104" s="16" t="str">
        <f t="shared" si="4"/>
        <v/>
      </c>
      <c r="V104" s="16" t="str">
        <f t="shared" si="5"/>
        <v/>
      </c>
    </row>
    <row r="105" spans="2:28" x14ac:dyDescent="0.15">
      <c r="Q105" s="16" t="str">
        <f t="shared" si="3"/>
        <v/>
      </c>
      <c r="T105" s="16" t="str">
        <f t="shared" si="4"/>
        <v/>
      </c>
      <c r="V105" s="16" t="str">
        <f t="shared" si="5"/>
        <v/>
      </c>
    </row>
    <row r="106" spans="2:28" x14ac:dyDescent="0.15">
      <c r="Q106" s="16" t="str">
        <f t="shared" si="3"/>
        <v/>
      </c>
      <c r="T106" s="16" t="str">
        <f t="shared" si="4"/>
        <v/>
      </c>
      <c r="V106" s="16" t="str">
        <f t="shared" si="5"/>
        <v/>
      </c>
    </row>
    <row r="107" spans="2:28" x14ac:dyDescent="0.15">
      <c r="Q107" s="16" t="str">
        <f t="shared" si="3"/>
        <v/>
      </c>
      <c r="T107" s="16" t="str">
        <f t="shared" si="4"/>
        <v/>
      </c>
      <c r="V107" s="16" t="str">
        <f t="shared" si="5"/>
        <v/>
      </c>
    </row>
    <row r="108" spans="2:28" x14ac:dyDescent="0.15">
      <c r="Q108" s="16" t="str">
        <f t="shared" si="3"/>
        <v/>
      </c>
      <c r="T108" s="16" t="str">
        <f t="shared" si="4"/>
        <v/>
      </c>
      <c r="V108" s="16" t="str">
        <f t="shared" si="5"/>
        <v/>
      </c>
    </row>
    <row r="109" spans="2:28" x14ac:dyDescent="0.15">
      <c r="Q109" s="16" t="str">
        <f t="shared" si="3"/>
        <v/>
      </c>
      <c r="T109" s="16" t="str">
        <f t="shared" si="4"/>
        <v/>
      </c>
      <c r="V109" s="16" t="str">
        <f t="shared" si="5"/>
        <v/>
      </c>
    </row>
    <row r="110" spans="2:28" x14ac:dyDescent="0.15">
      <c r="Q110" s="16" t="str">
        <f t="shared" si="3"/>
        <v/>
      </c>
      <c r="T110" s="16" t="str">
        <f t="shared" si="4"/>
        <v/>
      </c>
      <c r="V110" s="16" t="str">
        <f t="shared" si="5"/>
        <v/>
      </c>
    </row>
    <row r="111" spans="2:28" x14ac:dyDescent="0.15">
      <c r="Q111" s="16" t="str">
        <f t="shared" si="3"/>
        <v/>
      </c>
      <c r="T111" s="16" t="str">
        <f t="shared" si="4"/>
        <v/>
      </c>
      <c r="V111" s="16" t="str">
        <f t="shared" si="5"/>
        <v/>
      </c>
    </row>
    <row r="112" spans="2:28"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A7806C66-A27B-447A-B58C-7D6145F65BBC}">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FAY2:FAY59 ERC2:ERC59 EHG2:EHG59 DXK2:DXK59 DNO2:DNO59 DDS2:DDS59 CTW2:CTW59 CKA2:CKA59 CAE2:CAE59 BQI2:BQI59 BGM2:BGM59 AWQ2:AWQ59 AMU2:AMU59 ACY2:ACY59 TC2:TC59 K435:K492" xr:uid="{D8E13D38-5CE9-4B61-BA9E-FBC624C8C9CD}">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ERB2:ERB59 EHF2:EHF59 DXJ2:DXJ59 DNN2:DNN59 DDR2:DDR59 CTV2:CTV59 CJZ2:CJZ59 CAD2:CAD59 BQH2:BQH59 BGL2:BGL59 AWP2:AWP59 AMT2:AMT59 ACX2:ACX59 TB2:TB59 JF2:JF59 J41:J492" xr:uid="{D27CF2B1-4DAA-41F1-92B5-C12B83C85929}">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AB59DC8F-C685-42A6-935B-7ABE39F3964C}">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92" xr:uid="{7A9C9E77-F5C4-4D2E-B3FB-8BC740A3B326}">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92" xr:uid="{4B371DF9-4947-440C-BB97-6F69320394C6}">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92" xr:uid="{5AF841AF-D396-4270-B6F9-DEBE2CDE7A64}">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92" xr:uid="{8C634625-4ABE-4482-9ADD-0342BC81F56B}">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5CD89950-FC3C-425C-988D-166F21C69B8C}">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C1E8B5BA-8F91-46A2-9467-20D7BF4E096D}">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49EAA9D9-4458-43B4-9388-430AE8F48407}">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E48518D5-2551-4339-BCA7-12D65BDC7FEE}">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19BFFC88-7714-460D-AF1C-CDD967411512}">
      <formula1>#REF!</formula1>
    </dataValidation>
    <dataValidation type="list" allowBlank="1" showInputMessage="1" showErrorMessage="1" sqref="E2:E492" xr:uid="{33EB3849-30AB-44A6-BCA4-4E4CA0B2342A}">
      <formula1>$AG$2:$AG$11</formula1>
    </dataValidation>
    <dataValidation type="list" allowBlank="1" showInputMessage="1" showErrorMessage="1" sqref="H2:H492" xr:uid="{7A56E374-0AD5-4BFE-921C-9C48E3CC1ED6}">
      <formula1>$AL$2:$AL$8</formula1>
    </dataValidation>
    <dataValidation type="decimal" allowBlank="1" showInputMessage="1" showErrorMessage="1" error="硬度を正しく入力して下さい。" sqref="O2:P492" xr:uid="{1C5391A5-DAA3-4D83-B9B2-9A2D97A7C820}">
      <formula1>0</formula1>
      <formula2>7</formula2>
    </dataValidation>
    <dataValidation type="list" allowBlank="1" showInputMessage="1" showErrorMessage="1" sqref="F2:F1446" xr:uid="{9C41989E-A335-4F71-9BCF-7222D1646AF2}">
      <formula1>$AH$2:$AH$11</formula1>
    </dataValidation>
    <dataValidation type="list" allowBlank="1" showInputMessage="1" showErrorMessage="1" sqref="AC38 Y2:AA583" xr:uid="{50BBD767-35F4-4BE3-96AD-DE09C62882A6}">
      <formula1>$AV$2:$AV$38</formula1>
    </dataValidation>
    <dataValidation type="list" allowBlank="1" showInputMessage="1" showErrorMessage="1" sqref="J2:J40" xr:uid="{6D107ED8-480E-409E-9D2B-BBB1D75E7932}">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87AFA-F2E3-42D0-9C6C-48493A9CE0DB}">
  <dimension ref="A1:BA443"/>
  <sheetViews>
    <sheetView zoomScale="85" zoomScaleNormal="85" zoomScaleSheetLayoutView="100" workbookViewId="0">
      <selection activeCell="O44" sqref="O44"/>
    </sheetView>
  </sheetViews>
  <sheetFormatPr defaultColWidth="9" defaultRowHeight="13.5" x14ac:dyDescent="0.15"/>
  <cols>
    <col min="1" max="3" width="9" style="53"/>
    <col min="4" max="4" width="10.42578125" style="53" bestFit="1" customWidth="1"/>
    <col min="5" max="16" width="9" style="53"/>
    <col min="17" max="17" width="9" style="16"/>
    <col min="18" max="19" width="9" style="53"/>
    <col min="20" max="20" width="9" style="16"/>
    <col min="21" max="21" width="9" style="53"/>
    <col min="22" max="22" width="9" style="16"/>
    <col min="23" max="32" width="9" style="53"/>
    <col min="33" max="33" width="16.85546875" style="53" bestFit="1" customWidth="1"/>
    <col min="34" max="34" width="15.5703125" style="53" customWidth="1"/>
    <col min="35" max="39" width="9" style="156"/>
    <col min="40" max="16384" width="9" style="53"/>
  </cols>
  <sheetData>
    <row r="1" spans="1:53" ht="45" x14ac:dyDescent="0.15">
      <c r="A1" s="44" t="s">
        <v>0</v>
      </c>
      <c r="B1" s="1" t="s">
        <v>1</v>
      </c>
      <c r="C1" s="1" t="s">
        <v>2</v>
      </c>
      <c r="D1" s="2" t="s">
        <v>3</v>
      </c>
      <c r="E1" s="45" t="s">
        <v>4</v>
      </c>
      <c r="F1" s="45" t="s">
        <v>5</v>
      </c>
      <c r="G1" s="45" t="s">
        <v>6</v>
      </c>
      <c r="H1" s="45" t="s">
        <v>7</v>
      </c>
      <c r="I1" s="45" t="s">
        <v>8</v>
      </c>
      <c r="J1" s="45" t="s">
        <v>9</v>
      </c>
      <c r="K1" s="176"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177"/>
      <c r="AJ1" s="178" t="s">
        <v>6</v>
      </c>
      <c r="AK1" s="177"/>
      <c r="AL1" s="179" t="s">
        <v>7</v>
      </c>
      <c r="AM1" s="177"/>
      <c r="AN1" s="10" t="s">
        <v>8</v>
      </c>
      <c r="AO1" s="9"/>
      <c r="AP1" s="10" t="s">
        <v>27</v>
      </c>
      <c r="AQ1" s="9"/>
      <c r="AR1" s="10" t="s">
        <v>10</v>
      </c>
      <c r="AS1" s="9"/>
      <c r="AT1" s="11" t="s">
        <v>28</v>
      </c>
      <c r="AU1" s="9"/>
      <c r="AV1" s="10" t="s">
        <v>29</v>
      </c>
      <c r="AX1" s="12" t="s">
        <v>30</v>
      </c>
      <c r="AY1" s="13" t="s">
        <v>31</v>
      </c>
      <c r="AZ1" s="13" t="s">
        <v>32</v>
      </c>
      <c r="BA1" s="14" t="s">
        <v>33</v>
      </c>
    </row>
    <row r="2" spans="1:53" x14ac:dyDescent="0.15">
      <c r="A2" s="180" t="s">
        <v>34</v>
      </c>
      <c r="B2" s="180" t="s">
        <v>234</v>
      </c>
      <c r="C2" s="180">
        <v>2019</v>
      </c>
      <c r="D2" s="181" t="s">
        <v>235</v>
      </c>
      <c r="E2" s="180" t="s">
        <v>355</v>
      </c>
      <c r="F2" s="180" t="s">
        <v>356</v>
      </c>
      <c r="G2" s="182" t="s">
        <v>36</v>
      </c>
      <c r="H2" s="183" t="s">
        <v>127</v>
      </c>
      <c r="I2" s="149" t="s">
        <v>161</v>
      </c>
      <c r="J2" s="184" t="s">
        <v>80</v>
      </c>
      <c r="K2" s="149" t="s">
        <v>63</v>
      </c>
      <c r="L2" s="185">
        <v>1</v>
      </c>
      <c r="M2" s="186"/>
      <c r="N2" s="186">
        <v>1</v>
      </c>
      <c r="O2" s="186">
        <v>0.5</v>
      </c>
      <c r="P2" s="186">
        <v>0.55000000000000004</v>
      </c>
      <c r="Q2" s="187">
        <f t="shared" ref="Q2:Q65" si="0">IF(OR(O2="",P2=""),"",AVERAGE(O2,P2))</f>
        <v>0.52500000000000002</v>
      </c>
      <c r="R2" s="188">
        <v>15</v>
      </c>
      <c r="S2" s="183">
        <v>119</v>
      </c>
      <c r="T2" s="189">
        <f t="shared" ref="T2:T65" si="1">IF(H2="","",IF(OR(H2="GREEN",H2="GK"),IF(S2&gt;=$AX$2,VLOOKUP(S2,$AX$2:$AY$7,2,1),""),IF(S2&gt;=$AZ$2,VLOOKUP(S2,$AZ$2:$BA$7,2,1),"")))</f>
        <v>30</v>
      </c>
      <c r="U2" s="149">
        <v>84</v>
      </c>
      <c r="V2" s="189">
        <f t="shared" ref="V2:V65" si="2">IF(OR(N2="",U2="",T2=""),"",U2/N2*T2)</f>
        <v>2520</v>
      </c>
      <c r="W2" s="190">
        <v>6</v>
      </c>
      <c r="X2" s="191" t="s">
        <v>46</v>
      </c>
      <c r="Y2" s="191" t="s">
        <v>40</v>
      </c>
      <c r="Z2" s="191" t="s">
        <v>86</v>
      </c>
      <c r="AA2" s="192" t="s">
        <v>55</v>
      </c>
      <c r="AB2" s="57" t="s">
        <v>282</v>
      </c>
      <c r="AE2" s="17" t="s">
        <v>35</v>
      </c>
      <c r="AG2" s="65" t="s">
        <v>355</v>
      </c>
      <c r="AH2" s="65" t="s">
        <v>356</v>
      </c>
      <c r="AJ2" s="157" t="s">
        <v>36</v>
      </c>
      <c r="AL2" s="18" t="s">
        <v>127</v>
      </c>
      <c r="AN2" s="18" t="s">
        <v>37</v>
      </c>
      <c r="AO2" s="54"/>
      <c r="AP2" s="18" t="s">
        <v>38</v>
      </c>
      <c r="AQ2" s="54"/>
      <c r="AR2" s="18" t="s">
        <v>120</v>
      </c>
      <c r="AS2" s="54"/>
      <c r="AT2" s="18" t="s">
        <v>39</v>
      </c>
      <c r="AU2" s="54"/>
      <c r="AV2" s="169" t="s">
        <v>40</v>
      </c>
      <c r="AW2" s="54"/>
      <c r="AX2" s="19">
        <v>1</v>
      </c>
      <c r="AY2" s="20">
        <v>50</v>
      </c>
      <c r="AZ2" s="20">
        <v>1</v>
      </c>
      <c r="BA2" s="21">
        <v>50</v>
      </c>
    </row>
    <row r="3" spans="1:53" x14ac:dyDescent="0.15">
      <c r="A3" s="193" t="s">
        <v>34</v>
      </c>
      <c r="B3" s="193" t="s">
        <v>157</v>
      </c>
      <c r="C3" s="194">
        <v>2019</v>
      </c>
      <c r="D3" s="195" t="s">
        <v>357</v>
      </c>
      <c r="E3" s="193" t="s">
        <v>355</v>
      </c>
      <c r="F3" s="193" t="s">
        <v>356</v>
      </c>
      <c r="G3" s="196" t="s">
        <v>36</v>
      </c>
      <c r="H3" s="149" t="s">
        <v>127</v>
      </c>
      <c r="I3" s="149" t="s">
        <v>161</v>
      </c>
      <c r="J3" s="149" t="s">
        <v>80</v>
      </c>
      <c r="K3" s="149" t="s">
        <v>63</v>
      </c>
      <c r="L3" s="53">
        <v>2</v>
      </c>
      <c r="N3" s="53">
        <v>1</v>
      </c>
      <c r="O3" s="53">
        <v>0.55000000000000004</v>
      </c>
      <c r="P3" s="34">
        <v>0.5</v>
      </c>
      <c r="Q3" s="197">
        <f t="shared" si="0"/>
        <v>0.52500000000000002</v>
      </c>
      <c r="R3" s="198">
        <v>14.2</v>
      </c>
      <c r="S3" s="198">
        <v>114</v>
      </c>
      <c r="T3" s="16">
        <f t="shared" si="1"/>
        <v>30</v>
      </c>
      <c r="U3" s="199">
        <v>84</v>
      </c>
      <c r="V3" s="200">
        <f t="shared" si="2"/>
        <v>2520</v>
      </c>
      <c r="W3" s="201">
        <v>6</v>
      </c>
      <c r="X3" s="202" t="s">
        <v>46</v>
      </c>
      <c r="Y3" s="202" t="s">
        <v>40</v>
      </c>
      <c r="Z3" s="202" t="s">
        <v>86</v>
      </c>
      <c r="AA3" s="192" t="s">
        <v>55</v>
      </c>
      <c r="AB3" s="57" t="s">
        <v>160</v>
      </c>
      <c r="AE3" s="22" t="s">
        <v>41</v>
      </c>
      <c r="AG3" s="65" t="s">
        <v>358</v>
      </c>
      <c r="AH3" s="65" t="s">
        <v>359</v>
      </c>
      <c r="AJ3" s="203" t="s">
        <v>42</v>
      </c>
      <c r="AL3" s="23" t="s">
        <v>128</v>
      </c>
      <c r="AN3" s="23" t="s">
        <v>43</v>
      </c>
      <c r="AP3" s="23" t="s">
        <v>44</v>
      </c>
      <c r="AR3" s="41" t="s">
        <v>45</v>
      </c>
      <c r="AT3" s="23" t="s">
        <v>46</v>
      </c>
      <c r="AV3" s="23" t="s">
        <v>47</v>
      </c>
      <c r="AX3" s="24">
        <v>72</v>
      </c>
      <c r="AY3" s="25">
        <v>46</v>
      </c>
      <c r="AZ3" s="25">
        <v>71</v>
      </c>
      <c r="BA3" s="26">
        <v>42</v>
      </c>
    </row>
    <row r="4" spans="1:53" x14ac:dyDescent="0.15">
      <c r="A4" s="193" t="s">
        <v>34</v>
      </c>
      <c r="B4" s="193" t="s">
        <v>157</v>
      </c>
      <c r="C4" s="193">
        <v>2019</v>
      </c>
      <c r="D4" s="195" t="s">
        <v>357</v>
      </c>
      <c r="E4" s="193" t="s">
        <v>355</v>
      </c>
      <c r="F4" s="193" t="s">
        <v>356</v>
      </c>
      <c r="G4" s="196" t="s">
        <v>36</v>
      </c>
      <c r="H4" s="149" t="s">
        <v>127</v>
      </c>
      <c r="I4" s="149" t="s">
        <v>161</v>
      </c>
      <c r="J4" s="149" t="s">
        <v>80</v>
      </c>
      <c r="K4" s="149" t="s">
        <v>63</v>
      </c>
      <c r="L4" s="53">
        <v>3</v>
      </c>
      <c r="N4" s="53">
        <v>1</v>
      </c>
      <c r="O4" s="53">
        <v>0.55000000000000004</v>
      </c>
      <c r="P4" s="34">
        <v>0.55000000000000004</v>
      </c>
      <c r="Q4" s="97">
        <f t="shared" si="0"/>
        <v>0.55000000000000004</v>
      </c>
      <c r="R4" s="204">
        <v>14.4</v>
      </c>
      <c r="S4" s="204">
        <v>113</v>
      </c>
      <c r="T4" s="16">
        <f t="shared" si="1"/>
        <v>30</v>
      </c>
      <c r="U4" s="205">
        <v>84</v>
      </c>
      <c r="V4" s="200">
        <f t="shared" si="2"/>
        <v>2520</v>
      </c>
      <c r="W4" s="206">
        <v>6</v>
      </c>
      <c r="X4" s="202" t="s">
        <v>46</v>
      </c>
      <c r="Y4" s="202" t="s">
        <v>40</v>
      </c>
      <c r="Z4" s="202" t="s">
        <v>86</v>
      </c>
      <c r="AA4" s="192" t="s">
        <v>55</v>
      </c>
      <c r="AB4" s="57" t="s">
        <v>160</v>
      </c>
      <c r="AE4" s="22" t="s">
        <v>34</v>
      </c>
      <c r="AG4" s="65" t="s">
        <v>360</v>
      </c>
      <c r="AH4" s="65" t="s">
        <v>359</v>
      </c>
      <c r="AJ4" s="207" t="s">
        <v>48</v>
      </c>
      <c r="AL4" s="27" t="s">
        <v>129</v>
      </c>
      <c r="AN4" s="28" t="s">
        <v>49</v>
      </c>
      <c r="AP4" s="23" t="s">
        <v>93</v>
      </c>
      <c r="AR4" s="41" t="s">
        <v>121</v>
      </c>
      <c r="AT4" s="28"/>
      <c r="AV4" s="23" t="s">
        <v>50</v>
      </c>
      <c r="AX4" s="24">
        <v>75</v>
      </c>
      <c r="AY4" s="25">
        <v>42</v>
      </c>
      <c r="AZ4" s="25">
        <v>76</v>
      </c>
      <c r="BA4" s="26">
        <v>39</v>
      </c>
    </row>
    <row r="5" spans="1:53" x14ac:dyDescent="0.15">
      <c r="A5" s="193" t="s">
        <v>34</v>
      </c>
      <c r="B5" s="193" t="s">
        <v>157</v>
      </c>
      <c r="C5" s="194">
        <v>2019</v>
      </c>
      <c r="D5" s="195" t="s">
        <v>357</v>
      </c>
      <c r="E5" s="193" t="s">
        <v>355</v>
      </c>
      <c r="F5" s="193" t="s">
        <v>356</v>
      </c>
      <c r="G5" s="196" t="s">
        <v>36</v>
      </c>
      <c r="H5" s="149" t="s">
        <v>162</v>
      </c>
      <c r="I5" s="149" t="s">
        <v>161</v>
      </c>
      <c r="J5" s="149" t="s">
        <v>38</v>
      </c>
      <c r="K5" s="149" t="s">
        <v>163</v>
      </c>
      <c r="L5" s="53">
        <v>1</v>
      </c>
      <c r="N5" s="53">
        <v>1</v>
      </c>
      <c r="O5" s="53">
        <v>0.45</v>
      </c>
      <c r="P5" s="36">
        <v>0.5</v>
      </c>
      <c r="Q5" s="97">
        <f t="shared" si="0"/>
        <v>0.47499999999999998</v>
      </c>
      <c r="R5" s="204">
        <v>17.3</v>
      </c>
      <c r="S5" s="204">
        <v>128</v>
      </c>
      <c r="T5" s="16">
        <f t="shared" si="1"/>
        <v>30</v>
      </c>
      <c r="U5" s="205">
        <v>138</v>
      </c>
      <c r="V5" s="200">
        <f t="shared" si="2"/>
        <v>4140</v>
      </c>
      <c r="W5" s="206">
        <v>6</v>
      </c>
      <c r="X5" s="202" t="s">
        <v>46</v>
      </c>
      <c r="Y5" s="202" t="s">
        <v>40</v>
      </c>
      <c r="Z5" s="202" t="s">
        <v>86</v>
      </c>
      <c r="AA5" s="192" t="s">
        <v>55</v>
      </c>
      <c r="AB5" s="57" t="s">
        <v>160</v>
      </c>
      <c r="AE5" s="22" t="s">
        <v>51</v>
      </c>
      <c r="AG5" s="65" t="s">
        <v>355</v>
      </c>
      <c r="AH5" s="65" t="s">
        <v>361</v>
      </c>
      <c r="AJ5" s="208"/>
      <c r="AL5" s="29" t="s">
        <v>66</v>
      </c>
      <c r="AN5" s="29" t="s">
        <v>52</v>
      </c>
      <c r="AP5" s="23" t="s">
        <v>119</v>
      </c>
      <c r="AR5" s="41" t="s">
        <v>54</v>
      </c>
      <c r="AT5" s="151"/>
      <c r="AV5" s="23" t="s">
        <v>55</v>
      </c>
      <c r="AX5" s="24">
        <v>84</v>
      </c>
      <c r="AY5" s="25">
        <v>39</v>
      </c>
      <c r="AZ5" s="25">
        <v>84</v>
      </c>
      <c r="BA5" s="26">
        <v>36</v>
      </c>
    </row>
    <row r="6" spans="1:53" x14ac:dyDescent="0.15">
      <c r="A6" s="193" t="s">
        <v>34</v>
      </c>
      <c r="B6" s="193" t="s">
        <v>157</v>
      </c>
      <c r="C6" s="193">
        <v>2019</v>
      </c>
      <c r="D6" s="195" t="s">
        <v>357</v>
      </c>
      <c r="E6" s="193" t="s">
        <v>355</v>
      </c>
      <c r="F6" s="193" t="s">
        <v>356</v>
      </c>
      <c r="G6" s="196" t="s">
        <v>36</v>
      </c>
      <c r="H6" s="149" t="s">
        <v>162</v>
      </c>
      <c r="I6" s="149" t="s">
        <v>161</v>
      </c>
      <c r="J6" s="149" t="s">
        <v>38</v>
      </c>
      <c r="K6" s="149" t="s">
        <v>163</v>
      </c>
      <c r="L6" s="53">
        <v>2</v>
      </c>
      <c r="N6" s="53">
        <v>1</v>
      </c>
      <c r="O6" s="53">
        <v>0.5</v>
      </c>
      <c r="P6" s="36">
        <v>0.45</v>
      </c>
      <c r="Q6" s="97">
        <f t="shared" si="0"/>
        <v>0.47499999999999998</v>
      </c>
      <c r="R6" s="204">
        <v>16.8</v>
      </c>
      <c r="S6" s="204">
        <v>133</v>
      </c>
      <c r="T6" s="16">
        <f t="shared" si="1"/>
        <v>30</v>
      </c>
      <c r="U6" s="205">
        <v>138</v>
      </c>
      <c r="V6" s="200">
        <f t="shared" si="2"/>
        <v>4140</v>
      </c>
      <c r="W6" s="206">
        <v>6</v>
      </c>
      <c r="X6" s="202" t="s">
        <v>46</v>
      </c>
      <c r="Y6" s="202" t="s">
        <v>40</v>
      </c>
      <c r="Z6" s="202" t="s">
        <v>86</v>
      </c>
      <c r="AA6" s="192" t="s">
        <v>55</v>
      </c>
      <c r="AB6" s="57" t="s">
        <v>160</v>
      </c>
      <c r="AE6" s="22" t="s">
        <v>56</v>
      </c>
      <c r="AG6" s="65" t="s">
        <v>212</v>
      </c>
      <c r="AH6" s="65" t="s">
        <v>362</v>
      </c>
      <c r="AL6" s="29" t="s">
        <v>99</v>
      </c>
      <c r="AN6" s="29" t="s">
        <v>57</v>
      </c>
      <c r="AP6" s="23" t="s">
        <v>53</v>
      </c>
      <c r="AR6" s="41" t="s">
        <v>59</v>
      </c>
      <c r="AV6" s="23" t="s">
        <v>60</v>
      </c>
      <c r="AX6" s="24">
        <v>97</v>
      </c>
      <c r="AY6" s="25">
        <v>36</v>
      </c>
      <c r="AZ6" s="25">
        <v>99</v>
      </c>
      <c r="BA6" s="26">
        <v>33</v>
      </c>
    </row>
    <row r="7" spans="1:53" x14ac:dyDescent="0.15">
      <c r="A7" s="193" t="s">
        <v>34</v>
      </c>
      <c r="B7" s="193" t="s">
        <v>157</v>
      </c>
      <c r="C7" s="194">
        <v>2019</v>
      </c>
      <c r="D7" s="195" t="s">
        <v>357</v>
      </c>
      <c r="E7" s="193" t="s">
        <v>355</v>
      </c>
      <c r="F7" s="193" t="s">
        <v>356</v>
      </c>
      <c r="G7" s="196" t="s">
        <v>36</v>
      </c>
      <c r="H7" s="149" t="s">
        <v>162</v>
      </c>
      <c r="I7" s="149" t="s">
        <v>161</v>
      </c>
      <c r="J7" s="149" t="s">
        <v>38</v>
      </c>
      <c r="K7" s="149" t="s">
        <v>163</v>
      </c>
      <c r="L7" s="53">
        <v>3</v>
      </c>
      <c r="N7" s="53">
        <v>1</v>
      </c>
      <c r="O7" s="53">
        <v>0.5</v>
      </c>
      <c r="P7" s="36">
        <v>0.5</v>
      </c>
      <c r="Q7" s="97">
        <f t="shared" si="0"/>
        <v>0.5</v>
      </c>
      <c r="R7" s="204">
        <v>17.100000000000001</v>
      </c>
      <c r="S7" s="204">
        <v>123</v>
      </c>
      <c r="T7" s="16">
        <f t="shared" si="1"/>
        <v>30</v>
      </c>
      <c r="U7" s="205">
        <v>138</v>
      </c>
      <c r="V7" s="200">
        <f t="shared" si="2"/>
        <v>4140</v>
      </c>
      <c r="W7" s="206">
        <v>6</v>
      </c>
      <c r="X7" s="202" t="s">
        <v>46</v>
      </c>
      <c r="Y7" s="202" t="s">
        <v>40</v>
      </c>
      <c r="Z7" s="202" t="s">
        <v>86</v>
      </c>
      <c r="AA7" s="192" t="s">
        <v>55</v>
      </c>
      <c r="AB7" s="57" t="s">
        <v>160</v>
      </c>
      <c r="AE7" s="22" t="s">
        <v>61</v>
      </c>
      <c r="AG7" s="65" t="s">
        <v>363</v>
      </c>
      <c r="AH7" s="65" t="s">
        <v>362</v>
      </c>
      <c r="AL7" s="34" t="s">
        <v>109</v>
      </c>
      <c r="AP7" s="23" t="s">
        <v>58</v>
      </c>
      <c r="AR7" s="30" t="s">
        <v>122</v>
      </c>
      <c r="AV7" s="23" t="s">
        <v>64</v>
      </c>
      <c r="AX7" s="24">
        <v>109</v>
      </c>
      <c r="AY7" s="25">
        <v>33</v>
      </c>
      <c r="AZ7" s="25">
        <v>113</v>
      </c>
      <c r="BA7" s="26">
        <v>30</v>
      </c>
    </row>
    <row r="8" spans="1:53" x14ac:dyDescent="0.15">
      <c r="A8" s="193" t="s">
        <v>34</v>
      </c>
      <c r="B8" s="193" t="s">
        <v>157</v>
      </c>
      <c r="C8" s="193">
        <v>2019</v>
      </c>
      <c r="D8" s="195" t="s">
        <v>357</v>
      </c>
      <c r="E8" s="194" t="s">
        <v>358</v>
      </c>
      <c r="F8" s="193" t="s">
        <v>359</v>
      </c>
      <c r="G8" s="196" t="s">
        <v>36</v>
      </c>
      <c r="H8" s="149" t="s">
        <v>127</v>
      </c>
      <c r="I8" s="149" t="s">
        <v>161</v>
      </c>
      <c r="J8" s="149" t="s">
        <v>80</v>
      </c>
      <c r="K8" s="149" t="s">
        <v>63</v>
      </c>
      <c r="L8" s="53">
        <v>1</v>
      </c>
      <c r="N8" s="53">
        <v>1</v>
      </c>
      <c r="O8" s="53">
        <v>1.2</v>
      </c>
      <c r="P8" s="53">
        <v>1.35</v>
      </c>
      <c r="Q8" s="97">
        <f t="shared" si="0"/>
        <v>1.2749999999999999</v>
      </c>
      <c r="R8" s="204">
        <v>12.2</v>
      </c>
      <c r="S8" s="204">
        <v>123</v>
      </c>
      <c r="T8" s="16">
        <f t="shared" si="1"/>
        <v>30</v>
      </c>
      <c r="U8" s="209">
        <v>128</v>
      </c>
      <c r="V8" s="200">
        <f t="shared" si="2"/>
        <v>3840</v>
      </c>
      <c r="W8" s="206">
        <v>6</v>
      </c>
      <c r="X8" s="202" t="s">
        <v>46</v>
      </c>
      <c r="Y8" s="210" t="s">
        <v>40</v>
      </c>
      <c r="Z8" s="202" t="s">
        <v>78</v>
      </c>
      <c r="AA8" s="192" t="s">
        <v>47</v>
      </c>
      <c r="AB8" s="57" t="s">
        <v>160</v>
      </c>
      <c r="AE8" s="22" t="s">
        <v>59</v>
      </c>
      <c r="AG8" s="65" t="s">
        <v>212</v>
      </c>
      <c r="AH8" s="65" t="s">
        <v>364</v>
      </c>
      <c r="AL8" s="34" t="s">
        <v>134</v>
      </c>
      <c r="AP8" s="23" t="s">
        <v>62</v>
      </c>
      <c r="AR8" s="41" t="s">
        <v>81</v>
      </c>
      <c r="AV8" s="23" t="s">
        <v>97</v>
      </c>
      <c r="AX8" s="24">
        <v>151</v>
      </c>
      <c r="AY8" s="25">
        <v>22</v>
      </c>
      <c r="AZ8" s="25">
        <v>152</v>
      </c>
      <c r="BA8" s="26">
        <v>18</v>
      </c>
    </row>
    <row r="9" spans="1:53" x14ac:dyDescent="0.15">
      <c r="A9" s="193" t="s">
        <v>34</v>
      </c>
      <c r="B9" s="193" t="s">
        <v>157</v>
      </c>
      <c r="C9" s="194">
        <v>2019</v>
      </c>
      <c r="D9" s="195" t="s">
        <v>357</v>
      </c>
      <c r="E9" s="194" t="s">
        <v>358</v>
      </c>
      <c r="F9" s="193" t="s">
        <v>359</v>
      </c>
      <c r="G9" s="196" t="s">
        <v>36</v>
      </c>
      <c r="H9" s="149" t="s">
        <v>127</v>
      </c>
      <c r="I9" s="149" t="s">
        <v>161</v>
      </c>
      <c r="J9" s="149" t="s">
        <v>80</v>
      </c>
      <c r="K9" s="149" t="s">
        <v>63</v>
      </c>
      <c r="L9" s="53">
        <v>2</v>
      </c>
      <c r="N9" s="53">
        <v>1</v>
      </c>
      <c r="O9" s="53">
        <v>1.25</v>
      </c>
      <c r="P9" s="53">
        <v>1.2</v>
      </c>
      <c r="Q9" s="97">
        <f t="shared" si="0"/>
        <v>1.2250000000000001</v>
      </c>
      <c r="R9" s="204">
        <v>13.4</v>
      </c>
      <c r="S9" s="204">
        <v>126</v>
      </c>
      <c r="T9" s="16">
        <f t="shared" si="1"/>
        <v>30</v>
      </c>
      <c r="U9" s="209">
        <v>128</v>
      </c>
      <c r="V9" s="200">
        <f t="shared" si="2"/>
        <v>3840</v>
      </c>
      <c r="W9" s="206">
        <v>6</v>
      </c>
      <c r="X9" s="202" t="s">
        <v>46</v>
      </c>
      <c r="Y9" s="210" t="s">
        <v>40</v>
      </c>
      <c r="Z9" s="202" t="s">
        <v>78</v>
      </c>
      <c r="AA9" s="192" t="s">
        <v>47</v>
      </c>
      <c r="AB9" s="57" t="s">
        <v>160</v>
      </c>
      <c r="AE9" s="22" t="s">
        <v>98</v>
      </c>
      <c r="AG9" s="65" t="s">
        <v>139</v>
      </c>
      <c r="AH9" s="65" t="s">
        <v>364</v>
      </c>
      <c r="AL9" s="29"/>
      <c r="AP9" s="23" t="s">
        <v>95</v>
      </c>
      <c r="AR9" s="30" t="s">
        <v>89</v>
      </c>
      <c r="AV9" s="23" t="s">
        <v>102</v>
      </c>
      <c r="AX9" s="31">
        <v>180</v>
      </c>
      <c r="AY9" s="32">
        <v>18</v>
      </c>
      <c r="AZ9" s="32">
        <v>181</v>
      </c>
      <c r="BA9" s="33">
        <v>16</v>
      </c>
    </row>
    <row r="10" spans="1:53" x14ac:dyDescent="0.15">
      <c r="A10" s="193" t="s">
        <v>34</v>
      </c>
      <c r="B10" s="193" t="s">
        <v>157</v>
      </c>
      <c r="C10" s="193">
        <v>2019</v>
      </c>
      <c r="D10" s="195" t="s">
        <v>357</v>
      </c>
      <c r="E10" s="194" t="s">
        <v>358</v>
      </c>
      <c r="F10" s="193" t="s">
        <v>359</v>
      </c>
      <c r="G10" s="196" t="s">
        <v>36</v>
      </c>
      <c r="H10" s="149" t="s">
        <v>127</v>
      </c>
      <c r="I10" s="149" t="s">
        <v>161</v>
      </c>
      <c r="J10" s="149" t="s">
        <v>80</v>
      </c>
      <c r="K10" s="149" t="s">
        <v>63</v>
      </c>
      <c r="L10" s="53">
        <v>3</v>
      </c>
      <c r="N10" s="53">
        <v>1</v>
      </c>
      <c r="O10" s="53">
        <v>1.2</v>
      </c>
      <c r="P10" s="53">
        <v>1.1499999999999999</v>
      </c>
      <c r="Q10" s="97">
        <f t="shared" si="0"/>
        <v>1.1749999999999998</v>
      </c>
      <c r="R10" s="204">
        <v>13.2</v>
      </c>
      <c r="S10" s="204">
        <v>112</v>
      </c>
      <c r="T10" s="16">
        <f t="shared" si="1"/>
        <v>33</v>
      </c>
      <c r="U10" s="209">
        <v>128</v>
      </c>
      <c r="V10" s="200">
        <f t="shared" si="2"/>
        <v>4224</v>
      </c>
      <c r="W10" s="206">
        <v>6</v>
      </c>
      <c r="X10" s="202" t="s">
        <v>46</v>
      </c>
      <c r="Y10" s="210" t="s">
        <v>40</v>
      </c>
      <c r="Z10" s="202" t="s">
        <v>78</v>
      </c>
      <c r="AA10" s="192" t="s">
        <v>47</v>
      </c>
      <c r="AB10" s="57" t="s">
        <v>160</v>
      </c>
      <c r="AE10" s="22" t="s">
        <v>103</v>
      </c>
      <c r="AG10" s="65" t="s">
        <v>133</v>
      </c>
      <c r="AH10" s="65" t="s">
        <v>365</v>
      </c>
      <c r="AL10" s="34"/>
      <c r="AP10" s="23" t="s">
        <v>100</v>
      </c>
      <c r="AR10" s="30" t="s">
        <v>123</v>
      </c>
      <c r="AV10" s="23" t="s">
        <v>106</v>
      </c>
    </row>
    <row r="11" spans="1:53" x14ac:dyDescent="0.15">
      <c r="A11" s="193" t="s">
        <v>34</v>
      </c>
      <c r="B11" s="193" t="s">
        <v>157</v>
      </c>
      <c r="C11" s="194">
        <v>2019</v>
      </c>
      <c r="D11" s="195" t="s">
        <v>357</v>
      </c>
      <c r="E11" s="194" t="s">
        <v>358</v>
      </c>
      <c r="F11" s="193" t="s">
        <v>359</v>
      </c>
      <c r="G11" s="196" t="s">
        <v>36</v>
      </c>
      <c r="H11" s="149" t="s">
        <v>162</v>
      </c>
      <c r="I11" s="149" t="s">
        <v>161</v>
      </c>
      <c r="J11" s="149" t="s">
        <v>38</v>
      </c>
      <c r="K11" s="149" t="s">
        <v>163</v>
      </c>
      <c r="L11" s="53">
        <v>1</v>
      </c>
      <c r="N11" s="53">
        <v>1</v>
      </c>
      <c r="O11" s="53">
        <v>0.55000000000000004</v>
      </c>
      <c r="P11" s="53">
        <v>0.6</v>
      </c>
      <c r="Q11" s="97">
        <f t="shared" si="0"/>
        <v>0.57499999999999996</v>
      </c>
      <c r="R11" s="204">
        <v>17.399999999999999</v>
      </c>
      <c r="S11" s="204">
        <v>125</v>
      </c>
      <c r="T11" s="16">
        <f t="shared" si="1"/>
        <v>30</v>
      </c>
      <c r="U11" s="209">
        <v>128</v>
      </c>
      <c r="V11" s="200">
        <f t="shared" si="2"/>
        <v>3840</v>
      </c>
      <c r="W11" s="206">
        <v>6</v>
      </c>
      <c r="X11" s="202" t="s">
        <v>46</v>
      </c>
      <c r="Y11" s="210" t="s">
        <v>40</v>
      </c>
      <c r="Z11" s="202" t="s">
        <v>78</v>
      </c>
      <c r="AA11" s="211" t="s">
        <v>47</v>
      </c>
      <c r="AB11" s="57" t="s">
        <v>160</v>
      </c>
      <c r="AE11" s="22" t="s">
        <v>65</v>
      </c>
      <c r="AG11" s="41" t="s">
        <v>266</v>
      </c>
      <c r="AH11" s="41" t="s">
        <v>366</v>
      </c>
      <c r="AL11" s="34"/>
      <c r="AP11" s="23" t="s">
        <v>104</v>
      </c>
      <c r="AR11" s="30" t="s">
        <v>87</v>
      </c>
      <c r="AV11" s="23" t="s">
        <v>69</v>
      </c>
    </row>
    <row r="12" spans="1:53" x14ac:dyDescent="0.15">
      <c r="A12" s="193" t="s">
        <v>34</v>
      </c>
      <c r="B12" s="193" t="s">
        <v>157</v>
      </c>
      <c r="C12" s="193">
        <v>2019</v>
      </c>
      <c r="D12" s="195" t="s">
        <v>357</v>
      </c>
      <c r="E12" s="194" t="s">
        <v>358</v>
      </c>
      <c r="F12" s="193" t="s">
        <v>359</v>
      </c>
      <c r="G12" s="196" t="s">
        <v>36</v>
      </c>
      <c r="H12" s="149" t="s">
        <v>162</v>
      </c>
      <c r="I12" s="149" t="s">
        <v>161</v>
      </c>
      <c r="J12" s="149" t="s">
        <v>38</v>
      </c>
      <c r="K12" s="149" t="s">
        <v>163</v>
      </c>
      <c r="L12" s="53">
        <v>2</v>
      </c>
      <c r="N12" s="53">
        <v>1</v>
      </c>
      <c r="O12" s="53">
        <v>0.55000000000000004</v>
      </c>
      <c r="P12" s="53">
        <v>0.55000000000000004</v>
      </c>
      <c r="Q12" s="97">
        <f t="shared" si="0"/>
        <v>0.55000000000000004</v>
      </c>
      <c r="R12" s="204">
        <v>17.600000000000001</v>
      </c>
      <c r="S12" s="204">
        <v>125</v>
      </c>
      <c r="T12" s="16">
        <f t="shared" si="1"/>
        <v>30</v>
      </c>
      <c r="U12" s="209">
        <v>128</v>
      </c>
      <c r="V12" s="200">
        <f t="shared" si="2"/>
        <v>3840</v>
      </c>
      <c r="W12" s="206">
        <v>6</v>
      </c>
      <c r="X12" s="202" t="s">
        <v>46</v>
      </c>
      <c r="Y12" s="210" t="s">
        <v>40</v>
      </c>
      <c r="Z12" s="202" t="s">
        <v>78</v>
      </c>
      <c r="AA12" s="211" t="s">
        <v>47</v>
      </c>
      <c r="AB12" s="57" t="s">
        <v>160</v>
      </c>
      <c r="AE12" s="22" t="s">
        <v>70</v>
      </c>
      <c r="AG12" s="41"/>
      <c r="AH12" s="41"/>
      <c r="AL12" s="34"/>
      <c r="AP12" s="23" t="s">
        <v>67</v>
      </c>
      <c r="AR12" s="30" t="s">
        <v>124</v>
      </c>
      <c r="AV12" s="23" t="s">
        <v>72</v>
      </c>
    </row>
    <row r="13" spans="1:53" x14ac:dyDescent="0.15">
      <c r="A13" s="193" t="s">
        <v>34</v>
      </c>
      <c r="B13" s="193" t="s">
        <v>157</v>
      </c>
      <c r="C13" s="194">
        <v>2019</v>
      </c>
      <c r="D13" s="195" t="s">
        <v>357</v>
      </c>
      <c r="E13" s="194" t="s">
        <v>358</v>
      </c>
      <c r="F13" s="193" t="s">
        <v>359</v>
      </c>
      <c r="G13" s="196" t="s">
        <v>36</v>
      </c>
      <c r="H13" s="149" t="s">
        <v>162</v>
      </c>
      <c r="I13" s="149" t="s">
        <v>161</v>
      </c>
      <c r="J13" s="149" t="s">
        <v>38</v>
      </c>
      <c r="K13" s="149" t="s">
        <v>163</v>
      </c>
      <c r="L13" s="53">
        <v>3</v>
      </c>
      <c r="N13" s="53">
        <v>1</v>
      </c>
      <c r="O13" s="53">
        <v>0.6</v>
      </c>
      <c r="P13" s="53">
        <v>0.55000000000000004</v>
      </c>
      <c r="Q13" s="97">
        <f t="shared" si="0"/>
        <v>0.57499999999999996</v>
      </c>
      <c r="R13" s="204">
        <v>16.8</v>
      </c>
      <c r="S13" s="204">
        <v>124</v>
      </c>
      <c r="T13" s="16">
        <f t="shared" si="1"/>
        <v>30</v>
      </c>
      <c r="U13" s="209">
        <v>128</v>
      </c>
      <c r="V13" s="200">
        <f t="shared" si="2"/>
        <v>3840</v>
      </c>
      <c r="W13" s="206">
        <v>6</v>
      </c>
      <c r="X13" s="202" t="s">
        <v>46</v>
      </c>
      <c r="Y13" s="210" t="s">
        <v>40</v>
      </c>
      <c r="Z13" s="202" t="s">
        <v>78</v>
      </c>
      <c r="AA13" s="211" t="s">
        <v>47</v>
      </c>
      <c r="AB13" s="57" t="s">
        <v>160</v>
      </c>
      <c r="AE13" s="22" t="s">
        <v>73</v>
      </c>
      <c r="AG13" s="212"/>
      <c r="AH13" s="212"/>
      <c r="AP13" s="23" t="s">
        <v>71</v>
      </c>
      <c r="AR13" s="30" t="s">
        <v>103</v>
      </c>
      <c r="AV13" s="23" t="s">
        <v>75</v>
      </c>
    </row>
    <row r="14" spans="1:53" x14ac:dyDescent="0.15">
      <c r="A14" s="193" t="s">
        <v>34</v>
      </c>
      <c r="B14" s="193" t="s">
        <v>157</v>
      </c>
      <c r="C14" s="193">
        <v>2019</v>
      </c>
      <c r="D14" s="195" t="s">
        <v>357</v>
      </c>
      <c r="E14" s="194" t="s">
        <v>360</v>
      </c>
      <c r="F14" s="193" t="s">
        <v>359</v>
      </c>
      <c r="G14" s="196" t="s">
        <v>36</v>
      </c>
      <c r="H14" s="149" t="s">
        <v>127</v>
      </c>
      <c r="I14" s="149" t="s">
        <v>161</v>
      </c>
      <c r="J14" s="149" t="s">
        <v>80</v>
      </c>
      <c r="K14" s="149" t="s">
        <v>63</v>
      </c>
      <c r="L14" s="53">
        <v>1</v>
      </c>
      <c r="N14" s="53">
        <v>1</v>
      </c>
      <c r="O14" s="53">
        <v>0.8</v>
      </c>
      <c r="P14" s="53">
        <v>0.75</v>
      </c>
      <c r="Q14" s="97">
        <f t="shared" si="0"/>
        <v>0.77500000000000002</v>
      </c>
      <c r="R14" s="204">
        <v>12.5</v>
      </c>
      <c r="S14" s="204">
        <v>115</v>
      </c>
      <c r="T14" s="16">
        <f t="shared" si="1"/>
        <v>30</v>
      </c>
      <c r="U14" s="209">
        <v>79</v>
      </c>
      <c r="V14" s="200">
        <f t="shared" si="2"/>
        <v>2370</v>
      </c>
      <c r="W14" s="206">
        <v>4</v>
      </c>
      <c r="X14" s="202" t="s">
        <v>46</v>
      </c>
      <c r="Y14" s="210" t="s">
        <v>40</v>
      </c>
      <c r="Z14" s="210" t="s">
        <v>69</v>
      </c>
      <c r="AA14" s="211" t="s">
        <v>90</v>
      </c>
      <c r="AB14" s="57" t="s">
        <v>160</v>
      </c>
      <c r="AC14" s="34"/>
      <c r="AE14" s="22" t="s">
        <v>76</v>
      </c>
      <c r="AG14" s="151"/>
      <c r="AH14" s="151"/>
      <c r="AP14" s="23" t="s">
        <v>74</v>
      </c>
      <c r="AR14" s="30" t="s">
        <v>125</v>
      </c>
      <c r="AV14" s="23" t="s">
        <v>78</v>
      </c>
    </row>
    <row r="15" spans="1:53" x14ac:dyDescent="0.15">
      <c r="A15" s="193" t="s">
        <v>34</v>
      </c>
      <c r="B15" s="193" t="s">
        <v>157</v>
      </c>
      <c r="C15" s="194">
        <v>2019</v>
      </c>
      <c r="D15" s="195" t="s">
        <v>357</v>
      </c>
      <c r="E15" s="194" t="s">
        <v>360</v>
      </c>
      <c r="F15" s="193" t="s">
        <v>359</v>
      </c>
      <c r="G15" s="196" t="s">
        <v>36</v>
      </c>
      <c r="H15" s="149" t="s">
        <v>127</v>
      </c>
      <c r="I15" s="149" t="s">
        <v>161</v>
      </c>
      <c r="J15" s="149" t="s">
        <v>80</v>
      </c>
      <c r="K15" s="149" t="s">
        <v>63</v>
      </c>
      <c r="L15" s="53">
        <v>2</v>
      </c>
      <c r="N15" s="53">
        <v>1</v>
      </c>
      <c r="O15" s="53">
        <v>0.85</v>
      </c>
      <c r="P15" s="53">
        <v>0.8</v>
      </c>
      <c r="Q15" s="97">
        <f t="shared" si="0"/>
        <v>0.82499999999999996</v>
      </c>
      <c r="R15" s="204">
        <v>13.2</v>
      </c>
      <c r="S15" s="204">
        <v>114</v>
      </c>
      <c r="T15" s="16">
        <f t="shared" si="1"/>
        <v>30</v>
      </c>
      <c r="U15" s="209">
        <v>79</v>
      </c>
      <c r="V15" s="200">
        <f t="shared" si="2"/>
        <v>2370</v>
      </c>
      <c r="W15" s="206">
        <v>4</v>
      </c>
      <c r="X15" s="202" t="s">
        <v>46</v>
      </c>
      <c r="Y15" s="210" t="s">
        <v>40</v>
      </c>
      <c r="Z15" s="210" t="s">
        <v>69</v>
      </c>
      <c r="AA15" s="211" t="s">
        <v>90</v>
      </c>
      <c r="AB15" s="57" t="s">
        <v>160</v>
      </c>
      <c r="AC15" s="34"/>
      <c r="AE15" s="22" t="s">
        <v>79</v>
      </c>
      <c r="AP15" s="23" t="s">
        <v>77</v>
      </c>
      <c r="AR15" s="30" t="s">
        <v>94</v>
      </c>
      <c r="AV15" s="23" t="s">
        <v>107</v>
      </c>
    </row>
    <row r="16" spans="1:53" x14ac:dyDescent="0.15">
      <c r="A16" s="193" t="s">
        <v>34</v>
      </c>
      <c r="B16" s="193" t="s">
        <v>157</v>
      </c>
      <c r="C16" s="193">
        <v>2019</v>
      </c>
      <c r="D16" s="195" t="s">
        <v>357</v>
      </c>
      <c r="E16" s="194" t="s">
        <v>360</v>
      </c>
      <c r="F16" s="193" t="s">
        <v>359</v>
      </c>
      <c r="G16" s="196" t="s">
        <v>36</v>
      </c>
      <c r="H16" s="149" t="s">
        <v>127</v>
      </c>
      <c r="I16" s="149" t="s">
        <v>161</v>
      </c>
      <c r="J16" s="149" t="s">
        <v>80</v>
      </c>
      <c r="K16" s="149" t="s">
        <v>63</v>
      </c>
      <c r="L16" s="53">
        <v>3</v>
      </c>
      <c r="N16" s="53">
        <v>1</v>
      </c>
      <c r="O16" s="53">
        <v>0.65</v>
      </c>
      <c r="P16" s="53">
        <v>0.7</v>
      </c>
      <c r="Q16" s="97">
        <f t="shared" si="0"/>
        <v>0.67500000000000004</v>
      </c>
      <c r="R16" s="204">
        <v>12.8</v>
      </c>
      <c r="S16" s="204">
        <v>113</v>
      </c>
      <c r="T16" s="16">
        <f t="shared" si="1"/>
        <v>30</v>
      </c>
      <c r="U16" s="209">
        <v>79</v>
      </c>
      <c r="V16" s="200">
        <f t="shared" si="2"/>
        <v>2370</v>
      </c>
      <c r="W16" s="206">
        <v>4</v>
      </c>
      <c r="X16" s="202" t="s">
        <v>46</v>
      </c>
      <c r="Y16" s="210" t="s">
        <v>40</v>
      </c>
      <c r="Z16" s="210" t="s">
        <v>69</v>
      </c>
      <c r="AA16" s="211" t="s">
        <v>90</v>
      </c>
      <c r="AB16" s="57" t="s">
        <v>160</v>
      </c>
      <c r="AC16" s="34"/>
      <c r="AE16" s="22" t="s">
        <v>82</v>
      </c>
      <c r="AP16" s="23" t="s">
        <v>80</v>
      </c>
      <c r="AR16" s="41" t="s">
        <v>63</v>
      </c>
      <c r="AV16" s="23" t="s">
        <v>84</v>
      </c>
    </row>
    <row r="17" spans="1:48" x14ac:dyDescent="0.15">
      <c r="A17" s="193" t="s">
        <v>34</v>
      </c>
      <c r="B17" s="193" t="s">
        <v>157</v>
      </c>
      <c r="C17" s="194">
        <v>2019</v>
      </c>
      <c r="D17" s="195" t="s">
        <v>357</v>
      </c>
      <c r="E17" s="194" t="s">
        <v>360</v>
      </c>
      <c r="F17" s="193" t="s">
        <v>359</v>
      </c>
      <c r="G17" s="196" t="s">
        <v>36</v>
      </c>
      <c r="H17" s="149" t="s">
        <v>162</v>
      </c>
      <c r="I17" s="149" t="s">
        <v>161</v>
      </c>
      <c r="J17" s="149" t="s">
        <v>38</v>
      </c>
      <c r="K17" s="149" t="s">
        <v>163</v>
      </c>
      <c r="L17" s="53">
        <v>1</v>
      </c>
      <c r="N17" s="53">
        <v>1</v>
      </c>
      <c r="O17" s="53">
        <v>0.55000000000000004</v>
      </c>
      <c r="P17" s="53">
        <v>0.55000000000000004</v>
      </c>
      <c r="Q17" s="97">
        <f t="shared" si="0"/>
        <v>0.55000000000000004</v>
      </c>
      <c r="R17" s="204">
        <v>18.899999999999999</v>
      </c>
      <c r="S17" s="204">
        <v>152</v>
      </c>
      <c r="T17" s="16">
        <f t="shared" si="1"/>
        <v>30</v>
      </c>
      <c r="U17" s="209">
        <v>148</v>
      </c>
      <c r="V17" s="200">
        <f t="shared" si="2"/>
        <v>4440</v>
      </c>
      <c r="W17" s="206">
        <v>4</v>
      </c>
      <c r="X17" s="202" t="s">
        <v>46</v>
      </c>
      <c r="Y17" s="210" t="s">
        <v>40</v>
      </c>
      <c r="Z17" s="210" t="s">
        <v>69</v>
      </c>
      <c r="AA17" s="211" t="s">
        <v>90</v>
      </c>
      <c r="AB17" s="57" t="s">
        <v>160</v>
      </c>
      <c r="AC17" s="34"/>
      <c r="AE17" s="22" t="s">
        <v>85</v>
      </c>
      <c r="AP17" s="43" t="s">
        <v>110</v>
      </c>
      <c r="AR17" s="41" t="s">
        <v>96</v>
      </c>
      <c r="AV17" s="23" t="s">
        <v>86</v>
      </c>
    </row>
    <row r="18" spans="1:48" x14ac:dyDescent="0.15">
      <c r="A18" s="193" t="s">
        <v>34</v>
      </c>
      <c r="B18" s="193" t="s">
        <v>157</v>
      </c>
      <c r="C18" s="193">
        <v>2019</v>
      </c>
      <c r="D18" s="195" t="s">
        <v>357</v>
      </c>
      <c r="E18" s="194" t="s">
        <v>360</v>
      </c>
      <c r="F18" s="193" t="s">
        <v>359</v>
      </c>
      <c r="G18" s="196" t="s">
        <v>36</v>
      </c>
      <c r="H18" s="149" t="s">
        <v>162</v>
      </c>
      <c r="I18" s="149" t="s">
        <v>161</v>
      </c>
      <c r="J18" s="149" t="s">
        <v>38</v>
      </c>
      <c r="K18" s="149" t="s">
        <v>163</v>
      </c>
      <c r="L18" s="53">
        <v>2</v>
      </c>
      <c r="N18" s="53">
        <v>1</v>
      </c>
      <c r="O18" s="53">
        <v>0.6</v>
      </c>
      <c r="P18" s="53">
        <v>0.5</v>
      </c>
      <c r="Q18" s="97">
        <f t="shared" si="0"/>
        <v>0.55000000000000004</v>
      </c>
      <c r="R18" s="204">
        <v>17.600000000000001</v>
      </c>
      <c r="S18" s="204">
        <v>153</v>
      </c>
      <c r="T18" s="16">
        <f t="shared" si="1"/>
        <v>30</v>
      </c>
      <c r="U18" s="209">
        <v>148</v>
      </c>
      <c r="V18" s="200">
        <f t="shared" si="2"/>
        <v>4440</v>
      </c>
      <c r="W18" s="206">
        <v>4</v>
      </c>
      <c r="X18" s="202" t="s">
        <v>46</v>
      </c>
      <c r="Y18" s="210" t="s">
        <v>40</v>
      </c>
      <c r="Z18" s="210" t="s">
        <v>69</v>
      </c>
      <c r="AA18" s="211" t="s">
        <v>90</v>
      </c>
      <c r="AB18" s="57" t="s">
        <v>160</v>
      </c>
      <c r="AC18" s="34"/>
      <c r="AE18" s="22" t="s">
        <v>87</v>
      </c>
      <c r="AP18" s="43" t="s">
        <v>111</v>
      </c>
      <c r="AR18" s="41" t="s">
        <v>101</v>
      </c>
      <c r="AV18" s="23" t="s">
        <v>88</v>
      </c>
    </row>
    <row r="19" spans="1:48" x14ac:dyDescent="0.15">
      <c r="A19" s="193" t="s">
        <v>34</v>
      </c>
      <c r="B19" s="193" t="s">
        <v>157</v>
      </c>
      <c r="C19" s="194">
        <v>2019</v>
      </c>
      <c r="D19" s="195" t="s">
        <v>357</v>
      </c>
      <c r="E19" s="194" t="s">
        <v>360</v>
      </c>
      <c r="F19" s="193" t="s">
        <v>359</v>
      </c>
      <c r="G19" s="196" t="s">
        <v>36</v>
      </c>
      <c r="H19" s="149" t="s">
        <v>162</v>
      </c>
      <c r="I19" s="149" t="s">
        <v>161</v>
      </c>
      <c r="J19" s="149" t="s">
        <v>38</v>
      </c>
      <c r="K19" s="149" t="s">
        <v>163</v>
      </c>
      <c r="L19" s="53">
        <v>3</v>
      </c>
      <c r="N19" s="53">
        <v>1</v>
      </c>
      <c r="O19" s="53">
        <v>0.55000000000000004</v>
      </c>
      <c r="P19" s="53">
        <v>0.5</v>
      </c>
      <c r="Q19" s="97">
        <f t="shared" si="0"/>
        <v>0.52500000000000002</v>
      </c>
      <c r="R19" s="204">
        <v>18.399999999999999</v>
      </c>
      <c r="S19" s="204">
        <v>154</v>
      </c>
      <c r="T19" s="16">
        <f t="shared" si="1"/>
        <v>30</v>
      </c>
      <c r="U19" s="209">
        <v>148</v>
      </c>
      <c r="V19" s="200">
        <f t="shared" si="2"/>
        <v>4440</v>
      </c>
      <c r="W19" s="206">
        <v>4</v>
      </c>
      <c r="X19" s="202" t="s">
        <v>46</v>
      </c>
      <c r="Y19" s="210" t="s">
        <v>40</v>
      </c>
      <c r="Z19" s="210" t="s">
        <v>69</v>
      </c>
      <c r="AA19" s="211" t="s">
        <v>90</v>
      </c>
      <c r="AB19" s="57" t="s">
        <v>160</v>
      </c>
      <c r="AC19" s="34"/>
      <c r="AE19" s="35" t="s">
        <v>89</v>
      </c>
      <c r="AP19" s="43" t="s">
        <v>112</v>
      </c>
      <c r="AR19" s="30" t="s">
        <v>126</v>
      </c>
      <c r="AV19" s="23" t="s">
        <v>90</v>
      </c>
    </row>
    <row r="20" spans="1:48" x14ac:dyDescent="0.15">
      <c r="A20" s="193" t="s">
        <v>34</v>
      </c>
      <c r="B20" s="193" t="s">
        <v>157</v>
      </c>
      <c r="C20" s="193">
        <v>2019</v>
      </c>
      <c r="D20" s="195" t="s">
        <v>357</v>
      </c>
      <c r="E20" s="194" t="s">
        <v>355</v>
      </c>
      <c r="F20" s="193" t="s">
        <v>361</v>
      </c>
      <c r="G20" s="196" t="s">
        <v>36</v>
      </c>
      <c r="H20" s="149" t="s">
        <v>127</v>
      </c>
      <c r="I20" s="149" t="s">
        <v>161</v>
      </c>
      <c r="J20" s="149" t="s">
        <v>80</v>
      </c>
      <c r="K20" s="149" t="s">
        <v>63</v>
      </c>
      <c r="L20" s="53">
        <v>1</v>
      </c>
      <c r="N20" s="53">
        <v>1</v>
      </c>
      <c r="O20" s="53">
        <v>0.5</v>
      </c>
      <c r="P20" s="53">
        <v>0.45</v>
      </c>
      <c r="Q20" s="97">
        <f t="shared" si="0"/>
        <v>0.47499999999999998</v>
      </c>
      <c r="R20" s="204">
        <v>15.1</v>
      </c>
      <c r="S20" s="213">
        <v>118</v>
      </c>
      <c r="T20" s="16">
        <f t="shared" si="1"/>
        <v>30</v>
      </c>
      <c r="U20" s="209">
        <v>75</v>
      </c>
      <c r="V20" s="200">
        <f t="shared" si="2"/>
        <v>2250</v>
      </c>
      <c r="W20" s="206">
        <v>8</v>
      </c>
      <c r="X20" s="202" t="s">
        <v>46</v>
      </c>
      <c r="Y20" s="210" t="s">
        <v>40</v>
      </c>
      <c r="Z20" s="210" t="s">
        <v>55</v>
      </c>
      <c r="AA20" s="211" t="s">
        <v>90</v>
      </c>
      <c r="AB20" s="57" t="s">
        <v>160</v>
      </c>
      <c r="AE20" s="35"/>
      <c r="AP20" s="43" t="s">
        <v>113</v>
      </c>
      <c r="AR20" s="41" t="s">
        <v>105</v>
      </c>
      <c r="AV20" s="27" t="s">
        <v>135</v>
      </c>
    </row>
    <row r="21" spans="1:48" x14ac:dyDescent="0.15">
      <c r="A21" s="193" t="s">
        <v>34</v>
      </c>
      <c r="B21" s="193" t="s">
        <v>157</v>
      </c>
      <c r="C21" s="194">
        <v>2019</v>
      </c>
      <c r="D21" s="195" t="s">
        <v>357</v>
      </c>
      <c r="E21" s="194" t="s">
        <v>355</v>
      </c>
      <c r="F21" s="193" t="s">
        <v>361</v>
      </c>
      <c r="G21" s="196" t="s">
        <v>36</v>
      </c>
      <c r="H21" s="149" t="s">
        <v>127</v>
      </c>
      <c r="I21" s="149" t="s">
        <v>161</v>
      </c>
      <c r="J21" s="149" t="s">
        <v>80</v>
      </c>
      <c r="K21" s="149" t="s">
        <v>63</v>
      </c>
      <c r="L21" s="53">
        <v>2</v>
      </c>
      <c r="N21" s="53">
        <v>1</v>
      </c>
      <c r="O21" s="53">
        <v>0.5</v>
      </c>
      <c r="P21" s="53">
        <v>0.55000000000000004</v>
      </c>
      <c r="Q21" s="97">
        <f t="shared" si="0"/>
        <v>0.52500000000000002</v>
      </c>
      <c r="R21" s="213">
        <v>13.9</v>
      </c>
      <c r="S21" s="204">
        <v>101</v>
      </c>
      <c r="T21" s="16">
        <f t="shared" si="1"/>
        <v>33</v>
      </c>
      <c r="U21" s="209">
        <v>75</v>
      </c>
      <c r="V21" s="200">
        <f t="shared" si="2"/>
        <v>2475</v>
      </c>
      <c r="W21" s="206">
        <v>8</v>
      </c>
      <c r="X21" s="202" t="s">
        <v>46</v>
      </c>
      <c r="Y21" s="210" t="s">
        <v>40</v>
      </c>
      <c r="Z21" s="210" t="s">
        <v>55</v>
      </c>
      <c r="AA21" s="211" t="s">
        <v>90</v>
      </c>
      <c r="AB21" s="57" t="s">
        <v>160</v>
      </c>
      <c r="AE21" s="28"/>
      <c r="AP21" s="43" t="s">
        <v>114</v>
      </c>
      <c r="AR21" s="41" t="s">
        <v>68</v>
      </c>
      <c r="AV21" s="27" t="s">
        <v>136</v>
      </c>
    </row>
    <row r="22" spans="1:48" x14ac:dyDescent="0.15">
      <c r="A22" s="193" t="s">
        <v>34</v>
      </c>
      <c r="B22" s="193" t="s">
        <v>157</v>
      </c>
      <c r="C22" s="193">
        <v>2019</v>
      </c>
      <c r="D22" s="195" t="s">
        <v>357</v>
      </c>
      <c r="E22" s="194" t="s">
        <v>355</v>
      </c>
      <c r="F22" s="193" t="s">
        <v>361</v>
      </c>
      <c r="G22" s="196" t="s">
        <v>36</v>
      </c>
      <c r="H22" s="149" t="s">
        <v>127</v>
      </c>
      <c r="I22" s="149" t="s">
        <v>161</v>
      </c>
      <c r="J22" s="149" t="s">
        <v>80</v>
      </c>
      <c r="K22" s="149" t="s">
        <v>63</v>
      </c>
      <c r="L22" s="53">
        <v>3</v>
      </c>
      <c r="N22" s="53">
        <v>1</v>
      </c>
      <c r="O22" s="53">
        <v>0.5</v>
      </c>
      <c r="P22" s="34">
        <v>0.4</v>
      </c>
      <c r="Q22" s="97">
        <f t="shared" si="0"/>
        <v>0.45</v>
      </c>
      <c r="R22" s="204">
        <v>14.5</v>
      </c>
      <c r="S22" s="204">
        <v>101</v>
      </c>
      <c r="T22" s="16">
        <f t="shared" si="1"/>
        <v>33</v>
      </c>
      <c r="U22" s="209">
        <v>75</v>
      </c>
      <c r="V22" s="200">
        <f t="shared" si="2"/>
        <v>2475</v>
      </c>
      <c r="W22" s="206">
        <v>8</v>
      </c>
      <c r="X22" s="202" t="s">
        <v>46</v>
      </c>
      <c r="Y22" s="210" t="s">
        <v>40</v>
      </c>
      <c r="Z22" s="210" t="s">
        <v>55</v>
      </c>
      <c r="AA22" s="211" t="s">
        <v>90</v>
      </c>
      <c r="AB22" s="57" t="s">
        <v>160</v>
      </c>
      <c r="AP22" s="43" t="s">
        <v>115</v>
      </c>
      <c r="AR22" s="41" t="s">
        <v>83</v>
      </c>
      <c r="AV22" s="23"/>
    </row>
    <row r="23" spans="1:48" x14ac:dyDescent="0.15">
      <c r="A23" s="193" t="s">
        <v>34</v>
      </c>
      <c r="B23" s="193" t="s">
        <v>157</v>
      </c>
      <c r="C23" s="194">
        <v>2019</v>
      </c>
      <c r="D23" s="195" t="s">
        <v>357</v>
      </c>
      <c r="E23" s="194" t="s">
        <v>355</v>
      </c>
      <c r="F23" s="193" t="s">
        <v>361</v>
      </c>
      <c r="G23" s="196" t="s">
        <v>36</v>
      </c>
      <c r="H23" s="149" t="s">
        <v>162</v>
      </c>
      <c r="I23" s="149" t="s">
        <v>161</v>
      </c>
      <c r="J23" s="149" t="s">
        <v>38</v>
      </c>
      <c r="K23" s="149" t="s">
        <v>163</v>
      </c>
      <c r="L23" s="53">
        <v>1</v>
      </c>
      <c r="N23" s="53">
        <v>1</v>
      </c>
      <c r="O23" s="53">
        <v>0.5</v>
      </c>
      <c r="P23" s="34">
        <v>0.5</v>
      </c>
      <c r="Q23" s="97">
        <f t="shared" si="0"/>
        <v>0.5</v>
      </c>
      <c r="R23" s="204">
        <v>18.5</v>
      </c>
      <c r="S23" s="204">
        <v>135</v>
      </c>
      <c r="T23" s="16">
        <f t="shared" si="1"/>
        <v>30</v>
      </c>
      <c r="U23" s="209">
        <v>138</v>
      </c>
      <c r="V23" s="200">
        <f t="shared" si="2"/>
        <v>4140</v>
      </c>
      <c r="W23" s="206">
        <v>8</v>
      </c>
      <c r="X23" s="202" t="s">
        <v>46</v>
      </c>
      <c r="Y23" s="210" t="s">
        <v>40</v>
      </c>
      <c r="Z23" s="210" t="s">
        <v>55</v>
      </c>
      <c r="AA23" s="211" t="s">
        <v>90</v>
      </c>
      <c r="AB23" s="57" t="s">
        <v>160</v>
      </c>
      <c r="AP23" s="43" t="s">
        <v>137</v>
      </c>
      <c r="AR23" s="41" t="s">
        <v>61</v>
      </c>
      <c r="AV23" s="23"/>
    </row>
    <row r="24" spans="1:48" x14ac:dyDescent="0.15">
      <c r="A24" s="193" t="s">
        <v>34</v>
      </c>
      <c r="B24" s="193" t="s">
        <v>157</v>
      </c>
      <c r="C24" s="193">
        <v>2019</v>
      </c>
      <c r="D24" s="195" t="s">
        <v>357</v>
      </c>
      <c r="E24" s="194" t="s">
        <v>355</v>
      </c>
      <c r="F24" s="193" t="s">
        <v>361</v>
      </c>
      <c r="G24" s="196" t="s">
        <v>36</v>
      </c>
      <c r="H24" s="149" t="s">
        <v>162</v>
      </c>
      <c r="I24" s="149" t="s">
        <v>161</v>
      </c>
      <c r="J24" s="149" t="s">
        <v>38</v>
      </c>
      <c r="K24" s="149" t="s">
        <v>163</v>
      </c>
      <c r="L24" s="53">
        <v>2</v>
      </c>
      <c r="N24" s="53">
        <v>1</v>
      </c>
      <c r="O24" s="53">
        <v>0.5</v>
      </c>
      <c r="P24" s="34">
        <v>0.45</v>
      </c>
      <c r="Q24" s="97">
        <f t="shared" si="0"/>
        <v>0.47499999999999998</v>
      </c>
      <c r="R24" s="204">
        <v>19.2</v>
      </c>
      <c r="S24" s="204">
        <v>133</v>
      </c>
      <c r="T24" s="16">
        <f t="shared" si="1"/>
        <v>30</v>
      </c>
      <c r="U24" s="209">
        <v>138</v>
      </c>
      <c r="V24" s="200">
        <f t="shared" si="2"/>
        <v>4140</v>
      </c>
      <c r="W24" s="206">
        <v>8</v>
      </c>
      <c r="X24" s="202" t="s">
        <v>46</v>
      </c>
      <c r="Y24" s="210" t="s">
        <v>40</v>
      </c>
      <c r="Z24" s="210" t="s">
        <v>55</v>
      </c>
      <c r="AA24" s="211" t="s">
        <v>90</v>
      </c>
      <c r="AB24" s="57" t="s">
        <v>160</v>
      </c>
      <c r="AP24" s="43" t="s">
        <v>138</v>
      </c>
      <c r="AR24" s="41" t="s">
        <v>91</v>
      </c>
      <c r="AV24" s="23"/>
    </row>
    <row r="25" spans="1:48" x14ac:dyDescent="0.15">
      <c r="A25" s="193" t="s">
        <v>34</v>
      </c>
      <c r="B25" s="193" t="s">
        <v>157</v>
      </c>
      <c r="C25" s="194">
        <v>2019</v>
      </c>
      <c r="D25" s="195" t="s">
        <v>357</v>
      </c>
      <c r="E25" s="194" t="s">
        <v>355</v>
      </c>
      <c r="F25" s="193" t="s">
        <v>361</v>
      </c>
      <c r="G25" s="196" t="s">
        <v>36</v>
      </c>
      <c r="H25" s="149" t="s">
        <v>162</v>
      </c>
      <c r="I25" s="149" t="s">
        <v>161</v>
      </c>
      <c r="J25" s="149" t="s">
        <v>38</v>
      </c>
      <c r="K25" s="149" t="s">
        <v>163</v>
      </c>
      <c r="L25" s="53">
        <v>3</v>
      </c>
      <c r="N25" s="53">
        <v>1</v>
      </c>
      <c r="O25" s="53">
        <v>0.45</v>
      </c>
      <c r="P25" s="34">
        <v>0.45</v>
      </c>
      <c r="Q25" s="97">
        <f t="shared" si="0"/>
        <v>0.45</v>
      </c>
      <c r="R25" s="204">
        <v>16.399999999999999</v>
      </c>
      <c r="S25" s="204">
        <v>133</v>
      </c>
      <c r="T25" s="16">
        <f t="shared" si="1"/>
        <v>30</v>
      </c>
      <c r="U25" s="209">
        <v>138</v>
      </c>
      <c r="V25" s="200">
        <f t="shared" si="2"/>
        <v>4140</v>
      </c>
      <c r="W25" s="206">
        <v>8</v>
      </c>
      <c r="X25" s="202" t="s">
        <v>46</v>
      </c>
      <c r="Y25" s="210" t="s">
        <v>40</v>
      </c>
      <c r="Z25" s="210" t="s">
        <v>55</v>
      </c>
      <c r="AA25" s="211" t="s">
        <v>90</v>
      </c>
      <c r="AB25" s="57" t="s">
        <v>160</v>
      </c>
      <c r="AP25" s="43" t="s">
        <v>116</v>
      </c>
      <c r="AR25" s="42" t="s">
        <v>92</v>
      </c>
      <c r="AV25" s="23"/>
    </row>
    <row r="26" spans="1:48" x14ac:dyDescent="0.15">
      <c r="A26" s="193" t="s">
        <v>34</v>
      </c>
      <c r="B26" s="193" t="s">
        <v>157</v>
      </c>
      <c r="C26" s="193">
        <v>2019</v>
      </c>
      <c r="D26" s="195" t="s">
        <v>357</v>
      </c>
      <c r="E26" s="194" t="s">
        <v>212</v>
      </c>
      <c r="F26" s="193" t="s">
        <v>362</v>
      </c>
      <c r="G26" s="196" t="s">
        <v>42</v>
      </c>
      <c r="H26" s="149" t="s">
        <v>162</v>
      </c>
      <c r="I26" s="149" t="s">
        <v>161</v>
      </c>
      <c r="J26" s="149" t="s">
        <v>38</v>
      </c>
      <c r="K26" s="149" t="s">
        <v>163</v>
      </c>
      <c r="L26" s="53">
        <v>1</v>
      </c>
      <c r="N26" s="53">
        <v>4</v>
      </c>
      <c r="O26" s="53">
        <v>0.55000000000000004</v>
      </c>
      <c r="P26" s="36">
        <v>0.6</v>
      </c>
      <c r="Q26" s="97">
        <f t="shared" si="0"/>
        <v>0.57499999999999996</v>
      </c>
      <c r="R26" s="204">
        <v>15.7</v>
      </c>
      <c r="S26" s="204">
        <v>107</v>
      </c>
      <c r="T26" s="16">
        <f t="shared" si="1"/>
        <v>33</v>
      </c>
      <c r="U26" s="209">
        <v>397</v>
      </c>
      <c r="V26" s="200">
        <f t="shared" si="2"/>
        <v>3275.25</v>
      </c>
      <c r="W26" s="206">
        <v>8</v>
      </c>
      <c r="X26" s="202" t="s">
        <v>46</v>
      </c>
      <c r="Y26" s="211" t="s">
        <v>40</v>
      </c>
      <c r="Z26" s="210" t="s">
        <v>55</v>
      </c>
      <c r="AA26" s="210" t="s">
        <v>47</v>
      </c>
      <c r="AB26" s="57" t="s">
        <v>160</v>
      </c>
      <c r="AP26" s="43" t="s">
        <v>117</v>
      </c>
      <c r="AR26" s="23" t="s">
        <v>153</v>
      </c>
      <c r="AV26" s="27"/>
    </row>
    <row r="27" spans="1:48" x14ac:dyDescent="0.15">
      <c r="A27" s="193" t="s">
        <v>34</v>
      </c>
      <c r="B27" s="193" t="s">
        <v>157</v>
      </c>
      <c r="C27" s="194">
        <v>2019</v>
      </c>
      <c r="D27" s="195" t="s">
        <v>357</v>
      </c>
      <c r="E27" s="194" t="s">
        <v>212</v>
      </c>
      <c r="F27" s="193" t="s">
        <v>362</v>
      </c>
      <c r="G27" s="196" t="s">
        <v>42</v>
      </c>
      <c r="H27" s="149" t="s">
        <v>162</v>
      </c>
      <c r="I27" s="149" t="s">
        <v>161</v>
      </c>
      <c r="J27" s="149" t="s">
        <v>38</v>
      </c>
      <c r="K27" s="149" t="s">
        <v>163</v>
      </c>
      <c r="L27" s="53">
        <v>2</v>
      </c>
      <c r="N27" s="53">
        <v>4</v>
      </c>
      <c r="O27" s="34">
        <v>0.55000000000000004</v>
      </c>
      <c r="P27" s="36">
        <v>0.55000000000000004</v>
      </c>
      <c r="Q27" s="97">
        <f t="shared" si="0"/>
        <v>0.55000000000000004</v>
      </c>
      <c r="R27" s="204">
        <v>15.5</v>
      </c>
      <c r="S27" s="204">
        <v>92</v>
      </c>
      <c r="T27" s="16">
        <f t="shared" si="1"/>
        <v>36</v>
      </c>
      <c r="U27" s="209">
        <v>397</v>
      </c>
      <c r="V27" s="200">
        <f t="shared" si="2"/>
        <v>3573</v>
      </c>
      <c r="W27" s="206">
        <v>8</v>
      </c>
      <c r="X27" s="202" t="s">
        <v>46</v>
      </c>
      <c r="Y27" s="211" t="s">
        <v>40</v>
      </c>
      <c r="Z27" s="210" t="s">
        <v>55</v>
      </c>
      <c r="AA27" s="210" t="s">
        <v>47</v>
      </c>
      <c r="AB27" s="57" t="s">
        <v>160</v>
      </c>
      <c r="AP27" s="43" t="s">
        <v>118</v>
      </c>
      <c r="AR27" s="23"/>
    </row>
    <row r="28" spans="1:48" x14ac:dyDescent="0.15">
      <c r="A28" s="193" t="s">
        <v>34</v>
      </c>
      <c r="B28" s="193" t="s">
        <v>157</v>
      </c>
      <c r="C28" s="193">
        <v>2019</v>
      </c>
      <c r="D28" s="195" t="s">
        <v>357</v>
      </c>
      <c r="E28" s="194" t="s">
        <v>212</v>
      </c>
      <c r="F28" s="193" t="s">
        <v>362</v>
      </c>
      <c r="G28" s="196" t="s">
        <v>42</v>
      </c>
      <c r="H28" s="149" t="s">
        <v>162</v>
      </c>
      <c r="I28" s="149" t="s">
        <v>161</v>
      </c>
      <c r="J28" s="149" t="s">
        <v>38</v>
      </c>
      <c r="K28" s="149" t="s">
        <v>163</v>
      </c>
      <c r="L28" s="53">
        <v>3</v>
      </c>
      <c r="N28" s="53">
        <v>4</v>
      </c>
      <c r="O28" s="34">
        <v>0.6</v>
      </c>
      <c r="P28" s="53">
        <v>0.5</v>
      </c>
      <c r="Q28" s="97">
        <f t="shared" si="0"/>
        <v>0.55000000000000004</v>
      </c>
      <c r="R28" s="204">
        <v>16.100000000000001</v>
      </c>
      <c r="S28" s="204">
        <v>114</v>
      </c>
      <c r="T28" s="16">
        <f t="shared" si="1"/>
        <v>30</v>
      </c>
      <c r="U28" s="209">
        <v>397</v>
      </c>
      <c r="V28" s="200">
        <f t="shared" si="2"/>
        <v>2977.5</v>
      </c>
      <c r="W28" s="206">
        <v>8</v>
      </c>
      <c r="X28" s="202" t="s">
        <v>46</v>
      </c>
      <c r="Y28" s="211" t="s">
        <v>40</v>
      </c>
      <c r="Z28" s="210" t="s">
        <v>55</v>
      </c>
      <c r="AA28" s="210" t="s">
        <v>47</v>
      </c>
      <c r="AB28" s="57" t="s">
        <v>160</v>
      </c>
      <c r="AR28" s="23"/>
    </row>
    <row r="29" spans="1:48" x14ac:dyDescent="0.15">
      <c r="A29" s="193" t="s">
        <v>34</v>
      </c>
      <c r="B29" s="193" t="s">
        <v>157</v>
      </c>
      <c r="C29" s="193">
        <v>2019</v>
      </c>
      <c r="D29" s="195" t="s">
        <v>357</v>
      </c>
      <c r="E29" s="194" t="s">
        <v>363</v>
      </c>
      <c r="F29" s="193" t="s">
        <v>362</v>
      </c>
      <c r="G29" s="196" t="s">
        <v>42</v>
      </c>
      <c r="H29" s="149" t="s">
        <v>162</v>
      </c>
      <c r="I29" s="149" t="s">
        <v>161</v>
      </c>
      <c r="J29" s="149" t="s">
        <v>38</v>
      </c>
      <c r="K29" s="149" t="s">
        <v>163</v>
      </c>
      <c r="L29" s="53">
        <v>1</v>
      </c>
      <c r="N29" s="53">
        <v>1</v>
      </c>
      <c r="O29" s="53">
        <v>0.9</v>
      </c>
      <c r="P29" s="53">
        <v>0.95</v>
      </c>
      <c r="Q29" s="97">
        <f t="shared" si="0"/>
        <v>0.92500000000000004</v>
      </c>
      <c r="R29" s="204">
        <v>16.3</v>
      </c>
      <c r="S29" s="204">
        <v>127</v>
      </c>
      <c r="T29" s="16">
        <f t="shared" si="1"/>
        <v>30</v>
      </c>
      <c r="U29" s="209">
        <v>109</v>
      </c>
      <c r="V29" s="200">
        <f t="shared" si="2"/>
        <v>3270</v>
      </c>
      <c r="W29" s="206">
        <v>2</v>
      </c>
      <c r="X29" s="202" t="s">
        <v>46</v>
      </c>
      <c r="Y29" s="211" t="s">
        <v>47</v>
      </c>
      <c r="Z29" s="210" t="s">
        <v>69</v>
      </c>
      <c r="AA29" s="210" t="s">
        <v>40</v>
      </c>
      <c r="AB29" s="57" t="s">
        <v>160</v>
      </c>
      <c r="AR29" s="28"/>
    </row>
    <row r="30" spans="1:48" x14ac:dyDescent="0.15">
      <c r="A30" s="193" t="s">
        <v>34</v>
      </c>
      <c r="B30" s="193" t="s">
        <v>157</v>
      </c>
      <c r="C30" s="194">
        <v>2019</v>
      </c>
      <c r="D30" s="195" t="s">
        <v>357</v>
      </c>
      <c r="E30" s="194" t="s">
        <v>363</v>
      </c>
      <c r="F30" s="193" t="s">
        <v>362</v>
      </c>
      <c r="G30" s="196" t="s">
        <v>42</v>
      </c>
      <c r="H30" s="149" t="s">
        <v>162</v>
      </c>
      <c r="I30" s="149" t="s">
        <v>161</v>
      </c>
      <c r="J30" s="149" t="s">
        <v>38</v>
      </c>
      <c r="K30" s="149" t="s">
        <v>163</v>
      </c>
      <c r="L30" s="53">
        <v>2</v>
      </c>
      <c r="N30" s="53">
        <v>1</v>
      </c>
      <c r="O30" s="53">
        <v>0.8</v>
      </c>
      <c r="P30" s="53">
        <v>0.7</v>
      </c>
      <c r="Q30" s="97">
        <f t="shared" si="0"/>
        <v>0.75</v>
      </c>
      <c r="R30" s="204">
        <v>17</v>
      </c>
      <c r="S30" s="204">
        <v>133</v>
      </c>
      <c r="T30" s="16">
        <f t="shared" si="1"/>
        <v>30</v>
      </c>
      <c r="U30" s="209">
        <v>109</v>
      </c>
      <c r="V30" s="200">
        <f t="shared" si="2"/>
        <v>3270</v>
      </c>
      <c r="W30" s="206">
        <v>2</v>
      </c>
      <c r="X30" s="202" t="s">
        <v>46</v>
      </c>
      <c r="Y30" s="211" t="s">
        <v>47</v>
      </c>
      <c r="Z30" s="210" t="s">
        <v>69</v>
      </c>
      <c r="AA30" s="210" t="s">
        <v>40</v>
      </c>
      <c r="AB30" s="57" t="s">
        <v>160</v>
      </c>
    </row>
    <row r="31" spans="1:48" x14ac:dyDescent="0.15">
      <c r="A31" s="193" t="s">
        <v>34</v>
      </c>
      <c r="B31" s="193" t="s">
        <v>157</v>
      </c>
      <c r="C31" s="193">
        <v>2019</v>
      </c>
      <c r="D31" s="195" t="s">
        <v>357</v>
      </c>
      <c r="E31" s="194" t="s">
        <v>363</v>
      </c>
      <c r="F31" s="193" t="s">
        <v>362</v>
      </c>
      <c r="G31" s="196" t="s">
        <v>42</v>
      </c>
      <c r="H31" s="149" t="s">
        <v>162</v>
      </c>
      <c r="I31" s="149" t="s">
        <v>161</v>
      </c>
      <c r="J31" s="149" t="s">
        <v>38</v>
      </c>
      <c r="K31" s="149" t="s">
        <v>163</v>
      </c>
      <c r="L31" s="53">
        <v>3</v>
      </c>
      <c r="N31" s="53">
        <v>1</v>
      </c>
      <c r="O31" s="53">
        <v>0.85</v>
      </c>
      <c r="P31" s="53">
        <v>0.75</v>
      </c>
      <c r="Q31" s="97">
        <f t="shared" si="0"/>
        <v>0.8</v>
      </c>
      <c r="R31" s="204">
        <v>16.5</v>
      </c>
      <c r="S31" s="204">
        <v>136</v>
      </c>
      <c r="T31" s="16">
        <f t="shared" si="1"/>
        <v>30</v>
      </c>
      <c r="U31" s="209">
        <v>109</v>
      </c>
      <c r="V31" s="200">
        <f t="shared" si="2"/>
        <v>3270</v>
      </c>
      <c r="W31" s="206">
        <v>2</v>
      </c>
      <c r="X31" s="202" t="s">
        <v>46</v>
      </c>
      <c r="Y31" s="211" t="s">
        <v>47</v>
      </c>
      <c r="Z31" s="210" t="s">
        <v>69</v>
      </c>
      <c r="AA31" s="210" t="s">
        <v>40</v>
      </c>
      <c r="AB31" s="57" t="s">
        <v>160</v>
      </c>
    </row>
    <row r="32" spans="1:48" ht="14.25" customHeight="1" x14ac:dyDescent="0.15">
      <c r="A32" s="193" t="s">
        <v>34</v>
      </c>
      <c r="B32" s="193" t="s">
        <v>157</v>
      </c>
      <c r="C32" s="194">
        <v>2019</v>
      </c>
      <c r="D32" s="195" t="s">
        <v>357</v>
      </c>
      <c r="E32" s="194" t="s">
        <v>212</v>
      </c>
      <c r="F32" s="193" t="s">
        <v>364</v>
      </c>
      <c r="G32" s="196" t="s">
        <v>42</v>
      </c>
      <c r="H32" s="149" t="s">
        <v>162</v>
      </c>
      <c r="I32" s="149" t="s">
        <v>161</v>
      </c>
      <c r="J32" s="149" t="s">
        <v>38</v>
      </c>
      <c r="K32" s="149" t="s">
        <v>163</v>
      </c>
      <c r="L32" s="53">
        <v>1</v>
      </c>
      <c r="N32" s="53">
        <v>4</v>
      </c>
      <c r="O32" s="53">
        <v>0.55000000000000004</v>
      </c>
      <c r="P32" s="53">
        <v>0.5</v>
      </c>
      <c r="Q32" s="97">
        <f t="shared" si="0"/>
        <v>0.52500000000000002</v>
      </c>
      <c r="R32" s="204">
        <v>15.8</v>
      </c>
      <c r="S32" s="204">
        <v>106</v>
      </c>
      <c r="T32" s="16">
        <f t="shared" si="1"/>
        <v>33</v>
      </c>
      <c r="U32" s="209">
        <v>397</v>
      </c>
      <c r="V32" s="200">
        <f t="shared" si="2"/>
        <v>3275.25</v>
      </c>
      <c r="W32" s="206">
        <v>8</v>
      </c>
      <c r="X32" s="202" t="s">
        <v>46</v>
      </c>
      <c r="Y32" s="211" t="s">
        <v>40</v>
      </c>
      <c r="Z32" s="210" t="s">
        <v>69</v>
      </c>
      <c r="AA32" s="210" t="s">
        <v>47</v>
      </c>
      <c r="AB32" s="57" t="s">
        <v>160</v>
      </c>
    </row>
    <row r="33" spans="1:39" x14ac:dyDescent="0.15">
      <c r="A33" s="193" t="s">
        <v>34</v>
      </c>
      <c r="B33" s="193" t="s">
        <v>157</v>
      </c>
      <c r="C33" s="193">
        <v>2019</v>
      </c>
      <c r="D33" s="195" t="s">
        <v>357</v>
      </c>
      <c r="E33" s="194" t="s">
        <v>212</v>
      </c>
      <c r="F33" s="193" t="s">
        <v>364</v>
      </c>
      <c r="G33" s="196" t="s">
        <v>42</v>
      </c>
      <c r="H33" s="149" t="s">
        <v>162</v>
      </c>
      <c r="I33" s="149" t="s">
        <v>161</v>
      </c>
      <c r="J33" s="149" t="s">
        <v>38</v>
      </c>
      <c r="K33" s="149" t="s">
        <v>163</v>
      </c>
      <c r="L33" s="53">
        <v>2</v>
      </c>
      <c r="N33" s="53">
        <v>4</v>
      </c>
      <c r="O33" s="53">
        <v>0.5</v>
      </c>
      <c r="P33" s="53">
        <v>0.55000000000000004</v>
      </c>
      <c r="Q33" s="97">
        <f t="shared" si="0"/>
        <v>0.52500000000000002</v>
      </c>
      <c r="R33" s="204">
        <v>15.5</v>
      </c>
      <c r="S33" s="204">
        <v>105</v>
      </c>
      <c r="T33" s="16">
        <f t="shared" si="1"/>
        <v>33</v>
      </c>
      <c r="U33" s="209">
        <v>397</v>
      </c>
      <c r="V33" s="200">
        <f t="shared" si="2"/>
        <v>3275.25</v>
      </c>
      <c r="W33" s="206">
        <v>8</v>
      </c>
      <c r="X33" s="202" t="s">
        <v>46</v>
      </c>
      <c r="Y33" s="211" t="s">
        <v>40</v>
      </c>
      <c r="Z33" s="210" t="s">
        <v>69</v>
      </c>
      <c r="AA33" s="210" t="s">
        <v>47</v>
      </c>
      <c r="AB33" s="57" t="s">
        <v>160</v>
      </c>
    </row>
    <row r="34" spans="1:39" x14ac:dyDescent="0.15">
      <c r="A34" s="193" t="s">
        <v>34</v>
      </c>
      <c r="B34" s="193" t="s">
        <v>157</v>
      </c>
      <c r="C34" s="194">
        <v>2019</v>
      </c>
      <c r="D34" s="195" t="s">
        <v>357</v>
      </c>
      <c r="E34" s="194" t="s">
        <v>212</v>
      </c>
      <c r="F34" s="193" t="s">
        <v>364</v>
      </c>
      <c r="G34" s="196" t="s">
        <v>42</v>
      </c>
      <c r="H34" s="149" t="s">
        <v>162</v>
      </c>
      <c r="I34" s="149" t="s">
        <v>161</v>
      </c>
      <c r="J34" s="149" t="s">
        <v>38</v>
      </c>
      <c r="K34" s="149" t="s">
        <v>163</v>
      </c>
      <c r="L34" s="53">
        <v>3</v>
      </c>
      <c r="N34" s="53">
        <v>4</v>
      </c>
      <c r="O34" s="53">
        <v>0.55000000000000004</v>
      </c>
      <c r="P34" s="34">
        <v>0.5</v>
      </c>
      <c r="Q34" s="97">
        <f t="shared" si="0"/>
        <v>0.52500000000000002</v>
      </c>
      <c r="R34" s="204">
        <v>15.8</v>
      </c>
      <c r="S34" s="204">
        <v>98</v>
      </c>
      <c r="T34" s="16">
        <f t="shared" si="1"/>
        <v>36</v>
      </c>
      <c r="U34" s="209">
        <v>397</v>
      </c>
      <c r="V34" s="200">
        <f t="shared" si="2"/>
        <v>3573</v>
      </c>
      <c r="W34" s="206">
        <v>8</v>
      </c>
      <c r="X34" s="202" t="s">
        <v>46</v>
      </c>
      <c r="Y34" s="211" t="s">
        <v>40</v>
      </c>
      <c r="Z34" s="210" t="s">
        <v>69</v>
      </c>
      <c r="AA34" s="210" t="s">
        <v>47</v>
      </c>
      <c r="AB34" s="57" t="s">
        <v>160</v>
      </c>
    </row>
    <row r="35" spans="1:39" x14ac:dyDescent="0.15">
      <c r="A35" s="193" t="s">
        <v>34</v>
      </c>
      <c r="B35" s="193" t="s">
        <v>157</v>
      </c>
      <c r="C35" s="193">
        <v>2019</v>
      </c>
      <c r="D35" s="195" t="s">
        <v>357</v>
      </c>
      <c r="E35" s="194" t="s">
        <v>139</v>
      </c>
      <c r="F35" s="193" t="s">
        <v>364</v>
      </c>
      <c r="G35" s="196" t="s">
        <v>36</v>
      </c>
      <c r="H35" s="149" t="s">
        <v>127</v>
      </c>
      <c r="I35" s="149" t="s">
        <v>161</v>
      </c>
      <c r="J35" s="149" t="s">
        <v>80</v>
      </c>
      <c r="K35" s="149" t="s">
        <v>59</v>
      </c>
      <c r="L35" s="53">
        <v>1</v>
      </c>
      <c r="N35" s="53">
        <v>1</v>
      </c>
      <c r="O35" s="53">
        <v>0.5</v>
      </c>
      <c r="P35" s="53">
        <v>0.45</v>
      </c>
      <c r="Q35" s="97">
        <f t="shared" si="0"/>
        <v>0.47499999999999998</v>
      </c>
      <c r="R35" s="204">
        <v>12.6</v>
      </c>
      <c r="S35" s="204">
        <v>118</v>
      </c>
      <c r="T35" s="16">
        <f t="shared" si="1"/>
        <v>30</v>
      </c>
      <c r="U35" s="209">
        <v>84</v>
      </c>
      <c r="V35" s="200">
        <f t="shared" si="2"/>
        <v>2520</v>
      </c>
      <c r="W35" s="206">
        <v>10</v>
      </c>
      <c r="X35" s="202" t="s">
        <v>46</v>
      </c>
      <c r="Y35" s="210" t="s">
        <v>55</v>
      </c>
      <c r="Z35" s="210" t="s">
        <v>40</v>
      </c>
      <c r="AA35" s="210" t="s">
        <v>86</v>
      </c>
      <c r="AB35" s="57" t="s">
        <v>160</v>
      </c>
    </row>
    <row r="36" spans="1:39" x14ac:dyDescent="0.15">
      <c r="A36" s="193" t="s">
        <v>34</v>
      </c>
      <c r="B36" s="193" t="s">
        <v>157</v>
      </c>
      <c r="C36" s="194">
        <v>2019</v>
      </c>
      <c r="D36" s="195" t="s">
        <v>357</v>
      </c>
      <c r="E36" s="194" t="s">
        <v>139</v>
      </c>
      <c r="F36" s="193" t="s">
        <v>364</v>
      </c>
      <c r="G36" s="196" t="s">
        <v>36</v>
      </c>
      <c r="H36" s="149" t="s">
        <v>127</v>
      </c>
      <c r="I36" s="149" t="s">
        <v>161</v>
      </c>
      <c r="J36" s="149" t="s">
        <v>80</v>
      </c>
      <c r="K36" s="149" t="s">
        <v>59</v>
      </c>
      <c r="L36" s="53">
        <v>2</v>
      </c>
      <c r="N36" s="53">
        <v>1</v>
      </c>
      <c r="O36" s="53">
        <v>0.45</v>
      </c>
      <c r="P36" s="53">
        <v>0.5</v>
      </c>
      <c r="Q36" s="97">
        <f t="shared" si="0"/>
        <v>0.47499999999999998</v>
      </c>
      <c r="R36" s="204">
        <v>12.1</v>
      </c>
      <c r="S36" s="204">
        <v>97</v>
      </c>
      <c r="T36" s="16">
        <f t="shared" si="1"/>
        <v>36</v>
      </c>
      <c r="U36" s="209">
        <v>84</v>
      </c>
      <c r="V36" s="200">
        <f t="shared" si="2"/>
        <v>3024</v>
      </c>
      <c r="W36" s="206">
        <v>10</v>
      </c>
      <c r="X36" s="202" t="s">
        <v>46</v>
      </c>
      <c r="Y36" s="210" t="s">
        <v>55</v>
      </c>
      <c r="Z36" s="210" t="s">
        <v>40</v>
      </c>
      <c r="AA36" s="210" t="s">
        <v>86</v>
      </c>
      <c r="AB36" s="57" t="s">
        <v>160</v>
      </c>
    </row>
    <row r="37" spans="1:39" x14ac:dyDescent="0.15">
      <c r="A37" s="193" t="s">
        <v>34</v>
      </c>
      <c r="B37" s="193" t="s">
        <v>157</v>
      </c>
      <c r="C37" s="193">
        <v>2019</v>
      </c>
      <c r="D37" s="195" t="s">
        <v>357</v>
      </c>
      <c r="E37" s="194" t="s">
        <v>139</v>
      </c>
      <c r="F37" s="193" t="s">
        <v>364</v>
      </c>
      <c r="G37" s="196" t="s">
        <v>36</v>
      </c>
      <c r="H37" s="149" t="s">
        <v>127</v>
      </c>
      <c r="I37" s="149" t="s">
        <v>161</v>
      </c>
      <c r="J37" s="149" t="s">
        <v>80</v>
      </c>
      <c r="K37" s="149" t="s">
        <v>59</v>
      </c>
      <c r="L37" s="53">
        <v>3</v>
      </c>
      <c r="N37" s="53">
        <v>1</v>
      </c>
      <c r="O37" s="53">
        <v>0.45</v>
      </c>
      <c r="P37" s="53">
        <v>0.4</v>
      </c>
      <c r="Q37" s="97">
        <f t="shared" si="0"/>
        <v>0.42500000000000004</v>
      </c>
      <c r="R37" s="204">
        <v>12.3</v>
      </c>
      <c r="S37" s="204">
        <v>93</v>
      </c>
      <c r="T37" s="16">
        <f t="shared" si="1"/>
        <v>36</v>
      </c>
      <c r="U37" s="209">
        <v>84</v>
      </c>
      <c r="V37" s="200">
        <f t="shared" si="2"/>
        <v>3024</v>
      </c>
      <c r="W37" s="206">
        <v>10</v>
      </c>
      <c r="X37" s="202" t="s">
        <v>46</v>
      </c>
      <c r="Y37" s="210" t="s">
        <v>55</v>
      </c>
      <c r="Z37" s="210" t="s">
        <v>40</v>
      </c>
      <c r="AA37" s="210" t="s">
        <v>86</v>
      </c>
      <c r="AB37" s="57" t="s">
        <v>160</v>
      </c>
    </row>
    <row r="38" spans="1:39" x14ac:dyDescent="0.15">
      <c r="A38" s="193" t="s">
        <v>34</v>
      </c>
      <c r="B38" s="193" t="s">
        <v>157</v>
      </c>
      <c r="C38" s="194">
        <v>2019</v>
      </c>
      <c r="D38" s="195" t="s">
        <v>357</v>
      </c>
      <c r="E38" s="194" t="s">
        <v>139</v>
      </c>
      <c r="F38" s="193" t="s">
        <v>364</v>
      </c>
      <c r="G38" s="196" t="s">
        <v>36</v>
      </c>
      <c r="H38" s="149" t="s">
        <v>162</v>
      </c>
      <c r="I38" s="149" t="s">
        <v>161</v>
      </c>
      <c r="J38" s="149" t="s">
        <v>38</v>
      </c>
      <c r="K38" s="149" t="s">
        <v>163</v>
      </c>
      <c r="L38" s="53">
        <v>1</v>
      </c>
      <c r="N38" s="53">
        <v>1</v>
      </c>
      <c r="O38" s="53">
        <v>0.55000000000000004</v>
      </c>
      <c r="P38" s="53">
        <v>0.6</v>
      </c>
      <c r="Q38" s="97">
        <f t="shared" si="0"/>
        <v>0.57499999999999996</v>
      </c>
      <c r="R38" s="204">
        <v>15.7</v>
      </c>
      <c r="S38" s="204">
        <v>147</v>
      </c>
      <c r="T38" s="16">
        <f t="shared" si="1"/>
        <v>30</v>
      </c>
      <c r="U38" s="209">
        <v>160</v>
      </c>
      <c r="V38" s="200">
        <f t="shared" si="2"/>
        <v>4800</v>
      </c>
      <c r="W38" s="206">
        <v>10</v>
      </c>
      <c r="X38" s="202" t="s">
        <v>46</v>
      </c>
      <c r="Y38" s="210" t="s">
        <v>55</v>
      </c>
      <c r="Z38" s="210" t="s">
        <v>40</v>
      </c>
      <c r="AA38" s="210" t="s">
        <v>86</v>
      </c>
      <c r="AB38" s="57" t="s">
        <v>160</v>
      </c>
    </row>
    <row r="39" spans="1:39" x14ac:dyDescent="0.15">
      <c r="A39" s="193" t="s">
        <v>34</v>
      </c>
      <c r="B39" s="193" t="s">
        <v>157</v>
      </c>
      <c r="C39" s="193">
        <v>2019</v>
      </c>
      <c r="D39" s="195" t="s">
        <v>357</v>
      </c>
      <c r="E39" s="194" t="s">
        <v>139</v>
      </c>
      <c r="F39" s="193" t="s">
        <v>364</v>
      </c>
      <c r="G39" s="196" t="s">
        <v>36</v>
      </c>
      <c r="H39" s="149" t="s">
        <v>162</v>
      </c>
      <c r="I39" s="149" t="s">
        <v>161</v>
      </c>
      <c r="J39" s="149" t="s">
        <v>38</v>
      </c>
      <c r="K39" s="149" t="s">
        <v>163</v>
      </c>
      <c r="L39" s="53">
        <v>2</v>
      </c>
      <c r="N39" s="53">
        <v>1</v>
      </c>
      <c r="O39" s="53">
        <v>0.6</v>
      </c>
      <c r="P39" s="53">
        <v>0.6</v>
      </c>
      <c r="Q39" s="97">
        <f t="shared" si="0"/>
        <v>0.6</v>
      </c>
      <c r="R39" s="204">
        <v>16.100000000000001</v>
      </c>
      <c r="S39" s="204">
        <v>138</v>
      </c>
      <c r="T39" s="16">
        <f t="shared" si="1"/>
        <v>30</v>
      </c>
      <c r="U39" s="209">
        <v>160</v>
      </c>
      <c r="V39" s="200">
        <f t="shared" si="2"/>
        <v>4800</v>
      </c>
      <c r="W39" s="206">
        <v>10</v>
      </c>
      <c r="X39" s="202" t="s">
        <v>46</v>
      </c>
      <c r="Y39" s="210" t="s">
        <v>55</v>
      </c>
      <c r="Z39" s="210" t="s">
        <v>40</v>
      </c>
      <c r="AA39" s="210" t="s">
        <v>86</v>
      </c>
      <c r="AB39" s="57" t="s">
        <v>160</v>
      </c>
    </row>
    <row r="40" spans="1:39" ht="12.75" customHeight="1" x14ac:dyDescent="0.15">
      <c r="A40" s="193" t="s">
        <v>34</v>
      </c>
      <c r="B40" s="193" t="s">
        <v>157</v>
      </c>
      <c r="C40" s="194">
        <v>2019</v>
      </c>
      <c r="D40" s="195" t="s">
        <v>357</v>
      </c>
      <c r="E40" s="194" t="s">
        <v>139</v>
      </c>
      <c r="F40" s="193" t="s">
        <v>364</v>
      </c>
      <c r="G40" s="196" t="s">
        <v>36</v>
      </c>
      <c r="H40" s="149" t="s">
        <v>162</v>
      </c>
      <c r="I40" s="149" t="s">
        <v>161</v>
      </c>
      <c r="J40" s="149" t="s">
        <v>38</v>
      </c>
      <c r="K40" s="149" t="s">
        <v>163</v>
      </c>
      <c r="L40" s="53">
        <v>3</v>
      </c>
      <c r="N40" s="53">
        <v>1</v>
      </c>
      <c r="O40" s="53">
        <v>0.6</v>
      </c>
      <c r="P40" s="53">
        <v>0.55000000000000004</v>
      </c>
      <c r="Q40" s="97">
        <f t="shared" si="0"/>
        <v>0.57499999999999996</v>
      </c>
      <c r="R40" s="204">
        <v>15.9</v>
      </c>
      <c r="S40" s="204">
        <v>148</v>
      </c>
      <c r="T40" s="16">
        <f t="shared" si="1"/>
        <v>30</v>
      </c>
      <c r="U40" s="209">
        <v>160</v>
      </c>
      <c r="V40" s="200">
        <f t="shared" si="2"/>
        <v>4800</v>
      </c>
      <c r="W40" s="206">
        <v>10</v>
      </c>
      <c r="X40" s="202" t="s">
        <v>46</v>
      </c>
      <c r="Y40" s="210" t="s">
        <v>55</v>
      </c>
      <c r="Z40" s="210" t="s">
        <v>40</v>
      </c>
      <c r="AA40" s="210" t="s">
        <v>86</v>
      </c>
      <c r="AB40" s="57" t="s">
        <v>160</v>
      </c>
    </row>
    <row r="41" spans="1:39" ht="12.75" customHeight="1" x14ac:dyDescent="0.15">
      <c r="A41" s="149" t="s">
        <v>34</v>
      </c>
      <c r="B41" s="193" t="s">
        <v>157</v>
      </c>
      <c r="C41" s="194">
        <v>2019</v>
      </c>
      <c r="D41" s="195" t="s">
        <v>357</v>
      </c>
      <c r="E41" s="194" t="s">
        <v>133</v>
      </c>
      <c r="F41" s="193" t="s">
        <v>365</v>
      </c>
      <c r="G41" s="196" t="s">
        <v>36</v>
      </c>
      <c r="H41" s="149" t="s">
        <v>127</v>
      </c>
      <c r="I41" s="149" t="s">
        <v>161</v>
      </c>
      <c r="J41" s="149" t="s">
        <v>80</v>
      </c>
      <c r="K41" s="149" t="s">
        <v>63</v>
      </c>
      <c r="L41" s="53">
        <v>1</v>
      </c>
      <c r="N41" s="53">
        <v>1</v>
      </c>
      <c r="O41" s="53">
        <v>0.75</v>
      </c>
      <c r="P41" s="53">
        <v>0.65</v>
      </c>
      <c r="Q41" s="97">
        <f t="shared" si="0"/>
        <v>0.7</v>
      </c>
      <c r="R41" s="204">
        <v>13.4</v>
      </c>
      <c r="S41" s="204">
        <v>114</v>
      </c>
      <c r="T41" s="16">
        <f t="shared" si="1"/>
        <v>30</v>
      </c>
      <c r="U41" s="209">
        <v>98</v>
      </c>
      <c r="V41" s="200">
        <f t="shared" si="2"/>
        <v>2940</v>
      </c>
      <c r="W41" s="151">
        <v>18</v>
      </c>
      <c r="X41" s="202" t="s">
        <v>46</v>
      </c>
      <c r="Y41" s="214" t="s">
        <v>107</v>
      </c>
      <c r="Z41" s="214" t="s">
        <v>47</v>
      </c>
      <c r="AA41" s="214" t="s">
        <v>90</v>
      </c>
      <c r="AB41" s="57" t="s">
        <v>160</v>
      </c>
    </row>
    <row r="42" spans="1:39" ht="12.75" customHeight="1" x14ac:dyDescent="0.15">
      <c r="A42" s="149" t="s">
        <v>34</v>
      </c>
      <c r="B42" s="193" t="s">
        <v>157</v>
      </c>
      <c r="C42" s="194">
        <v>2019</v>
      </c>
      <c r="D42" s="195" t="s">
        <v>357</v>
      </c>
      <c r="E42" s="194" t="s">
        <v>133</v>
      </c>
      <c r="F42" s="193" t="s">
        <v>365</v>
      </c>
      <c r="G42" s="196" t="s">
        <v>36</v>
      </c>
      <c r="H42" s="149" t="s">
        <v>127</v>
      </c>
      <c r="I42" s="149" t="s">
        <v>161</v>
      </c>
      <c r="J42" s="149" t="s">
        <v>80</v>
      </c>
      <c r="K42" s="149" t="s">
        <v>63</v>
      </c>
      <c r="L42" s="53">
        <v>2</v>
      </c>
      <c r="N42" s="53">
        <v>1</v>
      </c>
      <c r="O42" s="53">
        <v>0.7</v>
      </c>
      <c r="P42" s="53">
        <v>0.6</v>
      </c>
      <c r="Q42" s="97">
        <f t="shared" si="0"/>
        <v>0.64999999999999991</v>
      </c>
      <c r="R42" s="204">
        <v>12.9</v>
      </c>
      <c r="S42" s="204">
        <v>110</v>
      </c>
      <c r="T42" s="16">
        <f t="shared" si="1"/>
        <v>33</v>
      </c>
      <c r="U42" s="209">
        <v>98</v>
      </c>
      <c r="V42" s="200">
        <f t="shared" si="2"/>
        <v>3234</v>
      </c>
      <c r="W42" s="151">
        <v>18</v>
      </c>
      <c r="X42" s="202" t="s">
        <v>46</v>
      </c>
      <c r="Y42" s="214" t="s">
        <v>107</v>
      </c>
      <c r="Z42" s="214" t="s">
        <v>47</v>
      </c>
      <c r="AA42" s="214" t="s">
        <v>90</v>
      </c>
      <c r="AB42" s="57" t="s">
        <v>160</v>
      </c>
    </row>
    <row r="43" spans="1:39" ht="12.75" customHeight="1" x14ac:dyDescent="0.15">
      <c r="A43" s="149" t="s">
        <v>34</v>
      </c>
      <c r="B43" s="216" t="s">
        <v>157</v>
      </c>
      <c r="C43" s="217">
        <v>2019</v>
      </c>
      <c r="D43" s="218" t="s">
        <v>357</v>
      </c>
      <c r="E43" s="217" t="s">
        <v>133</v>
      </c>
      <c r="F43" s="216" t="s">
        <v>365</v>
      </c>
      <c r="G43" s="219" t="s">
        <v>36</v>
      </c>
      <c r="H43" s="149" t="s">
        <v>127</v>
      </c>
      <c r="I43" s="149" t="s">
        <v>161</v>
      </c>
      <c r="J43" s="149" t="s">
        <v>80</v>
      </c>
      <c r="K43" s="149" t="s">
        <v>63</v>
      </c>
      <c r="L43" s="53">
        <v>3</v>
      </c>
      <c r="N43" s="53">
        <v>1</v>
      </c>
      <c r="O43" s="53">
        <v>0.6</v>
      </c>
      <c r="P43" s="53">
        <v>0.65</v>
      </c>
      <c r="Q43" s="97">
        <f t="shared" si="0"/>
        <v>0.625</v>
      </c>
      <c r="R43" s="220">
        <v>12.5</v>
      </c>
      <c r="S43" s="220">
        <v>102</v>
      </c>
      <c r="T43" s="16">
        <f t="shared" si="1"/>
        <v>33</v>
      </c>
      <c r="U43" s="221">
        <v>98</v>
      </c>
      <c r="V43" s="200">
        <f t="shared" si="2"/>
        <v>3234</v>
      </c>
      <c r="W43" s="151">
        <v>18</v>
      </c>
      <c r="X43" s="222" t="s">
        <v>46</v>
      </c>
      <c r="Y43" s="223" t="s">
        <v>107</v>
      </c>
      <c r="Z43" s="223" t="s">
        <v>47</v>
      </c>
      <c r="AA43" s="223" t="s">
        <v>90</v>
      </c>
      <c r="AB43" s="57" t="s">
        <v>160</v>
      </c>
    </row>
    <row r="44" spans="1:39" s="151" customFormat="1" x14ac:dyDescent="0.15">
      <c r="A44" s="151" t="s">
        <v>34</v>
      </c>
      <c r="B44" s="224" t="s">
        <v>157</v>
      </c>
      <c r="C44" s="225">
        <v>2019</v>
      </c>
      <c r="D44" s="226" t="s">
        <v>357</v>
      </c>
      <c r="E44" s="225" t="s">
        <v>133</v>
      </c>
      <c r="F44" s="224" t="s">
        <v>365</v>
      </c>
      <c r="G44" s="227" t="s">
        <v>36</v>
      </c>
      <c r="H44" s="149" t="s">
        <v>162</v>
      </c>
      <c r="I44" s="149" t="s">
        <v>161</v>
      </c>
      <c r="J44" s="151" t="s">
        <v>38</v>
      </c>
      <c r="K44" s="149" t="s">
        <v>163</v>
      </c>
      <c r="L44" s="151">
        <v>1</v>
      </c>
      <c r="N44" s="151">
        <v>1</v>
      </c>
      <c r="O44" s="151">
        <v>0.55000000000000004</v>
      </c>
      <c r="P44" s="151">
        <v>0.5</v>
      </c>
      <c r="Q44" s="152">
        <f t="shared" si="0"/>
        <v>0.52500000000000002</v>
      </c>
      <c r="R44" s="228">
        <v>16.600000000000001</v>
      </c>
      <c r="S44" s="228">
        <v>153</v>
      </c>
      <c r="T44" s="153">
        <f t="shared" si="1"/>
        <v>30</v>
      </c>
      <c r="U44" s="229">
        <v>138</v>
      </c>
      <c r="V44" s="153">
        <f t="shared" si="2"/>
        <v>4140</v>
      </c>
      <c r="W44" s="151">
        <v>18</v>
      </c>
      <c r="X44" s="191" t="s">
        <v>46</v>
      </c>
      <c r="Y44" s="214" t="s">
        <v>107</v>
      </c>
      <c r="Z44" s="214" t="s">
        <v>47</v>
      </c>
      <c r="AA44" s="214" t="s">
        <v>90</v>
      </c>
      <c r="AB44" s="230" t="s">
        <v>160</v>
      </c>
      <c r="AI44" s="149"/>
      <c r="AJ44" s="149"/>
      <c r="AK44" s="149"/>
      <c r="AL44" s="149"/>
      <c r="AM44" s="149"/>
    </row>
    <row r="45" spans="1:39" x14ac:dyDescent="0.15">
      <c r="A45" s="53" t="s">
        <v>34</v>
      </c>
      <c r="B45" s="193" t="s">
        <v>157</v>
      </c>
      <c r="C45" s="193">
        <v>2019</v>
      </c>
      <c r="D45" s="195" t="s">
        <v>357</v>
      </c>
      <c r="E45" s="194" t="s">
        <v>133</v>
      </c>
      <c r="F45" s="193" t="s">
        <v>365</v>
      </c>
      <c r="G45" s="196" t="s">
        <v>36</v>
      </c>
      <c r="H45" s="149" t="s">
        <v>162</v>
      </c>
      <c r="I45" s="149" t="s">
        <v>161</v>
      </c>
      <c r="J45" s="151" t="s">
        <v>38</v>
      </c>
      <c r="K45" s="149" t="s">
        <v>163</v>
      </c>
      <c r="L45" s="53">
        <v>2</v>
      </c>
      <c r="N45" s="53">
        <v>1</v>
      </c>
      <c r="O45" s="53">
        <v>0.5</v>
      </c>
      <c r="P45" s="53">
        <v>0.55000000000000004</v>
      </c>
      <c r="Q45" s="97">
        <f t="shared" si="0"/>
        <v>0.52500000000000002</v>
      </c>
      <c r="R45" s="204">
        <v>17.100000000000001</v>
      </c>
      <c r="S45" s="204">
        <v>151</v>
      </c>
      <c r="T45" s="16">
        <f t="shared" si="1"/>
        <v>30</v>
      </c>
      <c r="U45" s="209">
        <v>138</v>
      </c>
      <c r="V45" s="16">
        <f t="shared" si="2"/>
        <v>4140</v>
      </c>
      <c r="W45" s="53">
        <v>18</v>
      </c>
      <c r="X45" s="202" t="s">
        <v>46</v>
      </c>
      <c r="Y45" s="214" t="s">
        <v>107</v>
      </c>
      <c r="Z45" s="214" t="s">
        <v>47</v>
      </c>
      <c r="AA45" s="214" t="s">
        <v>90</v>
      </c>
      <c r="AB45" s="57" t="s">
        <v>160</v>
      </c>
    </row>
    <row r="46" spans="1:39" x14ac:dyDescent="0.15">
      <c r="A46" s="53" t="s">
        <v>34</v>
      </c>
      <c r="B46" s="193" t="s">
        <v>157</v>
      </c>
      <c r="C46" s="194">
        <v>2019</v>
      </c>
      <c r="D46" s="195" t="s">
        <v>357</v>
      </c>
      <c r="E46" s="194" t="s">
        <v>133</v>
      </c>
      <c r="F46" s="193" t="s">
        <v>365</v>
      </c>
      <c r="G46" s="196" t="s">
        <v>36</v>
      </c>
      <c r="H46" s="149" t="s">
        <v>162</v>
      </c>
      <c r="I46" s="149" t="s">
        <v>161</v>
      </c>
      <c r="J46" s="151" t="s">
        <v>38</v>
      </c>
      <c r="K46" s="149" t="s">
        <v>163</v>
      </c>
      <c r="L46" s="53">
        <v>3</v>
      </c>
      <c r="N46" s="53">
        <v>1</v>
      </c>
      <c r="O46" s="53">
        <v>0.5</v>
      </c>
      <c r="P46" s="53">
        <v>0.5</v>
      </c>
      <c r="Q46" s="97">
        <f t="shared" si="0"/>
        <v>0.5</v>
      </c>
      <c r="R46" s="204">
        <v>16.3</v>
      </c>
      <c r="S46" s="204">
        <v>166</v>
      </c>
      <c r="T46" s="16">
        <f t="shared" si="1"/>
        <v>30</v>
      </c>
      <c r="U46" s="209">
        <v>138</v>
      </c>
      <c r="V46" s="16">
        <f t="shared" si="2"/>
        <v>4140</v>
      </c>
      <c r="W46" s="53">
        <v>18</v>
      </c>
      <c r="X46" s="202" t="s">
        <v>46</v>
      </c>
      <c r="Y46" s="214" t="s">
        <v>107</v>
      </c>
      <c r="Z46" s="214" t="s">
        <v>47</v>
      </c>
      <c r="AA46" s="214" t="s">
        <v>90</v>
      </c>
      <c r="AB46" s="57" t="s">
        <v>160</v>
      </c>
    </row>
    <row r="47" spans="1:39" x14ac:dyDescent="0.15">
      <c r="A47" s="53" t="s">
        <v>34</v>
      </c>
      <c r="B47" s="34" t="s">
        <v>157</v>
      </c>
      <c r="C47" s="53">
        <v>2019</v>
      </c>
      <c r="D47" s="215" t="s">
        <v>357</v>
      </c>
      <c r="E47" s="53" t="s">
        <v>266</v>
      </c>
      <c r="F47" s="193" t="s">
        <v>366</v>
      </c>
      <c r="G47" s="196" t="s">
        <v>36</v>
      </c>
      <c r="H47" s="149" t="s">
        <v>186</v>
      </c>
      <c r="I47" s="149" t="s">
        <v>161</v>
      </c>
      <c r="J47" s="151" t="s">
        <v>38</v>
      </c>
      <c r="K47" s="149" t="s">
        <v>163</v>
      </c>
      <c r="L47" s="53">
        <v>1</v>
      </c>
      <c r="N47" s="53">
        <v>1</v>
      </c>
      <c r="O47" s="53">
        <v>0.9</v>
      </c>
      <c r="P47" s="53">
        <v>0.85</v>
      </c>
      <c r="Q47" s="97">
        <f t="shared" si="0"/>
        <v>0.875</v>
      </c>
      <c r="R47" s="204">
        <v>14.6</v>
      </c>
      <c r="S47" s="204">
        <v>130</v>
      </c>
      <c r="T47" s="16">
        <f t="shared" si="1"/>
        <v>30</v>
      </c>
      <c r="U47" s="53">
        <v>128</v>
      </c>
      <c r="V47" s="16">
        <f t="shared" si="2"/>
        <v>3840</v>
      </c>
      <c r="W47" s="53">
        <v>10</v>
      </c>
      <c r="X47" s="202" t="s">
        <v>46</v>
      </c>
      <c r="Y47" s="53" t="s">
        <v>69</v>
      </c>
      <c r="Z47" s="53" t="s">
        <v>40</v>
      </c>
      <c r="AA47" s="53" t="s">
        <v>55</v>
      </c>
      <c r="AB47" s="57" t="s">
        <v>160</v>
      </c>
    </row>
    <row r="48" spans="1:39" x14ac:dyDescent="0.15">
      <c r="A48" s="53" t="s">
        <v>34</v>
      </c>
      <c r="B48" s="34" t="s">
        <v>157</v>
      </c>
      <c r="C48" s="53">
        <v>2019</v>
      </c>
      <c r="D48" s="215" t="s">
        <v>357</v>
      </c>
      <c r="E48" s="53" t="s">
        <v>266</v>
      </c>
      <c r="F48" s="193" t="s">
        <v>366</v>
      </c>
      <c r="G48" s="196" t="s">
        <v>36</v>
      </c>
      <c r="H48" s="149" t="s">
        <v>186</v>
      </c>
      <c r="I48" s="149" t="s">
        <v>161</v>
      </c>
      <c r="J48" s="151" t="s">
        <v>38</v>
      </c>
      <c r="K48" s="149" t="s">
        <v>163</v>
      </c>
      <c r="L48" s="53">
        <v>2</v>
      </c>
      <c r="N48" s="53">
        <v>1</v>
      </c>
      <c r="O48" s="53">
        <v>0.8</v>
      </c>
      <c r="P48" s="53">
        <v>0.7</v>
      </c>
      <c r="Q48" s="97">
        <f t="shared" si="0"/>
        <v>0.75</v>
      </c>
      <c r="R48" s="204">
        <v>14.2</v>
      </c>
      <c r="S48" s="204">
        <v>129</v>
      </c>
      <c r="T48" s="16">
        <f t="shared" si="1"/>
        <v>30</v>
      </c>
      <c r="U48" s="53">
        <v>128</v>
      </c>
      <c r="V48" s="16">
        <f t="shared" si="2"/>
        <v>3840</v>
      </c>
      <c r="W48" s="53">
        <v>10</v>
      </c>
      <c r="X48" s="202" t="s">
        <v>46</v>
      </c>
      <c r="Y48" s="53" t="s">
        <v>69</v>
      </c>
      <c r="Z48" s="53" t="s">
        <v>40</v>
      </c>
      <c r="AA48" s="53" t="s">
        <v>55</v>
      </c>
      <c r="AB48" s="57" t="s">
        <v>160</v>
      </c>
    </row>
    <row r="49" spans="1:28" x14ac:dyDescent="0.15">
      <c r="A49" s="53" t="s">
        <v>34</v>
      </c>
      <c r="B49" s="34" t="s">
        <v>157</v>
      </c>
      <c r="C49" s="53">
        <v>2019</v>
      </c>
      <c r="D49" s="215" t="s">
        <v>357</v>
      </c>
      <c r="E49" s="53" t="s">
        <v>266</v>
      </c>
      <c r="F49" s="193" t="s">
        <v>366</v>
      </c>
      <c r="G49" s="196" t="s">
        <v>36</v>
      </c>
      <c r="H49" s="149" t="s">
        <v>186</v>
      </c>
      <c r="I49" s="149" t="s">
        <v>161</v>
      </c>
      <c r="J49" s="151" t="s">
        <v>38</v>
      </c>
      <c r="K49" s="149" t="s">
        <v>163</v>
      </c>
      <c r="L49" s="53">
        <v>3</v>
      </c>
      <c r="N49" s="53">
        <v>1</v>
      </c>
      <c r="O49" s="53">
        <v>0.75</v>
      </c>
      <c r="P49" s="53">
        <v>0.8</v>
      </c>
      <c r="Q49" s="97">
        <f t="shared" si="0"/>
        <v>0.77500000000000002</v>
      </c>
      <c r="R49" s="204">
        <v>14.7</v>
      </c>
      <c r="S49" s="204">
        <v>125</v>
      </c>
      <c r="T49" s="16">
        <f t="shared" si="1"/>
        <v>30</v>
      </c>
      <c r="U49" s="53">
        <v>128</v>
      </c>
      <c r="V49" s="16">
        <f t="shared" si="2"/>
        <v>3840</v>
      </c>
      <c r="W49" s="53">
        <v>10</v>
      </c>
      <c r="X49" s="202" t="s">
        <v>46</v>
      </c>
      <c r="Y49" s="53" t="s">
        <v>69</v>
      </c>
      <c r="Z49" s="53" t="s">
        <v>40</v>
      </c>
      <c r="AA49" s="53" t="s">
        <v>55</v>
      </c>
      <c r="AB49" s="57" t="s">
        <v>160</v>
      </c>
    </row>
    <row r="50" spans="1:28" x14ac:dyDescent="0.15">
      <c r="A50" s="53" t="s">
        <v>34</v>
      </c>
      <c r="B50" s="53" t="s">
        <v>157</v>
      </c>
      <c r="C50" s="53">
        <v>2019</v>
      </c>
      <c r="D50" s="215" t="s">
        <v>357</v>
      </c>
      <c r="E50" s="53" t="s">
        <v>266</v>
      </c>
      <c r="F50" s="193" t="s">
        <v>366</v>
      </c>
      <c r="G50" s="196" t="s">
        <v>36</v>
      </c>
      <c r="H50" s="151" t="s">
        <v>162</v>
      </c>
      <c r="I50" s="151" t="s">
        <v>161</v>
      </c>
      <c r="J50" s="151" t="s">
        <v>38</v>
      </c>
      <c r="K50" s="149" t="s">
        <v>163</v>
      </c>
      <c r="L50" s="53">
        <v>1</v>
      </c>
      <c r="N50" s="53">
        <v>1</v>
      </c>
      <c r="O50" s="53">
        <v>0.6</v>
      </c>
      <c r="P50" s="53">
        <v>0.65</v>
      </c>
      <c r="Q50" s="97">
        <f t="shared" si="0"/>
        <v>0.625</v>
      </c>
      <c r="R50" s="53">
        <v>15.6</v>
      </c>
      <c r="S50" s="53">
        <v>125</v>
      </c>
      <c r="T50" s="16">
        <f t="shared" si="1"/>
        <v>30</v>
      </c>
      <c r="U50" s="53">
        <v>128</v>
      </c>
      <c r="V50" s="16">
        <f t="shared" si="2"/>
        <v>3840</v>
      </c>
      <c r="W50" s="53">
        <v>10</v>
      </c>
      <c r="X50" s="202" t="s">
        <v>46</v>
      </c>
      <c r="Y50" s="53" t="s">
        <v>69</v>
      </c>
      <c r="Z50" s="53" t="s">
        <v>40</v>
      </c>
      <c r="AA50" s="53" t="s">
        <v>55</v>
      </c>
      <c r="AB50" s="53" t="s">
        <v>160</v>
      </c>
    </row>
    <row r="51" spans="1:28" x14ac:dyDescent="0.15">
      <c r="A51" s="53" t="s">
        <v>34</v>
      </c>
      <c r="B51" s="53" t="s">
        <v>157</v>
      </c>
      <c r="C51" s="53">
        <v>2019</v>
      </c>
      <c r="D51" s="215" t="s">
        <v>357</v>
      </c>
      <c r="E51" s="53" t="s">
        <v>266</v>
      </c>
      <c r="F51" s="193" t="s">
        <v>366</v>
      </c>
      <c r="G51" s="196" t="s">
        <v>36</v>
      </c>
      <c r="H51" s="151" t="s">
        <v>162</v>
      </c>
      <c r="I51" s="151" t="s">
        <v>161</v>
      </c>
      <c r="J51" s="151" t="s">
        <v>38</v>
      </c>
      <c r="K51" s="149" t="s">
        <v>163</v>
      </c>
      <c r="L51" s="53">
        <v>2</v>
      </c>
      <c r="N51" s="53">
        <v>1</v>
      </c>
      <c r="O51" s="53">
        <v>0.65</v>
      </c>
      <c r="P51" s="53">
        <v>0.7</v>
      </c>
      <c r="Q51" s="97">
        <f t="shared" si="0"/>
        <v>0.67500000000000004</v>
      </c>
      <c r="R51" s="53">
        <v>15.7</v>
      </c>
      <c r="S51" s="53">
        <v>128</v>
      </c>
      <c r="T51" s="16">
        <f t="shared" si="1"/>
        <v>30</v>
      </c>
      <c r="U51" s="53">
        <v>128</v>
      </c>
      <c r="V51" s="16">
        <f t="shared" si="2"/>
        <v>3840</v>
      </c>
      <c r="W51" s="53">
        <v>10</v>
      </c>
      <c r="X51" s="202" t="s">
        <v>46</v>
      </c>
      <c r="Y51" s="53" t="s">
        <v>69</v>
      </c>
      <c r="Z51" s="53" t="s">
        <v>40</v>
      </c>
      <c r="AA51" s="53" t="s">
        <v>55</v>
      </c>
      <c r="AB51" s="53" t="s">
        <v>160</v>
      </c>
    </row>
    <row r="52" spans="1:28" x14ac:dyDescent="0.15">
      <c r="A52" s="53" t="s">
        <v>34</v>
      </c>
      <c r="B52" s="53" t="s">
        <v>157</v>
      </c>
      <c r="C52" s="53">
        <v>2019</v>
      </c>
      <c r="D52" s="215" t="s">
        <v>357</v>
      </c>
      <c r="E52" s="53" t="s">
        <v>266</v>
      </c>
      <c r="F52" s="193" t="s">
        <v>366</v>
      </c>
      <c r="G52" s="196" t="s">
        <v>36</v>
      </c>
      <c r="H52" s="151" t="s">
        <v>162</v>
      </c>
      <c r="I52" s="151" t="s">
        <v>161</v>
      </c>
      <c r="J52" s="151" t="s">
        <v>38</v>
      </c>
      <c r="K52" s="149" t="s">
        <v>163</v>
      </c>
      <c r="L52" s="53">
        <v>3</v>
      </c>
      <c r="N52" s="53">
        <v>1</v>
      </c>
      <c r="O52" s="53">
        <v>0.55000000000000004</v>
      </c>
      <c r="P52" s="53">
        <v>0.6</v>
      </c>
      <c r="Q52" s="97">
        <f t="shared" si="0"/>
        <v>0.57499999999999996</v>
      </c>
      <c r="R52" s="53">
        <v>15.3</v>
      </c>
      <c r="S52" s="53">
        <v>128</v>
      </c>
      <c r="T52" s="16">
        <f t="shared" si="1"/>
        <v>30</v>
      </c>
      <c r="U52" s="53">
        <v>128</v>
      </c>
      <c r="V52" s="16">
        <f t="shared" si="2"/>
        <v>3840</v>
      </c>
      <c r="W52" s="53">
        <v>10</v>
      </c>
      <c r="X52" s="202" t="s">
        <v>46</v>
      </c>
      <c r="Y52" s="53" t="s">
        <v>69</v>
      </c>
      <c r="Z52" s="53" t="s">
        <v>40</v>
      </c>
      <c r="AA52" s="53" t="s">
        <v>55</v>
      </c>
      <c r="AB52" s="53" t="s">
        <v>160</v>
      </c>
    </row>
    <row r="53" spans="1:28" x14ac:dyDescent="0.15">
      <c r="D53" s="215"/>
      <c r="F53" s="193"/>
      <c r="G53" s="196"/>
      <c r="H53" s="151"/>
      <c r="I53" s="151"/>
      <c r="J53" s="151"/>
      <c r="K53" s="149"/>
      <c r="Q53" s="97" t="str">
        <f t="shared" si="0"/>
        <v/>
      </c>
      <c r="T53" s="16" t="str">
        <f t="shared" si="1"/>
        <v/>
      </c>
      <c r="V53" s="16" t="str">
        <f t="shared" si="2"/>
        <v/>
      </c>
      <c r="X53" s="202"/>
    </row>
    <row r="54" spans="1:28" x14ac:dyDescent="0.15">
      <c r="D54" s="215"/>
      <c r="F54" s="193"/>
      <c r="G54" s="196"/>
      <c r="H54" s="151"/>
      <c r="I54" s="151"/>
      <c r="J54" s="151"/>
      <c r="K54" s="149"/>
      <c r="Q54" s="97" t="str">
        <f t="shared" si="0"/>
        <v/>
      </c>
      <c r="T54" s="16" t="str">
        <f t="shared" si="1"/>
        <v/>
      </c>
      <c r="V54" s="16" t="str">
        <f t="shared" si="2"/>
        <v/>
      </c>
      <c r="X54" s="202"/>
    </row>
    <row r="55" spans="1:28" x14ac:dyDescent="0.15">
      <c r="D55" s="215"/>
      <c r="F55" s="193"/>
      <c r="G55" s="196"/>
      <c r="H55" s="151"/>
      <c r="I55" s="151"/>
      <c r="J55" s="151"/>
      <c r="K55" s="149"/>
      <c r="Q55" s="97" t="str">
        <f t="shared" si="0"/>
        <v/>
      </c>
      <c r="T55" s="16" t="str">
        <f t="shared" si="1"/>
        <v/>
      </c>
      <c r="V55" s="16" t="str">
        <f t="shared" si="2"/>
        <v/>
      </c>
      <c r="X55" s="202"/>
    </row>
    <row r="56" spans="1:28" x14ac:dyDescent="0.15">
      <c r="D56" s="215"/>
      <c r="F56" s="193"/>
      <c r="G56" s="196"/>
      <c r="H56" s="151"/>
      <c r="I56" s="151"/>
      <c r="J56" s="151"/>
      <c r="K56" s="149"/>
      <c r="Q56" s="97" t="str">
        <f t="shared" si="0"/>
        <v/>
      </c>
      <c r="T56" s="16" t="str">
        <f t="shared" si="1"/>
        <v/>
      </c>
      <c r="V56" s="16" t="str">
        <f t="shared" si="2"/>
        <v/>
      </c>
      <c r="X56" s="202"/>
    </row>
    <row r="57" spans="1:28" x14ac:dyDescent="0.15">
      <c r="D57" s="215"/>
      <c r="F57" s="193"/>
      <c r="G57" s="196"/>
      <c r="H57" s="151"/>
      <c r="I57" s="151"/>
      <c r="J57" s="151"/>
      <c r="K57" s="149"/>
      <c r="Q57" s="97" t="str">
        <f t="shared" si="0"/>
        <v/>
      </c>
      <c r="T57" s="16" t="str">
        <f t="shared" si="1"/>
        <v/>
      </c>
      <c r="V57" s="16" t="str">
        <f t="shared" si="2"/>
        <v/>
      </c>
      <c r="X57" s="202"/>
    </row>
    <row r="58" spans="1:28" x14ac:dyDescent="0.15">
      <c r="D58" s="215"/>
      <c r="F58" s="193"/>
      <c r="G58" s="196"/>
      <c r="H58" s="151"/>
      <c r="I58" s="151"/>
      <c r="J58" s="151"/>
      <c r="K58" s="149"/>
      <c r="Q58" s="97" t="str">
        <f t="shared" si="0"/>
        <v/>
      </c>
      <c r="T58" s="16" t="str">
        <f t="shared" si="1"/>
        <v/>
      </c>
      <c r="V58" s="16" t="str">
        <f t="shared" si="2"/>
        <v/>
      </c>
      <c r="X58" s="202"/>
    </row>
    <row r="59" spans="1:28" x14ac:dyDescent="0.15">
      <c r="D59" s="215"/>
      <c r="F59" s="193"/>
      <c r="G59" s="196"/>
      <c r="H59" s="151"/>
      <c r="I59" s="151"/>
      <c r="J59" s="151"/>
      <c r="K59" s="149"/>
      <c r="Q59" s="97" t="str">
        <f t="shared" si="0"/>
        <v/>
      </c>
      <c r="T59" s="16" t="str">
        <f t="shared" si="1"/>
        <v/>
      </c>
      <c r="V59" s="16" t="str">
        <f t="shared" si="2"/>
        <v/>
      </c>
      <c r="X59" s="202"/>
    </row>
    <row r="60" spans="1:28" x14ac:dyDescent="0.15">
      <c r="D60" s="215"/>
      <c r="F60" s="193"/>
      <c r="G60" s="196"/>
      <c r="H60" s="151"/>
      <c r="I60" s="151"/>
      <c r="J60" s="151"/>
      <c r="K60" s="149"/>
      <c r="Q60" s="97" t="str">
        <f t="shared" si="0"/>
        <v/>
      </c>
      <c r="T60" s="16" t="str">
        <f t="shared" si="1"/>
        <v/>
      </c>
      <c r="V60" s="16" t="str">
        <f t="shared" si="2"/>
        <v/>
      </c>
      <c r="X60" s="202"/>
    </row>
    <row r="61" spans="1:28" x14ac:dyDescent="0.15">
      <c r="D61" s="215"/>
      <c r="F61" s="193"/>
      <c r="G61" s="196"/>
      <c r="H61" s="151"/>
      <c r="I61" s="151"/>
      <c r="J61" s="151"/>
      <c r="K61" s="149"/>
      <c r="Q61" s="97" t="str">
        <f t="shared" si="0"/>
        <v/>
      </c>
      <c r="T61" s="16" t="str">
        <f t="shared" si="1"/>
        <v/>
      </c>
      <c r="V61" s="16" t="str">
        <f t="shared" si="2"/>
        <v/>
      </c>
      <c r="X61" s="202"/>
    </row>
    <row r="62" spans="1:28" x14ac:dyDescent="0.15">
      <c r="D62" s="215"/>
      <c r="F62" s="193"/>
      <c r="G62" s="196"/>
      <c r="H62" s="151"/>
      <c r="I62" s="151"/>
      <c r="J62" s="151"/>
      <c r="K62" s="149"/>
      <c r="Q62" s="97" t="str">
        <f t="shared" si="0"/>
        <v/>
      </c>
      <c r="T62" s="16" t="str">
        <f t="shared" si="1"/>
        <v/>
      </c>
      <c r="V62" s="16" t="str">
        <f t="shared" si="2"/>
        <v/>
      </c>
      <c r="X62" s="202"/>
    </row>
    <row r="63" spans="1:28" x14ac:dyDescent="0.15">
      <c r="D63" s="215"/>
      <c r="F63" s="193"/>
      <c r="G63" s="196"/>
      <c r="H63" s="151"/>
      <c r="I63" s="151"/>
      <c r="J63" s="151"/>
      <c r="K63" s="149"/>
      <c r="Q63" s="97" t="str">
        <f t="shared" si="0"/>
        <v/>
      </c>
      <c r="T63" s="16" t="str">
        <f t="shared" si="1"/>
        <v/>
      </c>
      <c r="V63" s="16" t="str">
        <f t="shared" si="2"/>
        <v/>
      </c>
      <c r="X63" s="202"/>
    </row>
    <row r="64" spans="1:28" x14ac:dyDescent="0.15">
      <c r="D64" s="215"/>
      <c r="F64" s="193"/>
      <c r="G64" s="196"/>
      <c r="H64" s="151"/>
      <c r="I64" s="151"/>
      <c r="J64" s="151"/>
      <c r="K64" s="149"/>
      <c r="Q64" s="97" t="str">
        <f t="shared" si="0"/>
        <v/>
      </c>
      <c r="T64" s="16" t="str">
        <f t="shared" si="1"/>
        <v/>
      </c>
      <c r="V64" s="16" t="str">
        <f t="shared" si="2"/>
        <v/>
      </c>
      <c r="X64" s="202"/>
    </row>
    <row r="65" spans="4:24" x14ac:dyDescent="0.15">
      <c r="D65" s="215"/>
      <c r="F65" s="193"/>
      <c r="G65" s="196"/>
      <c r="H65" s="151"/>
      <c r="I65" s="151"/>
      <c r="J65" s="151"/>
      <c r="K65" s="149"/>
      <c r="Q65" s="97" t="str">
        <f t="shared" si="0"/>
        <v/>
      </c>
      <c r="T65" s="16" t="str">
        <f t="shared" si="1"/>
        <v/>
      </c>
      <c r="V65" s="16" t="str">
        <f t="shared" si="2"/>
        <v/>
      </c>
      <c r="X65" s="202"/>
    </row>
    <row r="66" spans="4:24" x14ac:dyDescent="0.15">
      <c r="D66" s="215"/>
      <c r="F66" s="193"/>
      <c r="G66" s="196"/>
      <c r="H66" s="151"/>
      <c r="I66" s="151"/>
      <c r="J66" s="151"/>
      <c r="K66" s="149"/>
      <c r="Q66" s="97" t="str">
        <f t="shared" ref="Q66:Q91" si="3">IF(OR(O66="",P66=""),"",AVERAGE(O66,P66))</f>
        <v/>
      </c>
      <c r="T66" s="16" t="str">
        <f t="shared" ref="T66:T91" si="4">IF(H66="","",IF(OR(H66="GREEN",H66="GK"),IF(S66&gt;=$AX$2,VLOOKUP(S66,$AX$2:$AY$7,2,1),""),IF(S66&gt;=$AZ$2,VLOOKUP(S66,$AZ$2:$BA$7,2,1),"")))</f>
        <v/>
      </c>
      <c r="V66" s="16" t="str">
        <f t="shared" ref="V66:V91" si="5">IF(OR(N66="",U66="",T66=""),"",U66/N66*T66)</f>
        <v/>
      </c>
      <c r="X66" s="202"/>
    </row>
    <row r="67" spans="4:24" x14ac:dyDescent="0.15">
      <c r="D67" s="215"/>
      <c r="F67" s="193"/>
      <c r="G67" s="196"/>
      <c r="H67" s="151"/>
      <c r="I67" s="151"/>
      <c r="J67" s="151"/>
      <c r="K67" s="149"/>
      <c r="Q67" s="97" t="str">
        <f t="shared" si="3"/>
        <v/>
      </c>
      <c r="T67" s="16" t="str">
        <f t="shared" si="4"/>
        <v/>
      </c>
      <c r="V67" s="16" t="str">
        <f t="shared" si="5"/>
        <v/>
      </c>
      <c r="X67" s="202"/>
    </row>
    <row r="68" spans="4:24" x14ac:dyDescent="0.15">
      <c r="D68" s="215"/>
      <c r="F68" s="193"/>
      <c r="G68" s="196"/>
      <c r="H68" s="151"/>
      <c r="I68" s="151"/>
      <c r="J68" s="151"/>
      <c r="K68" s="149"/>
      <c r="Q68" s="97" t="str">
        <f t="shared" si="3"/>
        <v/>
      </c>
      <c r="T68" s="16" t="str">
        <f t="shared" si="4"/>
        <v/>
      </c>
      <c r="V68" s="16" t="str">
        <f t="shared" si="5"/>
        <v/>
      </c>
      <c r="X68" s="202"/>
    </row>
    <row r="69" spans="4:24" x14ac:dyDescent="0.15">
      <c r="D69" s="215"/>
      <c r="F69" s="193"/>
      <c r="G69" s="196"/>
      <c r="H69" s="151"/>
      <c r="I69" s="151"/>
      <c r="J69" s="151"/>
      <c r="K69" s="149"/>
      <c r="Q69" s="97" t="str">
        <f t="shared" si="3"/>
        <v/>
      </c>
      <c r="T69" s="16" t="str">
        <f t="shared" si="4"/>
        <v/>
      </c>
      <c r="V69" s="16" t="str">
        <f t="shared" si="5"/>
        <v/>
      </c>
      <c r="X69" s="202"/>
    </row>
    <row r="70" spans="4:24" x14ac:dyDescent="0.15">
      <c r="D70" s="215"/>
      <c r="F70" s="193"/>
      <c r="G70" s="196"/>
      <c r="H70" s="151"/>
      <c r="I70" s="151"/>
      <c r="J70" s="151"/>
      <c r="K70" s="149"/>
      <c r="Q70" s="97" t="str">
        <f t="shared" si="3"/>
        <v/>
      </c>
      <c r="T70" s="16" t="str">
        <f t="shared" si="4"/>
        <v/>
      </c>
      <c r="V70" s="16" t="str">
        <f t="shared" si="5"/>
        <v/>
      </c>
      <c r="X70" s="202"/>
    </row>
    <row r="71" spans="4:24" x14ac:dyDescent="0.15">
      <c r="D71" s="215"/>
      <c r="F71" s="193"/>
      <c r="G71" s="196"/>
      <c r="H71" s="151"/>
      <c r="I71" s="151"/>
      <c r="J71" s="151"/>
      <c r="K71" s="149"/>
      <c r="Q71" s="97" t="str">
        <f t="shared" si="3"/>
        <v/>
      </c>
      <c r="T71" s="16" t="str">
        <f t="shared" si="4"/>
        <v/>
      </c>
      <c r="V71" s="16" t="str">
        <f t="shared" si="5"/>
        <v/>
      </c>
      <c r="X71" s="202"/>
    </row>
    <row r="72" spans="4:24" x14ac:dyDescent="0.15">
      <c r="D72" s="215"/>
      <c r="F72" s="193"/>
      <c r="G72" s="196"/>
      <c r="H72" s="151"/>
      <c r="I72" s="151"/>
      <c r="J72" s="151"/>
      <c r="K72" s="149"/>
      <c r="Q72" s="97" t="str">
        <f t="shared" si="3"/>
        <v/>
      </c>
      <c r="T72" s="16" t="str">
        <f t="shared" si="4"/>
        <v/>
      </c>
      <c r="V72" s="16" t="str">
        <f t="shared" si="5"/>
        <v/>
      </c>
      <c r="X72" s="202"/>
    </row>
    <row r="73" spans="4:24" x14ac:dyDescent="0.15">
      <c r="D73" s="215"/>
      <c r="F73" s="193"/>
      <c r="G73" s="196"/>
      <c r="H73" s="151"/>
      <c r="I73" s="151"/>
      <c r="J73" s="151"/>
      <c r="K73" s="149"/>
      <c r="Q73" s="97" t="str">
        <f t="shared" si="3"/>
        <v/>
      </c>
      <c r="T73" s="16" t="str">
        <f t="shared" si="4"/>
        <v/>
      </c>
      <c r="V73" s="16" t="str">
        <f t="shared" si="5"/>
        <v/>
      </c>
      <c r="X73" s="202"/>
    </row>
    <row r="74" spans="4:24" x14ac:dyDescent="0.15">
      <c r="D74" s="215"/>
      <c r="F74" s="193"/>
      <c r="G74" s="196"/>
      <c r="H74" s="151"/>
      <c r="I74" s="151"/>
      <c r="J74" s="151"/>
      <c r="K74" s="149"/>
      <c r="Q74" s="97" t="str">
        <f t="shared" si="3"/>
        <v/>
      </c>
      <c r="T74" s="16" t="str">
        <f t="shared" si="4"/>
        <v/>
      </c>
      <c r="V74" s="16" t="str">
        <f t="shared" si="5"/>
        <v/>
      </c>
      <c r="X74" s="202"/>
    </row>
    <row r="75" spans="4:24" x14ac:dyDescent="0.15">
      <c r="D75" s="215"/>
      <c r="F75" s="193"/>
      <c r="G75" s="196"/>
      <c r="H75" s="151"/>
      <c r="I75" s="151"/>
      <c r="J75" s="151"/>
      <c r="K75" s="149"/>
      <c r="Q75" s="97" t="str">
        <f t="shared" si="3"/>
        <v/>
      </c>
      <c r="T75" s="16" t="str">
        <f t="shared" si="4"/>
        <v/>
      </c>
      <c r="V75" s="16" t="str">
        <f t="shared" si="5"/>
        <v/>
      </c>
      <c r="X75" s="202"/>
    </row>
    <row r="76" spans="4:24" x14ac:dyDescent="0.15">
      <c r="D76" s="215"/>
      <c r="F76" s="193"/>
      <c r="G76" s="196"/>
      <c r="H76" s="151"/>
      <c r="I76" s="151"/>
      <c r="J76" s="151"/>
      <c r="K76" s="149"/>
      <c r="Q76" s="97" t="str">
        <f t="shared" si="3"/>
        <v/>
      </c>
      <c r="T76" s="16" t="str">
        <f t="shared" si="4"/>
        <v/>
      </c>
      <c r="V76" s="16" t="str">
        <f t="shared" si="5"/>
        <v/>
      </c>
      <c r="X76" s="202"/>
    </row>
    <row r="77" spans="4:24" x14ac:dyDescent="0.15">
      <c r="D77" s="215"/>
      <c r="F77" s="193"/>
      <c r="G77" s="196"/>
      <c r="H77" s="151"/>
      <c r="I77" s="151"/>
      <c r="J77" s="151"/>
      <c r="K77" s="149"/>
      <c r="Q77" s="97" t="str">
        <f t="shared" si="3"/>
        <v/>
      </c>
      <c r="T77" s="16" t="str">
        <f t="shared" si="4"/>
        <v/>
      </c>
      <c r="V77" s="16" t="str">
        <f t="shared" si="5"/>
        <v/>
      </c>
      <c r="X77" s="202"/>
    </row>
    <row r="78" spans="4:24" x14ac:dyDescent="0.15">
      <c r="D78" s="215"/>
      <c r="F78" s="193"/>
      <c r="G78" s="196"/>
      <c r="H78" s="151"/>
      <c r="I78" s="151"/>
      <c r="J78" s="151"/>
      <c r="K78" s="149"/>
      <c r="Q78" s="97" t="str">
        <f t="shared" si="3"/>
        <v/>
      </c>
      <c r="T78" s="16" t="str">
        <f t="shared" si="4"/>
        <v/>
      </c>
      <c r="V78" s="16" t="str">
        <f t="shared" si="5"/>
        <v/>
      </c>
      <c r="X78" s="202"/>
    </row>
    <row r="79" spans="4:24" x14ac:dyDescent="0.15">
      <c r="D79" s="215"/>
      <c r="F79" s="193"/>
      <c r="G79" s="196"/>
      <c r="H79" s="151"/>
      <c r="I79" s="151"/>
      <c r="J79" s="151"/>
      <c r="K79" s="149"/>
      <c r="Q79" s="97" t="str">
        <f t="shared" si="3"/>
        <v/>
      </c>
      <c r="T79" s="16" t="str">
        <f t="shared" si="4"/>
        <v/>
      </c>
      <c r="V79" s="16" t="str">
        <f t="shared" si="5"/>
        <v/>
      </c>
      <c r="X79" s="202"/>
    </row>
    <row r="80" spans="4:24" x14ac:dyDescent="0.15">
      <c r="H80" s="151"/>
      <c r="I80" s="151"/>
      <c r="J80" s="151"/>
      <c r="K80" s="149"/>
      <c r="Q80" s="97" t="str">
        <f t="shared" si="3"/>
        <v/>
      </c>
      <c r="T80" s="16" t="str">
        <f t="shared" si="4"/>
        <v/>
      </c>
      <c r="V80" s="16" t="str">
        <f t="shared" si="5"/>
        <v/>
      </c>
    </row>
    <row r="81" spans="8:22" x14ac:dyDescent="0.15">
      <c r="H81" s="151"/>
      <c r="I81" s="151"/>
      <c r="J81" s="151"/>
      <c r="K81" s="149"/>
      <c r="Q81" s="97" t="str">
        <f t="shared" si="3"/>
        <v/>
      </c>
      <c r="T81" s="16" t="str">
        <f t="shared" si="4"/>
        <v/>
      </c>
      <c r="V81" s="16" t="str">
        <f t="shared" si="5"/>
        <v/>
      </c>
    </row>
    <row r="82" spans="8:22" x14ac:dyDescent="0.15">
      <c r="H82" s="151"/>
      <c r="I82" s="151"/>
      <c r="J82" s="151"/>
      <c r="K82" s="149"/>
      <c r="Q82" s="97" t="str">
        <f t="shared" si="3"/>
        <v/>
      </c>
      <c r="T82" s="16" t="str">
        <f t="shared" si="4"/>
        <v/>
      </c>
      <c r="V82" s="16" t="str">
        <f t="shared" si="5"/>
        <v/>
      </c>
    </row>
    <row r="83" spans="8:22" x14ac:dyDescent="0.15">
      <c r="H83" s="151"/>
      <c r="I83" s="151"/>
      <c r="J83" s="151"/>
      <c r="K83" s="149"/>
      <c r="Q83" s="97" t="str">
        <f t="shared" si="3"/>
        <v/>
      </c>
      <c r="T83" s="16" t="str">
        <f t="shared" si="4"/>
        <v/>
      </c>
      <c r="V83" s="16" t="str">
        <f t="shared" si="5"/>
        <v/>
      </c>
    </row>
    <row r="84" spans="8:22" x14ac:dyDescent="0.15">
      <c r="H84" s="151"/>
      <c r="I84" s="151"/>
      <c r="J84" s="151"/>
      <c r="K84" s="149"/>
      <c r="Q84" s="97" t="str">
        <f t="shared" si="3"/>
        <v/>
      </c>
      <c r="T84" s="16" t="str">
        <f t="shared" si="4"/>
        <v/>
      </c>
      <c r="V84" s="16" t="str">
        <f t="shared" si="5"/>
        <v/>
      </c>
    </row>
    <row r="85" spans="8:22" x14ac:dyDescent="0.15">
      <c r="H85" s="151"/>
      <c r="I85" s="151"/>
      <c r="J85" s="151"/>
      <c r="K85" s="149"/>
      <c r="Q85" s="97" t="str">
        <f t="shared" si="3"/>
        <v/>
      </c>
      <c r="T85" s="16" t="str">
        <f t="shared" si="4"/>
        <v/>
      </c>
      <c r="V85" s="16" t="str">
        <f t="shared" si="5"/>
        <v/>
      </c>
    </row>
    <row r="86" spans="8:22" x14ac:dyDescent="0.15">
      <c r="H86" s="151"/>
      <c r="I86" s="151"/>
      <c r="J86" s="151"/>
      <c r="K86" s="149"/>
      <c r="Q86" s="97" t="str">
        <f t="shared" si="3"/>
        <v/>
      </c>
      <c r="T86" s="16" t="str">
        <f t="shared" si="4"/>
        <v/>
      </c>
      <c r="V86" s="16" t="str">
        <f t="shared" si="5"/>
        <v/>
      </c>
    </row>
    <row r="87" spans="8:22" x14ac:dyDescent="0.15">
      <c r="H87" s="151"/>
      <c r="I87" s="151"/>
      <c r="J87" s="151"/>
      <c r="K87" s="149"/>
      <c r="Q87" s="97" t="str">
        <f t="shared" si="3"/>
        <v/>
      </c>
      <c r="T87" s="16" t="str">
        <f t="shared" si="4"/>
        <v/>
      </c>
      <c r="V87" s="16" t="str">
        <f t="shared" si="5"/>
        <v/>
      </c>
    </row>
    <row r="88" spans="8:22" x14ac:dyDescent="0.15">
      <c r="H88" s="151"/>
      <c r="I88" s="151"/>
      <c r="J88" s="151"/>
      <c r="K88" s="149"/>
      <c r="Q88" s="97" t="str">
        <f t="shared" si="3"/>
        <v/>
      </c>
      <c r="T88" s="16" t="str">
        <f t="shared" si="4"/>
        <v/>
      </c>
      <c r="V88" s="16" t="str">
        <f t="shared" si="5"/>
        <v/>
      </c>
    </row>
    <row r="89" spans="8:22" x14ac:dyDescent="0.15">
      <c r="H89" s="151"/>
      <c r="I89" s="151"/>
      <c r="J89" s="151"/>
      <c r="K89" s="149"/>
      <c r="Q89" s="97" t="str">
        <f t="shared" si="3"/>
        <v/>
      </c>
      <c r="T89" s="16" t="str">
        <f t="shared" si="4"/>
        <v/>
      </c>
      <c r="V89" s="16" t="str">
        <f t="shared" si="5"/>
        <v/>
      </c>
    </row>
    <row r="90" spans="8:22" x14ac:dyDescent="0.15">
      <c r="H90" s="151"/>
      <c r="I90" s="151"/>
      <c r="J90" s="151"/>
      <c r="K90" s="149"/>
      <c r="Q90" s="97" t="str">
        <f t="shared" si="3"/>
        <v/>
      </c>
      <c r="T90" s="16" t="str">
        <f t="shared" si="4"/>
        <v/>
      </c>
      <c r="V90" s="16" t="str">
        <f t="shared" si="5"/>
        <v/>
      </c>
    </row>
    <row r="91" spans="8:22" x14ac:dyDescent="0.15">
      <c r="H91" s="151"/>
      <c r="I91" s="151"/>
      <c r="J91" s="151"/>
      <c r="K91" s="149"/>
      <c r="Q91" s="97" t="str">
        <f t="shared" si="3"/>
        <v/>
      </c>
      <c r="T91" s="16" t="str">
        <f t="shared" si="4"/>
        <v/>
      </c>
      <c r="V91" s="16" t="str">
        <f t="shared" si="5"/>
        <v/>
      </c>
    </row>
    <row r="92" spans="8:22" x14ac:dyDescent="0.15">
      <c r="H92" s="151"/>
      <c r="I92" s="151"/>
      <c r="J92" s="151"/>
      <c r="K92" s="149"/>
      <c r="Q92" s="97"/>
    </row>
    <row r="93" spans="8:22" x14ac:dyDescent="0.15">
      <c r="H93" s="151"/>
      <c r="I93" s="151"/>
      <c r="J93" s="151"/>
      <c r="K93" s="149"/>
      <c r="Q93" s="97"/>
    </row>
    <row r="94" spans="8:22" x14ac:dyDescent="0.15">
      <c r="H94" s="151"/>
      <c r="I94" s="151"/>
      <c r="J94" s="151"/>
      <c r="K94" s="149"/>
      <c r="Q94" s="97"/>
    </row>
    <row r="95" spans="8:22" x14ac:dyDescent="0.15">
      <c r="H95" s="151"/>
      <c r="I95" s="151"/>
      <c r="J95" s="151"/>
      <c r="K95" s="149"/>
      <c r="Q95" s="97"/>
    </row>
    <row r="96" spans="8:22" x14ac:dyDescent="0.15">
      <c r="H96" s="151"/>
      <c r="I96" s="151"/>
      <c r="J96" s="151"/>
      <c r="K96" s="149"/>
      <c r="Q96" s="97"/>
    </row>
    <row r="97" spans="8:17" x14ac:dyDescent="0.15">
      <c r="H97" s="151"/>
      <c r="I97" s="151"/>
      <c r="J97" s="151"/>
      <c r="K97" s="149"/>
      <c r="Q97" s="97"/>
    </row>
    <row r="98" spans="8:17" x14ac:dyDescent="0.15">
      <c r="H98" s="151"/>
      <c r="I98" s="151"/>
      <c r="J98" s="151"/>
      <c r="K98" s="149"/>
      <c r="Q98" s="97"/>
    </row>
    <row r="99" spans="8:17" x14ac:dyDescent="0.15">
      <c r="H99" s="151"/>
      <c r="I99" s="151"/>
      <c r="J99" s="151"/>
      <c r="K99" s="149"/>
      <c r="Q99" s="97"/>
    </row>
    <row r="100" spans="8:17" x14ac:dyDescent="0.15">
      <c r="H100" s="151"/>
      <c r="I100" s="151"/>
      <c r="J100" s="151"/>
      <c r="K100" s="149"/>
      <c r="Q100" s="97"/>
    </row>
    <row r="101" spans="8:17" x14ac:dyDescent="0.15">
      <c r="H101" s="151"/>
      <c r="I101" s="151"/>
      <c r="J101" s="151"/>
      <c r="K101" s="149"/>
      <c r="Q101" s="97"/>
    </row>
    <row r="102" spans="8:17" x14ac:dyDescent="0.15">
      <c r="H102" s="151"/>
      <c r="I102" s="151"/>
      <c r="J102" s="151"/>
      <c r="K102" s="149"/>
      <c r="Q102" s="97"/>
    </row>
    <row r="103" spans="8:17" x14ac:dyDescent="0.15">
      <c r="H103" s="151"/>
      <c r="I103" s="151"/>
      <c r="J103" s="151"/>
      <c r="K103" s="149"/>
      <c r="Q103" s="97"/>
    </row>
    <row r="104" spans="8:17" x14ac:dyDescent="0.15">
      <c r="H104" s="151"/>
      <c r="I104" s="151"/>
      <c r="J104" s="151"/>
      <c r="K104" s="149"/>
      <c r="Q104" s="97"/>
    </row>
    <row r="105" spans="8:17" x14ac:dyDescent="0.15">
      <c r="H105" s="151"/>
      <c r="I105" s="151"/>
      <c r="J105" s="151"/>
      <c r="K105" s="149"/>
      <c r="Q105" s="97"/>
    </row>
    <row r="106" spans="8:17" x14ac:dyDescent="0.15">
      <c r="H106" s="151"/>
      <c r="I106" s="151"/>
      <c r="J106" s="151"/>
      <c r="K106" s="149"/>
      <c r="Q106" s="97"/>
    </row>
    <row r="107" spans="8:17" x14ac:dyDescent="0.15">
      <c r="H107" s="151"/>
      <c r="I107" s="151"/>
      <c r="J107" s="151"/>
      <c r="K107" s="149"/>
      <c r="Q107" s="97"/>
    </row>
    <row r="108" spans="8:17" x14ac:dyDescent="0.15">
      <c r="H108" s="151"/>
      <c r="I108" s="151"/>
      <c r="J108" s="151"/>
      <c r="K108" s="149"/>
      <c r="Q108" s="97"/>
    </row>
    <row r="109" spans="8:17" x14ac:dyDescent="0.15">
      <c r="H109" s="151"/>
      <c r="I109" s="151"/>
      <c r="J109" s="151"/>
      <c r="K109" s="149"/>
      <c r="Q109" s="97"/>
    </row>
    <row r="110" spans="8:17" x14ac:dyDescent="0.15">
      <c r="H110" s="151"/>
      <c r="I110" s="151"/>
      <c r="J110" s="151"/>
      <c r="K110" s="149"/>
      <c r="Q110" s="97"/>
    </row>
    <row r="111" spans="8:17" x14ac:dyDescent="0.15">
      <c r="H111" s="151"/>
      <c r="I111" s="151"/>
      <c r="J111" s="151"/>
      <c r="K111" s="149"/>
      <c r="Q111" s="97"/>
    </row>
    <row r="112" spans="8:17" x14ac:dyDescent="0.15">
      <c r="H112" s="151"/>
      <c r="I112" s="151"/>
      <c r="J112" s="151"/>
      <c r="K112" s="149"/>
      <c r="Q112" s="97"/>
    </row>
    <row r="113" spans="8:17" x14ac:dyDescent="0.15">
      <c r="H113" s="151"/>
      <c r="I113" s="151"/>
      <c r="J113" s="151"/>
      <c r="K113" s="149"/>
      <c r="Q113" s="97"/>
    </row>
    <row r="114" spans="8:17" x14ac:dyDescent="0.15">
      <c r="H114" s="151"/>
      <c r="I114" s="151"/>
      <c r="J114" s="151"/>
      <c r="K114" s="149"/>
      <c r="Q114" s="97"/>
    </row>
    <row r="115" spans="8:17" x14ac:dyDescent="0.15">
      <c r="H115" s="151"/>
      <c r="I115" s="151"/>
      <c r="J115" s="151"/>
      <c r="K115" s="149"/>
      <c r="Q115" s="97"/>
    </row>
    <row r="116" spans="8:17" x14ac:dyDescent="0.15">
      <c r="H116" s="151"/>
      <c r="I116" s="151"/>
      <c r="J116" s="151"/>
      <c r="K116" s="149"/>
      <c r="Q116" s="97"/>
    </row>
    <row r="117" spans="8:17" x14ac:dyDescent="0.15">
      <c r="H117" s="151"/>
      <c r="I117" s="151"/>
      <c r="J117" s="151"/>
      <c r="K117" s="149"/>
      <c r="Q117" s="97"/>
    </row>
    <row r="118" spans="8:17" x14ac:dyDescent="0.15">
      <c r="H118" s="151"/>
      <c r="I118" s="151"/>
      <c r="J118" s="151"/>
      <c r="K118" s="149"/>
      <c r="Q118" s="97"/>
    </row>
    <row r="119" spans="8:17" x14ac:dyDescent="0.15">
      <c r="H119" s="151"/>
      <c r="I119" s="151"/>
      <c r="J119" s="151"/>
      <c r="K119" s="149"/>
      <c r="Q119" s="97"/>
    </row>
    <row r="120" spans="8:17" x14ac:dyDescent="0.15">
      <c r="H120" s="151"/>
      <c r="I120" s="151"/>
      <c r="J120" s="151"/>
      <c r="K120" s="149"/>
      <c r="Q120" s="97"/>
    </row>
    <row r="121" spans="8:17" x14ac:dyDescent="0.15">
      <c r="H121" s="151"/>
      <c r="I121" s="151"/>
      <c r="J121" s="151"/>
      <c r="K121" s="149"/>
      <c r="Q121" s="97"/>
    </row>
    <row r="122" spans="8:17" x14ac:dyDescent="0.15">
      <c r="H122" s="151"/>
      <c r="I122" s="151"/>
      <c r="J122" s="151"/>
      <c r="K122" s="149"/>
      <c r="Q122" s="97"/>
    </row>
    <row r="123" spans="8:17" x14ac:dyDescent="0.15">
      <c r="H123" s="151"/>
      <c r="I123" s="151"/>
      <c r="J123" s="151"/>
      <c r="K123" s="149"/>
      <c r="Q123" s="97"/>
    </row>
    <row r="124" spans="8:17" x14ac:dyDescent="0.15">
      <c r="H124" s="151"/>
      <c r="I124" s="151"/>
      <c r="J124" s="151"/>
      <c r="K124" s="149"/>
      <c r="Q124" s="97"/>
    </row>
    <row r="125" spans="8:17" x14ac:dyDescent="0.15">
      <c r="H125" s="151"/>
      <c r="I125" s="151"/>
      <c r="J125" s="151"/>
      <c r="K125" s="149"/>
      <c r="Q125" s="97"/>
    </row>
    <row r="126" spans="8:17" x14ac:dyDescent="0.15">
      <c r="H126" s="151"/>
      <c r="I126" s="151"/>
      <c r="J126" s="151"/>
      <c r="K126" s="149"/>
      <c r="Q126" s="97"/>
    </row>
    <row r="127" spans="8:17" x14ac:dyDescent="0.15">
      <c r="H127" s="151"/>
      <c r="I127" s="151"/>
      <c r="J127" s="151"/>
      <c r="K127" s="149"/>
      <c r="Q127" s="97"/>
    </row>
    <row r="128" spans="8:17" x14ac:dyDescent="0.15">
      <c r="H128" s="151"/>
      <c r="I128" s="151"/>
      <c r="J128" s="151"/>
      <c r="K128" s="149"/>
      <c r="Q128" s="97"/>
    </row>
    <row r="129" spans="8:17" x14ac:dyDescent="0.15">
      <c r="H129" s="151"/>
      <c r="I129" s="151"/>
      <c r="J129" s="151"/>
      <c r="K129" s="149"/>
      <c r="Q129" s="97"/>
    </row>
    <row r="130" spans="8:17" x14ac:dyDescent="0.15">
      <c r="H130" s="151"/>
      <c r="I130" s="151"/>
      <c r="J130" s="151"/>
      <c r="K130" s="149"/>
      <c r="Q130" s="97"/>
    </row>
    <row r="131" spans="8:17" x14ac:dyDescent="0.15">
      <c r="H131" s="151"/>
      <c r="I131" s="151"/>
      <c r="J131" s="151"/>
      <c r="K131" s="149"/>
      <c r="Q131" s="97"/>
    </row>
    <row r="132" spans="8:17" x14ac:dyDescent="0.15">
      <c r="H132" s="151"/>
      <c r="I132" s="151"/>
      <c r="J132" s="151"/>
      <c r="K132" s="149"/>
      <c r="Q132" s="97"/>
    </row>
    <row r="133" spans="8:17" x14ac:dyDescent="0.15">
      <c r="H133" s="151"/>
      <c r="I133" s="151"/>
      <c r="J133" s="151"/>
      <c r="K133" s="149"/>
      <c r="Q133" s="97"/>
    </row>
    <row r="134" spans="8:17" x14ac:dyDescent="0.15">
      <c r="H134" s="151"/>
      <c r="I134" s="151"/>
      <c r="J134" s="151"/>
      <c r="K134" s="149"/>
      <c r="Q134" s="97"/>
    </row>
    <row r="135" spans="8:17" x14ac:dyDescent="0.15">
      <c r="H135" s="151"/>
      <c r="I135" s="151"/>
      <c r="J135" s="151"/>
      <c r="K135" s="149"/>
      <c r="Q135" s="97"/>
    </row>
    <row r="136" spans="8:17" x14ac:dyDescent="0.15">
      <c r="H136" s="151"/>
      <c r="I136" s="151"/>
      <c r="J136" s="151"/>
      <c r="K136" s="149"/>
      <c r="Q136" s="97"/>
    </row>
    <row r="137" spans="8:17" x14ac:dyDescent="0.15">
      <c r="H137" s="151"/>
      <c r="I137" s="151"/>
      <c r="J137" s="151"/>
      <c r="K137" s="149"/>
      <c r="Q137" s="97"/>
    </row>
    <row r="138" spans="8:17" x14ac:dyDescent="0.15">
      <c r="H138" s="151"/>
      <c r="I138" s="151"/>
      <c r="J138" s="151"/>
      <c r="K138" s="149"/>
      <c r="Q138" s="97"/>
    </row>
    <row r="139" spans="8:17" x14ac:dyDescent="0.15">
      <c r="H139" s="151"/>
      <c r="I139" s="151"/>
      <c r="J139" s="151"/>
      <c r="K139" s="149"/>
      <c r="Q139" s="97"/>
    </row>
    <row r="140" spans="8:17" x14ac:dyDescent="0.15">
      <c r="H140" s="151"/>
      <c r="I140" s="151"/>
      <c r="J140" s="151"/>
      <c r="K140" s="149"/>
      <c r="Q140" s="97"/>
    </row>
    <row r="141" spans="8:17" x14ac:dyDescent="0.15">
      <c r="H141" s="151"/>
      <c r="I141" s="151"/>
      <c r="J141" s="151"/>
      <c r="K141" s="149"/>
      <c r="Q141" s="97"/>
    </row>
    <row r="142" spans="8:17" x14ac:dyDescent="0.15">
      <c r="K142" s="149"/>
      <c r="Q142" s="97"/>
    </row>
    <row r="143" spans="8:17" x14ac:dyDescent="0.15">
      <c r="K143" s="149"/>
      <c r="Q143" s="97"/>
    </row>
    <row r="144" spans="8:17" x14ac:dyDescent="0.15">
      <c r="K144" s="149"/>
      <c r="Q144" s="97"/>
    </row>
    <row r="145" spans="11:17" x14ac:dyDescent="0.15">
      <c r="K145" s="149"/>
      <c r="Q145" s="97"/>
    </row>
    <row r="146" spans="11:17" x14ac:dyDescent="0.15">
      <c r="K146" s="149"/>
      <c r="Q146" s="97"/>
    </row>
    <row r="147" spans="11:17" x14ac:dyDescent="0.15">
      <c r="K147" s="149"/>
      <c r="Q147" s="97"/>
    </row>
    <row r="148" spans="11:17" x14ac:dyDescent="0.15">
      <c r="K148" s="149"/>
      <c r="Q148" s="97"/>
    </row>
    <row r="149" spans="11:17" x14ac:dyDescent="0.15">
      <c r="K149" s="149"/>
      <c r="Q149" s="97"/>
    </row>
    <row r="150" spans="11:17" x14ac:dyDescent="0.15">
      <c r="K150" s="149"/>
      <c r="Q150" s="97"/>
    </row>
    <row r="151" spans="11:17" x14ac:dyDescent="0.15">
      <c r="K151" s="149"/>
      <c r="Q151" s="97"/>
    </row>
    <row r="152" spans="11:17" x14ac:dyDescent="0.15">
      <c r="K152" s="149"/>
      <c r="Q152" s="97"/>
    </row>
    <row r="153" spans="11:17" x14ac:dyDescent="0.15">
      <c r="K153" s="149"/>
      <c r="Q153" s="97"/>
    </row>
    <row r="154" spans="11:17" x14ac:dyDescent="0.15">
      <c r="K154" s="149"/>
      <c r="Q154" s="97"/>
    </row>
    <row r="155" spans="11:17" x14ac:dyDescent="0.15">
      <c r="K155" s="149"/>
      <c r="Q155" s="97"/>
    </row>
    <row r="156" spans="11:17" x14ac:dyDescent="0.15">
      <c r="K156" s="149"/>
      <c r="Q156" s="97"/>
    </row>
    <row r="157" spans="11:17" x14ac:dyDescent="0.15">
      <c r="K157" s="149"/>
      <c r="Q157" s="97"/>
    </row>
    <row r="158" spans="11:17" x14ac:dyDescent="0.15">
      <c r="K158" s="149"/>
      <c r="Q158" s="97"/>
    </row>
    <row r="159" spans="11:17" x14ac:dyDescent="0.15">
      <c r="K159" s="149"/>
      <c r="Q159" s="97"/>
    </row>
    <row r="160" spans="11:17" x14ac:dyDescent="0.15">
      <c r="K160" s="149"/>
      <c r="Q160" s="97"/>
    </row>
    <row r="161" spans="11:17" x14ac:dyDescent="0.15">
      <c r="K161" s="149"/>
      <c r="Q161" s="97"/>
    </row>
    <row r="162" spans="11:17" x14ac:dyDescent="0.15">
      <c r="K162" s="149"/>
      <c r="Q162" s="97"/>
    </row>
    <row r="163" spans="11:17" x14ac:dyDescent="0.15">
      <c r="K163" s="149"/>
      <c r="Q163" s="97"/>
    </row>
    <row r="164" spans="11:17" x14ac:dyDescent="0.15">
      <c r="K164" s="149"/>
      <c r="Q164" s="97"/>
    </row>
    <row r="165" spans="11:17" x14ac:dyDescent="0.15">
      <c r="K165" s="149"/>
      <c r="Q165" s="97"/>
    </row>
    <row r="166" spans="11:17" x14ac:dyDescent="0.15">
      <c r="K166" s="149"/>
      <c r="Q166" s="97"/>
    </row>
    <row r="167" spans="11:17" x14ac:dyDescent="0.15">
      <c r="K167" s="149"/>
      <c r="Q167" s="97"/>
    </row>
    <row r="168" spans="11:17" x14ac:dyDescent="0.15">
      <c r="K168" s="149"/>
      <c r="Q168" s="97"/>
    </row>
    <row r="169" spans="11:17" x14ac:dyDescent="0.15">
      <c r="K169" s="149"/>
      <c r="Q169" s="97"/>
    </row>
    <row r="170" spans="11:17" x14ac:dyDescent="0.15">
      <c r="K170" s="149"/>
      <c r="Q170" s="97"/>
    </row>
    <row r="171" spans="11:17" x14ac:dyDescent="0.15">
      <c r="K171" s="149"/>
      <c r="Q171" s="97"/>
    </row>
    <row r="172" spans="11:17" x14ac:dyDescent="0.15">
      <c r="K172" s="149"/>
      <c r="Q172" s="97"/>
    </row>
    <row r="173" spans="11:17" x14ac:dyDescent="0.15">
      <c r="K173" s="149"/>
      <c r="Q173" s="97"/>
    </row>
    <row r="174" spans="11:17" x14ac:dyDescent="0.15">
      <c r="K174" s="149"/>
      <c r="Q174" s="97"/>
    </row>
    <row r="175" spans="11:17" x14ac:dyDescent="0.15">
      <c r="K175" s="149"/>
      <c r="Q175" s="97"/>
    </row>
    <row r="176" spans="11:17" x14ac:dyDescent="0.15">
      <c r="K176" s="149"/>
      <c r="Q176" s="97"/>
    </row>
    <row r="177" spans="11:17" x14ac:dyDescent="0.15">
      <c r="K177" s="149"/>
      <c r="Q177" s="97"/>
    </row>
    <row r="178" spans="11:17" x14ac:dyDescent="0.15">
      <c r="K178" s="149"/>
      <c r="Q178" s="97"/>
    </row>
    <row r="179" spans="11:17" x14ac:dyDescent="0.15">
      <c r="K179" s="149"/>
      <c r="Q179" s="97"/>
    </row>
    <row r="180" spans="11:17" x14ac:dyDescent="0.15">
      <c r="K180" s="149"/>
      <c r="Q180" s="97"/>
    </row>
    <row r="181" spans="11:17" x14ac:dyDescent="0.15">
      <c r="K181" s="149"/>
      <c r="Q181" s="97"/>
    </row>
    <row r="182" spans="11:17" x14ac:dyDescent="0.15">
      <c r="K182" s="149"/>
      <c r="Q182" s="97"/>
    </row>
    <row r="183" spans="11:17" x14ac:dyDescent="0.15">
      <c r="K183" s="149"/>
      <c r="Q183" s="97"/>
    </row>
    <row r="184" spans="11:17" x14ac:dyDescent="0.15">
      <c r="K184" s="149"/>
      <c r="Q184" s="97"/>
    </row>
    <row r="185" spans="11:17" x14ac:dyDescent="0.15">
      <c r="K185" s="149"/>
      <c r="Q185" s="97"/>
    </row>
    <row r="186" spans="11:17" x14ac:dyDescent="0.15">
      <c r="K186" s="149"/>
      <c r="Q186" s="97"/>
    </row>
    <row r="187" spans="11:17" x14ac:dyDescent="0.15">
      <c r="K187" s="149"/>
      <c r="Q187" s="97"/>
    </row>
    <row r="188" spans="11:17" x14ac:dyDescent="0.15">
      <c r="K188" s="149"/>
      <c r="Q188" s="97"/>
    </row>
    <row r="189" spans="11:17" x14ac:dyDescent="0.15">
      <c r="K189" s="149"/>
      <c r="Q189" s="97"/>
    </row>
    <row r="190" spans="11:17" x14ac:dyDescent="0.15">
      <c r="K190" s="149"/>
      <c r="Q190" s="97"/>
    </row>
    <row r="191" spans="11:17" x14ac:dyDescent="0.15">
      <c r="K191" s="149"/>
      <c r="Q191" s="97"/>
    </row>
    <row r="192" spans="11:17" x14ac:dyDescent="0.15">
      <c r="K192" s="149"/>
      <c r="Q192" s="97"/>
    </row>
    <row r="193" spans="11:17" x14ac:dyDescent="0.15">
      <c r="K193" s="149"/>
      <c r="Q193" s="97"/>
    </row>
    <row r="194" spans="11:17" x14ac:dyDescent="0.15">
      <c r="K194" s="149"/>
      <c r="Q194" s="97"/>
    </row>
    <row r="195" spans="11:17" x14ac:dyDescent="0.15">
      <c r="K195" s="149"/>
      <c r="Q195" s="97"/>
    </row>
    <row r="196" spans="11:17" x14ac:dyDescent="0.15">
      <c r="K196" s="149"/>
      <c r="Q196" s="97"/>
    </row>
    <row r="197" spans="11:17" x14ac:dyDescent="0.15">
      <c r="K197" s="149"/>
      <c r="Q197" s="97"/>
    </row>
    <row r="198" spans="11:17" x14ac:dyDescent="0.15">
      <c r="K198" s="149"/>
      <c r="Q198" s="97"/>
    </row>
    <row r="199" spans="11:17" x14ac:dyDescent="0.15">
      <c r="K199" s="149"/>
      <c r="Q199" s="97"/>
    </row>
    <row r="200" spans="11:17" x14ac:dyDescent="0.15">
      <c r="K200" s="149"/>
      <c r="Q200" s="97"/>
    </row>
    <row r="201" spans="11:17" x14ac:dyDescent="0.15">
      <c r="K201" s="149"/>
      <c r="Q201" s="97"/>
    </row>
    <row r="202" spans="11:17" x14ac:dyDescent="0.15">
      <c r="K202" s="149"/>
      <c r="Q202" s="97"/>
    </row>
    <row r="203" spans="11:17" x14ac:dyDescent="0.15">
      <c r="K203" s="149"/>
      <c r="Q203" s="97"/>
    </row>
    <row r="204" spans="11:17" x14ac:dyDescent="0.15">
      <c r="K204" s="149"/>
      <c r="Q204" s="97"/>
    </row>
    <row r="205" spans="11:17" x14ac:dyDescent="0.15">
      <c r="K205" s="149"/>
      <c r="Q205" s="97"/>
    </row>
    <row r="206" spans="11:17" x14ac:dyDescent="0.15">
      <c r="K206" s="149"/>
      <c r="Q206" s="97"/>
    </row>
    <row r="207" spans="11:17" x14ac:dyDescent="0.15">
      <c r="K207" s="149"/>
      <c r="Q207" s="97"/>
    </row>
    <row r="208" spans="11:17" x14ac:dyDescent="0.15">
      <c r="K208" s="149"/>
      <c r="Q208" s="97"/>
    </row>
    <row r="209" spans="11:17" x14ac:dyDescent="0.15">
      <c r="K209" s="149"/>
      <c r="Q209" s="97"/>
    </row>
    <row r="210" spans="11:17" x14ac:dyDescent="0.15">
      <c r="K210" s="149"/>
      <c r="Q210" s="97"/>
    </row>
    <row r="211" spans="11:17" x14ac:dyDescent="0.15">
      <c r="K211" s="149"/>
      <c r="Q211" s="97"/>
    </row>
    <row r="212" spans="11:17" x14ac:dyDescent="0.15">
      <c r="K212" s="149"/>
      <c r="Q212" s="97"/>
    </row>
    <row r="213" spans="11:17" x14ac:dyDescent="0.15">
      <c r="K213" s="149"/>
      <c r="Q213" s="97"/>
    </row>
    <row r="214" spans="11:17" x14ac:dyDescent="0.15">
      <c r="K214" s="149"/>
      <c r="Q214" s="97"/>
    </row>
    <row r="215" spans="11:17" x14ac:dyDescent="0.15">
      <c r="K215" s="149"/>
      <c r="Q215" s="97"/>
    </row>
    <row r="216" spans="11:17" x14ac:dyDescent="0.15">
      <c r="K216" s="149"/>
      <c r="Q216" s="97"/>
    </row>
    <row r="217" spans="11:17" x14ac:dyDescent="0.15">
      <c r="K217" s="149"/>
      <c r="Q217" s="97"/>
    </row>
    <row r="218" spans="11:17" x14ac:dyDescent="0.15">
      <c r="K218" s="149"/>
      <c r="Q218" s="97"/>
    </row>
    <row r="219" spans="11:17" x14ac:dyDescent="0.15">
      <c r="K219" s="149"/>
      <c r="Q219" s="97"/>
    </row>
    <row r="220" spans="11:17" x14ac:dyDescent="0.15">
      <c r="K220" s="149"/>
      <c r="Q220" s="97"/>
    </row>
    <row r="221" spans="11:17" x14ac:dyDescent="0.15">
      <c r="K221" s="149"/>
      <c r="Q221" s="97"/>
    </row>
    <row r="222" spans="11:17" x14ac:dyDescent="0.15">
      <c r="K222" s="149"/>
      <c r="Q222" s="97"/>
    </row>
    <row r="223" spans="11:17" x14ac:dyDescent="0.15">
      <c r="K223" s="149"/>
      <c r="Q223" s="97"/>
    </row>
    <row r="224" spans="11:17" x14ac:dyDescent="0.15">
      <c r="K224" s="149"/>
      <c r="Q224" s="97"/>
    </row>
    <row r="225" spans="11:17" x14ac:dyDescent="0.15">
      <c r="K225" s="149"/>
      <c r="Q225" s="97"/>
    </row>
    <row r="226" spans="11:17" x14ac:dyDescent="0.15">
      <c r="K226" s="149"/>
      <c r="Q226" s="97"/>
    </row>
    <row r="227" spans="11:17" x14ac:dyDescent="0.15">
      <c r="K227" s="149"/>
      <c r="Q227" s="97"/>
    </row>
    <row r="228" spans="11:17" x14ac:dyDescent="0.15">
      <c r="K228" s="149"/>
      <c r="Q228" s="97"/>
    </row>
    <row r="229" spans="11:17" x14ac:dyDescent="0.15">
      <c r="K229" s="149"/>
      <c r="Q229" s="97"/>
    </row>
    <row r="230" spans="11:17" x14ac:dyDescent="0.15">
      <c r="K230" s="149"/>
      <c r="Q230" s="97"/>
    </row>
    <row r="231" spans="11:17" x14ac:dyDescent="0.15">
      <c r="K231" s="149"/>
      <c r="Q231" s="97"/>
    </row>
    <row r="232" spans="11:17" x14ac:dyDescent="0.15">
      <c r="K232" s="149"/>
      <c r="Q232" s="97"/>
    </row>
    <row r="233" spans="11:17" x14ac:dyDescent="0.15">
      <c r="K233" s="149"/>
      <c r="Q233" s="97"/>
    </row>
    <row r="234" spans="11:17" x14ac:dyDescent="0.15">
      <c r="K234" s="149"/>
      <c r="Q234" s="97"/>
    </row>
    <row r="235" spans="11:17" x14ac:dyDescent="0.15">
      <c r="K235" s="149"/>
      <c r="Q235" s="97"/>
    </row>
    <row r="236" spans="11:17" x14ac:dyDescent="0.15">
      <c r="K236" s="149"/>
      <c r="Q236" s="97"/>
    </row>
    <row r="237" spans="11:17" x14ac:dyDescent="0.15">
      <c r="K237" s="149"/>
      <c r="Q237" s="97"/>
    </row>
    <row r="238" spans="11:17" x14ac:dyDescent="0.15">
      <c r="K238" s="149"/>
      <c r="Q238" s="97"/>
    </row>
    <row r="239" spans="11:17" x14ac:dyDescent="0.15">
      <c r="K239" s="149"/>
      <c r="Q239" s="97"/>
    </row>
    <row r="240" spans="11:17" x14ac:dyDescent="0.15">
      <c r="K240" s="149"/>
      <c r="Q240" s="97"/>
    </row>
    <row r="241" spans="11:17" x14ac:dyDescent="0.15">
      <c r="K241" s="149"/>
      <c r="Q241" s="97"/>
    </row>
    <row r="242" spans="11:17" x14ac:dyDescent="0.15">
      <c r="K242" s="149"/>
      <c r="Q242" s="97"/>
    </row>
    <row r="243" spans="11:17" x14ac:dyDescent="0.15">
      <c r="K243" s="149"/>
      <c r="Q243" s="97"/>
    </row>
    <row r="244" spans="11:17" x14ac:dyDescent="0.15">
      <c r="K244" s="149"/>
      <c r="Q244" s="97"/>
    </row>
    <row r="245" spans="11:17" x14ac:dyDescent="0.15">
      <c r="K245" s="149"/>
      <c r="Q245" s="97"/>
    </row>
    <row r="246" spans="11:17" x14ac:dyDescent="0.15">
      <c r="K246" s="149"/>
      <c r="Q246" s="97"/>
    </row>
    <row r="247" spans="11:17" x14ac:dyDescent="0.15">
      <c r="K247" s="149"/>
      <c r="Q247" s="97"/>
    </row>
    <row r="248" spans="11:17" x14ac:dyDescent="0.15">
      <c r="K248" s="149"/>
      <c r="Q248" s="97"/>
    </row>
    <row r="249" spans="11:17" x14ac:dyDescent="0.15">
      <c r="K249" s="149"/>
      <c r="Q249" s="97"/>
    </row>
    <row r="250" spans="11:17" x14ac:dyDescent="0.15">
      <c r="K250" s="149"/>
      <c r="Q250" s="97"/>
    </row>
    <row r="251" spans="11:17" x14ac:dyDescent="0.15">
      <c r="K251" s="149"/>
      <c r="Q251" s="97"/>
    </row>
    <row r="252" spans="11:17" x14ac:dyDescent="0.15">
      <c r="K252" s="149"/>
      <c r="Q252" s="97"/>
    </row>
    <row r="253" spans="11:17" x14ac:dyDescent="0.15">
      <c r="K253" s="149"/>
      <c r="Q253" s="97"/>
    </row>
    <row r="254" spans="11:17" x14ac:dyDescent="0.15">
      <c r="K254" s="149"/>
      <c r="Q254" s="97"/>
    </row>
    <row r="255" spans="11:17" x14ac:dyDescent="0.15">
      <c r="K255" s="149"/>
      <c r="Q255" s="97"/>
    </row>
    <row r="256" spans="11:17" x14ac:dyDescent="0.15">
      <c r="K256" s="149"/>
      <c r="Q256" s="97"/>
    </row>
    <row r="257" spans="11:17" x14ac:dyDescent="0.15">
      <c r="K257" s="149"/>
      <c r="Q257" s="97"/>
    </row>
    <row r="258" spans="11:17" x14ac:dyDescent="0.15">
      <c r="K258" s="149"/>
      <c r="Q258" s="97"/>
    </row>
    <row r="259" spans="11:17" x14ac:dyDescent="0.15">
      <c r="K259" s="149"/>
      <c r="Q259" s="97"/>
    </row>
    <row r="260" spans="11:17" x14ac:dyDescent="0.15">
      <c r="K260" s="149"/>
      <c r="Q260" s="97"/>
    </row>
    <row r="261" spans="11:17" x14ac:dyDescent="0.15">
      <c r="K261" s="149"/>
      <c r="Q261" s="97"/>
    </row>
    <row r="262" spans="11:17" x14ac:dyDescent="0.15">
      <c r="K262" s="149"/>
      <c r="Q262" s="97"/>
    </row>
    <row r="263" spans="11:17" x14ac:dyDescent="0.15">
      <c r="K263" s="149"/>
      <c r="Q263" s="97"/>
    </row>
    <row r="264" spans="11:17" x14ac:dyDescent="0.15">
      <c r="K264" s="149"/>
      <c r="Q264" s="97"/>
    </row>
    <row r="265" spans="11:17" x14ac:dyDescent="0.15">
      <c r="K265" s="149"/>
      <c r="Q265" s="97"/>
    </row>
    <row r="266" spans="11:17" x14ac:dyDescent="0.15">
      <c r="K266" s="149"/>
      <c r="Q266" s="97"/>
    </row>
    <row r="267" spans="11:17" x14ac:dyDescent="0.15">
      <c r="K267" s="149"/>
      <c r="Q267" s="97"/>
    </row>
    <row r="268" spans="11:17" x14ac:dyDescent="0.15">
      <c r="K268" s="149"/>
      <c r="Q268" s="97"/>
    </row>
    <row r="269" spans="11:17" x14ac:dyDescent="0.15">
      <c r="K269" s="149"/>
      <c r="Q269" s="97"/>
    </row>
    <row r="270" spans="11:17" x14ac:dyDescent="0.15">
      <c r="K270" s="149"/>
      <c r="Q270" s="97"/>
    </row>
    <row r="271" spans="11:17" x14ac:dyDescent="0.15">
      <c r="K271" s="149"/>
      <c r="Q271" s="97"/>
    </row>
    <row r="272" spans="11:17" x14ac:dyDescent="0.15">
      <c r="K272" s="149"/>
      <c r="Q272" s="97"/>
    </row>
    <row r="273" spans="11:17" x14ac:dyDescent="0.15">
      <c r="K273" s="149"/>
      <c r="Q273" s="97"/>
    </row>
    <row r="274" spans="11:17" x14ac:dyDescent="0.15">
      <c r="K274" s="149"/>
      <c r="Q274" s="97"/>
    </row>
    <row r="275" spans="11:17" x14ac:dyDescent="0.15">
      <c r="K275" s="149"/>
      <c r="Q275" s="97"/>
    </row>
    <row r="276" spans="11:17" x14ac:dyDescent="0.15">
      <c r="K276" s="149"/>
      <c r="Q276" s="97"/>
    </row>
    <row r="277" spans="11:17" x14ac:dyDescent="0.15">
      <c r="K277" s="149"/>
      <c r="Q277" s="97"/>
    </row>
    <row r="278" spans="11:17" x14ac:dyDescent="0.15">
      <c r="K278" s="149"/>
      <c r="Q278" s="97"/>
    </row>
    <row r="279" spans="11:17" x14ac:dyDescent="0.15">
      <c r="K279" s="149"/>
      <c r="Q279" s="97"/>
    </row>
    <row r="280" spans="11:17" x14ac:dyDescent="0.15">
      <c r="K280" s="149"/>
      <c r="Q280" s="97"/>
    </row>
    <row r="281" spans="11:17" x14ac:dyDescent="0.15">
      <c r="K281" s="149"/>
      <c r="Q281" s="97"/>
    </row>
    <row r="282" spans="11:17" x14ac:dyDescent="0.15">
      <c r="K282" s="149"/>
      <c r="Q282" s="97"/>
    </row>
    <row r="283" spans="11:17" x14ac:dyDescent="0.15">
      <c r="K283" s="149"/>
      <c r="Q283" s="97"/>
    </row>
    <row r="284" spans="11:17" x14ac:dyDescent="0.15">
      <c r="K284" s="149"/>
      <c r="Q284" s="97"/>
    </row>
    <row r="285" spans="11:17" x14ac:dyDescent="0.15">
      <c r="K285" s="149"/>
      <c r="Q285" s="97"/>
    </row>
    <row r="286" spans="11:17" x14ac:dyDescent="0.15">
      <c r="K286" s="149"/>
      <c r="Q286" s="97"/>
    </row>
    <row r="287" spans="11:17" x14ac:dyDescent="0.15">
      <c r="K287" s="149"/>
      <c r="Q287" s="97"/>
    </row>
    <row r="288" spans="11:17" x14ac:dyDescent="0.15">
      <c r="K288" s="149"/>
      <c r="Q288" s="97"/>
    </row>
    <row r="289" spans="11:17" x14ac:dyDescent="0.15">
      <c r="K289" s="149"/>
      <c r="Q289" s="97"/>
    </row>
    <row r="290" spans="11:17" x14ac:dyDescent="0.15">
      <c r="K290" s="149"/>
      <c r="Q290" s="97"/>
    </row>
    <row r="291" spans="11:17" x14ac:dyDescent="0.15">
      <c r="K291" s="149"/>
      <c r="Q291" s="97"/>
    </row>
    <row r="292" spans="11:17" x14ac:dyDescent="0.15">
      <c r="K292" s="149"/>
    </row>
    <row r="293" spans="11:17" x14ac:dyDescent="0.15">
      <c r="K293" s="149"/>
    </row>
    <row r="294" spans="11:17" x14ac:dyDescent="0.15">
      <c r="K294" s="149"/>
    </row>
    <row r="295" spans="11:17" x14ac:dyDescent="0.15">
      <c r="K295" s="149"/>
    </row>
    <row r="296" spans="11:17" x14ac:dyDescent="0.15">
      <c r="K296" s="149"/>
    </row>
    <row r="297" spans="11:17" x14ac:dyDescent="0.15">
      <c r="K297" s="149"/>
    </row>
    <row r="298" spans="11:17" x14ac:dyDescent="0.15">
      <c r="K298" s="149"/>
    </row>
    <row r="299" spans="11:17" x14ac:dyDescent="0.15">
      <c r="K299" s="149"/>
    </row>
    <row r="300" spans="11:17" x14ac:dyDescent="0.15">
      <c r="K300" s="149"/>
    </row>
    <row r="301" spans="11:17" x14ac:dyDescent="0.15">
      <c r="K301" s="149"/>
    </row>
    <row r="302" spans="11:17" x14ac:dyDescent="0.15">
      <c r="K302" s="149"/>
    </row>
    <row r="303" spans="11:17" x14ac:dyDescent="0.15">
      <c r="K303" s="149"/>
    </row>
    <row r="304" spans="11:17" x14ac:dyDescent="0.15">
      <c r="K304" s="149"/>
    </row>
    <row r="305" spans="11:11" x14ac:dyDescent="0.15">
      <c r="K305" s="149"/>
    </row>
    <row r="306" spans="11:11" x14ac:dyDescent="0.15">
      <c r="K306" s="149"/>
    </row>
    <row r="307" spans="11:11" x14ac:dyDescent="0.15">
      <c r="K307" s="149"/>
    </row>
    <row r="308" spans="11:11" x14ac:dyDescent="0.15">
      <c r="K308" s="149"/>
    </row>
    <row r="309" spans="11:11" x14ac:dyDescent="0.15">
      <c r="K309" s="149"/>
    </row>
    <row r="310" spans="11:11" x14ac:dyDescent="0.15">
      <c r="K310" s="149"/>
    </row>
    <row r="311" spans="11:11" x14ac:dyDescent="0.15">
      <c r="K311" s="149"/>
    </row>
    <row r="312" spans="11:11" x14ac:dyDescent="0.15">
      <c r="K312" s="149"/>
    </row>
    <row r="313" spans="11:11" x14ac:dyDescent="0.15">
      <c r="K313" s="149"/>
    </row>
    <row r="314" spans="11:11" x14ac:dyDescent="0.15">
      <c r="K314" s="149"/>
    </row>
    <row r="315" spans="11:11" x14ac:dyDescent="0.15">
      <c r="K315" s="149"/>
    </row>
    <row r="316" spans="11:11" x14ac:dyDescent="0.15">
      <c r="K316" s="149"/>
    </row>
    <row r="317" spans="11:11" x14ac:dyDescent="0.15">
      <c r="K317" s="149"/>
    </row>
    <row r="318" spans="11:11" x14ac:dyDescent="0.15">
      <c r="K318" s="149"/>
    </row>
    <row r="319" spans="11:11" x14ac:dyDescent="0.15">
      <c r="K319" s="149"/>
    </row>
    <row r="320" spans="11:11" x14ac:dyDescent="0.15">
      <c r="K320" s="149"/>
    </row>
    <row r="321" spans="11:11" x14ac:dyDescent="0.15">
      <c r="K321" s="149"/>
    </row>
    <row r="322" spans="11:11" x14ac:dyDescent="0.15">
      <c r="K322" s="149"/>
    </row>
    <row r="323" spans="11:11" x14ac:dyDescent="0.15">
      <c r="K323" s="149"/>
    </row>
    <row r="324" spans="11:11" x14ac:dyDescent="0.15">
      <c r="K324" s="149"/>
    </row>
    <row r="325" spans="11:11" x14ac:dyDescent="0.15">
      <c r="K325" s="149"/>
    </row>
    <row r="326" spans="11:11" x14ac:dyDescent="0.15">
      <c r="K326" s="149"/>
    </row>
    <row r="327" spans="11:11" x14ac:dyDescent="0.15">
      <c r="K327" s="149"/>
    </row>
    <row r="328" spans="11:11" x14ac:dyDescent="0.15">
      <c r="K328" s="149"/>
    </row>
    <row r="329" spans="11:11" x14ac:dyDescent="0.15">
      <c r="K329" s="149"/>
    </row>
    <row r="330" spans="11:11" x14ac:dyDescent="0.15">
      <c r="K330" s="149"/>
    </row>
    <row r="331" spans="11:11" x14ac:dyDescent="0.15">
      <c r="K331" s="149"/>
    </row>
    <row r="332" spans="11:11" x14ac:dyDescent="0.15">
      <c r="K332" s="149"/>
    </row>
    <row r="333" spans="11:11" x14ac:dyDescent="0.15">
      <c r="K333" s="149"/>
    </row>
    <row r="334" spans="11:11" x14ac:dyDescent="0.15">
      <c r="K334" s="149"/>
    </row>
    <row r="335" spans="11:11" x14ac:dyDescent="0.15">
      <c r="K335" s="149"/>
    </row>
    <row r="336" spans="11:11" x14ac:dyDescent="0.15">
      <c r="K336" s="149"/>
    </row>
    <row r="337" spans="11:11" x14ac:dyDescent="0.15">
      <c r="K337" s="149"/>
    </row>
    <row r="338" spans="11:11" x14ac:dyDescent="0.15">
      <c r="K338" s="149"/>
    </row>
    <row r="339" spans="11:11" x14ac:dyDescent="0.15">
      <c r="K339" s="149"/>
    </row>
    <row r="340" spans="11:11" x14ac:dyDescent="0.15">
      <c r="K340" s="149"/>
    </row>
    <row r="341" spans="11:11" x14ac:dyDescent="0.15">
      <c r="K341" s="149"/>
    </row>
    <row r="342" spans="11:11" x14ac:dyDescent="0.15">
      <c r="K342" s="149"/>
    </row>
    <row r="343" spans="11:11" x14ac:dyDescent="0.15">
      <c r="K343" s="149"/>
    </row>
    <row r="344" spans="11:11" x14ac:dyDescent="0.15">
      <c r="K344" s="149"/>
    </row>
    <row r="345" spans="11:11" x14ac:dyDescent="0.15">
      <c r="K345" s="149"/>
    </row>
    <row r="346" spans="11:11" x14ac:dyDescent="0.15">
      <c r="K346" s="149"/>
    </row>
    <row r="347" spans="11:11" x14ac:dyDescent="0.15">
      <c r="K347" s="149"/>
    </row>
    <row r="348" spans="11:11" x14ac:dyDescent="0.15">
      <c r="K348" s="149"/>
    </row>
    <row r="349" spans="11:11" x14ac:dyDescent="0.15">
      <c r="K349" s="149"/>
    </row>
    <row r="350" spans="11:11" x14ac:dyDescent="0.15">
      <c r="K350" s="149"/>
    </row>
    <row r="351" spans="11:11" x14ac:dyDescent="0.15">
      <c r="K351" s="149"/>
    </row>
    <row r="352" spans="11:11" x14ac:dyDescent="0.15">
      <c r="K352" s="149"/>
    </row>
    <row r="353" spans="11:11" x14ac:dyDescent="0.15">
      <c r="K353" s="149"/>
    </row>
    <row r="354" spans="11:11" x14ac:dyDescent="0.15">
      <c r="K354" s="149"/>
    </row>
    <row r="355" spans="11:11" x14ac:dyDescent="0.15">
      <c r="K355" s="149"/>
    </row>
    <row r="356" spans="11:11" x14ac:dyDescent="0.15">
      <c r="K356" s="149"/>
    </row>
    <row r="357" spans="11:11" x14ac:dyDescent="0.15">
      <c r="K357" s="149"/>
    </row>
    <row r="358" spans="11:11" x14ac:dyDescent="0.15">
      <c r="K358" s="149"/>
    </row>
    <row r="359" spans="11:11" x14ac:dyDescent="0.15">
      <c r="K359" s="149"/>
    </row>
    <row r="360" spans="11:11" x14ac:dyDescent="0.15">
      <c r="K360" s="149"/>
    </row>
    <row r="361" spans="11:11" x14ac:dyDescent="0.15">
      <c r="K361" s="149"/>
    </row>
    <row r="362" spans="11:11" x14ac:dyDescent="0.15">
      <c r="K362" s="149"/>
    </row>
    <row r="363" spans="11:11" x14ac:dyDescent="0.15">
      <c r="K363" s="149"/>
    </row>
    <row r="364" spans="11:11" x14ac:dyDescent="0.15">
      <c r="K364" s="149"/>
    </row>
    <row r="365" spans="11:11" x14ac:dyDescent="0.15">
      <c r="K365" s="149"/>
    </row>
    <row r="366" spans="11:11" x14ac:dyDescent="0.15">
      <c r="K366" s="149"/>
    </row>
    <row r="367" spans="11:11" x14ac:dyDescent="0.15">
      <c r="K367" s="149"/>
    </row>
    <row r="368" spans="11:11" x14ac:dyDescent="0.15">
      <c r="K368" s="149"/>
    </row>
    <row r="369" spans="11:11" x14ac:dyDescent="0.15">
      <c r="K369" s="149"/>
    </row>
    <row r="370" spans="11:11" x14ac:dyDescent="0.15">
      <c r="K370" s="149"/>
    </row>
    <row r="371" spans="11:11" x14ac:dyDescent="0.15">
      <c r="K371" s="149"/>
    </row>
    <row r="372" spans="11:11" x14ac:dyDescent="0.15">
      <c r="K372" s="149"/>
    </row>
    <row r="373" spans="11:11" x14ac:dyDescent="0.15">
      <c r="K373" s="149"/>
    </row>
    <row r="374" spans="11:11" x14ac:dyDescent="0.15">
      <c r="K374" s="149"/>
    </row>
    <row r="375" spans="11:11" x14ac:dyDescent="0.15">
      <c r="K375" s="149"/>
    </row>
    <row r="376" spans="11:11" x14ac:dyDescent="0.15">
      <c r="K376" s="149"/>
    </row>
    <row r="377" spans="11:11" x14ac:dyDescent="0.15">
      <c r="K377" s="149"/>
    </row>
    <row r="378" spans="11:11" x14ac:dyDescent="0.15">
      <c r="K378" s="149"/>
    </row>
    <row r="379" spans="11:11" x14ac:dyDescent="0.15">
      <c r="K379" s="149"/>
    </row>
    <row r="380" spans="11:11" x14ac:dyDescent="0.15">
      <c r="K380" s="149"/>
    </row>
    <row r="381" spans="11:11" x14ac:dyDescent="0.15">
      <c r="K381" s="149"/>
    </row>
    <row r="382" spans="11:11" x14ac:dyDescent="0.15">
      <c r="K382" s="149"/>
    </row>
    <row r="383" spans="11:11" x14ac:dyDescent="0.15">
      <c r="K383" s="149"/>
    </row>
    <row r="384" spans="11:11" x14ac:dyDescent="0.15">
      <c r="K384" s="149"/>
    </row>
    <row r="385" spans="11:11" x14ac:dyDescent="0.15">
      <c r="K385" s="149"/>
    </row>
    <row r="386" spans="11:11" x14ac:dyDescent="0.15">
      <c r="K386" s="149"/>
    </row>
    <row r="387" spans="11:11" x14ac:dyDescent="0.15">
      <c r="K387" s="149"/>
    </row>
    <row r="388" spans="11:11" x14ac:dyDescent="0.15">
      <c r="K388" s="149"/>
    </row>
    <row r="389" spans="11:11" x14ac:dyDescent="0.15">
      <c r="K389" s="149"/>
    </row>
    <row r="390" spans="11:11" x14ac:dyDescent="0.15">
      <c r="K390" s="149"/>
    </row>
    <row r="391" spans="11:11" x14ac:dyDescent="0.15">
      <c r="K391" s="149"/>
    </row>
    <row r="392" spans="11:11" x14ac:dyDescent="0.15">
      <c r="K392" s="149"/>
    </row>
    <row r="393" spans="11:11" x14ac:dyDescent="0.15">
      <c r="K393" s="149"/>
    </row>
    <row r="394" spans="11:11" x14ac:dyDescent="0.15">
      <c r="K394" s="149"/>
    </row>
    <row r="395" spans="11:11" x14ac:dyDescent="0.15">
      <c r="K395" s="149"/>
    </row>
    <row r="396" spans="11:11" x14ac:dyDescent="0.15">
      <c r="K396" s="149"/>
    </row>
    <row r="397" spans="11:11" x14ac:dyDescent="0.15">
      <c r="K397" s="149"/>
    </row>
    <row r="398" spans="11:11" x14ac:dyDescent="0.15">
      <c r="K398" s="149"/>
    </row>
    <row r="399" spans="11:11" x14ac:dyDescent="0.15">
      <c r="K399" s="149"/>
    </row>
    <row r="400" spans="11:11" x14ac:dyDescent="0.15">
      <c r="K400" s="149"/>
    </row>
    <row r="401" spans="11:11" x14ac:dyDescent="0.15">
      <c r="K401" s="149"/>
    </row>
    <row r="402" spans="11:11" x14ac:dyDescent="0.15">
      <c r="K402" s="149"/>
    </row>
    <row r="403" spans="11:11" x14ac:dyDescent="0.15">
      <c r="K403" s="149"/>
    </row>
    <row r="404" spans="11:11" x14ac:dyDescent="0.15">
      <c r="K404" s="149"/>
    </row>
    <row r="405" spans="11:11" x14ac:dyDescent="0.15">
      <c r="K405" s="149"/>
    </row>
    <row r="406" spans="11:11" x14ac:dyDescent="0.15">
      <c r="K406" s="149"/>
    </row>
    <row r="407" spans="11:11" x14ac:dyDescent="0.15">
      <c r="K407" s="149"/>
    </row>
    <row r="408" spans="11:11" x14ac:dyDescent="0.15">
      <c r="K408" s="149"/>
    </row>
    <row r="409" spans="11:11" x14ac:dyDescent="0.15">
      <c r="K409" s="149"/>
    </row>
    <row r="410" spans="11:11" x14ac:dyDescent="0.15">
      <c r="K410" s="149"/>
    </row>
    <row r="411" spans="11:11" x14ac:dyDescent="0.15">
      <c r="K411" s="149"/>
    </row>
    <row r="412" spans="11:11" x14ac:dyDescent="0.15">
      <c r="K412" s="149"/>
    </row>
    <row r="413" spans="11:11" x14ac:dyDescent="0.15">
      <c r="K413" s="149"/>
    </row>
    <row r="414" spans="11:11" x14ac:dyDescent="0.15">
      <c r="K414" s="149"/>
    </row>
    <row r="415" spans="11:11" x14ac:dyDescent="0.15">
      <c r="K415" s="149"/>
    </row>
    <row r="416" spans="11:11" x14ac:dyDescent="0.15">
      <c r="K416" s="149"/>
    </row>
    <row r="417" spans="11:11" x14ac:dyDescent="0.15">
      <c r="K417" s="149"/>
    </row>
    <row r="418" spans="11:11" x14ac:dyDescent="0.15">
      <c r="K418" s="149"/>
    </row>
    <row r="419" spans="11:11" x14ac:dyDescent="0.15">
      <c r="K419" s="149"/>
    </row>
    <row r="420" spans="11:11" x14ac:dyDescent="0.15">
      <c r="K420" s="149"/>
    </row>
    <row r="421" spans="11:11" x14ac:dyDescent="0.15">
      <c r="K421" s="149"/>
    </row>
    <row r="422" spans="11:11" x14ac:dyDescent="0.15">
      <c r="K422" s="149"/>
    </row>
    <row r="423" spans="11:11" x14ac:dyDescent="0.15">
      <c r="K423" s="149"/>
    </row>
    <row r="424" spans="11:11" x14ac:dyDescent="0.15">
      <c r="K424" s="149"/>
    </row>
    <row r="425" spans="11:11" x14ac:dyDescent="0.15">
      <c r="K425" s="149"/>
    </row>
    <row r="426" spans="11:11" x14ac:dyDescent="0.15">
      <c r="K426" s="149"/>
    </row>
    <row r="427" spans="11:11" x14ac:dyDescent="0.15">
      <c r="K427" s="149"/>
    </row>
    <row r="428" spans="11:11" x14ac:dyDescent="0.15">
      <c r="K428" s="149"/>
    </row>
    <row r="429" spans="11:11" x14ac:dyDescent="0.15">
      <c r="K429" s="149"/>
    </row>
    <row r="430" spans="11:11" x14ac:dyDescent="0.15">
      <c r="K430" s="149"/>
    </row>
    <row r="431" spans="11:11" x14ac:dyDescent="0.15">
      <c r="K431" s="149"/>
    </row>
    <row r="432" spans="11:11" x14ac:dyDescent="0.15">
      <c r="K432" s="149"/>
    </row>
    <row r="433" spans="11:11" x14ac:dyDescent="0.15">
      <c r="K433" s="149"/>
    </row>
    <row r="434" spans="11:11" x14ac:dyDescent="0.15">
      <c r="K434" s="149"/>
    </row>
    <row r="435" spans="11:11" x14ac:dyDescent="0.15">
      <c r="K435" s="149"/>
    </row>
    <row r="436" spans="11:11" x14ac:dyDescent="0.15">
      <c r="K436" s="149"/>
    </row>
    <row r="437" spans="11:11" x14ac:dyDescent="0.15">
      <c r="K437" s="149"/>
    </row>
    <row r="438" spans="11:11" x14ac:dyDescent="0.15">
      <c r="K438" s="149"/>
    </row>
    <row r="439" spans="11:11" x14ac:dyDescent="0.15">
      <c r="K439" s="149"/>
    </row>
    <row r="440" spans="11:11" x14ac:dyDescent="0.15">
      <c r="K440" s="149"/>
    </row>
    <row r="441" spans="11:11" x14ac:dyDescent="0.15">
      <c r="K441" s="149"/>
    </row>
    <row r="442" spans="11:11" x14ac:dyDescent="0.15">
      <c r="K442" s="149"/>
    </row>
    <row r="443" spans="11:11" x14ac:dyDescent="0.15">
      <c r="K443" s="149"/>
    </row>
  </sheetData>
  <autoFilter ref="A1:BA1" xr:uid="{00000000-0009-0000-0000-000000000000}"/>
  <phoneticPr fontId="3"/>
  <dataValidations count="20">
    <dataValidation type="list" allowBlank="1" showInputMessage="1" showErrorMessage="1" sqref="F2:F491" xr:uid="{9881229C-29D4-45E6-AFF4-52E7F57B8D39}">
      <formula1>$AH$2:$AH$11</formula1>
    </dataValidation>
    <dataValidation type="list" allowBlank="1" showInputMessage="1" showErrorMessage="1" sqref="E2:E491" xr:uid="{FEEC94DF-FE7F-4BE7-AD11-E982DFB8B58E}">
      <formula1>$AG$2:$AG$11</formula1>
    </dataValidation>
    <dataValidation type="decimal" allowBlank="1" showInputMessage="1" showErrorMessage="1" error="硬度を正しく入力して下さい。" sqref="O2:P491" xr:uid="{AFE02619-47B8-45D7-93FF-B34A3CBB83E0}">
      <formula1>0</formula1>
      <formula2>7</formula2>
    </dataValidation>
    <dataValidation type="list" allowBlank="1" showInputMessage="1" showErrorMessage="1" sqref="Y2:AA491" xr:uid="{1CCFC037-A519-45D7-AB25-2C4A8DF00791}">
      <formula1>$AV$2:$AV$21</formula1>
    </dataValidation>
    <dataValidation type="list" allowBlank="1" showInputMessage="1" showErrorMessage="1" sqref="K444:K491" xr:uid="{EA334B6E-C6B8-40F3-86A5-61A69633D4FB}">
      <formula1>$AR$2:$AR$25</formula1>
    </dataValidation>
    <dataValidation type="list" allowBlank="1" showInputMessage="1" showErrorMessage="1" sqref="I2:I491" xr:uid="{AE4510CE-E3ED-470F-B4A1-6F4A8B1682F1}">
      <formula1>$AN$5:$AN$6</formula1>
    </dataValidation>
    <dataValidation type="list" allowBlank="1" showInputMessage="1" showErrorMessage="1" sqref="H2:H491" xr:uid="{F7823E36-C4E5-4BAD-9FC0-73B64756AE26}">
      <formula1>$AL$2:$AL$8</formula1>
    </dataValidation>
    <dataValidation type="list" allowBlank="1" showInputMessage="1" showErrorMessage="1" sqref="A2:A491" xr:uid="{44A90642-4D35-4A8A-8706-C710DC7A643A}">
      <formula1>$AE$2:$AE$19</formula1>
    </dataValidation>
    <dataValidation type="list" allowBlank="1" showInputMessage="1" showErrorMessage="1" sqref="X2:X491" xr:uid="{ADC8495A-A7D4-486B-A8D8-8801D8864ADF}">
      <formula1>$AT$2:$AT$3</formula1>
    </dataValidation>
    <dataValidation type="list" allowBlank="1" showInputMessage="1" showErrorMessage="1" sqref="G2:G491" xr:uid="{0FBCE152-C22C-4DE1-8703-FD910E04E8F0}">
      <formula1>$AJ$2:$AJ$4</formula1>
    </dataValidation>
    <dataValidation type="list" allowBlank="1" showInputMessage="1" showErrorMessage="1" sqref="J2:J491" xr:uid="{ACA78C6C-9240-4776-91D1-0E0850319EB1}">
      <formula1>$AP$2:$AP$27</formula1>
    </dataValidation>
    <dataValidation operator="equal" allowBlank="1" showInputMessage="1" showErrorMessage="1" sqref="B2:B46" xr:uid="{F0CE1348-DB23-420E-9228-77262A85F4F3}"/>
    <dataValidation type="list" allowBlank="1" showInputMessage="1" showErrorMessage="1" sqref="F492:F64242" xr:uid="{C47E71AB-648E-46DC-986D-6B82BB80465C}">
      <formula1>$AH$2:$AH$8</formula1>
    </dataValidation>
    <dataValidation type="list" allowBlank="1" showInputMessage="1" showErrorMessage="1" sqref="E492:E64242" xr:uid="{EBBA7DA3-95B0-43DF-A037-2B5A27110399}">
      <formula1>$AG$2:$AG$9</formula1>
    </dataValidation>
    <dataValidation type="list" allowBlank="1" showInputMessage="1" showErrorMessage="1" sqref="H492:H64242" xr:uid="{89F04D4F-A5D5-4C8A-9F4C-F99845B9D7A3}">
      <formula1>$AL$2:$AL$10</formula1>
    </dataValidation>
    <dataValidation type="list" allowBlank="1" showInputMessage="1" showErrorMessage="1" sqref="K492:K64242" xr:uid="{D273B8FE-963A-4E6D-B9A4-2A5DB029C94B}">
      <formula1>$AR$2:$AR$28</formula1>
    </dataValidation>
    <dataValidation type="list" allowBlank="1" showInputMessage="1" showErrorMessage="1" sqref="Y492:AA64242" xr:uid="{6881DEDF-D526-49B2-BB1D-2083FBC11561}">
      <formula1>$AV$2:$AV$26</formula1>
    </dataValidation>
    <dataValidation type="list" allowBlank="1" showInputMessage="1" showErrorMessage="1" sqref="I492:I64242" xr:uid="{D98CAE81-E589-4201-9165-D72F2B65143D}">
      <formula1>$AN$2:$AN$6</formula1>
    </dataValidation>
    <dataValidation type="list" allowBlank="1" showInputMessage="1" showErrorMessage="1" sqref="J492:J64242" xr:uid="{56793CAB-0FB2-4E9F-8FF1-171C697F420E}">
      <formula1>$AP$2:$AP$16</formula1>
    </dataValidation>
    <dataValidation type="list" allowBlank="1" showInputMessage="1" showErrorMessage="1" sqref="K2:K443" xr:uid="{BE2E8936-9C75-4A64-B200-FC4B936AB86B}">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5D814-548F-49BD-83A4-54BCD7D01FC4}">
  <dimension ref="A1:BA764"/>
  <sheetViews>
    <sheetView zoomScale="70" zoomScaleNormal="70" workbookViewId="0">
      <selection activeCell="G25" sqref="G25"/>
    </sheetView>
  </sheetViews>
  <sheetFormatPr defaultColWidth="9" defaultRowHeight="13.5" x14ac:dyDescent="0.15"/>
  <cols>
    <col min="1" max="3" width="9" style="53"/>
    <col min="4" max="4" width="10.42578125" style="53" bestFit="1" customWidth="1"/>
    <col min="5" max="5" width="10.85546875" style="53" bestFit="1" customWidth="1"/>
    <col min="6" max="6" width="18.85546875" style="53" bestFit="1" customWidth="1"/>
    <col min="7" max="9" width="9" style="53"/>
    <col min="10" max="10" width="9.28515625" style="53" customWidth="1"/>
    <col min="11" max="16" width="9" style="53"/>
    <col min="17" max="17" width="9" style="16"/>
    <col min="18" max="19" width="9" style="53"/>
    <col min="20" max="20" width="9" style="16"/>
    <col min="21" max="21" width="9" style="53"/>
    <col min="22" max="22" width="14.28515625" style="16" customWidth="1"/>
    <col min="23" max="23" width="9" style="53"/>
    <col min="24" max="24" width="9.5703125" style="53" customWidth="1"/>
    <col min="25" max="26" width="9" style="53"/>
    <col min="27" max="27" width="12.140625" style="53" customWidth="1"/>
    <col min="28" max="32" width="9" style="53"/>
    <col min="33" max="33" width="15.140625" style="53" bestFit="1" customWidth="1"/>
    <col min="34" max="34" width="19.5703125" style="53" bestFit="1" customWidth="1"/>
    <col min="35" max="16384" width="9" style="53"/>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309</v>
      </c>
      <c r="V1" s="5" t="s">
        <v>20</v>
      </c>
      <c r="W1" s="2" t="s">
        <v>21</v>
      </c>
      <c r="X1" s="45" t="s">
        <v>22</v>
      </c>
      <c r="Y1" s="45" t="s">
        <v>23</v>
      </c>
      <c r="Z1" s="45" t="s">
        <v>367</v>
      </c>
      <c r="AA1" s="46" t="s">
        <v>25</v>
      </c>
      <c r="AB1" s="6" t="s">
        <v>26</v>
      </c>
      <c r="AE1" s="8" t="s">
        <v>0</v>
      </c>
      <c r="AF1" s="9"/>
      <c r="AG1" s="231"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54" customFormat="1" x14ac:dyDescent="0.15">
      <c r="A2" s="54" t="s">
        <v>34</v>
      </c>
      <c r="B2" s="53" t="s">
        <v>234</v>
      </c>
      <c r="C2" s="53">
        <v>2019</v>
      </c>
      <c r="D2" s="232" t="s">
        <v>159</v>
      </c>
      <c r="E2" s="36" t="s">
        <v>368</v>
      </c>
      <c r="F2" s="36" t="s">
        <v>369</v>
      </c>
      <c r="G2" s="54" t="s">
        <v>36</v>
      </c>
      <c r="H2" s="53" t="s">
        <v>162</v>
      </c>
      <c r="I2" s="54" t="s">
        <v>161</v>
      </c>
      <c r="J2" s="54" t="s">
        <v>38</v>
      </c>
      <c r="K2" s="54" t="s">
        <v>163</v>
      </c>
      <c r="L2" s="54">
        <v>1</v>
      </c>
      <c r="N2" s="54">
        <v>1</v>
      </c>
      <c r="O2" s="54">
        <v>0.65</v>
      </c>
      <c r="P2" s="54">
        <v>0.7</v>
      </c>
      <c r="Q2" s="97">
        <f t="shared" ref="Q2:Q82" si="0">IF(OR(O2="",P2=""),"",AVERAGE(O2,P2))</f>
        <v>0.67500000000000004</v>
      </c>
      <c r="R2" s="54">
        <v>20.3</v>
      </c>
      <c r="S2" s="54">
        <v>127</v>
      </c>
      <c r="T2" s="16">
        <f t="shared" ref="T2:T82" si="1">IF(H2="","",IF(OR(H2="GREEN",H2="GK"),IF(S2&gt;=$AX$2,VLOOKUP(S2,$AX$2:$AY$9,2,1),""),IF(S2&gt;=$AZ$2,VLOOKUP(S2,$AZ$2:$BA$9,2,1),"")))</f>
        <v>30</v>
      </c>
      <c r="U2" s="54">
        <v>136</v>
      </c>
      <c r="V2" s="16">
        <f t="shared" ref="V2:V82" si="2">IF(OR(N2="",U2="",T2=""),"",U2/N2*T2)</f>
        <v>4080</v>
      </c>
      <c r="W2" s="54">
        <v>1</v>
      </c>
      <c r="X2" s="54" t="s">
        <v>46</v>
      </c>
      <c r="Y2" s="54" t="s">
        <v>69</v>
      </c>
      <c r="Z2" s="54" t="s">
        <v>47</v>
      </c>
      <c r="AA2" s="54" t="s">
        <v>60</v>
      </c>
      <c r="AB2" s="54" t="s">
        <v>282</v>
      </c>
      <c r="AE2" s="17" t="s">
        <v>35</v>
      </c>
      <c r="AG2" s="233" t="s">
        <v>360</v>
      </c>
      <c r="AH2" s="65" t="s">
        <v>370</v>
      </c>
      <c r="AJ2" s="18" t="s">
        <v>36</v>
      </c>
      <c r="AL2" s="18" t="s">
        <v>127</v>
      </c>
      <c r="AN2" s="18" t="s">
        <v>37</v>
      </c>
      <c r="AP2" s="18" t="s">
        <v>38</v>
      </c>
      <c r="AR2" s="18" t="s">
        <v>120</v>
      </c>
      <c r="AT2" s="18" t="s">
        <v>39</v>
      </c>
      <c r="AV2" s="169" t="s">
        <v>40</v>
      </c>
      <c r="AX2" s="19">
        <v>1</v>
      </c>
      <c r="AY2" s="20">
        <v>50</v>
      </c>
      <c r="AZ2" s="20">
        <v>1</v>
      </c>
      <c r="BA2" s="21">
        <v>50</v>
      </c>
    </row>
    <row r="3" spans="1:53" x14ac:dyDescent="0.15">
      <c r="A3" s="54" t="s">
        <v>34</v>
      </c>
      <c r="B3" s="53" t="s">
        <v>234</v>
      </c>
      <c r="C3" s="53">
        <v>2019</v>
      </c>
      <c r="D3" s="232" t="s">
        <v>159</v>
      </c>
      <c r="E3" s="36" t="s">
        <v>368</v>
      </c>
      <c r="F3" s="36" t="s">
        <v>369</v>
      </c>
      <c r="G3" s="54" t="s">
        <v>36</v>
      </c>
      <c r="H3" s="53" t="s">
        <v>162</v>
      </c>
      <c r="I3" s="54" t="s">
        <v>161</v>
      </c>
      <c r="J3" s="54" t="s">
        <v>38</v>
      </c>
      <c r="K3" s="54" t="s">
        <v>163</v>
      </c>
      <c r="L3" s="53">
        <v>2</v>
      </c>
      <c r="N3" s="53">
        <v>1</v>
      </c>
      <c r="O3" s="53">
        <v>0.75</v>
      </c>
      <c r="P3" s="53">
        <v>0.75</v>
      </c>
      <c r="Q3" s="97">
        <f t="shared" si="0"/>
        <v>0.75</v>
      </c>
      <c r="R3" s="53">
        <v>18.3</v>
      </c>
      <c r="S3" s="53">
        <v>130</v>
      </c>
      <c r="T3" s="16">
        <f t="shared" si="1"/>
        <v>30</v>
      </c>
      <c r="U3" s="53">
        <v>136</v>
      </c>
      <c r="V3" s="16">
        <f t="shared" si="2"/>
        <v>4080</v>
      </c>
      <c r="W3" s="54">
        <v>1</v>
      </c>
      <c r="X3" s="54" t="s">
        <v>46</v>
      </c>
      <c r="Y3" s="54" t="s">
        <v>69</v>
      </c>
      <c r="Z3" s="54" t="s">
        <v>47</v>
      </c>
      <c r="AA3" s="54" t="s">
        <v>60</v>
      </c>
      <c r="AB3" s="54" t="s">
        <v>282</v>
      </c>
      <c r="AC3" s="54"/>
      <c r="AE3" s="22" t="s">
        <v>41</v>
      </c>
      <c r="AG3" s="234" t="s">
        <v>371</v>
      </c>
      <c r="AH3" s="65" t="s">
        <v>370</v>
      </c>
      <c r="AJ3" s="23" t="s">
        <v>42</v>
      </c>
      <c r="AL3" s="23" t="s">
        <v>128</v>
      </c>
      <c r="AN3" s="23" t="s">
        <v>43</v>
      </c>
      <c r="AP3" s="23" t="s">
        <v>44</v>
      </c>
      <c r="AR3" s="41" t="s">
        <v>45</v>
      </c>
      <c r="AT3" s="23" t="s">
        <v>46</v>
      </c>
      <c r="AV3" s="23" t="s">
        <v>47</v>
      </c>
      <c r="AX3" s="24">
        <v>72</v>
      </c>
      <c r="AY3" s="25">
        <v>46</v>
      </c>
      <c r="AZ3" s="25">
        <v>71</v>
      </c>
      <c r="BA3" s="26">
        <v>42</v>
      </c>
    </row>
    <row r="4" spans="1:53" x14ac:dyDescent="0.15">
      <c r="A4" s="54" t="s">
        <v>34</v>
      </c>
      <c r="B4" s="53" t="s">
        <v>234</v>
      </c>
      <c r="C4" s="53">
        <v>2019</v>
      </c>
      <c r="D4" s="232" t="s">
        <v>159</v>
      </c>
      <c r="E4" s="36" t="s">
        <v>368</v>
      </c>
      <c r="F4" s="36" t="s">
        <v>369</v>
      </c>
      <c r="G4" s="54" t="s">
        <v>36</v>
      </c>
      <c r="H4" s="53" t="s">
        <v>162</v>
      </c>
      <c r="I4" s="54" t="s">
        <v>161</v>
      </c>
      <c r="J4" s="54" t="s">
        <v>38</v>
      </c>
      <c r="K4" s="54" t="s">
        <v>163</v>
      </c>
      <c r="L4" s="53">
        <v>3</v>
      </c>
      <c r="N4" s="53">
        <v>1</v>
      </c>
      <c r="O4" s="53">
        <v>0.65</v>
      </c>
      <c r="P4" s="53">
        <v>0.8</v>
      </c>
      <c r="Q4" s="97">
        <f t="shared" si="0"/>
        <v>0.72500000000000009</v>
      </c>
      <c r="R4" s="53">
        <v>18.100000000000001</v>
      </c>
      <c r="S4" s="53">
        <v>124</v>
      </c>
      <c r="T4" s="16">
        <f t="shared" si="1"/>
        <v>30</v>
      </c>
      <c r="U4" s="53">
        <v>136</v>
      </c>
      <c r="V4" s="16">
        <f t="shared" si="2"/>
        <v>4080</v>
      </c>
      <c r="W4" s="53">
        <v>1</v>
      </c>
      <c r="X4" s="54" t="s">
        <v>46</v>
      </c>
      <c r="Y4" s="54" t="s">
        <v>69</v>
      </c>
      <c r="Z4" s="54" t="s">
        <v>47</v>
      </c>
      <c r="AA4" s="54" t="s">
        <v>60</v>
      </c>
      <c r="AB4" s="54" t="s">
        <v>282</v>
      </c>
      <c r="AC4" s="54"/>
      <c r="AE4" s="22" t="s">
        <v>34</v>
      </c>
      <c r="AG4" s="234" t="s">
        <v>372</v>
      </c>
      <c r="AH4" s="65" t="s">
        <v>373</v>
      </c>
      <c r="AJ4" s="27" t="s">
        <v>48</v>
      </c>
      <c r="AL4" s="27" t="s">
        <v>129</v>
      </c>
      <c r="AN4" s="28" t="s">
        <v>49</v>
      </c>
      <c r="AP4" s="23" t="s">
        <v>93</v>
      </c>
      <c r="AR4" s="41" t="s">
        <v>121</v>
      </c>
      <c r="AT4" s="28"/>
      <c r="AV4" s="23" t="s">
        <v>50</v>
      </c>
      <c r="AX4" s="24">
        <v>75</v>
      </c>
      <c r="AY4" s="25">
        <v>42</v>
      </c>
      <c r="AZ4" s="25">
        <v>76</v>
      </c>
      <c r="BA4" s="26">
        <v>39</v>
      </c>
    </row>
    <row r="5" spans="1:53" x14ac:dyDescent="0.15">
      <c r="A5" s="54" t="s">
        <v>34</v>
      </c>
      <c r="B5" s="53" t="s">
        <v>234</v>
      </c>
      <c r="C5" s="53">
        <v>2019</v>
      </c>
      <c r="D5" s="232" t="s">
        <v>159</v>
      </c>
      <c r="E5" s="36" t="s">
        <v>374</v>
      </c>
      <c r="F5" s="36" t="s">
        <v>375</v>
      </c>
      <c r="G5" s="54" t="s">
        <v>36</v>
      </c>
      <c r="H5" s="53" t="s">
        <v>162</v>
      </c>
      <c r="I5" s="54" t="s">
        <v>161</v>
      </c>
      <c r="J5" s="54" t="s">
        <v>38</v>
      </c>
      <c r="K5" s="54" t="s">
        <v>163</v>
      </c>
      <c r="L5" s="54">
        <v>1</v>
      </c>
      <c r="N5" s="53">
        <v>1</v>
      </c>
      <c r="O5" s="53">
        <v>0.75</v>
      </c>
      <c r="P5" s="53">
        <v>0.75</v>
      </c>
      <c r="Q5" s="97">
        <f t="shared" si="0"/>
        <v>0.75</v>
      </c>
      <c r="R5" s="53">
        <v>20.7</v>
      </c>
      <c r="S5" s="53">
        <v>104</v>
      </c>
      <c r="T5" s="16">
        <f t="shared" si="1"/>
        <v>33</v>
      </c>
      <c r="U5" s="53">
        <v>84</v>
      </c>
      <c r="V5" s="16">
        <f t="shared" si="2"/>
        <v>2772</v>
      </c>
      <c r="W5" s="53">
        <v>8</v>
      </c>
      <c r="X5" s="54" t="s">
        <v>46</v>
      </c>
      <c r="Y5" s="54" t="s">
        <v>47</v>
      </c>
      <c r="Z5" s="54" t="s">
        <v>69</v>
      </c>
      <c r="AA5" s="54" t="s">
        <v>55</v>
      </c>
      <c r="AB5" s="54" t="s">
        <v>282</v>
      </c>
      <c r="AE5" s="22" t="s">
        <v>51</v>
      </c>
      <c r="AG5" s="234" t="s">
        <v>376</v>
      </c>
      <c r="AH5" s="65" t="s">
        <v>377</v>
      </c>
      <c r="AJ5" s="28"/>
      <c r="AL5" s="29" t="s">
        <v>66</v>
      </c>
      <c r="AN5" s="29" t="s">
        <v>52</v>
      </c>
      <c r="AP5" s="23" t="s">
        <v>119</v>
      </c>
      <c r="AR5" s="41" t="s">
        <v>54</v>
      </c>
      <c r="AV5" s="23" t="s">
        <v>55</v>
      </c>
      <c r="AX5" s="24">
        <v>84</v>
      </c>
      <c r="AY5" s="25">
        <v>39</v>
      </c>
      <c r="AZ5" s="25">
        <v>84</v>
      </c>
      <c r="BA5" s="26">
        <v>36</v>
      </c>
    </row>
    <row r="6" spans="1:53" x14ac:dyDescent="0.15">
      <c r="A6" s="54" t="s">
        <v>34</v>
      </c>
      <c r="B6" s="53" t="s">
        <v>234</v>
      </c>
      <c r="C6" s="53">
        <v>2019</v>
      </c>
      <c r="D6" s="232" t="s">
        <v>159</v>
      </c>
      <c r="E6" s="36" t="s">
        <v>374</v>
      </c>
      <c r="F6" s="36" t="s">
        <v>375</v>
      </c>
      <c r="G6" s="54" t="s">
        <v>36</v>
      </c>
      <c r="H6" s="53" t="s">
        <v>162</v>
      </c>
      <c r="I6" s="54" t="s">
        <v>161</v>
      </c>
      <c r="J6" s="54" t="s">
        <v>38</v>
      </c>
      <c r="K6" s="54" t="s">
        <v>163</v>
      </c>
      <c r="L6" s="53">
        <v>2</v>
      </c>
      <c r="N6" s="53">
        <v>1</v>
      </c>
      <c r="O6" s="53">
        <v>0.6</v>
      </c>
      <c r="P6" s="53">
        <v>0.65</v>
      </c>
      <c r="Q6" s="97">
        <f t="shared" si="0"/>
        <v>0.625</v>
      </c>
      <c r="R6" s="53">
        <v>18</v>
      </c>
      <c r="S6" s="53">
        <v>100</v>
      </c>
      <c r="T6" s="16">
        <f t="shared" si="1"/>
        <v>33</v>
      </c>
      <c r="U6" s="53">
        <v>84</v>
      </c>
      <c r="V6" s="16">
        <f t="shared" si="2"/>
        <v>2772</v>
      </c>
      <c r="W6" s="53">
        <v>8</v>
      </c>
      <c r="X6" s="54" t="s">
        <v>46</v>
      </c>
      <c r="Y6" s="54" t="s">
        <v>47</v>
      </c>
      <c r="Z6" s="54" t="s">
        <v>69</v>
      </c>
      <c r="AA6" s="54" t="s">
        <v>55</v>
      </c>
      <c r="AB6" s="54" t="s">
        <v>282</v>
      </c>
      <c r="AE6" s="22" t="s">
        <v>56</v>
      </c>
      <c r="AG6" s="234" t="s">
        <v>378</v>
      </c>
      <c r="AH6" s="65" t="s">
        <v>379</v>
      </c>
      <c r="AL6" s="29" t="s">
        <v>99</v>
      </c>
      <c r="AN6" s="29" t="s">
        <v>57</v>
      </c>
      <c r="AP6" s="23" t="s">
        <v>53</v>
      </c>
      <c r="AR6" s="41" t="s">
        <v>59</v>
      </c>
      <c r="AV6" s="23" t="s">
        <v>60</v>
      </c>
      <c r="AX6" s="24">
        <v>97</v>
      </c>
      <c r="AY6" s="25">
        <v>36</v>
      </c>
      <c r="AZ6" s="25">
        <v>99</v>
      </c>
      <c r="BA6" s="26">
        <v>33</v>
      </c>
    </row>
    <row r="7" spans="1:53" x14ac:dyDescent="0.15">
      <c r="A7" s="54" t="s">
        <v>34</v>
      </c>
      <c r="B7" s="53" t="s">
        <v>234</v>
      </c>
      <c r="C7" s="53">
        <v>2019</v>
      </c>
      <c r="D7" s="232" t="s">
        <v>159</v>
      </c>
      <c r="E7" s="36" t="s">
        <v>374</v>
      </c>
      <c r="F7" s="36" t="s">
        <v>375</v>
      </c>
      <c r="G7" s="54" t="s">
        <v>36</v>
      </c>
      <c r="H7" s="53" t="s">
        <v>162</v>
      </c>
      <c r="I7" s="54" t="s">
        <v>161</v>
      </c>
      <c r="J7" s="54" t="s">
        <v>38</v>
      </c>
      <c r="K7" s="54" t="s">
        <v>163</v>
      </c>
      <c r="L7" s="53">
        <v>3</v>
      </c>
      <c r="N7" s="53">
        <v>1</v>
      </c>
      <c r="O7" s="53">
        <v>0.8</v>
      </c>
      <c r="P7" s="53">
        <v>0.8</v>
      </c>
      <c r="Q7" s="97">
        <f t="shared" si="0"/>
        <v>0.8</v>
      </c>
      <c r="R7" s="53">
        <v>17.7</v>
      </c>
      <c r="S7" s="53">
        <v>107</v>
      </c>
      <c r="T7" s="16">
        <f t="shared" si="1"/>
        <v>33</v>
      </c>
      <c r="U7" s="53">
        <v>84</v>
      </c>
      <c r="V7" s="16">
        <f t="shared" si="2"/>
        <v>2772</v>
      </c>
      <c r="W7" s="53">
        <v>8</v>
      </c>
      <c r="X7" s="54" t="s">
        <v>46</v>
      </c>
      <c r="Y7" s="54" t="s">
        <v>47</v>
      </c>
      <c r="Z7" s="54" t="s">
        <v>69</v>
      </c>
      <c r="AA7" s="54" t="s">
        <v>55</v>
      </c>
      <c r="AB7" s="54" t="s">
        <v>282</v>
      </c>
      <c r="AE7" s="22" t="s">
        <v>61</v>
      </c>
      <c r="AG7" s="234" t="s">
        <v>266</v>
      </c>
      <c r="AH7" s="65" t="s">
        <v>380</v>
      </c>
      <c r="AL7" s="34" t="s">
        <v>109</v>
      </c>
      <c r="AP7" s="23" t="s">
        <v>58</v>
      </c>
      <c r="AR7" s="30" t="s">
        <v>122</v>
      </c>
      <c r="AV7" s="23" t="s">
        <v>64</v>
      </c>
      <c r="AX7" s="24">
        <v>109</v>
      </c>
      <c r="AY7" s="25">
        <v>33</v>
      </c>
      <c r="AZ7" s="25">
        <v>113</v>
      </c>
      <c r="BA7" s="26">
        <v>30</v>
      </c>
    </row>
    <row r="8" spans="1:53" x14ac:dyDescent="0.15">
      <c r="A8" s="54" t="s">
        <v>34</v>
      </c>
      <c r="B8" s="53" t="s">
        <v>234</v>
      </c>
      <c r="C8" s="53">
        <v>2019</v>
      </c>
      <c r="D8" s="232" t="s">
        <v>159</v>
      </c>
      <c r="E8" s="36" t="s">
        <v>212</v>
      </c>
      <c r="F8" s="36" t="s">
        <v>381</v>
      </c>
      <c r="G8" s="54" t="s">
        <v>36</v>
      </c>
      <c r="H8" s="53" t="s">
        <v>162</v>
      </c>
      <c r="I8" s="54" t="s">
        <v>161</v>
      </c>
      <c r="J8" s="54" t="s">
        <v>38</v>
      </c>
      <c r="K8" s="54" t="s">
        <v>163</v>
      </c>
      <c r="L8" s="54">
        <v>1</v>
      </c>
      <c r="N8" s="53">
        <v>1</v>
      </c>
      <c r="O8" s="53">
        <v>0.7</v>
      </c>
      <c r="P8" s="53">
        <v>0.8</v>
      </c>
      <c r="Q8" s="97">
        <f t="shared" si="0"/>
        <v>0.75</v>
      </c>
      <c r="R8" s="53">
        <v>18.3</v>
      </c>
      <c r="S8" s="53">
        <v>142</v>
      </c>
      <c r="T8" s="16">
        <f t="shared" si="1"/>
        <v>30</v>
      </c>
      <c r="U8" s="53">
        <v>137</v>
      </c>
      <c r="V8" s="16">
        <f t="shared" si="2"/>
        <v>4110</v>
      </c>
      <c r="W8" s="53">
        <v>4</v>
      </c>
      <c r="X8" s="54" t="s">
        <v>46</v>
      </c>
      <c r="Y8" s="54" t="s">
        <v>69</v>
      </c>
      <c r="Z8" s="54" t="s">
        <v>40</v>
      </c>
      <c r="AA8" s="54" t="s">
        <v>47</v>
      </c>
      <c r="AB8" s="54" t="s">
        <v>282</v>
      </c>
      <c r="AE8" s="22" t="s">
        <v>59</v>
      </c>
      <c r="AG8" s="234" t="s">
        <v>374</v>
      </c>
      <c r="AH8" s="65" t="s">
        <v>375</v>
      </c>
      <c r="AL8" s="34" t="s">
        <v>134</v>
      </c>
      <c r="AP8" s="23" t="s">
        <v>62</v>
      </c>
      <c r="AR8" s="41" t="s">
        <v>81</v>
      </c>
      <c r="AV8" s="23" t="s">
        <v>97</v>
      </c>
      <c r="AX8" s="24">
        <v>151</v>
      </c>
      <c r="AY8" s="25">
        <v>22</v>
      </c>
      <c r="AZ8" s="25">
        <v>152</v>
      </c>
      <c r="BA8" s="26">
        <v>18</v>
      </c>
    </row>
    <row r="9" spans="1:53" x14ac:dyDescent="0.15">
      <c r="A9" s="54" t="s">
        <v>34</v>
      </c>
      <c r="B9" s="53" t="s">
        <v>234</v>
      </c>
      <c r="C9" s="53">
        <v>2019</v>
      </c>
      <c r="D9" s="232" t="s">
        <v>159</v>
      </c>
      <c r="E9" s="36" t="s">
        <v>212</v>
      </c>
      <c r="F9" s="36" t="s">
        <v>381</v>
      </c>
      <c r="G9" s="54" t="s">
        <v>36</v>
      </c>
      <c r="H9" s="53" t="s">
        <v>162</v>
      </c>
      <c r="I9" s="54" t="s">
        <v>161</v>
      </c>
      <c r="J9" s="54" t="s">
        <v>38</v>
      </c>
      <c r="K9" s="54" t="s">
        <v>163</v>
      </c>
      <c r="L9" s="53">
        <v>2</v>
      </c>
      <c r="N9" s="53">
        <v>1</v>
      </c>
      <c r="O9" s="53">
        <v>0.85</v>
      </c>
      <c r="P9" s="53">
        <v>0.75</v>
      </c>
      <c r="Q9" s="97">
        <f t="shared" si="0"/>
        <v>0.8</v>
      </c>
      <c r="R9" s="53">
        <v>20.7</v>
      </c>
      <c r="S9" s="53">
        <v>139</v>
      </c>
      <c r="T9" s="16">
        <f t="shared" si="1"/>
        <v>30</v>
      </c>
      <c r="U9" s="53">
        <v>137</v>
      </c>
      <c r="V9" s="16">
        <f t="shared" si="2"/>
        <v>4110</v>
      </c>
      <c r="W9" s="53">
        <v>4</v>
      </c>
      <c r="X9" s="54" t="s">
        <v>46</v>
      </c>
      <c r="Y9" s="54" t="s">
        <v>69</v>
      </c>
      <c r="Z9" s="54" t="s">
        <v>40</v>
      </c>
      <c r="AA9" s="54" t="s">
        <v>47</v>
      </c>
      <c r="AB9" s="54" t="s">
        <v>282</v>
      </c>
      <c r="AE9" s="22" t="s">
        <v>98</v>
      </c>
      <c r="AG9" s="234" t="s">
        <v>382</v>
      </c>
      <c r="AH9" s="65" t="s">
        <v>383</v>
      </c>
      <c r="AL9" s="29"/>
      <c r="AP9" s="23" t="s">
        <v>95</v>
      </c>
      <c r="AR9" s="30" t="s">
        <v>89</v>
      </c>
      <c r="AV9" s="23" t="s">
        <v>102</v>
      </c>
      <c r="AX9" s="31">
        <v>180</v>
      </c>
      <c r="AY9" s="32">
        <v>18</v>
      </c>
      <c r="AZ9" s="32">
        <v>181</v>
      </c>
      <c r="BA9" s="33">
        <v>16</v>
      </c>
    </row>
    <row r="10" spans="1:53" x14ac:dyDescent="0.15">
      <c r="A10" s="54" t="s">
        <v>34</v>
      </c>
      <c r="B10" s="53" t="s">
        <v>234</v>
      </c>
      <c r="C10" s="53">
        <v>2019</v>
      </c>
      <c r="D10" s="232" t="s">
        <v>159</v>
      </c>
      <c r="E10" s="36" t="s">
        <v>212</v>
      </c>
      <c r="F10" s="36" t="s">
        <v>381</v>
      </c>
      <c r="G10" s="54" t="s">
        <v>36</v>
      </c>
      <c r="H10" s="53" t="s">
        <v>162</v>
      </c>
      <c r="I10" s="54" t="s">
        <v>161</v>
      </c>
      <c r="J10" s="54" t="s">
        <v>38</v>
      </c>
      <c r="K10" s="54" t="s">
        <v>163</v>
      </c>
      <c r="L10" s="53">
        <v>3</v>
      </c>
      <c r="N10" s="53">
        <v>1</v>
      </c>
      <c r="O10" s="53">
        <v>0.85</v>
      </c>
      <c r="P10" s="53">
        <v>1</v>
      </c>
      <c r="Q10" s="97">
        <f t="shared" si="0"/>
        <v>0.92500000000000004</v>
      </c>
      <c r="R10" s="53">
        <v>17.7</v>
      </c>
      <c r="S10" s="53">
        <v>138</v>
      </c>
      <c r="T10" s="16">
        <f t="shared" si="1"/>
        <v>30</v>
      </c>
      <c r="U10" s="53">
        <v>137</v>
      </c>
      <c r="V10" s="16">
        <f t="shared" si="2"/>
        <v>4110</v>
      </c>
      <c r="W10" s="53">
        <v>4</v>
      </c>
      <c r="X10" s="54" t="s">
        <v>46</v>
      </c>
      <c r="Y10" s="54" t="s">
        <v>69</v>
      </c>
      <c r="Z10" s="54" t="s">
        <v>40</v>
      </c>
      <c r="AA10" s="54" t="s">
        <v>47</v>
      </c>
      <c r="AB10" s="54" t="s">
        <v>282</v>
      </c>
      <c r="AE10" s="22" t="s">
        <v>103</v>
      </c>
      <c r="AG10" s="234" t="s">
        <v>368</v>
      </c>
      <c r="AH10" s="65" t="s">
        <v>369</v>
      </c>
      <c r="AL10" s="34"/>
      <c r="AP10" s="23" t="s">
        <v>100</v>
      </c>
      <c r="AR10" s="30" t="s">
        <v>123</v>
      </c>
      <c r="AV10" s="23" t="s">
        <v>106</v>
      </c>
    </row>
    <row r="11" spans="1:53" x14ac:dyDescent="0.15">
      <c r="A11" s="54" t="s">
        <v>34</v>
      </c>
      <c r="B11" s="53" t="s">
        <v>234</v>
      </c>
      <c r="C11" s="53">
        <v>2019</v>
      </c>
      <c r="D11" s="232" t="s">
        <v>159</v>
      </c>
      <c r="E11" s="36" t="s">
        <v>212</v>
      </c>
      <c r="F11" s="36" t="s">
        <v>381</v>
      </c>
      <c r="G11" s="54" t="s">
        <v>36</v>
      </c>
      <c r="H11" s="53" t="s">
        <v>162</v>
      </c>
      <c r="I11" s="54" t="s">
        <v>161</v>
      </c>
      <c r="J11" s="54" t="s">
        <v>38</v>
      </c>
      <c r="K11" s="54" t="s">
        <v>163</v>
      </c>
      <c r="L11" s="54">
        <v>1</v>
      </c>
      <c r="N11" s="53">
        <v>4</v>
      </c>
      <c r="O11" s="53">
        <v>0.75</v>
      </c>
      <c r="P11" s="53">
        <v>0.85</v>
      </c>
      <c r="Q11" s="97">
        <f t="shared" si="0"/>
        <v>0.8</v>
      </c>
      <c r="R11" s="53">
        <v>17.8</v>
      </c>
      <c r="S11" s="53">
        <v>100</v>
      </c>
      <c r="T11" s="16">
        <f t="shared" si="1"/>
        <v>33</v>
      </c>
      <c r="U11" s="53">
        <v>428</v>
      </c>
      <c r="V11" s="16">
        <f t="shared" si="2"/>
        <v>3531</v>
      </c>
      <c r="W11" s="53">
        <v>4</v>
      </c>
      <c r="X11" s="54" t="s">
        <v>46</v>
      </c>
      <c r="Y11" s="54" t="s">
        <v>69</v>
      </c>
      <c r="Z11" s="54" t="s">
        <v>40</v>
      </c>
      <c r="AA11" s="54" t="s">
        <v>47</v>
      </c>
      <c r="AB11" s="54" t="s">
        <v>282</v>
      </c>
      <c r="AE11" s="22" t="s">
        <v>65</v>
      </c>
      <c r="AG11" s="234" t="s">
        <v>212</v>
      </c>
      <c r="AH11" s="65" t="s">
        <v>381</v>
      </c>
      <c r="AL11" s="34"/>
      <c r="AP11" s="23" t="s">
        <v>104</v>
      </c>
      <c r="AR11" s="30" t="s">
        <v>87</v>
      </c>
      <c r="AV11" s="23" t="s">
        <v>69</v>
      </c>
    </row>
    <row r="12" spans="1:53" x14ac:dyDescent="0.15">
      <c r="A12" s="54" t="s">
        <v>34</v>
      </c>
      <c r="B12" s="53" t="s">
        <v>234</v>
      </c>
      <c r="C12" s="53">
        <v>2019</v>
      </c>
      <c r="D12" s="232" t="s">
        <v>159</v>
      </c>
      <c r="E12" s="36" t="s">
        <v>212</v>
      </c>
      <c r="F12" s="36" t="s">
        <v>381</v>
      </c>
      <c r="G12" s="54" t="s">
        <v>36</v>
      </c>
      <c r="H12" s="53" t="s">
        <v>162</v>
      </c>
      <c r="I12" s="54" t="s">
        <v>161</v>
      </c>
      <c r="J12" s="54" t="s">
        <v>38</v>
      </c>
      <c r="K12" s="54" t="s">
        <v>163</v>
      </c>
      <c r="L12" s="53">
        <v>2</v>
      </c>
      <c r="N12" s="53">
        <v>4</v>
      </c>
      <c r="O12" s="53">
        <v>0.7</v>
      </c>
      <c r="P12" s="53">
        <v>0.85</v>
      </c>
      <c r="Q12" s="97">
        <f t="shared" si="0"/>
        <v>0.77499999999999991</v>
      </c>
      <c r="R12" s="53">
        <v>18.7</v>
      </c>
      <c r="S12" s="53">
        <v>92</v>
      </c>
      <c r="T12" s="16">
        <f t="shared" si="1"/>
        <v>36</v>
      </c>
      <c r="U12" s="53">
        <v>428</v>
      </c>
      <c r="V12" s="16">
        <f t="shared" si="2"/>
        <v>3852</v>
      </c>
      <c r="W12" s="53">
        <v>4</v>
      </c>
      <c r="X12" s="54" t="s">
        <v>46</v>
      </c>
      <c r="Y12" s="54" t="s">
        <v>69</v>
      </c>
      <c r="Z12" s="54" t="s">
        <v>40</v>
      </c>
      <c r="AA12" s="54" t="s">
        <v>47</v>
      </c>
      <c r="AB12" s="54" t="s">
        <v>282</v>
      </c>
      <c r="AE12" s="22" t="s">
        <v>70</v>
      </c>
      <c r="AG12" s="77"/>
      <c r="AH12" s="23"/>
      <c r="AL12" s="34"/>
      <c r="AP12" s="23" t="s">
        <v>67</v>
      </c>
      <c r="AR12" s="30" t="s">
        <v>124</v>
      </c>
      <c r="AV12" s="23" t="s">
        <v>72</v>
      </c>
    </row>
    <row r="13" spans="1:53" x14ac:dyDescent="0.15">
      <c r="A13" s="54" t="s">
        <v>34</v>
      </c>
      <c r="B13" s="53" t="s">
        <v>234</v>
      </c>
      <c r="C13" s="53">
        <v>2019</v>
      </c>
      <c r="D13" s="232" t="s">
        <v>159</v>
      </c>
      <c r="E13" s="36" t="s">
        <v>212</v>
      </c>
      <c r="F13" s="36" t="s">
        <v>381</v>
      </c>
      <c r="G13" s="54" t="s">
        <v>36</v>
      </c>
      <c r="H13" s="53" t="s">
        <v>162</v>
      </c>
      <c r="I13" s="54" t="s">
        <v>161</v>
      </c>
      <c r="J13" s="54" t="s">
        <v>38</v>
      </c>
      <c r="K13" s="54" t="s">
        <v>163</v>
      </c>
      <c r="L13" s="53">
        <v>3</v>
      </c>
      <c r="N13" s="53">
        <v>4</v>
      </c>
      <c r="O13" s="53">
        <v>0.75</v>
      </c>
      <c r="P13" s="53">
        <v>0.85</v>
      </c>
      <c r="Q13" s="97">
        <f t="shared" si="0"/>
        <v>0.8</v>
      </c>
      <c r="R13" s="53">
        <v>18.399999999999999</v>
      </c>
      <c r="S13" s="53">
        <v>95</v>
      </c>
      <c r="T13" s="16">
        <f t="shared" si="1"/>
        <v>36</v>
      </c>
      <c r="U13" s="53">
        <v>428</v>
      </c>
      <c r="V13" s="16">
        <f t="shared" si="2"/>
        <v>3852</v>
      </c>
      <c r="W13" s="53">
        <v>4</v>
      </c>
      <c r="X13" s="54" t="s">
        <v>46</v>
      </c>
      <c r="Y13" s="54" t="s">
        <v>69</v>
      </c>
      <c r="Z13" s="54" t="s">
        <v>40</v>
      </c>
      <c r="AA13" s="54" t="s">
        <v>47</v>
      </c>
      <c r="AB13" s="54" t="s">
        <v>282</v>
      </c>
      <c r="AE13" s="22" t="s">
        <v>73</v>
      </c>
      <c r="AG13" s="235"/>
      <c r="AH13" s="28"/>
      <c r="AP13" s="23" t="s">
        <v>71</v>
      </c>
      <c r="AR13" s="30" t="s">
        <v>103</v>
      </c>
      <c r="AV13" s="23" t="s">
        <v>75</v>
      </c>
    </row>
    <row r="14" spans="1:53" x14ac:dyDescent="0.15">
      <c r="A14" s="54" t="s">
        <v>34</v>
      </c>
      <c r="B14" s="53" t="s">
        <v>234</v>
      </c>
      <c r="C14" s="53">
        <v>2019</v>
      </c>
      <c r="D14" s="232" t="s">
        <v>159</v>
      </c>
      <c r="E14" s="36" t="s">
        <v>372</v>
      </c>
      <c r="F14" s="36" t="s">
        <v>373</v>
      </c>
      <c r="G14" s="54" t="s">
        <v>36</v>
      </c>
      <c r="H14" s="53" t="s">
        <v>162</v>
      </c>
      <c r="I14" s="54" t="s">
        <v>161</v>
      </c>
      <c r="J14" s="54" t="s">
        <v>38</v>
      </c>
      <c r="K14" s="54" t="s">
        <v>163</v>
      </c>
      <c r="L14" s="54">
        <v>1</v>
      </c>
      <c r="N14" s="53">
        <v>1</v>
      </c>
      <c r="O14" s="53">
        <v>0.55000000000000004</v>
      </c>
      <c r="P14" s="53">
        <v>0.6</v>
      </c>
      <c r="Q14" s="97">
        <f t="shared" si="0"/>
        <v>0.57499999999999996</v>
      </c>
      <c r="R14" s="53">
        <v>18.7</v>
      </c>
      <c r="S14" s="53">
        <v>146</v>
      </c>
      <c r="T14" s="16">
        <f t="shared" si="1"/>
        <v>30</v>
      </c>
      <c r="U14" s="53">
        <v>108</v>
      </c>
      <c r="V14" s="16">
        <f t="shared" si="2"/>
        <v>3240</v>
      </c>
      <c r="W14" s="53">
        <v>10</v>
      </c>
      <c r="X14" s="54" t="s">
        <v>46</v>
      </c>
      <c r="Y14" s="54" t="s">
        <v>55</v>
      </c>
      <c r="Z14" s="54" t="s">
        <v>47</v>
      </c>
      <c r="AA14" s="54" t="s">
        <v>40</v>
      </c>
      <c r="AB14" s="54" t="s">
        <v>282</v>
      </c>
      <c r="AE14" s="22" t="s">
        <v>76</v>
      </c>
      <c r="AG14" s="236"/>
      <c r="AL14" s="151"/>
      <c r="AP14" s="23" t="s">
        <v>74</v>
      </c>
      <c r="AR14" s="30" t="s">
        <v>125</v>
      </c>
      <c r="AV14" s="23" t="s">
        <v>78</v>
      </c>
    </row>
    <row r="15" spans="1:53" x14ac:dyDescent="0.15">
      <c r="A15" s="54" t="s">
        <v>34</v>
      </c>
      <c r="B15" s="53" t="s">
        <v>234</v>
      </c>
      <c r="C15" s="53">
        <v>2019</v>
      </c>
      <c r="D15" s="232" t="s">
        <v>159</v>
      </c>
      <c r="E15" s="36" t="s">
        <v>372</v>
      </c>
      <c r="F15" s="36" t="s">
        <v>373</v>
      </c>
      <c r="G15" s="54" t="s">
        <v>36</v>
      </c>
      <c r="H15" s="53" t="s">
        <v>162</v>
      </c>
      <c r="I15" s="54" t="s">
        <v>161</v>
      </c>
      <c r="J15" s="54" t="s">
        <v>38</v>
      </c>
      <c r="K15" s="54" t="s">
        <v>163</v>
      </c>
      <c r="L15" s="54">
        <v>2</v>
      </c>
      <c r="N15" s="53">
        <v>1</v>
      </c>
      <c r="O15" s="53">
        <v>0.6</v>
      </c>
      <c r="P15" s="53">
        <v>0.6</v>
      </c>
      <c r="Q15" s="97">
        <f t="shared" si="0"/>
        <v>0.6</v>
      </c>
      <c r="R15" s="53">
        <v>21</v>
      </c>
      <c r="S15" s="53">
        <v>143</v>
      </c>
      <c r="T15" s="16">
        <f t="shared" si="1"/>
        <v>30</v>
      </c>
      <c r="U15" s="53">
        <v>108</v>
      </c>
      <c r="V15" s="16">
        <f t="shared" si="2"/>
        <v>3240</v>
      </c>
      <c r="W15" s="53">
        <v>10</v>
      </c>
      <c r="X15" s="54" t="s">
        <v>46</v>
      </c>
      <c r="Y15" s="54" t="s">
        <v>55</v>
      </c>
      <c r="Z15" s="54" t="s">
        <v>47</v>
      </c>
      <c r="AA15" s="54" t="s">
        <v>40</v>
      </c>
      <c r="AB15" s="54" t="s">
        <v>282</v>
      </c>
      <c r="AE15" s="22" t="s">
        <v>79</v>
      </c>
      <c r="AL15" s="237"/>
      <c r="AP15" s="23" t="s">
        <v>77</v>
      </c>
      <c r="AR15" s="30" t="s">
        <v>94</v>
      </c>
      <c r="AV15" s="23" t="s">
        <v>107</v>
      </c>
    </row>
    <row r="16" spans="1:53" x14ac:dyDescent="0.15">
      <c r="A16" s="54" t="s">
        <v>34</v>
      </c>
      <c r="B16" s="53" t="s">
        <v>234</v>
      </c>
      <c r="C16" s="53">
        <v>2019</v>
      </c>
      <c r="D16" s="232" t="s">
        <v>159</v>
      </c>
      <c r="E16" s="36" t="s">
        <v>372</v>
      </c>
      <c r="F16" s="36" t="s">
        <v>373</v>
      </c>
      <c r="G16" s="54" t="s">
        <v>36</v>
      </c>
      <c r="H16" s="53" t="s">
        <v>162</v>
      </c>
      <c r="I16" s="54" t="s">
        <v>161</v>
      </c>
      <c r="J16" s="54" t="s">
        <v>38</v>
      </c>
      <c r="K16" s="54" t="s">
        <v>163</v>
      </c>
      <c r="L16" s="54">
        <v>3</v>
      </c>
      <c r="N16" s="53">
        <v>1</v>
      </c>
      <c r="O16" s="53">
        <v>0.5</v>
      </c>
      <c r="P16" s="53">
        <v>0.5</v>
      </c>
      <c r="Q16" s="97">
        <f t="shared" si="0"/>
        <v>0.5</v>
      </c>
      <c r="R16" s="53">
        <v>18.100000000000001</v>
      </c>
      <c r="S16" s="53">
        <v>142</v>
      </c>
      <c r="T16" s="16">
        <f t="shared" si="1"/>
        <v>30</v>
      </c>
      <c r="U16" s="53">
        <v>108</v>
      </c>
      <c r="V16" s="16">
        <f t="shared" si="2"/>
        <v>3240</v>
      </c>
      <c r="W16" s="53">
        <v>10</v>
      </c>
      <c r="X16" s="54" t="s">
        <v>46</v>
      </c>
      <c r="Y16" s="54" t="s">
        <v>55</v>
      </c>
      <c r="Z16" s="54" t="s">
        <v>47</v>
      </c>
      <c r="AA16" s="54" t="s">
        <v>40</v>
      </c>
      <c r="AB16" s="54" t="s">
        <v>282</v>
      </c>
      <c r="AE16" s="22" t="s">
        <v>82</v>
      </c>
      <c r="AL16" s="237"/>
      <c r="AP16" s="23" t="s">
        <v>80</v>
      </c>
      <c r="AR16" s="41" t="s">
        <v>63</v>
      </c>
      <c r="AV16" s="23" t="s">
        <v>84</v>
      </c>
    </row>
    <row r="17" spans="1:48" x14ac:dyDescent="0.15">
      <c r="A17" s="54" t="s">
        <v>34</v>
      </c>
      <c r="B17" s="53" t="s">
        <v>234</v>
      </c>
      <c r="C17" s="53">
        <v>2019</v>
      </c>
      <c r="D17" s="232" t="s">
        <v>159</v>
      </c>
      <c r="E17" s="36" t="s">
        <v>372</v>
      </c>
      <c r="F17" s="36" t="s">
        <v>373</v>
      </c>
      <c r="G17" s="54" t="s">
        <v>36</v>
      </c>
      <c r="H17" s="53" t="s">
        <v>162</v>
      </c>
      <c r="I17" s="54" t="s">
        <v>161</v>
      </c>
      <c r="J17" s="54" t="s">
        <v>38</v>
      </c>
      <c r="K17" s="54" t="s">
        <v>163</v>
      </c>
      <c r="L17" s="54">
        <v>1</v>
      </c>
      <c r="N17" s="53">
        <v>5</v>
      </c>
      <c r="O17" s="53">
        <v>0.5</v>
      </c>
      <c r="P17" s="53">
        <v>0.55000000000000004</v>
      </c>
      <c r="Q17" s="97">
        <f t="shared" si="0"/>
        <v>0.52500000000000002</v>
      </c>
      <c r="R17" s="53">
        <v>19.5</v>
      </c>
      <c r="S17" s="53">
        <v>103</v>
      </c>
      <c r="T17" s="16">
        <f t="shared" si="1"/>
        <v>33</v>
      </c>
      <c r="U17" s="53">
        <v>537</v>
      </c>
      <c r="V17" s="16">
        <f t="shared" si="2"/>
        <v>3544.2000000000003</v>
      </c>
      <c r="W17" s="53">
        <v>10</v>
      </c>
      <c r="X17" s="54" t="s">
        <v>46</v>
      </c>
      <c r="Y17" s="54" t="s">
        <v>55</v>
      </c>
      <c r="Z17" s="54" t="s">
        <v>47</v>
      </c>
      <c r="AA17" s="54" t="s">
        <v>40</v>
      </c>
      <c r="AB17" s="54" t="s">
        <v>282</v>
      </c>
      <c r="AE17" s="22" t="s">
        <v>85</v>
      </c>
      <c r="AL17" s="237"/>
      <c r="AP17" s="43" t="s">
        <v>110</v>
      </c>
      <c r="AR17" s="41" t="s">
        <v>96</v>
      </c>
      <c r="AV17" s="23" t="s">
        <v>86</v>
      </c>
    </row>
    <row r="18" spans="1:48" x14ac:dyDescent="0.15">
      <c r="A18" s="54" t="s">
        <v>34</v>
      </c>
      <c r="B18" s="53" t="s">
        <v>234</v>
      </c>
      <c r="C18" s="53">
        <v>2019</v>
      </c>
      <c r="D18" s="232" t="s">
        <v>159</v>
      </c>
      <c r="E18" s="36" t="s">
        <v>372</v>
      </c>
      <c r="F18" s="36" t="s">
        <v>373</v>
      </c>
      <c r="G18" s="54" t="s">
        <v>36</v>
      </c>
      <c r="H18" s="53" t="s">
        <v>162</v>
      </c>
      <c r="I18" s="54" t="s">
        <v>161</v>
      </c>
      <c r="J18" s="54" t="s">
        <v>38</v>
      </c>
      <c r="K18" s="54" t="s">
        <v>163</v>
      </c>
      <c r="L18" s="53">
        <v>2</v>
      </c>
      <c r="N18" s="53">
        <v>5</v>
      </c>
      <c r="O18" s="53">
        <v>0.65</v>
      </c>
      <c r="P18" s="53">
        <v>0.65</v>
      </c>
      <c r="Q18" s="97">
        <f t="shared" si="0"/>
        <v>0.65</v>
      </c>
      <c r="R18" s="53">
        <v>19.100000000000001</v>
      </c>
      <c r="S18" s="53">
        <v>114</v>
      </c>
      <c r="T18" s="16">
        <f t="shared" si="1"/>
        <v>30</v>
      </c>
      <c r="U18" s="53">
        <v>537</v>
      </c>
      <c r="V18" s="16">
        <f t="shared" si="2"/>
        <v>3222</v>
      </c>
      <c r="W18" s="53">
        <v>10</v>
      </c>
      <c r="X18" s="54" t="s">
        <v>46</v>
      </c>
      <c r="Y18" s="54" t="s">
        <v>55</v>
      </c>
      <c r="Z18" s="54" t="s">
        <v>47</v>
      </c>
      <c r="AA18" s="54" t="s">
        <v>40</v>
      </c>
      <c r="AB18" s="54" t="s">
        <v>282</v>
      </c>
      <c r="AE18" s="22" t="s">
        <v>87</v>
      </c>
      <c r="AL18" s="54"/>
      <c r="AP18" s="43" t="s">
        <v>111</v>
      </c>
      <c r="AR18" s="41" t="s">
        <v>101</v>
      </c>
      <c r="AV18" s="23" t="s">
        <v>88</v>
      </c>
    </row>
    <row r="19" spans="1:48" x14ac:dyDescent="0.15">
      <c r="A19" s="54" t="s">
        <v>34</v>
      </c>
      <c r="B19" s="53" t="s">
        <v>234</v>
      </c>
      <c r="C19" s="53">
        <v>2019</v>
      </c>
      <c r="D19" s="232" t="s">
        <v>159</v>
      </c>
      <c r="E19" s="36" t="s">
        <v>372</v>
      </c>
      <c r="F19" s="36" t="s">
        <v>373</v>
      </c>
      <c r="G19" s="54" t="s">
        <v>36</v>
      </c>
      <c r="H19" s="53" t="s">
        <v>162</v>
      </c>
      <c r="I19" s="54" t="s">
        <v>161</v>
      </c>
      <c r="J19" s="54" t="s">
        <v>38</v>
      </c>
      <c r="K19" s="54" t="s">
        <v>163</v>
      </c>
      <c r="L19" s="53">
        <v>3</v>
      </c>
      <c r="N19" s="53">
        <v>5</v>
      </c>
      <c r="O19" s="53">
        <v>0.65</v>
      </c>
      <c r="P19" s="53">
        <v>0.6</v>
      </c>
      <c r="Q19" s="97">
        <f t="shared" si="0"/>
        <v>0.625</v>
      </c>
      <c r="R19" s="53">
        <v>17.899999999999999</v>
      </c>
      <c r="S19" s="53">
        <v>103</v>
      </c>
      <c r="T19" s="16">
        <f t="shared" si="1"/>
        <v>33</v>
      </c>
      <c r="U19" s="53">
        <v>537</v>
      </c>
      <c r="V19" s="16">
        <f t="shared" si="2"/>
        <v>3544.2000000000003</v>
      </c>
      <c r="W19" s="53">
        <v>10</v>
      </c>
      <c r="X19" s="54" t="s">
        <v>46</v>
      </c>
      <c r="Y19" s="54" t="s">
        <v>55</v>
      </c>
      <c r="Z19" s="54" t="s">
        <v>47</v>
      </c>
      <c r="AA19" s="54" t="s">
        <v>40</v>
      </c>
      <c r="AB19" s="54" t="s">
        <v>282</v>
      </c>
      <c r="AE19" s="35" t="s">
        <v>89</v>
      </c>
      <c r="AP19" s="43" t="s">
        <v>112</v>
      </c>
      <c r="AR19" s="30" t="s">
        <v>126</v>
      </c>
      <c r="AV19" s="23" t="s">
        <v>90</v>
      </c>
    </row>
    <row r="20" spans="1:48" x14ac:dyDescent="0.15">
      <c r="A20" s="54" t="s">
        <v>34</v>
      </c>
      <c r="B20" s="53" t="s">
        <v>234</v>
      </c>
      <c r="C20" s="53">
        <v>2019</v>
      </c>
      <c r="D20" s="232" t="s">
        <v>159</v>
      </c>
      <c r="E20" s="36" t="s">
        <v>382</v>
      </c>
      <c r="F20" s="36" t="s">
        <v>383</v>
      </c>
      <c r="G20" s="54" t="s">
        <v>36</v>
      </c>
      <c r="H20" s="53" t="s">
        <v>162</v>
      </c>
      <c r="I20" s="54" t="s">
        <v>161</v>
      </c>
      <c r="J20" s="54" t="s">
        <v>38</v>
      </c>
      <c r="K20" s="54" t="s">
        <v>163</v>
      </c>
      <c r="L20" s="54">
        <v>1</v>
      </c>
      <c r="N20" s="53">
        <v>1</v>
      </c>
      <c r="O20" s="53">
        <v>0.6</v>
      </c>
      <c r="P20" s="53">
        <v>0.2</v>
      </c>
      <c r="Q20" s="97">
        <f t="shared" si="0"/>
        <v>0.4</v>
      </c>
      <c r="R20" s="53">
        <v>18.3</v>
      </c>
      <c r="S20" s="53">
        <v>131</v>
      </c>
      <c r="T20" s="16">
        <f t="shared" si="1"/>
        <v>30</v>
      </c>
      <c r="U20" s="53">
        <v>138</v>
      </c>
      <c r="V20" s="16">
        <f t="shared" si="2"/>
        <v>4140</v>
      </c>
      <c r="W20" s="53">
        <v>5</v>
      </c>
      <c r="X20" s="54" t="s">
        <v>39</v>
      </c>
      <c r="Y20" s="54" t="s">
        <v>47</v>
      </c>
      <c r="Z20" s="54" t="s">
        <v>90</v>
      </c>
      <c r="AA20" s="54" t="s">
        <v>69</v>
      </c>
      <c r="AB20" s="54" t="s">
        <v>282</v>
      </c>
      <c r="AP20" s="43" t="s">
        <v>113</v>
      </c>
      <c r="AR20" s="41" t="s">
        <v>105</v>
      </c>
      <c r="AV20" s="27" t="s">
        <v>135</v>
      </c>
    </row>
    <row r="21" spans="1:48" x14ac:dyDescent="0.15">
      <c r="A21" s="54" t="s">
        <v>34</v>
      </c>
      <c r="B21" s="53" t="s">
        <v>234</v>
      </c>
      <c r="C21" s="53">
        <v>2019</v>
      </c>
      <c r="D21" s="232" t="s">
        <v>159</v>
      </c>
      <c r="E21" s="36" t="s">
        <v>382</v>
      </c>
      <c r="F21" s="36" t="s">
        <v>383</v>
      </c>
      <c r="G21" s="54" t="s">
        <v>36</v>
      </c>
      <c r="H21" s="53" t="s">
        <v>162</v>
      </c>
      <c r="I21" s="54" t="s">
        <v>161</v>
      </c>
      <c r="J21" s="54" t="s">
        <v>38</v>
      </c>
      <c r="K21" s="54" t="s">
        <v>163</v>
      </c>
      <c r="L21" s="53">
        <v>2</v>
      </c>
      <c r="N21" s="53">
        <v>1</v>
      </c>
      <c r="O21" s="53">
        <v>0.65</v>
      </c>
      <c r="P21" s="53">
        <v>0.9</v>
      </c>
      <c r="Q21" s="97">
        <f t="shared" si="0"/>
        <v>0.77500000000000002</v>
      </c>
      <c r="R21" s="53">
        <v>17.899999999999999</v>
      </c>
      <c r="S21" s="53">
        <v>133</v>
      </c>
      <c r="T21" s="16">
        <f t="shared" si="1"/>
        <v>30</v>
      </c>
      <c r="U21" s="53">
        <v>138</v>
      </c>
      <c r="V21" s="16">
        <f t="shared" si="2"/>
        <v>4140</v>
      </c>
      <c r="W21" s="53">
        <v>5</v>
      </c>
      <c r="X21" s="54" t="s">
        <v>39</v>
      </c>
      <c r="Y21" s="54" t="s">
        <v>47</v>
      </c>
      <c r="Z21" s="54" t="s">
        <v>90</v>
      </c>
      <c r="AA21" s="54" t="s">
        <v>69</v>
      </c>
      <c r="AB21" s="54" t="s">
        <v>282</v>
      </c>
      <c r="AP21" s="43" t="s">
        <v>114</v>
      </c>
      <c r="AR21" s="41" t="s">
        <v>68</v>
      </c>
      <c r="AV21" s="27" t="s">
        <v>136</v>
      </c>
    </row>
    <row r="22" spans="1:48" x14ac:dyDescent="0.15">
      <c r="A22" s="54" t="s">
        <v>34</v>
      </c>
      <c r="B22" s="53" t="s">
        <v>234</v>
      </c>
      <c r="C22" s="53">
        <v>2019</v>
      </c>
      <c r="D22" s="232" t="s">
        <v>159</v>
      </c>
      <c r="E22" s="36" t="s">
        <v>382</v>
      </c>
      <c r="F22" s="36" t="s">
        <v>383</v>
      </c>
      <c r="G22" s="54" t="s">
        <v>36</v>
      </c>
      <c r="H22" s="53" t="s">
        <v>162</v>
      </c>
      <c r="I22" s="54" t="s">
        <v>161</v>
      </c>
      <c r="J22" s="54" t="s">
        <v>38</v>
      </c>
      <c r="K22" s="54" t="s">
        <v>163</v>
      </c>
      <c r="L22" s="53">
        <v>3</v>
      </c>
      <c r="N22" s="53">
        <v>1</v>
      </c>
      <c r="O22" s="53">
        <v>0.2</v>
      </c>
      <c r="P22" s="53">
        <v>0.2</v>
      </c>
      <c r="Q22" s="97">
        <f t="shared" si="0"/>
        <v>0.2</v>
      </c>
      <c r="R22" s="53">
        <v>17.399999999999999</v>
      </c>
      <c r="S22" s="53">
        <v>138</v>
      </c>
      <c r="T22" s="16">
        <f t="shared" si="1"/>
        <v>30</v>
      </c>
      <c r="U22" s="53">
        <v>138</v>
      </c>
      <c r="V22" s="16">
        <f t="shared" si="2"/>
        <v>4140</v>
      </c>
      <c r="W22" s="53">
        <v>5</v>
      </c>
      <c r="X22" s="54" t="s">
        <v>39</v>
      </c>
      <c r="Y22" s="54" t="s">
        <v>47</v>
      </c>
      <c r="Z22" s="54" t="s">
        <v>90</v>
      </c>
      <c r="AA22" s="54" t="s">
        <v>69</v>
      </c>
      <c r="AB22" s="54" t="s">
        <v>282</v>
      </c>
      <c r="AP22" s="43" t="s">
        <v>115</v>
      </c>
      <c r="AR22" s="41" t="s">
        <v>83</v>
      </c>
      <c r="AV22" s="27"/>
    </row>
    <row r="23" spans="1:48" x14ac:dyDescent="0.15">
      <c r="A23" s="54" t="s">
        <v>34</v>
      </c>
      <c r="B23" s="53" t="s">
        <v>234</v>
      </c>
      <c r="C23" s="53">
        <v>2019</v>
      </c>
      <c r="D23" s="232" t="s">
        <v>159</v>
      </c>
      <c r="E23" s="36" t="s">
        <v>382</v>
      </c>
      <c r="F23" s="36" t="s">
        <v>383</v>
      </c>
      <c r="G23" s="54" t="s">
        <v>36</v>
      </c>
      <c r="H23" s="53" t="s">
        <v>162</v>
      </c>
      <c r="I23" s="54" t="s">
        <v>161</v>
      </c>
      <c r="J23" s="54" t="s">
        <v>38</v>
      </c>
      <c r="K23" s="54" t="s">
        <v>163</v>
      </c>
      <c r="L23" s="54">
        <v>1</v>
      </c>
      <c r="N23" s="53">
        <v>4</v>
      </c>
      <c r="O23" s="53">
        <v>0.8</v>
      </c>
      <c r="P23" s="53">
        <v>1</v>
      </c>
      <c r="Q23" s="97">
        <f t="shared" si="0"/>
        <v>0.9</v>
      </c>
      <c r="R23" s="53">
        <v>17.5</v>
      </c>
      <c r="S23" s="53">
        <v>99</v>
      </c>
      <c r="T23" s="16">
        <f t="shared" si="1"/>
        <v>33</v>
      </c>
      <c r="U23" s="53">
        <v>537</v>
      </c>
      <c r="V23" s="16">
        <f t="shared" si="2"/>
        <v>4430.25</v>
      </c>
      <c r="W23" s="53">
        <v>5</v>
      </c>
      <c r="X23" s="54" t="s">
        <v>39</v>
      </c>
      <c r="Y23" s="54" t="s">
        <v>47</v>
      </c>
      <c r="Z23" s="54" t="s">
        <v>90</v>
      </c>
      <c r="AA23" s="54" t="s">
        <v>69</v>
      </c>
      <c r="AB23" s="54" t="s">
        <v>282</v>
      </c>
      <c r="AP23" s="43" t="s">
        <v>117</v>
      </c>
      <c r="AR23" s="41" t="s">
        <v>153</v>
      </c>
    </row>
    <row r="24" spans="1:48" x14ac:dyDescent="0.15">
      <c r="A24" s="54" t="s">
        <v>34</v>
      </c>
      <c r="B24" s="53" t="s">
        <v>234</v>
      </c>
      <c r="C24" s="53">
        <v>2019</v>
      </c>
      <c r="D24" s="232" t="s">
        <v>159</v>
      </c>
      <c r="E24" s="36" t="s">
        <v>382</v>
      </c>
      <c r="F24" s="36" t="s">
        <v>383</v>
      </c>
      <c r="G24" s="54" t="s">
        <v>36</v>
      </c>
      <c r="H24" s="53" t="s">
        <v>162</v>
      </c>
      <c r="I24" s="54" t="s">
        <v>161</v>
      </c>
      <c r="J24" s="54" t="s">
        <v>38</v>
      </c>
      <c r="K24" s="54" t="s">
        <v>163</v>
      </c>
      <c r="L24" s="53">
        <v>2</v>
      </c>
      <c r="N24" s="53">
        <v>4</v>
      </c>
      <c r="O24" s="53">
        <v>0.85</v>
      </c>
      <c r="P24" s="53">
        <v>0.9</v>
      </c>
      <c r="Q24" s="97">
        <f t="shared" si="0"/>
        <v>0.875</v>
      </c>
      <c r="R24" s="53">
        <v>17.3</v>
      </c>
      <c r="S24" s="53">
        <v>103</v>
      </c>
      <c r="T24" s="16">
        <f t="shared" si="1"/>
        <v>33</v>
      </c>
      <c r="U24" s="53">
        <v>537</v>
      </c>
      <c r="V24" s="16">
        <f t="shared" si="2"/>
        <v>4430.25</v>
      </c>
      <c r="W24" s="53">
        <v>5</v>
      </c>
      <c r="X24" s="54" t="s">
        <v>39</v>
      </c>
      <c r="Y24" s="54" t="s">
        <v>47</v>
      </c>
      <c r="Z24" s="54" t="s">
        <v>90</v>
      </c>
      <c r="AA24" s="54" t="s">
        <v>69</v>
      </c>
      <c r="AB24" s="54" t="s">
        <v>282</v>
      </c>
      <c r="AP24" s="43" t="s">
        <v>118</v>
      </c>
    </row>
    <row r="25" spans="1:48" x14ac:dyDescent="0.15">
      <c r="A25" s="54" t="s">
        <v>34</v>
      </c>
      <c r="B25" s="53" t="s">
        <v>234</v>
      </c>
      <c r="C25" s="53">
        <v>2019</v>
      </c>
      <c r="D25" s="232" t="s">
        <v>159</v>
      </c>
      <c r="E25" s="36" t="s">
        <v>382</v>
      </c>
      <c r="F25" s="36" t="s">
        <v>383</v>
      </c>
      <c r="G25" s="54" t="s">
        <v>36</v>
      </c>
      <c r="H25" s="53" t="s">
        <v>162</v>
      </c>
      <c r="I25" s="54" t="s">
        <v>161</v>
      </c>
      <c r="J25" s="54" t="s">
        <v>38</v>
      </c>
      <c r="K25" s="54" t="s">
        <v>163</v>
      </c>
      <c r="L25" s="53">
        <v>3</v>
      </c>
      <c r="N25" s="53">
        <v>4</v>
      </c>
      <c r="O25" s="53">
        <v>0.9</v>
      </c>
      <c r="P25" s="53">
        <v>0.9</v>
      </c>
      <c r="Q25" s="97">
        <f t="shared" si="0"/>
        <v>0.9</v>
      </c>
      <c r="R25" s="53">
        <v>15.8</v>
      </c>
      <c r="S25" s="53">
        <v>97</v>
      </c>
      <c r="T25" s="16">
        <f t="shared" si="1"/>
        <v>36</v>
      </c>
      <c r="U25" s="53">
        <v>537</v>
      </c>
      <c r="V25" s="16">
        <f t="shared" si="2"/>
        <v>4833</v>
      </c>
      <c r="W25" s="53">
        <v>5</v>
      </c>
      <c r="X25" s="54" t="s">
        <v>39</v>
      </c>
      <c r="Y25" s="54" t="s">
        <v>47</v>
      </c>
      <c r="Z25" s="54" t="s">
        <v>90</v>
      </c>
      <c r="AA25" s="54" t="s">
        <v>69</v>
      </c>
      <c r="AB25" s="54" t="s">
        <v>282</v>
      </c>
    </row>
    <row r="26" spans="1:48" x14ac:dyDescent="0.15">
      <c r="A26" s="54" t="s">
        <v>34</v>
      </c>
      <c r="B26" s="53" t="s">
        <v>234</v>
      </c>
      <c r="C26" s="53">
        <v>2019</v>
      </c>
      <c r="D26" s="232" t="s">
        <v>159</v>
      </c>
      <c r="E26" s="36" t="s">
        <v>382</v>
      </c>
      <c r="F26" s="36" t="s">
        <v>383</v>
      </c>
      <c r="G26" s="54" t="s">
        <v>36</v>
      </c>
      <c r="H26" s="53" t="s">
        <v>127</v>
      </c>
      <c r="I26" s="54" t="s">
        <v>164</v>
      </c>
      <c r="J26" s="54" t="s">
        <v>80</v>
      </c>
      <c r="K26" s="54" t="s">
        <v>63</v>
      </c>
      <c r="L26" s="54">
        <v>1</v>
      </c>
      <c r="N26" s="53">
        <v>1</v>
      </c>
      <c r="O26" s="53">
        <v>0.8</v>
      </c>
      <c r="P26" s="53">
        <v>0.95</v>
      </c>
      <c r="Q26" s="97">
        <f t="shared" si="0"/>
        <v>0.875</v>
      </c>
      <c r="R26" s="53">
        <v>16.3</v>
      </c>
      <c r="S26" s="53">
        <v>90</v>
      </c>
      <c r="T26" s="16">
        <f t="shared" si="1"/>
        <v>36</v>
      </c>
      <c r="U26" s="53">
        <v>138</v>
      </c>
      <c r="V26" s="16">
        <f t="shared" si="2"/>
        <v>4968</v>
      </c>
      <c r="W26" s="53">
        <v>3</v>
      </c>
      <c r="X26" s="54" t="s">
        <v>39</v>
      </c>
      <c r="Y26" s="54" t="s">
        <v>47</v>
      </c>
      <c r="Z26" s="54" t="s">
        <v>90</v>
      </c>
      <c r="AA26" s="54" t="s">
        <v>69</v>
      </c>
      <c r="AB26" s="54" t="s">
        <v>282</v>
      </c>
    </row>
    <row r="27" spans="1:48" x14ac:dyDescent="0.15">
      <c r="A27" s="54" t="s">
        <v>34</v>
      </c>
      <c r="B27" s="53" t="s">
        <v>234</v>
      </c>
      <c r="C27" s="53">
        <v>2019</v>
      </c>
      <c r="D27" s="232" t="s">
        <v>159</v>
      </c>
      <c r="E27" s="36" t="s">
        <v>382</v>
      </c>
      <c r="F27" s="36" t="s">
        <v>383</v>
      </c>
      <c r="G27" s="54" t="s">
        <v>36</v>
      </c>
      <c r="H27" s="53" t="s">
        <v>127</v>
      </c>
      <c r="I27" s="54" t="s">
        <v>164</v>
      </c>
      <c r="J27" s="54" t="s">
        <v>80</v>
      </c>
      <c r="K27" s="54" t="s">
        <v>63</v>
      </c>
      <c r="L27" s="53">
        <v>2</v>
      </c>
      <c r="N27" s="53">
        <v>1</v>
      </c>
      <c r="O27" s="53">
        <v>0.65</v>
      </c>
      <c r="P27" s="53">
        <v>0.6</v>
      </c>
      <c r="Q27" s="97">
        <f t="shared" si="0"/>
        <v>0.625</v>
      </c>
      <c r="R27" s="53">
        <v>16.7</v>
      </c>
      <c r="S27" s="53">
        <v>92</v>
      </c>
      <c r="T27" s="16">
        <f t="shared" si="1"/>
        <v>36</v>
      </c>
      <c r="U27" s="53">
        <v>138</v>
      </c>
      <c r="V27" s="16">
        <f t="shared" si="2"/>
        <v>4968</v>
      </c>
      <c r="W27" s="53">
        <v>3</v>
      </c>
      <c r="X27" s="54" t="s">
        <v>39</v>
      </c>
      <c r="Y27" s="54" t="s">
        <v>47</v>
      </c>
      <c r="Z27" s="54" t="s">
        <v>90</v>
      </c>
      <c r="AA27" s="54" t="s">
        <v>69</v>
      </c>
      <c r="AB27" s="54" t="s">
        <v>282</v>
      </c>
    </row>
    <row r="28" spans="1:48" x14ac:dyDescent="0.15">
      <c r="A28" s="54" t="s">
        <v>34</v>
      </c>
      <c r="B28" s="53" t="s">
        <v>234</v>
      </c>
      <c r="C28" s="53">
        <v>2019</v>
      </c>
      <c r="D28" s="232" t="s">
        <v>159</v>
      </c>
      <c r="E28" s="36" t="s">
        <v>382</v>
      </c>
      <c r="F28" s="36" t="s">
        <v>383</v>
      </c>
      <c r="G28" s="54" t="s">
        <v>36</v>
      </c>
      <c r="H28" s="53" t="s">
        <v>127</v>
      </c>
      <c r="I28" s="54" t="s">
        <v>164</v>
      </c>
      <c r="J28" s="54" t="s">
        <v>80</v>
      </c>
      <c r="K28" s="54" t="s">
        <v>63</v>
      </c>
      <c r="L28" s="53">
        <v>3</v>
      </c>
      <c r="N28" s="53">
        <v>1</v>
      </c>
      <c r="O28" s="53">
        <v>0.8</v>
      </c>
      <c r="P28" s="53">
        <v>0.85</v>
      </c>
      <c r="Q28" s="97">
        <f>IF(OR(O28="",P28=""),"",AVERAGE(O28,P28))</f>
        <v>0.82499999999999996</v>
      </c>
      <c r="R28" s="53">
        <v>17.100000000000001</v>
      </c>
      <c r="S28" s="53">
        <v>120</v>
      </c>
      <c r="T28" s="16">
        <f t="shared" si="1"/>
        <v>30</v>
      </c>
      <c r="U28" s="53">
        <v>138</v>
      </c>
      <c r="V28" s="16">
        <f t="shared" si="2"/>
        <v>4140</v>
      </c>
      <c r="W28" s="53">
        <v>3</v>
      </c>
      <c r="X28" s="54" t="s">
        <v>39</v>
      </c>
      <c r="Y28" s="54" t="s">
        <v>47</v>
      </c>
      <c r="Z28" s="54" t="s">
        <v>90</v>
      </c>
      <c r="AA28" s="54" t="s">
        <v>69</v>
      </c>
      <c r="AB28" s="54" t="s">
        <v>282</v>
      </c>
    </row>
    <row r="29" spans="1:48" x14ac:dyDescent="0.15">
      <c r="A29" s="54" t="s">
        <v>34</v>
      </c>
      <c r="B29" s="53" t="s">
        <v>234</v>
      </c>
      <c r="C29" s="53">
        <v>2019</v>
      </c>
      <c r="D29" s="232" t="s">
        <v>159</v>
      </c>
      <c r="E29" s="36" t="s">
        <v>371</v>
      </c>
      <c r="F29" s="36" t="s">
        <v>370</v>
      </c>
      <c r="G29" s="54" t="s">
        <v>36</v>
      </c>
      <c r="H29" s="53" t="s">
        <v>162</v>
      </c>
      <c r="I29" s="54" t="s">
        <v>161</v>
      </c>
      <c r="J29" s="54" t="s">
        <v>38</v>
      </c>
      <c r="K29" s="54" t="s">
        <v>163</v>
      </c>
      <c r="L29" s="54">
        <v>1</v>
      </c>
      <c r="N29" s="53">
        <v>1</v>
      </c>
      <c r="O29" s="53">
        <v>0.2</v>
      </c>
      <c r="P29" s="53">
        <v>0.2</v>
      </c>
      <c r="Q29" s="97">
        <f t="shared" si="0"/>
        <v>0.2</v>
      </c>
      <c r="R29" s="53">
        <v>21</v>
      </c>
      <c r="S29" s="53">
        <v>115</v>
      </c>
      <c r="T29" s="16">
        <f t="shared" si="1"/>
        <v>30</v>
      </c>
      <c r="U29" s="53">
        <v>105</v>
      </c>
      <c r="V29" s="16">
        <f t="shared" si="2"/>
        <v>3150</v>
      </c>
      <c r="W29" s="53">
        <v>8</v>
      </c>
      <c r="X29" s="54" t="s">
        <v>46</v>
      </c>
      <c r="Y29" s="54" t="s">
        <v>47</v>
      </c>
      <c r="Z29" s="54" t="s">
        <v>69</v>
      </c>
      <c r="AA29" s="54" t="s">
        <v>40</v>
      </c>
      <c r="AB29" s="54" t="s">
        <v>282</v>
      </c>
    </row>
    <row r="30" spans="1:48" x14ac:dyDescent="0.15">
      <c r="A30" s="54" t="s">
        <v>34</v>
      </c>
      <c r="B30" s="53" t="s">
        <v>234</v>
      </c>
      <c r="C30" s="53">
        <v>2019</v>
      </c>
      <c r="D30" s="232" t="s">
        <v>159</v>
      </c>
      <c r="E30" s="36" t="s">
        <v>371</v>
      </c>
      <c r="F30" s="36" t="s">
        <v>370</v>
      </c>
      <c r="G30" s="54" t="s">
        <v>36</v>
      </c>
      <c r="H30" s="53" t="s">
        <v>162</v>
      </c>
      <c r="I30" s="54" t="s">
        <v>161</v>
      </c>
      <c r="J30" s="54" t="s">
        <v>38</v>
      </c>
      <c r="K30" s="54" t="s">
        <v>163</v>
      </c>
      <c r="L30" s="53">
        <v>2</v>
      </c>
      <c r="N30" s="53">
        <v>1</v>
      </c>
      <c r="O30" s="53">
        <v>0.2</v>
      </c>
      <c r="P30" s="53">
        <v>0.2</v>
      </c>
      <c r="Q30" s="97">
        <f t="shared" si="0"/>
        <v>0.2</v>
      </c>
      <c r="R30" s="53">
        <v>18.600000000000001</v>
      </c>
      <c r="S30" s="53">
        <v>130</v>
      </c>
      <c r="T30" s="16">
        <f t="shared" si="1"/>
        <v>30</v>
      </c>
      <c r="U30" s="53">
        <v>105</v>
      </c>
      <c r="V30" s="16">
        <f t="shared" si="2"/>
        <v>3150</v>
      </c>
      <c r="W30" s="53">
        <v>8</v>
      </c>
      <c r="X30" s="54" t="s">
        <v>46</v>
      </c>
      <c r="Y30" s="54" t="s">
        <v>47</v>
      </c>
      <c r="Z30" s="54" t="s">
        <v>69</v>
      </c>
      <c r="AA30" s="54" t="s">
        <v>40</v>
      </c>
      <c r="AB30" s="54" t="s">
        <v>282</v>
      </c>
    </row>
    <row r="31" spans="1:48" x14ac:dyDescent="0.15">
      <c r="A31" s="54" t="s">
        <v>34</v>
      </c>
      <c r="B31" s="53" t="s">
        <v>234</v>
      </c>
      <c r="C31" s="53">
        <v>2019</v>
      </c>
      <c r="D31" s="232" t="s">
        <v>159</v>
      </c>
      <c r="E31" s="36" t="s">
        <v>371</v>
      </c>
      <c r="F31" s="36" t="s">
        <v>370</v>
      </c>
      <c r="G31" s="54" t="s">
        <v>36</v>
      </c>
      <c r="H31" s="53" t="s">
        <v>162</v>
      </c>
      <c r="I31" s="54" t="s">
        <v>161</v>
      </c>
      <c r="J31" s="54" t="s">
        <v>38</v>
      </c>
      <c r="K31" s="54" t="s">
        <v>163</v>
      </c>
      <c r="L31" s="53">
        <v>3</v>
      </c>
      <c r="N31" s="53">
        <v>1</v>
      </c>
      <c r="O31" s="53">
        <v>0.5</v>
      </c>
      <c r="P31" s="53">
        <v>0.2</v>
      </c>
      <c r="Q31" s="97">
        <f t="shared" si="0"/>
        <v>0.35</v>
      </c>
      <c r="R31" s="53">
        <v>21.8</v>
      </c>
      <c r="S31" s="53">
        <v>122</v>
      </c>
      <c r="T31" s="16">
        <f t="shared" si="1"/>
        <v>30</v>
      </c>
      <c r="U31" s="53">
        <v>105</v>
      </c>
      <c r="V31" s="16">
        <f t="shared" si="2"/>
        <v>3150</v>
      </c>
      <c r="W31" s="53">
        <v>8</v>
      </c>
      <c r="X31" s="54" t="s">
        <v>46</v>
      </c>
      <c r="Y31" s="54" t="s">
        <v>47</v>
      </c>
      <c r="Z31" s="54" t="s">
        <v>69</v>
      </c>
      <c r="AA31" s="54" t="s">
        <v>40</v>
      </c>
      <c r="AB31" s="54" t="s">
        <v>282</v>
      </c>
    </row>
    <row r="32" spans="1:48" x14ac:dyDescent="0.15">
      <c r="A32" s="54" t="s">
        <v>34</v>
      </c>
      <c r="B32" s="53" t="s">
        <v>234</v>
      </c>
      <c r="C32" s="53">
        <v>2019</v>
      </c>
      <c r="D32" s="232" t="s">
        <v>159</v>
      </c>
      <c r="E32" s="36" t="s">
        <v>371</v>
      </c>
      <c r="F32" s="36" t="s">
        <v>370</v>
      </c>
      <c r="G32" s="54" t="s">
        <v>36</v>
      </c>
      <c r="H32" s="53" t="s">
        <v>162</v>
      </c>
      <c r="I32" s="54" t="s">
        <v>161</v>
      </c>
      <c r="J32" s="54" t="s">
        <v>38</v>
      </c>
      <c r="K32" s="54" t="s">
        <v>163</v>
      </c>
      <c r="L32" s="54">
        <v>1</v>
      </c>
      <c r="N32" s="53">
        <v>4</v>
      </c>
      <c r="O32" s="53">
        <v>0.6</v>
      </c>
      <c r="P32" s="53">
        <v>0.65</v>
      </c>
      <c r="Q32" s="97">
        <f t="shared" si="0"/>
        <v>0.625</v>
      </c>
      <c r="R32" s="53">
        <v>18</v>
      </c>
      <c r="S32" s="53">
        <v>97</v>
      </c>
      <c r="T32" s="16">
        <f t="shared" si="1"/>
        <v>36</v>
      </c>
      <c r="U32" s="53">
        <v>429</v>
      </c>
      <c r="V32" s="16">
        <f t="shared" si="2"/>
        <v>3861</v>
      </c>
      <c r="W32" s="53">
        <v>8</v>
      </c>
      <c r="X32" s="54" t="s">
        <v>46</v>
      </c>
      <c r="Y32" s="54" t="s">
        <v>47</v>
      </c>
      <c r="Z32" s="54" t="s">
        <v>69</v>
      </c>
      <c r="AA32" s="54" t="s">
        <v>40</v>
      </c>
      <c r="AB32" s="54" t="s">
        <v>282</v>
      </c>
    </row>
    <row r="33" spans="1:28" x14ac:dyDescent="0.15">
      <c r="A33" s="54" t="s">
        <v>34</v>
      </c>
      <c r="B33" s="53" t="s">
        <v>234</v>
      </c>
      <c r="C33" s="53">
        <v>2019</v>
      </c>
      <c r="D33" s="232" t="s">
        <v>159</v>
      </c>
      <c r="E33" s="36" t="s">
        <v>371</v>
      </c>
      <c r="F33" s="36" t="s">
        <v>370</v>
      </c>
      <c r="G33" s="54" t="s">
        <v>36</v>
      </c>
      <c r="H33" s="53" t="s">
        <v>162</v>
      </c>
      <c r="I33" s="54" t="s">
        <v>161</v>
      </c>
      <c r="J33" s="54" t="s">
        <v>38</v>
      </c>
      <c r="K33" s="54" t="s">
        <v>163</v>
      </c>
      <c r="L33" s="53">
        <v>2</v>
      </c>
      <c r="N33" s="53">
        <v>4</v>
      </c>
      <c r="O33" s="53">
        <v>0.7</v>
      </c>
      <c r="P33" s="53">
        <v>0.65</v>
      </c>
      <c r="Q33" s="97">
        <f t="shared" si="0"/>
        <v>0.67500000000000004</v>
      </c>
      <c r="R33" s="53">
        <v>17.899999999999999</v>
      </c>
      <c r="S33" s="53">
        <v>101</v>
      </c>
      <c r="T33" s="16">
        <f t="shared" si="1"/>
        <v>33</v>
      </c>
      <c r="U33" s="53">
        <v>429</v>
      </c>
      <c r="V33" s="16">
        <f t="shared" si="2"/>
        <v>3539.25</v>
      </c>
      <c r="W33" s="53">
        <v>8</v>
      </c>
      <c r="X33" s="54" t="s">
        <v>46</v>
      </c>
      <c r="Y33" s="54" t="s">
        <v>47</v>
      </c>
      <c r="Z33" s="54" t="s">
        <v>69</v>
      </c>
      <c r="AA33" s="54" t="s">
        <v>40</v>
      </c>
      <c r="AB33" s="54" t="s">
        <v>282</v>
      </c>
    </row>
    <row r="34" spans="1:28" x14ac:dyDescent="0.15">
      <c r="A34" s="54" t="s">
        <v>34</v>
      </c>
      <c r="B34" s="53" t="s">
        <v>234</v>
      </c>
      <c r="C34" s="53">
        <v>2019</v>
      </c>
      <c r="D34" s="232" t="s">
        <v>159</v>
      </c>
      <c r="E34" s="36" t="s">
        <v>371</v>
      </c>
      <c r="F34" s="36" t="s">
        <v>370</v>
      </c>
      <c r="G34" s="54" t="s">
        <v>36</v>
      </c>
      <c r="H34" s="53" t="s">
        <v>162</v>
      </c>
      <c r="I34" s="54" t="s">
        <v>161</v>
      </c>
      <c r="J34" s="54" t="s">
        <v>38</v>
      </c>
      <c r="K34" s="54" t="s">
        <v>163</v>
      </c>
      <c r="L34" s="53">
        <v>3</v>
      </c>
      <c r="N34" s="53">
        <v>4</v>
      </c>
      <c r="O34" s="53">
        <v>0.75</v>
      </c>
      <c r="P34" s="53">
        <v>0.95</v>
      </c>
      <c r="Q34" s="97">
        <f>IF(OR(O34="",P34=""),"",AVERAGE(O34,P34))</f>
        <v>0.85</v>
      </c>
      <c r="R34" s="53">
        <v>19.5</v>
      </c>
      <c r="S34" s="53">
        <v>102</v>
      </c>
      <c r="T34" s="16">
        <f t="shared" si="1"/>
        <v>33</v>
      </c>
      <c r="U34" s="53">
        <v>429</v>
      </c>
      <c r="V34" s="16">
        <f t="shared" si="2"/>
        <v>3539.25</v>
      </c>
      <c r="W34" s="53">
        <v>8</v>
      </c>
      <c r="X34" s="54" t="s">
        <v>46</v>
      </c>
      <c r="Y34" s="54" t="s">
        <v>47</v>
      </c>
      <c r="Z34" s="54" t="s">
        <v>69</v>
      </c>
      <c r="AA34" s="54" t="s">
        <v>40</v>
      </c>
      <c r="AB34" s="54" t="s">
        <v>282</v>
      </c>
    </row>
    <row r="35" spans="1:28" x14ac:dyDescent="0.15">
      <c r="A35" s="54" t="s">
        <v>34</v>
      </c>
      <c r="B35" s="53" t="s">
        <v>234</v>
      </c>
      <c r="C35" s="53">
        <v>2019</v>
      </c>
      <c r="D35" s="232" t="s">
        <v>159</v>
      </c>
      <c r="E35" s="36" t="s">
        <v>371</v>
      </c>
      <c r="F35" s="36" t="s">
        <v>370</v>
      </c>
      <c r="G35" s="54" t="s">
        <v>36</v>
      </c>
      <c r="H35" s="53" t="s">
        <v>162</v>
      </c>
      <c r="I35" s="54" t="s">
        <v>161</v>
      </c>
      <c r="J35" s="54" t="s">
        <v>38</v>
      </c>
      <c r="K35" s="54" t="s">
        <v>163</v>
      </c>
      <c r="L35" s="54">
        <v>1</v>
      </c>
      <c r="N35" s="53">
        <v>6</v>
      </c>
      <c r="O35" s="53">
        <v>1.1000000000000001</v>
      </c>
      <c r="P35" s="53">
        <v>1.1000000000000001</v>
      </c>
      <c r="Q35" s="97">
        <f t="shared" ref="Q35:Q36" si="3">IF(OR(O35="",P35=""),"",AVERAGE(O35,P35))</f>
        <v>1.1000000000000001</v>
      </c>
      <c r="R35" s="53">
        <v>17.399999999999999</v>
      </c>
      <c r="S35" s="53">
        <v>145</v>
      </c>
      <c r="T35" s="16">
        <f t="shared" si="1"/>
        <v>30</v>
      </c>
      <c r="U35" s="53">
        <v>842</v>
      </c>
      <c r="V35" s="16">
        <f t="shared" si="2"/>
        <v>4210</v>
      </c>
      <c r="W35" s="53">
        <v>8</v>
      </c>
      <c r="X35" s="54" t="s">
        <v>46</v>
      </c>
      <c r="Y35" s="54" t="s">
        <v>47</v>
      </c>
      <c r="Z35" s="54" t="s">
        <v>69</v>
      </c>
      <c r="AA35" s="54" t="s">
        <v>40</v>
      </c>
      <c r="AB35" s="54" t="s">
        <v>282</v>
      </c>
    </row>
    <row r="36" spans="1:28" x14ac:dyDescent="0.15">
      <c r="A36" s="54" t="s">
        <v>34</v>
      </c>
      <c r="B36" s="53" t="s">
        <v>234</v>
      </c>
      <c r="C36" s="53">
        <v>2019</v>
      </c>
      <c r="D36" s="232" t="s">
        <v>159</v>
      </c>
      <c r="E36" s="36" t="s">
        <v>371</v>
      </c>
      <c r="F36" s="36" t="s">
        <v>370</v>
      </c>
      <c r="G36" s="54" t="s">
        <v>36</v>
      </c>
      <c r="H36" s="53" t="s">
        <v>162</v>
      </c>
      <c r="I36" s="54" t="s">
        <v>161</v>
      </c>
      <c r="J36" s="54" t="s">
        <v>38</v>
      </c>
      <c r="K36" s="54" t="s">
        <v>163</v>
      </c>
      <c r="L36" s="53">
        <v>2</v>
      </c>
      <c r="N36" s="53">
        <v>6</v>
      </c>
      <c r="O36" s="53">
        <v>0.6</v>
      </c>
      <c r="P36" s="53">
        <v>0.5</v>
      </c>
      <c r="Q36" s="97">
        <f t="shared" si="3"/>
        <v>0.55000000000000004</v>
      </c>
      <c r="R36" s="53">
        <v>18.100000000000001</v>
      </c>
      <c r="S36" s="53">
        <v>127</v>
      </c>
      <c r="T36" s="16">
        <f t="shared" si="1"/>
        <v>30</v>
      </c>
      <c r="U36" s="53">
        <v>842</v>
      </c>
      <c r="V36" s="16">
        <f t="shared" si="2"/>
        <v>4210</v>
      </c>
      <c r="W36" s="53">
        <v>8</v>
      </c>
      <c r="X36" s="54" t="s">
        <v>46</v>
      </c>
      <c r="Y36" s="54" t="s">
        <v>47</v>
      </c>
      <c r="Z36" s="54" t="s">
        <v>69</v>
      </c>
      <c r="AA36" s="54" t="s">
        <v>40</v>
      </c>
      <c r="AB36" s="54" t="s">
        <v>282</v>
      </c>
    </row>
    <row r="37" spans="1:28" x14ac:dyDescent="0.15">
      <c r="A37" s="54" t="s">
        <v>34</v>
      </c>
      <c r="B37" s="53" t="s">
        <v>234</v>
      </c>
      <c r="C37" s="53">
        <v>2019</v>
      </c>
      <c r="D37" s="232" t="s">
        <v>159</v>
      </c>
      <c r="E37" s="36" t="s">
        <v>371</v>
      </c>
      <c r="F37" s="36" t="s">
        <v>370</v>
      </c>
      <c r="G37" s="54" t="s">
        <v>36</v>
      </c>
      <c r="H37" s="53" t="s">
        <v>162</v>
      </c>
      <c r="I37" s="54" t="s">
        <v>161</v>
      </c>
      <c r="J37" s="54" t="s">
        <v>38</v>
      </c>
      <c r="K37" s="54" t="s">
        <v>163</v>
      </c>
      <c r="L37" s="53">
        <v>3</v>
      </c>
      <c r="N37" s="53">
        <v>6</v>
      </c>
      <c r="O37" s="53">
        <v>1</v>
      </c>
      <c r="P37" s="53">
        <v>1</v>
      </c>
      <c r="Q37" s="97">
        <f>IF(OR(O37="",P37=""),"",AVERAGE(O37,P37))</f>
        <v>1</v>
      </c>
      <c r="R37" s="53">
        <v>17.7</v>
      </c>
      <c r="S37" s="53">
        <v>141</v>
      </c>
      <c r="T37" s="16">
        <f t="shared" si="1"/>
        <v>30</v>
      </c>
      <c r="U37" s="53">
        <v>842</v>
      </c>
      <c r="V37" s="16">
        <f t="shared" si="2"/>
        <v>4210</v>
      </c>
      <c r="W37" s="53">
        <v>8</v>
      </c>
      <c r="X37" s="54" t="s">
        <v>46</v>
      </c>
      <c r="Y37" s="54" t="s">
        <v>47</v>
      </c>
      <c r="Z37" s="54" t="s">
        <v>69</v>
      </c>
      <c r="AA37" s="54" t="s">
        <v>40</v>
      </c>
      <c r="AB37" s="54" t="s">
        <v>282</v>
      </c>
    </row>
    <row r="38" spans="1:28" x14ac:dyDescent="0.15">
      <c r="A38" s="54" t="s">
        <v>34</v>
      </c>
      <c r="B38" s="53" t="s">
        <v>234</v>
      </c>
      <c r="C38" s="53">
        <v>2019</v>
      </c>
      <c r="D38" s="232" t="s">
        <v>159</v>
      </c>
      <c r="E38" s="36" t="s">
        <v>371</v>
      </c>
      <c r="F38" s="36" t="s">
        <v>370</v>
      </c>
      <c r="G38" s="54" t="s">
        <v>36</v>
      </c>
      <c r="H38" s="53" t="s">
        <v>127</v>
      </c>
      <c r="I38" s="54" t="s">
        <v>161</v>
      </c>
      <c r="J38" s="54" t="s">
        <v>80</v>
      </c>
      <c r="K38" s="54" t="s">
        <v>63</v>
      </c>
      <c r="L38" s="54">
        <v>1</v>
      </c>
      <c r="N38" s="53">
        <v>1</v>
      </c>
      <c r="O38" s="53">
        <v>0.7</v>
      </c>
      <c r="P38" s="53">
        <v>0.85</v>
      </c>
      <c r="Q38" s="97">
        <f t="shared" ref="Q38:Q39" si="4">IF(OR(O38="",P38=""),"",AVERAGE(O38,P38))</f>
        <v>0.77499999999999991</v>
      </c>
      <c r="R38" s="53">
        <v>13.9</v>
      </c>
      <c r="S38" s="53">
        <v>112</v>
      </c>
      <c r="T38" s="16">
        <f t="shared" si="1"/>
        <v>33</v>
      </c>
      <c r="U38" s="53">
        <v>108</v>
      </c>
      <c r="V38" s="16">
        <f t="shared" si="2"/>
        <v>3564</v>
      </c>
      <c r="W38" s="53">
        <v>1</v>
      </c>
      <c r="X38" s="54" t="s">
        <v>46</v>
      </c>
      <c r="Y38" s="54" t="s">
        <v>47</v>
      </c>
      <c r="Z38" s="54" t="s">
        <v>69</v>
      </c>
      <c r="AA38" s="54" t="s">
        <v>40</v>
      </c>
      <c r="AB38" s="54" t="s">
        <v>282</v>
      </c>
    </row>
    <row r="39" spans="1:28" x14ac:dyDescent="0.15">
      <c r="A39" s="54" t="s">
        <v>34</v>
      </c>
      <c r="B39" s="53" t="s">
        <v>234</v>
      </c>
      <c r="C39" s="53">
        <v>2019</v>
      </c>
      <c r="D39" s="232" t="s">
        <v>159</v>
      </c>
      <c r="E39" s="36" t="s">
        <v>371</v>
      </c>
      <c r="F39" s="36" t="s">
        <v>370</v>
      </c>
      <c r="G39" s="54" t="s">
        <v>36</v>
      </c>
      <c r="H39" s="53" t="s">
        <v>127</v>
      </c>
      <c r="I39" s="54" t="s">
        <v>161</v>
      </c>
      <c r="J39" s="54" t="s">
        <v>80</v>
      </c>
      <c r="K39" s="54" t="s">
        <v>63</v>
      </c>
      <c r="L39" s="53">
        <v>2</v>
      </c>
      <c r="N39" s="53">
        <v>1</v>
      </c>
      <c r="O39" s="53">
        <v>0.85</v>
      </c>
      <c r="P39" s="53">
        <v>0.85</v>
      </c>
      <c r="Q39" s="97">
        <f t="shared" si="4"/>
        <v>0.85</v>
      </c>
      <c r="R39" s="53">
        <v>15.9</v>
      </c>
      <c r="S39" s="53">
        <v>106</v>
      </c>
      <c r="T39" s="16">
        <f t="shared" si="1"/>
        <v>33</v>
      </c>
      <c r="U39" s="53">
        <v>108</v>
      </c>
      <c r="V39" s="16">
        <f t="shared" si="2"/>
        <v>3564</v>
      </c>
      <c r="W39" s="53">
        <v>1</v>
      </c>
      <c r="X39" s="54" t="s">
        <v>46</v>
      </c>
      <c r="Y39" s="54" t="s">
        <v>47</v>
      </c>
      <c r="Z39" s="54" t="s">
        <v>69</v>
      </c>
      <c r="AA39" s="54" t="s">
        <v>40</v>
      </c>
      <c r="AB39" s="54" t="s">
        <v>282</v>
      </c>
    </row>
    <row r="40" spans="1:28" x14ac:dyDescent="0.15">
      <c r="A40" s="54" t="s">
        <v>34</v>
      </c>
      <c r="B40" s="53" t="s">
        <v>234</v>
      </c>
      <c r="C40" s="53">
        <v>2019</v>
      </c>
      <c r="D40" s="232" t="s">
        <v>159</v>
      </c>
      <c r="E40" s="36" t="s">
        <v>371</v>
      </c>
      <c r="F40" s="36" t="s">
        <v>370</v>
      </c>
      <c r="G40" s="54" t="s">
        <v>36</v>
      </c>
      <c r="H40" s="53" t="s">
        <v>127</v>
      </c>
      <c r="I40" s="54" t="s">
        <v>161</v>
      </c>
      <c r="J40" s="54" t="s">
        <v>80</v>
      </c>
      <c r="K40" s="54" t="s">
        <v>63</v>
      </c>
      <c r="L40" s="53">
        <v>3</v>
      </c>
      <c r="N40" s="53">
        <v>1</v>
      </c>
      <c r="O40" s="53">
        <v>0.75</v>
      </c>
      <c r="P40" s="53">
        <v>0.75</v>
      </c>
      <c r="Q40" s="97">
        <f>IF(OR(O40="",P40=""),"",AVERAGE(O40,P40))</f>
        <v>0.75</v>
      </c>
      <c r="R40" s="53">
        <v>16.5</v>
      </c>
      <c r="S40" s="53">
        <v>104</v>
      </c>
      <c r="T40" s="16">
        <f t="shared" si="1"/>
        <v>33</v>
      </c>
      <c r="U40" s="53">
        <v>108</v>
      </c>
      <c r="V40" s="16">
        <f t="shared" si="2"/>
        <v>3564</v>
      </c>
      <c r="W40" s="53">
        <v>1</v>
      </c>
      <c r="X40" s="54" t="s">
        <v>46</v>
      </c>
      <c r="Y40" s="54" t="s">
        <v>47</v>
      </c>
      <c r="Z40" s="54" t="s">
        <v>69</v>
      </c>
      <c r="AA40" s="54" t="s">
        <v>40</v>
      </c>
      <c r="AB40" s="54" t="s">
        <v>282</v>
      </c>
    </row>
    <row r="41" spans="1:28" x14ac:dyDescent="0.15">
      <c r="A41" s="54" t="s">
        <v>34</v>
      </c>
      <c r="B41" s="53" t="s">
        <v>234</v>
      </c>
      <c r="C41" s="53">
        <v>2019</v>
      </c>
      <c r="D41" s="232" t="s">
        <v>159</v>
      </c>
      <c r="E41" s="36" t="s">
        <v>360</v>
      </c>
      <c r="F41" s="36" t="s">
        <v>370</v>
      </c>
      <c r="G41" s="54" t="s">
        <v>36</v>
      </c>
      <c r="H41" s="53" t="s">
        <v>162</v>
      </c>
      <c r="I41" s="54" t="s">
        <v>161</v>
      </c>
      <c r="J41" s="54" t="s">
        <v>38</v>
      </c>
      <c r="K41" s="54" t="s">
        <v>163</v>
      </c>
      <c r="L41" s="54">
        <v>1</v>
      </c>
      <c r="N41" s="53">
        <v>1</v>
      </c>
      <c r="O41" s="53">
        <v>0.7</v>
      </c>
      <c r="P41" s="53">
        <v>0.9</v>
      </c>
      <c r="Q41" s="97">
        <f t="shared" si="0"/>
        <v>0.8</v>
      </c>
      <c r="R41" s="53">
        <v>17.5</v>
      </c>
      <c r="S41" s="53">
        <v>149</v>
      </c>
      <c r="T41" s="16">
        <f t="shared" si="1"/>
        <v>30</v>
      </c>
      <c r="U41" s="53">
        <v>138</v>
      </c>
      <c r="V41" s="16">
        <f t="shared" si="2"/>
        <v>4140</v>
      </c>
      <c r="W41" s="53">
        <v>5</v>
      </c>
      <c r="X41" s="54" t="s">
        <v>46</v>
      </c>
      <c r="Y41" s="54" t="s">
        <v>69</v>
      </c>
      <c r="Z41" s="54" t="s">
        <v>47</v>
      </c>
      <c r="AA41" s="54" t="s">
        <v>40</v>
      </c>
      <c r="AB41" s="54" t="s">
        <v>282</v>
      </c>
    </row>
    <row r="42" spans="1:28" x14ac:dyDescent="0.15">
      <c r="A42" s="54" t="s">
        <v>34</v>
      </c>
      <c r="B42" s="53" t="s">
        <v>234</v>
      </c>
      <c r="C42" s="53">
        <v>2019</v>
      </c>
      <c r="D42" s="232" t="s">
        <v>159</v>
      </c>
      <c r="E42" s="36" t="s">
        <v>360</v>
      </c>
      <c r="F42" s="36" t="s">
        <v>370</v>
      </c>
      <c r="G42" s="54" t="s">
        <v>36</v>
      </c>
      <c r="H42" s="53" t="s">
        <v>162</v>
      </c>
      <c r="I42" s="54" t="s">
        <v>161</v>
      </c>
      <c r="J42" s="54" t="s">
        <v>38</v>
      </c>
      <c r="K42" s="54" t="s">
        <v>163</v>
      </c>
      <c r="L42" s="53">
        <v>2</v>
      </c>
      <c r="N42" s="53">
        <v>1</v>
      </c>
      <c r="O42" s="53">
        <v>1</v>
      </c>
      <c r="P42" s="53">
        <v>0.9</v>
      </c>
      <c r="Q42" s="97">
        <f t="shared" si="0"/>
        <v>0.95</v>
      </c>
      <c r="R42" s="53">
        <v>17.899999999999999</v>
      </c>
      <c r="S42" s="53">
        <v>148</v>
      </c>
      <c r="T42" s="16">
        <f t="shared" si="1"/>
        <v>30</v>
      </c>
      <c r="U42" s="53">
        <v>138</v>
      </c>
      <c r="V42" s="16">
        <f t="shared" si="2"/>
        <v>4140</v>
      </c>
      <c r="W42" s="53">
        <v>5</v>
      </c>
      <c r="X42" s="54" t="s">
        <v>46</v>
      </c>
      <c r="Y42" s="54" t="s">
        <v>69</v>
      </c>
      <c r="Z42" s="54" t="s">
        <v>47</v>
      </c>
      <c r="AA42" s="54" t="s">
        <v>40</v>
      </c>
      <c r="AB42" s="54" t="s">
        <v>282</v>
      </c>
    </row>
    <row r="43" spans="1:28" x14ac:dyDescent="0.15">
      <c r="A43" s="54" t="s">
        <v>34</v>
      </c>
      <c r="B43" s="53" t="s">
        <v>234</v>
      </c>
      <c r="C43" s="53">
        <v>2019</v>
      </c>
      <c r="D43" s="232" t="s">
        <v>159</v>
      </c>
      <c r="E43" s="36" t="s">
        <v>360</v>
      </c>
      <c r="F43" s="36" t="s">
        <v>370</v>
      </c>
      <c r="G43" s="54" t="s">
        <v>36</v>
      </c>
      <c r="H43" s="53" t="s">
        <v>162</v>
      </c>
      <c r="I43" s="54" t="s">
        <v>161</v>
      </c>
      <c r="J43" s="54" t="s">
        <v>38</v>
      </c>
      <c r="K43" s="54" t="s">
        <v>163</v>
      </c>
      <c r="L43" s="53">
        <v>3</v>
      </c>
      <c r="N43" s="53">
        <v>1</v>
      </c>
      <c r="O43" s="53">
        <v>0.75</v>
      </c>
      <c r="P43" s="53">
        <v>0.9</v>
      </c>
      <c r="Q43" s="97">
        <f t="shared" si="0"/>
        <v>0.82499999999999996</v>
      </c>
      <c r="R43" s="53">
        <v>21</v>
      </c>
      <c r="S43" s="53">
        <v>158</v>
      </c>
      <c r="T43" s="16">
        <f t="shared" si="1"/>
        <v>18</v>
      </c>
      <c r="U43" s="53">
        <v>138</v>
      </c>
      <c r="V43" s="16">
        <f t="shared" si="2"/>
        <v>2484</v>
      </c>
      <c r="W43" s="53">
        <v>5</v>
      </c>
      <c r="X43" s="54" t="s">
        <v>46</v>
      </c>
      <c r="Y43" s="54" t="s">
        <v>69</v>
      </c>
      <c r="Z43" s="54" t="s">
        <v>47</v>
      </c>
      <c r="AA43" s="54" t="s">
        <v>40</v>
      </c>
      <c r="AB43" s="54" t="s">
        <v>282</v>
      </c>
    </row>
    <row r="44" spans="1:28" x14ac:dyDescent="0.15">
      <c r="A44" s="54" t="s">
        <v>34</v>
      </c>
      <c r="B44" s="53" t="s">
        <v>234</v>
      </c>
      <c r="C44" s="53">
        <v>2019</v>
      </c>
      <c r="D44" s="232" t="s">
        <v>159</v>
      </c>
      <c r="E44" s="36" t="s">
        <v>360</v>
      </c>
      <c r="F44" s="36" t="s">
        <v>370</v>
      </c>
      <c r="G44" s="54" t="s">
        <v>36</v>
      </c>
      <c r="H44" s="53" t="s">
        <v>162</v>
      </c>
      <c r="I44" s="54" t="s">
        <v>161</v>
      </c>
      <c r="J44" s="54" t="s">
        <v>38</v>
      </c>
      <c r="K44" s="54" t="s">
        <v>163</v>
      </c>
      <c r="L44" s="54">
        <v>1</v>
      </c>
      <c r="N44" s="53">
        <v>4</v>
      </c>
      <c r="O44" s="53">
        <v>0.55000000000000004</v>
      </c>
      <c r="P44" s="53">
        <v>0.5</v>
      </c>
      <c r="Q44" s="97">
        <f t="shared" si="0"/>
        <v>0.52500000000000002</v>
      </c>
      <c r="R44" s="53">
        <v>19.2</v>
      </c>
      <c r="S44" s="53">
        <v>99</v>
      </c>
      <c r="T44" s="16">
        <f t="shared" si="1"/>
        <v>33</v>
      </c>
      <c r="U44" s="53">
        <v>537</v>
      </c>
      <c r="V44" s="16">
        <f t="shared" si="2"/>
        <v>4430.25</v>
      </c>
      <c r="W44" s="53">
        <v>5</v>
      </c>
      <c r="X44" s="54" t="s">
        <v>46</v>
      </c>
      <c r="Y44" s="54" t="s">
        <v>69</v>
      </c>
      <c r="Z44" s="54" t="s">
        <v>47</v>
      </c>
      <c r="AA44" s="54" t="s">
        <v>40</v>
      </c>
      <c r="AB44" s="54" t="s">
        <v>282</v>
      </c>
    </row>
    <row r="45" spans="1:28" x14ac:dyDescent="0.15">
      <c r="A45" s="54" t="s">
        <v>34</v>
      </c>
      <c r="B45" s="53" t="s">
        <v>234</v>
      </c>
      <c r="C45" s="53">
        <v>2019</v>
      </c>
      <c r="D45" s="232" t="s">
        <v>159</v>
      </c>
      <c r="E45" s="36" t="s">
        <v>360</v>
      </c>
      <c r="F45" s="36" t="s">
        <v>370</v>
      </c>
      <c r="G45" s="54" t="s">
        <v>36</v>
      </c>
      <c r="H45" s="53" t="s">
        <v>162</v>
      </c>
      <c r="I45" s="54" t="s">
        <v>161</v>
      </c>
      <c r="J45" s="54" t="s">
        <v>38</v>
      </c>
      <c r="K45" s="54" t="s">
        <v>163</v>
      </c>
      <c r="L45" s="53">
        <v>2</v>
      </c>
      <c r="N45" s="53">
        <v>4</v>
      </c>
      <c r="O45" s="53">
        <v>0.5</v>
      </c>
      <c r="P45" s="53">
        <v>0.5</v>
      </c>
      <c r="Q45" s="97">
        <f t="shared" si="0"/>
        <v>0.5</v>
      </c>
      <c r="R45" s="53">
        <v>18.3</v>
      </c>
      <c r="S45" s="53">
        <v>100</v>
      </c>
      <c r="T45" s="16">
        <f t="shared" si="1"/>
        <v>33</v>
      </c>
      <c r="U45" s="53">
        <v>537</v>
      </c>
      <c r="V45" s="16">
        <f t="shared" si="2"/>
        <v>4430.25</v>
      </c>
      <c r="W45" s="53">
        <v>5</v>
      </c>
      <c r="X45" s="54" t="s">
        <v>46</v>
      </c>
      <c r="Y45" s="54" t="s">
        <v>69</v>
      </c>
      <c r="Z45" s="54" t="s">
        <v>47</v>
      </c>
      <c r="AA45" s="54" t="s">
        <v>40</v>
      </c>
      <c r="AB45" s="54" t="s">
        <v>282</v>
      </c>
    </row>
    <row r="46" spans="1:28" x14ac:dyDescent="0.15">
      <c r="A46" s="54" t="s">
        <v>34</v>
      </c>
      <c r="B46" s="53" t="s">
        <v>234</v>
      </c>
      <c r="C46" s="53">
        <v>2019</v>
      </c>
      <c r="D46" s="232" t="s">
        <v>159</v>
      </c>
      <c r="E46" s="36" t="s">
        <v>360</v>
      </c>
      <c r="F46" s="36" t="s">
        <v>370</v>
      </c>
      <c r="G46" s="54" t="s">
        <v>36</v>
      </c>
      <c r="H46" s="53" t="s">
        <v>162</v>
      </c>
      <c r="I46" s="54" t="s">
        <v>161</v>
      </c>
      <c r="J46" s="54" t="s">
        <v>38</v>
      </c>
      <c r="K46" s="54" t="s">
        <v>163</v>
      </c>
      <c r="L46" s="53">
        <v>3</v>
      </c>
      <c r="N46" s="53">
        <v>4</v>
      </c>
      <c r="O46" s="53">
        <v>0.55000000000000004</v>
      </c>
      <c r="P46" s="53">
        <v>0.55000000000000004</v>
      </c>
      <c r="Q46" s="97">
        <f t="shared" si="0"/>
        <v>0.55000000000000004</v>
      </c>
      <c r="R46" s="53">
        <v>17.899999999999999</v>
      </c>
      <c r="S46" s="53">
        <v>94</v>
      </c>
      <c r="T46" s="16">
        <f t="shared" si="1"/>
        <v>36</v>
      </c>
      <c r="U46" s="53">
        <v>537</v>
      </c>
      <c r="V46" s="16">
        <f t="shared" si="2"/>
        <v>4833</v>
      </c>
      <c r="W46" s="53">
        <v>5</v>
      </c>
      <c r="X46" s="54" t="s">
        <v>46</v>
      </c>
      <c r="Y46" s="54" t="s">
        <v>69</v>
      </c>
      <c r="Z46" s="54" t="s">
        <v>47</v>
      </c>
      <c r="AA46" s="54" t="s">
        <v>40</v>
      </c>
      <c r="AB46" s="54" t="s">
        <v>282</v>
      </c>
    </row>
    <row r="47" spans="1:28" x14ac:dyDescent="0.15">
      <c r="A47" s="54" t="s">
        <v>34</v>
      </c>
      <c r="B47" s="53" t="s">
        <v>234</v>
      </c>
      <c r="C47" s="53">
        <v>2019</v>
      </c>
      <c r="D47" s="232" t="s">
        <v>159</v>
      </c>
      <c r="E47" s="36" t="s">
        <v>360</v>
      </c>
      <c r="F47" s="36" t="s">
        <v>370</v>
      </c>
      <c r="G47" s="54" t="s">
        <v>36</v>
      </c>
      <c r="H47" s="53" t="s">
        <v>127</v>
      </c>
      <c r="I47" s="54" t="s">
        <v>161</v>
      </c>
      <c r="J47" s="54" t="s">
        <v>80</v>
      </c>
      <c r="K47" s="54" t="s">
        <v>63</v>
      </c>
      <c r="L47" s="54">
        <v>1</v>
      </c>
      <c r="N47" s="53">
        <v>1</v>
      </c>
      <c r="O47" s="53">
        <v>0.7</v>
      </c>
      <c r="P47" s="53">
        <v>0.75</v>
      </c>
      <c r="Q47" s="97">
        <f t="shared" si="0"/>
        <v>0.72499999999999998</v>
      </c>
      <c r="R47" s="53">
        <v>16.600000000000001</v>
      </c>
      <c r="S47" s="53">
        <v>134</v>
      </c>
      <c r="T47" s="16">
        <f t="shared" si="1"/>
        <v>30</v>
      </c>
      <c r="U47" s="53">
        <v>85</v>
      </c>
      <c r="V47" s="16">
        <f t="shared" si="2"/>
        <v>2550</v>
      </c>
      <c r="W47" s="53">
        <v>2</v>
      </c>
      <c r="X47" s="54" t="s">
        <v>46</v>
      </c>
      <c r="Y47" s="54" t="s">
        <v>69</v>
      </c>
      <c r="Z47" s="54" t="s">
        <v>47</v>
      </c>
      <c r="AA47" s="54" t="s">
        <v>40</v>
      </c>
      <c r="AB47" s="54" t="s">
        <v>282</v>
      </c>
    </row>
    <row r="48" spans="1:28" x14ac:dyDescent="0.15">
      <c r="A48" s="54" t="s">
        <v>34</v>
      </c>
      <c r="B48" s="53" t="s">
        <v>234</v>
      </c>
      <c r="C48" s="53">
        <v>2019</v>
      </c>
      <c r="D48" s="232" t="s">
        <v>159</v>
      </c>
      <c r="E48" s="36" t="s">
        <v>360</v>
      </c>
      <c r="F48" s="36" t="s">
        <v>370</v>
      </c>
      <c r="G48" s="54" t="s">
        <v>36</v>
      </c>
      <c r="H48" s="53" t="s">
        <v>127</v>
      </c>
      <c r="I48" s="54" t="s">
        <v>161</v>
      </c>
      <c r="J48" s="54" t="s">
        <v>80</v>
      </c>
      <c r="K48" s="54" t="s">
        <v>63</v>
      </c>
      <c r="L48" s="53">
        <v>2</v>
      </c>
      <c r="N48" s="53">
        <v>1</v>
      </c>
      <c r="O48" s="53">
        <v>0.65</v>
      </c>
      <c r="P48" s="53">
        <v>0.6</v>
      </c>
      <c r="Q48" s="97">
        <f t="shared" si="0"/>
        <v>0.625</v>
      </c>
      <c r="R48" s="53">
        <v>15.9</v>
      </c>
      <c r="S48" s="53">
        <v>142</v>
      </c>
      <c r="T48" s="16">
        <f t="shared" si="1"/>
        <v>30</v>
      </c>
      <c r="U48" s="53">
        <v>85</v>
      </c>
      <c r="V48" s="16">
        <f t="shared" si="2"/>
        <v>2550</v>
      </c>
      <c r="W48" s="53">
        <v>2</v>
      </c>
      <c r="X48" s="54" t="s">
        <v>46</v>
      </c>
      <c r="Y48" s="54" t="s">
        <v>69</v>
      </c>
      <c r="Z48" s="54" t="s">
        <v>47</v>
      </c>
      <c r="AA48" s="54" t="s">
        <v>40</v>
      </c>
      <c r="AB48" s="54" t="s">
        <v>282</v>
      </c>
    </row>
    <row r="49" spans="1:28" x14ac:dyDescent="0.15">
      <c r="A49" s="54" t="s">
        <v>34</v>
      </c>
      <c r="B49" s="53" t="s">
        <v>234</v>
      </c>
      <c r="C49" s="53">
        <v>2019</v>
      </c>
      <c r="D49" s="232" t="s">
        <v>159</v>
      </c>
      <c r="E49" s="36" t="s">
        <v>360</v>
      </c>
      <c r="F49" s="36" t="s">
        <v>370</v>
      </c>
      <c r="G49" s="54" t="s">
        <v>36</v>
      </c>
      <c r="H49" s="53" t="s">
        <v>127</v>
      </c>
      <c r="I49" s="54" t="s">
        <v>161</v>
      </c>
      <c r="J49" s="54" t="s">
        <v>80</v>
      </c>
      <c r="K49" s="54" t="s">
        <v>63</v>
      </c>
      <c r="L49" s="53">
        <v>3</v>
      </c>
      <c r="N49" s="53">
        <v>1</v>
      </c>
      <c r="O49" s="53">
        <v>0.65</v>
      </c>
      <c r="P49" s="53">
        <v>0.9</v>
      </c>
      <c r="Q49" s="97">
        <f t="shared" si="0"/>
        <v>0.77500000000000002</v>
      </c>
      <c r="R49" s="53">
        <v>16.600000000000001</v>
      </c>
      <c r="S49" s="53">
        <v>118</v>
      </c>
      <c r="T49" s="16">
        <f t="shared" si="1"/>
        <v>30</v>
      </c>
      <c r="U49" s="53">
        <v>85</v>
      </c>
      <c r="V49" s="16">
        <f t="shared" si="2"/>
        <v>2550</v>
      </c>
      <c r="W49" s="53">
        <v>2</v>
      </c>
      <c r="X49" s="54" t="s">
        <v>46</v>
      </c>
      <c r="Y49" s="54" t="s">
        <v>69</v>
      </c>
      <c r="Z49" s="54" t="s">
        <v>47</v>
      </c>
      <c r="AA49" s="54" t="s">
        <v>40</v>
      </c>
      <c r="AB49" s="54" t="s">
        <v>282</v>
      </c>
    </row>
    <row r="50" spans="1:28" x14ac:dyDescent="0.15">
      <c r="A50" s="54" t="s">
        <v>34</v>
      </c>
      <c r="B50" s="53" t="s">
        <v>234</v>
      </c>
      <c r="C50" s="53">
        <v>2019</v>
      </c>
      <c r="D50" s="232" t="s">
        <v>159</v>
      </c>
      <c r="E50" s="36" t="s">
        <v>360</v>
      </c>
      <c r="F50" s="36" t="s">
        <v>370</v>
      </c>
      <c r="G50" s="54" t="s">
        <v>36</v>
      </c>
      <c r="H50" s="53" t="s">
        <v>128</v>
      </c>
      <c r="I50" s="54" t="s">
        <v>161</v>
      </c>
      <c r="J50" s="54" t="s">
        <v>80</v>
      </c>
      <c r="K50" s="54" t="s">
        <v>63</v>
      </c>
      <c r="L50" s="54">
        <v>1</v>
      </c>
      <c r="N50" s="53">
        <v>5</v>
      </c>
      <c r="O50" s="53">
        <v>0.5</v>
      </c>
      <c r="P50" s="53">
        <v>0.55000000000000004</v>
      </c>
      <c r="Q50" s="97">
        <f t="shared" si="0"/>
        <v>0.52500000000000002</v>
      </c>
      <c r="R50" s="53">
        <v>17.2</v>
      </c>
      <c r="S50" s="53">
        <v>79</v>
      </c>
      <c r="T50" s="16">
        <f t="shared" si="1"/>
        <v>39</v>
      </c>
      <c r="U50" s="53">
        <v>537</v>
      </c>
      <c r="V50" s="16">
        <f t="shared" si="2"/>
        <v>4188.6000000000004</v>
      </c>
      <c r="W50" s="53">
        <v>1</v>
      </c>
      <c r="X50" s="54" t="s">
        <v>46</v>
      </c>
      <c r="Y50" s="54" t="s">
        <v>69</v>
      </c>
      <c r="Z50" s="54" t="s">
        <v>47</v>
      </c>
      <c r="AA50" s="54" t="s">
        <v>40</v>
      </c>
      <c r="AB50" s="54" t="s">
        <v>282</v>
      </c>
    </row>
    <row r="51" spans="1:28" x14ac:dyDescent="0.15">
      <c r="A51" s="54" t="s">
        <v>34</v>
      </c>
      <c r="B51" s="53" t="s">
        <v>234</v>
      </c>
      <c r="C51" s="53">
        <v>2019</v>
      </c>
      <c r="D51" s="232" t="s">
        <v>159</v>
      </c>
      <c r="E51" s="36" t="s">
        <v>360</v>
      </c>
      <c r="F51" s="36" t="s">
        <v>370</v>
      </c>
      <c r="G51" s="54" t="s">
        <v>36</v>
      </c>
      <c r="H51" s="53" t="s">
        <v>128</v>
      </c>
      <c r="I51" s="54" t="s">
        <v>161</v>
      </c>
      <c r="J51" s="54" t="s">
        <v>80</v>
      </c>
      <c r="K51" s="54" t="s">
        <v>63</v>
      </c>
      <c r="L51" s="53">
        <v>2</v>
      </c>
      <c r="N51" s="53">
        <v>5</v>
      </c>
      <c r="O51" s="53">
        <v>0.6</v>
      </c>
      <c r="P51" s="53">
        <v>0.55000000000000004</v>
      </c>
      <c r="Q51" s="97">
        <f t="shared" si="0"/>
        <v>0.57499999999999996</v>
      </c>
      <c r="R51" s="53">
        <v>17.600000000000001</v>
      </c>
      <c r="S51" s="53">
        <v>75</v>
      </c>
      <c r="T51" s="16">
        <f t="shared" si="1"/>
        <v>42</v>
      </c>
      <c r="U51" s="53">
        <v>537</v>
      </c>
      <c r="V51" s="16">
        <f t="shared" si="2"/>
        <v>4510.8</v>
      </c>
      <c r="W51" s="53">
        <v>1</v>
      </c>
      <c r="X51" s="54" t="s">
        <v>46</v>
      </c>
      <c r="Y51" s="54" t="s">
        <v>69</v>
      </c>
      <c r="Z51" s="54" t="s">
        <v>47</v>
      </c>
      <c r="AA51" s="54" t="s">
        <v>40</v>
      </c>
      <c r="AB51" s="54" t="s">
        <v>282</v>
      </c>
    </row>
    <row r="52" spans="1:28" x14ac:dyDescent="0.15">
      <c r="A52" s="54" t="s">
        <v>34</v>
      </c>
      <c r="B52" s="53" t="s">
        <v>234</v>
      </c>
      <c r="C52" s="53">
        <v>2019</v>
      </c>
      <c r="D52" s="232" t="s">
        <v>159</v>
      </c>
      <c r="E52" s="36" t="s">
        <v>360</v>
      </c>
      <c r="F52" s="36" t="s">
        <v>370</v>
      </c>
      <c r="G52" s="54" t="s">
        <v>36</v>
      </c>
      <c r="H52" s="53" t="s">
        <v>128</v>
      </c>
      <c r="I52" s="54" t="s">
        <v>161</v>
      </c>
      <c r="J52" s="54" t="s">
        <v>80</v>
      </c>
      <c r="K52" s="54" t="s">
        <v>63</v>
      </c>
      <c r="L52" s="53">
        <v>3</v>
      </c>
      <c r="N52" s="53">
        <v>5</v>
      </c>
      <c r="O52" s="53">
        <v>0.55000000000000004</v>
      </c>
      <c r="P52" s="53">
        <v>0.55000000000000004</v>
      </c>
      <c r="Q52" s="97">
        <f t="shared" si="0"/>
        <v>0.55000000000000004</v>
      </c>
      <c r="R52" s="53">
        <v>20</v>
      </c>
      <c r="S52" s="53">
        <v>80</v>
      </c>
      <c r="T52" s="16">
        <f t="shared" si="1"/>
        <v>39</v>
      </c>
      <c r="U52" s="53">
        <v>537</v>
      </c>
      <c r="V52" s="16">
        <f t="shared" si="2"/>
        <v>4188.6000000000004</v>
      </c>
      <c r="W52" s="53">
        <v>1</v>
      </c>
      <c r="X52" s="54" t="s">
        <v>46</v>
      </c>
      <c r="Y52" s="54" t="s">
        <v>69</v>
      </c>
      <c r="Z52" s="54" t="s">
        <v>47</v>
      </c>
      <c r="AA52" s="54" t="s">
        <v>40</v>
      </c>
      <c r="AB52" s="54" t="s">
        <v>282</v>
      </c>
    </row>
    <row r="53" spans="1:28" x14ac:dyDescent="0.15">
      <c r="A53" s="54" t="s">
        <v>34</v>
      </c>
      <c r="B53" s="53" t="s">
        <v>234</v>
      </c>
      <c r="C53" s="53">
        <v>2019</v>
      </c>
      <c r="D53" s="232" t="s">
        <v>159</v>
      </c>
      <c r="E53" s="36" t="s">
        <v>376</v>
      </c>
      <c r="F53" s="36" t="s">
        <v>377</v>
      </c>
      <c r="G53" s="54" t="s">
        <v>36</v>
      </c>
      <c r="H53" s="53" t="s">
        <v>162</v>
      </c>
      <c r="I53" s="54" t="s">
        <v>161</v>
      </c>
      <c r="J53" s="54" t="s">
        <v>38</v>
      </c>
      <c r="K53" s="54" t="s">
        <v>163</v>
      </c>
      <c r="L53" s="54">
        <v>1</v>
      </c>
      <c r="N53" s="53">
        <v>1</v>
      </c>
      <c r="O53" s="53">
        <v>0.5</v>
      </c>
      <c r="P53" s="53">
        <v>0.5</v>
      </c>
      <c r="Q53" s="97">
        <f t="shared" si="0"/>
        <v>0.5</v>
      </c>
      <c r="R53" s="53">
        <v>20.9</v>
      </c>
      <c r="S53" s="53">
        <v>126</v>
      </c>
      <c r="T53" s="16">
        <f t="shared" si="1"/>
        <v>30</v>
      </c>
      <c r="U53" s="53">
        <v>150</v>
      </c>
      <c r="V53" s="16">
        <f t="shared" si="2"/>
        <v>4500</v>
      </c>
      <c r="W53" s="53">
        <v>6</v>
      </c>
      <c r="X53" s="54" t="s">
        <v>46</v>
      </c>
      <c r="Y53" s="54" t="s">
        <v>69</v>
      </c>
      <c r="Z53" s="54" t="s">
        <v>47</v>
      </c>
      <c r="AA53" s="54" t="s">
        <v>40</v>
      </c>
      <c r="AB53" s="54" t="s">
        <v>282</v>
      </c>
    </row>
    <row r="54" spans="1:28" x14ac:dyDescent="0.15">
      <c r="A54" s="54" t="s">
        <v>34</v>
      </c>
      <c r="B54" s="53" t="s">
        <v>234</v>
      </c>
      <c r="C54" s="53">
        <v>2019</v>
      </c>
      <c r="D54" s="232" t="s">
        <v>159</v>
      </c>
      <c r="E54" s="36" t="s">
        <v>376</v>
      </c>
      <c r="F54" s="36" t="s">
        <v>377</v>
      </c>
      <c r="G54" s="54" t="s">
        <v>36</v>
      </c>
      <c r="H54" s="53" t="s">
        <v>162</v>
      </c>
      <c r="I54" s="54" t="s">
        <v>161</v>
      </c>
      <c r="J54" s="54" t="s">
        <v>38</v>
      </c>
      <c r="K54" s="54" t="s">
        <v>163</v>
      </c>
      <c r="L54" s="53">
        <v>2</v>
      </c>
      <c r="N54" s="53">
        <v>1</v>
      </c>
      <c r="O54" s="53">
        <v>1.1000000000000001</v>
      </c>
      <c r="P54" s="53">
        <v>0.8</v>
      </c>
      <c r="Q54" s="97">
        <f t="shared" si="0"/>
        <v>0.95000000000000007</v>
      </c>
      <c r="R54" s="53">
        <v>18.2</v>
      </c>
      <c r="S54" s="53">
        <v>130</v>
      </c>
      <c r="T54" s="16">
        <f t="shared" si="1"/>
        <v>30</v>
      </c>
      <c r="U54" s="53">
        <v>150</v>
      </c>
      <c r="V54" s="16">
        <f t="shared" si="2"/>
        <v>4500</v>
      </c>
      <c r="W54" s="53">
        <v>6</v>
      </c>
      <c r="X54" s="54" t="s">
        <v>46</v>
      </c>
      <c r="Y54" s="54" t="s">
        <v>69</v>
      </c>
      <c r="Z54" s="54" t="s">
        <v>47</v>
      </c>
      <c r="AA54" s="54" t="s">
        <v>40</v>
      </c>
      <c r="AB54" s="54" t="s">
        <v>282</v>
      </c>
    </row>
    <row r="55" spans="1:28" x14ac:dyDescent="0.15">
      <c r="A55" s="54" t="s">
        <v>34</v>
      </c>
      <c r="B55" s="53" t="s">
        <v>234</v>
      </c>
      <c r="C55" s="53">
        <v>2019</v>
      </c>
      <c r="D55" s="232" t="s">
        <v>159</v>
      </c>
      <c r="E55" s="36" t="s">
        <v>376</v>
      </c>
      <c r="F55" s="36" t="s">
        <v>377</v>
      </c>
      <c r="G55" s="54" t="s">
        <v>36</v>
      </c>
      <c r="H55" s="53" t="s">
        <v>162</v>
      </c>
      <c r="I55" s="54" t="s">
        <v>161</v>
      </c>
      <c r="J55" s="54" t="s">
        <v>38</v>
      </c>
      <c r="K55" s="54" t="s">
        <v>163</v>
      </c>
      <c r="L55" s="53">
        <v>3</v>
      </c>
      <c r="N55" s="53">
        <v>1</v>
      </c>
      <c r="O55" s="53">
        <v>0.75</v>
      </c>
      <c r="P55" s="53">
        <v>0.7</v>
      </c>
      <c r="Q55" s="97">
        <f t="shared" si="0"/>
        <v>0.72499999999999998</v>
      </c>
      <c r="R55" s="53">
        <v>18.2</v>
      </c>
      <c r="S55" s="53">
        <v>133</v>
      </c>
      <c r="T55" s="16">
        <f t="shared" si="1"/>
        <v>30</v>
      </c>
      <c r="U55" s="53">
        <v>150</v>
      </c>
      <c r="V55" s="16">
        <f t="shared" si="2"/>
        <v>4500</v>
      </c>
      <c r="W55" s="53">
        <v>6</v>
      </c>
      <c r="X55" s="54" t="s">
        <v>46</v>
      </c>
      <c r="Y55" s="54" t="s">
        <v>69</v>
      </c>
      <c r="Z55" s="54" t="s">
        <v>47</v>
      </c>
      <c r="AA55" s="54" t="s">
        <v>40</v>
      </c>
      <c r="AB55" s="54" t="s">
        <v>282</v>
      </c>
    </row>
    <row r="56" spans="1:28" x14ac:dyDescent="0.15">
      <c r="A56" s="54" t="s">
        <v>34</v>
      </c>
      <c r="B56" s="53" t="s">
        <v>234</v>
      </c>
      <c r="C56" s="53">
        <v>2019</v>
      </c>
      <c r="D56" s="232" t="s">
        <v>159</v>
      </c>
      <c r="E56" s="36" t="s">
        <v>376</v>
      </c>
      <c r="F56" s="36" t="s">
        <v>377</v>
      </c>
      <c r="G56" s="54" t="s">
        <v>36</v>
      </c>
      <c r="H56" s="53" t="s">
        <v>162</v>
      </c>
      <c r="I56" s="54" t="s">
        <v>161</v>
      </c>
      <c r="J56" s="54" t="s">
        <v>38</v>
      </c>
      <c r="K56" s="54" t="s">
        <v>163</v>
      </c>
      <c r="L56" s="54">
        <v>1</v>
      </c>
      <c r="N56" s="53">
        <v>4</v>
      </c>
      <c r="O56" s="53">
        <v>0.75</v>
      </c>
      <c r="P56" s="53">
        <v>0.6</v>
      </c>
      <c r="Q56" s="97">
        <f t="shared" si="0"/>
        <v>0.67500000000000004</v>
      </c>
      <c r="R56" s="53">
        <v>19.399999999999999</v>
      </c>
      <c r="S56" s="53">
        <v>115</v>
      </c>
      <c r="T56" s="16">
        <f t="shared" si="1"/>
        <v>30</v>
      </c>
      <c r="U56" s="53">
        <v>538</v>
      </c>
      <c r="V56" s="16">
        <f t="shared" si="2"/>
        <v>4035</v>
      </c>
      <c r="W56" s="53">
        <v>6</v>
      </c>
      <c r="X56" s="54" t="s">
        <v>46</v>
      </c>
      <c r="Y56" s="54" t="s">
        <v>69</v>
      </c>
      <c r="Z56" s="54" t="s">
        <v>47</v>
      </c>
      <c r="AA56" s="54" t="s">
        <v>40</v>
      </c>
      <c r="AB56" s="54" t="s">
        <v>282</v>
      </c>
    </row>
    <row r="57" spans="1:28" x14ac:dyDescent="0.15">
      <c r="A57" s="54" t="s">
        <v>34</v>
      </c>
      <c r="B57" s="53" t="s">
        <v>234</v>
      </c>
      <c r="C57" s="53">
        <v>2019</v>
      </c>
      <c r="D57" s="232" t="s">
        <v>159</v>
      </c>
      <c r="E57" s="36" t="s">
        <v>376</v>
      </c>
      <c r="F57" s="36" t="s">
        <v>377</v>
      </c>
      <c r="G57" s="54" t="s">
        <v>36</v>
      </c>
      <c r="H57" s="53" t="s">
        <v>162</v>
      </c>
      <c r="I57" s="54" t="s">
        <v>161</v>
      </c>
      <c r="J57" s="54" t="s">
        <v>38</v>
      </c>
      <c r="K57" s="54" t="s">
        <v>163</v>
      </c>
      <c r="L57" s="53">
        <v>2</v>
      </c>
      <c r="N57" s="53">
        <v>4</v>
      </c>
      <c r="O57" s="53">
        <v>0.7</v>
      </c>
      <c r="P57" s="53">
        <v>0.6</v>
      </c>
      <c r="Q57" s="97">
        <f t="shared" si="0"/>
        <v>0.64999999999999991</v>
      </c>
      <c r="R57" s="53">
        <v>17.5</v>
      </c>
      <c r="S57" s="53">
        <v>108</v>
      </c>
      <c r="T57" s="16">
        <f t="shared" si="1"/>
        <v>33</v>
      </c>
      <c r="U57" s="53">
        <v>538</v>
      </c>
      <c r="V57" s="16">
        <f t="shared" si="2"/>
        <v>4438.5</v>
      </c>
      <c r="W57" s="53">
        <v>6</v>
      </c>
      <c r="X57" s="54" t="s">
        <v>46</v>
      </c>
      <c r="Y57" s="54" t="s">
        <v>69</v>
      </c>
      <c r="Z57" s="54" t="s">
        <v>47</v>
      </c>
      <c r="AA57" s="54" t="s">
        <v>40</v>
      </c>
      <c r="AB57" s="54" t="s">
        <v>282</v>
      </c>
    </row>
    <row r="58" spans="1:28" x14ac:dyDescent="0.15">
      <c r="A58" s="54" t="s">
        <v>34</v>
      </c>
      <c r="B58" s="53" t="s">
        <v>234</v>
      </c>
      <c r="C58" s="53">
        <v>2019</v>
      </c>
      <c r="D58" s="232" t="s">
        <v>159</v>
      </c>
      <c r="E58" s="36" t="s">
        <v>376</v>
      </c>
      <c r="F58" s="36" t="s">
        <v>377</v>
      </c>
      <c r="G58" s="54" t="s">
        <v>36</v>
      </c>
      <c r="H58" s="53" t="s">
        <v>162</v>
      </c>
      <c r="I58" s="54" t="s">
        <v>161</v>
      </c>
      <c r="J58" s="54" t="s">
        <v>38</v>
      </c>
      <c r="K58" s="54" t="s">
        <v>163</v>
      </c>
      <c r="L58" s="53">
        <v>3</v>
      </c>
      <c r="N58" s="53">
        <v>4</v>
      </c>
      <c r="O58" s="53">
        <v>0.55000000000000004</v>
      </c>
      <c r="P58" s="53">
        <v>0.45</v>
      </c>
      <c r="Q58" s="97">
        <f t="shared" si="0"/>
        <v>0.5</v>
      </c>
      <c r="R58" s="53">
        <v>19.2</v>
      </c>
      <c r="S58" s="53">
        <v>114</v>
      </c>
      <c r="T58" s="16">
        <f t="shared" si="1"/>
        <v>30</v>
      </c>
      <c r="U58" s="53">
        <v>538</v>
      </c>
      <c r="V58" s="16">
        <f t="shared" si="2"/>
        <v>4035</v>
      </c>
      <c r="W58" s="53">
        <v>6</v>
      </c>
      <c r="X58" s="54" t="s">
        <v>46</v>
      </c>
      <c r="Y58" s="54" t="s">
        <v>69</v>
      </c>
      <c r="Z58" s="54" t="s">
        <v>47</v>
      </c>
      <c r="AA58" s="54" t="s">
        <v>40</v>
      </c>
      <c r="AB58" s="54" t="s">
        <v>282</v>
      </c>
    </row>
    <row r="59" spans="1:28" x14ac:dyDescent="0.15">
      <c r="A59" s="54" t="s">
        <v>34</v>
      </c>
      <c r="B59" s="53" t="s">
        <v>234</v>
      </c>
      <c r="C59" s="53">
        <v>2019</v>
      </c>
      <c r="D59" s="232" t="s">
        <v>159</v>
      </c>
      <c r="E59" s="36" t="s">
        <v>376</v>
      </c>
      <c r="F59" s="36" t="s">
        <v>377</v>
      </c>
      <c r="G59" s="54" t="s">
        <v>36</v>
      </c>
      <c r="H59" s="53" t="s">
        <v>162</v>
      </c>
      <c r="I59" s="54" t="s">
        <v>161</v>
      </c>
      <c r="J59" s="54" t="s">
        <v>38</v>
      </c>
      <c r="K59" s="54" t="s">
        <v>163</v>
      </c>
      <c r="L59" s="54">
        <v>1</v>
      </c>
      <c r="N59" s="53">
        <v>8</v>
      </c>
      <c r="O59" s="53">
        <v>1.1499999999999999</v>
      </c>
      <c r="P59" s="53">
        <v>1.1499999999999999</v>
      </c>
      <c r="Q59" s="97">
        <f t="shared" si="0"/>
        <v>1.1499999999999999</v>
      </c>
      <c r="R59" s="53">
        <v>17</v>
      </c>
      <c r="S59" s="53">
        <v>89</v>
      </c>
      <c r="T59" s="16">
        <f t="shared" si="1"/>
        <v>36</v>
      </c>
      <c r="U59" s="53">
        <v>538</v>
      </c>
      <c r="V59" s="16">
        <f t="shared" si="2"/>
        <v>2421</v>
      </c>
      <c r="W59" s="53">
        <v>6</v>
      </c>
      <c r="X59" s="54" t="s">
        <v>39</v>
      </c>
      <c r="Y59" s="54" t="s">
        <v>69</v>
      </c>
      <c r="Z59" s="54" t="s">
        <v>47</v>
      </c>
      <c r="AA59" s="54" t="s">
        <v>40</v>
      </c>
      <c r="AB59" s="54" t="s">
        <v>282</v>
      </c>
    </row>
    <row r="60" spans="1:28" x14ac:dyDescent="0.15">
      <c r="A60" s="54" t="s">
        <v>34</v>
      </c>
      <c r="B60" s="53" t="s">
        <v>234</v>
      </c>
      <c r="C60" s="53">
        <v>2019</v>
      </c>
      <c r="D60" s="232" t="s">
        <v>159</v>
      </c>
      <c r="E60" s="36" t="s">
        <v>376</v>
      </c>
      <c r="F60" s="36" t="s">
        <v>377</v>
      </c>
      <c r="G60" s="54" t="s">
        <v>36</v>
      </c>
      <c r="H60" s="53" t="s">
        <v>162</v>
      </c>
      <c r="I60" s="54" t="s">
        <v>161</v>
      </c>
      <c r="J60" s="54" t="s">
        <v>38</v>
      </c>
      <c r="K60" s="54" t="s">
        <v>163</v>
      </c>
      <c r="L60" s="53">
        <v>2</v>
      </c>
      <c r="N60" s="53">
        <v>8</v>
      </c>
      <c r="O60" s="53">
        <v>1.1499999999999999</v>
      </c>
      <c r="P60" s="53">
        <v>1.1000000000000001</v>
      </c>
      <c r="Q60" s="97">
        <f t="shared" si="0"/>
        <v>1.125</v>
      </c>
      <c r="R60" s="53">
        <v>17.100000000000001</v>
      </c>
      <c r="S60" s="53">
        <v>75</v>
      </c>
      <c r="T60" s="16">
        <f t="shared" si="1"/>
        <v>42</v>
      </c>
      <c r="U60" s="53">
        <v>538</v>
      </c>
      <c r="V60" s="16">
        <f t="shared" si="2"/>
        <v>2824.5</v>
      </c>
      <c r="W60" s="53">
        <v>6</v>
      </c>
      <c r="X60" s="54" t="s">
        <v>39</v>
      </c>
      <c r="Y60" s="54" t="s">
        <v>69</v>
      </c>
      <c r="Z60" s="54" t="s">
        <v>47</v>
      </c>
      <c r="AA60" s="54" t="s">
        <v>40</v>
      </c>
      <c r="AB60" s="54" t="s">
        <v>282</v>
      </c>
    </row>
    <row r="61" spans="1:28" x14ac:dyDescent="0.15">
      <c r="A61" s="54" t="s">
        <v>34</v>
      </c>
      <c r="B61" s="53" t="s">
        <v>234</v>
      </c>
      <c r="C61" s="53">
        <v>2019</v>
      </c>
      <c r="D61" s="232" t="s">
        <v>159</v>
      </c>
      <c r="E61" s="36" t="s">
        <v>376</v>
      </c>
      <c r="F61" s="36" t="s">
        <v>377</v>
      </c>
      <c r="G61" s="54" t="s">
        <v>36</v>
      </c>
      <c r="H61" s="53" t="s">
        <v>162</v>
      </c>
      <c r="I61" s="54" t="s">
        <v>161</v>
      </c>
      <c r="J61" s="54" t="s">
        <v>38</v>
      </c>
      <c r="K61" s="54" t="s">
        <v>163</v>
      </c>
      <c r="L61" s="53">
        <v>3</v>
      </c>
      <c r="N61" s="53">
        <v>8</v>
      </c>
      <c r="O61" s="53">
        <v>1.1499999999999999</v>
      </c>
      <c r="P61" s="53">
        <v>1</v>
      </c>
      <c r="Q61" s="97">
        <f t="shared" si="0"/>
        <v>1.075</v>
      </c>
      <c r="R61" s="53">
        <v>17</v>
      </c>
      <c r="S61" s="53">
        <v>83</v>
      </c>
      <c r="T61" s="16">
        <f t="shared" si="1"/>
        <v>39</v>
      </c>
      <c r="U61" s="53">
        <v>538</v>
      </c>
      <c r="V61" s="16">
        <f t="shared" si="2"/>
        <v>2622.75</v>
      </c>
      <c r="W61" s="53">
        <v>6</v>
      </c>
      <c r="X61" s="54" t="s">
        <v>39</v>
      </c>
      <c r="Y61" s="54" t="s">
        <v>69</v>
      </c>
      <c r="Z61" s="54" t="s">
        <v>47</v>
      </c>
      <c r="AA61" s="54" t="s">
        <v>40</v>
      </c>
      <c r="AB61" s="54" t="s">
        <v>282</v>
      </c>
    </row>
    <row r="62" spans="1:28" x14ac:dyDescent="0.15">
      <c r="A62" s="54" t="s">
        <v>34</v>
      </c>
      <c r="B62" s="53" t="s">
        <v>234</v>
      </c>
      <c r="C62" s="53">
        <v>2019</v>
      </c>
      <c r="D62" s="232" t="s">
        <v>159</v>
      </c>
      <c r="E62" s="36" t="s">
        <v>378</v>
      </c>
      <c r="F62" s="36" t="s">
        <v>379</v>
      </c>
      <c r="G62" s="54" t="s">
        <v>36</v>
      </c>
      <c r="H62" s="53" t="s">
        <v>162</v>
      </c>
      <c r="I62" s="54" t="s">
        <v>161</v>
      </c>
      <c r="J62" s="54" t="s">
        <v>38</v>
      </c>
      <c r="K62" s="54" t="s">
        <v>163</v>
      </c>
      <c r="L62" s="54">
        <v>1</v>
      </c>
      <c r="N62" s="53">
        <v>1</v>
      </c>
      <c r="O62" s="53">
        <v>0.45</v>
      </c>
      <c r="P62" s="53">
        <v>0.55000000000000004</v>
      </c>
      <c r="Q62" s="97">
        <f t="shared" si="0"/>
        <v>0.5</v>
      </c>
      <c r="R62" s="53">
        <v>19</v>
      </c>
      <c r="S62" s="53">
        <v>114</v>
      </c>
      <c r="T62" s="16">
        <f t="shared" si="1"/>
        <v>30</v>
      </c>
      <c r="U62" s="53">
        <v>101</v>
      </c>
      <c r="V62" s="16">
        <f t="shared" si="2"/>
        <v>3030</v>
      </c>
      <c r="W62" s="53">
        <v>10</v>
      </c>
      <c r="X62" s="54" t="s">
        <v>46</v>
      </c>
      <c r="Y62" s="54" t="s">
        <v>47</v>
      </c>
      <c r="Z62" s="54" t="s">
        <v>55</v>
      </c>
      <c r="AA62" s="54" t="s">
        <v>69</v>
      </c>
      <c r="AB62" s="54" t="s">
        <v>282</v>
      </c>
    </row>
    <row r="63" spans="1:28" x14ac:dyDescent="0.15">
      <c r="A63" s="54" t="s">
        <v>34</v>
      </c>
      <c r="B63" s="53" t="s">
        <v>234</v>
      </c>
      <c r="C63" s="53">
        <v>2019</v>
      </c>
      <c r="D63" s="232" t="s">
        <v>159</v>
      </c>
      <c r="E63" s="36" t="s">
        <v>378</v>
      </c>
      <c r="F63" s="36" t="s">
        <v>379</v>
      </c>
      <c r="G63" s="54" t="s">
        <v>36</v>
      </c>
      <c r="H63" s="53" t="s">
        <v>162</v>
      </c>
      <c r="I63" s="54" t="s">
        <v>161</v>
      </c>
      <c r="J63" s="54" t="s">
        <v>38</v>
      </c>
      <c r="K63" s="54" t="s">
        <v>163</v>
      </c>
      <c r="L63" s="53">
        <v>2</v>
      </c>
      <c r="N63" s="53">
        <v>1</v>
      </c>
      <c r="O63" s="53">
        <v>0.8</v>
      </c>
      <c r="P63" s="53">
        <v>0.65</v>
      </c>
      <c r="Q63" s="97">
        <f t="shared" si="0"/>
        <v>0.72500000000000009</v>
      </c>
      <c r="R63" s="53">
        <v>17.399999999999999</v>
      </c>
      <c r="S63" s="53">
        <v>114</v>
      </c>
      <c r="T63" s="16">
        <f t="shared" si="1"/>
        <v>30</v>
      </c>
      <c r="U63" s="53">
        <v>101</v>
      </c>
      <c r="V63" s="16">
        <f t="shared" si="2"/>
        <v>3030</v>
      </c>
      <c r="W63" s="53">
        <v>10</v>
      </c>
      <c r="X63" s="54" t="s">
        <v>46</v>
      </c>
      <c r="Y63" s="54" t="s">
        <v>47</v>
      </c>
      <c r="Z63" s="54" t="s">
        <v>55</v>
      </c>
      <c r="AA63" s="54" t="s">
        <v>69</v>
      </c>
      <c r="AB63" s="54" t="s">
        <v>282</v>
      </c>
    </row>
    <row r="64" spans="1:28" x14ac:dyDescent="0.15">
      <c r="A64" s="54" t="s">
        <v>34</v>
      </c>
      <c r="B64" s="53" t="s">
        <v>234</v>
      </c>
      <c r="C64" s="53">
        <v>2019</v>
      </c>
      <c r="D64" s="232" t="s">
        <v>159</v>
      </c>
      <c r="E64" s="36" t="s">
        <v>378</v>
      </c>
      <c r="F64" s="36" t="s">
        <v>379</v>
      </c>
      <c r="G64" s="54" t="s">
        <v>36</v>
      </c>
      <c r="H64" s="53" t="s">
        <v>162</v>
      </c>
      <c r="I64" s="54" t="s">
        <v>161</v>
      </c>
      <c r="J64" s="54" t="s">
        <v>38</v>
      </c>
      <c r="K64" s="54" t="s">
        <v>163</v>
      </c>
      <c r="L64" s="53">
        <v>3</v>
      </c>
      <c r="N64" s="53">
        <v>1</v>
      </c>
      <c r="O64" s="53">
        <v>0.45</v>
      </c>
      <c r="P64" s="53">
        <v>0.6</v>
      </c>
      <c r="Q64" s="97">
        <f t="shared" si="0"/>
        <v>0.52500000000000002</v>
      </c>
      <c r="R64" s="53">
        <v>18.600000000000001</v>
      </c>
      <c r="S64" s="53">
        <v>112</v>
      </c>
      <c r="T64" s="16">
        <f t="shared" si="1"/>
        <v>33</v>
      </c>
      <c r="U64" s="53">
        <v>101</v>
      </c>
      <c r="V64" s="16">
        <f t="shared" si="2"/>
        <v>3333</v>
      </c>
      <c r="W64" s="53">
        <v>10</v>
      </c>
      <c r="X64" s="54" t="s">
        <v>46</v>
      </c>
      <c r="Y64" s="54" t="s">
        <v>47</v>
      </c>
      <c r="Z64" s="54" t="s">
        <v>55</v>
      </c>
      <c r="AA64" s="54" t="s">
        <v>69</v>
      </c>
      <c r="AB64" s="54" t="s">
        <v>282</v>
      </c>
    </row>
    <row r="65" spans="1:28" x14ac:dyDescent="0.15">
      <c r="A65" s="54" t="s">
        <v>34</v>
      </c>
      <c r="B65" s="53" t="s">
        <v>234</v>
      </c>
      <c r="C65" s="53">
        <v>2019</v>
      </c>
      <c r="D65" s="232" t="s">
        <v>159</v>
      </c>
      <c r="E65" s="36" t="s">
        <v>378</v>
      </c>
      <c r="F65" s="36" t="s">
        <v>379</v>
      </c>
      <c r="G65" s="54" t="s">
        <v>36</v>
      </c>
      <c r="H65" s="53" t="s">
        <v>162</v>
      </c>
      <c r="I65" s="54" t="s">
        <v>161</v>
      </c>
      <c r="J65" s="54" t="s">
        <v>38</v>
      </c>
      <c r="K65" s="54" t="s">
        <v>163</v>
      </c>
      <c r="L65" s="54">
        <v>1</v>
      </c>
      <c r="N65" s="53">
        <v>4</v>
      </c>
      <c r="O65" s="53">
        <v>1.5</v>
      </c>
      <c r="P65" s="53">
        <v>1.3</v>
      </c>
      <c r="Q65" s="97">
        <f t="shared" si="0"/>
        <v>1.4</v>
      </c>
      <c r="R65" s="53">
        <v>17.5</v>
      </c>
      <c r="S65" s="53">
        <v>87</v>
      </c>
      <c r="T65" s="16">
        <f t="shared" si="1"/>
        <v>36</v>
      </c>
      <c r="U65" s="53">
        <v>480</v>
      </c>
      <c r="V65" s="16">
        <f t="shared" si="2"/>
        <v>4320</v>
      </c>
      <c r="W65" s="53">
        <v>10</v>
      </c>
      <c r="X65" s="54" t="s">
        <v>46</v>
      </c>
      <c r="Y65" s="54" t="s">
        <v>47</v>
      </c>
      <c r="Z65" s="54" t="s">
        <v>55</v>
      </c>
      <c r="AA65" s="54" t="s">
        <v>69</v>
      </c>
      <c r="AB65" s="54" t="s">
        <v>282</v>
      </c>
    </row>
    <row r="66" spans="1:28" x14ac:dyDescent="0.15">
      <c r="A66" s="54" t="s">
        <v>34</v>
      </c>
      <c r="B66" s="53" t="s">
        <v>234</v>
      </c>
      <c r="C66" s="53">
        <v>2019</v>
      </c>
      <c r="D66" s="232" t="s">
        <v>159</v>
      </c>
      <c r="E66" s="36" t="s">
        <v>378</v>
      </c>
      <c r="F66" s="36" t="s">
        <v>379</v>
      </c>
      <c r="G66" s="54" t="s">
        <v>36</v>
      </c>
      <c r="H66" s="53" t="s">
        <v>162</v>
      </c>
      <c r="I66" s="54" t="s">
        <v>161</v>
      </c>
      <c r="J66" s="54" t="s">
        <v>38</v>
      </c>
      <c r="K66" s="54" t="s">
        <v>163</v>
      </c>
      <c r="L66" s="53">
        <v>2</v>
      </c>
      <c r="N66" s="53">
        <v>4</v>
      </c>
      <c r="O66" s="53">
        <v>2.2999999999999998</v>
      </c>
      <c r="P66" s="53">
        <v>2.95</v>
      </c>
      <c r="Q66" s="97">
        <f t="shared" si="0"/>
        <v>2.625</v>
      </c>
      <c r="R66" s="53">
        <v>15.4</v>
      </c>
      <c r="S66" s="53">
        <v>92</v>
      </c>
      <c r="T66" s="16">
        <f t="shared" si="1"/>
        <v>36</v>
      </c>
      <c r="U66" s="53">
        <v>480</v>
      </c>
      <c r="V66" s="16">
        <f t="shared" si="2"/>
        <v>4320</v>
      </c>
      <c r="W66" s="53">
        <v>10</v>
      </c>
      <c r="X66" s="54" t="s">
        <v>46</v>
      </c>
      <c r="Y66" s="54" t="s">
        <v>47</v>
      </c>
      <c r="Z66" s="54" t="s">
        <v>55</v>
      </c>
      <c r="AA66" s="54" t="s">
        <v>69</v>
      </c>
      <c r="AB66" s="54" t="s">
        <v>282</v>
      </c>
    </row>
    <row r="67" spans="1:28" x14ac:dyDescent="0.15">
      <c r="A67" s="54" t="s">
        <v>34</v>
      </c>
      <c r="B67" s="53" t="s">
        <v>234</v>
      </c>
      <c r="C67" s="53">
        <v>2019</v>
      </c>
      <c r="D67" s="232" t="s">
        <v>159</v>
      </c>
      <c r="E67" s="36" t="s">
        <v>378</v>
      </c>
      <c r="F67" s="36" t="s">
        <v>379</v>
      </c>
      <c r="G67" s="54" t="s">
        <v>36</v>
      </c>
      <c r="H67" s="53" t="s">
        <v>162</v>
      </c>
      <c r="I67" s="54" t="s">
        <v>161</v>
      </c>
      <c r="J67" s="54" t="s">
        <v>38</v>
      </c>
      <c r="K67" s="54" t="s">
        <v>163</v>
      </c>
      <c r="L67" s="53">
        <v>3</v>
      </c>
      <c r="N67" s="53">
        <v>4</v>
      </c>
      <c r="O67" s="53">
        <v>1.7</v>
      </c>
      <c r="P67" s="53">
        <v>1.45</v>
      </c>
      <c r="Q67" s="97">
        <f t="shared" si="0"/>
        <v>1.575</v>
      </c>
      <c r="R67" s="53">
        <v>16.5</v>
      </c>
      <c r="S67" s="53">
        <v>91</v>
      </c>
      <c r="T67" s="16">
        <f t="shared" si="1"/>
        <v>36</v>
      </c>
      <c r="U67" s="53">
        <v>480</v>
      </c>
      <c r="V67" s="16">
        <f t="shared" si="2"/>
        <v>4320</v>
      </c>
      <c r="W67" s="53">
        <v>10</v>
      </c>
      <c r="X67" s="54" t="s">
        <v>46</v>
      </c>
      <c r="Y67" s="54" t="s">
        <v>47</v>
      </c>
      <c r="Z67" s="54" t="s">
        <v>55</v>
      </c>
      <c r="AA67" s="54" t="s">
        <v>69</v>
      </c>
      <c r="AB67" s="54" t="s">
        <v>282</v>
      </c>
    </row>
    <row r="68" spans="1:28" x14ac:dyDescent="0.15">
      <c r="A68" s="54" t="s">
        <v>34</v>
      </c>
      <c r="B68" s="53" t="s">
        <v>234</v>
      </c>
      <c r="C68" s="53">
        <v>2019</v>
      </c>
      <c r="D68" s="232" t="s">
        <v>159</v>
      </c>
      <c r="E68" s="36" t="s">
        <v>378</v>
      </c>
      <c r="F68" s="36" t="s">
        <v>379</v>
      </c>
      <c r="G68" s="54" t="s">
        <v>36</v>
      </c>
      <c r="H68" s="53" t="s">
        <v>162</v>
      </c>
      <c r="I68" s="54" t="s">
        <v>161</v>
      </c>
      <c r="J68" s="54" t="s">
        <v>38</v>
      </c>
      <c r="K68" s="54" t="s">
        <v>163</v>
      </c>
      <c r="L68" s="54">
        <v>1</v>
      </c>
      <c r="N68" s="53">
        <v>4</v>
      </c>
      <c r="O68" s="53">
        <v>0.45</v>
      </c>
      <c r="P68" s="53">
        <v>0.5</v>
      </c>
      <c r="Q68" s="97">
        <f t="shared" si="0"/>
        <v>0.47499999999999998</v>
      </c>
      <c r="R68" s="53">
        <v>17.899999999999999</v>
      </c>
      <c r="S68" s="53">
        <v>105</v>
      </c>
      <c r="T68" s="16">
        <f t="shared" si="1"/>
        <v>33</v>
      </c>
      <c r="U68" s="53">
        <v>397</v>
      </c>
      <c r="V68" s="16">
        <f t="shared" si="2"/>
        <v>3275.25</v>
      </c>
      <c r="W68" s="53">
        <v>10</v>
      </c>
      <c r="X68" s="54" t="s">
        <v>46</v>
      </c>
      <c r="Y68" s="54" t="s">
        <v>47</v>
      </c>
      <c r="Z68" s="54" t="s">
        <v>55</v>
      </c>
      <c r="AA68" s="54" t="s">
        <v>69</v>
      </c>
      <c r="AB68" s="54" t="s">
        <v>282</v>
      </c>
    </row>
    <row r="69" spans="1:28" x14ac:dyDescent="0.15">
      <c r="A69" s="54" t="s">
        <v>34</v>
      </c>
      <c r="B69" s="53" t="s">
        <v>234</v>
      </c>
      <c r="C69" s="53">
        <v>2019</v>
      </c>
      <c r="D69" s="232" t="s">
        <v>159</v>
      </c>
      <c r="E69" s="36" t="s">
        <v>378</v>
      </c>
      <c r="F69" s="36" t="s">
        <v>379</v>
      </c>
      <c r="G69" s="54" t="s">
        <v>36</v>
      </c>
      <c r="H69" s="53" t="s">
        <v>162</v>
      </c>
      <c r="I69" s="54" t="s">
        <v>161</v>
      </c>
      <c r="J69" s="54" t="s">
        <v>38</v>
      </c>
      <c r="K69" s="54" t="s">
        <v>163</v>
      </c>
      <c r="L69" s="53">
        <v>2</v>
      </c>
      <c r="N69" s="53">
        <v>4</v>
      </c>
      <c r="O69" s="53">
        <v>0.5</v>
      </c>
      <c r="P69" s="53">
        <v>0.5</v>
      </c>
      <c r="Q69" s="97">
        <f t="shared" si="0"/>
        <v>0.5</v>
      </c>
      <c r="R69" s="53">
        <v>18.2</v>
      </c>
      <c r="S69" s="53">
        <v>104</v>
      </c>
      <c r="T69" s="16">
        <f t="shared" si="1"/>
        <v>33</v>
      </c>
      <c r="U69" s="53">
        <v>397</v>
      </c>
      <c r="V69" s="16">
        <f t="shared" si="2"/>
        <v>3275.25</v>
      </c>
      <c r="W69" s="53">
        <v>10</v>
      </c>
      <c r="X69" s="54" t="s">
        <v>46</v>
      </c>
      <c r="Y69" s="54" t="s">
        <v>47</v>
      </c>
      <c r="Z69" s="54" t="s">
        <v>55</v>
      </c>
      <c r="AA69" s="54" t="s">
        <v>69</v>
      </c>
      <c r="AB69" s="54" t="s">
        <v>282</v>
      </c>
    </row>
    <row r="70" spans="1:28" x14ac:dyDescent="0.15">
      <c r="A70" s="54" t="s">
        <v>34</v>
      </c>
      <c r="B70" s="53" t="s">
        <v>234</v>
      </c>
      <c r="C70" s="53">
        <v>2019</v>
      </c>
      <c r="D70" s="232" t="s">
        <v>159</v>
      </c>
      <c r="E70" s="36" t="s">
        <v>378</v>
      </c>
      <c r="F70" s="36" t="s">
        <v>379</v>
      </c>
      <c r="G70" s="54" t="s">
        <v>36</v>
      </c>
      <c r="H70" s="53" t="s">
        <v>162</v>
      </c>
      <c r="I70" s="54" t="s">
        <v>161</v>
      </c>
      <c r="J70" s="54" t="s">
        <v>38</v>
      </c>
      <c r="K70" s="54" t="s">
        <v>163</v>
      </c>
      <c r="L70" s="53">
        <v>3</v>
      </c>
      <c r="N70" s="53">
        <v>4</v>
      </c>
      <c r="O70" s="53">
        <v>0.45</v>
      </c>
      <c r="P70" s="53">
        <v>0.2</v>
      </c>
      <c r="Q70" s="97">
        <f t="shared" si="0"/>
        <v>0.32500000000000001</v>
      </c>
      <c r="R70" s="53">
        <v>18</v>
      </c>
      <c r="S70" s="53">
        <v>107</v>
      </c>
      <c r="T70" s="16">
        <f t="shared" si="1"/>
        <v>33</v>
      </c>
      <c r="U70" s="53">
        <v>397</v>
      </c>
      <c r="V70" s="16">
        <f t="shared" si="2"/>
        <v>3275.25</v>
      </c>
      <c r="W70" s="53">
        <v>10</v>
      </c>
      <c r="X70" s="54" t="s">
        <v>46</v>
      </c>
      <c r="Y70" s="54" t="s">
        <v>47</v>
      </c>
      <c r="Z70" s="54" t="s">
        <v>55</v>
      </c>
      <c r="AA70" s="54" t="s">
        <v>69</v>
      </c>
      <c r="AB70" s="54" t="s">
        <v>282</v>
      </c>
    </row>
    <row r="71" spans="1:28" x14ac:dyDescent="0.15">
      <c r="A71" s="54" t="s">
        <v>34</v>
      </c>
      <c r="B71" s="53" t="s">
        <v>234</v>
      </c>
      <c r="C71" s="53">
        <v>2019</v>
      </c>
      <c r="D71" s="232" t="s">
        <v>159</v>
      </c>
      <c r="E71" s="36" t="s">
        <v>378</v>
      </c>
      <c r="F71" s="36" t="s">
        <v>379</v>
      </c>
      <c r="G71" s="54" t="s">
        <v>36</v>
      </c>
      <c r="H71" s="53" t="s">
        <v>127</v>
      </c>
      <c r="I71" s="54" t="s">
        <v>164</v>
      </c>
      <c r="J71" s="54" t="s">
        <v>80</v>
      </c>
      <c r="K71" s="54" t="s">
        <v>63</v>
      </c>
      <c r="L71" s="54">
        <v>1</v>
      </c>
      <c r="N71" s="53">
        <v>1</v>
      </c>
      <c r="O71" s="53">
        <v>0.7</v>
      </c>
      <c r="P71" s="53">
        <v>0.65</v>
      </c>
      <c r="Q71" s="97">
        <f t="shared" si="0"/>
        <v>0.67500000000000004</v>
      </c>
      <c r="R71" s="53">
        <v>15.8</v>
      </c>
      <c r="S71" s="53">
        <v>90</v>
      </c>
      <c r="T71" s="16">
        <f t="shared" si="1"/>
        <v>36</v>
      </c>
      <c r="U71" s="53">
        <v>101</v>
      </c>
      <c r="V71" s="16">
        <f t="shared" si="2"/>
        <v>3636</v>
      </c>
      <c r="W71" s="53">
        <v>1</v>
      </c>
      <c r="X71" s="54" t="s">
        <v>46</v>
      </c>
      <c r="Y71" s="54" t="s">
        <v>47</v>
      </c>
      <c r="Z71" s="54" t="s">
        <v>55</v>
      </c>
      <c r="AA71" s="54" t="s">
        <v>69</v>
      </c>
      <c r="AB71" s="54" t="s">
        <v>282</v>
      </c>
    </row>
    <row r="72" spans="1:28" x14ac:dyDescent="0.15">
      <c r="A72" s="54" t="s">
        <v>34</v>
      </c>
      <c r="B72" s="53" t="s">
        <v>234</v>
      </c>
      <c r="C72" s="53">
        <v>2019</v>
      </c>
      <c r="D72" s="232" t="s">
        <v>159</v>
      </c>
      <c r="E72" s="36" t="s">
        <v>378</v>
      </c>
      <c r="F72" s="36" t="s">
        <v>379</v>
      </c>
      <c r="G72" s="54" t="s">
        <v>36</v>
      </c>
      <c r="H72" s="53" t="s">
        <v>127</v>
      </c>
      <c r="I72" s="54" t="s">
        <v>164</v>
      </c>
      <c r="J72" s="54" t="s">
        <v>80</v>
      </c>
      <c r="K72" s="54" t="s">
        <v>63</v>
      </c>
      <c r="L72" s="53">
        <v>2</v>
      </c>
      <c r="N72" s="53">
        <v>1</v>
      </c>
      <c r="O72" s="53">
        <v>0.55000000000000004</v>
      </c>
      <c r="P72" s="53">
        <v>0.65</v>
      </c>
      <c r="Q72" s="97">
        <f t="shared" si="0"/>
        <v>0.60000000000000009</v>
      </c>
      <c r="R72" s="53">
        <v>17.2</v>
      </c>
      <c r="S72" s="53">
        <v>85</v>
      </c>
      <c r="T72" s="16">
        <f t="shared" si="1"/>
        <v>36</v>
      </c>
      <c r="U72" s="53">
        <v>101</v>
      </c>
      <c r="V72" s="16">
        <f t="shared" si="2"/>
        <v>3636</v>
      </c>
      <c r="W72" s="53">
        <v>1</v>
      </c>
      <c r="X72" s="54" t="s">
        <v>46</v>
      </c>
      <c r="Y72" s="54" t="s">
        <v>47</v>
      </c>
      <c r="Z72" s="54" t="s">
        <v>55</v>
      </c>
      <c r="AA72" s="54" t="s">
        <v>69</v>
      </c>
      <c r="AB72" s="54" t="s">
        <v>282</v>
      </c>
    </row>
    <row r="73" spans="1:28" x14ac:dyDescent="0.15">
      <c r="A73" s="54" t="s">
        <v>34</v>
      </c>
      <c r="B73" s="53" t="s">
        <v>234</v>
      </c>
      <c r="C73" s="53">
        <v>2019</v>
      </c>
      <c r="D73" s="232" t="s">
        <v>159</v>
      </c>
      <c r="E73" s="36" t="s">
        <v>378</v>
      </c>
      <c r="F73" s="36" t="s">
        <v>379</v>
      </c>
      <c r="G73" s="54" t="s">
        <v>36</v>
      </c>
      <c r="H73" s="53" t="s">
        <v>127</v>
      </c>
      <c r="I73" s="54" t="s">
        <v>164</v>
      </c>
      <c r="J73" s="54" t="s">
        <v>80</v>
      </c>
      <c r="K73" s="54" t="s">
        <v>63</v>
      </c>
      <c r="L73" s="53">
        <v>3</v>
      </c>
      <c r="N73" s="53">
        <v>1</v>
      </c>
      <c r="O73" s="53">
        <v>0.55000000000000004</v>
      </c>
      <c r="P73" s="53">
        <v>0.6</v>
      </c>
      <c r="Q73" s="97">
        <f t="shared" si="0"/>
        <v>0.57499999999999996</v>
      </c>
      <c r="R73" s="53">
        <v>17.5</v>
      </c>
      <c r="S73" s="53">
        <v>92</v>
      </c>
      <c r="T73" s="16">
        <f t="shared" si="1"/>
        <v>36</v>
      </c>
      <c r="U73" s="53">
        <v>101</v>
      </c>
      <c r="V73" s="16">
        <f t="shared" si="2"/>
        <v>3636</v>
      </c>
      <c r="W73" s="53">
        <v>1</v>
      </c>
      <c r="X73" s="54" t="s">
        <v>46</v>
      </c>
      <c r="Y73" s="54" t="s">
        <v>47</v>
      </c>
      <c r="Z73" s="54" t="s">
        <v>55</v>
      </c>
      <c r="AA73" s="54" t="s">
        <v>69</v>
      </c>
      <c r="AB73" s="54" t="s">
        <v>282</v>
      </c>
    </row>
    <row r="74" spans="1:28" x14ac:dyDescent="0.15">
      <c r="A74" s="54" t="s">
        <v>34</v>
      </c>
      <c r="B74" s="53" t="s">
        <v>234</v>
      </c>
      <c r="C74" s="53">
        <v>2019</v>
      </c>
      <c r="D74" s="232" t="s">
        <v>159</v>
      </c>
      <c r="E74" s="36" t="s">
        <v>378</v>
      </c>
      <c r="F74" s="36" t="s">
        <v>379</v>
      </c>
      <c r="G74" s="54" t="s">
        <v>36</v>
      </c>
      <c r="H74" s="53" t="s">
        <v>127</v>
      </c>
      <c r="I74" s="54" t="s">
        <v>161</v>
      </c>
      <c r="J74" s="54" t="s">
        <v>58</v>
      </c>
      <c r="K74" s="54" t="s">
        <v>59</v>
      </c>
      <c r="L74" s="54">
        <v>1</v>
      </c>
      <c r="N74" s="53">
        <v>1</v>
      </c>
      <c r="O74" s="53">
        <v>0.75</v>
      </c>
      <c r="P74" s="53">
        <v>0.75</v>
      </c>
      <c r="Q74" s="97">
        <f t="shared" si="0"/>
        <v>0.75</v>
      </c>
      <c r="R74" s="53">
        <v>16.899999999999999</v>
      </c>
      <c r="S74" s="53">
        <v>112</v>
      </c>
      <c r="T74" s="16">
        <f t="shared" si="1"/>
        <v>33</v>
      </c>
      <c r="U74" s="53">
        <v>101</v>
      </c>
      <c r="V74" s="16">
        <f t="shared" si="2"/>
        <v>3333</v>
      </c>
      <c r="W74" s="53">
        <v>1</v>
      </c>
      <c r="X74" s="54" t="s">
        <v>46</v>
      </c>
      <c r="Y74" s="54" t="s">
        <v>47</v>
      </c>
      <c r="Z74" s="54" t="s">
        <v>55</v>
      </c>
      <c r="AA74" s="54" t="s">
        <v>69</v>
      </c>
      <c r="AB74" s="54" t="s">
        <v>282</v>
      </c>
    </row>
    <row r="75" spans="1:28" x14ac:dyDescent="0.15">
      <c r="A75" s="54" t="s">
        <v>34</v>
      </c>
      <c r="B75" s="53" t="s">
        <v>234</v>
      </c>
      <c r="C75" s="53">
        <v>2019</v>
      </c>
      <c r="D75" s="232" t="s">
        <v>159</v>
      </c>
      <c r="E75" s="36" t="s">
        <v>378</v>
      </c>
      <c r="F75" s="36" t="s">
        <v>379</v>
      </c>
      <c r="G75" s="54" t="s">
        <v>36</v>
      </c>
      <c r="H75" s="53" t="s">
        <v>127</v>
      </c>
      <c r="I75" s="54" t="s">
        <v>161</v>
      </c>
      <c r="J75" s="54" t="s">
        <v>58</v>
      </c>
      <c r="K75" s="54" t="s">
        <v>59</v>
      </c>
      <c r="L75" s="53">
        <v>2</v>
      </c>
      <c r="N75" s="53">
        <v>1</v>
      </c>
      <c r="O75" s="53">
        <v>0.6</v>
      </c>
      <c r="P75" s="53">
        <v>0.75</v>
      </c>
      <c r="Q75" s="97">
        <f t="shared" si="0"/>
        <v>0.67500000000000004</v>
      </c>
      <c r="R75" s="53">
        <v>17.100000000000001</v>
      </c>
      <c r="S75" s="53">
        <v>113</v>
      </c>
      <c r="T75" s="16">
        <f t="shared" si="1"/>
        <v>30</v>
      </c>
      <c r="U75" s="53">
        <v>101</v>
      </c>
      <c r="V75" s="16">
        <f t="shared" si="2"/>
        <v>3030</v>
      </c>
      <c r="W75" s="53">
        <v>1</v>
      </c>
      <c r="X75" s="54" t="s">
        <v>46</v>
      </c>
      <c r="Y75" s="54" t="s">
        <v>47</v>
      </c>
      <c r="Z75" s="54" t="s">
        <v>55</v>
      </c>
      <c r="AA75" s="54" t="s">
        <v>69</v>
      </c>
      <c r="AB75" s="54" t="s">
        <v>282</v>
      </c>
    </row>
    <row r="76" spans="1:28" x14ac:dyDescent="0.15">
      <c r="A76" s="54" t="s">
        <v>34</v>
      </c>
      <c r="B76" s="53" t="s">
        <v>234</v>
      </c>
      <c r="C76" s="53">
        <v>2019</v>
      </c>
      <c r="D76" s="232" t="s">
        <v>159</v>
      </c>
      <c r="E76" s="36" t="s">
        <v>378</v>
      </c>
      <c r="F76" s="36" t="s">
        <v>379</v>
      </c>
      <c r="G76" s="54" t="s">
        <v>36</v>
      </c>
      <c r="H76" s="53" t="s">
        <v>127</v>
      </c>
      <c r="I76" s="54" t="s">
        <v>161</v>
      </c>
      <c r="J76" s="54" t="s">
        <v>58</v>
      </c>
      <c r="K76" s="54" t="s">
        <v>59</v>
      </c>
      <c r="L76" s="53">
        <v>3</v>
      </c>
      <c r="N76" s="53">
        <v>1</v>
      </c>
      <c r="O76" s="53">
        <v>1.05</v>
      </c>
      <c r="P76" s="53">
        <v>1</v>
      </c>
      <c r="Q76" s="97">
        <f t="shared" si="0"/>
        <v>1.0249999999999999</v>
      </c>
      <c r="R76" s="53">
        <v>16.600000000000001</v>
      </c>
      <c r="S76" s="53">
        <v>106</v>
      </c>
      <c r="T76" s="16">
        <f t="shared" si="1"/>
        <v>33</v>
      </c>
      <c r="U76" s="53">
        <v>101</v>
      </c>
      <c r="V76" s="16">
        <f t="shared" si="2"/>
        <v>3333</v>
      </c>
      <c r="W76" s="53">
        <v>1</v>
      </c>
      <c r="X76" s="54" t="s">
        <v>46</v>
      </c>
      <c r="Y76" s="54" t="s">
        <v>47</v>
      </c>
      <c r="Z76" s="54" t="s">
        <v>55</v>
      </c>
      <c r="AA76" s="54" t="s">
        <v>69</v>
      </c>
      <c r="AB76" s="54" t="s">
        <v>282</v>
      </c>
    </row>
    <row r="77" spans="1:28" x14ac:dyDescent="0.15">
      <c r="A77" s="54" t="s">
        <v>34</v>
      </c>
      <c r="B77" s="53" t="s">
        <v>234</v>
      </c>
      <c r="C77" s="53">
        <v>2019</v>
      </c>
      <c r="D77" s="232" t="s">
        <v>159</v>
      </c>
      <c r="E77" s="36" t="s">
        <v>266</v>
      </c>
      <c r="F77" s="36" t="s">
        <v>380</v>
      </c>
      <c r="G77" s="54" t="s">
        <v>36</v>
      </c>
      <c r="H77" s="53" t="s">
        <v>162</v>
      </c>
      <c r="I77" s="54" t="s">
        <v>161</v>
      </c>
      <c r="J77" s="54" t="s">
        <v>38</v>
      </c>
      <c r="K77" s="54" t="s">
        <v>163</v>
      </c>
      <c r="L77" s="54">
        <v>1</v>
      </c>
      <c r="N77" s="53">
        <v>1</v>
      </c>
      <c r="O77" s="53">
        <v>0.55000000000000004</v>
      </c>
      <c r="P77" s="53">
        <v>0.5</v>
      </c>
      <c r="Q77" s="97">
        <f t="shared" si="0"/>
        <v>0.52500000000000002</v>
      </c>
      <c r="R77" s="53">
        <v>19.5</v>
      </c>
      <c r="S77" s="53">
        <v>126</v>
      </c>
      <c r="T77" s="16">
        <f t="shared" si="1"/>
        <v>30</v>
      </c>
      <c r="U77" s="53">
        <v>149</v>
      </c>
      <c r="V77" s="16">
        <f t="shared" si="2"/>
        <v>4470</v>
      </c>
      <c r="W77" s="53">
        <v>10</v>
      </c>
      <c r="X77" s="54" t="s">
        <v>46</v>
      </c>
      <c r="Y77" s="54" t="s">
        <v>78</v>
      </c>
      <c r="Z77" s="54" t="s">
        <v>55</v>
      </c>
      <c r="AA77" s="54" t="s">
        <v>69</v>
      </c>
      <c r="AB77" s="54" t="s">
        <v>282</v>
      </c>
    </row>
    <row r="78" spans="1:28" x14ac:dyDescent="0.15">
      <c r="A78" s="54" t="s">
        <v>34</v>
      </c>
      <c r="B78" s="53" t="s">
        <v>234</v>
      </c>
      <c r="C78" s="53">
        <v>2019</v>
      </c>
      <c r="D78" s="232" t="s">
        <v>159</v>
      </c>
      <c r="E78" s="36" t="s">
        <v>266</v>
      </c>
      <c r="F78" s="36" t="s">
        <v>380</v>
      </c>
      <c r="G78" s="54" t="s">
        <v>36</v>
      </c>
      <c r="H78" s="53" t="s">
        <v>162</v>
      </c>
      <c r="I78" s="54" t="s">
        <v>161</v>
      </c>
      <c r="J78" s="54" t="s">
        <v>38</v>
      </c>
      <c r="K78" s="54" t="s">
        <v>163</v>
      </c>
      <c r="L78" s="53">
        <v>2</v>
      </c>
      <c r="N78" s="53">
        <v>1</v>
      </c>
      <c r="O78" s="53">
        <v>0.7</v>
      </c>
      <c r="P78" s="53">
        <v>0.7</v>
      </c>
      <c r="Q78" s="97">
        <f t="shared" si="0"/>
        <v>0.7</v>
      </c>
      <c r="R78" s="53">
        <v>18.399999999999999</v>
      </c>
      <c r="S78" s="53">
        <v>126</v>
      </c>
      <c r="T78" s="16">
        <f t="shared" si="1"/>
        <v>30</v>
      </c>
      <c r="U78" s="53">
        <v>149</v>
      </c>
      <c r="V78" s="16">
        <f t="shared" si="2"/>
        <v>4470</v>
      </c>
      <c r="W78" s="53">
        <v>10</v>
      </c>
      <c r="X78" s="54" t="s">
        <v>46</v>
      </c>
      <c r="Y78" s="54" t="s">
        <v>78</v>
      </c>
      <c r="Z78" s="54" t="s">
        <v>55</v>
      </c>
      <c r="AA78" s="54" t="s">
        <v>69</v>
      </c>
      <c r="AB78" s="54" t="s">
        <v>282</v>
      </c>
    </row>
    <row r="79" spans="1:28" x14ac:dyDescent="0.15">
      <c r="A79" s="54" t="s">
        <v>34</v>
      </c>
      <c r="B79" s="53" t="s">
        <v>234</v>
      </c>
      <c r="C79" s="53">
        <v>2019</v>
      </c>
      <c r="D79" s="232" t="s">
        <v>159</v>
      </c>
      <c r="E79" s="36" t="s">
        <v>266</v>
      </c>
      <c r="F79" s="36" t="s">
        <v>380</v>
      </c>
      <c r="G79" s="54" t="s">
        <v>36</v>
      </c>
      <c r="H79" s="53" t="s">
        <v>162</v>
      </c>
      <c r="I79" s="54" t="s">
        <v>161</v>
      </c>
      <c r="J79" s="54" t="s">
        <v>38</v>
      </c>
      <c r="K79" s="54" t="s">
        <v>163</v>
      </c>
      <c r="L79" s="53">
        <v>3</v>
      </c>
      <c r="N79" s="53">
        <v>1</v>
      </c>
      <c r="O79" s="53">
        <v>0.7</v>
      </c>
      <c r="P79" s="53">
        <v>0.8</v>
      </c>
      <c r="Q79" s="97">
        <f t="shared" si="0"/>
        <v>0.75</v>
      </c>
      <c r="R79" s="53">
        <v>17.600000000000001</v>
      </c>
      <c r="S79" s="53">
        <v>127</v>
      </c>
      <c r="T79" s="16">
        <f t="shared" si="1"/>
        <v>30</v>
      </c>
      <c r="U79" s="53">
        <v>149</v>
      </c>
      <c r="V79" s="16">
        <f t="shared" si="2"/>
        <v>4470</v>
      </c>
      <c r="W79" s="53">
        <v>10</v>
      </c>
      <c r="X79" s="54" t="s">
        <v>46</v>
      </c>
      <c r="Y79" s="54" t="s">
        <v>78</v>
      </c>
      <c r="Z79" s="54" t="s">
        <v>55</v>
      </c>
      <c r="AA79" s="54" t="s">
        <v>69</v>
      </c>
      <c r="AB79" s="54" t="s">
        <v>282</v>
      </c>
    </row>
    <row r="80" spans="1:28" x14ac:dyDescent="0.15">
      <c r="A80" s="54" t="s">
        <v>34</v>
      </c>
      <c r="B80" s="53" t="s">
        <v>234</v>
      </c>
      <c r="C80" s="53">
        <v>2019</v>
      </c>
      <c r="D80" s="232" t="s">
        <v>159</v>
      </c>
      <c r="E80" s="36" t="s">
        <v>266</v>
      </c>
      <c r="F80" s="36" t="s">
        <v>380</v>
      </c>
      <c r="G80" s="54" t="s">
        <v>36</v>
      </c>
      <c r="H80" s="53" t="s">
        <v>162</v>
      </c>
      <c r="I80" s="54" t="s">
        <v>161</v>
      </c>
      <c r="J80" s="54" t="s">
        <v>38</v>
      </c>
      <c r="K80" s="54" t="s">
        <v>163</v>
      </c>
      <c r="L80" s="54">
        <v>1</v>
      </c>
      <c r="N80" s="53">
        <v>5</v>
      </c>
      <c r="O80" s="53">
        <v>0.9</v>
      </c>
      <c r="P80" s="53">
        <v>0.7</v>
      </c>
      <c r="Q80" s="97">
        <f t="shared" si="0"/>
        <v>0.8</v>
      </c>
      <c r="R80" s="53">
        <v>16</v>
      </c>
      <c r="S80" s="53">
        <v>96</v>
      </c>
      <c r="T80" s="16">
        <f t="shared" si="1"/>
        <v>36</v>
      </c>
      <c r="U80" s="53">
        <v>626</v>
      </c>
      <c r="V80" s="16">
        <f t="shared" si="2"/>
        <v>4507.2</v>
      </c>
      <c r="W80" s="53">
        <v>10</v>
      </c>
      <c r="X80" s="54" t="s">
        <v>46</v>
      </c>
      <c r="Y80" s="54" t="s">
        <v>78</v>
      </c>
      <c r="Z80" s="54" t="s">
        <v>55</v>
      </c>
      <c r="AA80" s="54" t="s">
        <v>69</v>
      </c>
      <c r="AB80" s="54" t="s">
        <v>282</v>
      </c>
    </row>
    <row r="81" spans="1:28" x14ac:dyDescent="0.15">
      <c r="A81" s="54" t="s">
        <v>34</v>
      </c>
      <c r="B81" s="53" t="s">
        <v>234</v>
      </c>
      <c r="C81" s="53">
        <v>2019</v>
      </c>
      <c r="D81" s="232" t="s">
        <v>159</v>
      </c>
      <c r="E81" s="36" t="s">
        <v>266</v>
      </c>
      <c r="F81" s="36" t="s">
        <v>380</v>
      </c>
      <c r="G81" s="54" t="s">
        <v>36</v>
      </c>
      <c r="H81" s="53" t="s">
        <v>162</v>
      </c>
      <c r="I81" s="54" t="s">
        <v>161</v>
      </c>
      <c r="J81" s="54" t="s">
        <v>38</v>
      </c>
      <c r="K81" s="54" t="s">
        <v>163</v>
      </c>
      <c r="L81" s="53">
        <v>2</v>
      </c>
      <c r="N81" s="53">
        <v>5</v>
      </c>
      <c r="O81" s="53">
        <v>0.8</v>
      </c>
      <c r="P81" s="53">
        <v>0.75</v>
      </c>
      <c r="Q81" s="97">
        <f t="shared" si="0"/>
        <v>0.77500000000000002</v>
      </c>
      <c r="R81" s="53">
        <v>18.2</v>
      </c>
      <c r="S81" s="53">
        <v>102</v>
      </c>
      <c r="T81" s="16">
        <f t="shared" si="1"/>
        <v>33</v>
      </c>
      <c r="U81" s="53">
        <v>626</v>
      </c>
      <c r="V81" s="16">
        <f t="shared" si="2"/>
        <v>4131.6000000000004</v>
      </c>
      <c r="W81" s="53">
        <v>10</v>
      </c>
      <c r="X81" s="54" t="s">
        <v>46</v>
      </c>
      <c r="Y81" s="54" t="s">
        <v>78</v>
      </c>
      <c r="Z81" s="54" t="s">
        <v>55</v>
      </c>
      <c r="AA81" s="54" t="s">
        <v>69</v>
      </c>
      <c r="AB81" s="54" t="s">
        <v>282</v>
      </c>
    </row>
    <row r="82" spans="1:28" x14ac:dyDescent="0.15">
      <c r="A82" s="54" t="s">
        <v>34</v>
      </c>
      <c r="B82" s="53" t="s">
        <v>234</v>
      </c>
      <c r="C82" s="53">
        <v>2019</v>
      </c>
      <c r="D82" s="232" t="s">
        <v>159</v>
      </c>
      <c r="E82" s="36" t="s">
        <v>266</v>
      </c>
      <c r="F82" s="36" t="s">
        <v>380</v>
      </c>
      <c r="G82" s="54" t="s">
        <v>36</v>
      </c>
      <c r="H82" s="53" t="s">
        <v>162</v>
      </c>
      <c r="I82" s="54" t="s">
        <v>161</v>
      </c>
      <c r="J82" s="54" t="s">
        <v>38</v>
      </c>
      <c r="K82" s="54" t="s">
        <v>163</v>
      </c>
      <c r="L82" s="53">
        <v>3</v>
      </c>
      <c r="N82" s="53">
        <v>5</v>
      </c>
      <c r="O82" s="53">
        <v>0.6</v>
      </c>
      <c r="P82" s="53">
        <v>0.5</v>
      </c>
      <c r="Q82" s="97">
        <f t="shared" si="0"/>
        <v>0.55000000000000004</v>
      </c>
      <c r="R82" s="53">
        <v>19.3</v>
      </c>
      <c r="S82" s="53">
        <v>95</v>
      </c>
      <c r="T82" s="16">
        <f t="shared" si="1"/>
        <v>36</v>
      </c>
      <c r="U82" s="53">
        <v>626</v>
      </c>
      <c r="V82" s="16">
        <f t="shared" si="2"/>
        <v>4507.2</v>
      </c>
      <c r="W82" s="53">
        <v>10</v>
      </c>
      <c r="X82" s="54" t="s">
        <v>46</v>
      </c>
      <c r="Y82" s="54" t="s">
        <v>78</v>
      </c>
      <c r="Z82" s="54" t="s">
        <v>55</v>
      </c>
      <c r="AA82" s="54" t="s">
        <v>69</v>
      </c>
      <c r="AB82" s="54" t="s">
        <v>282</v>
      </c>
    </row>
    <row r="83" spans="1:28" x14ac:dyDescent="0.15">
      <c r="K83" s="54"/>
    </row>
    <row r="84" spans="1:28" x14ac:dyDescent="0.15">
      <c r="K84" s="54"/>
    </row>
    <row r="85" spans="1:28" x14ac:dyDescent="0.15">
      <c r="K85" s="54"/>
    </row>
    <row r="86" spans="1:28" x14ac:dyDescent="0.15">
      <c r="K86" s="54"/>
    </row>
    <row r="87" spans="1:28" x14ac:dyDescent="0.15">
      <c r="K87" s="54"/>
    </row>
    <row r="88" spans="1:28" x14ac:dyDescent="0.15">
      <c r="K88" s="54"/>
    </row>
    <row r="89" spans="1:28" x14ac:dyDescent="0.15">
      <c r="K89" s="54"/>
    </row>
    <row r="90" spans="1:28" x14ac:dyDescent="0.15">
      <c r="K90" s="54"/>
    </row>
    <row r="91" spans="1:28" x14ac:dyDescent="0.15">
      <c r="K91" s="54"/>
    </row>
    <row r="92" spans="1:28" x14ac:dyDescent="0.15">
      <c r="K92" s="54"/>
    </row>
    <row r="93" spans="1:28" x14ac:dyDescent="0.15">
      <c r="K93" s="54"/>
    </row>
    <row r="94" spans="1:28" x14ac:dyDescent="0.15">
      <c r="K94" s="54"/>
    </row>
    <row r="95" spans="1:28" x14ac:dyDescent="0.15">
      <c r="K95" s="54"/>
    </row>
    <row r="96" spans="1:28" x14ac:dyDescent="0.15">
      <c r="K96" s="54"/>
    </row>
    <row r="97" spans="11:11" x14ac:dyDescent="0.15">
      <c r="K97" s="54"/>
    </row>
    <row r="98" spans="11:11" x14ac:dyDescent="0.15">
      <c r="K98" s="54"/>
    </row>
    <row r="99" spans="11:11" x14ac:dyDescent="0.15">
      <c r="K99" s="54"/>
    </row>
    <row r="100" spans="11:11" x14ac:dyDescent="0.15">
      <c r="K100" s="54"/>
    </row>
    <row r="101" spans="11:11" x14ac:dyDescent="0.15">
      <c r="K101" s="54"/>
    </row>
    <row r="102" spans="11:11" x14ac:dyDescent="0.15">
      <c r="K102" s="54"/>
    </row>
    <row r="103" spans="11:11" x14ac:dyDescent="0.15">
      <c r="K103" s="54"/>
    </row>
    <row r="104" spans="11:11" x14ac:dyDescent="0.15">
      <c r="K104" s="54"/>
    </row>
    <row r="105" spans="11:11" x14ac:dyDescent="0.15">
      <c r="K105" s="54"/>
    </row>
    <row r="106" spans="11:11" x14ac:dyDescent="0.15">
      <c r="K106" s="54"/>
    </row>
    <row r="107" spans="11:11" x14ac:dyDescent="0.15">
      <c r="K107" s="54"/>
    </row>
    <row r="108" spans="11:11" x14ac:dyDescent="0.15">
      <c r="K108" s="54"/>
    </row>
    <row r="109" spans="11:11" x14ac:dyDescent="0.15">
      <c r="K109" s="54"/>
    </row>
    <row r="110" spans="11:11" x14ac:dyDescent="0.15">
      <c r="K110" s="54"/>
    </row>
    <row r="111" spans="11:11" x14ac:dyDescent="0.15">
      <c r="K111" s="54"/>
    </row>
    <row r="112" spans="11:11" x14ac:dyDescent="0.15">
      <c r="K112" s="54"/>
    </row>
    <row r="113" spans="11:11" x14ac:dyDescent="0.15">
      <c r="K113" s="54"/>
    </row>
    <row r="114" spans="11:11" x14ac:dyDescent="0.15">
      <c r="K114" s="54"/>
    </row>
    <row r="115" spans="11:11" x14ac:dyDescent="0.15">
      <c r="K115" s="54"/>
    </row>
    <row r="116" spans="11:11" x14ac:dyDescent="0.15">
      <c r="K116" s="54"/>
    </row>
    <row r="117" spans="11:11" x14ac:dyDescent="0.15">
      <c r="K117" s="54"/>
    </row>
    <row r="118" spans="11:11" x14ac:dyDescent="0.15">
      <c r="K118" s="54"/>
    </row>
    <row r="119" spans="11:11" x14ac:dyDescent="0.15">
      <c r="K119" s="54"/>
    </row>
    <row r="120" spans="11:11" x14ac:dyDescent="0.15">
      <c r="K120" s="54"/>
    </row>
    <row r="121" spans="11:11" x14ac:dyDescent="0.15">
      <c r="K121" s="54"/>
    </row>
    <row r="122" spans="11:11" x14ac:dyDescent="0.15">
      <c r="K122" s="54"/>
    </row>
    <row r="123" spans="11:11" x14ac:dyDescent="0.15">
      <c r="K123" s="54"/>
    </row>
    <row r="124" spans="11:11" x14ac:dyDescent="0.15">
      <c r="K124" s="54"/>
    </row>
    <row r="125" spans="11:11" x14ac:dyDescent="0.15">
      <c r="K125" s="54"/>
    </row>
    <row r="126" spans="11:11" x14ac:dyDescent="0.15">
      <c r="K126" s="54"/>
    </row>
    <row r="127" spans="11:11" x14ac:dyDescent="0.15">
      <c r="K127" s="54"/>
    </row>
    <row r="128" spans="11:11" x14ac:dyDescent="0.15">
      <c r="K128" s="54"/>
    </row>
    <row r="129" spans="11:11" x14ac:dyDescent="0.15">
      <c r="K129" s="54"/>
    </row>
    <row r="130" spans="11:11" x14ac:dyDescent="0.15">
      <c r="K130" s="54"/>
    </row>
    <row r="131" spans="11:11" x14ac:dyDescent="0.15">
      <c r="K131" s="54"/>
    </row>
    <row r="132" spans="11:11" x14ac:dyDescent="0.15">
      <c r="K132" s="54"/>
    </row>
    <row r="133" spans="11:11" x14ac:dyDescent="0.15">
      <c r="K133" s="54"/>
    </row>
    <row r="134" spans="11:11" x14ac:dyDescent="0.15">
      <c r="K134" s="54"/>
    </row>
    <row r="135" spans="11:11" x14ac:dyDescent="0.15">
      <c r="K135" s="54"/>
    </row>
    <row r="136" spans="11:11" x14ac:dyDescent="0.15">
      <c r="K136" s="54"/>
    </row>
    <row r="137" spans="11:11" x14ac:dyDescent="0.15">
      <c r="K137" s="54"/>
    </row>
    <row r="138" spans="11:11" x14ac:dyDescent="0.15">
      <c r="K138" s="54"/>
    </row>
    <row r="139" spans="11:11" x14ac:dyDescent="0.15">
      <c r="K139" s="54"/>
    </row>
    <row r="140" spans="11:11" x14ac:dyDescent="0.15">
      <c r="K140" s="54"/>
    </row>
    <row r="141" spans="11:11" x14ac:dyDescent="0.15">
      <c r="K141" s="54"/>
    </row>
    <row r="142" spans="11:11" x14ac:dyDescent="0.15">
      <c r="K142" s="54"/>
    </row>
    <row r="143" spans="11:11" x14ac:dyDescent="0.15">
      <c r="K143" s="54"/>
    </row>
    <row r="144" spans="11:11" x14ac:dyDescent="0.15">
      <c r="K144" s="54"/>
    </row>
    <row r="145" spans="11:11" x14ac:dyDescent="0.15">
      <c r="K145" s="54"/>
    </row>
    <row r="146" spans="11:11" x14ac:dyDescent="0.15">
      <c r="K146" s="54"/>
    </row>
    <row r="147" spans="11:11" x14ac:dyDescent="0.15">
      <c r="K147" s="54"/>
    </row>
    <row r="148" spans="11:11" x14ac:dyDescent="0.15">
      <c r="K148" s="54"/>
    </row>
    <row r="149" spans="11:11" x14ac:dyDescent="0.15">
      <c r="K149" s="54"/>
    </row>
    <row r="150" spans="11:11" x14ac:dyDescent="0.15">
      <c r="K150" s="54"/>
    </row>
    <row r="151" spans="11:11" x14ac:dyDescent="0.15">
      <c r="K151" s="54"/>
    </row>
    <row r="152" spans="11:11" x14ac:dyDescent="0.15">
      <c r="K152" s="54"/>
    </row>
    <row r="153" spans="11:11" x14ac:dyDescent="0.15">
      <c r="K153" s="54"/>
    </row>
    <row r="154" spans="11:11" x14ac:dyDescent="0.15">
      <c r="K154" s="54"/>
    </row>
    <row r="155" spans="11:11" x14ac:dyDescent="0.15">
      <c r="K155" s="54"/>
    </row>
    <row r="156" spans="11:11" x14ac:dyDescent="0.15">
      <c r="K156" s="54"/>
    </row>
    <row r="157" spans="11:11" x14ac:dyDescent="0.15">
      <c r="K157" s="54"/>
    </row>
    <row r="158" spans="11:11" x14ac:dyDescent="0.15">
      <c r="K158" s="54"/>
    </row>
    <row r="159" spans="11:11" x14ac:dyDescent="0.15">
      <c r="K159" s="54"/>
    </row>
    <row r="160" spans="11:11" x14ac:dyDescent="0.15">
      <c r="K160" s="54"/>
    </row>
    <row r="161" spans="11:11" x14ac:dyDescent="0.15">
      <c r="K161" s="54"/>
    </row>
    <row r="162" spans="11:11" x14ac:dyDescent="0.15">
      <c r="K162" s="54"/>
    </row>
    <row r="163" spans="11:11" x14ac:dyDescent="0.15">
      <c r="K163" s="54"/>
    </row>
    <row r="164" spans="11:11" x14ac:dyDescent="0.15">
      <c r="K164" s="54"/>
    </row>
    <row r="165" spans="11:11" x14ac:dyDescent="0.15">
      <c r="K165" s="54"/>
    </row>
    <row r="166" spans="11:11" x14ac:dyDescent="0.15">
      <c r="K166" s="54"/>
    </row>
    <row r="167" spans="11:11" x14ac:dyDescent="0.15">
      <c r="K167" s="54"/>
    </row>
    <row r="168" spans="11:11" x14ac:dyDescent="0.15">
      <c r="K168" s="54"/>
    </row>
    <row r="169" spans="11:11" x14ac:dyDescent="0.15">
      <c r="K169" s="54"/>
    </row>
    <row r="170" spans="11:11" x14ac:dyDescent="0.15">
      <c r="K170" s="54"/>
    </row>
    <row r="171" spans="11:11" x14ac:dyDescent="0.15">
      <c r="K171" s="54"/>
    </row>
    <row r="172" spans="11:11" x14ac:dyDescent="0.15">
      <c r="K172" s="54"/>
    </row>
    <row r="173" spans="11:11" x14ac:dyDescent="0.15">
      <c r="K173" s="54"/>
    </row>
    <row r="174" spans="11:11" x14ac:dyDescent="0.15">
      <c r="K174" s="54"/>
    </row>
    <row r="175" spans="11:11" x14ac:dyDescent="0.15">
      <c r="K175" s="54"/>
    </row>
    <row r="176" spans="11:11" x14ac:dyDescent="0.15">
      <c r="K176" s="54"/>
    </row>
    <row r="177" spans="11:11" x14ac:dyDescent="0.15">
      <c r="K177" s="54"/>
    </row>
    <row r="178" spans="11:11" x14ac:dyDescent="0.15">
      <c r="K178" s="54"/>
    </row>
    <row r="179" spans="11:11" x14ac:dyDescent="0.15">
      <c r="K179" s="54"/>
    </row>
    <row r="180" spans="11:11" x14ac:dyDescent="0.15">
      <c r="K180" s="54"/>
    </row>
    <row r="181" spans="11:11" x14ac:dyDescent="0.15">
      <c r="K181" s="54"/>
    </row>
    <row r="182" spans="11:11" x14ac:dyDescent="0.15">
      <c r="K182" s="54"/>
    </row>
    <row r="183" spans="11:11" x14ac:dyDescent="0.15">
      <c r="K183" s="54"/>
    </row>
    <row r="184" spans="11:11" x14ac:dyDescent="0.15">
      <c r="K184" s="54"/>
    </row>
    <row r="185" spans="11:11" x14ac:dyDescent="0.15">
      <c r="K185" s="54"/>
    </row>
    <row r="186" spans="11:11" x14ac:dyDescent="0.15">
      <c r="K186" s="54"/>
    </row>
    <row r="187" spans="11:11" x14ac:dyDescent="0.15">
      <c r="K187" s="54"/>
    </row>
    <row r="188" spans="11:11" x14ac:dyDescent="0.15">
      <c r="K188" s="54"/>
    </row>
    <row r="189" spans="11:11" x14ac:dyDescent="0.15">
      <c r="K189" s="54"/>
    </row>
    <row r="190" spans="11:11" x14ac:dyDescent="0.15">
      <c r="K190" s="54"/>
    </row>
    <row r="191" spans="11:11" x14ac:dyDescent="0.15">
      <c r="K191" s="54"/>
    </row>
    <row r="192" spans="11:11" x14ac:dyDescent="0.15">
      <c r="K192" s="54"/>
    </row>
    <row r="193" spans="11:11" x14ac:dyDescent="0.15">
      <c r="K193" s="54"/>
    </row>
    <row r="194" spans="11:11" x14ac:dyDescent="0.15">
      <c r="K194" s="54"/>
    </row>
    <row r="195" spans="11:11" x14ac:dyDescent="0.15">
      <c r="K195" s="54"/>
    </row>
    <row r="196" spans="11:11" x14ac:dyDescent="0.15">
      <c r="K196" s="54"/>
    </row>
    <row r="197" spans="11:11" x14ac:dyDescent="0.15">
      <c r="K197" s="54"/>
    </row>
    <row r="198" spans="11:11" x14ac:dyDescent="0.15">
      <c r="K198" s="54"/>
    </row>
    <row r="199" spans="11:11" x14ac:dyDescent="0.15">
      <c r="K199" s="54"/>
    </row>
    <row r="200" spans="11:11" x14ac:dyDescent="0.15">
      <c r="K200" s="54"/>
    </row>
    <row r="201" spans="11:11" x14ac:dyDescent="0.15">
      <c r="K201" s="54"/>
    </row>
    <row r="202" spans="11:11" x14ac:dyDescent="0.15">
      <c r="K202" s="54"/>
    </row>
    <row r="203" spans="11:11" x14ac:dyDescent="0.15">
      <c r="K203" s="54"/>
    </row>
    <row r="204" spans="11:11" x14ac:dyDescent="0.15">
      <c r="K204" s="54"/>
    </row>
    <row r="205" spans="11:11" x14ac:dyDescent="0.15">
      <c r="K205" s="54"/>
    </row>
    <row r="206" spans="11:11" x14ac:dyDescent="0.15">
      <c r="K206" s="54"/>
    </row>
    <row r="207" spans="11:11" x14ac:dyDescent="0.15">
      <c r="K207" s="54"/>
    </row>
    <row r="208" spans="11:11" x14ac:dyDescent="0.15">
      <c r="K208" s="54"/>
    </row>
    <row r="209" spans="11:11" x14ac:dyDescent="0.15">
      <c r="K209" s="54"/>
    </row>
    <row r="210" spans="11:11" x14ac:dyDescent="0.15">
      <c r="K210" s="54"/>
    </row>
    <row r="211" spans="11:11" x14ac:dyDescent="0.15">
      <c r="K211" s="54"/>
    </row>
    <row r="212" spans="11:11" x14ac:dyDescent="0.15">
      <c r="K212" s="54"/>
    </row>
    <row r="213" spans="11:11" x14ac:dyDescent="0.15">
      <c r="K213" s="54"/>
    </row>
    <row r="214" spans="11:11" x14ac:dyDescent="0.15">
      <c r="K214" s="54"/>
    </row>
    <row r="215" spans="11:11" x14ac:dyDescent="0.15">
      <c r="K215" s="54"/>
    </row>
    <row r="216" spans="11:11" x14ac:dyDescent="0.15">
      <c r="K216" s="54"/>
    </row>
    <row r="217" spans="11:11" x14ac:dyDescent="0.15">
      <c r="K217" s="54"/>
    </row>
    <row r="218" spans="11:11" x14ac:dyDescent="0.15">
      <c r="K218" s="54"/>
    </row>
    <row r="219" spans="11:11" x14ac:dyDescent="0.15">
      <c r="K219" s="54"/>
    </row>
    <row r="220" spans="11:11" x14ac:dyDescent="0.15">
      <c r="K220" s="54"/>
    </row>
    <row r="221" spans="11:11" x14ac:dyDescent="0.15">
      <c r="K221" s="54"/>
    </row>
    <row r="222" spans="11:11" x14ac:dyDescent="0.15">
      <c r="K222" s="54"/>
    </row>
    <row r="223" spans="11:11" x14ac:dyDescent="0.15">
      <c r="K223" s="54"/>
    </row>
    <row r="224" spans="11:11" x14ac:dyDescent="0.15">
      <c r="K224" s="54"/>
    </row>
    <row r="225" spans="11:11" x14ac:dyDescent="0.15">
      <c r="K225" s="54"/>
    </row>
    <row r="226" spans="11:11" x14ac:dyDescent="0.15">
      <c r="K226" s="54"/>
    </row>
    <row r="227" spans="11:11" x14ac:dyDescent="0.15">
      <c r="K227" s="54"/>
    </row>
    <row r="228" spans="11:11" x14ac:dyDescent="0.15">
      <c r="K228" s="54"/>
    </row>
    <row r="229" spans="11:11" x14ac:dyDescent="0.15">
      <c r="K229" s="54"/>
    </row>
    <row r="230" spans="11:11" x14ac:dyDescent="0.15">
      <c r="K230" s="54"/>
    </row>
    <row r="231" spans="11:11" x14ac:dyDescent="0.15">
      <c r="K231" s="54"/>
    </row>
    <row r="232" spans="11:11" x14ac:dyDescent="0.15">
      <c r="K232" s="54"/>
    </row>
    <row r="233" spans="11:11" x14ac:dyDescent="0.15">
      <c r="K233" s="54"/>
    </row>
    <row r="234" spans="11:11" x14ac:dyDescent="0.15">
      <c r="K234" s="54"/>
    </row>
    <row r="235" spans="11:11" x14ac:dyDescent="0.15">
      <c r="K235" s="54"/>
    </row>
    <row r="236" spans="11:11" x14ac:dyDescent="0.15">
      <c r="K236" s="54"/>
    </row>
    <row r="237" spans="11:11" x14ac:dyDescent="0.15">
      <c r="K237" s="54"/>
    </row>
    <row r="238" spans="11:11" x14ac:dyDescent="0.15">
      <c r="K238" s="54"/>
    </row>
    <row r="239" spans="11:11" x14ac:dyDescent="0.15">
      <c r="K239" s="54"/>
    </row>
    <row r="240" spans="11:11" x14ac:dyDescent="0.15">
      <c r="K240" s="54"/>
    </row>
    <row r="241" spans="11:11" x14ac:dyDescent="0.15">
      <c r="K241" s="54"/>
    </row>
    <row r="242" spans="11:11" x14ac:dyDescent="0.15">
      <c r="K242" s="54"/>
    </row>
    <row r="243" spans="11:11" x14ac:dyDescent="0.15">
      <c r="K243" s="54"/>
    </row>
    <row r="244" spans="11:11" x14ac:dyDescent="0.15">
      <c r="K244" s="54"/>
    </row>
    <row r="245" spans="11:11" x14ac:dyDescent="0.15">
      <c r="K245" s="54"/>
    </row>
    <row r="246" spans="11:11" x14ac:dyDescent="0.15">
      <c r="K246" s="54"/>
    </row>
    <row r="247" spans="11:11" x14ac:dyDescent="0.15">
      <c r="K247" s="54"/>
    </row>
    <row r="248" spans="11:11" x14ac:dyDescent="0.15">
      <c r="K248" s="54"/>
    </row>
    <row r="249" spans="11:11" x14ac:dyDescent="0.15">
      <c r="K249" s="54"/>
    </row>
    <row r="250" spans="11:11" x14ac:dyDescent="0.15">
      <c r="K250" s="54"/>
    </row>
    <row r="251" spans="11:11" x14ac:dyDescent="0.15">
      <c r="K251" s="54"/>
    </row>
    <row r="252" spans="11:11" x14ac:dyDescent="0.15">
      <c r="K252" s="54"/>
    </row>
    <row r="253" spans="11:11" x14ac:dyDescent="0.15">
      <c r="K253" s="54"/>
    </row>
    <row r="254" spans="11:11" x14ac:dyDescent="0.15">
      <c r="K254" s="54"/>
    </row>
    <row r="255" spans="11:11" x14ac:dyDescent="0.15">
      <c r="K255" s="54"/>
    </row>
    <row r="256" spans="11:11" x14ac:dyDescent="0.15">
      <c r="K256" s="54"/>
    </row>
    <row r="257" spans="11:11" x14ac:dyDescent="0.15">
      <c r="K257" s="54"/>
    </row>
    <row r="258" spans="11:11" x14ac:dyDescent="0.15">
      <c r="K258" s="54"/>
    </row>
    <row r="259" spans="11:11" x14ac:dyDescent="0.15">
      <c r="K259" s="54"/>
    </row>
    <row r="260" spans="11:11" x14ac:dyDescent="0.15">
      <c r="K260" s="54"/>
    </row>
    <row r="261" spans="11:11" x14ac:dyDescent="0.15">
      <c r="K261" s="54"/>
    </row>
    <row r="262" spans="11:11" x14ac:dyDescent="0.15">
      <c r="K262" s="54"/>
    </row>
    <row r="263" spans="11:11" x14ac:dyDescent="0.15">
      <c r="K263" s="54"/>
    </row>
    <row r="264" spans="11:11" x14ac:dyDescent="0.15">
      <c r="K264" s="54"/>
    </row>
    <row r="265" spans="11:11" x14ac:dyDescent="0.15">
      <c r="K265" s="54"/>
    </row>
    <row r="266" spans="11:11" x14ac:dyDescent="0.15">
      <c r="K266" s="54"/>
    </row>
    <row r="267" spans="11:11" x14ac:dyDescent="0.15">
      <c r="K267" s="54"/>
    </row>
    <row r="268" spans="11:11" x14ac:dyDescent="0.15">
      <c r="K268" s="54"/>
    </row>
    <row r="269" spans="11:11" x14ac:dyDescent="0.15">
      <c r="K269" s="54"/>
    </row>
    <row r="270" spans="11:11" x14ac:dyDescent="0.15">
      <c r="K270" s="54"/>
    </row>
    <row r="271" spans="11:11" x14ac:dyDescent="0.15">
      <c r="K271" s="54"/>
    </row>
    <row r="272" spans="11:11" x14ac:dyDescent="0.15">
      <c r="K272" s="54"/>
    </row>
    <row r="273" spans="11:11" x14ac:dyDescent="0.15">
      <c r="K273" s="54"/>
    </row>
    <row r="274" spans="11:11" x14ac:dyDescent="0.15">
      <c r="K274" s="54"/>
    </row>
    <row r="275" spans="11:11" x14ac:dyDescent="0.15">
      <c r="K275" s="54"/>
    </row>
    <row r="276" spans="11:11" x14ac:dyDescent="0.15">
      <c r="K276" s="54"/>
    </row>
    <row r="277" spans="11:11" x14ac:dyDescent="0.15">
      <c r="K277" s="54"/>
    </row>
    <row r="278" spans="11:11" x14ac:dyDescent="0.15">
      <c r="K278" s="54"/>
    </row>
    <row r="279" spans="11:11" x14ac:dyDescent="0.15">
      <c r="K279" s="54"/>
    </row>
    <row r="280" spans="11:11" x14ac:dyDescent="0.15">
      <c r="K280" s="54"/>
    </row>
    <row r="281" spans="11:11" x14ac:dyDescent="0.15">
      <c r="K281" s="54"/>
    </row>
    <row r="282" spans="11:11" x14ac:dyDescent="0.15">
      <c r="K282" s="54"/>
    </row>
    <row r="283" spans="11:11" x14ac:dyDescent="0.15">
      <c r="K283" s="54"/>
    </row>
    <row r="284" spans="11:11" x14ac:dyDescent="0.15">
      <c r="K284" s="54"/>
    </row>
    <row r="285" spans="11:11" x14ac:dyDescent="0.15">
      <c r="K285" s="54"/>
    </row>
    <row r="286" spans="11:11" x14ac:dyDescent="0.15">
      <c r="K286" s="54"/>
    </row>
    <row r="287" spans="11:11" x14ac:dyDescent="0.15">
      <c r="K287" s="54"/>
    </row>
    <row r="288" spans="11:11" x14ac:dyDescent="0.15">
      <c r="K288" s="54"/>
    </row>
    <row r="289" spans="11:11" x14ac:dyDescent="0.15">
      <c r="K289" s="54"/>
    </row>
    <row r="290" spans="11:11" x14ac:dyDescent="0.15">
      <c r="K290" s="54"/>
    </row>
    <row r="291" spans="11:11" x14ac:dyDescent="0.15">
      <c r="K291" s="54"/>
    </row>
    <row r="292" spans="11:11" x14ac:dyDescent="0.15">
      <c r="K292" s="54"/>
    </row>
    <row r="293" spans="11:11" x14ac:dyDescent="0.15">
      <c r="K293" s="54"/>
    </row>
    <row r="294" spans="11:11" x14ac:dyDescent="0.15">
      <c r="K294" s="54"/>
    </row>
    <row r="295" spans="11:11" x14ac:dyDescent="0.15">
      <c r="K295" s="54"/>
    </row>
    <row r="296" spans="11:11" x14ac:dyDescent="0.15">
      <c r="K296" s="54"/>
    </row>
    <row r="297" spans="11:11" x14ac:dyDescent="0.15">
      <c r="K297" s="54"/>
    </row>
    <row r="298" spans="11:11" x14ac:dyDescent="0.15">
      <c r="K298" s="54"/>
    </row>
    <row r="299" spans="11:11" x14ac:dyDescent="0.15">
      <c r="K299" s="54"/>
    </row>
    <row r="300" spans="11:11" x14ac:dyDescent="0.15">
      <c r="K300" s="54"/>
    </row>
    <row r="301" spans="11:11" x14ac:dyDescent="0.15">
      <c r="K301" s="54"/>
    </row>
    <row r="302" spans="11:11" x14ac:dyDescent="0.15">
      <c r="K302" s="54"/>
    </row>
    <row r="303" spans="11:11" x14ac:dyDescent="0.15">
      <c r="K303" s="54"/>
    </row>
    <row r="304" spans="11:11" x14ac:dyDescent="0.15">
      <c r="K304" s="54"/>
    </row>
    <row r="305" spans="11:11" x14ac:dyDescent="0.15">
      <c r="K305" s="54"/>
    </row>
    <row r="306" spans="11:11" x14ac:dyDescent="0.15">
      <c r="K306" s="54"/>
    </row>
    <row r="307" spans="11:11" x14ac:dyDescent="0.15">
      <c r="K307" s="54"/>
    </row>
    <row r="308" spans="11:11" x14ac:dyDescent="0.15">
      <c r="K308" s="54"/>
    </row>
    <row r="309" spans="11:11" x14ac:dyDescent="0.15">
      <c r="K309" s="54"/>
    </row>
    <row r="310" spans="11:11" x14ac:dyDescent="0.15">
      <c r="K310" s="54"/>
    </row>
    <row r="311" spans="11:11" x14ac:dyDescent="0.15">
      <c r="K311" s="54"/>
    </row>
    <row r="312" spans="11:11" x14ac:dyDescent="0.15">
      <c r="K312" s="54"/>
    </row>
    <row r="313" spans="11:11" x14ac:dyDescent="0.15">
      <c r="K313" s="54"/>
    </row>
    <row r="314" spans="11:11" x14ac:dyDescent="0.15">
      <c r="K314" s="54"/>
    </row>
    <row r="315" spans="11:11" x14ac:dyDescent="0.15">
      <c r="K315" s="54"/>
    </row>
    <row r="316" spans="11:11" x14ac:dyDescent="0.15">
      <c r="K316" s="54"/>
    </row>
    <row r="317" spans="11:11" x14ac:dyDescent="0.15">
      <c r="K317" s="54"/>
    </row>
    <row r="318" spans="11:11" x14ac:dyDescent="0.15">
      <c r="K318" s="54"/>
    </row>
    <row r="319" spans="11:11" x14ac:dyDescent="0.15">
      <c r="K319" s="54"/>
    </row>
    <row r="320" spans="11:11" x14ac:dyDescent="0.15">
      <c r="K320" s="54"/>
    </row>
    <row r="321" spans="11:11" x14ac:dyDescent="0.15">
      <c r="K321" s="54"/>
    </row>
    <row r="322" spans="11:11" x14ac:dyDescent="0.15">
      <c r="K322" s="54"/>
    </row>
    <row r="323" spans="11:11" x14ac:dyDescent="0.15">
      <c r="K323" s="54"/>
    </row>
    <row r="324" spans="11:11" x14ac:dyDescent="0.15">
      <c r="K324" s="54"/>
    </row>
    <row r="325" spans="11:11" x14ac:dyDescent="0.15">
      <c r="K325" s="54"/>
    </row>
    <row r="326" spans="11:11" x14ac:dyDescent="0.15">
      <c r="K326" s="54"/>
    </row>
    <row r="327" spans="11:11" x14ac:dyDescent="0.15">
      <c r="K327" s="54"/>
    </row>
    <row r="328" spans="11:11" x14ac:dyDescent="0.15">
      <c r="K328" s="54"/>
    </row>
    <row r="329" spans="11:11" x14ac:dyDescent="0.15">
      <c r="K329" s="54"/>
    </row>
    <row r="330" spans="11:11" x14ac:dyDescent="0.15">
      <c r="K330" s="54"/>
    </row>
    <row r="331" spans="11:11" x14ac:dyDescent="0.15">
      <c r="K331" s="54"/>
    </row>
    <row r="332" spans="11:11" x14ac:dyDescent="0.15">
      <c r="K332" s="54"/>
    </row>
    <row r="333" spans="11:11" x14ac:dyDescent="0.15">
      <c r="K333" s="54"/>
    </row>
    <row r="334" spans="11:11" x14ac:dyDescent="0.15">
      <c r="K334" s="54"/>
    </row>
    <row r="335" spans="11:11" x14ac:dyDescent="0.15">
      <c r="K335" s="54"/>
    </row>
    <row r="336" spans="11:11" x14ac:dyDescent="0.15">
      <c r="K336" s="54"/>
    </row>
    <row r="337" spans="11:11" x14ac:dyDescent="0.15">
      <c r="K337" s="54"/>
    </row>
    <row r="338" spans="11:11" x14ac:dyDescent="0.15">
      <c r="K338" s="54"/>
    </row>
    <row r="339" spans="11:11" x14ac:dyDescent="0.15">
      <c r="K339" s="54"/>
    </row>
    <row r="340" spans="11:11" x14ac:dyDescent="0.15">
      <c r="K340" s="54"/>
    </row>
    <row r="341" spans="11:11" x14ac:dyDescent="0.15">
      <c r="K341" s="54"/>
    </row>
    <row r="342" spans="11:11" x14ac:dyDescent="0.15">
      <c r="K342" s="54"/>
    </row>
    <row r="343" spans="11:11" x14ac:dyDescent="0.15">
      <c r="K343" s="54"/>
    </row>
    <row r="344" spans="11:11" x14ac:dyDescent="0.15">
      <c r="K344" s="54"/>
    </row>
    <row r="345" spans="11:11" x14ac:dyDescent="0.15">
      <c r="K345" s="54"/>
    </row>
    <row r="346" spans="11:11" x14ac:dyDescent="0.15">
      <c r="K346" s="54"/>
    </row>
    <row r="347" spans="11:11" x14ac:dyDescent="0.15">
      <c r="K347" s="54"/>
    </row>
    <row r="348" spans="11:11" x14ac:dyDescent="0.15">
      <c r="K348" s="54"/>
    </row>
    <row r="349" spans="11:11" x14ac:dyDescent="0.15">
      <c r="K349" s="54"/>
    </row>
    <row r="350" spans="11:11" x14ac:dyDescent="0.15">
      <c r="K350" s="54"/>
    </row>
    <row r="351" spans="11:11" x14ac:dyDescent="0.15">
      <c r="K351" s="54"/>
    </row>
    <row r="352" spans="11:11" x14ac:dyDescent="0.15">
      <c r="K352" s="54"/>
    </row>
    <row r="353" spans="11:11" x14ac:dyDescent="0.15">
      <c r="K353" s="54"/>
    </row>
    <row r="354" spans="11:11" x14ac:dyDescent="0.15">
      <c r="K354" s="54"/>
    </row>
    <row r="355" spans="11:11" x14ac:dyDescent="0.15">
      <c r="K355" s="54"/>
    </row>
    <row r="356" spans="11:11" x14ac:dyDescent="0.15">
      <c r="K356" s="54"/>
    </row>
    <row r="357" spans="11:11" x14ac:dyDescent="0.15">
      <c r="K357" s="54"/>
    </row>
    <row r="358" spans="11:11" x14ac:dyDescent="0.15">
      <c r="K358" s="54"/>
    </row>
    <row r="359" spans="11:11" x14ac:dyDescent="0.15">
      <c r="K359" s="54"/>
    </row>
    <row r="360" spans="11:11" x14ac:dyDescent="0.15">
      <c r="K360" s="54"/>
    </row>
    <row r="361" spans="11:11" x14ac:dyDescent="0.15">
      <c r="K361" s="54"/>
    </row>
    <row r="362" spans="11:11" x14ac:dyDescent="0.15">
      <c r="K362" s="54"/>
    </row>
    <row r="363" spans="11:11" x14ac:dyDescent="0.15">
      <c r="K363" s="54"/>
    </row>
    <row r="364" spans="11:11" x14ac:dyDescent="0.15">
      <c r="K364" s="54"/>
    </row>
    <row r="365" spans="11:11" x14ac:dyDescent="0.15">
      <c r="K365" s="54"/>
    </row>
    <row r="366" spans="11:11" x14ac:dyDescent="0.15">
      <c r="K366" s="54"/>
    </row>
    <row r="367" spans="11:11" x14ac:dyDescent="0.15">
      <c r="K367" s="54"/>
    </row>
    <row r="368" spans="11:11" x14ac:dyDescent="0.15">
      <c r="K368" s="54"/>
    </row>
    <row r="369" spans="11:11" x14ac:dyDescent="0.15">
      <c r="K369" s="54"/>
    </row>
    <row r="370" spans="11:11" x14ac:dyDescent="0.15">
      <c r="K370" s="54"/>
    </row>
    <row r="371" spans="11:11" x14ac:dyDescent="0.15">
      <c r="K371" s="54"/>
    </row>
    <row r="372" spans="11:11" x14ac:dyDescent="0.15">
      <c r="K372" s="54"/>
    </row>
    <row r="373" spans="11:11" x14ac:dyDescent="0.15">
      <c r="K373" s="54"/>
    </row>
    <row r="374" spans="11:11" x14ac:dyDescent="0.15">
      <c r="K374" s="54"/>
    </row>
    <row r="375" spans="11:11" x14ac:dyDescent="0.15">
      <c r="K375" s="54"/>
    </row>
    <row r="376" spans="11:11" x14ac:dyDescent="0.15">
      <c r="K376" s="54"/>
    </row>
    <row r="377" spans="11:11" x14ac:dyDescent="0.15">
      <c r="K377" s="54"/>
    </row>
    <row r="378" spans="11:11" x14ac:dyDescent="0.15">
      <c r="K378" s="54"/>
    </row>
    <row r="379" spans="11:11" x14ac:dyDescent="0.15">
      <c r="K379" s="54"/>
    </row>
    <row r="380" spans="11:11" x14ac:dyDescent="0.15">
      <c r="K380" s="54"/>
    </row>
    <row r="381" spans="11:11" x14ac:dyDescent="0.15">
      <c r="K381" s="54"/>
    </row>
    <row r="382" spans="11:11" x14ac:dyDescent="0.15">
      <c r="K382" s="54"/>
    </row>
    <row r="383" spans="11:11" x14ac:dyDescent="0.15">
      <c r="K383" s="54"/>
    </row>
    <row r="384" spans="11:11" x14ac:dyDescent="0.15">
      <c r="K384" s="54"/>
    </row>
    <row r="385" spans="11:11" x14ac:dyDescent="0.15">
      <c r="K385" s="54"/>
    </row>
    <row r="386" spans="11:11" x14ac:dyDescent="0.15">
      <c r="K386" s="54"/>
    </row>
    <row r="387" spans="11:11" x14ac:dyDescent="0.15">
      <c r="K387" s="54"/>
    </row>
    <row r="388" spans="11:11" x14ac:dyDescent="0.15">
      <c r="K388" s="54"/>
    </row>
    <row r="389" spans="11:11" x14ac:dyDescent="0.15">
      <c r="K389" s="54"/>
    </row>
    <row r="390" spans="11:11" x14ac:dyDescent="0.15">
      <c r="K390" s="54"/>
    </row>
    <row r="391" spans="11:11" x14ac:dyDescent="0.15">
      <c r="K391" s="54"/>
    </row>
    <row r="392" spans="11:11" x14ac:dyDescent="0.15">
      <c r="K392" s="54"/>
    </row>
    <row r="393" spans="11:11" x14ac:dyDescent="0.15">
      <c r="K393" s="54"/>
    </row>
    <row r="394" spans="11:11" x14ac:dyDescent="0.15">
      <c r="K394" s="54"/>
    </row>
    <row r="395" spans="11:11" x14ac:dyDescent="0.15">
      <c r="K395" s="54"/>
    </row>
    <row r="396" spans="11:11" x14ac:dyDescent="0.15">
      <c r="K396" s="54"/>
    </row>
    <row r="397" spans="11:11" x14ac:dyDescent="0.15">
      <c r="K397" s="54"/>
    </row>
    <row r="398" spans="11:11" x14ac:dyDescent="0.15">
      <c r="K398" s="54"/>
    </row>
    <row r="399" spans="11:11" x14ac:dyDescent="0.15">
      <c r="K399" s="54"/>
    </row>
    <row r="400" spans="11:11" x14ac:dyDescent="0.15">
      <c r="K400" s="54"/>
    </row>
    <row r="401" spans="11:11" x14ac:dyDescent="0.15">
      <c r="K401" s="54"/>
    </row>
    <row r="402" spans="11:11" x14ac:dyDescent="0.15">
      <c r="K402" s="54"/>
    </row>
    <row r="403" spans="11:11" x14ac:dyDescent="0.15">
      <c r="K403" s="54"/>
    </row>
    <row r="404" spans="11:11" x14ac:dyDescent="0.15">
      <c r="K404" s="54"/>
    </row>
    <row r="405" spans="11:11" x14ac:dyDescent="0.15">
      <c r="K405" s="54"/>
    </row>
    <row r="406" spans="11:11" x14ac:dyDescent="0.15">
      <c r="K406" s="54"/>
    </row>
    <row r="407" spans="11:11" x14ac:dyDescent="0.15">
      <c r="K407" s="54"/>
    </row>
    <row r="408" spans="11:11" x14ac:dyDescent="0.15">
      <c r="K408" s="54"/>
    </row>
    <row r="409" spans="11:11" x14ac:dyDescent="0.15">
      <c r="K409" s="54"/>
    </row>
    <row r="410" spans="11:11" x14ac:dyDescent="0.15">
      <c r="K410" s="54"/>
    </row>
    <row r="411" spans="11:11" x14ac:dyDescent="0.15">
      <c r="K411" s="54"/>
    </row>
    <row r="412" spans="11:11" x14ac:dyDescent="0.15">
      <c r="K412" s="54"/>
    </row>
    <row r="413" spans="11:11" x14ac:dyDescent="0.15">
      <c r="K413" s="54"/>
    </row>
    <row r="414" spans="11:11" x14ac:dyDescent="0.15">
      <c r="K414" s="54"/>
    </row>
    <row r="415" spans="11:11" x14ac:dyDescent="0.15">
      <c r="K415" s="54"/>
    </row>
    <row r="416" spans="11:11" x14ac:dyDescent="0.15">
      <c r="K416" s="54"/>
    </row>
    <row r="417" spans="11:11" x14ac:dyDescent="0.15">
      <c r="K417" s="54"/>
    </row>
    <row r="418" spans="11:11" x14ac:dyDescent="0.15">
      <c r="K418" s="54"/>
    </row>
    <row r="419" spans="11:11" x14ac:dyDescent="0.15">
      <c r="K419" s="54"/>
    </row>
    <row r="420" spans="11:11" x14ac:dyDescent="0.15">
      <c r="K420" s="54"/>
    </row>
    <row r="421" spans="11:11" x14ac:dyDescent="0.15">
      <c r="K421" s="54"/>
    </row>
    <row r="422" spans="11:11" x14ac:dyDescent="0.15">
      <c r="K422" s="54"/>
    </row>
    <row r="423" spans="11:11" x14ac:dyDescent="0.15">
      <c r="K423" s="54"/>
    </row>
    <row r="424" spans="11:11" x14ac:dyDescent="0.15">
      <c r="K424" s="54"/>
    </row>
    <row r="425" spans="11:11" x14ac:dyDescent="0.15">
      <c r="K425" s="54"/>
    </row>
    <row r="426" spans="11:11" x14ac:dyDescent="0.15">
      <c r="K426" s="54"/>
    </row>
    <row r="427" spans="11:11" x14ac:dyDescent="0.15">
      <c r="K427" s="54"/>
    </row>
    <row r="428" spans="11:11" x14ac:dyDescent="0.15">
      <c r="K428" s="54"/>
    </row>
    <row r="429" spans="11:11" x14ac:dyDescent="0.15">
      <c r="K429" s="54"/>
    </row>
    <row r="430" spans="11:11" x14ac:dyDescent="0.15">
      <c r="K430" s="54"/>
    </row>
    <row r="431" spans="11:11" x14ac:dyDescent="0.15">
      <c r="K431" s="54"/>
    </row>
    <row r="432" spans="11:11" x14ac:dyDescent="0.15">
      <c r="K432" s="54"/>
    </row>
    <row r="433" spans="11:11" x14ac:dyDescent="0.15">
      <c r="K433" s="54"/>
    </row>
    <row r="434" spans="11:11" x14ac:dyDescent="0.15">
      <c r="K434" s="54"/>
    </row>
    <row r="435" spans="11:11" x14ac:dyDescent="0.15">
      <c r="K435" s="54"/>
    </row>
    <row r="436" spans="11:11" x14ac:dyDescent="0.15">
      <c r="K436" s="54"/>
    </row>
    <row r="437" spans="11:11" x14ac:dyDescent="0.15">
      <c r="K437" s="54"/>
    </row>
    <row r="438" spans="11:11" x14ac:dyDescent="0.15">
      <c r="K438" s="54"/>
    </row>
    <row r="439" spans="11:11" x14ac:dyDescent="0.15">
      <c r="K439" s="54"/>
    </row>
    <row r="440" spans="11:11" x14ac:dyDescent="0.15">
      <c r="K440" s="54"/>
    </row>
    <row r="441" spans="11:11" x14ac:dyDescent="0.15">
      <c r="K441" s="54"/>
    </row>
    <row r="442" spans="11:11" x14ac:dyDescent="0.15">
      <c r="K442" s="54"/>
    </row>
    <row r="443" spans="11:11" x14ac:dyDescent="0.15">
      <c r="K443" s="54"/>
    </row>
    <row r="444" spans="11:11" x14ac:dyDescent="0.15">
      <c r="K444" s="54"/>
    </row>
    <row r="445" spans="11:11" x14ac:dyDescent="0.15">
      <c r="K445" s="54"/>
    </row>
    <row r="446" spans="11:11" x14ac:dyDescent="0.15">
      <c r="K446" s="54"/>
    </row>
    <row r="447" spans="11:11" x14ac:dyDescent="0.15">
      <c r="K447" s="54"/>
    </row>
    <row r="448" spans="11:11" x14ac:dyDescent="0.15">
      <c r="K448" s="54"/>
    </row>
    <row r="449" spans="11:11" x14ac:dyDescent="0.15">
      <c r="K449" s="54"/>
    </row>
    <row r="450" spans="11:11" x14ac:dyDescent="0.15">
      <c r="K450" s="54"/>
    </row>
    <row r="451" spans="11:11" x14ac:dyDescent="0.15">
      <c r="K451" s="54"/>
    </row>
    <row r="452" spans="11:11" x14ac:dyDescent="0.15">
      <c r="K452" s="54"/>
    </row>
    <row r="453" spans="11:11" x14ac:dyDescent="0.15">
      <c r="K453" s="54"/>
    </row>
    <row r="454" spans="11:11" x14ac:dyDescent="0.15">
      <c r="K454" s="54"/>
    </row>
    <row r="455" spans="11:11" x14ac:dyDescent="0.15">
      <c r="K455" s="54"/>
    </row>
    <row r="456" spans="11:11" x14ac:dyDescent="0.15">
      <c r="K456" s="54"/>
    </row>
    <row r="457" spans="11:11" x14ac:dyDescent="0.15">
      <c r="K457" s="54"/>
    </row>
    <row r="458" spans="11:11" x14ac:dyDescent="0.15">
      <c r="K458" s="54"/>
    </row>
    <row r="459" spans="11:11" x14ac:dyDescent="0.15">
      <c r="K459" s="54"/>
    </row>
    <row r="460" spans="11:11" x14ac:dyDescent="0.15">
      <c r="K460" s="54"/>
    </row>
    <row r="461" spans="11:11" x14ac:dyDescent="0.15">
      <c r="K461" s="54"/>
    </row>
    <row r="462" spans="11:11" x14ac:dyDescent="0.15">
      <c r="K462" s="54"/>
    </row>
    <row r="463" spans="11:11" x14ac:dyDescent="0.15">
      <c r="K463" s="54"/>
    </row>
    <row r="464" spans="11:11" x14ac:dyDescent="0.15">
      <c r="K464" s="54"/>
    </row>
    <row r="465" spans="11:11" x14ac:dyDescent="0.15">
      <c r="K465" s="54"/>
    </row>
    <row r="466" spans="11:11" x14ac:dyDescent="0.15">
      <c r="K466" s="54"/>
    </row>
    <row r="467" spans="11:11" x14ac:dyDescent="0.15">
      <c r="K467" s="54"/>
    </row>
    <row r="468" spans="11:11" x14ac:dyDescent="0.15">
      <c r="K468" s="54"/>
    </row>
    <row r="469" spans="11:11" x14ac:dyDescent="0.15">
      <c r="K469" s="54"/>
    </row>
    <row r="470" spans="11:11" x14ac:dyDescent="0.15">
      <c r="K470" s="54"/>
    </row>
    <row r="471" spans="11:11" x14ac:dyDescent="0.15">
      <c r="K471" s="54"/>
    </row>
    <row r="472" spans="11:11" x14ac:dyDescent="0.15">
      <c r="K472" s="54"/>
    </row>
    <row r="473" spans="11:11" x14ac:dyDescent="0.15">
      <c r="K473" s="54"/>
    </row>
    <row r="474" spans="11:11" x14ac:dyDescent="0.15">
      <c r="K474" s="54"/>
    </row>
    <row r="475" spans="11:11" x14ac:dyDescent="0.15">
      <c r="K475" s="54"/>
    </row>
    <row r="476" spans="11:11" x14ac:dyDescent="0.15">
      <c r="K476" s="54"/>
    </row>
    <row r="477" spans="11:11" x14ac:dyDescent="0.15">
      <c r="K477" s="54"/>
    </row>
    <row r="478" spans="11:11" x14ac:dyDescent="0.15">
      <c r="K478" s="54"/>
    </row>
    <row r="479" spans="11:11" x14ac:dyDescent="0.15">
      <c r="K479" s="54"/>
    </row>
    <row r="480" spans="11:11" x14ac:dyDescent="0.15">
      <c r="K480" s="54"/>
    </row>
    <row r="481" spans="11:11" x14ac:dyDescent="0.15">
      <c r="K481" s="54"/>
    </row>
    <row r="482" spans="11:11" x14ac:dyDescent="0.15">
      <c r="K482" s="54"/>
    </row>
    <row r="483" spans="11:11" x14ac:dyDescent="0.15">
      <c r="K483" s="54"/>
    </row>
    <row r="484" spans="11:11" x14ac:dyDescent="0.15">
      <c r="K484" s="54"/>
    </row>
    <row r="485" spans="11:11" x14ac:dyDescent="0.15">
      <c r="K485" s="54"/>
    </row>
    <row r="486" spans="11:11" x14ac:dyDescent="0.15">
      <c r="K486" s="54"/>
    </row>
    <row r="487" spans="11:11" x14ac:dyDescent="0.15">
      <c r="K487" s="54"/>
    </row>
    <row r="488" spans="11:11" x14ac:dyDescent="0.15">
      <c r="K488" s="54"/>
    </row>
    <row r="489" spans="11:11" x14ac:dyDescent="0.15">
      <c r="K489" s="54"/>
    </row>
    <row r="490" spans="11:11" x14ac:dyDescent="0.15">
      <c r="K490" s="54"/>
    </row>
    <row r="491" spans="11:11" x14ac:dyDescent="0.15">
      <c r="K491" s="54"/>
    </row>
    <row r="492" spans="11:11" x14ac:dyDescent="0.15">
      <c r="K492" s="54"/>
    </row>
    <row r="493" spans="11:11" x14ac:dyDescent="0.15">
      <c r="K493" s="54"/>
    </row>
    <row r="494" spans="11:11" x14ac:dyDescent="0.15">
      <c r="K494" s="54"/>
    </row>
    <row r="495" spans="11:11" x14ac:dyDescent="0.15">
      <c r="K495" s="54"/>
    </row>
    <row r="496" spans="11:11" x14ac:dyDescent="0.15">
      <c r="K496" s="54"/>
    </row>
    <row r="497" spans="11:11" x14ac:dyDescent="0.15">
      <c r="K497" s="54"/>
    </row>
    <row r="498" spans="11:11" x14ac:dyDescent="0.15">
      <c r="K498" s="54"/>
    </row>
    <row r="499" spans="11:11" x14ac:dyDescent="0.15">
      <c r="K499" s="54"/>
    </row>
    <row r="500" spans="11:11" x14ac:dyDescent="0.15">
      <c r="K500" s="54"/>
    </row>
    <row r="501" spans="11:11" x14ac:dyDescent="0.15">
      <c r="K501" s="54"/>
    </row>
    <row r="502" spans="11:11" x14ac:dyDescent="0.15">
      <c r="K502" s="54"/>
    </row>
    <row r="503" spans="11:11" x14ac:dyDescent="0.15">
      <c r="K503" s="54"/>
    </row>
    <row r="504" spans="11:11" x14ac:dyDescent="0.15">
      <c r="K504" s="54"/>
    </row>
    <row r="505" spans="11:11" x14ac:dyDescent="0.15">
      <c r="K505" s="54"/>
    </row>
    <row r="506" spans="11:11" x14ac:dyDescent="0.15">
      <c r="K506" s="54"/>
    </row>
    <row r="507" spans="11:11" x14ac:dyDescent="0.15">
      <c r="K507" s="54"/>
    </row>
    <row r="508" spans="11:11" x14ac:dyDescent="0.15">
      <c r="K508" s="54"/>
    </row>
    <row r="509" spans="11:11" x14ac:dyDescent="0.15">
      <c r="K509" s="54"/>
    </row>
    <row r="510" spans="11:11" x14ac:dyDescent="0.15">
      <c r="K510" s="54"/>
    </row>
    <row r="511" spans="11:11" x14ac:dyDescent="0.15">
      <c r="K511" s="54"/>
    </row>
    <row r="512" spans="11:11" x14ac:dyDescent="0.15">
      <c r="K512" s="54"/>
    </row>
    <row r="513" spans="11:11" x14ac:dyDescent="0.15">
      <c r="K513" s="54"/>
    </row>
    <row r="514" spans="11:11" x14ac:dyDescent="0.15">
      <c r="K514" s="54"/>
    </row>
    <row r="515" spans="11:11" x14ac:dyDescent="0.15">
      <c r="K515" s="54"/>
    </row>
    <row r="516" spans="11:11" x14ac:dyDescent="0.15">
      <c r="K516" s="54"/>
    </row>
    <row r="517" spans="11:11" x14ac:dyDescent="0.15">
      <c r="K517" s="54"/>
    </row>
    <row r="518" spans="11:11" x14ac:dyDescent="0.15">
      <c r="K518" s="54"/>
    </row>
    <row r="519" spans="11:11" x14ac:dyDescent="0.15">
      <c r="K519" s="54"/>
    </row>
    <row r="520" spans="11:11" x14ac:dyDescent="0.15">
      <c r="K520" s="54"/>
    </row>
    <row r="521" spans="11:11" x14ac:dyDescent="0.15">
      <c r="K521" s="54"/>
    </row>
    <row r="522" spans="11:11" x14ac:dyDescent="0.15">
      <c r="K522" s="54"/>
    </row>
    <row r="523" spans="11:11" x14ac:dyDescent="0.15">
      <c r="K523" s="54"/>
    </row>
    <row r="524" spans="11:11" x14ac:dyDescent="0.15">
      <c r="K524" s="54"/>
    </row>
    <row r="525" spans="11:11" x14ac:dyDescent="0.15">
      <c r="K525" s="54"/>
    </row>
    <row r="526" spans="11:11" x14ac:dyDescent="0.15">
      <c r="K526" s="54"/>
    </row>
    <row r="527" spans="11:11" x14ac:dyDescent="0.15">
      <c r="K527" s="54"/>
    </row>
    <row r="528" spans="11:11" x14ac:dyDescent="0.15">
      <c r="K528" s="54"/>
    </row>
    <row r="529" spans="11:11" x14ac:dyDescent="0.15">
      <c r="K529" s="54"/>
    </row>
    <row r="530" spans="11:11" x14ac:dyDescent="0.15">
      <c r="K530" s="54"/>
    </row>
    <row r="531" spans="11:11" x14ac:dyDescent="0.15">
      <c r="K531" s="54"/>
    </row>
    <row r="532" spans="11:11" x14ac:dyDescent="0.15">
      <c r="K532" s="54"/>
    </row>
    <row r="533" spans="11:11" x14ac:dyDescent="0.15">
      <c r="K533" s="54"/>
    </row>
    <row r="534" spans="11:11" x14ac:dyDescent="0.15">
      <c r="K534" s="54"/>
    </row>
    <row r="535" spans="11:11" x14ac:dyDescent="0.15">
      <c r="K535" s="54"/>
    </row>
    <row r="536" spans="11:11" x14ac:dyDescent="0.15">
      <c r="K536" s="54"/>
    </row>
    <row r="537" spans="11:11" x14ac:dyDescent="0.15">
      <c r="K537" s="54"/>
    </row>
    <row r="538" spans="11:11" x14ac:dyDescent="0.15">
      <c r="K538" s="54"/>
    </row>
    <row r="539" spans="11:11" x14ac:dyDescent="0.15">
      <c r="K539" s="54"/>
    </row>
    <row r="540" spans="11:11" x14ac:dyDescent="0.15">
      <c r="K540" s="54"/>
    </row>
    <row r="541" spans="11:11" x14ac:dyDescent="0.15">
      <c r="K541" s="54"/>
    </row>
    <row r="542" spans="11:11" x14ac:dyDescent="0.15">
      <c r="K542" s="54"/>
    </row>
    <row r="543" spans="11:11" x14ac:dyDescent="0.15">
      <c r="K543" s="54"/>
    </row>
    <row r="544" spans="11:11" x14ac:dyDescent="0.15">
      <c r="K544" s="54"/>
    </row>
    <row r="545" spans="11:11" x14ac:dyDescent="0.15">
      <c r="K545" s="54"/>
    </row>
    <row r="546" spans="11:11" x14ac:dyDescent="0.15">
      <c r="K546" s="54"/>
    </row>
    <row r="547" spans="11:11" x14ac:dyDescent="0.15">
      <c r="K547" s="54"/>
    </row>
    <row r="548" spans="11:11" x14ac:dyDescent="0.15">
      <c r="K548" s="54"/>
    </row>
    <row r="549" spans="11:11" x14ac:dyDescent="0.15">
      <c r="K549" s="54"/>
    </row>
    <row r="550" spans="11:11" x14ac:dyDescent="0.15">
      <c r="K550" s="54"/>
    </row>
    <row r="551" spans="11:11" x14ac:dyDescent="0.15">
      <c r="K551" s="54"/>
    </row>
    <row r="552" spans="11:11" x14ac:dyDescent="0.15">
      <c r="K552" s="54"/>
    </row>
    <row r="553" spans="11:11" x14ac:dyDescent="0.15">
      <c r="K553" s="54"/>
    </row>
    <row r="554" spans="11:11" x14ac:dyDescent="0.15">
      <c r="K554" s="54"/>
    </row>
    <row r="555" spans="11:11" x14ac:dyDescent="0.15">
      <c r="K555" s="54"/>
    </row>
    <row r="556" spans="11:11" x14ac:dyDescent="0.15">
      <c r="K556" s="54"/>
    </row>
    <row r="557" spans="11:11" x14ac:dyDescent="0.15">
      <c r="K557" s="54"/>
    </row>
    <row r="558" spans="11:11" x14ac:dyDescent="0.15">
      <c r="K558" s="54"/>
    </row>
    <row r="559" spans="11:11" x14ac:dyDescent="0.15">
      <c r="K559" s="54"/>
    </row>
    <row r="560" spans="11:11" x14ac:dyDescent="0.15">
      <c r="K560" s="54"/>
    </row>
    <row r="561" spans="11:11" x14ac:dyDescent="0.15">
      <c r="K561" s="54"/>
    </row>
    <row r="562" spans="11:11" x14ac:dyDescent="0.15">
      <c r="K562" s="54"/>
    </row>
    <row r="563" spans="11:11" x14ac:dyDescent="0.15">
      <c r="K563" s="54"/>
    </row>
    <row r="564" spans="11:11" x14ac:dyDescent="0.15">
      <c r="K564" s="54"/>
    </row>
    <row r="565" spans="11:11" x14ac:dyDescent="0.15">
      <c r="K565" s="54"/>
    </row>
    <row r="566" spans="11:11" x14ac:dyDescent="0.15">
      <c r="K566" s="54"/>
    </row>
    <row r="567" spans="11:11" x14ac:dyDescent="0.15">
      <c r="K567" s="54"/>
    </row>
    <row r="568" spans="11:11" x14ac:dyDescent="0.15">
      <c r="K568" s="54"/>
    </row>
    <row r="569" spans="11:11" x14ac:dyDescent="0.15">
      <c r="K569" s="54"/>
    </row>
    <row r="570" spans="11:11" x14ac:dyDescent="0.15">
      <c r="K570" s="54"/>
    </row>
    <row r="571" spans="11:11" x14ac:dyDescent="0.15">
      <c r="K571" s="54"/>
    </row>
    <row r="572" spans="11:11" x14ac:dyDescent="0.15">
      <c r="K572" s="54"/>
    </row>
    <row r="573" spans="11:11" x14ac:dyDescent="0.15">
      <c r="K573" s="54"/>
    </row>
    <row r="574" spans="11:11" x14ac:dyDescent="0.15">
      <c r="K574" s="54"/>
    </row>
    <row r="575" spans="11:11" x14ac:dyDescent="0.15">
      <c r="K575" s="54"/>
    </row>
    <row r="576" spans="11:11" x14ac:dyDescent="0.15">
      <c r="K576" s="54"/>
    </row>
    <row r="577" spans="11:11" x14ac:dyDescent="0.15">
      <c r="K577" s="54"/>
    </row>
    <row r="578" spans="11:11" x14ac:dyDescent="0.15">
      <c r="K578" s="54"/>
    </row>
    <row r="579" spans="11:11" x14ac:dyDescent="0.15">
      <c r="K579" s="54"/>
    </row>
    <row r="580" spans="11:11" x14ac:dyDescent="0.15">
      <c r="K580" s="54"/>
    </row>
    <row r="581" spans="11:11" x14ac:dyDescent="0.15">
      <c r="K581" s="54"/>
    </row>
    <row r="582" spans="11:11" x14ac:dyDescent="0.15">
      <c r="K582" s="54"/>
    </row>
    <row r="583" spans="11:11" x14ac:dyDescent="0.15">
      <c r="K583" s="54"/>
    </row>
    <row r="584" spans="11:11" x14ac:dyDescent="0.15">
      <c r="K584" s="54"/>
    </row>
    <row r="585" spans="11:11" x14ac:dyDescent="0.15">
      <c r="K585" s="54"/>
    </row>
    <row r="586" spans="11:11" x14ac:dyDescent="0.15">
      <c r="K586" s="54"/>
    </row>
    <row r="587" spans="11:11" x14ac:dyDescent="0.15">
      <c r="K587" s="54"/>
    </row>
    <row r="588" spans="11:11" x14ac:dyDescent="0.15">
      <c r="K588" s="54"/>
    </row>
    <row r="589" spans="11:11" x14ac:dyDescent="0.15">
      <c r="K589" s="54"/>
    </row>
    <row r="590" spans="11:11" x14ac:dyDescent="0.15">
      <c r="K590" s="54"/>
    </row>
    <row r="591" spans="11:11" x14ac:dyDescent="0.15">
      <c r="K591" s="54"/>
    </row>
    <row r="592" spans="11:11" x14ac:dyDescent="0.15">
      <c r="K592" s="54"/>
    </row>
    <row r="593" spans="11:11" x14ac:dyDescent="0.15">
      <c r="K593" s="54"/>
    </row>
    <row r="594" spans="11:11" x14ac:dyDescent="0.15">
      <c r="K594" s="54"/>
    </row>
    <row r="595" spans="11:11" x14ac:dyDescent="0.15">
      <c r="K595" s="54"/>
    </row>
    <row r="596" spans="11:11" x14ac:dyDescent="0.15">
      <c r="K596" s="54"/>
    </row>
    <row r="597" spans="11:11" x14ac:dyDescent="0.15">
      <c r="K597" s="54"/>
    </row>
    <row r="598" spans="11:11" x14ac:dyDescent="0.15">
      <c r="K598" s="54"/>
    </row>
    <row r="599" spans="11:11" x14ac:dyDescent="0.15">
      <c r="K599" s="54"/>
    </row>
    <row r="600" spans="11:11" x14ac:dyDescent="0.15">
      <c r="K600" s="54"/>
    </row>
    <row r="601" spans="11:11" x14ac:dyDescent="0.15">
      <c r="K601" s="54"/>
    </row>
    <row r="602" spans="11:11" x14ac:dyDescent="0.15">
      <c r="K602" s="54"/>
    </row>
    <row r="603" spans="11:11" x14ac:dyDescent="0.15">
      <c r="K603" s="54"/>
    </row>
    <row r="604" spans="11:11" x14ac:dyDescent="0.15">
      <c r="K604" s="54"/>
    </row>
    <row r="605" spans="11:11" x14ac:dyDescent="0.15">
      <c r="K605" s="54"/>
    </row>
    <row r="606" spans="11:11" x14ac:dyDescent="0.15">
      <c r="K606" s="54"/>
    </row>
    <row r="607" spans="11:11" x14ac:dyDescent="0.15">
      <c r="K607" s="54"/>
    </row>
    <row r="608" spans="11:11" x14ac:dyDescent="0.15">
      <c r="K608" s="54"/>
    </row>
    <row r="609" spans="11:11" x14ac:dyDescent="0.15">
      <c r="K609" s="54"/>
    </row>
    <row r="610" spans="11:11" x14ac:dyDescent="0.15">
      <c r="K610" s="54"/>
    </row>
    <row r="611" spans="11:11" x14ac:dyDescent="0.15">
      <c r="K611" s="54"/>
    </row>
    <row r="612" spans="11:11" x14ac:dyDescent="0.15">
      <c r="K612" s="54"/>
    </row>
    <row r="613" spans="11:11" x14ac:dyDescent="0.15">
      <c r="K613" s="54"/>
    </row>
    <row r="614" spans="11:11" x14ac:dyDescent="0.15">
      <c r="K614" s="54"/>
    </row>
    <row r="615" spans="11:11" x14ac:dyDescent="0.15">
      <c r="K615" s="54"/>
    </row>
    <row r="616" spans="11:11" x14ac:dyDescent="0.15">
      <c r="K616" s="54"/>
    </row>
    <row r="617" spans="11:11" x14ac:dyDescent="0.15">
      <c r="K617" s="54"/>
    </row>
    <row r="618" spans="11:11" x14ac:dyDescent="0.15">
      <c r="K618" s="54"/>
    </row>
    <row r="619" spans="11:11" x14ac:dyDescent="0.15">
      <c r="K619" s="54"/>
    </row>
    <row r="620" spans="11:11" x14ac:dyDescent="0.15">
      <c r="K620" s="54"/>
    </row>
    <row r="621" spans="11:11" x14ac:dyDescent="0.15">
      <c r="K621" s="54"/>
    </row>
    <row r="622" spans="11:11" x14ac:dyDescent="0.15">
      <c r="K622" s="54"/>
    </row>
    <row r="623" spans="11:11" x14ac:dyDescent="0.15">
      <c r="K623" s="54"/>
    </row>
    <row r="624" spans="11:11" x14ac:dyDescent="0.15">
      <c r="K624" s="54"/>
    </row>
    <row r="625" spans="11:11" x14ac:dyDescent="0.15">
      <c r="K625" s="54"/>
    </row>
    <row r="626" spans="11:11" x14ac:dyDescent="0.15">
      <c r="K626" s="54"/>
    </row>
    <row r="627" spans="11:11" x14ac:dyDescent="0.15">
      <c r="K627" s="54"/>
    </row>
    <row r="628" spans="11:11" x14ac:dyDescent="0.15">
      <c r="K628" s="54"/>
    </row>
    <row r="629" spans="11:11" x14ac:dyDescent="0.15">
      <c r="K629" s="54"/>
    </row>
    <row r="630" spans="11:11" x14ac:dyDescent="0.15">
      <c r="K630" s="54"/>
    </row>
    <row r="631" spans="11:11" x14ac:dyDescent="0.15">
      <c r="K631" s="54"/>
    </row>
    <row r="632" spans="11:11" x14ac:dyDescent="0.15">
      <c r="K632" s="54"/>
    </row>
    <row r="633" spans="11:11" x14ac:dyDescent="0.15">
      <c r="K633" s="54"/>
    </row>
    <row r="634" spans="11:11" x14ac:dyDescent="0.15">
      <c r="K634" s="54"/>
    </row>
    <row r="635" spans="11:11" x14ac:dyDescent="0.15">
      <c r="K635" s="54"/>
    </row>
    <row r="636" spans="11:11" x14ac:dyDescent="0.15">
      <c r="K636" s="54"/>
    </row>
    <row r="637" spans="11:11" x14ac:dyDescent="0.15">
      <c r="K637" s="54"/>
    </row>
    <row r="638" spans="11:11" x14ac:dyDescent="0.15">
      <c r="K638" s="54"/>
    </row>
    <row r="639" spans="11:11" x14ac:dyDescent="0.15">
      <c r="K639" s="54"/>
    </row>
    <row r="640" spans="11:11" x14ac:dyDescent="0.15">
      <c r="K640" s="54"/>
    </row>
    <row r="641" spans="11:11" x14ac:dyDescent="0.15">
      <c r="K641" s="54"/>
    </row>
    <row r="642" spans="11:11" x14ac:dyDescent="0.15">
      <c r="K642" s="54"/>
    </row>
    <row r="643" spans="11:11" x14ac:dyDescent="0.15">
      <c r="K643" s="54"/>
    </row>
    <row r="644" spans="11:11" x14ac:dyDescent="0.15">
      <c r="K644" s="54"/>
    </row>
    <row r="645" spans="11:11" x14ac:dyDescent="0.15">
      <c r="K645" s="54"/>
    </row>
    <row r="646" spans="11:11" x14ac:dyDescent="0.15">
      <c r="K646" s="54"/>
    </row>
    <row r="647" spans="11:11" x14ac:dyDescent="0.15">
      <c r="K647" s="54"/>
    </row>
    <row r="648" spans="11:11" x14ac:dyDescent="0.15">
      <c r="K648" s="54"/>
    </row>
    <row r="649" spans="11:11" x14ac:dyDescent="0.15">
      <c r="K649" s="54"/>
    </row>
    <row r="650" spans="11:11" x14ac:dyDescent="0.15">
      <c r="K650" s="54"/>
    </row>
    <row r="651" spans="11:11" x14ac:dyDescent="0.15">
      <c r="K651" s="54"/>
    </row>
    <row r="652" spans="11:11" x14ac:dyDescent="0.15">
      <c r="K652" s="54"/>
    </row>
    <row r="653" spans="11:11" x14ac:dyDescent="0.15">
      <c r="K653" s="54"/>
    </row>
    <row r="654" spans="11:11" x14ac:dyDescent="0.15">
      <c r="K654" s="54"/>
    </row>
    <row r="655" spans="11:11" x14ac:dyDescent="0.15">
      <c r="K655" s="54"/>
    </row>
    <row r="656" spans="11:11" x14ac:dyDescent="0.15">
      <c r="K656" s="54"/>
    </row>
    <row r="657" spans="11:11" x14ac:dyDescent="0.15">
      <c r="K657" s="54"/>
    </row>
    <row r="658" spans="11:11" x14ac:dyDescent="0.15">
      <c r="K658" s="54"/>
    </row>
    <row r="659" spans="11:11" x14ac:dyDescent="0.15">
      <c r="K659" s="54"/>
    </row>
    <row r="660" spans="11:11" x14ac:dyDescent="0.15">
      <c r="K660" s="54"/>
    </row>
    <row r="661" spans="11:11" x14ac:dyDescent="0.15">
      <c r="K661" s="54"/>
    </row>
    <row r="662" spans="11:11" x14ac:dyDescent="0.15">
      <c r="K662" s="54"/>
    </row>
    <row r="663" spans="11:11" x14ac:dyDescent="0.15">
      <c r="K663" s="54"/>
    </row>
    <row r="664" spans="11:11" x14ac:dyDescent="0.15">
      <c r="K664" s="54"/>
    </row>
    <row r="665" spans="11:11" x14ac:dyDescent="0.15">
      <c r="K665" s="54"/>
    </row>
    <row r="666" spans="11:11" x14ac:dyDescent="0.15">
      <c r="K666" s="54"/>
    </row>
    <row r="667" spans="11:11" x14ac:dyDescent="0.15">
      <c r="K667" s="54"/>
    </row>
    <row r="668" spans="11:11" x14ac:dyDescent="0.15">
      <c r="K668" s="54"/>
    </row>
    <row r="669" spans="11:11" x14ac:dyDescent="0.15">
      <c r="K669" s="54"/>
    </row>
    <row r="670" spans="11:11" x14ac:dyDescent="0.15">
      <c r="K670" s="54"/>
    </row>
    <row r="671" spans="11:11" x14ac:dyDescent="0.15">
      <c r="K671" s="54"/>
    </row>
    <row r="672" spans="11:11" x14ac:dyDescent="0.15">
      <c r="K672" s="54"/>
    </row>
    <row r="673" spans="11:11" x14ac:dyDescent="0.15">
      <c r="K673" s="54"/>
    </row>
    <row r="674" spans="11:11" x14ac:dyDescent="0.15">
      <c r="K674" s="54"/>
    </row>
    <row r="675" spans="11:11" x14ac:dyDescent="0.15">
      <c r="K675" s="54"/>
    </row>
    <row r="676" spans="11:11" x14ac:dyDescent="0.15">
      <c r="K676" s="54"/>
    </row>
    <row r="677" spans="11:11" x14ac:dyDescent="0.15">
      <c r="K677" s="54"/>
    </row>
    <row r="678" spans="11:11" x14ac:dyDescent="0.15">
      <c r="K678" s="54"/>
    </row>
    <row r="679" spans="11:11" x14ac:dyDescent="0.15">
      <c r="K679" s="54"/>
    </row>
    <row r="680" spans="11:11" x14ac:dyDescent="0.15">
      <c r="K680" s="54"/>
    </row>
    <row r="681" spans="11:11" x14ac:dyDescent="0.15">
      <c r="K681" s="54"/>
    </row>
    <row r="682" spans="11:11" x14ac:dyDescent="0.15">
      <c r="K682" s="54"/>
    </row>
    <row r="683" spans="11:11" x14ac:dyDescent="0.15">
      <c r="K683" s="54"/>
    </row>
    <row r="684" spans="11:11" x14ac:dyDescent="0.15">
      <c r="K684" s="54"/>
    </row>
    <row r="685" spans="11:11" x14ac:dyDescent="0.15">
      <c r="K685" s="54"/>
    </row>
    <row r="686" spans="11:11" x14ac:dyDescent="0.15">
      <c r="K686" s="54"/>
    </row>
    <row r="687" spans="11:11" x14ac:dyDescent="0.15">
      <c r="K687" s="54"/>
    </row>
    <row r="688" spans="11:11" x14ac:dyDescent="0.15">
      <c r="K688" s="54"/>
    </row>
    <row r="689" spans="11:11" x14ac:dyDescent="0.15">
      <c r="K689" s="54"/>
    </row>
    <row r="690" spans="11:11" x14ac:dyDescent="0.15">
      <c r="K690" s="54"/>
    </row>
    <row r="691" spans="11:11" x14ac:dyDescent="0.15">
      <c r="K691" s="54"/>
    </row>
    <row r="692" spans="11:11" x14ac:dyDescent="0.15">
      <c r="K692" s="54"/>
    </row>
    <row r="693" spans="11:11" x14ac:dyDescent="0.15">
      <c r="K693" s="54"/>
    </row>
    <row r="694" spans="11:11" x14ac:dyDescent="0.15">
      <c r="K694" s="54"/>
    </row>
    <row r="695" spans="11:11" x14ac:dyDescent="0.15">
      <c r="K695" s="54"/>
    </row>
    <row r="696" spans="11:11" x14ac:dyDescent="0.15">
      <c r="K696" s="54"/>
    </row>
    <row r="697" spans="11:11" x14ac:dyDescent="0.15">
      <c r="K697" s="54"/>
    </row>
    <row r="698" spans="11:11" x14ac:dyDescent="0.15">
      <c r="K698" s="54"/>
    </row>
    <row r="699" spans="11:11" x14ac:dyDescent="0.15">
      <c r="K699" s="54"/>
    </row>
    <row r="700" spans="11:11" x14ac:dyDescent="0.15">
      <c r="K700" s="54"/>
    </row>
    <row r="701" spans="11:11" x14ac:dyDescent="0.15">
      <c r="K701" s="54"/>
    </row>
    <row r="702" spans="11:11" x14ac:dyDescent="0.15">
      <c r="K702" s="54"/>
    </row>
    <row r="703" spans="11:11" x14ac:dyDescent="0.15">
      <c r="K703" s="54"/>
    </row>
    <row r="704" spans="11:11" x14ac:dyDescent="0.15">
      <c r="K704" s="54"/>
    </row>
    <row r="705" spans="11:11" x14ac:dyDescent="0.15">
      <c r="K705" s="54"/>
    </row>
    <row r="706" spans="11:11" x14ac:dyDescent="0.15">
      <c r="K706" s="54"/>
    </row>
    <row r="707" spans="11:11" x14ac:dyDescent="0.15">
      <c r="K707" s="54"/>
    </row>
    <row r="708" spans="11:11" x14ac:dyDescent="0.15">
      <c r="K708" s="54"/>
    </row>
    <row r="709" spans="11:11" x14ac:dyDescent="0.15">
      <c r="K709" s="54"/>
    </row>
    <row r="710" spans="11:11" x14ac:dyDescent="0.15">
      <c r="K710" s="54"/>
    </row>
    <row r="711" spans="11:11" x14ac:dyDescent="0.15">
      <c r="K711" s="54"/>
    </row>
    <row r="712" spans="11:11" x14ac:dyDescent="0.15">
      <c r="K712" s="54"/>
    </row>
    <row r="713" spans="11:11" x14ac:dyDescent="0.15">
      <c r="K713" s="54"/>
    </row>
    <row r="714" spans="11:11" x14ac:dyDescent="0.15">
      <c r="K714" s="54"/>
    </row>
    <row r="715" spans="11:11" x14ac:dyDescent="0.15">
      <c r="K715" s="54"/>
    </row>
    <row r="716" spans="11:11" x14ac:dyDescent="0.15">
      <c r="K716" s="54"/>
    </row>
    <row r="717" spans="11:11" x14ac:dyDescent="0.15">
      <c r="K717" s="54"/>
    </row>
    <row r="718" spans="11:11" x14ac:dyDescent="0.15">
      <c r="K718" s="54"/>
    </row>
    <row r="719" spans="11:11" x14ac:dyDescent="0.15">
      <c r="K719" s="54"/>
    </row>
    <row r="720" spans="11:11" x14ac:dyDescent="0.15">
      <c r="K720" s="54"/>
    </row>
    <row r="721" spans="11:11" x14ac:dyDescent="0.15">
      <c r="K721" s="54"/>
    </row>
    <row r="722" spans="11:11" x14ac:dyDescent="0.15">
      <c r="K722" s="54"/>
    </row>
    <row r="723" spans="11:11" x14ac:dyDescent="0.15">
      <c r="K723" s="54"/>
    </row>
    <row r="724" spans="11:11" x14ac:dyDescent="0.15">
      <c r="K724" s="54"/>
    </row>
    <row r="725" spans="11:11" x14ac:dyDescent="0.15">
      <c r="K725" s="54"/>
    </row>
    <row r="726" spans="11:11" x14ac:dyDescent="0.15">
      <c r="K726" s="54"/>
    </row>
    <row r="727" spans="11:11" x14ac:dyDescent="0.15">
      <c r="K727" s="54"/>
    </row>
    <row r="728" spans="11:11" x14ac:dyDescent="0.15">
      <c r="K728" s="54"/>
    </row>
    <row r="729" spans="11:11" x14ac:dyDescent="0.15">
      <c r="K729" s="54"/>
    </row>
    <row r="730" spans="11:11" x14ac:dyDescent="0.15">
      <c r="K730" s="54"/>
    </row>
    <row r="731" spans="11:11" x14ac:dyDescent="0.15">
      <c r="K731" s="54"/>
    </row>
    <row r="732" spans="11:11" x14ac:dyDescent="0.15">
      <c r="K732" s="54"/>
    </row>
    <row r="733" spans="11:11" x14ac:dyDescent="0.15">
      <c r="K733" s="54"/>
    </row>
    <row r="734" spans="11:11" x14ac:dyDescent="0.15">
      <c r="K734" s="54"/>
    </row>
    <row r="735" spans="11:11" x14ac:dyDescent="0.15">
      <c r="K735" s="54"/>
    </row>
    <row r="736" spans="11:11" x14ac:dyDescent="0.15">
      <c r="K736" s="54"/>
    </row>
    <row r="737" spans="11:11" x14ac:dyDescent="0.15">
      <c r="K737" s="54"/>
    </row>
    <row r="738" spans="11:11" x14ac:dyDescent="0.15">
      <c r="K738" s="54"/>
    </row>
    <row r="739" spans="11:11" x14ac:dyDescent="0.15">
      <c r="K739" s="54"/>
    </row>
    <row r="740" spans="11:11" x14ac:dyDescent="0.15">
      <c r="K740" s="54"/>
    </row>
    <row r="741" spans="11:11" x14ac:dyDescent="0.15">
      <c r="K741" s="54"/>
    </row>
    <row r="742" spans="11:11" x14ac:dyDescent="0.15">
      <c r="K742" s="54"/>
    </row>
    <row r="743" spans="11:11" x14ac:dyDescent="0.15">
      <c r="K743" s="54"/>
    </row>
    <row r="744" spans="11:11" x14ac:dyDescent="0.15">
      <c r="K744" s="54"/>
    </row>
    <row r="745" spans="11:11" x14ac:dyDescent="0.15">
      <c r="K745" s="54"/>
    </row>
    <row r="746" spans="11:11" x14ac:dyDescent="0.15">
      <c r="K746" s="54"/>
    </row>
    <row r="747" spans="11:11" x14ac:dyDescent="0.15">
      <c r="K747" s="54"/>
    </row>
    <row r="748" spans="11:11" x14ac:dyDescent="0.15">
      <c r="K748" s="54"/>
    </row>
    <row r="749" spans="11:11" x14ac:dyDescent="0.15">
      <c r="K749" s="54"/>
    </row>
    <row r="750" spans="11:11" x14ac:dyDescent="0.15">
      <c r="K750" s="54"/>
    </row>
    <row r="751" spans="11:11" x14ac:dyDescent="0.15">
      <c r="K751" s="54"/>
    </row>
    <row r="752" spans="11:11" x14ac:dyDescent="0.15">
      <c r="K752" s="54"/>
    </row>
    <row r="753" spans="11:11" x14ac:dyDescent="0.15">
      <c r="K753" s="54"/>
    </row>
    <row r="754" spans="11:11" x14ac:dyDescent="0.15">
      <c r="K754" s="54"/>
    </row>
    <row r="755" spans="11:11" x14ac:dyDescent="0.15">
      <c r="K755" s="54"/>
    </row>
    <row r="756" spans="11:11" x14ac:dyDescent="0.15">
      <c r="K756" s="54"/>
    </row>
    <row r="757" spans="11:11" x14ac:dyDescent="0.15">
      <c r="K757" s="54"/>
    </row>
    <row r="758" spans="11:11" x14ac:dyDescent="0.15">
      <c r="K758" s="54"/>
    </row>
    <row r="759" spans="11:11" x14ac:dyDescent="0.15">
      <c r="K759" s="54"/>
    </row>
    <row r="760" spans="11:11" x14ac:dyDescent="0.15">
      <c r="K760" s="54"/>
    </row>
    <row r="761" spans="11:11" x14ac:dyDescent="0.15">
      <c r="K761" s="54"/>
    </row>
    <row r="762" spans="11:11" x14ac:dyDescent="0.15">
      <c r="K762" s="54"/>
    </row>
    <row r="763" spans="11:11" x14ac:dyDescent="0.15">
      <c r="K763" s="54"/>
    </row>
    <row r="764" spans="11:11" x14ac:dyDescent="0.15">
      <c r="K764" s="54"/>
    </row>
  </sheetData>
  <phoneticPr fontId="3"/>
  <dataValidations count="12">
    <dataValidation type="list" allowBlank="1" showInputMessage="1" showErrorMessage="1" sqref="K2:K764" xr:uid="{AB9C9A4A-592E-46AC-909B-5ECC646A9EB3}">
      <formula1>$AR$2:$AR$23</formula1>
    </dataValidation>
    <dataValidation type="list" allowBlank="1" showInputMessage="1" showErrorMessage="1" sqref="A2:A451" xr:uid="{9F2E3F39-FEF9-45A1-96B3-3B7CF461BADB}">
      <formula1>$AE$2:$AE$19</formula1>
    </dataValidation>
    <dataValidation type="list" allowBlank="1" showInputMessage="1" showErrorMessage="1" sqref="Y2:AA452" xr:uid="{C4DD6B35-929F-4D12-81D5-8B84C122A286}">
      <formula1>$AV$2:$AV$21</formula1>
    </dataValidation>
    <dataValidation type="list" allowBlank="1" showInputMessage="1" showErrorMessage="1" sqref="H2:H452" xr:uid="{21ED225E-4AAC-4B54-8998-588CFEE89DB3}">
      <formula1>$AL$2:$AL$8</formula1>
    </dataValidation>
    <dataValidation type="list" allowBlank="1" showInputMessage="1" showErrorMessage="1" sqref="X2:X452" xr:uid="{4A89FE91-D55C-4F4B-A303-A0AF9B4E0900}">
      <formula1>$AT$2:$AT$3</formula1>
    </dataValidation>
    <dataValidation type="list" allowBlank="1" showInputMessage="1" showErrorMessage="1" sqref="G2:G452" xr:uid="{932951C1-2353-4FDC-B023-BE45DC668617}">
      <formula1>$AJ$2:$AJ$4</formula1>
    </dataValidation>
    <dataValidation type="list" allowBlank="1" showInputMessage="1" showErrorMessage="1" sqref="I2:I452" xr:uid="{E2434705-B4AC-4256-A25B-0C58BD931CC1}">
      <formula1>$AN$5:$AN$6</formula1>
    </dataValidation>
    <dataValidation type="list" allowBlank="1" showInputMessage="1" showErrorMessage="1" sqref="J2:J452" xr:uid="{74237D1B-7120-4B9A-9514-9E20779DB04C}">
      <formula1>$AP$2:$AP$24</formula1>
    </dataValidation>
    <dataValidation type="list" allowBlank="1" showInputMessage="1" showErrorMessage="1" sqref="F2:F452" xr:uid="{A556D52B-4945-4548-9FDE-9D7C0B22FCC7}">
      <formula1>$AH$2:$AH$11</formula1>
    </dataValidation>
    <dataValidation type="list" allowBlank="1" showInputMessage="1" showErrorMessage="1" sqref="E2:E452" xr:uid="{B346AAD2-7738-402B-B34F-C39CF82B59D8}">
      <formula1>$AG$2:$AG$11</formula1>
    </dataValidation>
    <dataValidation type="decimal" allowBlank="1" showInputMessage="1" showErrorMessage="1" error="硬度を正しく入力して下さい。" sqref="O2:P49 O59:P452" xr:uid="{BAC701BE-0F4C-4D44-B6F9-F73F8BD46521}">
      <formula1>0</formula1>
      <formula2>7</formula2>
    </dataValidation>
    <dataValidation operator="equal" allowBlank="1" showInputMessage="1" showErrorMessage="1" sqref="B2:B82" xr:uid="{4C59A01A-2DC6-49C8-A766-61F6FFC3B0B8}"/>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4A20659-F743-41A2-A575-992B318C75F8}"/>
</file>

<file path=customXml/itemProps2.xml><?xml version="1.0" encoding="utf-8"?>
<ds:datastoreItem xmlns:ds="http://schemas.openxmlformats.org/officeDocument/2006/customXml" ds:itemID="{C006CC9A-87C4-4215-8163-8ABB47EEE771}"/>
</file>

<file path=customXml/itemProps3.xml><?xml version="1.0" encoding="utf-8"?>
<ds:datastoreItem xmlns:ds="http://schemas.openxmlformats.org/officeDocument/2006/customXml" ds:itemID="{BAAA559B-B264-44E3-86E2-72FD5DDF42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2019-05-13T02:59:13Z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